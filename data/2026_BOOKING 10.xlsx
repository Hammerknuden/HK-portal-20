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463" documentId="8_{AC379FEE-905F-41E2-9E84-8018E4E04006}" xr6:coauthVersionLast="47" xr6:coauthVersionMax="47" xr10:uidLastSave="{41D107A7-7462-4BB6-9ED1-71DDDF828C06}"/>
  <bookViews>
    <workbookView xWindow="-110" yWindow="-110" windowWidth="19420" windowHeight="11500" firstSheet="1" activeTab="3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Database!$A$1:$V$102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7" l="1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J151" i="10" l="1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46" i="8" l="1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J200" i="3" s="1"/>
  <c r="AW198" i="3"/>
  <c r="U198" i="3"/>
  <c r="U200" i="3" s="1"/>
  <c r="BG203" i="3"/>
  <c r="E31" i="4" s="1"/>
  <c r="AI198" i="3"/>
  <c r="AI200" i="3" s="1"/>
  <c r="AE198" i="3"/>
  <c r="AE200" i="3" s="1"/>
  <c r="T198" i="3"/>
  <c r="T200" i="3" s="1"/>
  <c r="BR196" i="3"/>
  <c r="BL202" i="3" s="1"/>
  <c r="J30" i="4" s="1"/>
  <c r="AU198" i="3"/>
  <c r="AH198" i="3"/>
  <c r="AH200" i="3" s="1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<sst xmlns="http://schemas.openxmlformats.org/spreadsheetml/2006/main" count="1595" uniqueCount="541">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</sst>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0" borderId="0" xfId="0"/>
    <xf numFmtId="166" fontId="0" fillId="0" borderId="0" xfId="0" applyNumberFormat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196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809</c:v>
                </c:pt>
                <c:pt idx="1">
                  <c:v>79</c:v>
                </c:pt>
                <c:pt idx="2">
                  <c:v>8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196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809</c:v>
                </c:pt>
                <c:pt idx="1">
                  <c:v>79</c:v>
                </c:pt>
                <c:pt idx="2">
                  <c:v>8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6"/>
  <sheetViews>
    <sheetView topLeftCell="G1" workbookViewId="0">
      <pane ySplit="1" topLeftCell="A150" activePane="bottomLeft" state="frozen"/>
      <selection pane="bottomLeft" activeCell="S166" sqref="S16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/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/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/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/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/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/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5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5">
      <c r="A166" s="2">
        <v>151</v>
      </c>
      <c r="B166" s="222" t="s">
        <v>540</v>
      </c>
      <c r="C166" s="223">
        <v>46283</v>
      </c>
      <c r="D166" s="223">
        <v>46285</v>
      </c>
      <c r="E166" s="223">
        <v>46186</v>
      </c>
      <c r="F166" s="222" t="s">
        <v>52</v>
      </c>
      <c r="G166" s="222" t="s">
        <v>35</v>
      </c>
      <c r="H166" s="222"/>
      <c r="I166" s="222"/>
      <c r="J166" s="207">
        <v>0</v>
      </c>
      <c r="K166" s="222">
        <v>1</v>
      </c>
      <c r="L166" s="222">
        <v>1</v>
      </c>
      <c r="M166" s="222"/>
      <c r="N166" s="222"/>
      <c r="O166" s="222"/>
      <c r="P166" s="2" t="s">
        <v>21</v>
      </c>
      <c r="Q166" s="2" t="s">
        <v>20</v>
      </c>
      <c r="R166" s="122">
        <v>1700</v>
      </c>
      <c r="S166" s="2" t="s">
        <v>20</v>
      </c>
      <c r="T166" s="222"/>
    </row>
  </sheetData>
  <autoFilter ref="A1:V10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U1" workbookViewId="0">
      <pane ySplit="1" topLeftCell="A186" activePane="bottomLeft" state="frozen"/>
      <selection pane="bottomLeft" activeCell="AH197" sqref="AH19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2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2">
        <f t="shared" si="110"/>
        <v>0</v>
      </c>
      <c r="BC153" s="32">
        <f t="shared" si="111"/>
        <v>0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:BI196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196</v>
      </c>
      <c r="BC196" s="32">
        <f t="shared" si="167"/>
        <v>809</v>
      </c>
      <c r="BD196" s="32">
        <f t="shared" si="167"/>
        <v>23</v>
      </c>
      <c r="BE196" s="32">
        <f t="shared" si="167"/>
        <v>79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54"/>
        <v>0</v>
      </c>
      <c r="BJ196" s="32">
        <f t="shared" si="167"/>
        <v>2</v>
      </c>
      <c r="BK196" s="32">
        <f t="shared" si="167"/>
        <v>8</v>
      </c>
      <c r="BL196" s="32">
        <f t="shared" si="167"/>
        <v>7</v>
      </c>
      <c r="BM196" s="32">
        <f t="shared" si="167"/>
        <v>33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609</v>
      </c>
      <c r="AK198">
        <f t="shared" si="168"/>
        <v>609</v>
      </c>
      <c r="AL198">
        <f t="shared" si="168"/>
        <v>609</v>
      </c>
      <c r="AM198">
        <f t="shared" si="168"/>
        <v>609</v>
      </c>
      <c r="AN198">
        <f t="shared" si="168"/>
        <v>609</v>
      </c>
      <c r="AO198">
        <f t="shared" si="168"/>
        <v>609</v>
      </c>
      <c r="AP198">
        <f t="shared" si="168"/>
        <v>609</v>
      </c>
      <c r="AQ198">
        <f t="shared" si="168"/>
        <v>609</v>
      </c>
      <c r="AR198">
        <f t="shared" si="168"/>
        <v>609</v>
      </c>
      <c r="AS198">
        <f t="shared" si="168"/>
        <v>609</v>
      </c>
      <c r="AT198">
        <f t="shared" si="168"/>
        <v>609</v>
      </c>
      <c r="AU198">
        <f t="shared" si="168"/>
        <v>609</v>
      </c>
      <c r="AV198">
        <f t="shared" si="168"/>
        <v>609</v>
      </c>
      <c r="AW198">
        <f t="shared" si="168"/>
        <v>609</v>
      </c>
      <c r="AX198">
        <f t="shared" si="168"/>
        <v>609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609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">
        <v>110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196</v>
      </c>
      <c r="BE202" s="32">
        <f>BD196</f>
        <v>23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7</v>
      </c>
      <c r="BJ202" s="34">
        <f>BN196</f>
        <v>0</v>
      </c>
      <c r="BK202" s="35">
        <f>BP196</f>
        <v>0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809</v>
      </c>
      <c r="BE203" s="38">
        <f>BE196</f>
        <v>79</v>
      </c>
      <c r="BF203" s="38">
        <f>BG196</f>
        <v>8</v>
      </c>
      <c r="BG203" s="38">
        <f>BI196</f>
        <v>0</v>
      </c>
      <c r="BH203" s="38">
        <f>BK196</f>
        <v>8</v>
      </c>
      <c r="BI203" s="39">
        <f>BM196</f>
        <v>33</v>
      </c>
      <c r="BJ203" s="40">
        <f>BO196</f>
        <v>0</v>
      </c>
      <c r="BK203" s="41">
        <f>BQ196</f>
        <v>0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abSelected="1"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196</v>
      </c>
      <c r="C30" s="32">
        <f>'book stat'!BE202</f>
        <v>23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7</v>
      </c>
      <c r="H30" s="162">
        <f>'book stat'!BJ202</f>
        <v>0</v>
      </c>
      <c r="I30" s="163">
        <f>'book stat'!BK202</f>
        <v>0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809</v>
      </c>
      <c r="C31" s="32">
        <f>'book stat'!BE203</f>
        <v>79</v>
      </c>
      <c r="D31" s="32">
        <f>'book stat'!BF203</f>
        <v>8</v>
      </c>
      <c r="E31" s="32">
        <f>'book stat'!BG203</f>
        <v>0</v>
      </c>
      <c r="F31" s="32">
        <f>'book stat'!BH203</f>
        <v>8</v>
      </c>
      <c r="G31" s="33">
        <f>'book stat'!BI203</f>
        <v>33</v>
      </c>
      <c r="H31" s="167">
        <f>'book stat'!BJ203</f>
        <v>0</v>
      </c>
      <c r="I31" s="168">
        <f>'book stat'!BK203</f>
        <v>0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3" activePane="bottomLeft" state="frozen"/>
      <selection pane="bottomLeft" activeCell="Q148" sqref="Q148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603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>
        <v>1</v>
      </c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1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69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69</v>
      </c>
      <c r="E76" s="114">
        <v>69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69</v>
      </c>
      <c r="E77" s="114">
        <v>69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69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/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4</v>
      </c>
      <c r="AB82" s="57">
        <f t="shared" si="5"/>
        <v>0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/>
      <c r="M83" s="190"/>
      <c r="N83" s="18"/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5</v>
      </c>
      <c r="AA83" s="130">
        <f t="shared" si="7"/>
        <v>4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/>
      <c r="M84" s="190"/>
      <c r="N84" s="18"/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5</v>
      </c>
      <c r="AA84" s="130">
        <f t="shared" si="7"/>
        <v>4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/>
      <c r="M85" s="8">
        <v>44</v>
      </c>
      <c r="N85" s="18"/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3</v>
      </c>
      <c r="AA85" s="130">
        <f t="shared" si="7"/>
        <v>5</v>
      </c>
      <c r="AB85" s="57">
        <f t="shared" si="5"/>
        <v>2</v>
      </c>
      <c r="AC85" s="21">
        <f t="shared" si="8"/>
        <v>1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152">
        <v>150</v>
      </c>
      <c r="M92" s="138">
        <v>58</v>
      </c>
      <c r="N92" s="18"/>
      <c r="O92" s="17" t="s">
        <v>32</v>
      </c>
      <c r="P92" s="8"/>
      <c r="Q92" s="138">
        <v>58</v>
      </c>
      <c r="R92" s="114"/>
      <c r="S92" s="114" t="s">
        <v>32</v>
      </c>
      <c r="T92" s="8"/>
      <c r="U92" s="152">
        <v>150</v>
      </c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3</v>
      </c>
      <c r="AC92" s="21">
        <f t="shared" si="8"/>
        <v>2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8">
        <v>58</v>
      </c>
      <c r="M93" s="138">
        <v>58</v>
      </c>
      <c r="N93" s="18">
        <v>1</v>
      </c>
      <c r="O93" s="17" t="s">
        <v>287</v>
      </c>
      <c r="P93" s="138">
        <v>58</v>
      </c>
      <c r="Q93" s="138">
        <v>58</v>
      </c>
      <c r="R93" s="114">
        <v>1</v>
      </c>
      <c r="S93" s="114" t="s">
        <v>287</v>
      </c>
      <c r="T93" s="152">
        <v>150</v>
      </c>
      <c r="U93" s="8">
        <v>30</v>
      </c>
      <c r="V93" s="18"/>
      <c r="W93" s="18" t="s">
        <v>158</v>
      </c>
      <c r="X93" s="8"/>
      <c r="Y93" s="8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8">
        <v>58</v>
      </c>
      <c r="M94" s="138">
        <v>58</v>
      </c>
      <c r="N94" s="18">
        <v>1</v>
      </c>
      <c r="O94" s="17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8">
        <v>58</v>
      </c>
      <c r="M95" s="138">
        <v>58</v>
      </c>
      <c r="N95" s="18">
        <v>1</v>
      </c>
      <c r="O95" s="17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>
        <v>58</v>
      </c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8">
        <v>58</v>
      </c>
      <c r="M96" s="152">
        <v>115</v>
      </c>
      <c r="N96" s="18">
        <v>1</v>
      </c>
      <c r="O96" s="17" t="s">
        <v>155</v>
      </c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8">
        <v>58</v>
      </c>
      <c r="Y96" s="8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2">
        <v>115</v>
      </c>
      <c r="M97" s="152">
        <v>115</v>
      </c>
      <c r="N97" s="18">
        <v>2</v>
      </c>
      <c r="O97" s="17"/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8"/>
      <c r="Y97" s="8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14">
        <v>94</v>
      </c>
      <c r="E98" s="114">
        <v>94</v>
      </c>
      <c r="F98" s="18"/>
      <c r="G98" s="17" t="s">
        <v>156</v>
      </c>
      <c r="H98" s="8">
        <v>49</v>
      </c>
      <c r="I98" s="8"/>
      <c r="J98" s="18">
        <v>2</v>
      </c>
      <c r="K98" s="17"/>
      <c r="L98" s="151">
        <v>115</v>
      </c>
      <c r="M98" s="152">
        <v>115</v>
      </c>
      <c r="N98" s="18">
        <v>2</v>
      </c>
      <c r="O98" s="17"/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20"/>
      <c r="Y98" s="20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8">
        <v>74</v>
      </c>
      <c r="J99" s="18"/>
      <c r="K99" s="17"/>
      <c r="L99" s="151">
        <v>115</v>
      </c>
      <c r="M99" s="138">
        <v>74</v>
      </c>
      <c r="N99" s="18">
        <v>2</v>
      </c>
      <c r="O99" s="18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89">
        <v>94</v>
      </c>
      <c r="E100" s="137">
        <v>11</v>
      </c>
      <c r="F100" s="18"/>
      <c r="G100" s="17" t="s">
        <v>157</v>
      </c>
      <c r="H100" s="140">
        <v>74</v>
      </c>
      <c r="I100" s="138">
        <v>74</v>
      </c>
      <c r="J100" s="18">
        <v>2</v>
      </c>
      <c r="K100" s="17"/>
      <c r="L100" s="138">
        <v>74</v>
      </c>
      <c r="M100" s="138">
        <v>74</v>
      </c>
      <c r="N100" s="18">
        <v>1</v>
      </c>
      <c r="O100" s="18"/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7">
        <v>11</v>
      </c>
      <c r="E101" s="137">
        <v>11</v>
      </c>
      <c r="F101" s="18"/>
      <c r="G101" s="17" t="s">
        <v>156</v>
      </c>
      <c r="H101" s="140">
        <v>74</v>
      </c>
      <c r="I101" s="138">
        <v>74</v>
      </c>
      <c r="J101" s="18">
        <v>2</v>
      </c>
      <c r="K101" s="17"/>
      <c r="L101" s="138">
        <v>74</v>
      </c>
      <c r="M101" s="138">
        <v>74</v>
      </c>
      <c r="N101" s="18">
        <v>1</v>
      </c>
      <c r="O101" s="18"/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7">
        <v>11</v>
      </c>
      <c r="E102" s="137">
        <v>11</v>
      </c>
      <c r="F102" s="18"/>
      <c r="G102" s="17"/>
      <c r="H102" s="138">
        <v>74</v>
      </c>
      <c r="I102" s="138">
        <v>74</v>
      </c>
      <c r="J102" s="18">
        <v>2</v>
      </c>
      <c r="K102" s="17"/>
      <c r="L102" s="138">
        <v>74</v>
      </c>
      <c r="M102" s="138">
        <v>74</v>
      </c>
      <c r="N102" s="18">
        <v>1</v>
      </c>
      <c r="O102" s="18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7">
        <v>11</v>
      </c>
      <c r="E103" s="137">
        <v>11</v>
      </c>
      <c r="F103" s="18"/>
      <c r="G103" s="17"/>
      <c r="H103" s="138">
        <v>74</v>
      </c>
      <c r="I103" s="8">
        <v>32</v>
      </c>
      <c r="J103" s="18">
        <v>2</v>
      </c>
      <c r="K103" s="17" t="s">
        <v>155</v>
      </c>
      <c r="L103" s="138">
        <v>74</v>
      </c>
      <c r="M103" s="153">
        <v>33</v>
      </c>
      <c r="N103" s="18">
        <v>1</v>
      </c>
      <c r="O103" s="18" t="s">
        <v>32</v>
      </c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37">
        <v>11</v>
      </c>
      <c r="E104" s="137">
        <v>11</v>
      </c>
      <c r="F104" s="18"/>
      <c r="G104" s="17"/>
      <c r="H104" s="111">
        <v>32</v>
      </c>
      <c r="I104" s="111">
        <v>32</v>
      </c>
      <c r="J104" s="111">
        <v>2</v>
      </c>
      <c r="K104" s="186" t="s">
        <v>156</v>
      </c>
      <c r="L104" s="153">
        <v>33</v>
      </c>
      <c r="M104" s="153">
        <v>33</v>
      </c>
      <c r="N104" s="111">
        <v>1</v>
      </c>
      <c r="O104" s="111" t="s">
        <v>156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20"/>
      <c r="Y104" s="20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37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6"/>
      <c r="L105" s="153">
        <v>33</v>
      </c>
      <c r="M105" s="153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20"/>
      <c r="Y105" s="20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3">
        <v>33</v>
      </c>
      <c r="M106" s="153">
        <v>33</v>
      </c>
      <c r="N106" s="111">
        <v>1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20"/>
      <c r="Y106" s="20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8"/>
      <c r="E107" s="8">
        <v>59</v>
      </c>
      <c r="F107" s="18"/>
      <c r="G107" s="17" t="s">
        <v>155</v>
      </c>
      <c r="H107" s="8">
        <v>32</v>
      </c>
      <c r="I107" s="8">
        <v>32</v>
      </c>
      <c r="J107" s="18">
        <v>2</v>
      </c>
      <c r="K107" s="17"/>
      <c r="L107" s="153">
        <v>33</v>
      </c>
      <c r="M107" s="153">
        <v>33</v>
      </c>
      <c r="N107" s="18">
        <v>1</v>
      </c>
      <c r="O107" s="18"/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20"/>
      <c r="Y107" s="20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3">
        <v>33</v>
      </c>
      <c r="M108" s="153">
        <v>33</v>
      </c>
      <c r="N108" s="2">
        <v>1</v>
      </c>
      <c r="O108" s="18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20"/>
      <c r="Y108" s="20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3">
        <v>33</v>
      </c>
      <c r="M109" s="153">
        <v>33</v>
      </c>
      <c r="N109" s="18">
        <v>1</v>
      </c>
      <c r="O109" s="18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20"/>
      <c r="Y109" s="20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3">
        <v>46</v>
      </c>
      <c r="J110" s="18">
        <v>2</v>
      </c>
      <c r="K110" s="17"/>
      <c r="L110" s="153">
        <v>33</v>
      </c>
      <c r="M110" s="8">
        <v>23</v>
      </c>
      <c r="N110" s="18">
        <v>1</v>
      </c>
      <c r="O110" s="18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20"/>
      <c r="Y110" s="20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3">
        <v>46</v>
      </c>
      <c r="I111" s="153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20">
        <v>121</v>
      </c>
      <c r="Y111" s="20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114">
        <v>121</v>
      </c>
      <c r="E112" s="114">
        <v>121</v>
      </c>
      <c r="F112" s="18"/>
      <c r="G112" s="17"/>
      <c r="H112" s="153">
        <v>46</v>
      </c>
      <c r="I112" s="153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20"/>
      <c r="Y112" s="20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114">
        <v>121</v>
      </c>
      <c r="E113" s="8"/>
      <c r="F113" s="18"/>
      <c r="G113" s="17"/>
      <c r="H113" s="153">
        <v>46</v>
      </c>
      <c r="I113" s="153">
        <v>46</v>
      </c>
      <c r="J113" s="18"/>
      <c r="K113" s="17"/>
      <c r="L113" s="8">
        <v>23</v>
      </c>
      <c r="M113" s="8"/>
      <c r="N113" s="18">
        <v>2</v>
      </c>
      <c r="O113" s="18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20"/>
      <c r="Y113" s="20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20"/>
      <c r="Y114" s="20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8"/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3</v>
      </c>
      <c r="AB134" s="57">
        <f t="shared" si="10"/>
        <v>2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8"/>
      <c r="M137" s="8"/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8"/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>
        <v>41</v>
      </c>
      <c r="F145" s="18"/>
      <c r="G145" s="17" t="s">
        <v>158</v>
      </c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/>
      <c r="R145" s="114">
        <v>2</v>
      </c>
      <c r="S145" s="114"/>
      <c r="T145" s="8">
        <v>22</v>
      </c>
      <c r="U145" s="153">
        <v>42</v>
      </c>
      <c r="V145" s="18"/>
      <c r="W145" s="18" t="s">
        <v>32</v>
      </c>
      <c r="X145" s="20"/>
      <c r="Y145" s="20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8">
        <v>41</v>
      </c>
      <c r="E146" s="8">
        <v>41</v>
      </c>
      <c r="F146" s="18"/>
      <c r="G146" s="17"/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111"/>
      <c r="Q146" s="111">
        <v>151</v>
      </c>
      <c r="R146" s="114"/>
      <c r="S146" s="114" t="s">
        <v>32</v>
      </c>
      <c r="T146" s="153">
        <v>42</v>
      </c>
      <c r="U146" s="153">
        <v>42</v>
      </c>
      <c r="V146" s="111"/>
      <c r="W146" s="111"/>
      <c r="X146" s="20"/>
      <c r="Y146" s="20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8">
        <v>41</v>
      </c>
      <c r="E147" s="8"/>
      <c r="F147" s="18"/>
      <c r="G147" s="17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111">
        <v>151</v>
      </c>
      <c r="Q147" s="111">
        <v>151</v>
      </c>
      <c r="R147" s="114"/>
      <c r="S147" s="114"/>
      <c r="T147" s="153">
        <v>42</v>
      </c>
      <c r="U147" s="153">
        <v>42</v>
      </c>
      <c r="V147" s="111"/>
      <c r="W147" s="111"/>
      <c r="X147" s="20"/>
      <c r="Y147" s="20"/>
      <c r="Z147" s="134">
        <f t="shared" si="11"/>
        <v>4</v>
      </c>
      <c r="AA147" s="130">
        <f t="shared" si="12"/>
        <v>3</v>
      </c>
      <c r="AB147" s="57">
        <f t="shared" si="10"/>
        <v>0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8"/>
      <c r="E148" s="8"/>
      <c r="F148" s="18"/>
      <c r="G148" s="17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11">
        <v>151</v>
      </c>
      <c r="Q148" s="8"/>
      <c r="R148" s="114"/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2</v>
      </c>
      <c r="AA148" s="130">
        <f t="shared" si="12"/>
        <v>2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4</v>
      </c>
      <c r="AA149" s="130">
        <f t="shared" si="12"/>
        <v>2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3</v>
      </c>
      <c r="AA150" s="130">
        <f t="shared" si="12"/>
        <v>2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3</v>
      </c>
      <c r="AA151" s="130">
        <f t="shared" si="12"/>
        <v>2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1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03:Y123 D99:M115 O99:S102 U99:Z102 T101:T102 W141:X171 W124:W140 D92:Y98 O2:Y91 Y138:Y171 X138 X124:Y137 D124:V171 D52:G58 H52:H57 D59:M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-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-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udc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DK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udc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DK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udc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-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udc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-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 t="str">
        <f>IF(AND(D82="Y",booking!L82&lt;&gt;booking!M82,booking!M82&gt;0),booking!M82,"-")</f>
        <v>-</v>
      </c>
      <c r="P82" s="76" t="str">
        <f>IFERROR(VLOOKUP(O82,Database!$A$2:$L$189,8,FALSE),"-")</f>
        <v>-</v>
      </c>
      <c r="Q82" s="76" t="str">
        <f>IFERROR(VLOOKUP(O82,Database!$A$2:$L$189,6,FALSE),"-")</f>
        <v>-</v>
      </c>
      <c r="R82" s="80" t="str">
        <f>IFERROR(VLOOKUP(O82,Database!$A$2:$L$189,9,FALSE),"-")</f>
        <v>-</v>
      </c>
      <c r="S82" s="205" t="str">
        <f>IFERROR(VLOOKUP(O82,Database!$A$2:$S$189,19,FALSE),"-")</f>
        <v>-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5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>
        <f>IF(AND(D92="Y",booking!T92&lt;&gt;booking!U92,booking!U92&gt;0),booking!U92,"-")</f>
        <v>150</v>
      </c>
      <c r="Z92" s="77">
        <f>IFERROR(VLOOKUP(Y92,Database!$A$2:$L$189,8,FALSE),"-")</f>
        <v>0</v>
      </c>
      <c r="AA92" s="77" t="str">
        <f>IFERROR(VLOOKUP(Y92,Database!$A$2:$L$189,6,FALSE),"-")</f>
        <v>DK</v>
      </c>
      <c r="AB92" s="90">
        <f>IFERROR(VLOOKUP(Y92,Database!$A$2:$L$189,9,FALSE),"-")</f>
        <v>0</v>
      </c>
      <c r="AC92" s="8" t="str">
        <f>IFERROR(VLOOKUP(Y92,Database!$A$2:$S$189,19,FALSE),"-")</f>
        <v>N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5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5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5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5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5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5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5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5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5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5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5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>
        <f>IF(AND(D146="Y",booking!P146&lt;&gt;booking!Q146,booking!Q146&gt;0),booking!Q146,"-")</f>
        <v>151</v>
      </c>
      <c r="U146" s="76">
        <f>IFERROR(VLOOKUP(T146,Database!$A$2:$L$189,8,FALSE),"-")</f>
        <v>0</v>
      </c>
      <c r="V146" s="76" t="str">
        <f>IFERROR(VLOOKUP(T146,Database!$A$2:$L$189,6,FALSE),"-")</f>
        <v>DK</v>
      </c>
      <c r="W146" s="80">
        <f>IFERROR(VLOOKUP(T146,Database!$A$2:$L$189,9,FALSE),"-")</f>
        <v>0</v>
      </c>
      <c r="X146" s="205" t="str">
        <f>IFERROR(VLOOKUP(T146,Database!$A$2:$S$189,19,FALSE),"-")</f>
        <v>N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5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 t="str">
        <f>ankomster!O82</f>
        <v>-</v>
      </c>
      <c r="I82" t="str">
        <f>IFERROR(VLOOKUP(H82,Database!$A$2:$L$189,2,FALSE),"-")</f>
        <v>-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>
        <f>ankomster!Y92</f>
        <v>150</v>
      </c>
      <c r="M92" t="str">
        <f>IFERROR(VLOOKUP(L92,Database!$A$2:$L$189,2,FALSE),"-")</f>
        <v>Pernille Sahl Nielsen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>
        <f>ankomster!T146</f>
        <v>151</v>
      </c>
      <c r="K146" t="str">
        <f>IFERROR(VLOOKUP(J146,Database!$A$2:$L$189,2,FALSE),"-")</f>
        <v>Susanne Børjessson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307</v>
      </c>
      <c r="M3">
        <f>SUM(J2:J200)</f>
        <v>302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va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va</v>
      </c>
      <c r="H83" s="128" t="str">
        <f>IF(booking!M83&gt;0,"oc","va")</f>
        <v>va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va</v>
      </c>
      <c r="H84" s="128" t="str">
        <f>IF(booking!M84&gt;0,"oc","va")</f>
        <v>va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va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oc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oc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oc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oc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va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va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2026-06-04T13:14:18Z</cp:lastPrinted>
  <dcterms:created xsi:type="dcterms:W3CDTF">2024-07-25T07:35:10Z</dcterms:created>
  <dcterms:modified xsi:type="dcterms:W3CDTF">2026-06-15T12:58:13Z</dcterms:modified>
  <cp:category/>
  <cp:contentStatus/>
</cp:coreProperties>
</file>
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865" documentId="8_{CBF31231-0F4D-4AAA-8243-F4B7D6A71111}" xr6:coauthVersionLast="47" xr6:coauthVersionMax="47" xr10:uidLastSave="{33406F12-1769-4D13-AA54-6C3FE4EED31D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AE200" i="3"/>
  <c r="AD200" i="3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J124" i="10"/>
  <c r="I125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S128" i="3"/>
  <c r="BT128" i="3"/>
  <c r="BU128" i="3"/>
  <c r="BV128" i="3"/>
  <c r="BW128" i="3"/>
  <c r="BX128" i="3"/>
  <c r="BY128" i="3"/>
  <c r="BN129" i="3"/>
  <c r="BL129" i="3" s="1"/>
  <c r="BO129" i="3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S134" i="3"/>
  <c r="BT134" i="3"/>
  <c r="BU134" i="3"/>
  <c r="BV134" i="3"/>
  <c r="BW134" i="3"/>
  <c r="BX134" i="3"/>
  <c r="BY134" i="3"/>
  <c r="BN135" i="3"/>
  <c r="BL135" i="3" s="1"/>
  <c r="BO135" i="3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128" i="3" l="1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135" i="3"/>
  <c r="BM132" i="3"/>
  <c r="BM131" i="3"/>
  <c r="BM129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134" i="3"/>
  <c r="BL128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S126" i="3" l="1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89" i="3" l="1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G33" i="7" l="1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<sst xmlns="http://schemas.openxmlformats.org/spreadsheetml/2006/main" count="1398" uniqueCount="490">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</sst>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516</c:v>
                </c:pt>
                <c:pt idx="18">
                  <c:v>525</c:v>
                </c:pt>
                <c:pt idx="19">
                  <c:v>532</c:v>
                </c:pt>
                <c:pt idx="20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171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703</c:v>
                </c:pt>
                <c:pt idx="1">
                  <c:v>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35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269</c:v>
                </c:pt>
                <c:pt idx="1">
                  <c:v>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6"/>
  <sheetViews>
    <sheetView workbookViewId="0">
      <pane ySplit="1" topLeftCell="A108" activePane="bottomLeft" state="frozen"/>
      <selection pane="bottomLeft" activeCell="S126" sqref="S126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3.90625" style="151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104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265</v>
      </c>
      <c r="H3" s="106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6</v>
      </c>
      <c r="H4" s="104"/>
      <c r="I4" s="126"/>
      <c r="J4" s="200">
        <v>0.1</v>
      </c>
      <c r="K4" s="104">
        <v>1</v>
      </c>
      <c r="L4" s="104">
        <v>2</v>
      </c>
      <c r="M4" s="148" t="s">
        <v>167</v>
      </c>
      <c r="N4" s="176"/>
      <c r="O4" s="126" t="s">
        <v>168</v>
      </c>
      <c r="P4" s="126"/>
      <c r="Q4" s="126" t="s">
        <v>21</v>
      </c>
      <c r="R4" s="158">
        <v>2070</v>
      </c>
      <c r="S4" s="152" t="s">
        <v>20</v>
      </c>
      <c r="T4" s="124"/>
    </row>
    <row r="5" spans="1:21" x14ac:dyDescent="0.35">
      <c r="A5" s="140">
        <v>4</v>
      </c>
      <c r="B5" s="106" t="s">
        <v>169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106"/>
      <c r="I5" s="127"/>
      <c r="J5" s="201">
        <v>0.1</v>
      </c>
      <c r="K5" s="106">
        <v>2</v>
      </c>
      <c r="L5" s="106">
        <v>4</v>
      </c>
      <c r="M5" s="149" t="s">
        <v>171</v>
      </c>
      <c r="N5" s="178">
        <v>4530267986</v>
      </c>
      <c r="O5" s="127" t="s">
        <v>172</v>
      </c>
      <c r="P5" s="127"/>
      <c r="Q5" s="127" t="s">
        <v>21</v>
      </c>
      <c r="R5" s="158">
        <v>9180</v>
      </c>
      <c r="S5" s="153" t="s">
        <v>21</v>
      </c>
      <c r="T5" t="s">
        <v>170</v>
      </c>
    </row>
    <row r="6" spans="1:21" x14ac:dyDescent="0.35">
      <c r="A6" s="139">
        <v>5</v>
      </c>
      <c r="B6" s="104" t="s">
        <v>173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104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174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175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H7" s="2"/>
      <c r="J7" s="202">
        <v>0.1</v>
      </c>
      <c r="K7" s="121">
        <v>2</v>
      </c>
      <c r="L7" s="121">
        <v>4</v>
      </c>
      <c r="M7" s="123" t="s">
        <v>176</v>
      </c>
      <c r="Q7" s="2" t="s">
        <v>21</v>
      </c>
      <c r="R7" s="125">
        <v>4140</v>
      </c>
      <c r="S7" s="2" t="s">
        <v>38</v>
      </c>
      <c r="T7" t="s">
        <v>177</v>
      </c>
    </row>
    <row r="8" spans="1:21" x14ac:dyDescent="0.35">
      <c r="A8" s="140">
        <v>7</v>
      </c>
      <c r="B8" s="119" t="s">
        <v>178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H8" s="2"/>
      <c r="J8" s="202">
        <v>0.1</v>
      </c>
      <c r="K8" s="121">
        <v>1</v>
      </c>
      <c r="L8" s="121">
        <v>2</v>
      </c>
      <c r="M8" s="123" t="s">
        <v>179</v>
      </c>
      <c r="N8" s="178">
        <v>4522701312</v>
      </c>
      <c r="O8" s="2" t="s">
        <v>180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181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H9" s="2"/>
      <c r="J9" s="202">
        <v>0.1</v>
      </c>
      <c r="K9" s="121">
        <v>1</v>
      </c>
      <c r="L9" s="121">
        <v>2</v>
      </c>
      <c r="M9" s="123" t="s">
        <v>182</v>
      </c>
      <c r="N9" s="178">
        <v>4917643882286</v>
      </c>
      <c r="O9" s="2" t="s">
        <v>183</v>
      </c>
      <c r="Q9" s="2" t="s">
        <v>21</v>
      </c>
      <c r="R9" s="125">
        <v>4275</v>
      </c>
      <c r="S9" s="2" t="s">
        <v>21</v>
      </c>
      <c r="T9" s="119" t="s">
        <v>184</v>
      </c>
    </row>
    <row r="10" spans="1:21" x14ac:dyDescent="0.35">
      <c r="A10" s="139">
        <v>9</v>
      </c>
      <c r="B10" s="119" t="s">
        <v>185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2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186</v>
      </c>
      <c r="O10" s="2" t="s">
        <v>187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188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H11" s="2"/>
      <c r="J11" s="202">
        <v>0.1</v>
      </c>
      <c r="K11" s="121">
        <v>1</v>
      </c>
      <c r="L11" s="121">
        <v>2</v>
      </c>
      <c r="M11" s="120" t="s">
        <v>189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190</v>
      </c>
    </row>
    <row r="12" spans="1:21" x14ac:dyDescent="0.35">
      <c r="A12" s="139">
        <v>11</v>
      </c>
      <c r="B12" s="119" t="s">
        <v>191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H12" s="2"/>
      <c r="J12" s="202">
        <v>0.1</v>
      </c>
      <c r="K12" s="121">
        <v>1</v>
      </c>
      <c r="L12" s="121">
        <v>2</v>
      </c>
      <c r="M12" s="123" t="s">
        <v>193</v>
      </c>
      <c r="Q12" s="2" t="s">
        <v>21</v>
      </c>
      <c r="R12" s="125">
        <v>5737.5</v>
      </c>
      <c r="S12" s="2" t="s">
        <v>20</v>
      </c>
      <c r="T12" t="s">
        <v>192</v>
      </c>
    </row>
    <row r="13" spans="1:21" x14ac:dyDescent="0.35">
      <c r="A13" s="139">
        <v>12</v>
      </c>
      <c r="B13" s="119" t="s">
        <v>194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H13" s="2"/>
      <c r="I13" s="2" t="s">
        <v>159</v>
      </c>
      <c r="J13" s="202">
        <v>0.1</v>
      </c>
      <c r="K13" s="121">
        <v>1</v>
      </c>
      <c r="L13" s="121">
        <v>2</v>
      </c>
      <c r="M13" s="123" t="s">
        <v>195</v>
      </c>
      <c r="N13" s="179">
        <v>4540552384</v>
      </c>
      <c r="O13" s="2" t="s">
        <v>196</v>
      </c>
      <c r="Q13" s="2" t="s">
        <v>21</v>
      </c>
      <c r="R13" s="125">
        <v>4140</v>
      </c>
      <c r="S13" s="2" t="s">
        <v>21</v>
      </c>
      <c r="T13" t="s">
        <v>197</v>
      </c>
    </row>
    <row r="14" spans="1:21" x14ac:dyDescent="0.35">
      <c r="A14" s="140">
        <v>13</v>
      </c>
      <c r="B14" s="119" t="s">
        <v>198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199</v>
      </c>
      <c r="N14" s="179">
        <v>4525582842</v>
      </c>
      <c r="O14" s="2" t="s">
        <v>201</v>
      </c>
      <c r="Q14" s="2" t="s">
        <v>21</v>
      </c>
      <c r="R14" s="125">
        <v>8032.5</v>
      </c>
      <c r="S14" s="2" t="s">
        <v>38</v>
      </c>
      <c r="T14" t="s">
        <v>200</v>
      </c>
    </row>
    <row r="15" spans="1:21" x14ac:dyDescent="0.35">
      <c r="A15" s="139">
        <v>14</v>
      </c>
      <c r="B15" s="119" t="s">
        <v>202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205</v>
      </c>
      <c r="N15" s="179">
        <v>4591191885</v>
      </c>
      <c r="O15" s="2" t="s">
        <v>203</v>
      </c>
      <c r="Q15" s="2" t="s">
        <v>21</v>
      </c>
      <c r="R15" s="125">
        <v>9180</v>
      </c>
      <c r="S15" s="2" t="s">
        <v>38</v>
      </c>
      <c r="T15" s="119" t="s">
        <v>204</v>
      </c>
    </row>
    <row r="16" spans="1:21" x14ac:dyDescent="0.35">
      <c r="A16" s="139">
        <v>15</v>
      </c>
      <c r="B16" s="119" t="s">
        <v>206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207</v>
      </c>
      <c r="N16" s="151">
        <v>4531534745</v>
      </c>
      <c r="O16" s="2" t="s">
        <v>208</v>
      </c>
      <c r="Q16" s="2" t="s">
        <v>21</v>
      </c>
      <c r="R16" s="125">
        <v>8925</v>
      </c>
      <c r="S16" s="2" t="s">
        <v>38</v>
      </c>
      <c r="T16" t="s">
        <v>209</v>
      </c>
      <c r="U16" s="184">
        <f>R16*0.5</f>
        <v>4462.5</v>
      </c>
    </row>
    <row r="17" spans="1:21" x14ac:dyDescent="0.35">
      <c r="A17" s="140">
        <v>16</v>
      </c>
      <c r="B17" s="119" t="s">
        <v>220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438</v>
      </c>
      <c r="K17" s="121">
        <v>2</v>
      </c>
      <c r="L17" s="121">
        <v>4</v>
      </c>
      <c r="M17" s="116" t="s">
        <v>221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222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214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217</v>
      </c>
      <c r="N18" s="179">
        <v>4524669843</v>
      </c>
      <c r="O18" s="2" t="s">
        <v>218</v>
      </c>
      <c r="Q18" s="2" t="s">
        <v>21</v>
      </c>
      <c r="R18" s="125">
        <v>8925</v>
      </c>
      <c r="S18" s="2" t="s">
        <v>38</v>
      </c>
      <c r="T18" t="s">
        <v>219</v>
      </c>
      <c r="U18" s="185">
        <f t="shared" si="0"/>
        <v>4462.5</v>
      </c>
    </row>
    <row r="19" spans="1:21" x14ac:dyDescent="0.35">
      <c r="A19" s="139">
        <v>18</v>
      </c>
      <c r="B19" s="119" t="s">
        <v>212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213</v>
      </c>
      <c r="N19" s="179">
        <v>4531909358</v>
      </c>
      <c r="O19" s="2" t="s">
        <v>216</v>
      </c>
      <c r="Q19" s="2" t="s">
        <v>21</v>
      </c>
      <c r="R19" s="125">
        <v>6375</v>
      </c>
      <c r="S19" s="2" t="s">
        <v>38</v>
      </c>
      <c r="T19" t="s">
        <v>215</v>
      </c>
      <c r="U19" s="185">
        <f t="shared" si="0"/>
        <v>3187.5</v>
      </c>
    </row>
    <row r="20" spans="1:21" x14ac:dyDescent="0.35">
      <c r="A20" s="140">
        <v>19</v>
      </c>
      <c r="B20" t="s">
        <v>210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211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200</v>
      </c>
    </row>
    <row r="21" spans="1:21" x14ac:dyDescent="0.35">
      <c r="A21" s="139">
        <v>20</v>
      </c>
      <c r="B21" s="119" t="s">
        <v>240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241</v>
      </c>
      <c r="Q21" s="2" t="s">
        <v>21</v>
      </c>
      <c r="R21" s="158">
        <v>12420</v>
      </c>
      <c r="S21" s="2" t="s">
        <v>38</v>
      </c>
      <c r="T21" t="s">
        <v>242</v>
      </c>
    </row>
    <row r="22" spans="1:21" x14ac:dyDescent="0.35">
      <c r="A22" s="139">
        <v>21</v>
      </c>
      <c r="B22" s="119" t="s">
        <v>262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238</v>
      </c>
      <c r="N22" s="179">
        <v>46705125490</v>
      </c>
      <c r="O22" s="2" t="s">
        <v>237</v>
      </c>
      <c r="Q22" s="2" t="s">
        <v>21</v>
      </c>
      <c r="R22" s="158">
        <v>5175</v>
      </c>
      <c r="S22" s="2" t="s">
        <v>38</v>
      </c>
      <c r="T22" t="s">
        <v>239</v>
      </c>
    </row>
    <row r="23" spans="1:21" x14ac:dyDescent="0.35">
      <c r="A23" s="140">
        <v>22</v>
      </c>
      <c r="B23" t="s">
        <v>235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236</v>
      </c>
    </row>
    <row r="24" spans="1:21" x14ac:dyDescent="0.35">
      <c r="A24" s="139">
        <v>23</v>
      </c>
      <c r="B24" t="s">
        <v>234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253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233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232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231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318</v>
      </c>
    </row>
    <row r="28" spans="1:21" x14ac:dyDescent="0.35">
      <c r="A28" s="139">
        <v>27</v>
      </c>
      <c r="B28" t="s">
        <v>229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439</v>
      </c>
      <c r="J28" s="203">
        <v>0.1</v>
      </c>
      <c r="K28" s="121">
        <v>1</v>
      </c>
      <c r="L28" s="121">
        <v>2</v>
      </c>
      <c r="M28" s="116" t="s">
        <v>230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440</v>
      </c>
    </row>
    <row r="29" spans="1:21" x14ac:dyDescent="0.35">
      <c r="A29" s="140">
        <v>28</v>
      </c>
      <c r="B29" t="s">
        <v>228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Q29" s="2" t="s">
        <v>21</v>
      </c>
      <c r="R29" s="125">
        <v>1900</v>
      </c>
      <c r="S29" s="2" t="s">
        <v>20</v>
      </c>
    </row>
    <row r="30" spans="1:21" x14ac:dyDescent="0.35">
      <c r="A30" s="139">
        <v>29</v>
      </c>
      <c r="B30" t="s">
        <v>245</v>
      </c>
      <c r="C30" s="24">
        <v>46177</v>
      </c>
      <c r="D30" s="24">
        <v>46179</v>
      </c>
      <c r="E30" s="24">
        <v>46023</v>
      </c>
      <c r="F30" t="s">
        <v>58</v>
      </c>
      <c r="G30" t="s">
        <v>265</v>
      </c>
      <c r="K30" s="121"/>
      <c r="L30" s="121"/>
      <c r="M30" s="116"/>
    </row>
    <row r="31" spans="1:21" x14ac:dyDescent="0.35">
      <c r="A31" s="139">
        <v>30</v>
      </c>
      <c r="B31" t="s">
        <v>243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244</v>
      </c>
    </row>
    <row r="32" spans="1:21" x14ac:dyDescent="0.35">
      <c r="A32" s="140">
        <v>31</v>
      </c>
      <c r="B32" t="s">
        <v>246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247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248</v>
      </c>
    </row>
    <row r="33" spans="1:20" x14ac:dyDescent="0.35">
      <c r="A33" s="139">
        <v>32</v>
      </c>
      <c r="B33" t="s">
        <v>261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260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259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362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255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256</v>
      </c>
      <c r="N36" s="179">
        <v>46733448215</v>
      </c>
      <c r="O36" s="2" t="s">
        <v>257</v>
      </c>
      <c r="Q36" s="2" t="s">
        <v>21</v>
      </c>
      <c r="R36" s="125">
        <v>4140</v>
      </c>
      <c r="S36" s="2" t="s">
        <v>38</v>
      </c>
      <c r="T36" t="s">
        <v>258</v>
      </c>
    </row>
    <row r="37" spans="1:20" x14ac:dyDescent="0.35">
      <c r="A37" s="139">
        <v>36</v>
      </c>
      <c r="B37" t="s">
        <v>254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252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253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251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x14ac:dyDescent="0.35">
      <c r="A40" s="2">
        <v>39</v>
      </c>
      <c r="B40" t="s">
        <v>250</v>
      </c>
      <c r="C40" s="24">
        <v>46216</v>
      </c>
      <c r="D40" s="24">
        <v>46220</v>
      </c>
      <c r="E40" s="24">
        <v>46032</v>
      </c>
      <c r="G40" t="s">
        <v>265</v>
      </c>
    </row>
    <row r="41" spans="1:20" x14ac:dyDescent="0.35">
      <c r="A41" s="2">
        <v>40</v>
      </c>
      <c r="B41" t="s">
        <v>249</v>
      </c>
      <c r="C41" s="24">
        <v>46164</v>
      </c>
      <c r="D41" s="24">
        <v>46167</v>
      </c>
      <c r="E41" s="24">
        <v>46033</v>
      </c>
      <c r="F41" t="s">
        <v>53</v>
      </c>
      <c r="G41" t="s">
        <v>265</v>
      </c>
      <c r="M41" s="116"/>
    </row>
    <row r="42" spans="1:20" x14ac:dyDescent="0.35">
      <c r="A42" s="2">
        <v>41</v>
      </c>
      <c r="B42" t="s">
        <v>264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263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281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253</v>
      </c>
      <c r="I44" s="2" t="s">
        <v>284</v>
      </c>
      <c r="K44">
        <v>1</v>
      </c>
      <c r="L44">
        <v>2</v>
      </c>
      <c r="M44" s="116" t="s">
        <v>283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282</v>
      </c>
    </row>
    <row r="45" spans="1:20" x14ac:dyDescent="0.35">
      <c r="A45" s="2">
        <v>44</v>
      </c>
      <c r="B45" t="s">
        <v>280</v>
      </c>
      <c r="C45" s="24">
        <v>46222</v>
      </c>
      <c r="D45" s="24">
        <v>46227</v>
      </c>
      <c r="E45" s="24">
        <v>46037</v>
      </c>
      <c r="F45" t="s">
        <v>287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279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276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253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278</v>
      </c>
      <c r="T47" t="s">
        <v>277</v>
      </c>
    </row>
    <row r="48" spans="1:20" x14ac:dyDescent="0.35">
      <c r="A48" s="2">
        <v>47</v>
      </c>
      <c r="B48" t="s">
        <v>212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213</v>
      </c>
      <c r="N48" s="179">
        <v>4531909358</v>
      </c>
      <c r="O48" s="181" t="s">
        <v>274</v>
      </c>
      <c r="Q48" s="2" t="s">
        <v>21</v>
      </c>
      <c r="S48" s="2" t="s">
        <v>21</v>
      </c>
      <c r="T48" t="s">
        <v>275</v>
      </c>
    </row>
    <row r="49" spans="1:20" x14ac:dyDescent="0.35">
      <c r="A49" s="2">
        <v>48</v>
      </c>
      <c r="B49" t="s">
        <v>273</v>
      </c>
      <c r="C49" s="24">
        <v>46156</v>
      </c>
      <c r="D49" s="24">
        <v>46159</v>
      </c>
      <c r="E49" s="24">
        <v>46040</v>
      </c>
      <c r="F49" t="s">
        <v>53</v>
      </c>
      <c r="G49" t="s">
        <v>265</v>
      </c>
      <c r="M49" s="116"/>
    </row>
    <row r="50" spans="1:20" x14ac:dyDescent="0.35">
      <c r="A50" s="2">
        <v>49</v>
      </c>
      <c r="B50" t="s">
        <v>272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271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268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270</v>
      </c>
      <c r="N52" s="179">
        <v>4540474386</v>
      </c>
      <c r="O52" s="181" t="s">
        <v>269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286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441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285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370</v>
      </c>
      <c r="I54" s="2" t="s">
        <v>156</v>
      </c>
      <c r="K54">
        <v>1</v>
      </c>
      <c r="L54">
        <v>2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300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375</v>
      </c>
      <c r="I55" s="2" t="s">
        <v>437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309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298</v>
      </c>
    </row>
    <row r="58" spans="1:20" x14ac:dyDescent="0.35">
      <c r="A58" s="2">
        <v>57</v>
      </c>
      <c r="B58" t="s">
        <v>293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294</v>
      </c>
      <c r="Q58" s="2" t="s">
        <v>20</v>
      </c>
      <c r="R58" s="158">
        <v>6450</v>
      </c>
      <c r="S58" s="2" t="s">
        <v>38</v>
      </c>
      <c r="T58" t="s">
        <v>295</v>
      </c>
    </row>
    <row r="59" spans="1:20" x14ac:dyDescent="0.35">
      <c r="A59" s="2">
        <v>58</v>
      </c>
      <c r="B59" t="s">
        <v>291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292</v>
      </c>
    </row>
    <row r="60" spans="1:20" x14ac:dyDescent="0.35">
      <c r="A60" s="2">
        <v>59</v>
      </c>
      <c r="B60" t="s">
        <v>301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302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307</v>
      </c>
      <c r="I62" s="2" t="s">
        <v>297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297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317</v>
      </c>
    </row>
    <row r="64" spans="1:20" x14ac:dyDescent="0.35">
      <c r="A64" s="2">
        <v>63</v>
      </c>
      <c r="B64" t="s">
        <v>303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3">
        <v>0.05</v>
      </c>
      <c r="K64">
        <v>1</v>
      </c>
      <c r="L64">
        <v>2</v>
      </c>
      <c r="M64" s="116" t="s">
        <v>304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310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313</v>
      </c>
      <c r="N67" s="150">
        <v>4521261488</v>
      </c>
      <c r="O67" s="2" t="s">
        <v>180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253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442</v>
      </c>
      <c r="I69" s="2" t="s">
        <v>159</v>
      </c>
      <c r="K69">
        <v>1</v>
      </c>
      <c r="L69">
        <v>1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324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325</v>
      </c>
    </row>
    <row r="72" spans="1:20" x14ac:dyDescent="0.35">
      <c r="A72" s="2">
        <v>71</v>
      </c>
      <c r="B72" t="s">
        <v>326</v>
      </c>
      <c r="C72" s="24">
        <v>46260</v>
      </c>
      <c r="D72" s="24">
        <v>46264</v>
      </c>
      <c r="E72" s="24">
        <v>46057</v>
      </c>
      <c r="F72" t="s">
        <v>31</v>
      </c>
      <c r="G72" t="s">
        <v>265</v>
      </c>
      <c r="I72" s="2" t="s">
        <v>159</v>
      </c>
    </row>
    <row r="73" spans="1:20" x14ac:dyDescent="0.35">
      <c r="A73" s="2">
        <v>72</v>
      </c>
      <c r="B73" t="s">
        <v>320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253</v>
      </c>
      <c r="K73">
        <v>1</v>
      </c>
      <c r="L73">
        <v>2</v>
      </c>
      <c r="M73" s="159" t="s">
        <v>321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322</v>
      </c>
    </row>
    <row r="74" spans="1:20" x14ac:dyDescent="0.35">
      <c r="A74" s="2">
        <v>73</v>
      </c>
      <c r="B74" t="s">
        <v>319</v>
      </c>
      <c r="C74" s="24">
        <v>46143</v>
      </c>
      <c r="D74" s="24">
        <v>46145</v>
      </c>
      <c r="E74" s="24">
        <v>46061</v>
      </c>
      <c r="F74" t="s">
        <v>53</v>
      </c>
      <c r="G74" t="s">
        <v>265</v>
      </c>
    </row>
    <row r="75" spans="1:20" x14ac:dyDescent="0.35">
      <c r="A75" s="2">
        <v>74</v>
      </c>
      <c r="B75" t="s">
        <v>329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330</v>
      </c>
      <c r="Q75" s="2" t="s">
        <v>21</v>
      </c>
      <c r="R75" s="158">
        <v>8460</v>
      </c>
      <c r="S75" s="2" t="s">
        <v>21</v>
      </c>
      <c r="T75" t="s">
        <v>331</v>
      </c>
    </row>
    <row r="76" spans="1:20" x14ac:dyDescent="0.35">
      <c r="A76" s="2">
        <v>75</v>
      </c>
      <c r="B76" t="s">
        <v>328</v>
      </c>
      <c r="C76" s="24">
        <v>46276</v>
      </c>
      <c r="D76" s="24">
        <v>46279</v>
      </c>
      <c r="E76" s="24">
        <v>46067</v>
      </c>
      <c r="F76" t="s">
        <v>53</v>
      </c>
      <c r="G76" t="s">
        <v>265</v>
      </c>
      <c r="R76" s="158"/>
    </row>
    <row r="77" spans="1:20" x14ac:dyDescent="0.35">
      <c r="A77" s="2">
        <v>76</v>
      </c>
      <c r="B77" t="s">
        <v>327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333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334</v>
      </c>
    </row>
    <row r="79" spans="1:20" x14ac:dyDescent="0.35">
      <c r="A79" s="2">
        <v>78</v>
      </c>
      <c r="B79" t="s">
        <v>342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340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341</v>
      </c>
    </row>
    <row r="81" spans="1:20" x14ac:dyDescent="0.35">
      <c r="A81" s="2">
        <v>80</v>
      </c>
      <c r="B81" t="s">
        <v>337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338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339</v>
      </c>
    </row>
    <row r="82" spans="1:20" x14ac:dyDescent="0.35">
      <c r="A82" s="2">
        <v>81</v>
      </c>
      <c r="B82" t="s">
        <v>343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x14ac:dyDescent="0.35">
      <c r="A83" s="2">
        <v>82</v>
      </c>
      <c r="B83" s="183" t="s">
        <v>344</v>
      </c>
      <c r="C83" s="24">
        <v>46143</v>
      </c>
      <c r="D83" s="24">
        <v>46145</v>
      </c>
      <c r="E83" s="24">
        <v>46075</v>
      </c>
      <c r="F83" t="s">
        <v>53</v>
      </c>
      <c r="G83" t="s">
        <v>265</v>
      </c>
      <c r="R83" s="158"/>
    </row>
    <row r="84" spans="1:20" x14ac:dyDescent="0.35">
      <c r="A84" s="2">
        <v>83</v>
      </c>
      <c r="B84" s="186" t="s">
        <v>345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357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358</v>
      </c>
      <c r="N85" s="150">
        <v>4526251564</v>
      </c>
      <c r="O85" s="2" t="s">
        <v>359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356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353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354</v>
      </c>
      <c r="O87" s="2" t="s">
        <v>355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360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x14ac:dyDescent="0.35">
      <c r="A89" s="2">
        <v>88</v>
      </c>
      <c r="B89" t="s">
        <v>367</v>
      </c>
      <c r="C89" s="24">
        <v>46188</v>
      </c>
      <c r="D89" s="24">
        <v>46191</v>
      </c>
      <c r="E89" s="24">
        <v>46089</v>
      </c>
      <c r="F89" t="s">
        <v>31</v>
      </c>
      <c r="G89" t="s">
        <v>265</v>
      </c>
    </row>
    <row r="90" spans="1:20" x14ac:dyDescent="0.35">
      <c r="A90" s="2">
        <v>89</v>
      </c>
      <c r="B90" t="s">
        <v>363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159</v>
      </c>
      <c r="J90" s="203">
        <v>0.05</v>
      </c>
      <c r="K90">
        <v>2</v>
      </c>
      <c r="L90">
        <v>3</v>
      </c>
      <c r="M90" s="116" t="s">
        <v>364</v>
      </c>
      <c r="N90">
        <v>4540528447</v>
      </c>
      <c r="O90"/>
      <c r="P90" s="2" t="s">
        <v>366</v>
      </c>
      <c r="Q90" s="2" t="s">
        <v>21</v>
      </c>
      <c r="R90" s="125">
        <f>2185+1805</f>
        <v>3990</v>
      </c>
      <c r="S90" s="2" t="s">
        <v>20</v>
      </c>
      <c r="T90" t="s">
        <v>365</v>
      </c>
    </row>
    <row r="91" spans="1:20" x14ac:dyDescent="0.35">
      <c r="A91" s="2">
        <v>90</v>
      </c>
      <c r="B91" t="s">
        <v>361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362</v>
      </c>
      <c r="I91" t="s">
        <v>156</v>
      </c>
      <c r="J91" s="203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368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3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369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370</v>
      </c>
      <c r="I93" t="s">
        <v>159</v>
      </c>
      <c r="J93" s="203">
        <v>0.1</v>
      </c>
      <c r="K93">
        <v>1</v>
      </c>
      <c r="L93">
        <v>2</v>
      </c>
      <c r="M93" s="116" t="s">
        <v>371</v>
      </c>
      <c r="N93"/>
      <c r="O93" t="s">
        <v>372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373</v>
      </c>
    </row>
    <row r="94" spans="1:20" x14ac:dyDescent="0.35">
      <c r="A94" s="2">
        <v>93</v>
      </c>
      <c r="B94" t="s">
        <v>374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375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376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377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3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378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379</v>
      </c>
      <c r="I97" t="s">
        <v>156</v>
      </c>
      <c r="J97" s="203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380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3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x14ac:dyDescent="0.35">
      <c r="A99" s="2">
        <v>98</v>
      </c>
      <c r="B99" t="s">
        <v>381</v>
      </c>
      <c r="C99" s="24">
        <v>46207</v>
      </c>
      <c r="D99" s="24">
        <v>46210</v>
      </c>
      <c r="E99" s="24">
        <v>46103</v>
      </c>
      <c r="F99" t="s">
        <v>53</v>
      </c>
      <c r="G99" t="s">
        <v>265</v>
      </c>
      <c r="H99"/>
      <c r="I99"/>
      <c r="J99" s="203">
        <v>0</v>
      </c>
      <c r="N99"/>
      <c r="O99"/>
    </row>
    <row r="100" spans="1:20" x14ac:dyDescent="0.35">
      <c r="A100" s="2">
        <v>99</v>
      </c>
      <c r="B100" t="s">
        <v>382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3">
        <v>0.1</v>
      </c>
      <c r="K100">
        <v>1</v>
      </c>
      <c r="L100">
        <v>2</v>
      </c>
      <c r="M100" s="116" t="s">
        <v>383</v>
      </c>
      <c r="N100" t="s">
        <v>384</v>
      </c>
      <c r="O100" t="s">
        <v>385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386</v>
      </c>
    </row>
    <row r="101" spans="1:20" x14ac:dyDescent="0.35">
      <c r="A101" s="2">
        <v>100</v>
      </c>
      <c r="B101" t="s">
        <v>387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388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x14ac:dyDescent="0.35">
      <c r="A103" s="2">
        <v>102</v>
      </c>
      <c r="B103" t="s">
        <v>389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265</v>
      </c>
      <c r="H103"/>
      <c r="I103"/>
      <c r="N103"/>
      <c r="O103"/>
    </row>
    <row r="104" spans="1:20" x14ac:dyDescent="0.35">
      <c r="A104" s="2">
        <v>103</v>
      </c>
      <c r="B104" t="s">
        <v>390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159</v>
      </c>
      <c r="J104" s="203">
        <v>0.1</v>
      </c>
      <c r="K104">
        <v>1</v>
      </c>
      <c r="L104">
        <v>2</v>
      </c>
      <c r="M104" s="116" t="s">
        <v>391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392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398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397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394</v>
      </c>
      <c r="C108" s="198">
        <v>46160</v>
      </c>
      <c r="D108" s="198">
        <v>46164</v>
      </c>
      <c r="E108" s="198">
        <v>46109</v>
      </c>
      <c r="F108" t="s">
        <v>395</v>
      </c>
      <c r="G108" t="s">
        <v>6</v>
      </c>
      <c r="H108"/>
      <c r="I108"/>
      <c r="J108" s="203">
        <v>0.05</v>
      </c>
      <c r="K108">
        <v>1</v>
      </c>
      <c r="L108">
        <v>2</v>
      </c>
      <c r="M108" t="s">
        <v>396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431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H109"/>
      <c r="I109"/>
      <c r="J109" s="211">
        <v>0.05</v>
      </c>
      <c r="K109">
        <v>1</v>
      </c>
      <c r="L109">
        <v>2</v>
      </c>
      <c r="M109" t="s">
        <v>432</v>
      </c>
      <c r="N109"/>
      <c r="O109" t="s">
        <v>433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435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H110"/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436</v>
      </c>
      <c r="C111" s="198">
        <v>46143</v>
      </c>
      <c r="D111" s="198">
        <v>46145</v>
      </c>
      <c r="E111" s="198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x14ac:dyDescent="0.35">
      <c r="A112" s="2">
        <v>111</v>
      </c>
      <c r="B112" t="s">
        <v>443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265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444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H113"/>
      <c r="I113" t="s">
        <v>445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446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447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H115"/>
      <c r="I115"/>
      <c r="J115" s="211">
        <v>0.1</v>
      </c>
      <c r="K115">
        <v>1</v>
      </c>
      <c r="L115">
        <v>2</v>
      </c>
      <c r="N115" t="s">
        <v>448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449</v>
      </c>
    </row>
    <row r="116" spans="1:20" x14ac:dyDescent="0.35">
      <c r="A116" s="2">
        <v>115</v>
      </c>
      <c r="B116" t="s">
        <v>450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H116"/>
      <c r="I116"/>
      <c r="J116" s="211">
        <v>0.1</v>
      </c>
      <c r="K116">
        <v>1</v>
      </c>
      <c r="L116">
        <v>2</v>
      </c>
      <c r="M116" t="s">
        <v>451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452</v>
      </c>
    </row>
    <row r="117" spans="1:20" x14ac:dyDescent="0.35">
      <c r="A117" s="2">
        <v>116</v>
      </c>
      <c r="B117" t="s">
        <v>455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453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454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457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t="s">
        <v>442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458</v>
      </c>
      <c r="C120" s="198">
        <v>46179</v>
      </c>
      <c r="D120" s="198">
        <v>46182</v>
      </c>
      <c r="E120" s="198">
        <v>46135</v>
      </c>
      <c r="F120" t="s">
        <v>459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462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H121"/>
      <c r="I121" t="s">
        <v>297</v>
      </c>
      <c r="J121" s="211">
        <v>0.1</v>
      </c>
      <c r="K121">
        <v>1</v>
      </c>
      <c r="L121">
        <v>2</v>
      </c>
      <c r="M121" t="s">
        <v>463</v>
      </c>
      <c r="N121" t="s">
        <v>464</v>
      </c>
      <c r="O121" t="s">
        <v>465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466</v>
      </c>
    </row>
    <row r="122" spans="1:20" x14ac:dyDescent="0.35">
      <c r="A122" s="2">
        <v>121</v>
      </c>
      <c r="B122" t="s">
        <v>467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H122"/>
      <c r="I122"/>
      <c r="J122" s="211">
        <v>0.05</v>
      </c>
      <c r="K122">
        <v>1</v>
      </c>
      <c r="L122">
        <v>2</v>
      </c>
      <c r="M122" t="s">
        <v>468</v>
      </c>
      <c r="N122" t="s">
        <v>469</v>
      </c>
      <c r="O122" t="s">
        <v>470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471</v>
      </c>
    </row>
    <row r="123" spans="1:20" x14ac:dyDescent="0.35">
      <c r="A123" s="2">
        <v>122</v>
      </c>
      <c r="B123" t="s">
        <v>472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H123"/>
      <c r="I123"/>
      <c r="J123" s="211">
        <v>0.05</v>
      </c>
      <c r="K123">
        <v>1</v>
      </c>
      <c r="L123">
        <v>2</v>
      </c>
      <c r="M123" t="s">
        <v>473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482</v>
      </c>
      <c r="C124" s="198">
        <v>46262</v>
      </c>
      <c r="D124" s="198">
        <v>46269</v>
      </c>
      <c r="E124" s="198">
        <v>46145</v>
      </c>
      <c r="G124" t="s">
        <v>6</v>
      </c>
      <c r="H124"/>
      <c r="I124"/>
      <c r="J124" s="211">
        <v>0.1</v>
      </c>
      <c r="K124">
        <v>1</v>
      </c>
      <c r="L124">
        <v>2</v>
      </c>
      <c r="M124" t="s">
        <v>483</v>
      </c>
      <c r="N124" t="s">
        <v>484</v>
      </c>
      <c r="O124" t="s">
        <v>485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486</v>
      </c>
    </row>
    <row r="125" spans="1:20" x14ac:dyDescent="0.35">
      <c r="A125" s="2">
        <v>124</v>
      </c>
      <c r="B125" t="s">
        <v>487</v>
      </c>
      <c r="C125" s="198">
        <v>46286</v>
      </c>
      <c r="D125" s="198">
        <v>46291</v>
      </c>
      <c r="E125" s="198">
        <v>46146</v>
      </c>
      <c r="G125" t="s">
        <v>35</v>
      </c>
      <c r="H125"/>
      <c r="I125"/>
      <c r="J125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488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/>
      <c r="I126"/>
      <c r="J126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workbookViewId="0">
      <pane ySplit="1" topLeftCell="A45" activePane="bottomLeft" state="frozen"/>
      <selection pane="bottomLeft" activeCell="BV203" sqref="BV203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287</v>
      </c>
      <c r="BU1" s="2" t="str">
        <f>BT1</f>
        <v>CZ</v>
      </c>
      <c r="BV1" s="174" t="s">
        <v>459</v>
      </c>
      <c r="BW1" s="174" t="s">
        <v>459</v>
      </c>
      <c r="BX1" s="134" t="s">
        <v>290</v>
      </c>
      <c r="BY1" s="134" t="s">
        <v>290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171</v>
      </c>
      <c r="BC196" s="34">
        <f t="shared" si="167"/>
        <v>703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7</v>
      </c>
      <c r="BM196" s="34">
        <f t="shared" si="167"/>
        <v>35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6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516</v>
      </c>
      <c r="AC198">
        <f t="shared" si="168"/>
        <v>525</v>
      </c>
      <c r="AD198">
        <f t="shared" si="168"/>
        <v>532</v>
      </c>
      <c r="AE198">
        <f t="shared" si="168"/>
        <v>532</v>
      </c>
      <c r="AF198">
        <f t="shared" si="168"/>
        <v>532</v>
      </c>
      <c r="AG198">
        <f t="shared" si="168"/>
        <v>532</v>
      </c>
      <c r="AH198">
        <f t="shared" si="168"/>
        <v>532</v>
      </c>
      <c r="AI198">
        <f t="shared" si="168"/>
        <v>532</v>
      </c>
      <c r="AJ198">
        <f t="shared" si="168"/>
        <v>532</v>
      </c>
      <c r="AK198">
        <f t="shared" si="168"/>
        <v>532</v>
      </c>
      <c r="AL198">
        <f t="shared" si="168"/>
        <v>532</v>
      </c>
      <c r="AM198">
        <f t="shared" si="168"/>
        <v>532</v>
      </c>
      <c r="AN198">
        <f t="shared" si="168"/>
        <v>532</v>
      </c>
      <c r="AO198">
        <f t="shared" si="168"/>
        <v>532</v>
      </c>
      <c r="AP198">
        <f t="shared" si="168"/>
        <v>532</v>
      </c>
      <c r="AQ198">
        <f t="shared" si="168"/>
        <v>532</v>
      </c>
      <c r="AR198">
        <f t="shared" si="168"/>
        <v>532</v>
      </c>
      <c r="AS198">
        <f t="shared" si="168"/>
        <v>532</v>
      </c>
      <c r="AT198">
        <f t="shared" si="168"/>
        <v>532</v>
      </c>
      <c r="AU198">
        <f t="shared" si="168"/>
        <v>532</v>
      </c>
      <c r="AV198">
        <f t="shared" si="168"/>
        <v>532</v>
      </c>
      <c r="AW198">
        <f t="shared" si="168"/>
        <v>532</v>
      </c>
      <c r="AX198">
        <f t="shared" si="168"/>
        <v>532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E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516</v>
      </c>
      <c r="AC200">
        <f t="shared" si="169"/>
        <v>525</v>
      </c>
      <c r="AD200">
        <f t="shared" si="169"/>
        <v>532</v>
      </c>
      <c r="AE200">
        <f t="shared" si="169"/>
        <v>532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171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7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2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703</v>
      </c>
      <c r="BE203" s="40">
        <f>BE196</f>
        <v>67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35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6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287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171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7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2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703</v>
      </c>
      <c r="C31" s="34">
        <f>'book stat'!BE203</f>
        <v>67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35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6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9" activePane="bottomLeft" state="frozen"/>
      <selection pane="bottomLeft" activeCell="T20" sqref="T2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2">
        <f>SUM(AA2:AA171)</f>
        <v>552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335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336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288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223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288</v>
      </c>
      <c r="L20" s="14">
        <v>95</v>
      </c>
      <c r="M20" s="8">
        <v>95</v>
      </c>
      <c r="N20" s="20">
        <v>2</v>
      </c>
      <c r="O20" s="20" t="s">
        <v>288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288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393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224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225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>
        <v>128</v>
      </c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>
        <v>128</v>
      </c>
      <c r="Q33" s="114">
        <v>128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2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14">
        <v>128</v>
      </c>
      <c r="Q34" s="114">
        <v>128</v>
      </c>
      <c r="R34" s="114"/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2</v>
      </c>
      <c r="AA34" s="133">
        <f t="shared" si="3"/>
        <v>4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434</v>
      </c>
      <c r="B35" s="6" t="s">
        <v>127</v>
      </c>
      <c r="C35" s="7">
        <v>46172</v>
      </c>
      <c r="D35" s="8"/>
      <c r="E35" s="8"/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14">
        <v>128</v>
      </c>
      <c r="Q35" s="114">
        <v>128</v>
      </c>
      <c r="R35" s="114"/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6</v>
      </c>
      <c r="AA35" s="133">
        <f t="shared" si="3"/>
        <v>4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14">
        <v>128</v>
      </c>
      <c r="Q36" s="114"/>
      <c r="R36" s="114"/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6</v>
      </c>
      <c r="AA36" s="133">
        <f t="shared" si="3"/>
        <v>3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14"/>
      <c r="Q37" s="114"/>
      <c r="R37" s="114"/>
      <c r="S37" s="117"/>
      <c r="T37" s="114"/>
      <c r="U37" s="114"/>
      <c r="V37" s="20"/>
      <c r="W37" s="20"/>
      <c r="X37" s="22"/>
      <c r="Y37" s="22"/>
      <c r="Z37" s="138">
        <f t="shared" si="2"/>
        <v>4</v>
      </c>
      <c r="AA37" s="133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481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456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489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267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226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288</v>
      </c>
      <c r="P58" s="8">
        <v>130</v>
      </c>
      <c r="Q58" s="114">
        <v>130</v>
      </c>
      <c r="R58" s="117"/>
      <c r="S58" s="117" t="s">
        <v>288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7"/>
      <c r="G61" s="136"/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>
        <v>64</v>
      </c>
      <c r="R61" s="117">
        <v>2</v>
      </c>
      <c r="S61" s="20" t="s">
        <v>159</v>
      </c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7"/>
      <c r="G62" s="136"/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226</v>
      </c>
      <c r="P62" s="8">
        <v>64</v>
      </c>
      <c r="Q62" s="8">
        <v>64</v>
      </c>
      <c r="R62" s="20"/>
      <c r="S62" s="20" t="s">
        <v>288</v>
      </c>
      <c r="T62" s="114"/>
      <c r="U62" s="114"/>
      <c r="V62" s="20"/>
      <c r="W62" s="20"/>
      <c r="X62" s="22"/>
      <c r="Y62" s="22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7"/>
      <c r="G63" s="136" t="s">
        <v>157</v>
      </c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4"/>
      <c r="U63" s="156">
        <v>77</v>
      </c>
      <c r="V63" s="20"/>
      <c r="W63" s="20" t="s">
        <v>23</v>
      </c>
      <c r="X63" s="22"/>
      <c r="Y63" s="22"/>
      <c r="Z63" s="138">
        <f t="shared" si="2"/>
        <v>4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7"/>
      <c r="G64" s="136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4"/>
      <c r="R64" s="20"/>
      <c r="S64" s="20"/>
      <c r="T64" s="156">
        <v>77</v>
      </c>
      <c r="U64" s="156">
        <v>77</v>
      </c>
      <c r="V64" s="20">
        <v>2</v>
      </c>
      <c r="W64" s="20"/>
      <c r="X64" s="22"/>
      <c r="Y64" s="22"/>
      <c r="Z64" s="138">
        <f t="shared" si="2"/>
        <v>6</v>
      </c>
      <c r="AA64" s="133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7"/>
      <c r="G65" s="136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/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22"/>
      <c r="Y65" s="22"/>
      <c r="Z65" s="138">
        <f t="shared" si="2"/>
        <v>6</v>
      </c>
      <c r="AA65" s="133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227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8"/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226</v>
      </c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22"/>
      <c r="Y85" s="22"/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22"/>
      <c r="Y86" s="22"/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22"/>
      <c r="Y87" s="22"/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114"/>
      <c r="Y88" s="114"/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14"/>
      <c r="Y89" s="114"/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14"/>
      <c r="Y90" s="114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289</v>
      </c>
      <c r="P93" s="142">
        <v>58</v>
      </c>
      <c r="Q93" s="142">
        <v>58</v>
      </c>
      <c r="R93" s="117">
        <v>1</v>
      </c>
      <c r="S93" s="117" t="s">
        <v>289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288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22"/>
      <c r="Y99" s="22"/>
      <c r="Z99" s="138">
        <f t="shared" si="6"/>
        <v>2</v>
      </c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22"/>
      <c r="Y100" s="22"/>
      <c r="Z100" s="138">
        <f t="shared" si="6"/>
        <v>3</v>
      </c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22"/>
      <c r="Y101" s="22"/>
      <c r="Z101" s="138">
        <f t="shared" si="6"/>
        <v>5</v>
      </c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22"/>
      <c r="Y102" s="22"/>
      <c r="Z102" s="138">
        <f t="shared" si="6"/>
        <v>5</v>
      </c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22"/>
      <c r="Y103" s="22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267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267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266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267</v>
      </c>
      <c r="X115" s="22"/>
      <c r="Y115" s="22"/>
      <c r="Z115" s="138">
        <f t="shared" si="6"/>
        <v>8</v>
      </c>
      <c r="AA115" s="133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226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460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461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227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226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2</v>
      </c>
      <c r="AA138" s="133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/>
      <c r="M139" s="8"/>
      <c r="N139" s="20"/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2</v>
      </c>
      <c r="AA139" s="133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/>
      <c r="M140" s="156">
        <v>103</v>
      </c>
      <c r="N140" s="20"/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5</v>
      </c>
      <c r="AA140" s="133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8"/>
      <c r="U146" s="141">
        <v>3</v>
      </c>
      <c r="V146" s="20"/>
      <c r="W146" s="20"/>
      <c r="X146" s="22"/>
      <c r="Y146" s="22"/>
      <c r="Z146" s="138">
        <f t="shared" si="11"/>
        <v>4</v>
      </c>
      <c r="AA146" s="133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41">
        <v>3</v>
      </c>
      <c r="U147" s="141">
        <v>3</v>
      </c>
      <c r="V147" s="20">
        <v>2</v>
      </c>
      <c r="W147" s="20"/>
      <c r="X147" s="22"/>
      <c r="Y147" s="22"/>
      <c r="Z147" s="138">
        <f t="shared" si="11"/>
        <v>6</v>
      </c>
      <c r="AA147" s="133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41">
        <v>3</v>
      </c>
      <c r="U148" s="8"/>
      <c r="V148" s="20">
        <v>2</v>
      </c>
      <c r="W148" s="20"/>
      <c r="X148" s="22"/>
      <c r="Y148" s="22"/>
      <c r="Z148" s="138">
        <f t="shared" si="11"/>
        <v>4</v>
      </c>
      <c r="AA148" s="133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226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T35 V34:Y36 T34:U34 T36:U36 D116:N123 O2:Y32 J2:N18 N99:N107 D99:M115 D92:Y98 O99:Y123 I11:I18 D16:H33 I19:N33 D124:Y171 D36:H52 I36:N57 D34:N35 Q34:S36 O33:P36 Q33:Y33 O37:Y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475</v>
      </c>
      <c r="D1" s="56" t="s">
        <v>130</v>
      </c>
      <c r="E1" s="57" t="s">
        <v>476</v>
      </c>
      <c r="F1" s="56" t="s">
        <v>132</v>
      </c>
      <c r="G1" s="57" t="s">
        <v>477</v>
      </c>
      <c r="H1" s="56" t="s">
        <v>133</v>
      </c>
      <c r="I1" s="57" t="s">
        <v>478</v>
      </c>
      <c r="J1" s="56" t="s">
        <v>134</v>
      </c>
      <c r="K1" s="57" t="s">
        <v>479</v>
      </c>
      <c r="L1" s="56" t="s">
        <v>135</v>
      </c>
      <c r="M1" s="57" t="s">
        <v>480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DK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-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-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-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udc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-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-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-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-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-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IFERROR(IF(AND(booking!AB61&gt;0,booking!P61&lt;&gt;booking!Q61),VLOOKUP(booking!Q61,Database!$A$1:'Database'!$L$175,6,FALSE),"-"),"-")</f>
        <v>S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D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-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-</v>
      </c>
      <c r="E64" s="49" t="str">
        <f>IFERROR(IF(AND(booking!AB64&gt;0,booking!D64&lt;&gt;booking!E64),VLOOKUP(booking!E64,Database!$A$1:'Database'!$L$175,6,FALSE),"-"),"-")</f>
        <v>-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udc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udc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-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-</v>
      </c>
      <c r="D68" s="53" t="str">
        <f>IF(AND(booking!D68&lt;&gt;booking!E68,booking!D68&gt;0),"udc","-")</f>
        <v>-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-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-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-</v>
      </c>
      <c r="I83" s="49" t="str">
        <f>IFERROR(IF(AND(booking!AB83&gt;0,booking!L83&lt;&gt;booking!M83),VLOOKUP(booking!M83,Database!$A$1:'Database'!$L$175,6,FALSE),"-"),"-")</f>
        <v>-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-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CH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CZ</v>
      </c>
      <c r="H85" s="53" t="str">
        <f>IF(AND(booking!L85&lt;&gt;booking!M85,booking!L85&gt;0),"udc","-")</f>
        <v>-</v>
      </c>
      <c r="I85" s="49" t="str">
        <f>IFERROR(IF(AND(booking!AB85&gt;0,booking!L85&lt;&gt;booking!M85),VLOOKUP(booking!M85,Database!$A$1:'Database'!$L$175,6,FALSE),"-"),"-")</f>
        <v>-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udc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-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-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udc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-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-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-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>
        <f>IFERROR(IF(AND(booking!AB125&gt;0,booking!P125&lt;&gt;booking!Q125),VLOOKUP(booking!Q125,Database!$A$1:'Database'!$L$175,6,FALSE),"-"),"-")</f>
        <v>0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-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-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-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-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-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DK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udc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>
        <f>IFERROR(IF(AND(booking!AB149&gt;0,booking!T149&lt;&gt;booking!U149),VLOOKUP(booking!U149,Database!$A$1:'Database'!$L$175,6,FALSE),"-"),"-")</f>
        <v>0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399</v>
      </c>
      <c r="G1" s="207" t="s">
        <v>400</v>
      </c>
      <c r="H1" s="207" t="s">
        <v>401</v>
      </c>
      <c r="I1" s="204" t="s">
        <v>402</v>
      </c>
      <c r="J1" s="204" t="str">
        <f>rengoering!F1</f>
        <v>V2</v>
      </c>
      <c r="K1" s="207" t="s">
        <v>403</v>
      </c>
      <c r="L1" s="207" t="s">
        <v>404</v>
      </c>
      <c r="M1" s="207" t="s">
        <v>405</v>
      </c>
      <c r="N1" s="204" t="s">
        <v>406</v>
      </c>
      <c r="O1" s="204" t="str">
        <f>rengoering!H1</f>
        <v>V3</v>
      </c>
      <c r="P1" s="207" t="s">
        <v>407</v>
      </c>
      <c r="Q1" s="207" t="s">
        <v>408</v>
      </c>
      <c r="R1" s="207" t="s">
        <v>409</v>
      </c>
      <c r="S1" s="204" t="s">
        <v>410</v>
      </c>
      <c r="T1" s="208" t="str">
        <f>rengoering!J1</f>
        <v>V4</v>
      </c>
      <c r="U1" s="207" t="s">
        <v>411</v>
      </c>
      <c r="V1" s="207" t="s">
        <v>412</v>
      </c>
      <c r="W1" s="207" t="s">
        <v>413</v>
      </c>
      <c r="X1" s="204" t="s">
        <v>414</v>
      </c>
      <c r="Y1" s="204" t="str">
        <f>rengoering!L1</f>
        <v>V5</v>
      </c>
      <c r="Z1" s="207" t="s">
        <v>415</v>
      </c>
      <c r="AA1" s="207" t="s">
        <v>416</v>
      </c>
      <c r="AB1" s="207" t="s">
        <v>417</v>
      </c>
      <c r="AC1" s="204" t="s">
        <v>418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430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430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>
        <f>IFERROR(VLOOKUP(E6,Database!$A$2:$L$175,8,FALSE),"-")</f>
        <v>0</v>
      </c>
      <c r="G6" s="78" t="str">
        <f>IFERROR(VLOOKUP(E6,Database!$A$2:$L$175,6,FALSE),"-")</f>
        <v>DK</v>
      </c>
      <c r="H6" s="93">
        <f>IFERROR(VLOOKUP(E6,Database!$A$2:$L$175,9,FALSE),"-")</f>
        <v>0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DK</v>
      </c>
      <c r="M6" s="93">
        <f>IFERROR(VLOOKUP(J6,Database!$A$2:$L$175,9,FALSE),"-")</f>
        <v>0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1430</v>
      </c>
      <c r="V8" s="78" t="str">
        <f>IFERROR(VLOOKUP(T8,Database!$A$2:$L$175,6,FALSE),"-")</f>
        <v>DK</v>
      </c>
      <c r="W8" s="82">
        <f>IFERROR(VLOOKUP(T8,Database!$A$2:$L$175,9,FALSE),"-")</f>
        <v>0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>
        <f>IFERROR(VLOOKUP(Y16,Database!$A$2:$L$175,8,FALSE),"-")</f>
        <v>0</v>
      </c>
      <c r="AA16" s="79" t="str">
        <f>IFERROR(VLOOKUP(Y16,Database!$A$2:$L$175,6,FALSE),"-")</f>
        <v>S</v>
      </c>
      <c r="AB16" s="92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0</v>
      </c>
      <c r="V19" s="78" t="str">
        <f>IFERROR(VLOOKUP(T19,Database!$A$2:$L$175,6,FALSE),"-")</f>
        <v>DK</v>
      </c>
      <c r="W19" s="82">
        <f>IFERROR(VLOOKUP(T19,Database!$A$2:$L$175,9,FALSE),"-")</f>
        <v>0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8" t="str">
        <f>IFERROR(VLOOKUP(E32,Database!$A$2:$L$175,6,FALSE),"-")</f>
        <v>-</v>
      </c>
      <c r="H32" s="93" t="str">
        <f>IFERROR(VLOOKUP(E32,Database!$A$2:$L$175,9,FALSE),"-")</f>
        <v>-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>
        <f>IF(AND(D32="Y",booking!P32&lt;&gt;booking!Q32,booking!Q32&gt;0),booking!Q32,"-")</f>
        <v>128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-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 t="str">
        <f>IF(AND(D33="Y",booking!P33&lt;&gt;booking!Q33,booking!Q33&gt;0),booking!Q33,"-")</f>
        <v>-</v>
      </c>
      <c r="U33" s="78" t="str">
        <f>IFERROR(VLOOKUP(T33,Database!$A$2:$L$175,8,FALSE),"-")</f>
        <v>-</v>
      </c>
      <c r="V33" s="78" t="str">
        <f>IFERROR(VLOOKUP(T33,Database!$A$2:$L$175,6,FALSE),"-")</f>
        <v>-</v>
      </c>
      <c r="W33" s="82" t="str">
        <f>IFERROR(VLOOKUP(T33,Database!$A$2:$L$175,9,FALSE),"-")</f>
        <v>-</v>
      </c>
      <c r="X33" s="209" t="str">
        <f>IFERROR(VLOOKUP(T33,Database!$A$2:$S$175,19,FALSE),"-")</f>
        <v>-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0</v>
      </c>
      <c r="L34" s="78" t="str">
        <f>IFERROR(VLOOKUP(J34,Database!$A$2:$L$175,6,FALSE),"-")</f>
        <v>DK</v>
      </c>
      <c r="M34" s="93">
        <f>IFERROR(VLOOKUP(J34,Database!$A$2:$L$175,9,FALSE),"-")</f>
        <v>0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0</v>
      </c>
      <c r="AA42" s="79" t="str">
        <f>IFERROR(VLOOKUP(Y42,Database!$A$2:$L$175,6,FALSE),"-")</f>
        <v>it</v>
      </c>
      <c r="AB42" s="92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 t="str">
        <f>IFERROR(VLOOKUP(J51,Database!$A$2:$L$175,8,FALSE),"-")</f>
        <v>-</v>
      </c>
      <c r="L51" s="78" t="str">
        <f>IFERROR(VLOOKUP(J51,Database!$A$2:$L$175,6,FALSE),"-")</f>
        <v>-</v>
      </c>
      <c r="M51" s="93" t="str">
        <f>IFERROR(VLOOKUP(J51,Database!$A$2:$L$175,9,FALSE),"-")</f>
        <v>-</v>
      </c>
      <c r="N51" s="209" t="str">
        <f>IFERROR(VLOOKUP(J51,Database!$A$2:$S$175,19,FALSE),"-")</f>
        <v>-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>
        <f>IF(AND(D57="Y",booking!L57&lt;&gt;booking!M57,booking!M57&gt;0),booking!M57,"-")</f>
        <v>129</v>
      </c>
      <c r="P57" s="78" t="str">
        <f>IFERROR(VLOOKUP(O57,Database!$A$2:$L$175,8,FALSE),"-")</f>
        <v>-</v>
      </c>
      <c r="Q57" s="78" t="str">
        <f>IFERROR(VLOOKUP(O57,Database!$A$2:$L$175,6,FALSE),"-")</f>
        <v>-</v>
      </c>
      <c r="R57" s="82" t="str">
        <f>IFERROR(VLOOKUP(O57,Database!$A$2:$L$175,9,FALSE),"-")</f>
        <v>-</v>
      </c>
      <c r="S57" s="209" t="str">
        <f>IFERROR(VLOOKUP(O57,Database!$A$2:$S$175,19,FALSE),"-")</f>
        <v>-</v>
      </c>
      <c r="T57" s="97">
        <f>IF(AND(D57="Y",booking!P57&lt;&gt;booking!Q57,booking!Q57&gt;0),booking!Q57,"-")</f>
        <v>130</v>
      </c>
      <c r="U57" s="78" t="str">
        <f>IFERROR(VLOOKUP(T57,Database!$A$2:$L$175,8,FALSE),"-")</f>
        <v>-</v>
      </c>
      <c r="V57" s="78" t="str">
        <f>IFERROR(VLOOKUP(T57,Database!$A$2:$L$175,6,FALSE),"-")</f>
        <v>-</v>
      </c>
      <c r="W57" s="82" t="str">
        <f>IFERROR(VLOOKUP(T57,Database!$A$2:$L$175,9,FALSE),"-")</f>
        <v>-</v>
      </c>
      <c r="X57" s="209" t="str">
        <f>IFERROR(VLOOKUP(T57,Database!$A$2:$S$175,19,FALSE),"-")</f>
        <v>-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IFERROR(VLOOKUP(T58,Database!$A$2:$L$175,8,FALSE),"-")</f>
        <v>-</v>
      </c>
      <c r="V58" s="78" t="str">
        <f>IFERROR(VLOOKUP(T58,Database!$A$2:$L$175,6,FALSE),"-")</f>
        <v>-</v>
      </c>
      <c r="W58" s="82" t="str">
        <f>IFERROR(VLOOKUP(T58,Database!$A$2:$L$175,9,FALSE),"-")</f>
        <v>-</v>
      </c>
      <c r="X58" s="209" t="str">
        <f>IFERROR(VLOOKUP(T58,Database!$A$2:$S$175,19,FALSE),"-")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IFERROR(VLOOKUP(Y58,Database!$A$2:$L$175,8,FALSE),"-")</f>
        <v>1430</v>
      </c>
      <c r="AA58" s="79" t="str">
        <f>IFERROR(VLOOKUP(Y58,Database!$A$2:$L$175,6,FALSE),"-")</f>
        <v>DK</v>
      </c>
      <c r="AB58" s="92">
        <f>IFERROR(VLOOKUP(Y58,Database!$A$2:$L$175,9,FALSE),"-")</f>
        <v>0</v>
      </c>
      <c r="AC58" s="8" t="str">
        <f>IFERROR(VLOOKUP(Y58,Database!$A$2:$S$175,19,FALSE),"-")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8" t="str">
        <f>IFERROR(VLOOKUP(E61,Database!$A$2:$L$175,6,FALSE),"-")</f>
        <v>-</v>
      </c>
      <c r="H61" s="93" t="str">
        <f>IFERROR(VLOOKUP(E61,Database!$A$2:$L$175,9,FALSE),"-")</f>
        <v>-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>
        <f>IF(AND(D61="Y",booking!P61&lt;&gt;booking!Q61,booking!Q61&gt;0),booking!Q61,"-")</f>
        <v>64</v>
      </c>
      <c r="U61" s="78">
        <f>IFERROR(VLOOKUP(T61,Database!$A$2:$L$175,8,FALSE),"-")</f>
        <v>0</v>
      </c>
      <c r="V61" s="78" t="str">
        <f>IFERROR(VLOOKUP(T61,Database!$A$2:$L$175,6,FALSE),"-")</f>
        <v>S</v>
      </c>
      <c r="W61" s="82" t="str">
        <f>IFERROR(VLOOKUP(T61,Database!$A$2:$L$175,9,FALSE),"-")</f>
        <v>sing</v>
      </c>
      <c r="X61" s="209" t="str">
        <f>IFERROR(VLOOKUP(T61,Database!$A$2:$S$175,19,FALSE),"-")</f>
        <v>N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>
        <f>IF(AND(D62="Y",booking!D62&lt;&gt;booking!E62,booking!E62&gt;0),booking!E62,"-")</f>
        <v>87</v>
      </c>
      <c r="F62" s="8">
        <f>IFERROR(VLOOKUP(E62,Database!$A$2:$L$175,8,FALSE),"-")</f>
        <v>0</v>
      </c>
      <c r="G62" s="78" t="str">
        <f>IFERROR(VLOOKUP(E62,Database!$A$2:$L$175,6,FALSE),"-")</f>
        <v>D</v>
      </c>
      <c r="H62" s="93">
        <f>IFERROR(VLOOKUP(E62,Database!$A$2:$L$175,9,FALSE),"-")</f>
        <v>0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 t="str">
        <f>IF(AND(D62="Y",booking!P62&lt;&gt;booking!Q62,booking!Q62&gt;0),booking!Q62,"-")</f>
        <v>-</v>
      </c>
      <c r="U62" s="78" t="str">
        <f>IFERROR(VLOOKUP(T62,Database!$A$2:$L$175,8,FALSE),"-")</f>
        <v>-</v>
      </c>
      <c r="V62" s="78" t="str">
        <f>IFERROR(VLOOKUP(T62,Database!$A$2:$L$175,6,FALSE),"-")</f>
        <v>-</v>
      </c>
      <c r="W62" s="82" t="str">
        <f>IFERROR(VLOOKUP(T62,Database!$A$2:$L$175,9,FALSE),"-")</f>
        <v>-</v>
      </c>
      <c r="X62" s="209" t="str">
        <f>IFERROR(VLOOKUP(T62,Database!$A$2:$S$175,19,FALSE),"-")</f>
        <v>-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-</v>
      </c>
      <c r="E64" s="95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8" t="str">
        <f>IFERROR(VLOOKUP(E64,Database!$A$2:$L$175,6,FALSE),"-")</f>
        <v>-</v>
      </c>
      <c r="H64" s="93" t="str">
        <f>IFERROR(VLOOKUP(E64,Database!$A$2:$L$175,9,FALSE),"-")</f>
        <v>-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-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 t="str">
        <f>IF(AND(D82="Y",booking!L82&lt;&gt;booking!M82,booking!M82&gt;0),booking!M82,"-")</f>
        <v>-</v>
      </c>
      <c r="P82" s="78" t="str">
        <f>IFERROR(VLOOKUP(O82,Database!$A$2:$L$175,8,FALSE),"-")</f>
        <v>-</v>
      </c>
      <c r="Q82" s="78" t="str">
        <f>IFERROR(VLOOKUP(O82,Database!$A$2:$L$175,6,FALSE),"-")</f>
        <v>-</v>
      </c>
      <c r="R82" s="82" t="str">
        <f>IFERROR(VLOOKUP(O82,Database!$A$2:$L$175,9,FALSE),"-")</f>
        <v>-</v>
      </c>
      <c r="S82" s="209" t="str">
        <f>IFERROR(VLOOKUP(O82,Database!$A$2:$S$175,19,FALSE),"-")</f>
        <v>-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-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 t="str">
        <f>IF(AND(D83="Y",booking!L83&lt;&gt;booking!M83,booking!M83&gt;0),booking!M83,"-")</f>
        <v>-</v>
      </c>
      <c r="P83" s="78" t="str">
        <f>IFERROR(VLOOKUP(O83,Database!$A$2:$L$175,8,FALSE),"-")</f>
        <v>-</v>
      </c>
      <c r="Q83" s="78" t="str">
        <f>IFERROR(VLOOKUP(O83,Database!$A$2:$L$175,6,FALSE),"-")</f>
        <v>-</v>
      </c>
      <c r="R83" s="82" t="str">
        <f>IFERROR(VLOOKUP(O83,Database!$A$2:$L$175,9,FALSE),"-")</f>
        <v>-</v>
      </c>
      <c r="S83" s="209" t="str">
        <f>IFERROR(VLOOKUP(O83,Database!$A$2:$S$175,19,FALSE),"-")</f>
        <v>-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 t="str">
        <f>IF(AND(D84="Y",booking!H84&lt;&gt;booking!I84,booking!I84&gt;0),booking!I84,"-")</f>
        <v>-</v>
      </c>
      <c r="K84" s="78" t="str">
        <f>IFERROR(VLOOKUP(J84,Database!$A$2:$L$175,8,FALSE),"-")</f>
        <v>-</v>
      </c>
      <c r="L84" s="78" t="str">
        <f>IFERROR(VLOOKUP(J84,Database!$A$2:$L$175,6,FALSE),"-")</f>
        <v>-</v>
      </c>
      <c r="M84" s="93" t="str">
        <f>IFERROR(VLOOKUP(J84,Database!$A$2:$L$175,9,FALSE),"-")</f>
        <v>-</v>
      </c>
      <c r="N84" s="209" t="str">
        <f>IFERROR(VLOOKUP(J84,Database!$A$2:$S$175,19,FALSE),"-")</f>
        <v>-</v>
      </c>
      <c r="O84" s="96">
        <f>IF(AND(D84="Y",booking!L84&lt;&gt;booking!M84,booking!M84&gt;0),booking!M84,"-")</f>
        <v>38</v>
      </c>
      <c r="P84" s="78">
        <f>IFERROR(VLOOKUP(O84,Database!$A$2:$L$175,8,FALSE),"-")</f>
        <v>0</v>
      </c>
      <c r="Q84" s="78" t="str">
        <f>IFERROR(VLOOKUP(O84,Database!$A$2:$L$175,6,FALSE),"-")</f>
        <v>CH</v>
      </c>
      <c r="R84" s="82" t="str">
        <f>IFERROR(VLOOKUP(O84,Database!$A$2:$L$175,9,FALSE),"-")</f>
        <v>sing</v>
      </c>
      <c r="S84" s="209" t="str">
        <f>IFERROR(VLOOKUP(O84,Database!$A$2:$S$175,19,FALSE),"-")</f>
        <v>N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>
        <f>IF(AND(D85="Y",booking!H85&lt;&gt;booking!I85,booking!I85&gt;0),booking!I85,"-")</f>
        <v>44</v>
      </c>
      <c r="K85" s="78">
        <f>IFERROR(VLOOKUP(J85,Database!$A$2:$L$175,8,FALSE),"-")</f>
        <v>0</v>
      </c>
      <c r="L85" s="78" t="str">
        <f>IFERROR(VLOOKUP(J85,Database!$A$2:$L$175,6,FALSE),"-")</f>
        <v>CZ</v>
      </c>
      <c r="M85" s="93" t="str">
        <f>IFERROR(VLOOKUP(J85,Database!$A$2:$L$175,9,FALSE),"-")</f>
        <v>dobb</v>
      </c>
      <c r="N85" s="209" t="str">
        <f>IFERROR(VLOOKUP(J85,Database!$A$2:$S$175,19,FALSE),"-")</f>
        <v>N</v>
      </c>
      <c r="O85" s="96" t="str">
        <f>IF(AND(D85="Y",booking!L85&lt;&gt;booking!M85,booking!M85&gt;0),booking!M85,"-")</f>
        <v>-</v>
      </c>
      <c r="P85" s="78" t="str">
        <f>IFERROR(VLOOKUP(O85,Database!$A$2:$L$175,8,FALSE),"-")</f>
        <v>-</v>
      </c>
      <c r="Q85" s="78" t="str">
        <f>IFERROR(VLOOKUP(O85,Database!$A$2:$L$175,6,FALSE),"-")</f>
        <v>-</v>
      </c>
      <c r="R85" s="82" t="str">
        <f>IFERROR(VLOOKUP(O85,Database!$A$2:$L$175,9,FALSE),"-")</f>
        <v>-</v>
      </c>
      <c r="S85" s="209" t="str">
        <f>IFERROR(VLOOKUP(O85,Database!$A$2:$S$175,19,FALSE),"-")</f>
        <v>-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>
        <f>IFERROR(VLOOKUP(E114,Database!$A$2:$L$175,8,FALSE),"-")</f>
        <v>0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-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 t="str">
        <f>IF(AND(D115="Y",booking!H115&lt;&gt;booking!I115,booking!I115&gt;0),booking!I115,"-")</f>
        <v>-</v>
      </c>
      <c r="K115" s="78" t="str">
        <f>IFERROR(VLOOKUP(J115,Database!$A$2:$L$175,8,FALSE),"-")</f>
        <v>-</v>
      </c>
      <c r="L115" s="78" t="str">
        <f>IFERROR(VLOOKUP(J115,Database!$A$2:$L$175,6,FALSE),"-")</f>
        <v>-</v>
      </c>
      <c r="M115" s="93" t="str">
        <f>IFERROR(VLOOKUP(J115,Database!$A$2:$L$175,9,FALSE),"-")</f>
        <v>-</v>
      </c>
      <c r="N115" s="209" t="str">
        <f>IFERROR(VLOOKUP(J115,Database!$A$2:$S$175,19,FALSE),"-")</f>
        <v>-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>
        <f>IFERROR(VLOOKUP(T125,Database!$A$2:$L$175,6,FALSE),"-")</f>
        <v>0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-</v>
      </c>
      <c r="G129" s="78" t="str">
        <f>IFERROR(VLOOKUP(E129,Database!$A$2:$L$175,6,FALSE),"-")</f>
        <v>-</v>
      </c>
      <c r="H129" s="93" t="str">
        <f>IFERROR(VLOOKUP(E129,Database!$A$2:$L$175,9,FALSE),"-")</f>
        <v>-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-</v>
      </c>
      <c r="L129" s="78" t="str">
        <f>IFERROR(VLOOKUP(J129,Database!$A$2:$L$175,6,FALSE),"-")</f>
        <v>-</v>
      </c>
      <c r="M129" s="93" t="str">
        <f>IFERROR(VLOOKUP(J129,Database!$A$2:$L$175,9,FALSE),"-")</f>
        <v>-</v>
      </c>
      <c r="N129" s="209" t="str">
        <f>IFERROR(VLOOKUP(J129,Database!$A$2:$S$175,19,FALSE),"-")</f>
        <v>-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-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 t="str">
        <f>IF(AND(D137="Y",booking!L137&lt;&gt;booking!M137,booking!M137&gt;0),booking!M137,"-")</f>
        <v>-</v>
      </c>
      <c r="P137" s="78" t="str">
        <f>IFERROR(VLOOKUP(O137,Database!$A$2:$L$175,8,FALSE),"-")</f>
        <v>-</v>
      </c>
      <c r="Q137" s="78" t="str">
        <f>IFERROR(VLOOKUP(O137,Database!$A$2:$L$175,6,FALSE),"-")</f>
        <v>-</v>
      </c>
      <c r="R137" s="82" t="str">
        <f>IFERROR(VLOOKUP(O137,Database!$A$2:$L$175,9,FALSE),"-")</f>
        <v>-</v>
      </c>
      <c r="S137" s="209" t="str">
        <f>IFERROR(VLOOKUP(O137,Database!$A$2:$S$175,19,FALSE),"-")</f>
        <v>-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8" t="str">
        <f>IFERROR(VLOOKUP(E142,Database!$A$2:$L$175,6,FALSE),"-")</f>
        <v>DK</v>
      </c>
      <c r="H142" s="93">
        <f>IFERROR(VLOOKUP(E142,Database!$A$2:$L$175,9,FALSE),"-")</f>
        <v>0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>
        <f>IFERROR(VLOOKUP(T142,Database!$A$2:$L$175,8,FALSE),"-")</f>
        <v>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Y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>
        <f>IF(AND(D146="Y",booking!T146&lt;&gt;booking!U146,booking!U146&gt;0),booking!U146,"-")</f>
        <v>3</v>
      </c>
      <c r="Z146" s="79">
        <f>IFERROR(VLOOKUP(Y146,Database!$A$2:$L$175,8,FALSE),"-")</f>
        <v>0</v>
      </c>
      <c r="AA146" s="79" t="str">
        <f>IFERROR(VLOOKUP(Y146,Database!$A$2:$L$175,6,FALSE),"-")</f>
        <v>DK</v>
      </c>
      <c r="AB146" s="92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>
        <f>IFERROR(VLOOKUP(Y149,Database!$A$2:$L$175,6,FALSE),"-")</f>
        <v>0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419</v>
      </c>
      <c r="D1" t="s">
        <v>420</v>
      </c>
      <c r="E1" t="s">
        <v>421</v>
      </c>
      <c r="F1" t="s">
        <v>422</v>
      </c>
      <c r="G1" t="s">
        <v>423</v>
      </c>
      <c r="H1" t="s">
        <v>424</v>
      </c>
      <c r="I1" t="s">
        <v>425</v>
      </c>
      <c r="J1" t="s">
        <v>426</v>
      </c>
      <c r="K1" t="s">
        <v>427</v>
      </c>
      <c r="L1" t="s">
        <v>428</v>
      </c>
      <c r="M1" t="s">
        <v>429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>
        <f>ankomster!T32</f>
        <v>128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>
        <f>ankomster!O57</f>
        <v>129</v>
      </c>
      <c r="I57" t="str">
        <f>IFERROR(VLOOKUP(H57,Database!$A$2:$L$175,2,FALSE),"-")</f>
        <v>-</v>
      </c>
      <c r="J57" s="76">
        <f>ankomster!T57</f>
        <v>130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 t="str">
        <f>ankomster!T58</f>
        <v>-</v>
      </c>
      <c r="K58" t="str">
        <f>IFERROR(VLOOKUP(J58,Database!$A$2:$L$175,2,FALSE),"-")</f>
        <v>-</v>
      </c>
      <c r="L58">
        <f>ankomster!Y58</f>
        <v>37</v>
      </c>
      <c r="M58" t="str">
        <f>IFERROR(VLOOKUP(L58,Database!$A$2:$L$175,2,FALSE),"-")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-</v>
      </c>
      <c r="F129">
        <f>ankomster!J129</f>
        <v>126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346</v>
      </c>
      <c r="D1" s="5" t="s">
        <v>41</v>
      </c>
      <c r="E1" t="s">
        <v>347</v>
      </c>
      <c r="F1" t="s">
        <v>348</v>
      </c>
      <c r="G1" t="s">
        <v>349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352</v>
      </c>
      <c r="M2" t="s">
        <v>351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350</v>
      </c>
      <c r="L3">
        <f>SUM(I2:I200)</f>
        <v>269</v>
      </c>
      <c r="M3">
        <f>SUM(J2:J200)</f>
        <v>263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474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223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224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225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va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oc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va</v>
      </c>
      <c r="D33" s="131" t="str">
        <f>IF(booking!E33&gt;0,"oc","va")</f>
        <v>va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oc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va</v>
      </c>
      <c r="D34" s="131" t="str">
        <f>IF(booking!E34&gt;0,"oc","va")</f>
        <v>va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434</v>
      </c>
      <c r="C35" s="130" t="str">
        <f>IF(booking!D35&gt;0,"oc","va")</f>
        <v>va</v>
      </c>
      <c r="D35" s="131" t="str">
        <f>IF(booking!E35&gt;0,"oc","va")</f>
        <v>va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va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va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va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va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oc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va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oc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va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va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va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va</v>
      </c>
      <c r="D66" s="131" t="str">
        <f>IF(booking!E66&gt;0,"oc","va")</f>
        <v>va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va</v>
      </c>
      <c r="D67" s="131" t="str">
        <f>IF(booking!E67&gt;0,"oc","va")</f>
        <v>va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va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va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va</v>
      </c>
      <c r="H83" s="131" t="str">
        <f>IF(booking!M83&gt;0,"oc","va")</f>
        <v>va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va</v>
      </c>
      <c r="G84" s="130" t="str">
        <f>IF(booking!L84&gt;0,"oc","va")</f>
        <v>va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va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va</v>
      </c>
      <c r="N86" s="131" t="str">
        <f>IF(booking!Y86&gt;0,"oc","va")</f>
        <v>va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va</v>
      </c>
      <c r="N87" s="131" t="str">
        <f>IF(booking!Y87&gt;0,"oc","va")</f>
        <v>va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va</v>
      </c>
      <c r="N88" s="131" t="str">
        <f>IF(booking!Y88&gt;0,"oc","va")</f>
        <v>va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va</v>
      </c>
      <c r="N89" s="131" t="str">
        <f>IF(booking!Y89&gt;0,"oc","va")</f>
        <v>va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va</v>
      </c>
      <c r="G90" s="130" t="str">
        <f>IF(booking!L90&gt;0,"oc","va")</f>
        <v>oc</v>
      </c>
      <c r="H90" s="131" t="str">
        <f>IF(booking!M90&gt;0,"oc","va")</f>
        <v>oc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va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va</v>
      </c>
      <c r="F91" s="131" t="str">
        <f>IF(booking!I91&gt;0,"oc","va")</f>
        <v>va</v>
      </c>
      <c r="G91" s="130" t="str">
        <f>IF(booking!L91&gt;0,"oc","va")</f>
        <v>oc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va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va</v>
      </c>
      <c r="F116" s="131" t="str">
        <f>IF(booking!I116&gt;0,"oc","va")</f>
        <v>va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va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va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va</v>
      </c>
      <c r="H138" s="131" t="str">
        <f>IF(booking!M138&gt;0,"oc","va")</f>
        <v>va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va</v>
      </c>
      <c r="H139" s="131" t="str">
        <f>IF(booking!M139&gt;0,"oc","va")</f>
        <v>va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va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oc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oc</v>
      </c>
      <c r="L147" s="131" t="str">
        <f>IF(booking!U147&gt;0,"oc","va")</f>
        <v>oc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oc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2026-05-11T13:59:34Z</cp:lastPrinted>
  <dcterms:created xsi:type="dcterms:W3CDTF">2024-07-25T07:35:10Z</dcterms:created>
  <dcterms:modified xsi:type="dcterms:W3CDTF">2026-05-13T21:26:10Z</dcterms:modified>
  <cp:category/>
  <cp:contentStatus/>
</cp:coreProperties>
</file>
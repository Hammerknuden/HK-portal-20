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15" documentId="8_{AC379FEE-905F-41E2-9E84-8018E4E04006}" xr6:coauthVersionLast="47" xr6:coauthVersionMax="47" xr10:uidLastSave="{83087587-0718-4F38-8C65-B455A7B301D4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<sst xmlns="http://schemas.openxmlformats.org/spreadsheetml/2006/main" count="1639" uniqueCount="548">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</sst>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0"/>
  <sheetViews>
    <sheetView workbookViewId="0">
      <pane ySplit="1" topLeftCell="A178" activePane="bottomLeft" state="frozen"/>
      <selection pane="bottomLeft" activeCell="A161" sqref="A16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9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54</v>
      </c>
      <c r="G64" t="s">
        <v>35</v>
      </c>
      <c r="M64" s="113"/>
      <c r="R64" s="154"/>
    </row>
    <row r="65" spans="1:20" x14ac:dyDescent="0.3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">
      <c r="A69" s="2">
        <v>58</v>
      </c>
      <c r="C69" s="22">
        <v>46229</v>
      </c>
      <c r="G69" t="s">
        <v>6</v>
      </c>
      <c r="M69" s="113"/>
      <c r="R69" s="154"/>
    </row>
    <row r="70" spans="1:20" x14ac:dyDescent="0.3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">
      <c r="A86" s="2">
        <v>74</v>
      </c>
      <c r="G86" t="s">
        <v>6</v>
      </c>
      <c r="M86" s="113"/>
      <c r="R86" s="154"/>
    </row>
    <row r="87" spans="1:20" x14ac:dyDescent="0.3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">
      <c r="A93" s="2">
        <v>80</v>
      </c>
      <c r="G93" t="s">
        <v>6</v>
      </c>
      <c r="M93" s="113"/>
      <c r="N93" s="146"/>
    </row>
    <row r="94" spans="1:20" x14ac:dyDescent="0.3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">
      <c r="G103" t="s">
        <v>6</v>
      </c>
      <c r="M103" s="113"/>
      <c r="N103"/>
      <c r="O103"/>
    </row>
    <row r="104" spans="1:20" x14ac:dyDescent="0.3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H213" sqref="AH213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626</v>
      </c>
      <c r="AO198">
        <f t="shared" si="168"/>
        <v>626</v>
      </c>
      <c r="AP198">
        <f t="shared" si="168"/>
        <v>626</v>
      </c>
      <c r="AQ198">
        <f t="shared" si="168"/>
        <v>626</v>
      </c>
      <c r="AR198">
        <f t="shared" si="168"/>
        <v>626</v>
      </c>
      <c r="AS198">
        <f t="shared" si="168"/>
        <v>626</v>
      </c>
      <c r="AT198">
        <f t="shared" si="168"/>
        <v>626</v>
      </c>
      <c r="AU198">
        <f t="shared" si="168"/>
        <v>626</v>
      </c>
      <c r="AV198">
        <f t="shared" si="168"/>
        <v>626</v>
      </c>
      <c r="AW198">
        <f t="shared" si="168"/>
        <v>626</v>
      </c>
      <c r="AX198">
        <f t="shared" si="168"/>
        <v>626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43" activePane="bottomLeft" state="frozen"/>
      <selection pane="bottomLeft" activeCell="F153" sqref="F153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615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23</v>
      </c>
      <c r="F110" s="18">
        <v>1</v>
      </c>
      <c r="G110" s="18"/>
      <c r="H110" s="8">
        <v>32</v>
      </c>
      <c r="I110" s="153">
        <v>46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23</v>
      </c>
      <c r="E111" s="8">
        <v>23</v>
      </c>
      <c r="F111" s="18">
        <v>2</v>
      </c>
      <c r="G111" s="18"/>
      <c r="H111" s="153">
        <v>46</v>
      </c>
      <c r="I111" s="153">
        <v>46</v>
      </c>
      <c r="J111" s="18"/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23</v>
      </c>
      <c r="E112" s="8">
        <v>23</v>
      </c>
      <c r="F112" s="18">
        <v>2</v>
      </c>
      <c r="G112" s="18"/>
      <c r="H112" s="153">
        <v>46</v>
      </c>
      <c r="I112" s="153">
        <v>46</v>
      </c>
      <c r="J112" s="18"/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23</v>
      </c>
      <c r="E113" s="8"/>
      <c r="F113" s="18">
        <v>2</v>
      </c>
      <c r="G113" s="18"/>
      <c r="H113" s="153">
        <v>46</v>
      </c>
      <c r="I113" s="153">
        <v>46</v>
      </c>
      <c r="J113" s="18"/>
      <c r="K113" s="17"/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23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N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23</v>
      </c>
      <c r="E110" t="str">
        <f>IFERROR(VLOOKUP(D110,Database!$A$2:$L$189,2,FALSE),"-")</f>
        <v>Stine Jespersen</v>
      </c>
      <c r="F110">
        <f>ankomster!J110</f>
        <v>46</v>
      </c>
      <c r="G110" t="str">
        <f>IFERROR(VLOOKUP(F110,Database!$A$2:$L$189,2,FALSE),"-")</f>
        <v>Kathrine Moelgaard Nielsen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308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2026-07-07T20:49:21Z</dcterms:modified>
  <cp:category/>
  <cp:contentStatus/>
</cp:coreProperties>
</file>
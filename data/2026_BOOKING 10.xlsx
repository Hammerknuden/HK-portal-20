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finnj\-repo hk20\hk_portal_20\data\"/>
    </mc:Choice>
  </mc:AlternateContent>
  <xr:revisionPtr revIDLastSave="0" documentId="13_ncr:1_{4CFC7D6F-7076-4A18-9EFD-D081E2588A3E}" xr6:coauthVersionLast="47" xr6:coauthVersionMax="47" xr10:uidLastSave="{00000000-0000-0000-0000-000000000000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Database!$A$1:$V$102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0" i="3" l="1"/>
  <c r="AI200" i="3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J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J151" i="10" l="1"/>
  <c r="J150" i="10"/>
  <c r="J148" i="10"/>
  <c r="I147" i="10"/>
  <c r="L3" i="10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C146" i="8" l="1"/>
  <c r="AB172" i="7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<sst xmlns="http://schemas.openxmlformats.org/spreadsheetml/2006/main" count="1588" uniqueCount="540">
  <si>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</si>
  <si>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</si>
  <si>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</si>
  <si>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</si>
  <si>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</si>
  <si>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</si>
  <si>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</si>
  <si>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</si>
  <si>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</si>
  <si>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</si>
  <si>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</si>
  <si>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</si>
  <si>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</si>
  <si>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</si>
  <si>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</si>
  <si>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</si>
  <si>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</si>
  <si>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</si>
  <si>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</si>
  <si>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</si>
  <si>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</si>
  <si>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</si>
  <si>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</si>
  <si>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</si>
  <si>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</si>
  <si>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</si>
  <si>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</si>
  <si>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</si>
  <si>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</si>
  <si>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</si>
  <si>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</si>
  <si>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</si>
  <si>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</si>
  <si>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</si>
  <si>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</si>
  <si>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</si>
  <si>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</si>
  <si>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</si>
  <si>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</si>
  <si>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</si>
  <si>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</si>
  <si>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</si>
  <si>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</si>
  <si>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</si>
  <si>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</si>
  <si>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</si>
  <si>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</si>
  <si>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</si>
  <si>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</si>
  <si>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</si>
  <si>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</si>
  <si>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</si>
  <si>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</si>
  <si>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</si>
  <si>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</si>
  <si>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</si>
  <si>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</si>
  <si>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</si>
  <si>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</si>
  <si>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</si>
  <si>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</si>
  <si>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</si>
  <si>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</si>
  <si>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</si>
  <si>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</si>
  <si>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</si>
  <si>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</si>
  <si>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</si>
  <si>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</si>
  <si>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</si>
  <si>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</si>
  <si>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</si>
  <si>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</si>
  <si>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</si>
  <si>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</si>
  <si>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</si>
  <si>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</si>
  <si>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</si>
  <si>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</si>
  <si>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</si>
  <si>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</si>
  <si>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</si>
  <si>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</si>
  <si>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</si>
  <si>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</si>
  <si>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</si>
  <si>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</si>
  <si>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</si>
  <si>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</si>
  <si>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</si>
  <si>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</si>
  <si>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</si>
  <si>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</si>
  <si>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</si>
  <si>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</si>
  <si>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</si>
  <si>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</si>
  <si>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</si>
  <si>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</si>
  <si>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</si>
  <si>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</si>
  <si>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</si>
  <si>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</si>
  <si>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</si>
  <si>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</si>
  <si>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</si>
  <si>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</si>
  <si>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</si>
  <si>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</si>
  <si>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</si>
  <si>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</si>
  <si>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</si>
  <si>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</si>
  <si>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</si>
  <si>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</si>
  <si>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</si>
  <si>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</si>
  <si>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</si>
  <si>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</si>
  <si>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</si>
  <si>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</si>
  <si>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</si>
  <si>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</si>
  <si>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</si>
  <si>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</si>
  <si>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</si>
  <si>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</si>
  <si>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</si>
  <si>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</si>
  <si>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</si>
  <si>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</si>
  <si>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</si>
  <si>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</si>
  <si>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</si>
  <si>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</si>
  <si>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</si>
  <si>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</si>
  <si>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</si>
  <si>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</si>
  <si>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</si>
  <si>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</si>
  <si>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</si>
  <si>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</si>
  <si>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</si>
  <si>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</si>
  <si>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</si>
  <si>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</si>
  <si>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</si>
  <si>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</si>
  <si>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</si>
  <si>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</si>
  <si>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</si>
  <si>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</si>
  <si>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</si>
  <si>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</si>
  <si>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</si>
  <si>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</si>
  <si>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</si>
  <si>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</si>
  <si>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</si>
  <si>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</si>
  <si>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</si>
  <si>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</si>
  <si>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</si>
  <si>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</si>
  <si>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</si>
  <si>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</si>
  <si>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</si>
  <si>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</si>
  <si>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</si>
  <si>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</si>
  <si>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</si>
  <si>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</si>
  <si>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</si>
  <si>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</si>
  <si>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</si>
  <si>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</si>
  <si>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</si>
  <si>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</si>
  <si>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</si>
  <si>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</si>
  <si>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</si>
  <si>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</si>
  <si>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</si>
  <si>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</si>
  <si>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</si>
  <si>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</si>
  <si>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</si>
  <si>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</si>
  <si>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</si>
  <si>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</si>
  <si>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</si>
  <si>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</si>
  <si>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</si>
  <si>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</si>
  <si>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</si>
  <si>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</si>
  <si>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</si>
  <si>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</si>
  <si>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</si>
  <si>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</si>
  <si>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</si>
  <si>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</si>
  <si>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</si>
  <si>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</si>
  <si>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</si>
  <si>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</si>
  <si>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</si>
  <si>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</si>
  <si>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</si>
  <si>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</si>
  <si>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</si>
  <si>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</si>
  <si>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</si>
  <si>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</si>
  <si>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</si>
  <si>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</si>
  <si>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</si>
  <si>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</si>
  <si>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</si>
  <si>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</si>
  <si>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</si>
  <si>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</si>
  <si>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</si>
  <si>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</si>
  <si>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</si>
  <si>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</si>
  <si>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</si>
  <si>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</si>
  <si>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</si>
  <si>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</si>
  <si>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</si>
  <si>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</si>
  <si>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</si>
  <si>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</si>
  <si>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</si>
  <si>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</si>
  <si>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</si>
  <si>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</si>
  <si>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</si>
  <si>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</si>
  <si>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</si>
  <si>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</si>
  <si>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</si>
  <si>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</si>
  <si>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</si>
  <si>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</si>
  <si>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</si>
  <si>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</si>
  <si>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</si>
  <si>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</si>
  <si>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</si>
  <si>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</si>
  <si>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</si>
  <si>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</si>
  <si>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</si>
  <si>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</si>
  <si>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</si>
  <si>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</si>
  <si>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</si>
  <si>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</si>
  <si>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</si>
  <si>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</si>
  <si>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</si>
  <si>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</si>
  <si>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</si>
  <si>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</si>
  <si>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</si>
  <si>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</si>
  <si>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</si>
  <si>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</si>
  <si>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</si>
  <si>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</si>
  <si>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</si>
  <si>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</si>
  <si>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</si>
  <si>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</si>
  <si>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</si>
  <si>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</si>
  <si>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</si>
  <si>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</si>
  <si>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</si>
  <si>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</si>
  <si>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</si>
  <si>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</si>
  <si>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</si>
  <si>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</si>
  <si>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</si>
  <si>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</si>
  <si>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</si>
  <si>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</si>
  <si>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</si>
  <si>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</si>
  <si>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</si>
  <si>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</si>
  <si>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</si>
  <si>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</si>
  <si>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</si>
  <si>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</si>
  <si>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</si>
  <si>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</si>
  <si>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</si>
  <si>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</si>
  <si>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</si>
  <si>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</si>
  <si>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</si>
  <si>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</si>
  <si>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</si>
  <si>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</si>
  <si>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</si>
  <si>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</si>
  <si>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</si>
  <si>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</si>
  <si>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</si>
  <si>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</si>
  <si>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</si>
  <si>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</si>
  <si>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</si>
  <si>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</si>
  <si>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</si>
  <si>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</si>
  <si>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</si>
  <si>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</si>
  <si>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</si>
  <si>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</si>
  <si>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</si>
  <si>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</si>
  <si>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</si>
  <si>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</si>
  <si>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</si>
  <si>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</si>
  <si>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</si>
  <si>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</si>
  <si>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</si>
  <si>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</si>
  <si>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</si>
  <si>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</si>
  <si>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</si>
  <si>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</si>
  <si>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</si>
  <si>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</si>
  <si>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</si>
  <si>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</si>
  <si>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</si>
  <si>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</si>
  <si>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</si>
  <si>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</si>
  <si>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</si>
  <si>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</si>
  <si>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</si>
  <si>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</si>
  <si>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</si>
  <si>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</si>
  <si>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</si>
  <si>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</si>
  <si>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</si>
  <si>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</si>
  <si>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</si>
  <si>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</si>
  <si>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</si>
  <si>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</si>
  <si>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</si>
  <si>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</si>
  <si>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</si>
  <si>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</si>
  <si>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</si>
  <si>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</si>
  <si>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</si>
  <si>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</si>
  <si>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</si>
  <si>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</si>
  <si>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</si>
  <si>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</si>
  <si>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</si>
  <si>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</si>
  <si>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</si>
  <si>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</si>
  <si>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</si>
  <si>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</si>
  <si>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</si>
  <si>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</si>
  <si>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</si>
  <si>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</si>
  <si>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</si>
  <si>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</si>
  <si>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</si>
  <si>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</si>
  <si>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</si>
  <si>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</si>
  <si>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</si>
  <si>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</si>
  <si>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</si>
  <si>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</si>
  <si>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</si>
  <si>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</si>
  <si>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</si>
  <si>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</si>
  <si>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</si>
  <si>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</si>
  <si>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</si>
  <si>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</si>
  <si>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</si>
  <si>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</si>
  <si>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</si>
  <si>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</si>
  <si>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</si>
  <si>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</si>
  <si>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</si>
  <si>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</si>
  <si>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</si>
  <si>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</si>
  <si>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</si>
  <si>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</si>
  <si>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</si>
  <si>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</si>
  <si>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</si>
  <si>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</si>
  <si>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</si>
  <si>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</si>
  <si>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</si>
  <si>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</si>
  <si>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</si>
  <si>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</si>
  <si>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</si>
  <si>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</si>
  <si>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</si>
  <si>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</si>
  <si>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</si>
  <si>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</si>
  <si>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</si>
  <si>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</si>
  <si>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</si>
  <si>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</si>
  <si>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</si>
  <si>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</si>
  <si>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</si>
  <si>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</si>
  <si>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</si>
  <si>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</si>
  <si>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</si>
  <si>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</si>
  <si>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</si>
  <si>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</si>
  <si>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</si>
  <si>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</si>
  <si>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</si>
  <si>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</si>
  <si>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</si>
  <si>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</si>
  <si>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</si>
  <si>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</si>
  <si>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</si>
  <si>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</si>
  <si>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</si>
  <si>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</si>
  <si>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</si>
  <si>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</si>
  <si>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</si>
  <si>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</si>
  <si>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</si>
  <si>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</si>
  <si>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</si>
  <si>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</si>
  <si>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</si>
  <si>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</si>
  <si>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</si>
  <si>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</si>
  <si>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</si>
  <si>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</si>
  <si>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</si>
  <si>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</si>
  <si>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</si>
  <si>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</si>
  <si>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</si>
  <si>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</si>
  <si>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</si>
  <si>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</si>
  <si>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</si>
  <si>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</si>
  <si>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</si>
  <si>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</si>
  <si>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</si>
  <si>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</si>
  <si>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</si>
  <si>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</si>
  <si>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</si>
  <si>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</si>
  <si>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</si>
  <si>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</si>
  <si>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</si>
  <si>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</si>
  <si>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</si>
  <si>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</si>
  <si>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</si>
  <si>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</si>
  <si>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</si>
  <si>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</si>
  <si>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</si>
  <si>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</si>
  <si>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</si>
  <si>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</si>
  <si>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</si>
  <si>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</si>
  <si>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</si>
  <si>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</si>
  <si>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</si>
  <si>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</si>
  <si>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</si>
  <si>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</si>
  <si>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</si>
  <si>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</si>
  <si>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</si>
  <si>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</si>
  <si>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</si>
  <si>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</si>
  <si>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</si>
  <si>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</si>
  <si>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</si>
  <si>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</si>
  <si>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</si>
  <si>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</si>
  <si>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</si>
  <si>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</si>
  <si>
    <t>accepted p</t>
  </si>
  <si>
    <t>room nr</t>
  </si>
  <si>
    <t>nat</t>
  </si>
  <si>
    <t>Jytte Holmgaard Christensen</t>
  </si>
  <si>
    <t>Alice Andersen</t>
  </si>
  <si>
    <t>Joel</t>
  </si>
  <si>
    <t>web24</t>
  </si>
  <si>
    <t>Claus Kaae Christensen</t>
  </si>
  <si>
    <t>4520646004</t>
  </si>
  <si>
    <t>Ruth</t>
  </si>
  <si>
    <t>21,23,25,26</t>
  </si>
  <si>
    <t>Katja Lundsgaard Christensen</t>
  </si>
  <si>
    <t>0600</t>
  </si>
  <si>
    <t>no</t>
  </si>
  <si>
    <t>Mia Mønsted</t>
  </si>
  <si>
    <t>Petter Stavdal</t>
  </si>
  <si>
    <t>Pernille Sahl Nielsen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</si>
</sst>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607</c:v>
                </c:pt>
                <c:pt idx="25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195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807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505</c:v>
                </c:pt>
                <c:pt idx="18">
                  <c:v>514</c:v>
                </c:pt>
                <c:pt idx="19">
                  <c:v>521</c:v>
                </c:pt>
                <c:pt idx="20">
                  <c:v>542</c:v>
                </c:pt>
                <c:pt idx="21">
                  <c:v>561</c:v>
                </c:pt>
                <c:pt idx="22">
                  <c:v>579</c:v>
                </c:pt>
                <c:pt idx="23">
                  <c:v>589</c:v>
                </c:pt>
                <c:pt idx="24">
                  <c:v>607</c:v>
                </c:pt>
                <c:pt idx="25">
                  <c:v>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195</c:v>
                </c:pt>
                <c:pt idx="1">
                  <c:v>23</c:v>
                </c:pt>
                <c:pt idx="2">
                  <c:v>2</c:v>
                </c:pt>
                <c:pt idx="3">
                  <c:v>32</c:v>
                </c:pt>
                <c:pt idx="4">
                  <c:v>2</c:v>
                </c:pt>
                <c:pt idx="5">
                  <c:v>7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807</c:v>
                </c:pt>
                <c:pt idx="1">
                  <c:v>79</c:v>
                </c:pt>
                <c:pt idx="2">
                  <c:v>8</c:v>
                </c:pt>
                <c:pt idx="3">
                  <c:v>0</c:v>
                </c:pt>
                <c:pt idx="4">
                  <c:v>8</c:v>
                </c:pt>
                <c:pt idx="5">
                  <c:v>33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307</c:v>
                </c:pt>
                <c:pt idx="1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2" bestFit="1" customWidth="1"/>
    <col min="4" max="4" width="10.90625" style="22" bestFit="1" customWidth="1"/>
    <col min="5" max="5" width="13.54296875" style="22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5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5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5">
      <c r="C12" s="110"/>
      <c r="D12" s="110"/>
      <c r="E12" s="110"/>
    </row>
    <row r="84" spans="1:19" x14ac:dyDescent="0.35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65"/>
  <sheetViews>
    <sheetView topLeftCell="G1" workbookViewId="0">
      <pane ySplit="1" topLeftCell="A147" activePane="bottomLeft" state="frozen"/>
      <selection pane="bottomLeft" activeCell="N165" sqref="N165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2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81640625" style="199"/>
    <col min="13" max="13" width="25.1796875" customWidth="1"/>
    <col min="14" max="14" width="15.81640625" style="147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2" ht="20.149999999999999" customHeight="1" x14ac:dyDescent="0.35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525</v>
      </c>
      <c r="G1" s="3" t="s">
        <v>6</v>
      </c>
      <c r="H1" s="4" t="s">
        <v>7</v>
      </c>
      <c r="I1" s="3" t="s">
        <v>43</v>
      </c>
      <c r="J1" s="195" t="s">
        <v>9</v>
      </c>
      <c r="K1" s="3" t="s">
        <v>44</v>
      </c>
      <c r="L1" s="3" t="s">
        <v>45</v>
      </c>
      <c r="M1" s="3" t="s">
        <v>46</v>
      </c>
      <c r="N1" s="171" t="s">
        <v>47</v>
      </c>
      <c r="O1" s="3" t="s">
        <v>48</v>
      </c>
      <c r="P1" s="3" t="s">
        <v>32</v>
      </c>
      <c r="Q1" s="3" t="s">
        <v>49</v>
      </c>
      <c r="R1" s="154" t="s">
        <v>50</v>
      </c>
      <c r="S1" s="3" t="s">
        <v>18</v>
      </c>
      <c r="T1" s="3" t="s">
        <v>51</v>
      </c>
      <c r="U1" s="3" t="s">
        <v>523</v>
      </c>
      <c r="V1" s="3" t="s">
        <v>524</v>
      </c>
    </row>
    <row r="2" spans="1:22" x14ac:dyDescent="0.35">
      <c r="A2" s="135">
        <v>1</v>
      </c>
      <c r="B2" s="102" t="s">
        <v>161</v>
      </c>
      <c r="C2" s="105">
        <v>46222</v>
      </c>
      <c r="D2" s="105">
        <v>46228</v>
      </c>
      <c r="E2" s="105">
        <v>45868</v>
      </c>
      <c r="F2" s="102" t="s">
        <v>52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162</v>
      </c>
      <c r="N2" s="172"/>
      <c r="O2" s="123" t="s">
        <v>163</v>
      </c>
      <c r="P2" s="123"/>
      <c r="Q2" s="123" t="s">
        <v>21</v>
      </c>
      <c r="R2" s="154">
        <v>7267.5</v>
      </c>
      <c r="S2" s="148" t="s">
        <v>20</v>
      </c>
      <c r="T2" t="s">
        <v>164</v>
      </c>
    </row>
    <row r="3" spans="1:22" x14ac:dyDescent="0.35">
      <c r="A3" s="136">
        <v>2</v>
      </c>
      <c r="B3" s="104" t="s">
        <v>165</v>
      </c>
      <c r="C3" s="107">
        <v>46172</v>
      </c>
      <c r="D3" s="107">
        <v>46180</v>
      </c>
      <c r="E3" s="107">
        <v>45889</v>
      </c>
      <c r="F3" s="104" t="s">
        <v>52</v>
      </c>
      <c r="G3" s="104" t="s">
        <v>263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2" x14ac:dyDescent="0.35">
      <c r="A4" s="135">
        <v>3</v>
      </c>
      <c r="B4" s="102" t="s">
        <v>165</v>
      </c>
      <c r="C4" s="105">
        <v>46283</v>
      </c>
      <c r="D4" s="105">
        <v>46285</v>
      </c>
      <c r="E4" s="105">
        <v>45889</v>
      </c>
      <c r="F4" s="102" t="s">
        <v>52</v>
      </c>
      <c r="G4" s="102" t="s">
        <v>263</v>
      </c>
      <c r="H4" s="211"/>
      <c r="I4" s="123"/>
      <c r="J4" s="196"/>
      <c r="K4" s="102"/>
      <c r="L4" s="102"/>
      <c r="M4" s="144" t="s">
        <v>166</v>
      </c>
      <c r="N4" s="172"/>
      <c r="O4" s="123"/>
      <c r="P4" s="123"/>
      <c r="Q4" s="123"/>
      <c r="R4" s="154"/>
      <c r="S4" s="148"/>
      <c r="T4" s="121"/>
    </row>
    <row r="5" spans="1:22" x14ac:dyDescent="0.35">
      <c r="A5" s="136">
        <v>4</v>
      </c>
      <c r="B5" s="104" t="s">
        <v>167</v>
      </c>
      <c r="C5" s="107">
        <v>46246</v>
      </c>
      <c r="D5" s="107">
        <v>46250</v>
      </c>
      <c r="E5" s="107">
        <v>45891</v>
      </c>
      <c r="F5" s="104" t="s">
        <v>52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169</v>
      </c>
      <c r="N5" s="174">
        <v>4530267986</v>
      </c>
      <c r="O5" s="124" t="s">
        <v>170</v>
      </c>
      <c r="P5" s="124"/>
      <c r="Q5" s="124" t="s">
        <v>21</v>
      </c>
      <c r="R5" s="154">
        <v>9180</v>
      </c>
      <c r="S5" s="149" t="s">
        <v>21</v>
      </c>
      <c r="T5" t="s">
        <v>168</v>
      </c>
    </row>
    <row r="6" spans="1:22" x14ac:dyDescent="0.35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2" x14ac:dyDescent="0.35">
      <c r="A7" s="135">
        <v>5</v>
      </c>
      <c r="B7" s="102" t="s">
        <v>171</v>
      </c>
      <c r="C7" s="105">
        <v>46169</v>
      </c>
      <c r="D7" s="105">
        <v>46174</v>
      </c>
      <c r="E7" s="105">
        <v>45903</v>
      </c>
      <c r="F7" s="102" t="s">
        <v>52</v>
      </c>
      <c r="G7" s="102" t="s">
        <v>6</v>
      </c>
      <c r="H7" s="211">
        <v>1430</v>
      </c>
      <c r="I7" s="123" t="s">
        <v>155</v>
      </c>
      <c r="J7" s="196">
        <v>0.1</v>
      </c>
      <c r="K7" s="102">
        <v>1</v>
      </c>
      <c r="L7" s="102">
        <v>2</v>
      </c>
      <c r="M7" s="144" t="s">
        <v>172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2" x14ac:dyDescent="0.35">
      <c r="A8" s="135">
        <v>6</v>
      </c>
      <c r="B8" s="116" t="s">
        <v>173</v>
      </c>
      <c r="C8" s="119">
        <v>46178</v>
      </c>
      <c r="D8" s="119">
        <v>46180</v>
      </c>
      <c r="E8" s="119">
        <v>45910</v>
      </c>
      <c r="F8" s="116" t="s">
        <v>52</v>
      </c>
      <c r="G8" s="2" t="s">
        <v>6</v>
      </c>
      <c r="J8" s="198">
        <v>0.1</v>
      </c>
      <c r="K8" s="118">
        <v>2</v>
      </c>
      <c r="L8" s="118">
        <v>4</v>
      </c>
      <c r="M8" s="120" t="s">
        <v>174</v>
      </c>
      <c r="Q8" s="2" t="s">
        <v>21</v>
      </c>
      <c r="R8" s="122">
        <v>4140</v>
      </c>
      <c r="S8" s="2" t="s">
        <v>38</v>
      </c>
      <c r="T8" t="s">
        <v>175</v>
      </c>
    </row>
    <row r="9" spans="1:22" x14ac:dyDescent="0.35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2" x14ac:dyDescent="0.35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2" x14ac:dyDescent="0.35">
      <c r="A11" s="136">
        <v>7</v>
      </c>
      <c r="B11" s="116" t="s">
        <v>176</v>
      </c>
      <c r="C11" s="119">
        <v>46207</v>
      </c>
      <c r="D11" s="119">
        <v>46214</v>
      </c>
      <c r="E11" s="119">
        <v>45927</v>
      </c>
      <c r="F11" s="116" t="s">
        <v>52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177</v>
      </c>
      <c r="N11" s="174">
        <v>4522701312</v>
      </c>
      <c r="O11" s="2" t="s">
        <v>178</v>
      </c>
      <c r="Q11" s="2" t="s">
        <v>20</v>
      </c>
      <c r="R11" s="154">
        <v>6772.5</v>
      </c>
      <c r="S11" s="2" t="s">
        <v>21</v>
      </c>
    </row>
    <row r="12" spans="1:22" x14ac:dyDescent="0.35">
      <c r="A12" s="135">
        <v>8</v>
      </c>
      <c r="B12" s="116" t="s">
        <v>179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180</v>
      </c>
      <c r="N12" s="174">
        <v>4917643882286</v>
      </c>
      <c r="O12" s="2" t="s">
        <v>181</v>
      </c>
      <c r="Q12" s="2" t="s">
        <v>21</v>
      </c>
      <c r="R12" s="122">
        <v>4275</v>
      </c>
      <c r="S12" s="2" t="s">
        <v>21</v>
      </c>
      <c r="T12" s="116" t="s">
        <v>182</v>
      </c>
    </row>
    <row r="13" spans="1:22" x14ac:dyDescent="0.35">
      <c r="A13" s="135">
        <v>9</v>
      </c>
      <c r="B13" s="116" t="s">
        <v>183</v>
      </c>
      <c r="C13" s="119">
        <v>46159</v>
      </c>
      <c r="D13" s="119">
        <v>46166</v>
      </c>
      <c r="E13" s="119">
        <v>45954</v>
      </c>
      <c r="F13" s="116" t="s">
        <v>52</v>
      </c>
      <c r="G13" s="2" t="s">
        <v>6</v>
      </c>
      <c r="H13" s="1">
        <v>1430</v>
      </c>
      <c r="I13" s="2" t="s">
        <v>155</v>
      </c>
      <c r="J13" s="198">
        <v>0.1</v>
      </c>
      <c r="K13" s="118">
        <v>1</v>
      </c>
      <c r="L13" s="118">
        <v>2</v>
      </c>
      <c r="M13" s="120" t="s">
        <v>184</v>
      </c>
      <c r="N13" s="147">
        <v>4551172451</v>
      </c>
      <c r="O13" s="2" t="s">
        <v>185</v>
      </c>
      <c r="Q13" s="2" t="s">
        <v>21</v>
      </c>
      <c r="R13" s="154">
        <v>7245</v>
      </c>
      <c r="S13" s="2" t="s">
        <v>21</v>
      </c>
    </row>
    <row r="14" spans="1:22" x14ac:dyDescent="0.35">
      <c r="A14" s="136">
        <v>10</v>
      </c>
      <c r="B14" s="116" t="s">
        <v>186</v>
      </c>
      <c r="C14" s="119">
        <v>46225</v>
      </c>
      <c r="D14" s="119">
        <v>46228</v>
      </c>
      <c r="E14" s="119">
        <v>45932</v>
      </c>
      <c r="F14" s="116" t="s">
        <v>52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187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188</v>
      </c>
    </row>
    <row r="15" spans="1:22" x14ac:dyDescent="0.35">
      <c r="A15" s="135">
        <v>11</v>
      </c>
      <c r="B15" s="116" t="s">
        <v>189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191</v>
      </c>
      <c r="Q15" s="2" t="s">
        <v>21</v>
      </c>
      <c r="R15" s="122">
        <v>5737.5</v>
      </c>
      <c r="S15" s="2" t="s">
        <v>20</v>
      </c>
      <c r="T15" t="s">
        <v>190</v>
      </c>
    </row>
    <row r="16" spans="1:22" x14ac:dyDescent="0.35">
      <c r="A16" s="135">
        <v>12</v>
      </c>
      <c r="B16" s="116" t="s">
        <v>192</v>
      </c>
      <c r="C16" s="119">
        <v>46175</v>
      </c>
      <c r="D16" s="119">
        <v>46179</v>
      </c>
      <c r="E16" s="119">
        <v>45977</v>
      </c>
      <c r="F16" s="116" t="s">
        <v>52</v>
      </c>
      <c r="G16" s="2" t="s">
        <v>6</v>
      </c>
      <c r="I16" s="2" t="s">
        <v>158</v>
      </c>
      <c r="J16" s="198">
        <v>0.1</v>
      </c>
      <c r="K16" s="118">
        <v>1</v>
      </c>
      <c r="L16" s="118">
        <v>2</v>
      </c>
      <c r="M16" s="120" t="s">
        <v>193</v>
      </c>
      <c r="N16" s="175">
        <v>4540552384</v>
      </c>
      <c r="O16" s="2" t="s">
        <v>194</v>
      </c>
      <c r="Q16" s="2" t="s">
        <v>21</v>
      </c>
      <c r="R16" s="122">
        <v>4140</v>
      </c>
      <c r="S16" s="2" t="s">
        <v>21</v>
      </c>
      <c r="T16" t="s">
        <v>195</v>
      </c>
    </row>
    <row r="17" spans="1:21" x14ac:dyDescent="0.35">
      <c r="A17" s="136">
        <v>13</v>
      </c>
      <c r="B17" s="116" t="s">
        <v>196</v>
      </c>
      <c r="C17" s="22">
        <v>46211</v>
      </c>
      <c r="D17" s="22">
        <v>46218</v>
      </c>
      <c r="E17" s="22">
        <v>45998</v>
      </c>
      <c r="F17" s="116" t="s">
        <v>52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197</v>
      </c>
      <c r="N17" s="175">
        <v>4525582842</v>
      </c>
      <c r="O17" s="2" t="s">
        <v>199</v>
      </c>
      <c r="Q17" s="2" t="s">
        <v>21</v>
      </c>
      <c r="R17" s="122">
        <v>8032.5</v>
      </c>
      <c r="S17" s="2" t="s">
        <v>38</v>
      </c>
      <c r="T17" t="s">
        <v>198</v>
      </c>
    </row>
    <row r="18" spans="1:21" x14ac:dyDescent="0.35">
      <c r="A18" s="135">
        <v>14</v>
      </c>
      <c r="B18" s="116" t="s">
        <v>200</v>
      </c>
      <c r="C18" s="22">
        <v>46206</v>
      </c>
      <c r="D18" s="22">
        <v>46213</v>
      </c>
      <c r="E18" s="22">
        <v>46001</v>
      </c>
      <c r="F18" s="116" t="s">
        <v>52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203</v>
      </c>
      <c r="N18" s="175">
        <v>4591191885</v>
      </c>
      <c r="O18" s="2" t="s">
        <v>201</v>
      </c>
      <c r="Q18" s="2" t="s">
        <v>21</v>
      </c>
      <c r="R18" s="122">
        <v>9180</v>
      </c>
      <c r="S18" s="2" t="s">
        <v>38</v>
      </c>
      <c r="T18" s="116" t="s">
        <v>202</v>
      </c>
    </row>
    <row r="19" spans="1:21" x14ac:dyDescent="0.35">
      <c r="A19" s="135">
        <v>15</v>
      </c>
      <c r="B19" s="116" t="s">
        <v>204</v>
      </c>
      <c r="C19" s="22">
        <v>46181</v>
      </c>
      <c r="D19" s="22">
        <v>46188</v>
      </c>
      <c r="E19" s="22">
        <v>45866</v>
      </c>
      <c r="F19" s="116" t="s">
        <v>52</v>
      </c>
      <c r="G19" s="2" t="s">
        <v>55</v>
      </c>
      <c r="K19" s="118">
        <v>1</v>
      </c>
      <c r="L19" s="118">
        <v>2</v>
      </c>
      <c r="M19" s="113" t="s">
        <v>205</v>
      </c>
      <c r="N19" s="147">
        <v>4531534745</v>
      </c>
      <c r="O19" s="2" t="s">
        <v>206</v>
      </c>
      <c r="Q19" s="2" t="s">
        <v>21</v>
      </c>
      <c r="R19" s="122">
        <v>8925</v>
      </c>
      <c r="S19" s="2" t="s">
        <v>38</v>
      </c>
      <c r="T19" t="s">
        <v>207</v>
      </c>
      <c r="U19" s="180">
        <f>R19*0.5</f>
        <v>4462.5</v>
      </c>
    </row>
    <row r="20" spans="1:21" x14ac:dyDescent="0.35">
      <c r="A20" s="136">
        <v>16</v>
      </c>
      <c r="B20" s="116" t="s">
        <v>218</v>
      </c>
      <c r="C20" s="22">
        <v>46182</v>
      </c>
      <c r="D20" s="22">
        <v>46188</v>
      </c>
      <c r="E20" s="22">
        <v>45832</v>
      </c>
      <c r="F20" s="116" t="s">
        <v>52</v>
      </c>
      <c r="G20" s="2" t="s">
        <v>55</v>
      </c>
      <c r="H20" s="1" t="s">
        <v>435</v>
      </c>
      <c r="K20" s="118">
        <v>2</v>
      </c>
      <c r="L20" s="118">
        <v>4</v>
      </c>
      <c r="M20" s="113" t="s">
        <v>219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220</v>
      </c>
      <c r="U20" s="181">
        <f t="shared" ref="U20:U23" si="0">R20*0.5</f>
        <v>8925</v>
      </c>
    </row>
    <row r="21" spans="1:21" x14ac:dyDescent="0.35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5">
      <c r="A22" s="135">
        <v>17</v>
      </c>
      <c r="B22" s="116" t="s">
        <v>212</v>
      </c>
      <c r="C22" s="22">
        <v>46181</v>
      </c>
      <c r="D22" s="22">
        <v>46188</v>
      </c>
      <c r="E22" s="22">
        <v>45824</v>
      </c>
      <c r="F22" s="116" t="s">
        <v>52</v>
      </c>
      <c r="G22" s="2" t="s">
        <v>55</v>
      </c>
      <c r="K22" s="118">
        <v>1</v>
      </c>
      <c r="L22" s="118">
        <v>2</v>
      </c>
      <c r="M22" s="113" t="s">
        <v>215</v>
      </c>
      <c r="N22" s="175">
        <v>4524669843</v>
      </c>
      <c r="O22" s="2" t="s">
        <v>216</v>
      </c>
      <c r="Q22" s="2" t="s">
        <v>21</v>
      </c>
      <c r="R22" s="122">
        <v>8925</v>
      </c>
      <c r="S22" s="2" t="s">
        <v>38</v>
      </c>
      <c r="T22" t="s">
        <v>217</v>
      </c>
      <c r="U22" s="181">
        <f t="shared" si="0"/>
        <v>4462.5</v>
      </c>
    </row>
    <row r="23" spans="1:21" x14ac:dyDescent="0.35">
      <c r="A23" s="135">
        <v>18</v>
      </c>
      <c r="B23" s="116" t="s">
        <v>210</v>
      </c>
      <c r="C23" s="22">
        <v>46182</v>
      </c>
      <c r="D23" s="22">
        <v>46187</v>
      </c>
      <c r="E23" s="22">
        <v>45834</v>
      </c>
      <c r="F23" s="116" t="s">
        <v>52</v>
      </c>
      <c r="G23" s="2" t="s">
        <v>55</v>
      </c>
      <c r="K23" s="118">
        <v>1</v>
      </c>
      <c r="L23" s="118">
        <v>2</v>
      </c>
      <c r="M23" s="146" t="s">
        <v>211</v>
      </c>
      <c r="N23" s="175">
        <v>4531909358</v>
      </c>
      <c r="O23" s="2" t="s">
        <v>214</v>
      </c>
      <c r="Q23" s="2" t="s">
        <v>21</v>
      </c>
      <c r="R23" s="122">
        <v>6375</v>
      </c>
      <c r="S23" s="2" t="s">
        <v>38</v>
      </c>
      <c r="T23" t="s">
        <v>213</v>
      </c>
      <c r="U23" s="181">
        <f t="shared" si="0"/>
        <v>3187.5</v>
      </c>
    </row>
    <row r="24" spans="1:21" x14ac:dyDescent="0.35">
      <c r="A24" s="136">
        <v>19</v>
      </c>
      <c r="B24" t="s">
        <v>208</v>
      </c>
      <c r="C24" s="22">
        <v>46215</v>
      </c>
      <c r="D24" s="22">
        <v>46229</v>
      </c>
      <c r="E24" s="22">
        <v>45931</v>
      </c>
      <c r="F24" t="s">
        <v>52</v>
      </c>
      <c r="G24" t="s">
        <v>6</v>
      </c>
      <c r="I24" s="2" t="s">
        <v>158</v>
      </c>
      <c r="J24" s="199">
        <v>0.1</v>
      </c>
      <c r="K24">
        <v>1</v>
      </c>
      <c r="L24">
        <v>1</v>
      </c>
      <c r="M24" s="113" t="s">
        <v>209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198</v>
      </c>
    </row>
    <row r="25" spans="1:21" x14ac:dyDescent="0.35">
      <c r="A25" s="135">
        <v>20</v>
      </c>
      <c r="B25" s="116" t="s">
        <v>238</v>
      </c>
      <c r="C25" s="22">
        <v>46163</v>
      </c>
      <c r="D25" s="22">
        <v>46167</v>
      </c>
      <c r="E25" s="22">
        <v>46008</v>
      </c>
      <c r="F25" s="116" t="s">
        <v>52</v>
      </c>
      <c r="G25" s="2" t="s">
        <v>6</v>
      </c>
      <c r="K25" s="118">
        <v>3</v>
      </c>
      <c r="L25" s="118">
        <v>6</v>
      </c>
      <c r="M25" s="113" t="s">
        <v>239</v>
      </c>
      <c r="N25" s="147">
        <v>4540430234</v>
      </c>
      <c r="O25" s="2" t="s">
        <v>519</v>
      </c>
      <c r="Q25" s="2" t="s">
        <v>21</v>
      </c>
      <c r="R25" s="154">
        <v>12420</v>
      </c>
      <c r="S25" s="2" t="s">
        <v>38</v>
      </c>
      <c r="T25" t="s">
        <v>240</v>
      </c>
    </row>
    <row r="26" spans="1:21" x14ac:dyDescent="0.35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5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5">
      <c r="A28" s="135">
        <v>21</v>
      </c>
      <c r="B28" s="116" t="s">
        <v>260</v>
      </c>
      <c r="C28" s="22">
        <v>46251</v>
      </c>
      <c r="D28" s="22">
        <v>46256</v>
      </c>
      <c r="E28" s="22">
        <v>46009</v>
      </c>
      <c r="F28" s="116" t="s">
        <v>53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236</v>
      </c>
      <c r="N28" s="175">
        <v>46705125490</v>
      </c>
      <c r="O28" s="2" t="s">
        <v>235</v>
      </c>
      <c r="Q28" s="2" t="s">
        <v>21</v>
      </c>
      <c r="R28" s="154">
        <v>5175</v>
      </c>
      <c r="S28" s="2" t="s">
        <v>38</v>
      </c>
      <c r="T28" t="s">
        <v>237</v>
      </c>
    </row>
    <row r="29" spans="1:21" x14ac:dyDescent="0.35">
      <c r="A29" s="136">
        <v>22</v>
      </c>
      <c r="B29" t="s">
        <v>233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234</v>
      </c>
    </row>
    <row r="30" spans="1:21" x14ac:dyDescent="0.35">
      <c r="A30" s="135">
        <v>23</v>
      </c>
      <c r="B30" t="s">
        <v>232</v>
      </c>
      <c r="C30" s="22">
        <v>46247</v>
      </c>
      <c r="D30" s="22">
        <v>46250</v>
      </c>
      <c r="E30" s="22">
        <v>46017</v>
      </c>
      <c r="F30" t="s">
        <v>52</v>
      </c>
      <c r="G30" t="s">
        <v>35</v>
      </c>
      <c r="H30" s="1" t="s">
        <v>251</v>
      </c>
      <c r="I30" s="2" t="s">
        <v>155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5">
      <c r="A31" s="135">
        <v>24</v>
      </c>
      <c r="B31" t="s">
        <v>231</v>
      </c>
      <c r="C31" s="22">
        <v>46205</v>
      </c>
      <c r="D31" s="22">
        <v>46208</v>
      </c>
      <c r="E31" s="22">
        <v>46016</v>
      </c>
      <c r="F31" t="s">
        <v>53</v>
      </c>
      <c r="G31" t="s">
        <v>35</v>
      </c>
      <c r="I31" s="2" t="s">
        <v>155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5">
      <c r="A32" s="136">
        <v>25</v>
      </c>
      <c r="B32" t="s">
        <v>230</v>
      </c>
      <c r="C32" s="22">
        <v>46256</v>
      </c>
      <c r="D32" s="22">
        <v>46261</v>
      </c>
      <c r="E32" s="22">
        <v>46017</v>
      </c>
      <c r="F32" t="s">
        <v>56</v>
      </c>
      <c r="G32" t="s">
        <v>35</v>
      </c>
      <c r="I32" s="2" t="s">
        <v>158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5">
      <c r="A33" s="135">
        <v>26</v>
      </c>
      <c r="B33" t="s">
        <v>229</v>
      </c>
      <c r="C33" s="22">
        <v>46251</v>
      </c>
      <c r="D33" s="22">
        <v>46255</v>
      </c>
      <c r="E33" s="22">
        <v>46019</v>
      </c>
      <c r="F33" t="s">
        <v>52</v>
      </c>
      <c r="G33" t="s">
        <v>35</v>
      </c>
      <c r="H33" s="1" t="s">
        <v>495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316</v>
      </c>
    </row>
    <row r="34" spans="1:20" x14ac:dyDescent="0.35">
      <c r="A34" s="135">
        <v>27</v>
      </c>
      <c r="B34" t="s">
        <v>227</v>
      </c>
      <c r="C34" s="22">
        <v>46176</v>
      </c>
      <c r="D34" s="22">
        <v>46182</v>
      </c>
      <c r="E34" s="22">
        <v>46021</v>
      </c>
      <c r="F34" t="s">
        <v>52</v>
      </c>
      <c r="G34" t="s">
        <v>6</v>
      </c>
      <c r="I34" s="2" t="s">
        <v>436</v>
      </c>
      <c r="J34" s="199">
        <v>0.1</v>
      </c>
      <c r="K34" s="118">
        <v>1</v>
      </c>
      <c r="L34" s="118">
        <v>2</v>
      </c>
      <c r="M34" s="113" t="s">
        <v>228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437</v>
      </c>
    </row>
    <row r="35" spans="1:20" x14ac:dyDescent="0.35">
      <c r="A35" s="136">
        <v>28</v>
      </c>
      <c r="B35" t="s">
        <v>226</v>
      </c>
      <c r="C35" s="22">
        <v>46143</v>
      </c>
      <c r="D35" s="22">
        <v>46145</v>
      </c>
      <c r="E35" s="22">
        <v>46021</v>
      </c>
      <c r="F35" t="s">
        <v>52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5">
      <c r="A36" s="135">
        <v>29</v>
      </c>
      <c r="B36" t="s">
        <v>243</v>
      </c>
      <c r="C36" s="22">
        <v>46177</v>
      </c>
      <c r="D36" s="22">
        <v>46179</v>
      </c>
      <c r="E36" s="22">
        <v>46023</v>
      </c>
      <c r="F36" t="s">
        <v>57</v>
      </c>
      <c r="G36" t="s">
        <v>263</v>
      </c>
      <c r="K36" s="118"/>
      <c r="L36" s="118"/>
      <c r="M36" s="113"/>
    </row>
    <row r="37" spans="1:20" x14ac:dyDescent="0.35">
      <c r="A37" s="135">
        <v>28</v>
      </c>
      <c r="K37" s="118"/>
      <c r="L37" s="118"/>
      <c r="M37" s="113"/>
    </row>
    <row r="38" spans="1:20" x14ac:dyDescent="0.35">
      <c r="A38" s="135">
        <v>30</v>
      </c>
      <c r="B38" t="s">
        <v>241</v>
      </c>
      <c r="C38" s="22">
        <v>46230</v>
      </c>
      <c r="D38" s="22">
        <v>46234</v>
      </c>
      <c r="E38" s="22">
        <v>46025</v>
      </c>
      <c r="F38" t="s">
        <v>52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242</v>
      </c>
    </row>
    <row r="39" spans="1:20" x14ac:dyDescent="0.35">
      <c r="A39" s="136">
        <v>31</v>
      </c>
      <c r="B39" t="s">
        <v>244</v>
      </c>
      <c r="C39" s="22">
        <v>46190</v>
      </c>
      <c r="D39" s="22">
        <v>46195</v>
      </c>
      <c r="E39" s="22">
        <v>46029</v>
      </c>
      <c r="F39" t="s">
        <v>52</v>
      </c>
      <c r="G39" t="s">
        <v>6</v>
      </c>
      <c r="J39" s="199">
        <v>0.1</v>
      </c>
      <c r="K39" s="118">
        <v>1</v>
      </c>
      <c r="L39" s="118">
        <v>1</v>
      </c>
      <c r="M39" s="113" t="s">
        <v>245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246</v>
      </c>
    </row>
    <row r="40" spans="1:20" x14ac:dyDescent="0.35">
      <c r="A40" s="135">
        <v>32</v>
      </c>
      <c r="B40" t="s">
        <v>259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5">
      <c r="A41" s="135">
        <v>33</v>
      </c>
      <c r="B41" t="s">
        <v>258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5">
      <c r="A42" s="136">
        <v>34</v>
      </c>
      <c r="B42" t="s">
        <v>257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360</v>
      </c>
      <c r="I42" s="2" t="s">
        <v>155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5">
      <c r="A43" s="135">
        <v>35</v>
      </c>
      <c r="B43" t="s">
        <v>253</v>
      </c>
      <c r="C43" s="22">
        <v>46261</v>
      </c>
      <c r="D43" s="22">
        <v>46265</v>
      </c>
      <c r="E43" s="22">
        <v>46030</v>
      </c>
      <c r="F43" t="s">
        <v>53</v>
      </c>
      <c r="G43" t="s">
        <v>6</v>
      </c>
      <c r="I43" s="2" t="s">
        <v>155</v>
      </c>
      <c r="J43" s="199">
        <v>0.1</v>
      </c>
      <c r="K43">
        <v>1</v>
      </c>
      <c r="L43">
        <v>2</v>
      </c>
      <c r="M43" s="155" t="s">
        <v>254</v>
      </c>
      <c r="N43" s="175">
        <v>46733448215</v>
      </c>
      <c r="O43" s="2" t="s">
        <v>255</v>
      </c>
      <c r="Q43" s="2" t="s">
        <v>21</v>
      </c>
      <c r="R43" s="122">
        <v>4140</v>
      </c>
      <c r="S43" s="2" t="s">
        <v>38</v>
      </c>
      <c r="T43" t="s">
        <v>256</v>
      </c>
    </row>
    <row r="44" spans="1:20" x14ac:dyDescent="0.35">
      <c r="A44" s="135">
        <v>36</v>
      </c>
      <c r="B44" t="s">
        <v>252</v>
      </c>
      <c r="C44" s="22">
        <v>46209</v>
      </c>
      <c r="D44" s="22">
        <v>46212</v>
      </c>
      <c r="E44" s="22">
        <v>46030</v>
      </c>
      <c r="F44" t="s">
        <v>52</v>
      </c>
      <c r="G44" t="s">
        <v>35</v>
      </c>
      <c r="I44" s="2" t="s">
        <v>158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5">
      <c r="A45" s="135">
        <v>36</v>
      </c>
      <c r="M45" s="113"/>
    </row>
    <row r="46" spans="1:20" x14ac:dyDescent="0.35">
      <c r="A46" s="136">
        <v>37</v>
      </c>
      <c r="B46" t="s">
        <v>250</v>
      </c>
      <c r="C46" s="22">
        <v>46195</v>
      </c>
      <c r="D46" s="22">
        <v>46198</v>
      </c>
      <c r="E46" s="22">
        <v>46031</v>
      </c>
      <c r="F46" t="s">
        <v>52</v>
      </c>
      <c r="G46" t="s">
        <v>35</v>
      </c>
      <c r="H46" s="1" t="s">
        <v>251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5">
      <c r="A47" s="135">
        <v>38</v>
      </c>
      <c r="B47" t="s">
        <v>249</v>
      </c>
      <c r="C47" s="22">
        <v>46221</v>
      </c>
      <c r="D47" s="22">
        <v>46228</v>
      </c>
      <c r="E47" s="22">
        <v>46031</v>
      </c>
      <c r="F47" t="s">
        <v>56</v>
      </c>
      <c r="G47" t="s">
        <v>35</v>
      </c>
      <c r="I47" s="2" t="s">
        <v>158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5">
      <c r="A48" s="2">
        <v>39</v>
      </c>
      <c r="B48" t="s">
        <v>248</v>
      </c>
      <c r="C48" s="22">
        <v>46216</v>
      </c>
      <c r="D48" s="22">
        <v>46220</v>
      </c>
      <c r="E48" s="22">
        <v>46032</v>
      </c>
      <c r="G48" t="s">
        <v>263</v>
      </c>
    </row>
    <row r="49" spans="1:20" x14ac:dyDescent="0.35">
      <c r="A49" s="2">
        <v>40</v>
      </c>
      <c r="B49" t="s">
        <v>247</v>
      </c>
      <c r="C49" s="22">
        <v>46164</v>
      </c>
      <c r="D49" s="22">
        <v>46167</v>
      </c>
      <c r="E49" s="22">
        <v>46033</v>
      </c>
      <c r="F49" t="s">
        <v>52</v>
      </c>
      <c r="G49" t="s">
        <v>263</v>
      </c>
      <c r="M49" s="113"/>
    </row>
    <row r="50" spans="1:20" x14ac:dyDescent="0.35">
      <c r="A50" s="2">
        <v>41</v>
      </c>
      <c r="B50" t="s">
        <v>262</v>
      </c>
      <c r="C50" s="22">
        <v>46282</v>
      </c>
      <c r="D50" s="22">
        <v>46285</v>
      </c>
      <c r="E50" s="22">
        <v>46035</v>
      </c>
      <c r="F50" t="s">
        <v>52</v>
      </c>
      <c r="G50" t="s">
        <v>35</v>
      </c>
      <c r="I50" s="2" t="s">
        <v>158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5">
      <c r="A51" s="2">
        <v>42</v>
      </c>
      <c r="B51" t="s">
        <v>261</v>
      </c>
      <c r="C51" s="22">
        <v>46282</v>
      </c>
      <c r="D51" s="22">
        <v>46285</v>
      </c>
      <c r="E51" s="22">
        <v>46036</v>
      </c>
      <c r="F51" t="s">
        <v>53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5">
      <c r="A52" s="2">
        <v>43</v>
      </c>
      <c r="B52" t="s">
        <v>279</v>
      </c>
      <c r="C52" s="22">
        <v>46216</v>
      </c>
      <c r="D52" s="22">
        <v>46219</v>
      </c>
      <c r="E52" s="22">
        <v>46037</v>
      </c>
      <c r="F52" t="s">
        <v>52</v>
      </c>
      <c r="G52" t="s">
        <v>6</v>
      </c>
      <c r="H52" s="1" t="s">
        <v>251</v>
      </c>
      <c r="I52" s="2" t="s">
        <v>282</v>
      </c>
      <c r="K52">
        <v>1</v>
      </c>
      <c r="L52">
        <v>2</v>
      </c>
      <c r="M52" s="113" t="s">
        <v>281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280</v>
      </c>
    </row>
    <row r="53" spans="1:20" x14ac:dyDescent="0.35">
      <c r="A53" s="2">
        <v>44</v>
      </c>
      <c r="B53" t="s">
        <v>278</v>
      </c>
      <c r="C53" s="22">
        <v>46222</v>
      </c>
      <c r="D53" s="22">
        <v>46227</v>
      </c>
      <c r="E53" s="22">
        <v>46037</v>
      </c>
      <c r="F53" t="s">
        <v>285</v>
      </c>
      <c r="G53" t="s">
        <v>35</v>
      </c>
      <c r="I53" s="2" t="s">
        <v>155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5">
      <c r="A54" s="2">
        <v>45</v>
      </c>
      <c r="B54" t="s">
        <v>277</v>
      </c>
      <c r="C54" s="22">
        <v>46240</v>
      </c>
      <c r="D54" s="22">
        <v>46243</v>
      </c>
      <c r="E54" s="22">
        <v>46038</v>
      </c>
      <c r="F54" t="s">
        <v>53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5">
      <c r="A55" s="2">
        <v>46</v>
      </c>
      <c r="B55" t="s">
        <v>274</v>
      </c>
      <c r="C55" s="22">
        <v>46247</v>
      </c>
      <c r="D55" s="22">
        <v>46252</v>
      </c>
      <c r="E55" s="22">
        <v>46037</v>
      </c>
      <c r="F55" t="s">
        <v>52</v>
      </c>
      <c r="G55" t="s">
        <v>35</v>
      </c>
      <c r="H55" s="1" t="s">
        <v>251</v>
      </c>
      <c r="I55" s="2" t="s">
        <v>155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276</v>
      </c>
      <c r="T55" t="s">
        <v>275</v>
      </c>
    </row>
    <row r="56" spans="1:20" x14ac:dyDescent="0.35">
      <c r="A56" s="2">
        <v>47</v>
      </c>
      <c r="B56" t="s">
        <v>210</v>
      </c>
      <c r="C56" s="22">
        <v>46281</v>
      </c>
      <c r="D56" s="22">
        <v>46286</v>
      </c>
      <c r="E56" s="22">
        <v>46037</v>
      </c>
      <c r="F56" t="s">
        <v>52</v>
      </c>
      <c r="G56" t="s">
        <v>6</v>
      </c>
      <c r="K56">
        <v>1</v>
      </c>
      <c r="L56">
        <v>2</v>
      </c>
      <c r="M56" s="113" t="s">
        <v>211</v>
      </c>
      <c r="N56" s="175">
        <v>4531909358</v>
      </c>
      <c r="O56" s="177" t="s">
        <v>272</v>
      </c>
      <c r="Q56" s="2" t="s">
        <v>21</v>
      </c>
      <c r="S56" s="2" t="s">
        <v>21</v>
      </c>
      <c r="T56" t="s">
        <v>273</v>
      </c>
    </row>
    <row r="57" spans="1:20" x14ac:dyDescent="0.35">
      <c r="A57" s="2">
        <v>48</v>
      </c>
      <c r="B57" t="s">
        <v>271</v>
      </c>
      <c r="C57" s="22">
        <v>46156</v>
      </c>
      <c r="D57" s="22">
        <v>46159</v>
      </c>
      <c r="E57" s="22">
        <v>46040</v>
      </c>
      <c r="F57" t="s">
        <v>52</v>
      </c>
      <c r="G57" t="s">
        <v>263</v>
      </c>
      <c r="M57" s="113"/>
    </row>
    <row r="58" spans="1:20" x14ac:dyDescent="0.35">
      <c r="A58" s="2">
        <v>49</v>
      </c>
      <c r="B58" t="s">
        <v>270</v>
      </c>
      <c r="C58" s="22">
        <v>46228</v>
      </c>
      <c r="D58" s="22">
        <v>46235</v>
      </c>
      <c r="E58" s="22">
        <v>46040</v>
      </c>
      <c r="F58" t="s">
        <v>52</v>
      </c>
      <c r="G58" t="s">
        <v>35</v>
      </c>
      <c r="I58" s="2" t="s">
        <v>155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5">
      <c r="A59" s="2">
        <v>50</v>
      </c>
      <c r="B59" t="s">
        <v>269</v>
      </c>
      <c r="C59" s="22">
        <v>46237</v>
      </c>
      <c r="D59" s="22">
        <v>46241</v>
      </c>
      <c r="E59" s="22">
        <v>46039</v>
      </c>
      <c r="F59" t="s">
        <v>52</v>
      </c>
      <c r="G59" t="s">
        <v>35</v>
      </c>
      <c r="I59" s="2" t="s">
        <v>155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5">
      <c r="A60" s="2">
        <v>51</v>
      </c>
      <c r="B60" t="s">
        <v>266</v>
      </c>
      <c r="C60" s="22">
        <v>46250</v>
      </c>
      <c r="D60" s="22">
        <v>46255</v>
      </c>
      <c r="E60" s="22">
        <v>46041</v>
      </c>
      <c r="F60" t="s">
        <v>52</v>
      </c>
      <c r="G60" t="s">
        <v>6</v>
      </c>
      <c r="J60" s="199">
        <v>0.1</v>
      </c>
      <c r="K60">
        <v>1</v>
      </c>
      <c r="L60">
        <v>2</v>
      </c>
      <c r="M60" s="155" t="s">
        <v>268</v>
      </c>
      <c r="N60" s="175">
        <v>4540474386</v>
      </c>
      <c r="O60" s="177" t="s">
        <v>267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5">
      <c r="A61" s="2">
        <v>52</v>
      </c>
      <c r="B61" t="s">
        <v>284</v>
      </c>
      <c r="C61" s="22">
        <v>46251</v>
      </c>
      <c r="D61" s="22">
        <v>46255</v>
      </c>
      <c r="E61" s="22">
        <v>46041</v>
      </c>
      <c r="F61" t="s">
        <v>52</v>
      </c>
      <c r="G61" t="s">
        <v>35</v>
      </c>
      <c r="H61" s="1" t="s">
        <v>438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5">
      <c r="A62" s="2">
        <v>53</v>
      </c>
      <c r="B62" t="s">
        <v>283</v>
      </c>
      <c r="C62" s="22">
        <v>46155</v>
      </c>
      <c r="D62" s="22">
        <v>46158</v>
      </c>
      <c r="E62" s="22">
        <v>46041</v>
      </c>
      <c r="F62" t="s">
        <v>52</v>
      </c>
      <c r="G62" t="s">
        <v>35</v>
      </c>
      <c r="H62" s="1" t="s">
        <v>368</v>
      </c>
      <c r="I62" s="2" t="s">
        <v>155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5">
      <c r="A63" s="2">
        <v>54</v>
      </c>
      <c r="B63" t="s">
        <v>298</v>
      </c>
      <c r="C63" s="22">
        <v>46254</v>
      </c>
      <c r="D63" s="22">
        <v>46257</v>
      </c>
      <c r="E63" s="22">
        <v>46042</v>
      </c>
      <c r="F63" t="s">
        <v>52</v>
      </c>
      <c r="G63" t="s">
        <v>35</v>
      </c>
      <c r="H63" s="1" t="s">
        <v>373</v>
      </c>
      <c r="I63" s="2" t="s">
        <v>434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5">
      <c r="A64" s="2">
        <v>54</v>
      </c>
      <c r="M64" s="113"/>
      <c r="R64" s="154"/>
    </row>
    <row r="65" spans="1:20" x14ac:dyDescent="0.35">
      <c r="A65" s="2">
        <v>55</v>
      </c>
      <c r="B65" t="s">
        <v>297</v>
      </c>
      <c r="C65" s="22">
        <v>46230</v>
      </c>
      <c r="D65" s="22">
        <v>46234</v>
      </c>
      <c r="E65" s="22">
        <v>46042</v>
      </c>
      <c r="F65" t="s">
        <v>52</v>
      </c>
      <c r="G65" t="s">
        <v>35</v>
      </c>
      <c r="I65" s="2" t="s">
        <v>155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5">
      <c r="A66" s="2">
        <v>56</v>
      </c>
      <c r="B66" t="s">
        <v>294</v>
      </c>
      <c r="C66" s="22">
        <v>46192</v>
      </c>
      <c r="D66" s="22">
        <v>46194</v>
      </c>
      <c r="E66" s="22">
        <v>46043</v>
      </c>
      <c r="F66" t="s">
        <v>52</v>
      </c>
      <c r="G66" t="s">
        <v>35</v>
      </c>
      <c r="H66" s="1" t="s">
        <v>307</v>
      </c>
      <c r="I66" s="2" t="s">
        <v>155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296</v>
      </c>
    </row>
    <row r="67" spans="1:20" x14ac:dyDescent="0.35">
      <c r="A67" s="2">
        <v>57</v>
      </c>
      <c r="B67" t="s">
        <v>291</v>
      </c>
      <c r="C67" s="22">
        <v>46232</v>
      </c>
      <c r="D67" s="22">
        <v>46238</v>
      </c>
      <c r="E67" s="22">
        <v>46043</v>
      </c>
      <c r="F67" t="s">
        <v>53</v>
      </c>
      <c r="G67" t="s">
        <v>35</v>
      </c>
      <c r="K67">
        <v>1</v>
      </c>
      <c r="L67">
        <v>2</v>
      </c>
      <c r="N67" s="175">
        <v>466700686</v>
      </c>
      <c r="O67" s="2" t="s">
        <v>292</v>
      </c>
      <c r="Q67" s="2" t="s">
        <v>20</v>
      </c>
      <c r="R67" s="154">
        <v>6450</v>
      </c>
      <c r="S67" s="2" t="s">
        <v>38</v>
      </c>
      <c r="T67" t="s">
        <v>293</v>
      </c>
    </row>
    <row r="68" spans="1:20" x14ac:dyDescent="0.35">
      <c r="A68" s="2">
        <v>58</v>
      </c>
      <c r="B68" t="s">
        <v>289</v>
      </c>
      <c r="C68" s="22">
        <v>46229</v>
      </c>
      <c r="D68" s="22">
        <v>46233</v>
      </c>
      <c r="E68" s="22">
        <v>46046</v>
      </c>
      <c r="F68" t="s">
        <v>52</v>
      </c>
      <c r="G68" t="s">
        <v>6</v>
      </c>
      <c r="I68" s="2" t="s">
        <v>158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290</v>
      </c>
    </row>
    <row r="69" spans="1:20" x14ac:dyDescent="0.35">
      <c r="A69" s="2">
        <v>58</v>
      </c>
      <c r="C69" s="22">
        <v>46229</v>
      </c>
      <c r="M69" s="113"/>
      <c r="R69" s="154"/>
    </row>
    <row r="70" spans="1:20" x14ac:dyDescent="0.35">
      <c r="A70" s="2">
        <v>59</v>
      </c>
      <c r="B70" t="s">
        <v>299</v>
      </c>
      <c r="C70" s="22">
        <v>46244</v>
      </c>
      <c r="D70" s="22">
        <v>46248</v>
      </c>
      <c r="E70" s="22">
        <v>46047</v>
      </c>
      <c r="F70" t="s">
        <v>52</v>
      </c>
      <c r="G70" t="s">
        <v>35</v>
      </c>
      <c r="H70" s="1" t="s">
        <v>300</v>
      </c>
      <c r="I70" s="2" t="s">
        <v>155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5">
      <c r="A71" s="2">
        <v>60</v>
      </c>
      <c r="B71" t="s">
        <v>306</v>
      </c>
      <c r="C71" s="22">
        <v>46258</v>
      </c>
      <c r="D71" s="22">
        <v>46262</v>
      </c>
      <c r="E71" s="22">
        <v>46047</v>
      </c>
      <c r="F71" t="s">
        <v>52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5">
      <c r="A72" s="2">
        <v>61</v>
      </c>
      <c r="B72" t="s">
        <v>304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305</v>
      </c>
      <c r="I72" s="2" t="s">
        <v>295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5">
      <c r="A73" s="2">
        <v>62</v>
      </c>
      <c r="B73" t="s">
        <v>303</v>
      </c>
      <c r="C73" s="22">
        <v>46214</v>
      </c>
      <c r="D73" s="22">
        <v>46225</v>
      </c>
      <c r="E73" s="22">
        <v>46047</v>
      </c>
      <c r="F73" t="s">
        <v>52</v>
      </c>
      <c r="G73" t="s">
        <v>35</v>
      </c>
      <c r="I73" s="2" t="s">
        <v>295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315</v>
      </c>
    </row>
    <row r="74" spans="1:20" x14ac:dyDescent="0.35">
      <c r="A74" s="2">
        <v>63</v>
      </c>
      <c r="B74" t="s">
        <v>301</v>
      </c>
      <c r="C74" s="22">
        <v>46153</v>
      </c>
      <c r="D74" s="22">
        <v>46155</v>
      </c>
      <c r="E74" s="22">
        <v>46048</v>
      </c>
      <c r="F74" t="s">
        <v>53</v>
      </c>
      <c r="G74" t="s">
        <v>6</v>
      </c>
      <c r="H74" s="1" t="s">
        <v>439</v>
      </c>
      <c r="I74" s="2" t="s">
        <v>155</v>
      </c>
      <c r="J74" s="199">
        <v>0.05</v>
      </c>
      <c r="K74">
        <v>1</v>
      </c>
      <c r="L74">
        <v>2</v>
      </c>
      <c r="M74" s="113" t="s">
        <v>302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5">
      <c r="A75" s="2">
        <v>64</v>
      </c>
      <c r="B75" t="s">
        <v>308</v>
      </c>
      <c r="C75" s="22">
        <v>46198</v>
      </c>
      <c r="D75" s="22">
        <v>46201</v>
      </c>
      <c r="E75" s="22">
        <v>46053</v>
      </c>
      <c r="F75" t="s">
        <v>53</v>
      </c>
      <c r="G75" t="s">
        <v>35</v>
      </c>
      <c r="I75" s="2" t="s">
        <v>158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5">
      <c r="A76" s="2">
        <v>65</v>
      </c>
      <c r="B76" t="s">
        <v>312</v>
      </c>
      <c r="C76" s="22">
        <v>46256</v>
      </c>
      <c r="D76" s="22">
        <v>46259</v>
      </c>
      <c r="E76" s="22">
        <v>46054</v>
      </c>
      <c r="F76" t="s">
        <v>52</v>
      </c>
      <c r="G76" t="s">
        <v>35</v>
      </c>
      <c r="I76" s="2" t="s">
        <v>155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5">
      <c r="A77" s="2">
        <v>66</v>
      </c>
      <c r="B77" t="s">
        <v>310</v>
      </c>
      <c r="C77" s="22">
        <v>46214</v>
      </c>
      <c r="D77" s="22">
        <v>46222</v>
      </c>
      <c r="E77" s="22">
        <v>46054</v>
      </c>
      <c r="F77" t="s">
        <v>52</v>
      </c>
      <c r="G77" t="s">
        <v>6</v>
      </c>
      <c r="J77" s="199">
        <v>0.1</v>
      </c>
      <c r="K77">
        <v>1</v>
      </c>
      <c r="L77">
        <v>2</v>
      </c>
      <c r="M77" s="113" t="s">
        <v>311</v>
      </c>
      <c r="N77" s="146">
        <v>4521261488</v>
      </c>
      <c r="O77" s="2" t="s">
        <v>178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5">
      <c r="A78" s="2">
        <v>67</v>
      </c>
      <c r="B78" t="s">
        <v>309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251</v>
      </c>
      <c r="I78" s="2" t="s">
        <v>155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5">
      <c r="A79" s="2">
        <v>68</v>
      </c>
      <c r="B79" t="s">
        <v>314</v>
      </c>
      <c r="C79" s="22">
        <v>46143</v>
      </c>
      <c r="D79" s="22">
        <v>46145</v>
      </c>
      <c r="E79" s="22">
        <v>46055</v>
      </c>
      <c r="F79" t="s">
        <v>52</v>
      </c>
      <c r="G79" t="s">
        <v>35</v>
      </c>
      <c r="H79" s="1" t="s">
        <v>439</v>
      </c>
      <c r="I79" s="2" t="s">
        <v>158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5">
      <c r="A80" s="2">
        <v>69</v>
      </c>
      <c r="B80" t="s">
        <v>313</v>
      </c>
      <c r="C80" s="22">
        <v>46212</v>
      </c>
      <c r="D80" s="22">
        <v>46215</v>
      </c>
      <c r="E80" s="22">
        <v>46055</v>
      </c>
      <c r="F80" t="s">
        <v>52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5">
      <c r="A81" s="2">
        <v>70</v>
      </c>
      <c r="B81" t="s">
        <v>321</v>
      </c>
      <c r="C81" s="22">
        <v>46188</v>
      </c>
      <c r="D81" s="22">
        <v>46193</v>
      </c>
      <c r="E81" s="22">
        <v>46056</v>
      </c>
      <c r="F81" t="s">
        <v>52</v>
      </c>
      <c r="G81" t="s">
        <v>6</v>
      </c>
      <c r="K81">
        <v>1</v>
      </c>
      <c r="L81">
        <v>2</v>
      </c>
      <c r="M81" s="113" t="s">
        <v>322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323</v>
      </c>
    </row>
    <row r="82" spans="1:20" x14ac:dyDescent="0.35">
      <c r="A82" s="2">
        <v>71</v>
      </c>
      <c r="B82" t="s">
        <v>324</v>
      </c>
      <c r="C82" s="22">
        <v>46260</v>
      </c>
      <c r="D82" s="22">
        <v>46264</v>
      </c>
      <c r="E82" s="22">
        <v>46057</v>
      </c>
      <c r="F82" t="s">
        <v>31</v>
      </c>
      <c r="G82" t="s">
        <v>263</v>
      </c>
      <c r="I82" s="2" t="s">
        <v>158</v>
      </c>
    </row>
    <row r="83" spans="1:20" x14ac:dyDescent="0.35">
      <c r="A83" s="2">
        <v>72</v>
      </c>
      <c r="B83" t="s">
        <v>318</v>
      </c>
      <c r="C83" s="22">
        <v>46145</v>
      </c>
      <c r="D83" s="22">
        <v>46152</v>
      </c>
      <c r="E83" s="22">
        <v>46060</v>
      </c>
      <c r="F83" t="s">
        <v>52</v>
      </c>
      <c r="G83" t="s">
        <v>35</v>
      </c>
      <c r="H83" s="1" t="s">
        <v>435</v>
      </c>
      <c r="I83" s="2" t="s">
        <v>158</v>
      </c>
      <c r="K83">
        <v>1</v>
      </c>
      <c r="L83">
        <v>2</v>
      </c>
      <c r="M83" s="155" t="s">
        <v>319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320</v>
      </c>
    </row>
    <row r="84" spans="1:20" x14ac:dyDescent="0.35">
      <c r="A84" s="2">
        <v>73</v>
      </c>
      <c r="B84" t="s">
        <v>317</v>
      </c>
      <c r="C84" s="22">
        <v>46143</v>
      </c>
      <c r="D84" s="22">
        <v>46145</v>
      </c>
      <c r="E84" s="22">
        <v>46061</v>
      </c>
      <c r="F84" t="s">
        <v>52</v>
      </c>
      <c r="G84" t="s">
        <v>263</v>
      </c>
    </row>
    <row r="85" spans="1:20" x14ac:dyDescent="0.35">
      <c r="A85" s="2">
        <v>74</v>
      </c>
      <c r="B85" t="s">
        <v>327</v>
      </c>
      <c r="C85" s="22">
        <v>46236</v>
      </c>
      <c r="D85" s="22">
        <v>46240</v>
      </c>
      <c r="E85" s="22">
        <v>46063</v>
      </c>
      <c r="F85" t="s">
        <v>52</v>
      </c>
      <c r="G85" t="s">
        <v>6</v>
      </c>
      <c r="J85" s="199">
        <v>0.1</v>
      </c>
      <c r="K85">
        <v>2</v>
      </c>
      <c r="L85">
        <v>3</v>
      </c>
      <c r="M85" s="113" t="s">
        <v>328</v>
      </c>
      <c r="Q85" s="2" t="s">
        <v>21</v>
      </c>
      <c r="R85" s="154">
        <v>8460</v>
      </c>
      <c r="S85" s="2" t="s">
        <v>21</v>
      </c>
      <c r="T85" t="s">
        <v>329</v>
      </c>
    </row>
    <row r="86" spans="1:20" x14ac:dyDescent="0.35">
      <c r="A86" s="2">
        <v>74</v>
      </c>
      <c r="M86" s="113"/>
      <c r="R86" s="154"/>
    </row>
    <row r="87" spans="1:20" x14ac:dyDescent="0.35">
      <c r="A87" s="2">
        <v>75</v>
      </c>
      <c r="B87" t="s">
        <v>326</v>
      </c>
      <c r="C87" s="22">
        <v>46276</v>
      </c>
      <c r="D87" s="22">
        <v>46279</v>
      </c>
      <c r="E87" s="22">
        <v>46067</v>
      </c>
      <c r="F87" t="s">
        <v>52</v>
      </c>
      <c r="G87" t="s">
        <v>263</v>
      </c>
      <c r="R87" s="154"/>
    </row>
    <row r="88" spans="1:20" x14ac:dyDescent="0.35">
      <c r="A88" s="2">
        <v>76</v>
      </c>
      <c r="B88" t="s">
        <v>325</v>
      </c>
      <c r="C88" s="22">
        <v>46202</v>
      </c>
      <c r="D88" s="22">
        <v>46206</v>
      </c>
      <c r="E88" s="22">
        <v>46068</v>
      </c>
      <c r="F88" t="s">
        <v>52</v>
      </c>
      <c r="G88" t="s">
        <v>35</v>
      </c>
      <c r="I88" s="2" t="s">
        <v>158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5">
      <c r="A89" s="2">
        <v>77</v>
      </c>
      <c r="B89" t="s">
        <v>330</v>
      </c>
      <c r="C89" s="22">
        <v>46200</v>
      </c>
      <c r="D89" s="22">
        <v>46207</v>
      </c>
      <c r="E89" s="22">
        <v>46069</v>
      </c>
      <c r="F89" t="s">
        <v>52</v>
      </c>
      <c r="G89" t="s">
        <v>6</v>
      </c>
      <c r="K89">
        <v>1</v>
      </c>
      <c r="L89">
        <v>2</v>
      </c>
      <c r="M89" s="155" t="s">
        <v>331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332</v>
      </c>
    </row>
    <row r="90" spans="1:20" x14ac:dyDescent="0.35">
      <c r="A90" s="2">
        <v>78</v>
      </c>
      <c r="B90" t="s">
        <v>340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155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5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52</v>
      </c>
      <c r="G91" t="s">
        <v>6</v>
      </c>
      <c r="J91" s="199">
        <v>0.1</v>
      </c>
      <c r="K91">
        <v>1</v>
      </c>
      <c r="L91">
        <v>2</v>
      </c>
      <c r="M91" s="113" t="s">
        <v>338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339</v>
      </c>
    </row>
    <row r="92" spans="1:20" x14ac:dyDescent="0.35">
      <c r="A92" s="2">
        <v>80</v>
      </c>
      <c r="B92" t="s">
        <v>335</v>
      </c>
      <c r="C92" s="22">
        <v>46149</v>
      </c>
      <c r="D92" s="22">
        <v>46152</v>
      </c>
      <c r="E92" s="22">
        <v>46074</v>
      </c>
      <c r="F92" t="s">
        <v>52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336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337</v>
      </c>
    </row>
    <row r="93" spans="1:20" x14ac:dyDescent="0.35">
      <c r="A93" s="2">
        <v>80</v>
      </c>
      <c r="M93" s="113"/>
      <c r="N93" s="146"/>
    </row>
    <row r="94" spans="1:20" x14ac:dyDescent="0.35">
      <c r="A94" s="2">
        <v>81</v>
      </c>
      <c r="B94" t="s">
        <v>341</v>
      </c>
      <c r="C94" s="22">
        <v>46218</v>
      </c>
      <c r="D94" s="22">
        <v>46221</v>
      </c>
      <c r="E94" s="22">
        <v>46074</v>
      </c>
      <c r="F94" t="s">
        <v>52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5">
      <c r="A95" s="2">
        <v>82</v>
      </c>
      <c r="B95" s="179" t="s">
        <v>342</v>
      </c>
      <c r="C95" s="22">
        <v>46143</v>
      </c>
      <c r="D95" s="22">
        <v>46145</v>
      </c>
      <c r="E95" s="22">
        <v>46075</v>
      </c>
      <c r="F95" t="s">
        <v>52</v>
      </c>
      <c r="G95" t="s">
        <v>263</v>
      </c>
      <c r="R95" s="154"/>
    </row>
    <row r="96" spans="1:20" x14ac:dyDescent="0.35">
      <c r="A96" s="2">
        <v>83</v>
      </c>
      <c r="B96" s="182" t="s">
        <v>343</v>
      </c>
      <c r="C96" s="22">
        <v>46187</v>
      </c>
      <c r="D96" s="22">
        <v>46191</v>
      </c>
      <c r="E96" s="22">
        <v>46077</v>
      </c>
      <c r="F96" t="s">
        <v>52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5">
      <c r="A97" s="2">
        <v>84</v>
      </c>
      <c r="B97" s="179" t="s">
        <v>355</v>
      </c>
      <c r="C97" s="22">
        <v>46212</v>
      </c>
      <c r="D97" s="22">
        <v>46216</v>
      </c>
      <c r="E97" s="22">
        <v>46079</v>
      </c>
      <c r="F97" t="s">
        <v>52</v>
      </c>
      <c r="G97" t="s">
        <v>6</v>
      </c>
      <c r="J97" s="199">
        <v>0.1</v>
      </c>
      <c r="K97">
        <v>1</v>
      </c>
      <c r="L97">
        <v>2</v>
      </c>
      <c r="M97" s="155" t="s">
        <v>356</v>
      </c>
      <c r="N97" s="146">
        <v>4526251564</v>
      </c>
      <c r="O97" s="2" t="s">
        <v>357</v>
      </c>
      <c r="Q97" s="2" t="s">
        <v>20</v>
      </c>
      <c r="R97" s="154">
        <v>3870</v>
      </c>
    </row>
    <row r="98" spans="1:20" x14ac:dyDescent="0.35">
      <c r="A98" s="2">
        <v>85</v>
      </c>
      <c r="B98" t="s">
        <v>354</v>
      </c>
      <c r="C98" s="22">
        <v>46143</v>
      </c>
      <c r="D98" s="22">
        <v>46145</v>
      </c>
      <c r="E98" s="22">
        <v>46081</v>
      </c>
      <c r="F98" t="s">
        <v>52</v>
      </c>
      <c r="G98" t="s">
        <v>35</v>
      </c>
      <c r="H98" s="1" t="s">
        <v>251</v>
      </c>
      <c r="I98" s="2" t="s">
        <v>158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5">
      <c r="A99" s="2">
        <v>86</v>
      </c>
      <c r="B99" t="s">
        <v>351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352</v>
      </c>
      <c r="O99" s="2" t="s">
        <v>353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5">
      <c r="A100" s="2">
        <v>87</v>
      </c>
      <c r="B100" t="s">
        <v>358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5">
      <c r="A101" s="2">
        <v>88</v>
      </c>
      <c r="B101" t="s">
        <v>365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263</v>
      </c>
    </row>
    <row r="102" spans="1:20" x14ac:dyDescent="0.35">
      <c r="A102" s="2">
        <v>89</v>
      </c>
      <c r="B102" t="s">
        <v>361</v>
      </c>
      <c r="C102" s="22">
        <v>46276</v>
      </c>
      <c r="D102" s="22">
        <v>46278</v>
      </c>
      <c r="E102" s="22">
        <v>46091</v>
      </c>
      <c r="F102" t="s">
        <v>52</v>
      </c>
      <c r="G102" t="s">
        <v>6</v>
      </c>
      <c r="I102" s="2" t="s">
        <v>158</v>
      </c>
      <c r="J102" s="199">
        <v>0.05</v>
      </c>
      <c r="K102">
        <v>2</v>
      </c>
      <c r="L102">
        <v>3</v>
      </c>
      <c r="M102" s="113" t="s">
        <v>362</v>
      </c>
      <c r="N102">
        <v>4540528447</v>
      </c>
      <c r="O102"/>
      <c r="P102" s="2" t="s">
        <v>364</v>
      </c>
      <c r="Q102" s="2" t="s">
        <v>21</v>
      </c>
      <c r="R102" s="122">
        <f>2185+1805</f>
        <v>3990</v>
      </c>
      <c r="S102" s="2" t="s">
        <v>20</v>
      </c>
      <c r="T102" t="s">
        <v>363</v>
      </c>
    </row>
    <row r="103" spans="1:20" x14ac:dyDescent="0.35">
      <c r="M103" s="113"/>
      <c r="N103"/>
      <c r="O103"/>
    </row>
    <row r="104" spans="1:20" x14ac:dyDescent="0.35">
      <c r="A104" s="2">
        <v>90</v>
      </c>
      <c r="B104" t="s">
        <v>359</v>
      </c>
      <c r="C104" s="22">
        <v>46156</v>
      </c>
      <c r="D104" s="22">
        <v>46159</v>
      </c>
      <c r="E104" s="22">
        <v>46091</v>
      </c>
      <c r="F104" t="s">
        <v>53</v>
      </c>
      <c r="G104" t="s">
        <v>35</v>
      </c>
      <c r="H104" s="1" t="s">
        <v>360</v>
      </c>
      <c r="I104" s="2" t="s">
        <v>155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5">
      <c r="A105" s="2">
        <v>91</v>
      </c>
      <c r="B105" t="s">
        <v>366</v>
      </c>
      <c r="C105" s="22">
        <v>46157</v>
      </c>
      <c r="D105" s="22">
        <v>46159</v>
      </c>
      <c r="E105" s="22">
        <v>46095</v>
      </c>
      <c r="F105" t="s">
        <v>52</v>
      </c>
      <c r="G105" t="s">
        <v>6</v>
      </c>
      <c r="J105" s="199">
        <v>0.05</v>
      </c>
      <c r="K105">
        <v>1</v>
      </c>
      <c r="L105">
        <v>2</v>
      </c>
      <c r="N105"/>
      <c r="O105" t="s">
        <v>493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5">
      <c r="A106" s="2">
        <v>92</v>
      </c>
      <c r="B106" t="s">
        <v>367</v>
      </c>
      <c r="C106" s="22">
        <v>46241</v>
      </c>
      <c r="D106" s="22">
        <v>46246</v>
      </c>
      <c r="E106" s="22">
        <v>46095</v>
      </c>
      <c r="F106" t="s">
        <v>52</v>
      </c>
      <c r="G106" t="s">
        <v>6</v>
      </c>
      <c r="H106" s="1" t="s">
        <v>368</v>
      </c>
      <c r="I106" s="2" t="s">
        <v>158</v>
      </c>
      <c r="J106" s="199">
        <v>0.1</v>
      </c>
      <c r="K106">
        <v>1</v>
      </c>
      <c r="L106">
        <v>2</v>
      </c>
      <c r="M106" s="113" t="s">
        <v>369</v>
      </c>
      <c r="N106"/>
      <c r="O106" t="s">
        <v>370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371</v>
      </c>
    </row>
    <row r="107" spans="1:20" x14ac:dyDescent="0.35">
      <c r="A107" s="2">
        <v>93</v>
      </c>
      <c r="B107" t="s">
        <v>372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373</v>
      </c>
      <c r="I107" s="2" t="s">
        <v>158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5">
      <c r="A108" s="2">
        <v>94</v>
      </c>
      <c r="B108" t="s">
        <v>374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5">
      <c r="A109" s="2">
        <v>95</v>
      </c>
      <c r="B109" t="s">
        <v>375</v>
      </c>
      <c r="C109" s="22">
        <v>46156</v>
      </c>
      <c r="D109" s="22">
        <v>46159</v>
      </c>
      <c r="E109" s="22">
        <v>46098</v>
      </c>
      <c r="F109" t="s">
        <v>53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5">
      <c r="A110" s="2">
        <v>96</v>
      </c>
      <c r="B110" t="s">
        <v>376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377</v>
      </c>
      <c r="I110" s="2" t="s">
        <v>155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5">
      <c r="A111" s="2">
        <v>97</v>
      </c>
      <c r="B111" t="s">
        <v>378</v>
      </c>
      <c r="C111" s="22">
        <v>46156</v>
      </c>
      <c r="D111" s="22">
        <v>46159</v>
      </c>
      <c r="E111" s="22">
        <v>46102</v>
      </c>
      <c r="F111" t="s">
        <v>52</v>
      </c>
      <c r="G111" t="s">
        <v>35</v>
      </c>
      <c r="H111" s="1">
        <v>1300</v>
      </c>
      <c r="I111" s="2" t="s">
        <v>155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5">
      <c r="A112" s="2">
        <v>98</v>
      </c>
      <c r="B112" t="s">
        <v>379</v>
      </c>
      <c r="C112" s="22">
        <v>46207</v>
      </c>
      <c r="D112" s="22">
        <v>46210</v>
      </c>
      <c r="E112" s="22">
        <v>46103</v>
      </c>
      <c r="F112" t="s">
        <v>52</v>
      </c>
      <c r="G112" t="s">
        <v>263</v>
      </c>
      <c r="J112" s="199">
        <v>0</v>
      </c>
      <c r="N112"/>
      <c r="O112"/>
    </row>
    <row r="113" spans="1:20" x14ac:dyDescent="0.35">
      <c r="A113" s="2">
        <v>99</v>
      </c>
      <c r="B113" t="s">
        <v>380</v>
      </c>
      <c r="C113" s="22">
        <v>46171</v>
      </c>
      <c r="D113" s="22">
        <v>46173</v>
      </c>
      <c r="E113" s="22">
        <v>46104</v>
      </c>
      <c r="F113" t="s">
        <v>52</v>
      </c>
      <c r="G113" t="s">
        <v>263</v>
      </c>
      <c r="M113" s="113" t="s">
        <v>381</v>
      </c>
      <c r="N113" t="s">
        <v>382</v>
      </c>
      <c r="O113" t="s">
        <v>383</v>
      </c>
    </row>
    <row r="114" spans="1:20" x14ac:dyDescent="0.35">
      <c r="A114" s="2">
        <v>100</v>
      </c>
      <c r="B114" t="s">
        <v>384</v>
      </c>
      <c r="C114" s="22">
        <v>46279</v>
      </c>
      <c r="D114" s="22">
        <v>46281</v>
      </c>
      <c r="E114" s="22">
        <v>46104</v>
      </c>
      <c r="F114" t="s">
        <v>52</v>
      </c>
      <c r="G114" t="s">
        <v>35</v>
      </c>
      <c r="H114" s="1" t="s">
        <v>494</v>
      </c>
      <c r="I114" s="2" t="s">
        <v>155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5">
      <c r="A115" s="2">
        <v>101</v>
      </c>
      <c r="B115" t="s">
        <v>385</v>
      </c>
      <c r="C115" s="22">
        <v>46279</v>
      </c>
      <c r="D115" s="22">
        <v>46281</v>
      </c>
      <c r="E115" s="22">
        <v>46104</v>
      </c>
      <c r="F115" t="s">
        <v>52</v>
      </c>
      <c r="G115" t="s">
        <v>35</v>
      </c>
      <c r="H115" s="1" t="s">
        <v>494</v>
      </c>
      <c r="I115" s="2" t="s">
        <v>158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5">
      <c r="A116" s="2">
        <v>102</v>
      </c>
      <c r="B116" t="s">
        <v>386</v>
      </c>
      <c r="C116" s="22">
        <v>46172</v>
      </c>
      <c r="D116" s="22">
        <v>46174</v>
      </c>
      <c r="E116" s="22">
        <v>46106</v>
      </c>
      <c r="F116" t="s">
        <v>52</v>
      </c>
      <c r="G116" t="s">
        <v>263</v>
      </c>
      <c r="N116"/>
      <c r="O116"/>
    </row>
    <row r="117" spans="1:20" x14ac:dyDescent="0.35">
      <c r="A117" s="2">
        <v>103</v>
      </c>
      <c r="B117" t="s">
        <v>387</v>
      </c>
      <c r="C117" s="22">
        <v>46277</v>
      </c>
      <c r="D117" s="22">
        <v>46284</v>
      </c>
      <c r="E117" s="22">
        <v>46107</v>
      </c>
      <c r="F117" t="s">
        <v>52</v>
      </c>
      <c r="G117" t="s">
        <v>6</v>
      </c>
      <c r="I117" s="2" t="s">
        <v>158</v>
      </c>
      <c r="J117" s="199">
        <v>0.1</v>
      </c>
      <c r="K117">
        <v>1</v>
      </c>
      <c r="L117">
        <v>2</v>
      </c>
      <c r="M117" s="113" t="s">
        <v>388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5">
      <c r="A118" s="2">
        <v>104</v>
      </c>
      <c r="B118" t="s">
        <v>389</v>
      </c>
      <c r="C118" s="22">
        <v>46204</v>
      </c>
      <c r="D118" s="22">
        <v>46207</v>
      </c>
      <c r="E118" s="22">
        <v>46107</v>
      </c>
      <c r="F118" t="s">
        <v>52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5">
      <c r="A119" s="2">
        <v>105</v>
      </c>
      <c r="B119" t="s">
        <v>395</v>
      </c>
      <c r="C119" s="194">
        <v>46260</v>
      </c>
      <c r="D119" s="194">
        <v>46264</v>
      </c>
      <c r="E119" s="194">
        <v>46108</v>
      </c>
      <c r="F119" t="s">
        <v>52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5">
      <c r="A120" s="2">
        <v>106</v>
      </c>
      <c r="B120" t="s">
        <v>394</v>
      </c>
      <c r="C120" s="194">
        <v>46207</v>
      </c>
      <c r="D120" s="194">
        <v>46210</v>
      </c>
      <c r="E120" s="194">
        <v>46109</v>
      </c>
      <c r="F120" t="s">
        <v>52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5">
      <c r="A121" s="2">
        <v>107</v>
      </c>
      <c r="B121" t="s">
        <v>391</v>
      </c>
      <c r="C121" s="194">
        <v>46160</v>
      </c>
      <c r="D121" s="194">
        <v>46164</v>
      </c>
      <c r="E121" s="194">
        <v>46109</v>
      </c>
      <c r="F121" t="s">
        <v>392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393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5">
      <c r="A122" s="2">
        <v>108</v>
      </c>
      <c r="B122" t="s">
        <v>428</v>
      </c>
      <c r="C122" s="194">
        <v>46159</v>
      </c>
      <c r="D122" s="194">
        <v>46163</v>
      </c>
      <c r="E122" s="194">
        <v>46118</v>
      </c>
      <c r="F122" t="s">
        <v>52</v>
      </c>
      <c r="G122" t="s">
        <v>6</v>
      </c>
      <c r="J122" s="207">
        <v>0.05</v>
      </c>
      <c r="K122">
        <v>1</v>
      </c>
      <c r="L122">
        <v>2</v>
      </c>
      <c r="M122" t="s">
        <v>429</v>
      </c>
      <c r="N122">
        <v>4520241122</v>
      </c>
      <c r="O122" t="s">
        <v>430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5">
      <c r="A123" s="2">
        <v>109</v>
      </c>
      <c r="B123" t="s">
        <v>432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158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5">
      <c r="A124" s="2">
        <v>110</v>
      </c>
      <c r="B124" t="s">
        <v>433</v>
      </c>
      <c r="C124" s="194">
        <v>46143</v>
      </c>
      <c r="D124" s="194">
        <v>46145</v>
      </c>
      <c r="E124" s="194">
        <v>46117</v>
      </c>
      <c r="F124" t="s">
        <v>455</v>
      </c>
      <c r="G124" t="s">
        <v>35</v>
      </c>
      <c r="I124" s="2" t="s">
        <v>155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5">
      <c r="A125" s="2">
        <v>111</v>
      </c>
      <c r="B125" t="s">
        <v>440</v>
      </c>
      <c r="C125" s="194">
        <v>46178</v>
      </c>
      <c r="D125" s="194">
        <v>46181</v>
      </c>
      <c r="E125" s="194">
        <v>46120</v>
      </c>
      <c r="F125" t="s">
        <v>52</v>
      </c>
      <c r="G125" t="s">
        <v>263</v>
      </c>
      <c r="J125">
        <v>0</v>
      </c>
      <c r="N125"/>
      <c r="O125"/>
      <c r="P125"/>
      <c r="Q125"/>
      <c r="R125"/>
      <c r="S125"/>
    </row>
    <row r="126" spans="1:20" x14ac:dyDescent="0.35">
      <c r="A126" s="2">
        <v>112</v>
      </c>
      <c r="B126" t="s">
        <v>441</v>
      </c>
      <c r="C126" s="194">
        <v>46195</v>
      </c>
      <c r="D126" s="194">
        <v>46199</v>
      </c>
      <c r="E126" s="194">
        <v>46121</v>
      </c>
      <c r="F126" t="s">
        <v>52</v>
      </c>
      <c r="G126" t="s">
        <v>263</v>
      </c>
      <c r="J126"/>
      <c r="N126"/>
      <c r="O126"/>
    </row>
    <row r="127" spans="1:20" x14ac:dyDescent="0.35">
      <c r="A127" s="2">
        <v>113</v>
      </c>
      <c r="B127" t="s">
        <v>443</v>
      </c>
      <c r="C127" s="194">
        <v>46269</v>
      </c>
      <c r="D127" s="194">
        <v>46271</v>
      </c>
      <c r="E127" s="194">
        <v>46122</v>
      </c>
      <c r="F127" t="s">
        <v>52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5">
      <c r="A128" s="2">
        <v>114</v>
      </c>
      <c r="B128" t="s">
        <v>444</v>
      </c>
      <c r="C128" s="194">
        <v>46243</v>
      </c>
      <c r="D128" s="194">
        <v>46246</v>
      </c>
      <c r="E128" s="194">
        <v>46125</v>
      </c>
      <c r="F128" t="s">
        <v>52</v>
      </c>
      <c r="G128" t="s">
        <v>6</v>
      </c>
      <c r="J128" s="207">
        <v>0.1</v>
      </c>
      <c r="K128">
        <v>1</v>
      </c>
      <c r="L128">
        <v>2</v>
      </c>
      <c r="N128" t="s">
        <v>445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446</v>
      </c>
    </row>
    <row r="129" spans="1:20" x14ac:dyDescent="0.35">
      <c r="A129" s="2">
        <v>115</v>
      </c>
      <c r="B129" t="s">
        <v>447</v>
      </c>
      <c r="C129" s="194">
        <v>46233</v>
      </c>
      <c r="D129" s="194">
        <v>46236</v>
      </c>
      <c r="E129" s="194">
        <v>46125</v>
      </c>
      <c r="F129" t="s">
        <v>52</v>
      </c>
      <c r="G129" t="s">
        <v>6</v>
      </c>
      <c r="J129" s="207">
        <v>0.1</v>
      </c>
      <c r="K129">
        <v>1</v>
      </c>
      <c r="L129">
        <v>2</v>
      </c>
      <c r="M129" t="s">
        <v>448</v>
      </c>
      <c r="N129"/>
      <c r="O129"/>
      <c r="P129" s="2" t="s">
        <v>20</v>
      </c>
      <c r="Q129" s="2" t="s">
        <v>21</v>
      </c>
      <c r="R129" s="122">
        <v>3442.5</v>
      </c>
      <c r="S129" s="2" t="s">
        <v>449</v>
      </c>
    </row>
    <row r="130" spans="1:20" x14ac:dyDescent="0.35">
      <c r="A130" s="2">
        <v>116</v>
      </c>
      <c r="B130" t="s">
        <v>452</v>
      </c>
      <c r="C130" s="22">
        <v>46177</v>
      </c>
      <c r="D130" s="22">
        <v>46180</v>
      </c>
      <c r="E130" s="22">
        <v>46126</v>
      </c>
      <c r="F130" t="s">
        <v>52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5">
      <c r="A131" s="2">
        <v>117</v>
      </c>
      <c r="B131" t="s">
        <v>450</v>
      </c>
      <c r="C131" s="22">
        <v>46173</v>
      </c>
      <c r="D131" s="22">
        <v>46178</v>
      </c>
      <c r="E131" s="22">
        <v>46130</v>
      </c>
      <c r="F131" t="s">
        <v>52</v>
      </c>
      <c r="G131" t="s">
        <v>35</v>
      </c>
      <c r="H131" s="1" t="s">
        <v>451</v>
      </c>
      <c r="I131" s="2" t="s">
        <v>155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5">
      <c r="A132" s="2">
        <v>118</v>
      </c>
      <c r="B132" t="s">
        <v>453</v>
      </c>
      <c r="C132" s="194">
        <v>46272</v>
      </c>
      <c r="D132" s="194">
        <v>46275</v>
      </c>
      <c r="E132" s="194">
        <v>46132</v>
      </c>
      <c r="F132" t="s">
        <v>52</v>
      </c>
      <c r="G132" t="s">
        <v>35</v>
      </c>
      <c r="H132" s="1" t="s">
        <v>439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5">
      <c r="A133" s="2">
        <v>119</v>
      </c>
      <c r="B133" t="s">
        <v>454</v>
      </c>
      <c r="C133" s="194">
        <v>46179</v>
      </c>
      <c r="D133" s="194">
        <v>46182</v>
      </c>
      <c r="E133" s="194">
        <v>46135</v>
      </c>
      <c r="F133" t="s">
        <v>455</v>
      </c>
      <c r="G133" t="s">
        <v>263</v>
      </c>
      <c r="J133"/>
      <c r="N133"/>
      <c r="O133"/>
    </row>
    <row r="134" spans="1:20" x14ac:dyDescent="0.35">
      <c r="A134" s="2">
        <v>120</v>
      </c>
      <c r="B134" t="s">
        <v>458</v>
      </c>
      <c r="C134" s="194">
        <v>46257</v>
      </c>
      <c r="D134" s="194">
        <v>46260</v>
      </c>
      <c r="E134" s="194">
        <v>46137</v>
      </c>
      <c r="F134" t="s">
        <v>52</v>
      </c>
      <c r="G134" t="s">
        <v>6</v>
      </c>
      <c r="I134" s="2" t="s">
        <v>295</v>
      </c>
      <c r="J134" s="207">
        <v>0.1</v>
      </c>
      <c r="K134">
        <v>1</v>
      </c>
      <c r="L134">
        <v>2</v>
      </c>
      <c r="M134" t="s">
        <v>459</v>
      </c>
      <c r="N134" t="s">
        <v>460</v>
      </c>
      <c r="O134" t="s">
        <v>461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462</v>
      </c>
    </row>
    <row r="135" spans="1:20" x14ac:dyDescent="0.35">
      <c r="A135" s="2">
        <v>121</v>
      </c>
      <c r="B135" t="s">
        <v>463</v>
      </c>
      <c r="C135" s="194">
        <v>46247</v>
      </c>
      <c r="D135" s="194">
        <v>46250</v>
      </c>
      <c r="E135" s="194">
        <v>46137</v>
      </c>
      <c r="F135" t="s">
        <v>52</v>
      </c>
      <c r="G135" t="s">
        <v>6</v>
      </c>
      <c r="J135" s="207">
        <v>0.05</v>
      </c>
      <c r="K135">
        <v>1</v>
      </c>
      <c r="L135">
        <v>2</v>
      </c>
      <c r="M135" t="s">
        <v>464</v>
      </c>
      <c r="N135" t="s">
        <v>465</v>
      </c>
      <c r="O135" t="s">
        <v>466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467</v>
      </c>
    </row>
    <row r="136" spans="1:20" x14ac:dyDescent="0.35">
      <c r="A136" s="2">
        <v>122</v>
      </c>
      <c r="B136" t="s">
        <v>468</v>
      </c>
      <c r="C136" s="194">
        <v>46257</v>
      </c>
      <c r="D136" s="194">
        <v>46259</v>
      </c>
      <c r="E136" s="194">
        <v>46140</v>
      </c>
      <c r="F136" t="s">
        <v>52</v>
      </c>
      <c r="G136" t="s">
        <v>6</v>
      </c>
      <c r="J136" s="207">
        <v>0.05</v>
      </c>
      <c r="K136">
        <v>1</v>
      </c>
      <c r="L136">
        <v>2</v>
      </c>
      <c r="M136" t="s">
        <v>469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5">
      <c r="A137" s="2">
        <v>123</v>
      </c>
      <c r="B137" t="s">
        <v>478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479</v>
      </c>
      <c r="N137" t="s">
        <v>480</v>
      </c>
      <c r="O137" t="s">
        <v>481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482</v>
      </c>
    </row>
    <row r="138" spans="1:20" x14ac:dyDescent="0.35">
      <c r="A138" s="2">
        <v>124</v>
      </c>
      <c r="B138" t="s">
        <v>483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5">
      <c r="A139" s="2">
        <v>125</v>
      </c>
      <c r="B139" t="s">
        <v>484</v>
      </c>
      <c r="C139" s="194">
        <v>46171</v>
      </c>
      <c r="D139" s="194">
        <v>46173</v>
      </c>
      <c r="E139" s="194">
        <v>46149</v>
      </c>
      <c r="F139" t="s">
        <v>52</v>
      </c>
      <c r="G139" t="s">
        <v>35</v>
      </c>
      <c r="H139" s="1">
        <v>1400</v>
      </c>
      <c r="I139" s="2" t="s">
        <v>155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5">
      <c r="A140" s="2">
        <v>126</v>
      </c>
      <c r="B140" t="s">
        <v>171</v>
      </c>
      <c r="C140" s="194">
        <v>46266</v>
      </c>
      <c r="D140" s="194">
        <v>46270</v>
      </c>
      <c r="E140" s="194">
        <v>46154</v>
      </c>
      <c r="F140" t="s">
        <v>52</v>
      </c>
      <c r="G140" t="s">
        <v>6</v>
      </c>
      <c r="H140" s="1" t="s">
        <v>251</v>
      </c>
      <c r="I140" s="2" t="s">
        <v>442</v>
      </c>
      <c r="J140" s="207">
        <v>0.1</v>
      </c>
      <c r="K140">
        <v>2</v>
      </c>
      <c r="L140">
        <v>3</v>
      </c>
      <c r="M140" t="s">
        <v>485</v>
      </c>
      <c r="N140" t="s">
        <v>486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487</v>
      </c>
    </row>
    <row r="141" spans="1:20" x14ac:dyDescent="0.35">
      <c r="A141" s="2">
        <v>126</v>
      </c>
      <c r="C141" s="194"/>
      <c r="D141" s="194"/>
      <c r="E141" s="194"/>
      <c r="J141" s="207"/>
      <c r="N141"/>
      <c r="O141"/>
    </row>
    <row r="142" spans="1:20" x14ac:dyDescent="0.35">
      <c r="A142" s="2">
        <v>127</v>
      </c>
      <c r="B142" t="s">
        <v>488</v>
      </c>
      <c r="C142" s="194">
        <v>46188</v>
      </c>
      <c r="D142" s="194">
        <v>46191</v>
      </c>
      <c r="E142" s="194">
        <v>46153</v>
      </c>
      <c r="F142" t="s">
        <v>52</v>
      </c>
      <c r="G142" t="s">
        <v>263</v>
      </c>
      <c r="J142" s="207"/>
      <c r="N142"/>
      <c r="O142"/>
    </row>
    <row r="143" spans="1:20" x14ac:dyDescent="0.35">
      <c r="A143" s="2">
        <v>128</v>
      </c>
      <c r="B143" t="s">
        <v>489</v>
      </c>
      <c r="C143" s="194">
        <v>46169</v>
      </c>
      <c r="D143" s="194">
        <v>46173</v>
      </c>
      <c r="E143" s="194">
        <v>46154</v>
      </c>
      <c r="F143" t="s">
        <v>52</v>
      </c>
      <c r="G143" t="s">
        <v>35</v>
      </c>
      <c r="H143" s="1">
        <v>1430</v>
      </c>
      <c r="I143" s="2" t="s">
        <v>158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5">
      <c r="A144" s="2">
        <v>129</v>
      </c>
      <c r="B144" t="s">
        <v>491</v>
      </c>
      <c r="C144" s="194">
        <v>46194</v>
      </c>
      <c r="D144" s="194">
        <v>46197</v>
      </c>
      <c r="E144" s="194">
        <v>46154</v>
      </c>
      <c r="F144" t="s">
        <v>53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5">
      <c r="A145" s="2">
        <v>130</v>
      </c>
      <c r="B145" t="s">
        <v>490</v>
      </c>
      <c r="C145" s="194">
        <v>46194</v>
      </c>
      <c r="D145" s="194">
        <v>46197</v>
      </c>
      <c r="E145" s="194">
        <v>46159</v>
      </c>
      <c r="F145" t="s">
        <v>53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5">
      <c r="A146" s="2">
        <v>131</v>
      </c>
      <c r="B146" t="s">
        <v>492</v>
      </c>
      <c r="C146" s="194">
        <v>46219</v>
      </c>
      <c r="D146" s="194">
        <v>46222</v>
      </c>
      <c r="E146" s="194">
        <v>46157</v>
      </c>
      <c r="F146" t="s">
        <v>52</v>
      </c>
      <c r="G146" t="s">
        <v>263</v>
      </c>
      <c r="J146" s="210">
        <v>0</v>
      </c>
      <c r="N146"/>
      <c r="O146"/>
    </row>
    <row r="147" spans="1:20" x14ac:dyDescent="0.35">
      <c r="A147" s="2">
        <v>132</v>
      </c>
      <c r="B147" t="s">
        <v>496</v>
      </c>
      <c r="C147" s="194">
        <v>46234</v>
      </c>
      <c r="D147" s="194">
        <v>46237</v>
      </c>
      <c r="E147" s="194">
        <v>46159</v>
      </c>
      <c r="F147" t="s">
        <v>53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5">
      <c r="A148" s="2">
        <v>133</v>
      </c>
      <c r="B148" t="s">
        <v>497</v>
      </c>
      <c r="C148" s="194">
        <v>46252</v>
      </c>
      <c r="D148" s="194">
        <v>46254</v>
      </c>
      <c r="E148" s="194">
        <v>46160</v>
      </c>
      <c r="F148" t="s">
        <v>52</v>
      </c>
      <c r="G148" t="s">
        <v>6</v>
      </c>
      <c r="H148"/>
      <c r="I148" s="2" t="s">
        <v>442</v>
      </c>
      <c r="J148" s="207">
        <v>0.1</v>
      </c>
      <c r="K148">
        <v>1</v>
      </c>
      <c r="L148">
        <v>2</v>
      </c>
      <c r="M148" t="s">
        <v>501</v>
      </c>
      <c r="N148" t="s">
        <v>498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5">
      <c r="A149" s="2">
        <v>134</v>
      </c>
      <c r="B149" t="s">
        <v>499</v>
      </c>
      <c r="C149" s="194">
        <v>46274</v>
      </c>
      <c r="D149" s="194">
        <v>46277</v>
      </c>
      <c r="E149" s="194">
        <v>46160</v>
      </c>
      <c r="F149" t="s">
        <v>52</v>
      </c>
      <c r="G149" t="s">
        <v>263</v>
      </c>
      <c r="H149"/>
      <c r="J149" s="207"/>
      <c r="N149"/>
      <c r="O149"/>
    </row>
    <row r="150" spans="1:20" x14ac:dyDescent="0.35">
      <c r="A150" s="2">
        <v>135</v>
      </c>
      <c r="B150" t="s">
        <v>500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155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5">
      <c r="A151" s="2">
        <v>136</v>
      </c>
      <c r="B151" t="s">
        <v>502</v>
      </c>
      <c r="C151" s="194">
        <v>46170</v>
      </c>
      <c r="D151" s="194">
        <v>46174</v>
      </c>
      <c r="E151" s="194">
        <v>46163</v>
      </c>
      <c r="F151" t="s">
        <v>52</v>
      </c>
      <c r="G151" t="s">
        <v>6</v>
      </c>
      <c r="H151">
        <v>1430</v>
      </c>
      <c r="I151" s="2" t="s">
        <v>155</v>
      </c>
      <c r="J151" s="207">
        <v>0.1</v>
      </c>
      <c r="K151">
        <v>1</v>
      </c>
      <c r="L151">
        <v>2</v>
      </c>
      <c r="N151" t="s">
        <v>503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504</v>
      </c>
    </row>
    <row r="152" spans="1:20" x14ac:dyDescent="0.35">
      <c r="A152" s="2">
        <v>137</v>
      </c>
      <c r="B152" t="s">
        <v>183</v>
      </c>
      <c r="C152" s="194">
        <v>46276</v>
      </c>
      <c r="D152" s="194">
        <v>46285</v>
      </c>
      <c r="E152" s="194">
        <v>46166</v>
      </c>
      <c r="F152" t="s">
        <v>52</v>
      </c>
      <c r="G152" t="s">
        <v>6</v>
      </c>
      <c r="H152"/>
      <c r="I152" s="2" t="s">
        <v>295</v>
      </c>
      <c r="J152" s="207">
        <v>0.1</v>
      </c>
      <c r="K152">
        <v>1</v>
      </c>
      <c r="L152">
        <v>2</v>
      </c>
      <c r="M152" t="s">
        <v>184</v>
      </c>
      <c r="N152" t="s">
        <v>505</v>
      </c>
      <c r="O152" t="s">
        <v>185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506</v>
      </c>
    </row>
    <row r="153" spans="1:20" x14ac:dyDescent="0.35">
      <c r="A153" s="2">
        <v>138</v>
      </c>
      <c r="B153" t="s">
        <v>380</v>
      </c>
      <c r="C153" s="194">
        <v>46238</v>
      </c>
      <c r="D153" s="194">
        <v>46240</v>
      </c>
      <c r="E153" s="194">
        <v>46168</v>
      </c>
      <c r="F153" t="s">
        <v>52</v>
      </c>
      <c r="G153" t="s">
        <v>6</v>
      </c>
      <c r="H153"/>
      <c r="J153" s="207">
        <v>0.1</v>
      </c>
      <c r="K153">
        <v>1</v>
      </c>
      <c r="L153">
        <v>2</v>
      </c>
      <c r="M153" t="s">
        <v>381</v>
      </c>
      <c r="N153" t="s">
        <v>382</v>
      </c>
      <c r="O153" t="s">
        <v>383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507</v>
      </c>
    </row>
    <row r="154" spans="1:20" x14ac:dyDescent="0.35">
      <c r="A154" s="2">
        <v>139</v>
      </c>
      <c r="B154" t="s">
        <v>508</v>
      </c>
      <c r="C154" s="194">
        <v>46270</v>
      </c>
      <c r="D154" s="194">
        <v>46274</v>
      </c>
      <c r="E154" s="194">
        <v>46168</v>
      </c>
      <c r="F154" t="s">
        <v>52</v>
      </c>
      <c r="G154" t="s">
        <v>6</v>
      </c>
      <c r="H154"/>
      <c r="J154" s="207">
        <v>0.1</v>
      </c>
      <c r="K154">
        <v>1</v>
      </c>
      <c r="L154">
        <v>2</v>
      </c>
      <c r="M154" t="s">
        <v>509</v>
      </c>
      <c r="N154" t="s">
        <v>510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518</v>
      </c>
    </row>
    <row r="155" spans="1:20" x14ac:dyDescent="0.35">
      <c r="A155" s="2">
        <v>140</v>
      </c>
      <c r="B155" t="s">
        <v>513</v>
      </c>
      <c r="C155" s="194">
        <v>46188</v>
      </c>
      <c r="D155" s="194">
        <v>46190</v>
      </c>
      <c r="E155" s="194">
        <v>46170</v>
      </c>
      <c r="F155" t="s">
        <v>52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5">
      <c r="A156" s="2">
        <v>141</v>
      </c>
      <c r="B156" t="s">
        <v>514</v>
      </c>
      <c r="C156" s="194">
        <v>46195</v>
      </c>
      <c r="D156" s="194">
        <v>46199</v>
      </c>
      <c r="E156" s="194">
        <v>46171</v>
      </c>
      <c r="F156" t="s">
        <v>61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5">
      <c r="A157" s="2">
        <v>142</v>
      </c>
      <c r="B157" t="s">
        <v>515</v>
      </c>
      <c r="C157" s="194">
        <v>46268</v>
      </c>
      <c r="D157" s="194">
        <v>46271</v>
      </c>
      <c r="E157" s="194">
        <v>46172</v>
      </c>
      <c r="F157" t="s">
        <v>52</v>
      </c>
      <c r="G157" t="s">
        <v>6</v>
      </c>
      <c r="H157"/>
      <c r="J157" s="207">
        <v>0.05</v>
      </c>
      <c r="K157">
        <v>1</v>
      </c>
      <c r="L157">
        <v>2</v>
      </c>
      <c r="M157" t="s">
        <v>516</v>
      </c>
      <c r="N157"/>
      <c r="O157" t="s">
        <v>517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5">
      <c r="A158" s="2">
        <v>143</v>
      </c>
      <c r="B158" t="s">
        <v>520</v>
      </c>
      <c r="C158" s="194">
        <v>46275</v>
      </c>
      <c r="D158" s="194">
        <v>46278</v>
      </c>
      <c r="E158" s="194">
        <v>46172</v>
      </c>
      <c r="F158" t="s">
        <v>52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521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522</v>
      </c>
    </row>
    <row r="159" spans="1:20" x14ac:dyDescent="0.35">
      <c r="A159" s="2">
        <v>144</v>
      </c>
      <c r="B159" t="s">
        <v>526</v>
      </c>
      <c r="C159" s="194">
        <v>46264</v>
      </c>
      <c r="D159" s="194">
        <v>46269</v>
      </c>
      <c r="E159" s="194">
        <v>46182</v>
      </c>
      <c r="F159" t="s">
        <v>52</v>
      </c>
      <c r="G159" t="s">
        <v>35</v>
      </c>
      <c r="H159"/>
      <c r="I159"/>
      <c r="J159" s="207">
        <v>0</v>
      </c>
      <c r="K159">
        <v>1</v>
      </c>
      <c r="L159">
        <v>2</v>
      </c>
      <c r="N159"/>
      <c r="O159"/>
      <c r="P159" s="2" t="s">
        <v>20</v>
      </c>
      <c r="Q159" s="2" t="s">
        <v>20</v>
      </c>
      <c r="R159" s="122">
        <v>4750</v>
      </c>
      <c r="S159" s="2" t="s">
        <v>20</v>
      </c>
    </row>
    <row r="160" spans="1:20" x14ac:dyDescent="0.35">
      <c r="A160" s="2">
        <v>145</v>
      </c>
      <c r="B160" t="s">
        <v>527</v>
      </c>
      <c r="C160" s="194">
        <v>46271</v>
      </c>
      <c r="D160" s="194">
        <v>46276</v>
      </c>
      <c r="E160" s="194">
        <v>46177</v>
      </c>
      <c r="F160" t="s">
        <v>52</v>
      </c>
      <c r="G160" t="s">
        <v>6</v>
      </c>
      <c r="H160"/>
      <c r="I160"/>
      <c r="J160" s="207">
        <v>0.1</v>
      </c>
      <c r="K160">
        <v>1</v>
      </c>
      <c r="L160">
        <v>2</v>
      </c>
      <c r="M160" t="s">
        <v>27</v>
      </c>
      <c r="N160"/>
      <c r="O160" t="s">
        <v>528</v>
      </c>
      <c r="P160" s="2" t="s">
        <v>20</v>
      </c>
      <c r="Q160" s="2" t="s">
        <v>21</v>
      </c>
      <c r="R160" s="122">
        <v>5175</v>
      </c>
      <c r="S160" s="2" t="s">
        <v>38</v>
      </c>
      <c r="T160" t="s">
        <v>529</v>
      </c>
    </row>
    <row r="161" spans="1:20" x14ac:dyDescent="0.35">
      <c r="A161" s="2">
        <v>146</v>
      </c>
      <c r="B161" t="s">
        <v>530</v>
      </c>
      <c r="C161" s="194">
        <v>46285</v>
      </c>
      <c r="D161" s="194">
        <v>46290</v>
      </c>
      <c r="E161" s="194">
        <v>46177</v>
      </c>
      <c r="F161" t="s">
        <v>52</v>
      </c>
      <c r="G161" t="s">
        <v>6</v>
      </c>
      <c r="H161"/>
      <c r="I161"/>
      <c r="J161" s="207">
        <v>0.1</v>
      </c>
      <c r="K161">
        <v>1</v>
      </c>
      <c r="L161">
        <v>2</v>
      </c>
      <c r="M161" t="s">
        <v>37</v>
      </c>
      <c r="N161" t="s">
        <v>531</v>
      </c>
      <c r="O161" t="s">
        <v>532</v>
      </c>
      <c r="P161" s="2" t="s">
        <v>20</v>
      </c>
      <c r="Q161" s="2" t="s">
        <v>21</v>
      </c>
      <c r="R161" s="122">
        <v>5175</v>
      </c>
      <c r="S161" s="2" t="s">
        <v>21</v>
      </c>
      <c r="T161" t="s">
        <v>533</v>
      </c>
    </row>
    <row r="162" spans="1:20" x14ac:dyDescent="0.35">
      <c r="A162" s="2">
        <v>147</v>
      </c>
      <c r="B162" t="s">
        <v>534</v>
      </c>
      <c r="C162" s="194">
        <v>46269</v>
      </c>
      <c r="D162" s="194">
        <v>46271</v>
      </c>
      <c r="E162" s="194">
        <v>46181</v>
      </c>
      <c r="F162" t="s">
        <v>52</v>
      </c>
      <c r="G162" t="s">
        <v>35</v>
      </c>
      <c r="H162" t="s">
        <v>535</v>
      </c>
      <c r="I162"/>
      <c r="J162" s="207">
        <v>0</v>
      </c>
      <c r="K162">
        <v>1</v>
      </c>
      <c r="L162">
        <v>2</v>
      </c>
      <c r="N162"/>
      <c r="O162"/>
      <c r="P162" s="2" t="s">
        <v>20</v>
      </c>
      <c r="Q162" s="2" t="s">
        <v>20</v>
      </c>
      <c r="R162" s="122">
        <v>1900</v>
      </c>
      <c r="S162" s="2" t="s">
        <v>20</v>
      </c>
    </row>
    <row r="163" spans="1:20" x14ac:dyDescent="0.35">
      <c r="A163" s="2">
        <v>148</v>
      </c>
      <c r="B163" t="s">
        <v>537</v>
      </c>
      <c r="C163" s="194">
        <v>46188</v>
      </c>
      <c r="D163" s="194">
        <v>46192</v>
      </c>
      <c r="E163" s="194">
        <v>46181</v>
      </c>
      <c r="F163" t="s">
        <v>52</v>
      </c>
      <c r="G163" t="s">
        <v>35</v>
      </c>
      <c r="H163"/>
      <c r="I163"/>
      <c r="J163" s="207">
        <v>0</v>
      </c>
      <c r="K163">
        <v>1</v>
      </c>
      <c r="L163">
        <v>2</v>
      </c>
      <c r="N163"/>
      <c r="P163" s="2" t="s">
        <v>20</v>
      </c>
      <c r="Q163" s="2" t="s">
        <v>20</v>
      </c>
      <c r="R163" s="122">
        <v>3800</v>
      </c>
      <c r="S163" s="2" t="s">
        <v>20</v>
      </c>
    </row>
    <row r="164" spans="1:20" x14ac:dyDescent="0.35">
      <c r="A164" s="2">
        <v>149</v>
      </c>
      <c r="B164" t="s">
        <v>538</v>
      </c>
      <c r="C164" s="194">
        <v>46196</v>
      </c>
      <c r="D164" s="194">
        <v>46200</v>
      </c>
      <c r="E164" s="194">
        <v>46182</v>
      </c>
      <c r="F164" t="s">
        <v>20</v>
      </c>
      <c r="G164" t="s">
        <v>35</v>
      </c>
      <c r="H164" t="s">
        <v>435</v>
      </c>
      <c r="I164" t="s">
        <v>155</v>
      </c>
      <c r="J164" s="207">
        <v>0</v>
      </c>
      <c r="K164">
        <v>1</v>
      </c>
      <c r="L164">
        <v>2</v>
      </c>
      <c r="N164"/>
      <c r="P164" s="2" t="s">
        <v>20</v>
      </c>
      <c r="Q164" s="2" t="s">
        <v>21</v>
      </c>
      <c r="R164" s="122">
        <v>4600</v>
      </c>
      <c r="S164" s="2" t="s">
        <v>20</v>
      </c>
    </row>
    <row r="165" spans="1:20" x14ac:dyDescent="0.35">
      <c r="A165" s="2">
        <v>150</v>
      </c>
      <c r="B165" t="s">
        <v>539</v>
      </c>
      <c r="C165" s="194">
        <v>46227</v>
      </c>
      <c r="D165" s="194">
        <v>46230</v>
      </c>
      <c r="E165" s="194">
        <v>46185</v>
      </c>
      <c r="F165" t="s">
        <v>52</v>
      </c>
      <c r="G165" t="s">
        <v>35</v>
      </c>
      <c r="H165"/>
      <c r="I165"/>
      <c r="J165" s="207">
        <v>0</v>
      </c>
      <c r="K165">
        <v>1</v>
      </c>
      <c r="L165">
        <v>2</v>
      </c>
      <c r="N165"/>
      <c r="P165" s="2" t="s">
        <v>20</v>
      </c>
      <c r="Q165" s="2" t="s">
        <v>20</v>
      </c>
      <c r="R165" s="122">
        <v>3225</v>
      </c>
      <c r="S165" s="2" t="s">
        <v>20</v>
      </c>
    </row>
  </sheetData>
  <autoFilter ref="A1:V10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10"/>
  <sheetViews>
    <sheetView workbookViewId="0">
      <pane ySplit="1" topLeftCell="A197" activePane="bottomLeft" state="frozen"/>
      <selection pane="bottomLeft" activeCell="A214" sqref="A214"/>
    </sheetView>
  </sheetViews>
  <sheetFormatPr defaultRowHeight="14.5" x14ac:dyDescent="0.35"/>
  <cols>
    <col min="1" max="1" width="6.54296875" bestFit="1" customWidth="1"/>
    <col min="2" max="2" width="8.54296875" style="22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58</v>
      </c>
      <c r="F1" t="str">
        <f>Database!L1</f>
        <v>gæster</v>
      </c>
      <c r="G1" t="str">
        <f>Database!F1</f>
        <v>nat</v>
      </c>
      <c r="I1" t="s">
        <v>59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60</v>
      </c>
      <c r="BB1" s="43" t="s">
        <v>52</v>
      </c>
      <c r="BC1" s="43" t="s">
        <v>52</v>
      </c>
      <c r="BD1" s="43" t="s">
        <v>53</v>
      </c>
      <c r="BE1" s="43" t="s">
        <v>53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61</v>
      </c>
      <c r="BK1" s="43" t="s">
        <v>61</v>
      </c>
      <c r="BL1" s="43" t="s">
        <v>62</v>
      </c>
      <c r="BM1" s="43" t="s">
        <v>62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285</v>
      </c>
      <c r="BU1" s="2" t="str">
        <f>BT1</f>
        <v>CZ</v>
      </c>
      <c r="BV1" s="170" t="s">
        <v>455</v>
      </c>
      <c r="BW1" s="170" t="s">
        <v>455</v>
      </c>
      <c r="BX1" s="131" t="s">
        <v>288</v>
      </c>
      <c r="BY1" s="131" t="s">
        <v>288</v>
      </c>
    </row>
    <row r="2" spans="1:77" x14ac:dyDescent="0.35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Database!A133</f>
        <v>119</v>
      </c>
      <c r="B120" s="22">
        <f>Database!E133</f>
        <v>46135</v>
      </c>
      <c r="C120">
        <f>IF(Database!G133="cansl",0,Database!K133)</f>
        <v>0</v>
      </c>
      <c r="D120">
        <f>Database!D133-Database!C133</f>
        <v>3</v>
      </c>
      <c r="F120">
        <f>Database!L133</f>
        <v>0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0</v>
      </c>
      <c r="BM120" s="32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Database!A146</f>
        <v>131</v>
      </c>
      <c r="B132" s="22">
        <f>Database!E146</f>
        <v>46157</v>
      </c>
      <c r="C132">
        <f>IF(Database!G146="cansl",0,Database!K146)</f>
        <v>0</v>
      </c>
      <c r="D132">
        <f>Database!D146-Database!C146</f>
        <v>3</v>
      </c>
      <c r="F132">
        <f>Database!L146</f>
        <v>0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2">
        <f t="shared" si="110"/>
        <v>0</v>
      </c>
      <c r="BC132" s="32">
        <f t="shared" si="111"/>
        <v>0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Database!A159</f>
        <v>144</v>
      </c>
      <c r="B145" s="22">
        <f>Database!E159</f>
        <v>46182</v>
      </c>
      <c r="C145">
        <f>IF(Database!G159="cansl",0,Database!K159)</f>
        <v>1</v>
      </c>
      <c r="D145">
        <f>Database!D159-Database!C159</f>
        <v>5</v>
      </c>
      <c r="F145">
        <f>Database!L159</f>
        <v>2</v>
      </c>
      <c r="G145" t="str">
        <f>Database!F159</f>
        <v>DK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5</v>
      </c>
      <c r="AJ145">
        <f t="shared" si="134"/>
        <v>5</v>
      </c>
      <c r="AK145">
        <f t="shared" si="134"/>
        <v>5</v>
      </c>
      <c r="AL145">
        <f t="shared" si="134"/>
        <v>5</v>
      </c>
      <c r="AM145">
        <f t="shared" si="134"/>
        <v>5</v>
      </c>
      <c r="AN145">
        <f t="shared" si="134"/>
        <v>5</v>
      </c>
      <c r="AO145">
        <f t="shared" si="134"/>
        <v>5</v>
      </c>
      <c r="AP145">
        <f t="shared" si="134"/>
        <v>5</v>
      </c>
      <c r="AQ145">
        <f t="shared" si="134"/>
        <v>5</v>
      </c>
      <c r="AR145">
        <f t="shared" si="108"/>
        <v>5</v>
      </c>
      <c r="AS145">
        <f t="shared" si="108"/>
        <v>5</v>
      </c>
      <c r="AT145">
        <f t="shared" si="108"/>
        <v>5</v>
      </c>
      <c r="AU145">
        <f t="shared" si="108"/>
        <v>5</v>
      </c>
      <c r="AV145">
        <f t="shared" si="108"/>
        <v>5</v>
      </c>
      <c r="AW145">
        <f t="shared" si="108"/>
        <v>5</v>
      </c>
      <c r="AX145">
        <f t="shared" si="108"/>
        <v>5</v>
      </c>
      <c r="BB145" s="32">
        <f t="shared" si="110"/>
        <v>2</v>
      </c>
      <c r="BC145" s="32">
        <f t="shared" si="111"/>
        <v>10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Database!A160</f>
        <v>145</v>
      </c>
      <c r="B146" s="22">
        <f>Database!E160</f>
        <v>46177</v>
      </c>
      <c r="C146">
        <f>IF(Database!G160="cansl",0,Database!K160)</f>
        <v>1</v>
      </c>
      <c r="D146">
        <f>Database!D160-Database!C160</f>
        <v>5</v>
      </c>
      <c r="F146">
        <f>Database!L160</f>
        <v>2</v>
      </c>
      <c r="G146" t="str">
        <f>Database!F160</f>
        <v>DK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5</v>
      </c>
      <c r="AI146">
        <f t="shared" si="134"/>
        <v>5</v>
      </c>
      <c r="AJ146">
        <f t="shared" si="134"/>
        <v>5</v>
      </c>
      <c r="AK146">
        <f t="shared" si="134"/>
        <v>5</v>
      </c>
      <c r="AL146">
        <f t="shared" si="134"/>
        <v>5</v>
      </c>
      <c r="AM146">
        <f t="shared" si="134"/>
        <v>5</v>
      </c>
      <c r="AN146">
        <f t="shared" si="134"/>
        <v>5</v>
      </c>
      <c r="AO146">
        <f t="shared" si="134"/>
        <v>5</v>
      </c>
      <c r="AP146">
        <f t="shared" si="134"/>
        <v>5</v>
      </c>
      <c r="AQ146">
        <f t="shared" si="134"/>
        <v>5</v>
      </c>
      <c r="AR146">
        <f t="shared" si="108"/>
        <v>5</v>
      </c>
      <c r="AS146">
        <f t="shared" si="108"/>
        <v>5</v>
      </c>
      <c r="AT146">
        <f t="shared" si="108"/>
        <v>5</v>
      </c>
      <c r="AU146">
        <f t="shared" si="108"/>
        <v>5</v>
      </c>
      <c r="AV146">
        <f t="shared" si="108"/>
        <v>5</v>
      </c>
      <c r="AW146">
        <f t="shared" si="108"/>
        <v>5</v>
      </c>
      <c r="AX146">
        <f t="shared" si="108"/>
        <v>5</v>
      </c>
      <c r="BB146" s="32">
        <f t="shared" si="110"/>
        <v>2</v>
      </c>
      <c r="BC146" s="32">
        <f t="shared" si="111"/>
        <v>10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Database!A161</f>
        <v>146</v>
      </c>
      <c r="B147" s="22">
        <f>Database!E161</f>
        <v>46177</v>
      </c>
      <c r="C147">
        <f>IF(Database!G161="cansl",0,Database!K161)</f>
        <v>1</v>
      </c>
      <c r="D147">
        <f>Database!D161-Database!C161</f>
        <v>5</v>
      </c>
      <c r="F147">
        <f>Database!L161</f>
        <v>2</v>
      </c>
      <c r="G147" t="str">
        <f>Database!F161</f>
        <v>DK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5</v>
      </c>
      <c r="AI147">
        <f t="shared" si="134"/>
        <v>5</v>
      </c>
      <c r="AJ147">
        <f t="shared" si="134"/>
        <v>5</v>
      </c>
      <c r="AK147">
        <f t="shared" si="134"/>
        <v>5</v>
      </c>
      <c r="AL147">
        <f t="shared" si="134"/>
        <v>5</v>
      </c>
      <c r="AM147">
        <f t="shared" si="134"/>
        <v>5</v>
      </c>
      <c r="AN147">
        <f t="shared" si="134"/>
        <v>5</v>
      </c>
      <c r="AO147">
        <f t="shared" si="134"/>
        <v>5</v>
      </c>
      <c r="AP147">
        <f t="shared" si="134"/>
        <v>5</v>
      </c>
      <c r="AQ147">
        <f t="shared" si="134"/>
        <v>5</v>
      </c>
      <c r="AR147">
        <f t="shared" si="108"/>
        <v>5</v>
      </c>
      <c r="AS147">
        <f t="shared" si="108"/>
        <v>5</v>
      </c>
      <c r="AT147">
        <f t="shared" si="108"/>
        <v>5</v>
      </c>
      <c r="AU147">
        <f t="shared" si="108"/>
        <v>5</v>
      </c>
      <c r="AV147">
        <f t="shared" si="108"/>
        <v>5</v>
      </c>
      <c r="AW147">
        <f t="shared" si="108"/>
        <v>5</v>
      </c>
      <c r="AX147">
        <f t="shared" si="108"/>
        <v>5</v>
      </c>
      <c r="BB147" s="32">
        <f t="shared" si="110"/>
        <v>2</v>
      </c>
      <c r="BC147" s="32">
        <f t="shared" si="111"/>
        <v>10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Database!A162</f>
        <v>147</v>
      </c>
      <c r="B148" s="22">
        <f>Database!E162</f>
        <v>46181</v>
      </c>
      <c r="C148">
        <f>IF(Database!G162="cansl",0,Database!K162)</f>
        <v>1</v>
      </c>
      <c r="D148">
        <f>Database!D162-Database!C162</f>
        <v>2</v>
      </c>
      <c r="F148">
        <f>Database!L162</f>
        <v>2</v>
      </c>
      <c r="G148" t="str">
        <f>Database!F162</f>
        <v>DK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2</v>
      </c>
      <c r="AJ148">
        <f t="shared" si="134"/>
        <v>2</v>
      </c>
      <c r="AK148">
        <f t="shared" si="134"/>
        <v>2</v>
      </c>
      <c r="AL148">
        <f t="shared" si="134"/>
        <v>2</v>
      </c>
      <c r="AM148">
        <f t="shared" si="134"/>
        <v>2</v>
      </c>
      <c r="AN148">
        <f t="shared" si="134"/>
        <v>2</v>
      </c>
      <c r="AO148">
        <f t="shared" si="134"/>
        <v>2</v>
      </c>
      <c r="AP148">
        <f t="shared" si="134"/>
        <v>2</v>
      </c>
      <c r="AQ148">
        <f t="shared" si="134"/>
        <v>2</v>
      </c>
      <c r="AR148">
        <f t="shared" si="108"/>
        <v>2</v>
      </c>
      <c r="AS148">
        <f t="shared" si="108"/>
        <v>2</v>
      </c>
      <c r="AT148">
        <f t="shared" si="108"/>
        <v>2</v>
      </c>
      <c r="AU148">
        <f t="shared" si="108"/>
        <v>2</v>
      </c>
      <c r="AV148">
        <f t="shared" si="108"/>
        <v>2</v>
      </c>
      <c r="AW148">
        <f t="shared" si="108"/>
        <v>2</v>
      </c>
      <c r="AX148">
        <f t="shared" si="108"/>
        <v>2</v>
      </c>
      <c r="BB148" s="32">
        <f t="shared" si="110"/>
        <v>2</v>
      </c>
      <c r="BC148" s="32">
        <f t="shared" si="111"/>
        <v>4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Database!A163</f>
        <v>148</v>
      </c>
      <c r="B149" s="22">
        <f>Database!E163</f>
        <v>46181</v>
      </c>
      <c r="C149">
        <f>IF(Database!G163="cansl",0,Database!K163)</f>
        <v>1</v>
      </c>
      <c r="D149">
        <f>Database!D163-Database!C163</f>
        <v>4</v>
      </c>
      <c r="F149">
        <f>Database!L163</f>
        <v>2</v>
      </c>
      <c r="G149" t="str">
        <f>Database!F163</f>
        <v>DK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4</v>
      </c>
      <c r="AJ149">
        <f t="shared" si="134"/>
        <v>4</v>
      </c>
      <c r="AK149">
        <f t="shared" si="134"/>
        <v>4</v>
      </c>
      <c r="AL149">
        <f t="shared" si="134"/>
        <v>4</v>
      </c>
      <c r="AM149">
        <f t="shared" si="134"/>
        <v>4</v>
      </c>
      <c r="AN149">
        <f t="shared" si="134"/>
        <v>4</v>
      </c>
      <c r="AO149">
        <f t="shared" si="134"/>
        <v>4</v>
      </c>
      <c r="AP149">
        <f t="shared" si="134"/>
        <v>4</v>
      </c>
      <c r="AQ149">
        <f t="shared" si="134"/>
        <v>4</v>
      </c>
      <c r="AR149">
        <f t="shared" si="108"/>
        <v>4</v>
      </c>
      <c r="AS149">
        <f t="shared" si="108"/>
        <v>4</v>
      </c>
      <c r="AT149">
        <f t="shared" si="108"/>
        <v>4</v>
      </c>
      <c r="AU149">
        <f t="shared" si="108"/>
        <v>4</v>
      </c>
      <c r="AV149">
        <f t="shared" si="108"/>
        <v>4</v>
      </c>
      <c r="AW149">
        <f t="shared" si="108"/>
        <v>4</v>
      </c>
      <c r="AX149">
        <f t="shared" si="108"/>
        <v>4</v>
      </c>
      <c r="BB149" s="32">
        <f t="shared" si="110"/>
        <v>2</v>
      </c>
      <c r="BC149" s="32">
        <f t="shared" si="111"/>
        <v>8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Database!A164</f>
        <v>149</v>
      </c>
      <c r="B150" s="22">
        <f>Database!E164</f>
        <v>46182</v>
      </c>
      <c r="C150">
        <f>IF(Database!G164="cansl",0,Database!K164)</f>
        <v>1</v>
      </c>
      <c r="D150">
        <f>Database!D164-Database!C164</f>
        <v>4</v>
      </c>
      <c r="F150">
        <f>Database!L164</f>
        <v>2</v>
      </c>
      <c r="G150" t="str">
        <f>Database!F164</f>
        <v>N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4</v>
      </c>
      <c r="AJ150">
        <f t="shared" si="134"/>
        <v>4</v>
      </c>
      <c r="AK150">
        <f t="shared" si="134"/>
        <v>4</v>
      </c>
      <c r="AL150">
        <f t="shared" si="134"/>
        <v>4</v>
      </c>
      <c r="AM150">
        <f t="shared" si="134"/>
        <v>4</v>
      </c>
      <c r="AN150">
        <f t="shared" si="134"/>
        <v>4</v>
      </c>
      <c r="AO150">
        <f t="shared" si="134"/>
        <v>4</v>
      </c>
      <c r="AP150">
        <f t="shared" si="134"/>
        <v>4</v>
      </c>
      <c r="AQ150">
        <f t="shared" si="134"/>
        <v>4</v>
      </c>
      <c r="AR150">
        <f t="shared" si="108"/>
        <v>4</v>
      </c>
      <c r="AS150">
        <f t="shared" si="108"/>
        <v>4</v>
      </c>
      <c r="AT150">
        <f t="shared" si="108"/>
        <v>4</v>
      </c>
      <c r="AU150">
        <f t="shared" si="108"/>
        <v>4</v>
      </c>
      <c r="AV150">
        <f t="shared" si="108"/>
        <v>4</v>
      </c>
      <c r="AW150">
        <f t="shared" si="108"/>
        <v>4</v>
      </c>
      <c r="AX150">
        <f t="shared" si="108"/>
        <v>4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2</v>
      </c>
      <c r="BG150" s="32">
        <f t="shared" si="115"/>
        <v>8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Database!A165</f>
        <v>150</v>
      </c>
      <c r="B151" s="22">
        <f>Database!E165</f>
        <v>46185</v>
      </c>
      <c r="C151">
        <f>IF(Database!G165="cansl",0,Database!K165)</f>
        <v>1</v>
      </c>
      <c r="D151">
        <f>Database!D165-Database!C165</f>
        <v>3</v>
      </c>
      <c r="F151">
        <f>Database!L165</f>
        <v>2</v>
      </c>
      <c r="G151" t="str">
        <f>Database!F165</f>
        <v>DK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3</v>
      </c>
      <c r="AJ151">
        <f t="shared" si="134"/>
        <v>3</v>
      </c>
      <c r="AK151">
        <f t="shared" si="134"/>
        <v>3</v>
      </c>
      <c r="AL151">
        <f t="shared" si="134"/>
        <v>3</v>
      </c>
      <c r="AM151">
        <f t="shared" si="134"/>
        <v>3</v>
      </c>
      <c r="AN151">
        <f t="shared" si="134"/>
        <v>3</v>
      </c>
      <c r="AO151">
        <f t="shared" si="134"/>
        <v>3</v>
      </c>
      <c r="AP151">
        <f t="shared" si="134"/>
        <v>3</v>
      </c>
      <c r="AQ151">
        <f t="shared" si="134"/>
        <v>3</v>
      </c>
      <c r="AR151">
        <f t="shared" si="108"/>
        <v>3</v>
      </c>
      <c r="AS151">
        <f t="shared" si="108"/>
        <v>3</v>
      </c>
      <c r="AT151">
        <f t="shared" si="108"/>
        <v>3</v>
      </c>
      <c r="AU151">
        <f t="shared" si="108"/>
        <v>3</v>
      </c>
      <c r="AV151">
        <f t="shared" si="108"/>
        <v>3</v>
      </c>
      <c r="AW151">
        <f t="shared" si="108"/>
        <v>3</v>
      </c>
      <c r="AX151">
        <f t="shared" si="108"/>
        <v>3</v>
      </c>
      <c r="BB151" s="32">
        <f t="shared" si="110"/>
        <v>2</v>
      </c>
      <c r="BC151" s="32">
        <f t="shared" si="111"/>
        <v>6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63</v>
      </c>
      <c r="BB196" s="32">
        <f t="shared" ref="BB196:BY196" si="167">SUM(BB2:BB195)</f>
        <v>195</v>
      </c>
      <c r="BC196" s="32">
        <f t="shared" si="167"/>
        <v>807</v>
      </c>
      <c r="BD196" s="32">
        <f t="shared" si="167"/>
        <v>23</v>
      </c>
      <c r="BE196" s="32">
        <f t="shared" si="167"/>
        <v>79</v>
      </c>
      <c r="BF196" s="32">
        <f t="shared" si="167"/>
        <v>2</v>
      </c>
      <c r="BG196" s="32">
        <f t="shared" si="167"/>
        <v>8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7</v>
      </c>
      <c r="BM196" s="32">
        <f t="shared" si="167"/>
        <v>33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2</v>
      </c>
      <c r="BW196">
        <f t="shared" si="167"/>
        <v>4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152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505</v>
      </c>
      <c r="AC198">
        <f t="shared" si="168"/>
        <v>514</v>
      </c>
      <c r="AD198">
        <f t="shared" si="168"/>
        <v>521</v>
      </c>
      <c r="AE198">
        <f t="shared" si="168"/>
        <v>542</v>
      </c>
      <c r="AF198">
        <f t="shared" si="168"/>
        <v>561</v>
      </c>
      <c r="AG198">
        <f t="shared" si="168"/>
        <v>579</v>
      </c>
      <c r="AH198">
        <f t="shared" si="168"/>
        <v>589</v>
      </c>
      <c r="AI198">
        <f t="shared" si="168"/>
        <v>607</v>
      </c>
      <c r="AJ198">
        <f t="shared" si="168"/>
        <v>607</v>
      </c>
      <c r="AK198">
        <f t="shared" si="168"/>
        <v>607</v>
      </c>
      <c r="AL198">
        <f t="shared" si="168"/>
        <v>607</v>
      </c>
      <c r="AM198">
        <f t="shared" si="168"/>
        <v>607</v>
      </c>
      <c r="AN198">
        <f t="shared" si="168"/>
        <v>607</v>
      </c>
      <c r="AO198">
        <f t="shared" si="168"/>
        <v>607</v>
      </c>
      <c r="AP198">
        <f t="shared" si="168"/>
        <v>607</v>
      </c>
      <c r="AQ198">
        <f t="shared" si="168"/>
        <v>607</v>
      </c>
      <c r="AR198">
        <f t="shared" si="168"/>
        <v>607</v>
      </c>
      <c r="AS198">
        <f t="shared" si="168"/>
        <v>607</v>
      </c>
      <c r="AT198">
        <f t="shared" si="168"/>
        <v>607</v>
      </c>
      <c r="AU198">
        <f t="shared" si="168"/>
        <v>607</v>
      </c>
      <c r="AV198">
        <f t="shared" si="168"/>
        <v>607</v>
      </c>
      <c r="AW198">
        <f t="shared" si="168"/>
        <v>607</v>
      </c>
      <c r="AX198">
        <f t="shared" si="168"/>
        <v>607</v>
      </c>
    </row>
    <row r="199" spans="1:77" ht="15" customHeight="1" x14ac:dyDescent="0.35">
      <c r="K199" t="s">
        <v>64</v>
      </c>
      <c r="L199" t="s">
        <v>65</v>
      </c>
      <c r="M199" t="s">
        <v>66</v>
      </c>
      <c r="N199" t="s">
        <v>67</v>
      </c>
      <c r="O199" t="s">
        <v>68</v>
      </c>
      <c r="P199" t="s">
        <v>69</v>
      </c>
      <c r="Q199" t="s">
        <v>70</v>
      </c>
      <c r="R199" t="s">
        <v>71</v>
      </c>
      <c r="S199" t="s">
        <v>72</v>
      </c>
      <c r="T199" t="s">
        <v>73</v>
      </c>
      <c r="U199" t="s">
        <v>74</v>
      </c>
      <c r="V199" t="s">
        <v>75</v>
      </c>
      <c r="W199" t="s">
        <v>76</v>
      </c>
      <c r="X199" t="s">
        <v>77</v>
      </c>
      <c r="Y199" t="s">
        <v>78</v>
      </c>
      <c r="Z199" t="s">
        <v>79</v>
      </c>
      <c r="AA199" t="s">
        <v>80</v>
      </c>
      <c r="AB199" t="s">
        <v>81</v>
      </c>
      <c r="AC199" t="s">
        <v>82</v>
      </c>
      <c r="AD199" t="s">
        <v>83</v>
      </c>
      <c r="AE199" t="s">
        <v>84</v>
      </c>
      <c r="AF199" t="s">
        <v>85</v>
      </c>
      <c r="AG199" t="s">
        <v>86</v>
      </c>
      <c r="AH199" t="s">
        <v>87</v>
      </c>
      <c r="AI199" t="s">
        <v>88</v>
      </c>
      <c r="AJ199" t="s">
        <v>89</v>
      </c>
      <c r="AK199" t="s">
        <v>90</v>
      </c>
      <c r="AL199" t="s">
        <v>91</v>
      </c>
      <c r="AM199" t="s">
        <v>92</v>
      </c>
      <c r="AN199" t="s">
        <v>93</v>
      </c>
      <c r="AO199" t="s">
        <v>94</v>
      </c>
      <c r="AP199" t="s">
        <v>95</v>
      </c>
      <c r="AQ199" t="s">
        <v>96</v>
      </c>
      <c r="AR199" t="s">
        <v>97</v>
      </c>
      <c r="AS199" t="s">
        <v>98</v>
      </c>
      <c r="AT199" t="s">
        <v>99</v>
      </c>
      <c r="AU199" t="s">
        <v>100</v>
      </c>
      <c r="AV199" t="s">
        <v>101</v>
      </c>
      <c r="AW199" t="s">
        <v>102</v>
      </c>
      <c r="AX199" t="s">
        <v>103</v>
      </c>
      <c r="AY199" t="s">
        <v>104</v>
      </c>
      <c r="AZ199" t="s">
        <v>105</v>
      </c>
      <c r="BA199" t="s">
        <v>106</v>
      </c>
      <c r="BC199" t="s">
        <v>107</v>
      </c>
      <c r="BJ199" t="s">
        <v>108</v>
      </c>
      <c r="BL199" s="2"/>
      <c r="BN199" s="2"/>
    </row>
    <row r="200" spans="1:77" ht="15" customHeight="1" thickBot="1" x14ac:dyDescent="0.4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505</v>
      </c>
      <c r="AC200">
        <f t="shared" si="169"/>
        <v>514</v>
      </c>
      <c r="AD200">
        <f t="shared" si="169"/>
        <v>521</v>
      </c>
      <c r="AE200">
        <f t="shared" si="169"/>
        <v>542</v>
      </c>
      <c r="AF200">
        <f t="shared" si="169"/>
        <v>561</v>
      </c>
      <c r="AG200">
        <f t="shared" si="169"/>
        <v>579</v>
      </c>
      <c r="AH200">
        <f>AH198</f>
        <v>589</v>
      </c>
      <c r="AI200">
        <f>AI198</f>
        <v>607</v>
      </c>
      <c r="AJ200">
        <f>AJ198</f>
        <v>607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52</v>
      </c>
      <c r="BE201" s="26" t="s">
        <v>20</v>
      </c>
      <c r="BF201" s="26" t="s">
        <v>53</v>
      </c>
      <c r="BG201" s="26" t="s">
        <v>31</v>
      </c>
      <c r="BH201" s="26" t="s">
        <v>61</v>
      </c>
      <c r="BI201" s="27" t="s">
        <v>109</v>
      </c>
      <c r="BJ201" s="28" t="s">
        <v>57</v>
      </c>
      <c r="BK201" s="29" t="s">
        <v>110</v>
      </c>
      <c r="BL201" s="29" t="s">
        <v>56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111</v>
      </c>
      <c r="BD202" s="32">
        <f>BB196</f>
        <v>195</v>
      </c>
      <c r="BE202" s="32">
        <f>BD196</f>
        <v>23</v>
      </c>
      <c r="BF202" s="32">
        <f>BF196</f>
        <v>2</v>
      </c>
      <c r="BG202" s="32">
        <f>BH196</f>
        <v>32</v>
      </c>
      <c r="BH202" s="32">
        <f>BJ196</f>
        <v>2</v>
      </c>
      <c r="BI202" s="33">
        <f>BL196</f>
        <v>7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2</v>
      </c>
      <c r="BO202" s="36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112</v>
      </c>
      <c r="BD203" s="38">
        <f>BC196</f>
        <v>807</v>
      </c>
      <c r="BE203" s="38">
        <f>BE196</f>
        <v>79</v>
      </c>
      <c r="BF203" s="38">
        <f>BG196</f>
        <v>8</v>
      </c>
      <c r="BG203" s="38">
        <f>BI196</f>
        <v>0</v>
      </c>
      <c r="BH203" s="38">
        <f>BK196</f>
        <v>8</v>
      </c>
      <c r="BI203" s="39">
        <f>BM196</f>
        <v>33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4</v>
      </c>
      <c r="BO203" s="42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  <row r="210" spans="11:36" x14ac:dyDescent="0.35">
      <c r="K210">
        <v>156</v>
      </c>
      <c r="L210">
        <v>170</v>
      </c>
      <c r="M210">
        <v>219</v>
      </c>
      <c r="N210">
        <v>257</v>
      </c>
      <c r="O210">
        <v>317</v>
      </c>
      <c r="P210">
        <v>333</v>
      </c>
      <c r="Q210">
        <v>355</v>
      </c>
      <c r="R210">
        <v>367</v>
      </c>
      <c r="S210">
        <v>396</v>
      </c>
      <c r="T210">
        <v>413</v>
      </c>
      <c r="U210">
        <v>416</v>
      </c>
      <c r="V210">
        <v>433</v>
      </c>
      <c r="W210">
        <v>446</v>
      </c>
      <c r="X210">
        <v>471</v>
      </c>
      <c r="Y210">
        <v>476</v>
      </c>
      <c r="Z210">
        <v>482</v>
      </c>
      <c r="AA210">
        <v>496</v>
      </c>
      <c r="AB210">
        <v>505</v>
      </c>
      <c r="AC210">
        <v>514</v>
      </c>
      <c r="AD210">
        <v>521</v>
      </c>
      <c r="AE210">
        <v>542</v>
      </c>
      <c r="AF210">
        <v>561</v>
      </c>
      <c r="AG210">
        <v>579</v>
      </c>
      <c r="AH210">
        <v>589</v>
      </c>
      <c r="AI210">
        <v>607</v>
      </c>
      <c r="AJ210">
        <v>607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L23" sqref="L23"/>
    </sheetView>
  </sheetViews>
  <sheetFormatPr defaultRowHeight="14.5" x14ac:dyDescent="0.35"/>
  <sheetData>
    <row r="28" spans="1:13" ht="15" customHeight="1" thickBot="1" x14ac:dyDescent="0.4">
      <c r="A28" t="s">
        <v>153</v>
      </c>
      <c r="H28" t="s">
        <v>108</v>
      </c>
      <c r="J28" s="2"/>
    </row>
    <row r="29" spans="1:13" ht="15" thickBot="1" x14ac:dyDescent="0.4">
      <c r="A29" s="25"/>
      <c r="B29" s="26" t="s">
        <v>52</v>
      </c>
      <c r="C29" s="26" t="s">
        <v>20</v>
      </c>
      <c r="D29" s="26" t="s">
        <v>53</v>
      </c>
      <c r="E29" s="26" t="s">
        <v>31</v>
      </c>
      <c r="F29" s="26" t="s">
        <v>61</v>
      </c>
      <c r="G29" s="27" t="s">
        <v>109</v>
      </c>
      <c r="H29" s="28" t="s">
        <v>57</v>
      </c>
      <c r="I29" s="29" t="s">
        <v>110</v>
      </c>
      <c r="J29" s="29" t="s">
        <v>56</v>
      </c>
      <c r="K29" s="161" t="s">
        <v>285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4">
      <c r="A30" s="31" t="s">
        <v>111</v>
      </c>
      <c r="B30" s="32">
        <f>'book stat'!BD202</f>
        <v>195</v>
      </c>
      <c r="C30" s="32">
        <f>'book stat'!BE202</f>
        <v>23</v>
      </c>
      <c r="D30" s="32">
        <f>'book stat'!BF202</f>
        <v>2</v>
      </c>
      <c r="E30" s="32">
        <f>'book stat'!BG202</f>
        <v>32</v>
      </c>
      <c r="F30" s="32">
        <f>'book stat'!BH202</f>
        <v>2</v>
      </c>
      <c r="G30" s="33">
        <f>'book stat'!BI202</f>
        <v>7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2</v>
      </c>
      <c r="M30" s="166">
        <f>'book stat'!BO202</f>
        <v>0</v>
      </c>
    </row>
    <row r="31" spans="1:13" ht="15" customHeight="1" thickBot="1" x14ac:dyDescent="0.4">
      <c r="A31" s="37" t="s">
        <v>112</v>
      </c>
      <c r="B31" s="32">
        <f>'book stat'!BD203</f>
        <v>807</v>
      </c>
      <c r="C31" s="32">
        <f>'book stat'!BE203</f>
        <v>79</v>
      </c>
      <c r="D31" s="32">
        <f>'book stat'!BF203</f>
        <v>8</v>
      </c>
      <c r="E31" s="32">
        <f>'book stat'!BG203</f>
        <v>0</v>
      </c>
      <c r="F31" s="32">
        <f>'book stat'!BH203</f>
        <v>8</v>
      </c>
      <c r="G31" s="33">
        <f>'book stat'!BI203</f>
        <v>33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4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25" activePane="bottomLeft" state="frozen"/>
      <selection pane="bottomLeft" activeCell="Q146" sqref="Q146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1" customWidth="1"/>
    <col min="28" max="29" width="4.54296875" style="2" customWidth="1"/>
    <col min="30" max="30" width="8" style="15" customWidth="1"/>
  </cols>
  <sheetData>
    <row r="1" spans="1:30" s="6" customFormat="1" ht="30" customHeight="1" thickBot="1" x14ac:dyDescent="0.4">
      <c r="A1" s="56" t="s">
        <v>113</v>
      </c>
      <c r="B1" s="13" t="s">
        <v>114</v>
      </c>
      <c r="C1" s="14" t="s">
        <v>115</v>
      </c>
      <c r="D1" s="217">
        <v>1</v>
      </c>
      <c r="E1" s="218"/>
      <c r="F1" s="64" t="s">
        <v>116</v>
      </c>
      <c r="G1" s="65" t="s">
        <v>8</v>
      </c>
      <c r="H1" s="219">
        <v>2</v>
      </c>
      <c r="I1" s="218"/>
      <c r="J1" s="64" t="s">
        <v>116</v>
      </c>
      <c r="K1" s="66" t="s">
        <v>8</v>
      </c>
      <c r="L1" s="219">
        <v>3</v>
      </c>
      <c r="M1" s="218"/>
      <c r="N1" s="64" t="s">
        <v>116</v>
      </c>
      <c r="O1" s="67" t="s">
        <v>8</v>
      </c>
      <c r="P1" s="217">
        <v>4</v>
      </c>
      <c r="Q1" s="218"/>
      <c r="R1" s="64" t="s">
        <v>116</v>
      </c>
      <c r="S1" s="66" t="s">
        <v>8</v>
      </c>
      <c r="T1" s="220">
        <v>5</v>
      </c>
      <c r="U1" s="221"/>
      <c r="V1" s="64" t="s">
        <v>116</v>
      </c>
      <c r="W1" s="66" t="s">
        <v>8</v>
      </c>
      <c r="X1" s="217">
        <v>6</v>
      </c>
      <c r="Y1" s="218"/>
      <c r="Z1" s="68" t="s">
        <v>117</v>
      </c>
      <c r="AA1" s="129">
        <f>SUM(AA2:AA171)</f>
        <v>601</v>
      </c>
      <c r="AB1" s="69" t="s">
        <v>118</v>
      </c>
      <c r="AC1" s="69" t="s">
        <v>119</v>
      </c>
      <c r="AD1" s="70" t="s">
        <v>120</v>
      </c>
    </row>
    <row r="2" spans="1:30" ht="30" customHeight="1" x14ac:dyDescent="0.35">
      <c r="A2" s="6">
        <v>18</v>
      </c>
      <c r="B2" s="6" t="s">
        <v>121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5">
      <c r="A3" s="6"/>
      <c r="B3" s="6" t="s">
        <v>122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5">
      <c r="A4" s="6"/>
      <c r="B4" s="6" t="s">
        <v>123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5">
      <c r="A5" s="6"/>
      <c r="B5" s="6" t="s">
        <v>124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5">
      <c r="A6" s="6" t="s">
        <v>160</v>
      </c>
      <c r="B6" s="6" t="s">
        <v>125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5">
      <c r="A7" s="6"/>
      <c r="B7" s="6" t="s">
        <v>126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5">
      <c r="A8" s="6"/>
      <c r="B8" s="6" t="s">
        <v>127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5">
      <c r="A9" s="6">
        <v>19</v>
      </c>
      <c r="B9" s="6" t="s">
        <v>121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333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5">
      <c r="A10" s="6"/>
      <c r="B10" s="6" t="s">
        <v>122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334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5">
      <c r="A11" s="6"/>
      <c r="B11" s="6" t="s">
        <v>123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5">
      <c r="A12" s="6"/>
      <c r="B12" s="6" t="s">
        <v>124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155</v>
      </c>
      <c r="L12" s="12"/>
      <c r="M12" s="138">
        <v>80</v>
      </c>
      <c r="N12" s="18"/>
      <c r="O12" s="18" t="s">
        <v>155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5">
      <c r="A13" s="6"/>
      <c r="B13" s="6" t="s">
        <v>125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5">
      <c r="A14" s="6"/>
      <c r="B14" s="6" t="s">
        <v>126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5">
      <c r="A15" s="6"/>
      <c r="B15" s="6" t="s">
        <v>127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4">
      <c r="A16" s="6">
        <v>20</v>
      </c>
      <c r="B16" s="6" t="s">
        <v>121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5">
      <c r="A17" s="6"/>
      <c r="B17" s="6" t="s">
        <v>122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286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5">
      <c r="A18" s="6"/>
      <c r="B18" s="6" t="s">
        <v>123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5">
      <c r="A19" s="6" t="s">
        <v>221</v>
      </c>
      <c r="B19" s="6" t="s">
        <v>124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155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5">
      <c r="A20" s="6"/>
      <c r="B20" s="6" t="s">
        <v>125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286</v>
      </c>
      <c r="L20" s="12">
        <v>95</v>
      </c>
      <c r="M20" s="8">
        <v>95</v>
      </c>
      <c r="N20" s="18">
        <v>2</v>
      </c>
      <c r="O20" s="18" t="s">
        <v>286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158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5">
      <c r="A21" s="6"/>
      <c r="B21" s="6" t="s">
        <v>126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286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5">
      <c r="A22" s="6"/>
      <c r="B22" s="6" t="s">
        <v>127</v>
      </c>
      <c r="C22" s="7">
        <v>46159</v>
      </c>
      <c r="D22" s="138">
        <v>8</v>
      </c>
      <c r="E22" s="138">
        <v>8</v>
      </c>
      <c r="F22" s="18">
        <v>2</v>
      </c>
      <c r="G22" s="17" t="s">
        <v>156</v>
      </c>
      <c r="H22" s="8">
        <v>90</v>
      </c>
      <c r="I22" s="137">
        <v>108</v>
      </c>
      <c r="J22" s="114">
        <v>2</v>
      </c>
      <c r="K22" s="17" t="s">
        <v>158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5">
      <c r="A23" s="6">
        <v>21</v>
      </c>
      <c r="B23" s="6" t="s">
        <v>121</v>
      </c>
      <c r="C23" s="7">
        <v>46160</v>
      </c>
      <c r="D23" s="138">
        <v>8</v>
      </c>
      <c r="E23" s="138">
        <v>8</v>
      </c>
      <c r="F23" s="18">
        <v>2</v>
      </c>
      <c r="G23" s="17" t="s">
        <v>129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156</v>
      </c>
      <c r="T23" s="138">
        <v>9</v>
      </c>
      <c r="U23" s="138">
        <v>9</v>
      </c>
      <c r="V23" s="18">
        <v>2</v>
      </c>
      <c r="W23" s="18" t="s">
        <v>134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5">
      <c r="A24" s="6"/>
      <c r="B24" s="6" t="s">
        <v>122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390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5">
      <c r="A25" s="6"/>
      <c r="B25" s="6" t="s">
        <v>123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5">
      <c r="A26" s="6"/>
      <c r="B26" s="6" t="s">
        <v>124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5">
      <c r="A27" s="6"/>
      <c r="B27" s="6" t="s">
        <v>125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5">
      <c r="A28" s="6"/>
      <c r="B28" s="6" t="s">
        <v>126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5">
      <c r="A29" s="6" t="s">
        <v>222</v>
      </c>
      <c r="B29" s="6" t="s">
        <v>127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5">
      <c r="A30" s="6" t="s">
        <v>223</v>
      </c>
      <c r="B30" s="6" t="s">
        <v>121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5">
      <c r="A31" s="6">
        <v>22</v>
      </c>
      <c r="B31" s="6" t="s">
        <v>122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5">
      <c r="A32" s="6"/>
      <c r="B32" s="6" t="s">
        <v>123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5">
      <c r="A33" s="6"/>
      <c r="B33" s="6" t="s">
        <v>124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5">
      <c r="A34" s="6"/>
      <c r="B34" s="6" t="s">
        <v>125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5">
      <c r="A35" s="6" t="s">
        <v>431</v>
      </c>
      <c r="B35" s="6" t="s">
        <v>126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5">
      <c r="A36" s="6"/>
      <c r="B36" s="6" t="s">
        <v>127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158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5">
      <c r="A37" s="6">
        <v>23</v>
      </c>
      <c r="B37" s="6" t="s">
        <v>121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5">
      <c r="A38" s="6"/>
      <c r="B38" s="6" t="s">
        <v>122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5">
      <c r="A39" s="6" t="s">
        <v>477</v>
      </c>
      <c r="B39" s="6" t="s">
        <v>123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158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134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5">
      <c r="A40" s="6"/>
      <c r="B40" s="6" t="s">
        <v>124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5">
      <c r="A41" s="6" t="s">
        <v>128</v>
      </c>
      <c r="B41" s="6" t="s">
        <v>125</v>
      </c>
      <c r="C41" s="7">
        <v>46178</v>
      </c>
      <c r="D41" s="9">
        <v>117</v>
      </c>
      <c r="E41" s="138">
        <v>6</v>
      </c>
      <c r="F41" s="114">
        <v>2</v>
      </c>
      <c r="G41" s="133" t="s">
        <v>155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5">
      <c r="A42" s="6"/>
      <c r="B42" s="6" t="s">
        <v>126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155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5">
      <c r="A43" s="6"/>
      <c r="B43" s="6" t="s">
        <v>127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5">
      <c r="A44" s="6"/>
      <c r="B44" s="6" t="s">
        <v>121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155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5">
      <c r="A45" s="6"/>
      <c r="B45" s="6" t="s">
        <v>122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158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5">
      <c r="A46" s="6"/>
      <c r="B46" s="6" t="s">
        <v>123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5">
      <c r="A47" s="6" t="s">
        <v>55</v>
      </c>
      <c r="B47" s="6" t="s">
        <v>124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5">
      <c r="A48" s="6" t="s">
        <v>55</v>
      </c>
      <c r="B48" s="6" t="s">
        <v>125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5">
      <c r="A49" s="6" t="s">
        <v>55</v>
      </c>
      <c r="B49" s="6" t="s">
        <v>126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5">
      <c r="A50" s="6" t="s">
        <v>55</v>
      </c>
      <c r="B50" s="6" t="s">
        <v>127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158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5">
      <c r="A51" s="6">
        <v>25</v>
      </c>
      <c r="B51" s="6" t="s">
        <v>121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>
        <v>148</v>
      </c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5</v>
      </c>
      <c r="AB51" s="57">
        <f t="shared" si="0"/>
        <v>4</v>
      </c>
      <c r="AC51" s="21">
        <f t="shared" si="4"/>
        <v>4</v>
      </c>
      <c r="AD51" s="16"/>
    </row>
    <row r="52" spans="1:30" ht="30" customHeight="1" x14ac:dyDescent="0.35">
      <c r="A52" s="6"/>
      <c r="B52" s="6" t="s">
        <v>122</v>
      </c>
      <c r="C52" s="7">
        <v>46189</v>
      </c>
      <c r="D52" s="111">
        <v>140</v>
      </c>
      <c r="E52" s="8">
        <v>140</v>
      </c>
      <c r="F52" s="114"/>
      <c r="G52" s="133"/>
      <c r="H52" s="112">
        <v>148</v>
      </c>
      <c r="I52" s="8">
        <v>148</v>
      </c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156</v>
      </c>
      <c r="X52" s="20"/>
      <c r="Y52" s="20"/>
      <c r="Z52" s="134">
        <f t="shared" si="2"/>
        <v>6</v>
      </c>
      <c r="AA52" s="130">
        <f t="shared" si="3"/>
        <v>5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5">
      <c r="A53" s="6"/>
      <c r="B53" s="6" t="s">
        <v>123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8">
        <v>148</v>
      </c>
      <c r="I53" s="8">
        <v>148</v>
      </c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265</v>
      </c>
      <c r="X53" s="20"/>
      <c r="Y53" s="20"/>
      <c r="Z53" s="134">
        <f t="shared" si="2"/>
        <v>6</v>
      </c>
      <c r="AA53" s="130">
        <f t="shared" si="3"/>
        <v>5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5">
      <c r="A54" s="6"/>
      <c r="B54" s="6" t="s">
        <v>124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>
        <v>148</v>
      </c>
      <c r="I54" s="8">
        <v>148</v>
      </c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4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5">
      <c r="A55" s="6"/>
      <c r="B55" s="6" t="s">
        <v>125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>
        <v>148</v>
      </c>
      <c r="I55" s="153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1</v>
      </c>
    </row>
    <row r="56" spans="1:30" ht="30" customHeight="1" x14ac:dyDescent="0.35">
      <c r="A56" s="6"/>
      <c r="B56" s="6" t="s">
        <v>126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153">
        <v>109</v>
      </c>
      <c r="I56" s="153">
        <v>109</v>
      </c>
      <c r="J56" s="18"/>
      <c r="K56" s="17" t="s">
        <v>224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5">
      <c r="A57" s="6"/>
      <c r="B57" s="6" t="s">
        <v>127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153">
        <v>109</v>
      </c>
      <c r="I57" s="153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5">
      <c r="A58" s="6">
        <v>26</v>
      </c>
      <c r="B58" s="6" t="s">
        <v>121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153">
        <v>109</v>
      </c>
      <c r="I58" s="8">
        <v>141</v>
      </c>
      <c r="J58" s="18"/>
      <c r="K58" s="17"/>
      <c r="L58" s="137">
        <v>129</v>
      </c>
      <c r="M58" s="137">
        <v>129</v>
      </c>
      <c r="N58" s="18"/>
      <c r="O58" s="18" t="s">
        <v>286</v>
      </c>
      <c r="P58" s="8">
        <v>130</v>
      </c>
      <c r="Q58" s="111">
        <v>130</v>
      </c>
      <c r="R58" s="114"/>
      <c r="S58" s="114" t="s">
        <v>286</v>
      </c>
      <c r="T58" s="138">
        <v>86</v>
      </c>
      <c r="U58" s="111"/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5">
      <c r="A59" s="6"/>
      <c r="B59" s="6" t="s">
        <v>122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11">
        <v>141</v>
      </c>
      <c r="I59" s="111">
        <v>141</v>
      </c>
      <c r="J59" s="114">
        <v>2</v>
      </c>
      <c r="K59" s="18" t="s">
        <v>511</v>
      </c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/>
      <c r="U59" s="111">
        <v>149</v>
      </c>
      <c r="V59" s="114">
        <v>2</v>
      </c>
      <c r="W59" s="18" t="s">
        <v>536</v>
      </c>
      <c r="X59" s="20"/>
      <c r="Y59" s="20"/>
      <c r="Z59" s="134">
        <f t="shared" si="2"/>
        <v>6</v>
      </c>
      <c r="AA59" s="130">
        <f t="shared" si="3"/>
        <v>5</v>
      </c>
      <c r="AB59" s="57">
        <f t="shared" si="0"/>
        <v>1</v>
      </c>
      <c r="AC59" s="21">
        <f t="shared" si="4"/>
        <v>0</v>
      </c>
      <c r="AD59" s="16"/>
    </row>
    <row r="60" spans="1:30" ht="30" customHeight="1" x14ac:dyDescent="0.35">
      <c r="A60" s="6"/>
      <c r="B60" s="6" t="s">
        <v>123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11">
        <v>141</v>
      </c>
      <c r="I60" s="111">
        <v>141</v>
      </c>
      <c r="J60" s="114">
        <v>2</v>
      </c>
      <c r="K60" s="18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149</v>
      </c>
      <c r="U60" s="111">
        <v>149</v>
      </c>
      <c r="V60" s="114">
        <v>2</v>
      </c>
      <c r="W60" s="18"/>
      <c r="X60" s="20"/>
      <c r="Y60" s="20"/>
      <c r="Z60" s="134">
        <f t="shared" si="2"/>
        <v>6</v>
      </c>
      <c r="AA60" s="130">
        <f t="shared" si="3"/>
        <v>3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5">
      <c r="A61" s="6"/>
      <c r="B61" s="6" t="s">
        <v>124</v>
      </c>
      <c r="C61" s="7">
        <v>46198</v>
      </c>
      <c r="D61" s="153">
        <v>37</v>
      </c>
      <c r="E61" s="111">
        <v>64</v>
      </c>
      <c r="F61" s="18">
        <v>2</v>
      </c>
      <c r="G61" s="18" t="s">
        <v>158</v>
      </c>
      <c r="H61" s="111">
        <v>141</v>
      </c>
      <c r="I61" s="111">
        <v>141</v>
      </c>
      <c r="J61" s="18">
        <v>2</v>
      </c>
      <c r="K61" s="18"/>
      <c r="L61" s="8"/>
      <c r="M61" s="8">
        <v>34</v>
      </c>
      <c r="N61" s="18"/>
      <c r="O61" s="18"/>
      <c r="P61" s="111"/>
      <c r="Q61" s="8"/>
      <c r="R61" s="114"/>
      <c r="S61" s="18"/>
      <c r="T61" s="111">
        <v>149</v>
      </c>
      <c r="U61" s="111">
        <v>149</v>
      </c>
      <c r="V61" s="18">
        <v>2</v>
      </c>
      <c r="W61" s="18"/>
      <c r="X61" s="20"/>
      <c r="Y61" s="20"/>
      <c r="Z61" s="134">
        <f t="shared" si="2"/>
        <v>6</v>
      </c>
      <c r="AA61" s="130">
        <f t="shared" si="3"/>
        <v>4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5">
      <c r="A62" s="6"/>
      <c r="B62" s="6" t="s">
        <v>125</v>
      </c>
      <c r="C62" s="7">
        <v>46199</v>
      </c>
      <c r="D62" s="8">
        <v>64</v>
      </c>
      <c r="E62" s="8">
        <v>64</v>
      </c>
      <c r="F62" s="18"/>
      <c r="G62" s="18" t="s">
        <v>286</v>
      </c>
      <c r="H62" s="111">
        <v>141</v>
      </c>
      <c r="I62" s="111">
        <v>61</v>
      </c>
      <c r="J62" s="18">
        <v>2</v>
      </c>
      <c r="K62" s="18"/>
      <c r="L62" s="8">
        <v>34</v>
      </c>
      <c r="M62" s="8">
        <v>34</v>
      </c>
      <c r="N62" s="18">
        <v>2</v>
      </c>
      <c r="O62" s="18" t="s">
        <v>224</v>
      </c>
      <c r="P62" s="8"/>
      <c r="Q62" s="8">
        <v>87</v>
      </c>
      <c r="R62" s="18"/>
      <c r="S62" s="18"/>
      <c r="T62" s="111">
        <v>149</v>
      </c>
      <c r="U62" s="111">
        <v>149</v>
      </c>
      <c r="V62" s="18">
        <v>2</v>
      </c>
      <c r="W62" s="18"/>
      <c r="X62" s="8"/>
      <c r="Y62" s="8"/>
      <c r="Z62" s="134">
        <f t="shared" si="2"/>
        <v>6</v>
      </c>
      <c r="AA62" s="130">
        <f t="shared" si="3"/>
        <v>5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5">
      <c r="A63" s="6"/>
      <c r="B63" s="6" t="s">
        <v>126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156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156</v>
      </c>
      <c r="T63" s="111">
        <v>149</v>
      </c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1</v>
      </c>
      <c r="AD63" s="16"/>
    </row>
    <row r="64" spans="1:30" ht="30" customHeight="1" x14ac:dyDescent="0.35">
      <c r="A64" s="6"/>
      <c r="B64" s="6" t="s">
        <v>127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5">
      <c r="A65" s="6">
        <v>27</v>
      </c>
      <c r="B65" s="6" t="s">
        <v>121</v>
      </c>
      <c r="C65" s="7">
        <v>46202</v>
      </c>
      <c r="D65" s="213">
        <v>135</v>
      </c>
      <c r="E65" s="213">
        <v>135</v>
      </c>
      <c r="F65" s="114"/>
      <c r="G65" s="133" t="s">
        <v>156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158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5">
      <c r="A66" s="6"/>
      <c r="B66" s="6" t="s">
        <v>122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5">
      <c r="A67" s="6"/>
      <c r="B67" s="6" t="s">
        <v>123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5">
      <c r="A68" s="6"/>
      <c r="B68" s="6" t="s">
        <v>124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5">
      <c r="A69" s="6"/>
      <c r="B69" s="6" t="s">
        <v>125</v>
      </c>
      <c r="C69" s="7">
        <v>46206</v>
      </c>
      <c r="D69" s="8">
        <v>24</v>
      </c>
      <c r="E69" s="8">
        <v>24</v>
      </c>
      <c r="F69" s="114">
        <v>2</v>
      </c>
      <c r="G69" s="133" t="s">
        <v>225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5">
      <c r="A70" s="6"/>
      <c r="B70" s="6" t="s">
        <v>126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5">
      <c r="A71" s="6"/>
      <c r="B71" s="6" t="s">
        <v>127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5">
      <c r="A72" s="6">
        <v>28</v>
      </c>
      <c r="B72" s="6" t="s">
        <v>121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5">
      <c r="A73" s="6"/>
      <c r="B73" s="6" t="s">
        <v>122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5">
      <c r="A74" s="6"/>
      <c r="B74" s="6" t="s">
        <v>123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5">
      <c r="A75" s="6"/>
      <c r="B75" s="6" t="s">
        <v>124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5">
      <c r="A76" s="6"/>
      <c r="B76" s="6" t="s">
        <v>125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5">
      <c r="A77" s="6"/>
      <c r="B77" s="6" t="s">
        <v>126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157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5">
      <c r="A78" s="6"/>
      <c r="B78" s="6" t="s">
        <v>127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5">
      <c r="A79" s="6">
        <v>29</v>
      </c>
      <c r="B79" s="6" t="s">
        <v>121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157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5">
      <c r="A80" s="6"/>
      <c r="B80" s="6" t="s">
        <v>122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5">
      <c r="A81" s="6"/>
      <c r="B81" s="6" t="s">
        <v>123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5">
      <c r="A82" s="6"/>
      <c r="B82" s="6" t="s">
        <v>124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/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4</v>
      </c>
      <c r="AB82" s="57">
        <f t="shared" si="5"/>
        <v>0</v>
      </c>
      <c r="AC82" s="21">
        <f t="shared" si="8"/>
        <v>1</v>
      </c>
      <c r="AD82" s="16"/>
    </row>
    <row r="83" spans="1:30" ht="30" customHeight="1" x14ac:dyDescent="0.35">
      <c r="A83" s="6"/>
      <c r="B83" s="6" t="s">
        <v>125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/>
      <c r="M83" s="190"/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4</v>
      </c>
      <c r="AB83" s="57">
        <f t="shared" si="5"/>
        <v>0</v>
      </c>
      <c r="AC83" s="21">
        <f t="shared" si="8"/>
        <v>0</v>
      </c>
      <c r="AD83" s="16"/>
    </row>
    <row r="84" spans="1:30" ht="30" customHeight="1" x14ac:dyDescent="0.35">
      <c r="A84" s="6"/>
      <c r="B84" s="6" t="s">
        <v>126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/>
      <c r="M84" s="190"/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4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5">
      <c r="A85" s="6"/>
      <c r="B85" s="6" t="s">
        <v>127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224</v>
      </c>
      <c r="L85" s="190"/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1</v>
      </c>
      <c r="AD85" s="16"/>
    </row>
    <row r="86" spans="1:30" ht="30" customHeight="1" x14ac:dyDescent="0.35">
      <c r="A86">
        <v>30</v>
      </c>
      <c r="B86" s="6" t="s">
        <v>121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5">
      <c r="A87" s="6"/>
      <c r="B87" s="6" t="s">
        <v>122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5">
      <c r="A88" s="6"/>
      <c r="B88" s="6" t="s">
        <v>123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5">
      <c r="A89" s="6" t="s">
        <v>154</v>
      </c>
      <c r="B89" s="6" t="s">
        <v>124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5">
      <c r="A90" s="6"/>
      <c r="B90" s="6" t="s">
        <v>125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152">
        <v>150</v>
      </c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5</v>
      </c>
      <c r="AB90" s="57">
        <f t="shared" si="5"/>
        <v>1</v>
      </c>
      <c r="AC90" s="21">
        <f t="shared" si="8"/>
        <v>1</v>
      </c>
      <c r="AD90" s="16"/>
    </row>
    <row r="91" spans="1:30" ht="30" customHeight="1" x14ac:dyDescent="0.35">
      <c r="A91" s="6"/>
      <c r="B91" s="6" t="s">
        <v>126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152">
        <v>150</v>
      </c>
      <c r="M91" s="152">
        <v>150</v>
      </c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3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5">
      <c r="A92" s="6"/>
      <c r="B92" s="6" t="s">
        <v>127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152">
        <v>150</v>
      </c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152">
        <v>150</v>
      </c>
      <c r="V92" s="18"/>
      <c r="W92" s="18"/>
      <c r="X92" s="20"/>
      <c r="Y92" s="20"/>
      <c r="Z92" s="134">
        <f t="shared" si="6"/>
        <v>3</v>
      </c>
      <c r="AA92" s="130">
        <f t="shared" si="7"/>
        <v>4</v>
      </c>
      <c r="AB92" s="57">
        <f t="shared" si="5"/>
        <v>3</v>
      </c>
      <c r="AC92" s="21">
        <f t="shared" si="8"/>
        <v>2</v>
      </c>
      <c r="AD92" s="16"/>
    </row>
    <row r="93" spans="1:30" ht="30" customHeight="1" x14ac:dyDescent="0.35">
      <c r="A93" s="6">
        <v>31</v>
      </c>
      <c r="B93" s="6" t="s">
        <v>121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287</v>
      </c>
      <c r="P93" s="138">
        <v>58</v>
      </c>
      <c r="Q93" s="138">
        <v>58</v>
      </c>
      <c r="R93" s="114">
        <v>1</v>
      </c>
      <c r="S93" s="114" t="s">
        <v>287</v>
      </c>
      <c r="T93" s="152">
        <v>150</v>
      </c>
      <c r="U93" s="8">
        <v>30</v>
      </c>
      <c r="V93" s="18"/>
      <c r="W93" s="18" t="s">
        <v>158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1</v>
      </c>
      <c r="AD93" s="16"/>
    </row>
    <row r="94" spans="1:30" ht="30" customHeight="1" x14ac:dyDescent="0.35">
      <c r="A94" s="6"/>
      <c r="B94" s="6" t="s">
        <v>122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5">
      <c r="A95" s="6"/>
      <c r="B95" s="6" t="s">
        <v>123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5">
      <c r="A96" s="6"/>
      <c r="B96" s="6" t="s">
        <v>124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155</v>
      </c>
      <c r="P96" s="159">
        <v>57</v>
      </c>
      <c r="Q96" s="160">
        <v>57</v>
      </c>
      <c r="R96" s="114"/>
      <c r="S96" s="114" t="s">
        <v>286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5">
      <c r="A97" s="6"/>
      <c r="B97" s="6" t="s">
        <v>125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5">
      <c r="A98" s="6"/>
      <c r="B98" s="6" t="s">
        <v>126</v>
      </c>
      <c r="C98" s="7">
        <v>46235</v>
      </c>
      <c r="D98" s="114">
        <v>94</v>
      </c>
      <c r="E98" s="114">
        <v>94</v>
      </c>
      <c r="F98" s="18"/>
      <c r="G98" s="17" t="s">
        <v>156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5">
      <c r="A99" s="6"/>
      <c r="B99" s="6" t="s">
        <v>127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5">
      <c r="A100" s="6">
        <v>32</v>
      </c>
      <c r="B100" s="6" t="s">
        <v>121</v>
      </c>
      <c r="C100" s="7">
        <v>46237</v>
      </c>
      <c r="D100" s="189">
        <v>94</v>
      </c>
      <c r="E100" s="137">
        <v>11</v>
      </c>
      <c r="F100" s="18"/>
      <c r="G100" s="17" t="s">
        <v>157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5">
      <c r="A101" s="6"/>
      <c r="B101" s="6" t="s">
        <v>122</v>
      </c>
      <c r="C101" s="7">
        <v>46238</v>
      </c>
      <c r="D101" s="137">
        <v>11</v>
      </c>
      <c r="E101" s="137">
        <v>11</v>
      </c>
      <c r="F101" s="18"/>
      <c r="G101" s="17" t="s">
        <v>156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5">
      <c r="A102" s="6"/>
      <c r="B102" s="6" t="s">
        <v>123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5">
      <c r="A103" s="6"/>
      <c r="B103" s="6" t="s">
        <v>124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155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5">
      <c r="A104" s="6"/>
      <c r="B104" s="6" t="s">
        <v>125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156</v>
      </c>
      <c r="L104" s="153">
        <v>33</v>
      </c>
      <c r="M104" s="153">
        <v>33</v>
      </c>
      <c r="N104" s="111">
        <v>1</v>
      </c>
      <c r="O104" s="111" t="s">
        <v>156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5">
      <c r="A105" s="6"/>
      <c r="B105" s="6" t="s">
        <v>126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265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5">
      <c r="A106" s="6"/>
      <c r="B106" s="6" t="s">
        <v>127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5">
      <c r="A107" s="6">
        <v>33</v>
      </c>
      <c r="B107" s="6" t="s">
        <v>121</v>
      </c>
      <c r="C107" s="7">
        <v>46244</v>
      </c>
      <c r="D107" s="8"/>
      <c r="E107" s="8">
        <v>59</v>
      </c>
      <c r="F107" s="18"/>
      <c r="G107" s="17" t="s">
        <v>155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265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5">
      <c r="A108" s="6"/>
      <c r="B108" s="6" t="s">
        <v>122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5">
      <c r="A109" s="6"/>
      <c r="B109" s="6" t="s">
        <v>123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5">
      <c r="A110" s="6" t="s">
        <v>54</v>
      </c>
      <c r="B110" s="6" t="s">
        <v>124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5">
      <c r="A111" s="6" t="s">
        <v>54</v>
      </c>
      <c r="B111" s="6" t="s">
        <v>125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5">
      <c r="A112" s="6" t="s">
        <v>54</v>
      </c>
      <c r="B112" s="6" t="s">
        <v>126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5">
      <c r="A113" s="6"/>
      <c r="B113" s="6" t="s">
        <v>127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5">
      <c r="A114" s="6">
        <v>34</v>
      </c>
      <c r="B114" s="6" t="s">
        <v>121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11"/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264</v>
      </c>
      <c r="T114" s="8"/>
      <c r="U114" s="138">
        <v>21</v>
      </c>
      <c r="V114" s="18"/>
      <c r="W114" s="18" t="s">
        <v>158</v>
      </c>
      <c r="X114" s="20"/>
      <c r="Y114" s="20"/>
      <c r="Z114" s="134">
        <f t="shared" si="6"/>
        <v>2</v>
      </c>
      <c r="AA114" s="130">
        <f t="shared" si="7"/>
        <v>4</v>
      </c>
      <c r="AB114" s="57">
        <f t="shared" si="5"/>
        <v>3</v>
      </c>
      <c r="AC114" s="21">
        <f t="shared" si="9"/>
        <v>1</v>
      </c>
      <c r="AD114" s="16"/>
    </row>
    <row r="115" spans="1:30" ht="30" customHeight="1" x14ac:dyDescent="0.35">
      <c r="A115" s="6"/>
      <c r="B115" s="6" t="s">
        <v>122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11"/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265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0</v>
      </c>
      <c r="AD115" s="16"/>
    </row>
    <row r="116" spans="1:30" ht="30" customHeight="1" x14ac:dyDescent="0.35">
      <c r="A116" s="6"/>
      <c r="B116" s="6" t="s">
        <v>123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5">
      <c r="A117" s="6"/>
      <c r="B117" s="6" t="s">
        <v>124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5">
      <c r="A118" s="6"/>
      <c r="B118" s="6" t="s">
        <v>125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5">
      <c r="A119" s="6"/>
      <c r="B119" s="6" t="s">
        <v>126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224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5">
      <c r="A120" s="6"/>
      <c r="B120" s="6" t="s">
        <v>127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155</v>
      </c>
      <c r="L120" s="157">
        <v>54</v>
      </c>
      <c r="M120" s="137">
        <v>122</v>
      </c>
      <c r="N120" s="18">
        <v>2</v>
      </c>
      <c r="O120" s="18" t="s">
        <v>158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56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5">
      <c r="A121" s="6">
        <v>35</v>
      </c>
      <c r="B121" s="6" t="s">
        <v>121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456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5">
      <c r="A122" s="6"/>
      <c r="B122" s="6" t="s">
        <v>122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457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5">
      <c r="A123" s="6"/>
      <c r="B123" s="6" t="s">
        <v>123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5">
      <c r="A124" s="6"/>
      <c r="B124" s="6" t="s">
        <v>124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156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156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5">
      <c r="A125" s="6"/>
      <c r="B125" s="6" t="s">
        <v>125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225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5">
      <c r="A126" s="6"/>
      <c r="B126" s="6" t="s">
        <v>126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5">
      <c r="A127" s="6"/>
      <c r="B127" s="6" t="s">
        <v>127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5">
      <c r="A128" s="6">
        <v>36</v>
      </c>
      <c r="B128" s="6" t="s">
        <v>121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5">
      <c r="A129" s="6"/>
      <c r="B129" s="6" t="s">
        <v>122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5">
      <c r="A130" s="6"/>
      <c r="B130" s="6" t="s">
        <v>123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5">
      <c r="A131" s="6"/>
      <c r="B131" s="6" t="s">
        <v>124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5">
      <c r="A132" s="6"/>
      <c r="B132" s="6" t="s">
        <v>125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>
        <v>147</v>
      </c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5</v>
      </c>
      <c r="AB132" s="57">
        <f t="shared" si="10"/>
        <v>2</v>
      </c>
      <c r="AC132" s="21">
        <f t="shared" si="9"/>
        <v>2</v>
      </c>
      <c r="AD132" s="16"/>
    </row>
    <row r="133" spans="1:30" ht="30" customHeight="1" x14ac:dyDescent="0.35">
      <c r="A133" s="6"/>
      <c r="B133" s="6" t="s">
        <v>126</v>
      </c>
      <c r="C133" s="7">
        <v>46270</v>
      </c>
      <c r="D133" s="139">
        <v>126</v>
      </c>
      <c r="E133" s="152">
        <v>139</v>
      </c>
      <c r="F133" s="18">
        <v>2</v>
      </c>
      <c r="G133" s="132"/>
      <c r="H133" s="216">
        <v>147</v>
      </c>
      <c r="I133" s="111">
        <v>147</v>
      </c>
      <c r="J133" s="111"/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16"/>
      <c r="Y133" s="111"/>
      <c r="Z133" s="134">
        <f t="shared" si="11"/>
        <v>5</v>
      </c>
      <c r="AA133" s="130">
        <f t="shared" si="12"/>
        <v>4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5">
      <c r="A134" s="6"/>
      <c r="B134" s="6" t="s">
        <v>127</v>
      </c>
      <c r="C134" s="7">
        <v>46271</v>
      </c>
      <c r="D134" s="152">
        <v>139</v>
      </c>
      <c r="E134" s="152">
        <v>139</v>
      </c>
      <c r="F134" s="111">
        <v>2</v>
      </c>
      <c r="G134" s="186"/>
      <c r="H134" s="9">
        <v>147</v>
      </c>
      <c r="I134" s="138">
        <v>145</v>
      </c>
      <c r="J134" s="18"/>
      <c r="K134" s="132" t="s">
        <v>23</v>
      </c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111"/>
      <c r="Y134" s="111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3</v>
      </c>
      <c r="AD134" s="16"/>
    </row>
    <row r="135" spans="1:30" ht="30" customHeight="1" x14ac:dyDescent="0.35">
      <c r="A135" s="6">
        <v>37</v>
      </c>
      <c r="B135" s="6" t="s">
        <v>121</v>
      </c>
      <c r="C135" s="7">
        <v>46272</v>
      </c>
      <c r="D135" s="152">
        <v>139</v>
      </c>
      <c r="E135" s="152">
        <v>139</v>
      </c>
      <c r="F135" s="111">
        <v>2</v>
      </c>
      <c r="G135" s="186"/>
      <c r="H135" s="139">
        <v>145</v>
      </c>
      <c r="I135" s="138">
        <v>145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224</v>
      </c>
      <c r="X135" s="111"/>
      <c r="Y135" s="111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5">
      <c r="A136" s="6"/>
      <c r="B136" s="6" t="s">
        <v>122</v>
      </c>
      <c r="C136" s="7">
        <v>46273</v>
      </c>
      <c r="D136" s="152">
        <v>139</v>
      </c>
      <c r="E136" s="152">
        <v>139</v>
      </c>
      <c r="F136" s="111">
        <v>2</v>
      </c>
      <c r="G136" s="186"/>
      <c r="H136" s="139">
        <v>145</v>
      </c>
      <c r="I136" s="138">
        <v>145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111"/>
      <c r="Y136" s="111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5">
      <c r="A137" s="6"/>
      <c r="B137" s="6" t="s">
        <v>123</v>
      </c>
      <c r="C137" s="7">
        <v>46274</v>
      </c>
      <c r="D137" s="152">
        <v>139</v>
      </c>
      <c r="E137" s="8"/>
      <c r="F137" s="111">
        <v>2</v>
      </c>
      <c r="G137" s="186"/>
      <c r="H137" s="139">
        <v>145</v>
      </c>
      <c r="I137" s="138">
        <v>145</v>
      </c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111"/>
      <c r="Y137" s="111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5">
      <c r="A138" s="6"/>
      <c r="B138" s="6" t="s">
        <v>124</v>
      </c>
      <c r="C138" s="7">
        <v>46275</v>
      </c>
      <c r="D138" s="216"/>
      <c r="E138" s="111"/>
      <c r="F138" s="111"/>
      <c r="G138" s="186"/>
      <c r="H138" s="139">
        <v>145</v>
      </c>
      <c r="I138" s="138">
        <v>145</v>
      </c>
      <c r="J138" s="18">
        <v>2</v>
      </c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5">
      <c r="A139" s="6"/>
      <c r="B139" s="6" t="s">
        <v>125</v>
      </c>
      <c r="C139" s="7">
        <v>46276</v>
      </c>
      <c r="D139" s="216"/>
      <c r="E139" s="137">
        <v>89</v>
      </c>
      <c r="F139" s="18">
        <v>2</v>
      </c>
      <c r="G139" s="17"/>
      <c r="H139" s="139">
        <v>144</v>
      </c>
      <c r="I139" s="137">
        <v>89</v>
      </c>
      <c r="J139" s="18">
        <v>2</v>
      </c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6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5">
      <c r="A140" s="6"/>
      <c r="B140" s="6" t="s">
        <v>126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158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5">
      <c r="A141" s="6"/>
      <c r="B141" s="6" t="s">
        <v>127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5">
      <c r="A142" s="6">
        <v>38</v>
      </c>
      <c r="B142" s="6" t="s">
        <v>121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5">
      <c r="A143" s="6"/>
      <c r="B143" s="6" t="s">
        <v>122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5">
      <c r="A144" s="6"/>
      <c r="B144" s="6" t="s">
        <v>123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158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5">
      <c r="A145" s="6"/>
      <c r="B145" s="6" t="s">
        <v>124</v>
      </c>
      <c r="C145" s="7">
        <v>46282</v>
      </c>
      <c r="D145" s="8"/>
      <c r="E145" s="8">
        <v>41</v>
      </c>
      <c r="F145" s="18"/>
      <c r="G145" s="17" t="s">
        <v>158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5">
      <c r="A146" s="6"/>
      <c r="B146" s="6" t="s">
        <v>125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/>
      <c r="R146" s="114">
        <v>2</v>
      </c>
      <c r="S146" s="114"/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5">
      <c r="A147" s="6"/>
      <c r="B147" s="6" t="s">
        <v>126</v>
      </c>
      <c r="C147" s="7">
        <v>46284</v>
      </c>
      <c r="D147" s="8">
        <v>41</v>
      </c>
      <c r="E147" s="8"/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6</v>
      </c>
      <c r="AA147" s="130">
        <f t="shared" si="12"/>
        <v>2</v>
      </c>
      <c r="AB147" s="57">
        <f t="shared" si="10"/>
        <v>0</v>
      </c>
      <c r="AC147" s="21">
        <f t="shared" si="13"/>
        <v>2</v>
      </c>
      <c r="AD147" s="16"/>
    </row>
    <row r="148" spans="1:30" ht="30" customHeight="1" x14ac:dyDescent="0.35">
      <c r="A148" s="6"/>
      <c r="B148" s="6" t="s">
        <v>127</v>
      </c>
      <c r="C148" s="7">
        <v>46285</v>
      </c>
      <c r="D148" s="8"/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158</v>
      </c>
      <c r="P148" s="111"/>
      <c r="Q148" s="8"/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2</v>
      </c>
      <c r="AB148" s="57">
        <f t="shared" si="10"/>
        <v>1</v>
      </c>
      <c r="AC148" s="21">
        <f t="shared" si="13"/>
        <v>1</v>
      </c>
      <c r="AD148" s="16"/>
    </row>
    <row r="149" spans="1:30" ht="30" customHeight="1" x14ac:dyDescent="0.35">
      <c r="A149" s="6">
        <v>39</v>
      </c>
      <c r="B149" s="6" t="s">
        <v>121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5">
      <c r="A150" s="6"/>
      <c r="B150" s="6" t="s">
        <v>122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224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5">
      <c r="A151" s="6"/>
      <c r="B151" s="6" t="s">
        <v>123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5">
      <c r="A152" s="6"/>
      <c r="B152" s="6" t="s">
        <v>124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5">
      <c r="A153" s="6"/>
      <c r="B153" s="6" t="s">
        <v>125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5">
      <c r="A154" s="6"/>
      <c r="B154" s="6" t="s">
        <v>126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5">
      <c r="A155" s="6" t="s">
        <v>159</v>
      </c>
      <c r="B155" s="6" t="s">
        <v>127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5">
      <c r="A156" s="6">
        <v>40</v>
      </c>
      <c r="B156" s="6" t="s">
        <v>121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5">
      <c r="A157" s="6"/>
      <c r="B157" s="6" t="s">
        <v>122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5">
      <c r="A158" s="6"/>
      <c r="B158" s="6" t="s">
        <v>123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5">
      <c r="A159" s="6"/>
      <c r="B159" s="6" t="s">
        <v>124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5">
      <c r="A160" s="6"/>
      <c r="B160" s="6" t="s">
        <v>125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5">
      <c r="A161" s="6"/>
      <c r="B161" s="6" t="s">
        <v>126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5">
      <c r="A162" s="6" t="s">
        <v>159</v>
      </c>
      <c r="B162" s="6" t="s">
        <v>127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5">
      <c r="A163" s="6">
        <v>41</v>
      </c>
      <c r="B163" s="6" t="s">
        <v>121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5">
      <c r="A164" s="6"/>
      <c r="B164" s="6" t="s">
        <v>122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4">
      <c r="A165" s="6"/>
      <c r="B165" s="6" t="s">
        <v>123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4">
      <c r="A166" s="6"/>
      <c r="B166" s="6" t="s">
        <v>124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4">
      <c r="A167" s="6"/>
      <c r="B167" s="6" t="s">
        <v>125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4">
      <c r="A168" s="6"/>
      <c r="B168" s="6" t="s">
        <v>126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4">
      <c r="A169" s="6"/>
      <c r="B169" s="6" t="s">
        <v>127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4">
      <c r="A170" s="6">
        <v>42</v>
      </c>
      <c r="B170" s="6" t="s">
        <v>121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4">
      <c r="A171" s="6"/>
      <c r="B171" s="6" t="s">
        <v>122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54 AD56:AD171" name="comments"/>
    <protectedRange sqref="A2:A171" name="week and events"/>
    <protectedRange sqref="N109:N115 N58:N91 D2:H8 I2:I9 D14 H9:H10 H12:H15 H58:M58 F9:G15 D9:E13 D15:E15 D116:N123 J2:N18 N99:N107 I11:I18 D16:H33 I19:N33 D36:H51 I36:N57 D34:N35 T99 O103:Y123 D99:M115 O99:S102 U99:Z102 T101:T102 W141:X171 W124:W140 D92:Y98 O2:Y91 Y138:Y171 X138 X124:Y137 D124:V171 D52:G58 H52:H57 D59:M9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5" x14ac:dyDescent="0.35"/>
  <cols>
    <col min="2" max="2" width="8.54296875" style="22" customWidth="1"/>
    <col min="3" max="3" width="8.453125" style="2" bestFit="1" customWidth="1"/>
    <col min="4" max="4" width="5.54296875" style="3" customWidth="1"/>
    <col min="5" max="5" width="5.54296875" style="2" customWidth="1"/>
    <col min="6" max="6" width="5.54296875" style="3" customWidth="1"/>
    <col min="7" max="7" width="5.54296875" style="2" customWidth="1"/>
    <col min="8" max="8" width="5.54296875" style="3" customWidth="1"/>
    <col min="9" max="9" width="5.54296875" style="2" customWidth="1"/>
    <col min="10" max="10" width="5.54296875" style="3" customWidth="1"/>
    <col min="11" max="11" width="5.54296875" style="2" customWidth="1"/>
    <col min="12" max="12" width="5.54296875" style="3" customWidth="1"/>
    <col min="13" max="13" width="5.54296875" style="2" customWidth="1"/>
    <col min="14" max="14" width="4.54296875" customWidth="1"/>
  </cols>
  <sheetData>
    <row r="1" spans="1:13" s="52" customFormat="1" ht="19.399999999999999" customHeight="1" thickBot="1" x14ac:dyDescent="0.5">
      <c r="A1" s="52" t="s">
        <v>130</v>
      </c>
      <c r="B1" s="53" t="s">
        <v>115</v>
      </c>
      <c r="C1" s="71" t="s">
        <v>471</v>
      </c>
      <c r="D1" s="54" t="s">
        <v>129</v>
      </c>
      <c r="E1" s="55" t="s">
        <v>472</v>
      </c>
      <c r="F1" s="54" t="s">
        <v>131</v>
      </c>
      <c r="G1" s="55" t="s">
        <v>473</v>
      </c>
      <c r="H1" s="54" t="s">
        <v>132</v>
      </c>
      <c r="I1" s="55" t="s">
        <v>474</v>
      </c>
      <c r="J1" s="54" t="s">
        <v>133</v>
      </c>
      <c r="K1" s="55" t="s">
        <v>475</v>
      </c>
      <c r="L1" s="54" t="s">
        <v>134</v>
      </c>
      <c r="M1" s="55" t="s">
        <v>476</v>
      </c>
    </row>
    <row r="2" spans="1:13" ht="15" customHeight="1" thickBot="1" x14ac:dyDescent="0.4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4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4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4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4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4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4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4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4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4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4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4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4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5" customHeight="1" thickBot="1" x14ac:dyDescent="0.4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4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4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4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4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4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4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4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4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4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4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4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4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4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4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4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4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4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4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4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4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4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4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4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4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4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4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4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4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4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4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4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4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4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4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4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4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DK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4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4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4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4">
      <c r="A55" t="str">
        <f>booking!B55</f>
        <v>fredag</v>
      </c>
      <c r="B55" s="22">
        <f>booking!C55</f>
        <v>46192</v>
      </c>
      <c r="C55" s="2" t="str">
        <f>IF(booking!AC55&gt;0,"Y","-")</f>
        <v>Y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udc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4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4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4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NL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-</v>
      </c>
    </row>
    <row r="59" spans="1:13" ht="15" customHeight="1" thickBot="1" x14ac:dyDescent="0.4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N</v>
      </c>
    </row>
    <row r="60" spans="1:13" ht="15" customHeight="1" thickBot="1" x14ac:dyDescent="0.4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4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4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udc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-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4">
      <c r="A63" t="str">
        <f>booking!B63</f>
        <v>lørdag</v>
      </c>
      <c r="B63" s="22">
        <f>booking!C63</f>
        <v>46200</v>
      </c>
      <c r="C63" s="2" t="str">
        <f>IF(booking!AC63&gt;0,"Y","-")</f>
        <v>Y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udc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4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4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4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4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4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4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4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4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4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4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4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4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4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4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4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4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4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4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4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-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4">
      <c r="A83" t="str">
        <f>booking!B83</f>
        <v>fredag</v>
      </c>
      <c r="B83" s="22">
        <f>booking!C83</f>
        <v>46220</v>
      </c>
      <c r="C83" s="2" t="str">
        <f>IF(booking!AC83&gt;0,"Y","-")</f>
        <v>-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-</v>
      </c>
      <c r="I83" s="47" t="str">
        <f>IFERROR(IF(AND(booking!AB83&gt;0,booking!L83&lt;&gt;booking!M83),VLOOKUP(booking!M83,Database!$A$1:'Database'!$L$189,6,FALSE),"-"),"-")</f>
        <v>-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4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4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-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4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4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4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4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4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DK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4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4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udc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DK</v>
      </c>
    </row>
    <row r="93" spans="1:13" ht="15" customHeight="1" thickBot="1" x14ac:dyDescent="0.4">
      <c r="A93" t="str">
        <f>booking!B93</f>
        <v>mandag</v>
      </c>
      <c r="B93" s="22">
        <f>booking!C93</f>
        <v>46230</v>
      </c>
      <c r="C93" s="2" t="str">
        <f>IF(booking!AC93&gt;0,"Y","-")</f>
        <v>Y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udc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4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4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4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4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4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4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4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4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4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4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4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4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4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4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4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4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4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4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4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4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4">
      <c r="A114" t="str">
        <f>booking!B114</f>
        <v>mandag</v>
      </c>
      <c r="B114" s="22">
        <f>booking!C114</f>
        <v>46251</v>
      </c>
      <c r="C114" s="2" t="str">
        <f>IF(booking!AC114&gt;0,"Y","-")</f>
        <v>Y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udc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4">
      <c r="A115" t="str">
        <f>booking!B115</f>
        <v>tirsdag</v>
      </c>
      <c r="B115" s="22">
        <f>booking!C115</f>
        <v>46252</v>
      </c>
      <c r="C115" s="2" t="str">
        <f>IF(booking!AC115&gt;0,"Y","-")</f>
        <v>-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-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4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4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4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4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4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4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4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4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4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4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4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4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DK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4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4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4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4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4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DK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4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DK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-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4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udc</v>
      </c>
      <c r="G134" s="47" t="str">
        <f>IFERROR(IF(AND(booking!AB134&gt;0,booking!H134&lt;&gt;booking!I134),VLOOKUP(booking!I134,Database!$A$1:'Database'!$L$189,6,FALSE),"-"),"-")</f>
        <v>DK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4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4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4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udc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-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4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4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-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udc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4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4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4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4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4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4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4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4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udc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4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-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DK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4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4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4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4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4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4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4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4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4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4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4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4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4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4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4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4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4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4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4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4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4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4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4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5" x14ac:dyDescent="0.35"/>
  <cols>
    <col min="1" max="1" width="7.453125" bestFit="1" customWidth="1"/>
    <col min="2" max="2" width="8.08984375" style="22" bestFit="1" customWidth="1"/>
    <col min="3" max="3" width="6" customWidth="1"/>
    <col min="4" max="5" width="3.81640625" style="2" bestFit="1" customWidth="1"/>
    <col min="6" max="6" width="4.81640625" bestFit="1" customWidth="1"/>
    <col min="7" max="7" width="5" style="75" bestFit="1" customWidth="1"/>
    <col min="8" max="8" width="5.08984375" style="75" bestFit="1" customWidth="1"/>
    <col min="9" max="9" width="4.81640625" bestFit="1" customWidth="1"/>
    <col min="10" max="10" width="3.81640625" bestFit="1" customWidth="1"/>
    <col min="11" max="11" width="4.81640625" style="75" bestFit="1" customWidth="1"/>
    <col min="12" max="12" width="5" style="75" bestFit="1" customWidth="1"/>
    <col min="13" max="13" width="5.08984375" style="75" bestFit="1" customWidth="1"/>
    <col min="14" max="14" width="6.1796875" bestFit="1" customWidth="1"/>
    <col min="15" max="15" width="3.81640625" bestFit="1" customWidth="1"/>
    <col min="16" max="16" width="4.81640625" style="75" bestFit="1" customWidth="1"/>
    <col min="17" max="17" width="5" style="75" bestFit="1" customWidth="1"/>
    <col min="18" max="18" width="7.1796875" style="75" bestFit="1" customWidth="1"/>
    <col min="19" max="19" width="4.81640625" bestFit="1" customWidth="1"/>
    <col min="20" max="20" width="3.81640625" style="74" bestFit="1" customWidth="1"/>
    <col min="21" max="21" width="4.81640625" style="75" bestFit="1" customWidth="1"/>
    <col min="22" max="22" width="5" style="75" bestFit="1" customWidth="1"/>
    <col min="23" max="23" width="4.81640625" style="75" bestFit="1" customWidth="1"/>
    <col min="24" max="24" width="4.81640625" bestFit="1" customWidth="1"/>
    <col min="25" max="25" width="3.6328125" customWidth="1"/>
    <col min="26" max="26" width="4.81640625" style="75" bestFit="1" customWidth="1"/>
    <col min="27" max="27" width="5" style="75" bestFit="1" customWidth="1"/>
    <col min="28" max="28" width="5.08984375" style="75" bestFit="1" customWidth="1"/>
    <col min="29" max="29" width="4.81640625" bestFit="1" customWidth="1"/>
  </cols>
  <sheetData>
    <row r="1" spans="1:29" ht="20.149999999999999" customHeight="1" thickBot="1" x14ac:dyDescent="0.4">
      <c r="A1" s="200" t="str">
        <f>rengoering!A1</f>
        <v>dag</v>
      </c>
      <c r="B1" s="201" t="str">
        <f>rengoering!B1</f>
        <v>dato</v>
      </c>
      <c r="C1" s="200" t="s">
        <v>512</v>
      </c>
      <c r="D1" s="202" t="s">
        <v>135</v>
      </c>
      <c r="E1" s="200" t="s">
        <v>129</v>
      </c>
      <c r="F1" s="200" t="s">
        <v>396</v>
      </c>
      <c r="G1" s="203" t="s">
        <v>397</v>
      </c>
      <c r="H1" s="203" t="s">
        <v>398</v>
      </c>
      <c r="I1" s="200" t="s">
        <v>399</v>
      </c>
      <c r="J1" s="200" t="str">
        <f>rengoering!F1</f>
        <v>V2</v>
      </c>
      <c r="K1" s="203" t="s">
        <v>400</v>
      </c>
      <c r="L1" s="203" t="s">
        <v>401</v>
      </c>
      <c r="M1" s="203" t="s">
        <v>402</v>
      </c>
      <c r="N1" s="200" t="s">
        <v>403</v>
      </c>
      <c r="O1" s="200" t="str">
        <f>rengoering!H1</f>
        <v>V3</v>
      </c>
      <c r="P1" s="203" t="s">
        <v>404</v>
      </c>
      <c r="Q1" s="203" t="s">
        <v>405</v>
      </c>
      <c r="R1" s="203" t="s">
        <v>406</v>
      </c>
      <c r="S1" s="200" t="s">
        <v>407</v>
      </c>
      <c r="T1" s="204" t="str">
        <f>rengoering!J1</f>
        <v>V4</v>
      </c>
      <c r="U1" s="203" t="s">
        <v>408</v>
      </c>
      <c r="V1" s="203" t="s">
        <v>409</v>
      </c>
      <c r="W1" s="203" t="s">
        <v>410</v>
      </c>
      <c r="X1" s="200" t="s">
        <v>411</v>
      </c>
      <c r="Y1" s="200" t="str">
        <f>rengoering!L1</f>
        <v>V5</v>
      </c>
      <c r="Z1" s="203" t="s">
        <v>412</v>
      </c>
      <c r="AA1" s="203" t="s">
        <v>413</v>
      </c>
      <c r="AB1" s="203" t="s">
        <v>414</v>
      </c>
      <c r="AC1" s="200" t="s">
        <v>415</v>
      </c>
    </row>
    <row r="2" spans="1:29" ht="15" customHeight="1" thickBot="1" x14ac:dyDescent="0.4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427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4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427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4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4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4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4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4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4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4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4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4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4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4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4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4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4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4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4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4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4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4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4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4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4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4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4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4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4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4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4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4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4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4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4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4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4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4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4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4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4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4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4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4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4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4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4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4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4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4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4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>
        <f>IF(AND(D51="Y",booking!H51&lt;&gt;booking!I51,booking!I51&gt;0),booking!I51,"-")</f>
        <v>148</v>
      </c>
      <c r="K51" s="76">
        <f>IFERROR(VLOOKUP(J51,Database!$A$2:$L$189,8,FALSE),"-")</f>
        <v>0</v>
      </c>
      <c r="L51" s="76" t="str">
        <f>IFERROR(VLOOKUP(J51,Database!$A$2:$L$189,6,FALSE),"-")</f>
        <v>DK</v>
      </c>
      <c r="M51" s="91">
        <f>IFERROR(VLOOKUP(J51,Database!$A$2:$L$189,9,FALSE),"-")</f>
        <v>0</v>
      </c>
      <c r="N51" s="205" t="str">
        <f>IFERROR(VLOOKUP(J51,Database!$A$2:$S$189,19,FALSE),"-")</f>
        <v>N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4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4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4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4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4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4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4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>
        <f>IF(AND(D58="Y",booking!H58&lt;&gt;booking!I58,booking!I58&gt;0),booking!I58,"-")</f>
        <v>141</v>
      </c>
      <c r="K58" s="76">
        <f>IFERROR(VLOOKUP(J58,Database!$A$2:$L$189,8,FALSE),"-")</f>
        <v>0</v>
      </c>
      <c r="L58" s="76" t="str">
        <f>IFERROR(VLOOKUP(J58,Database!$A$2:$L$189,6,FALSE),"-")</f>
        <v>NL</v>
      </c>
      <c r="M58" s="91">
        <f>IFERROR(VLOOKUP(J58,Database!$A$2:$L$189,9,FALSE),"-")</f>
        <v>0</v>
      </c>
      <c r="N58" s="205" t="str">
        <f>IFERROR(VLOOKUP(J58,Database!$A$2:$S$189,19,FALSE),"-")</f>
        <v>N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 t="str">
        <f>IF(AND(D58="Y",booking!T58&lt;&gt;booking!U58,booking!U58&gt;0),booking!U58,"-")</f>
        <v>-</v>
      </c>
      <c r="Z58" s="77" t="str">
        <f>IFERROR(VLOOKUP(Y58,Database!$A$2:$L$189,8,FALSE),"-")</f>
        <v>-</v>
      </c>
      <c r="AA58" s="77" t="str">
        <f>IFERROR(VLOOKUP(Y58,Database!$A$2:$L$189,6,FALSE),"-")</f>
        <v>-</v>
      </c>
      <c r="AB58" s="90" t="str">
        <f>IFERROR(VLOOKUP(Y58,Database!$A$2:$L$189,9,FALSE),"-")</f>
        <v>-</v>
      </c>
      <c r="AC58" s="8" t="str">
        <f>IFERROR(VLOOKUP(Y58,Database!$A$2:$S$189,19,FALSE),"-")</f>
        <v>-</v>
      </c>
    </row>
    <row r="59" spans="1:29" ht="15" customHeight="1" thickBot="1" x14ac:dyDescent="0.4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Y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>
        <f>IF(AND(D59="Y",booking!T59&lt;&gt;booking!U59,booking!U59&gt;0),booking!U59,"-")</f>
        <v>149</v>
      </c>
      <c r="Z59" s="77" t="str">
        <f>IFERROR(VLOOKUP(Y59,Database!$A$2:$L$189,8,FALSE),"-")</f>
        <v>2030</v>
      </c>
      <c r="AA59" s="77" t="str">
        <f>IFERROR(VLOOKUP(Y59,Database!$A$2:$L$189,6,FALSE),"-")</f>
        <v>N</v>
      </c>
      <c r="AB59" s="90" t="str">
        <f>IFERROR(VLOOKUP(Y59,Database!$A$2:$L$189,9,FALSE),"-")</f>
        <v>dobb</v>
      </c>
      <c r="AC59" s="8" t="str">
        <f>IFERROR(VLOOKUP(Y59,Database!$A$2:$S$189,19,FALSE),"-")</f>
        <v>N</v>
      </c>
    </row>
    <row r="60" spans="1:29" ht="15" customHeight="1" thickBot="1" x14ac:dyDescent="0.4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4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4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4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4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4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4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4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4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4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4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4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4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4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4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4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4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4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4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4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4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4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4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-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 t="str">
        <f>IF(AND(D82="Y",booking!L82&lt;&gt;booking!M82,booking!M82&gt;0),booking!M82,"-")</f>
        <v>-</v>
      </c>
      <c r="P82" s="76" t="str">
        <f>IFERROR(VLOOKUP(O82,Database!$A$2:$L$189,8,FALSE),"-")</f>
        <v>-</v>
      </c>
      <c r="Q82" s="76" t="str">
        <f>IFERROR(VLOOKUP(O82,Database!$A$2:$L$189,6,FALSE),"-")</f>
        <v>-</v>
      </c>
      <c r="R82" s="80" t="str">
        <f>IFERROR(VLOOKUP(O82,Database!$A$2:$L$189,9,FALSE),"-")</f>
        <v>-</v>
      </c>
      <c r="S82" s="205" t="str">
        <f>IFERROR(VLOOKUP(O82,Database!$A$2:$S$189,19,FALSE),"-")</f>
        <v>-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4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-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 t="str">
        <f>IF(AND(D83="Y",booking!L83&lt;&gt;booking!M83,booking!M83&gt;0),booking!M83,"-")</f>
        <v>-</v>
      </c>
      <c r="P83" s="76" t="str">
        <f>IFERROR(VLOOKUP(O83,Database!$A$2:$L$189,8,FALSE),"-")</f>
        <v>-</v>
      </c>
      <c r="Q83" s="76" t="str">
        <f>IFERROR(VLOOKUP(O83,Database!$A$2:$L$189,6,FALSE),"-")</f>
        <v>-</v>
      </c>
      <c r="R83" s="80" t="str">
        <f>IFERROR(VLOOKUP(O83,Database!$A$2:$L$189,9,FALSE),"-")</f>
        <v>-</v>
      </c>
      <c r="S83" s="205" t="str">
        <f>IFERROR(VLOOKUP(O83,Database!$A$2:$S$189,19,FALSE),"-")</f>
        <v>-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4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4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4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4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4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4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4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Y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>
        <f>IF(AND(D90="Y",booking!L90&lt;&gt;booking!M90,booking!M90&gt;0),booking!M90,"-")</f>
        <v>150</v>
      </c>
      <c r="P90" s="76">
        <f>IFERROR(VLOOKUP(O90,Database!$A$2:$L$189,8,FALSE),"-")</f>
        <v>0</v>
      </c>
      <c r="Q90" s="76" t="str">
        <f>IFERROR(VLOOKUP(O90,Database!$A$2:$L$189,6,FALSE),"-")</f>
        <v>DK</v>
      </c>
      <c r="R90" s="80">
        <f>IFERROR(VLOOKUP(O90,Database!$A$2:$L$189,9,FALSE),"-")</f>
        <v>0</v>
      </c>
      <c r="S90" s="205" t="str">
        <f>IFERROR(VLOOKUP(O90,Database!$A$2:$S$189,19,FALSE),"-")</f>
        <v>N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4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4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>
        <f>IF(AND(D92="Y",booking!T92&lt;&gt;booking!U92,booking!U92&gt;0),booking!U92,"-")</f>
        <v>150</v>
      </c>
      <c r="Z92" s="77">
        <f>IFERROR(VLOOKUP(Y92,Database!$A$2:$L$189,8,FALSE),"-")</f>
        <v>0</v>
      </c>
      <c r="AA92" s="77" t="str">
        <f>IFERROR(VLOOKUP(Y92,Database!$A$2:$L$189,6,FALSE),"-")</f>
        <v>DK</v>
      </c>
      <c r="AB92" s="90">
        <f>IFERROR(VLOOKUP(Y92,Database!$A$2:$L$189,9,FALSE),"-")</f>
        <v>0</v>
      </c>
      <c r="AC92" s="8" t="str">
        <f>IFERROR(VLOOKUP(Y92,Database!$A$2:$S$189,19,FALSE),"-")</f>
        <v>N</v>
      </c>
    </row>
    <row r="93" spans="1:29" ht="15" customHeight="1" thickBot="1" x14ac:dyDescent="0.4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4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4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4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4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4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4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4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4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4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4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4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4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4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4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4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4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4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4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4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4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4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4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4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4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4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4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4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4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4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4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4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4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4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4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>
        <f>IFERROR(VLOOKUP(J127,Database!$A$2:$L$189,8,FALSE),"-")</f>
        <v>0</v>
      </c>
      <c r="L127" s="76" t="str">
        <f>IFERROR(VLOOKUP(J127,Database!$A$2:$L$189,6,FALSE),"-")</f>
        <v>DK</v>
      </c>
      <c r="M127" s="91">
        <f>IFERROR(VLOOKUP(J127,Database!$A$2:$L$189,9,FALSE),"-")</f>
        <v>0</v>
      </c>
      <c r="N127" s="205" t="str">
        <f>IFERROR(VLOOKUP(J127,Database!$A$2:$S$189,19,FALSE),"-")</f>
        <v>N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4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4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4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4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4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>
        <f>IF(AND(D132="Y",booking!H132&lt;&gt;booking!I132,booking!I132&gt;0),booking!I132,"-")</f>
        <v>147</v>
      </c>
      <c r="K132" s="76" t="str">
        <f>IFERROR(VLOOKUP(J132,Database!$A$2:$L$189,8,FALSE),"-")</f>
        <v>0600</v>
      </c>
      <c r="L132" s="76" t="str">
        <f>IFERROR(VLOOKUP(J132,Database!$A$2:$L$189,6,FALSE),"-")</f>
        <v>DK</v>
      </c>
      <c r="M132" s="91">
        <f>IFERROR(VLOOKUP(J132,Database!$A$2:$L$189,9,FALSE),"-")</f>
        <v>0</v>
      </c>
      <c r="N132" s="205" t="str">
        <f>IFERROR(VLOOKUP(J132,Database!$A$2:$S$189,19,FALSE),"-")</f>
        <v>N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4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>
        <f>IF(AND(D133="Y",booking!D133&lt;&gt;booking!E133,booking!E133&gt;0),booking!E133,"-")</f>
        <v>139</v>
      </c>
      <c r="F133" s="8">
        <f>IFERROR(VLOOKUP(E133,Database!$A$2:$L$189,8,FALSE),"-")</f>
        <v>0</v>
      </c>
      <c r="G133" s="76" t="str">
        <f>IFERROR(VLOOKUP(E133,Database!$A$2:$L$189,6,FALSE),"-")</f>
        <v>DK</v>
      </c>
      <c r="H133" s="91">
        <f>IFERROR(VLOOKUP(E133,Database!$A$2:$L$189,9,FALSE),"-")</f>
        <v>0</v>
      </c>
      <c r="I133" s="109" t="str">
        <f>IFERROR(VLOOKUP(E133,Database!$A$2:$S$189,19,FALSE),"-")</f>
        <v>Y</v>
      </c>
      <c r="J133" s="94" t="str">
        <f>IF(AND(D133="Y",booking!H133&lt;&gt;booking!I133,booking!I133&gt;0),booking!I133,"-")</f>
        <v>-</v>
      </c>
      <c r="K133" s="76" t="str">
        <f>IFERROR(VLOOKUP(J133,Database!$A$2:$L$189,8,FALSE),"-")</f>
        <v>-</v>
      </c>
      <c r="L133" s="76" t="str">
        <f>IFERROR(VLOOKUP(J133,Database!$A$2:$L$189,6,FALSE),"-")</f>
        <v>-</v>
      </c>
      <c r="M133" s="91" t="str">
        <f>IFERROR(VLOOKUP(J133,Database!$A$2:$L$189,9,FALSE),"-")</f>
        <v>-</v>
      </c>
      <c r="N133" s="205" t="str">
        <f>IFERROR(VLOOKUP(J133,Database!$A$2:$S$189,19,FALSE),"-")</f>
        <v>-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4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 t="str">
        <f>IF(AND(D134="Y",booking!D134&lt;&gt;booking!E134,booking!E134&gt;0),booking!E134,"-")</f>
        <v>-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>
        <f>IF(AND(D134="Y",booking!H134&lt;&gt;booking!I134,booking!I134&gt;0),booking!I134,"-")</f>
        <v>145</v>
      </c>
      <c r="K134" s="76">
        <f>IFERROR(VLOOKUP(J134,Database!$A$2:$L$189,8,FALSE),"-")</f>
        <v>0</v>
      </c>
      <c r="L134" s="76" t="str">
        <f>IFERROR(VLOOKUP(J134,Database!$A$2:$L$189,6,FALSE),"-")</f>
        <v>DK</v>
      </c>
      <c r="M134" s="91">
        <f>IFERROR(VLOOKUP(J134,Database!$A$2:$L$189,9,FALSE),"-")</f>
        <v>0</v>
      </c>
      <c r="N134" s="205" t="str">
        <f>IFERROR(VLOOKUP(J134,Database!$A$2:$S$189,19,FALSE),"-")</f>
        <v>YY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4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4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4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4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4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4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4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4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4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4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4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4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4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4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>
        <f>IFERROR(VLOOKUP(O148,Database!$A$2:$L$189,8,FALSE),"-")</f>
        <v>0</v>
      </c>
      <c r="Q148" s="76" t="str">
        <f>IFERROR(VLOOKUP(O148,Database!$A$2:$L$189,6,FALSE),"-")</f>
        <v>DK</v>
      </c>
      <c r="R148" s="80">
        <f>IFERROR(VLOOKUP(O148,Database!$A$2:$L$189,9,FALSE),"-")</f>
        <v>0</v>
      </c>
      <c r="S148" s="205" t="str">
        <f>IFERROR(VLOOKUP(O148,Database!$A$2:$S$189,19,FALSE),"-")</f>
        <v>Y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4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4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4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4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4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4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4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4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4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4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4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4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4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4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4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4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4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4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4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4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4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4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4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5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5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5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5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5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81640625" style="22"/>
    <col min="3" max="3" width="3.81640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81640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2" t="s">
        <v>115</v>
      </c>
      <c r="B1" t="s">
        <v>130</v>
      </c>
      <c r="C1" t="s">
        <v>416</v>
      </c>
      <c r="D1" t="s">
        <v>417</v>
      </c>
      <c r="E1" t="s">
        <v>418</v>
      </c>
      <c r="F1" t="s">
        <v>419</v>
      </c>
      <c r="G1" t="s">
        <v>420</v>
      </c>
      <c r="H1" t="s">
        <v>421</v>
      </c>
      <c r="I1" t="s">
        <v>422</v>
      </c>
      <c r="J1" t="s">
        <v>423</v>
      </c>
      <c r="K1" t="s">
        <v>424</v>
      </c>
      <c r="L1" t="s">
        <v>425</v>
      </c>
      <c r="M1" t="s">
        <v>426</v>
      </c>
    </row>
    <row r="2" spans="1:13" x14ac:dyDescent="0.35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5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5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5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5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5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5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5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5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5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5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5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5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5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5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5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5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5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5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5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5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5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5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5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5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5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5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5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5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5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5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5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5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5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5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5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5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5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5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5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5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5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5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5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5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5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5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5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5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5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>
        <f>ankomster!J51</f>
        <v>148</v>
      </c>
      <c r="G51" t="str">
        <f>IFERROR(VLOOKUP(F51,Database!$A$2:$L$189,2,FALSE),"-")</f>
        <v>Mia Mønsted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5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5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5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5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5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5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5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>
        <f>ankomster!J58</f>
        <v>141</v>
      </c>
      <c r="G58" t="str">
        <f>IFERROR(VLOOKUP(F58,Database!$A$2:$L$189,2,FALSE),"-")</f>
        <v>Ria Bakelaar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 t="str">
        <f>ankomster!Y58</f>
        <v>-</v>
      </c>
      <c r="M58" t="str">
        <f>IFERROR(VLOOKUP(L58,Database!$A$2:$L$189,2,FALSE),"-")</f>
        <v>-</v>
      </c>
    </row>
    <row r="59" spans="1:13" x14ac:dyDescent="0.35">
      <c r="A59" s="22">
        <v>46196</v>
      </c>
      <c r="B59" t="str">
        <f>ankomster!A59</f>
        <v>tirsdag</v>
      </c>
      <c r="C59" t="str">
        <f>ankomster!D59</f>
        <v>Y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>
        <f>ankomster!Y59</f>
        <v>149</v>
      </c>
      <c r="M59" t="str">
        <f>IFERROR(VLOOKUP(L59,Database!$A$2:$L$189,2,FALSE),"-")</f>
        <v>Petter Stavdal</v>
      </c>
    </row>
    <row r="60" spans="1:13" x14ac:dyDescent="0.35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5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5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5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5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5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5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5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5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5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5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5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5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5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5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5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5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5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5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5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5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5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5">
      <c r="A82" s="22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 t="str">
        <f>ankomster!O82</f>
        <v>-</v>
      </c>
      <c r="I82" t="str">
        <f>IFERROR(VLOOKUP(H82,Database!$A$2:$L$189,2,FALSE),"-")</f>
        <v>-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5">
      <c r="A83" s="22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 t="str">
        <f>ankomster!O83</f>
        <v>-</v>
      </c>
      <c r="I83" t="str">
        <f>IFERROR(VLOOKUP(H83,Database!$A$2:$L$189,2,FALSE),"-")</f>
        <v>-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5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5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5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5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5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5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5">
      <c r="A90" s="22">
        <v>46227</v>
      </c>
      <c r="B90" t="str">
        <f>ankomster!A90</f>
        <v>fredag</v>
      </c>
      <c r="C90" t="str">
        <f>ankomster!D90</f>
        <v>Y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>
        <f>ankomster!O90</f>
        <v>150</v>
      </c>
      <c r="I90" t="str">
        <f>IFERROR(VLOOKUP(H90,Database!$A$2:$L$189,2,FALSE),"-")</f>
        <v>Pernille Sahl Nielsen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5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5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>
        <f>ankomster!Y92</f>
        <v>150</v>
      </c>
      <c r="M92" t="str">
        <f>IFERROR(VLOOKUP(L92,Database!$A$2:$L$189,2,FALSE),"-")</f>
        <v>Pernille Sahl Nielsen</v>
      </c>
    </row>
    <row r="93" spans="1:13" x14ac:dyDescent="0.35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5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5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5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5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5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5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5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5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5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5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5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5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5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5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5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5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5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5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5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5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5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5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5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5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5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5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5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5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5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5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5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5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5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5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Jytte Holmgaard Christensen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5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5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5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5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5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>
        <f>ankomster!J132</f>
        <v>147</v>
      </c>
      <c r="G132" t="str">
        <f>IFERROR(VLOOKUP(F132,Database!$A$2:$L$189,2,FALSE),"-")</f>
        <v>Katja Lundsgaard Christensen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5">
      <c r="A133" s="22">
        <v>46270</v>
      </c>
      <c r="B133" t="str">
        <f>ankomster!A133</f>
        <v>lørdag</v>
      </c>
      <c r="C133" t="str">
        <f>ankomster!D133</f>
        <v>Y</v>
      </c>
      <c r="D133">
        <f>ankomster!E133</f>
        <v>139</v>
      </c>
      <c r="E133" t="str">
        <f>IFERROR(VLOOKUP(D133,Database!$A$2:$L$189,2,FALSE),"-")</f>
        <v>Anette Arleth</v>
      </c>
      <c r="F133" t="str">
        <f>ankomster!J133</f>
        <v>-</v>
      </c>
      <c r="G133" t="str">
        <f>IFERROR(VLOOKUP(F133,Database!$A$2:$L$189,2,FALSE),"-")</f>
        <v>-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5">
      <c r="A134" s="22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IFERROR(VLOOKUP(D134,Database!$A$2:$L$189,2,FALSE),"-")</f>
        <v>-</v>
      </c>
      <c r="F134">
        <f>ankomster!J134</f>
        <v>145</v>
      </c>
      <c r="G134" t="str">
        <f>IFERROR(VLOOKUP(F134,Database!$A$2:$L$189,2,FALSE),"-")</f>
        <v>Alice Andersen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5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5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5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5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5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5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5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5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5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5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5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5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5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5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Claus Kaae Christensen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5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5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5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5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5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5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5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5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5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5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5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5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5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5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5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5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5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5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5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5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5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5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5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5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5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5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136</v>
      </c>
      <c r="B1" s="2" t="s">
        <v>116</v>
      </c>
      <c r="C1" s="2" t="s">
        <v>137</v>
      </c>
      <c r="D1" t="s">
        <v>138</v>
      </c>
      <c r="E1" s="2" t="s">
        <v>139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5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5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5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5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5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5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5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5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5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5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5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5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5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5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5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5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5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5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5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5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5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5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5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5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5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5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5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5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5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5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5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5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5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5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5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5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5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5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5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5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5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5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5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5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5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5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5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5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5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5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5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5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5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5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5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5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5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5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5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5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5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5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5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5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5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5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5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5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5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5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5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5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5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5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5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5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5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5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5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5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5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5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5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5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5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5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5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5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5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5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5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5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5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5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5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5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5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5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5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5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5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5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5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5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5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5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5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5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5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5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5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5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5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5">
      <c r="A120">
        <f>Database!A133</f>
        <v>119</v>
      </c>
      <c r="B120" s="2">
        <f>Database!Q133</f>
        <v>0</v>
      </c>
      <c r="C120" s="2" t="str">
        <f t="shared" si="3"/>
        <v>-</v>
      </c>
      <c r="D120" s="2" t="str">
        <f>IF(B120="Y",Database!K133,"-")</f>
        <v>-</v>
      </c>
      <c r="E120" s="2">
        <f>IF(AND(D120&gt;1,B120="Y"),Database!L133/D120,Database!L133)</f>
        <v>0</v>
      </c>
    </row>
    <row r="121" spans="1:5" x14ac:dyDescent="0.35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5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5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5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5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5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5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5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5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5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5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5">
      <c r="A132">
        <f>Database!A146</f>
        <v>131</v>
      </c>
      <c r="B132" s="2">
        <f>Database!Q146</f>
        <v>0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0</v>
      </c>
    </row>
    <row r="133" spans="1:5" x14ac:dyDescent="0.35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5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5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5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5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5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5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5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5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5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5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5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5">
      <c r="A145">
        <f>Database!A159</f>
        <v>144</v>
      </c>
      <c r="B145" s="2" t="str">
        <f>Database!Q159</f>
        <v>N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2</v>
      </c>
    </row>
    <row r="146" spans="1:5" x14ac:dyDescent="0.35">
      <c r="A146">
        <f>Database!A160</f>
        <v>145</v>
      </c>
      <c r="B146" s="2" t="str">
        <f>Database!Q160</f>
        <v>Y</v>
      </c>
      <c r="C146" s="2">
        <f t="shared" si="4"/>
        <v>2</v>
      </c>
      <c r="D146" s="2">
        <f>IF(B146="Y",Database!K160,"-")</f>
        <v>1</v>
      </c>
      <c r="E146" s="2">
        <f>IF(AND(D146&gt;1,B146="Y"),Database!L160/D146,Database!L160)</f>
        <v>2</v>
      </c>
    </row>
    <row r="147" spans="1:5" x14ac:dyDescent="0.35">
      <c r="A147">
        <f>Database!A161</f>
        <v>146</v>
      </c>
      <c r="B147" s="2" t="str">
        <f>Database!Q161</f>
        <v>Y</v>
      </c>
      <c r="C147" s="2">
        <f t="shared" si="4"/>
        <v>2</v>
      </c>
      <c r="D147" s="2">
        <f>IF(B147="Y",Database!K161,"-")</f>
        <v>1</v>
      </c>
      <c r="E147" s="2">
        <f>IF(AND(D147&gt;1,B147="Y"),Database!L161/D147,Database!L161)</f>
        <v>2</v>
      </c>
    </row>
    <row r="148" spans="1:5" x14ac:dyDescent="0.35">
      <c r="A148">
        <f>Database!A162</f>
        <v>147</v>
      </c>
      <c r="B148" s="2" t="str">
        <f>Database!Q162</f>
        <v>N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2</v>
      </c>
    </row>
    <row r="149" spans="1:5" x14ac:dyDescent="0.35">
      <c r="A149">
        <f>Database!A163</f>
        <v>148</v>
      </c>
      <c r="B149" s="2" t="str">
        <f>Database!Q163</f>
        <v>N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2</v>
      </c>
    </row>
    <row r="150" spans="1:5" x14ac:dyDescent="0.35">
      <c r="A150">
        <f>Database!A164</f>
        <v>149</v>
      </c>
      <c r="B150" s="2" t="str">
        <f>Database!Q164</f>
        <v>Y</v>
      </c>
      <c r="C150" s="2">
        <f t="shared" si="4"/>
        <v>2</v>
      </c>
      <c r="D150" s="2">
        <f>IF(B150="Y",Database!K164,"-")</f>
        <v>1</v>
      </c>
      <c r="E150" s="2">
        <f>IF(AND(D150&gt;1,B150="Y"),Database!L164/D150,Database!L164)</f>
        <v>2</v>
      </c>
    </row>
    <row r="151" spans="1:5" x14ac:dyDescent="0.35">
      <c r="A151">
        <f>Database!A165</f>
        <v>150</v>
      </c>
      <c r="B151" s="2" t="str">
        <f>Database!Q165</f>
        <v>N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2</v>
      </c>
    </row>
    <row r="152" spans="1:5" x14ac:dyDescent="0.35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5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5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5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5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5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5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5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5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5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5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5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5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5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5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5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5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5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5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5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5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5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5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5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5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5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5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5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5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5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5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5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5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5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5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5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5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5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5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5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5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5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5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5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5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5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5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5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136</v>
      </c>
      <c r="B1" t="s">
        <v>6</v>
      </c>
      <c r="C1" s="5" t="s">
        <v>344</v>
      </c>
      <c r="D1" s="5" t="s">
        <v>41</v>
      </c>
      <c r="E1" t="s">
        <v>345</v>
      </c>
      <c r="F1" t="s">
        <v>346</v>
      </c>
      <c r="G1" t="s">
        <v>347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350</v>
      </c>
      <c r="M2" t="s">
        <v>349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348</v>
      </c>
      <c r="L3">
        <f>SUM(I2:I200)</f>
        <v>307</v>
      </c>
      <c r="M3">
        <f>SUM(J2:J200)</f>
        <v>300</v>
      </c>
    </row>
    <row r="4" spans="1:13" x14ac:dyDescent="0.35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5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5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5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5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5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5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5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5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5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5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5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5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5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5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5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5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5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5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5">
      <c r="A120">
        <f>Database!A133</f>
        <v>119</v>
      </c>
      <c r="B120" t="str">
        <f>Database!G133</f>
        <v>cansl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5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5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5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5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5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5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5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5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5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5">
      <c r="A132">
        <f>Database!A146</f>
        <v>131</v>
      </c>
      <c r="B132" t="str">
        <f>Database!G146</f>
        <v>cansl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5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5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5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5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5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5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5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5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5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5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5">
      <c r="A145">
        <f>Database!A159</f>
        <v>144</v>
      </c>
      <c r="B145" t="str">
        <f>Database!G159</f>
        <v>bc</v>
      </c>
      <c r="C145" s="5">
        <f>Database!C159</f>
        <v>46264</v>
      </c>
      <c r="D145" s="5">
        <f>Database!D159</f>
        <v>46269</v>
      </c>
      <c r="E145">
        <f t="shared" si="8"/>
        <v>5</v>
      </c>
      <c r="F145">
        <f>Database!K159</f>
        <v>1</v>
      </c>
      <c r="G145">
        <f t="shared" si="9"/>
        <v>5</v>
      </c>
      <c r="I145">
        <f t="shared" si="10"/>
        <v>0</v>
      </c>
      <c r="J145">
        <f t="shared" si="11"/>
        <v>5</v>
      </c>
    </row>
    <row r="146" spans="1:10" x14ac:dyDescent="0.35">
      <c r="A146">
        <f>Database!A160</f>
        <v>145</v>
      </c>
      <c r="B146" t="str">
        <f>Database!G160</f>
        <v>web</v>
      </c>
      <c r="C146" s="5">
        <f>Database!C160</f>
        <v>46271</v>
      </c>
      <c r="D146" s="5">
        <f>Database!D160</f>
        <v>46276</v>
      </c>
      <c r="E146">
        <f t="shared" si="8"/>
        <v>5</v>
      </c>
      <c r="F146">
        <f>Database!K160</f>
        <v>1</v>
      </c>
      <c r="G146">
        <f t="shared" si="9"/>
        <v>5</v>
      </c>
      <c r="I146">
        <f t="shared" si="10"/>
        <v>5</v>
      </c>
      <c r="J146">
        <f t="shared" si="11"/>
        <v>0</v>
      </c>
    </row>
    <row r="147" spans="1:10" x14ac:dyDescent="0.35">
      <c r="A147">
        <f>Database!A161</f>
        <v>146</v>
      </c>
      <c r="B147" t="str">
        <f>Database!G161</f>
        <v>web</v>
      </c>
      <c r="C147" s="5">
        <f>Database!C161</f>
        <v>46285</v>
      </c>
      <c r="D147" s="5">
        <f>Database!D161</f>
        <v>46290</v>
      </c>
      <c r="E147">
        <f t="shared" si="8"/>
        <v>5</v>
      </c>
      <c r="F147">
        <f>Database!K161</f>
        <v>1</v>
      </c>
      <c r="G147">
        <f t="shared" si="9"/>
        <v>5</v>
      </c>
      <c r="I147">
        <f t="shared" si="10"/>
        <v>5</v>
      </c>
      <c r="J147">
        <f t="shared" si="11"/>
        <v>0</v>
      </c>
    </row>
    <row r="148" spans="1:10" x14ac:dyDescent="0.35">
      <c r="A148">
        <f>Database!A162</f>
        <v>147</v>
      </c>
      <c r="B148" t="str">
        <f>Database!G162</f>
        <v>bc</v>
      </c>
      <c r="C148" s="5">
        <f>Database!C162</f>
        <v>46269</v>
      </c>
      <c r="D148" s="5">
        <f>Database!D162</f>
        <v>46271</v>
      </c>
      <c r="E148">
        <f t="shared" si="8"/>
        <v>2</v>
      </c>
      <c r="F148">
        <f>Database!K162</f>
        <v>1</v>
      </c>
      <c r="G148">
        <f t="shared" si="9"/>
        <v>2</v>
      </c>
      <c r="I148">
        <f t="shared" si="10"/>
        <v>0</v>
      </c>
      <c r="J148">
        <f t="shared" si="11"/>
        <v>2</v>
      </c>
    </row>
    <row r="149" spans="1:10" x14ac:dyDescent="0.35">
      <c r="A149">
        <f>Database!A163</f>
        <v>148</v>
      </c>
      <c r="B149" t="str">
        <f>Database!G163</f>
        <v>bc</v>
      </c>
      <c r="C149" s="5">
        <f>Database!C163</f>
        <v>46188</v>
      </c>
      <c r="D149" s="5">
        <f>Database!D163</f>
        <v>46192</v>
      </c>
      <c r="E149">
        <f t="shared" si="8"/>
        <v>4</v>
      </c>
      <c r="F149">
        <f>Database!K163</f>
        <v>1</v>
      </c>
      <c r="G149">
        <f t="shared" si="9"/>
        <v>4</v>
      </c>
      <c r="I149">
        <f t="shared" si="10"/>
        <v>0</v>
      </c>
      <c r="J149">
        <f t="shared" si="11"/>
        <v>4</v>
      </c>
    </row>
    <row r="150" spans="1:10" x14ac:dyDescent="0.35">
      <c r="A150">
        <f>Database!A164</f>
        <v>149</v>
      </c>
      <c r="B150" t="str">
        <f>Database!G164</f>
        <v>bc</v>
      </c>
      <c r="C150" s="5">
        <f>Database!C164</f>
        <v>46196</v>
      </c>
      <c r="D150" s="5">
        <f>Database!D164</f>
        <v>46200</v>
      </c>
      <c r="E150">
        <f t="shared" si="8"/>
        <v>4</v>
      </c>
      <c r="F150">
        <f>Database!K164</f>
        <v>1</v>
      </c>
      <c r="G150">
        <f t="shared" si="9"/>
        <v>4</v>
      </c>
      <c r="I150">
        <f t="shared" si="10"/>
        <v>0</v>
      </c>
      <c r="J150">
        <f t="shared" si="11"/>
        <v>4</v>
      </c>
    </row>
    <row r="151" spans="1:10" x14ac:dyDescent="0.35">
      <c r="A151">
        <f>Database!A165</f>
        <v>150</v>
      </c>
      <c r="B151" t="str">
        <f>Database!G165</f>
        <v>bc</v>
      </c>
      <c r="C151" s="5">
        <f>Database!C165</f>
        <v>46227</v>
      </c>
      <c r="D151" s="5">
        <f>Database!D165</f>
        <v>46230</v>
      </c>
      <c r="E151">
        <f t="shared" si="8"/>
        <v>3</v>
      </c>
      <c r="F151">
        <f>Database!K165</f>
        <v>1</v>
      </c>
      <c r="G151">
        <f t="shared" si="9"/>
        <v>3</v>
      </c>
      <c r="I151">
        <f t="shared" si="10"/>
        <v>0</v>
      </c>
      <c r="J151">
        <f t="shared" si="11"/>
        <v>3</v>
      </c>
    </row>
    <row r="152" spans="1:10" x14ac:dyDescent="0.35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5" x14ac:dyDescent="0.35"/>
  <cols>
    <col min="1" max="1" width="10.08984375" bestFit="1" customWidth="1"/>
    <col min="2" max="2" width="10.08984375" customWidth="1"/>
    <col min="3" max="3" width="3.54296875" style="15" customWidth="1"/>
    <col min="4" max="14" width="3.54296875" style="2" customWidth="1"/>
  </cols>
  <sheetData>
    <row r="1" spans="1:14" ht="15" customHeight="1" thickBot="1" x14ac:dyDescent="0.4">
      <c r="A1" s="72" t="str">
        <f>booking!C1</f>
        <v>dato</v>
      </c>
      <c r="B1" s="209" t="s">
        <v>470</v>
      </c>
      <c r="C1" s="97" t="s">
        <v>140</v>
      </c>
      <c r="D1" s="98" t="s">
        <v>141</v>
      </c>
      <c r="E1" s="99" t="s">
        <v>142</v>
      </c>
      <c r="F1" s="96" t="s">
        <v>143</v>
      </c>
      <c r="G1" s="99" t="s">
        <v>144</v>
      </c>
      <c r="H1" s="96" t="s">
        <v>145</v>
      </c>
      <c r="I1" s="99" t="s">
        <v>146</v>
      </c>
      <c r="J1" s="96" t="s">
        <v>147</v>
      </c>
      <c r="K1" s="99" t="s">
        <v>148</v>
      </c>
      <c r="L1" s="96" t="s">
        <v>149</v>
      </c>
      <c r="M1" s="99" t="s">
        <v>150</v>
      </c>
      <c r="N1" s="96" t="s">
        <v>151</v>
      </c>
    </row>
    <row r="2" spans="1:14" x14ac:dyDescent="0.35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5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5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5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5">
      <c r="A6" s="5">
        <f>booking!C6</f>
        <v>46143</v>
      </c>
      <c r="B6" s="6" t="s">
        <v>160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5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5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5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5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5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5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5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5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5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5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5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5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5">
      <c r="A19" s="5">
        <f>booking!C19</f>
        <v>46156</v>
      </c>
      <c r="B19" s="6" t="s">
        <v>221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5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5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5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5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5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5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5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5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5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5">
      <c r="A29" s="5">
        <f>booking!C29</f>
        <v>46166</v>
      </c>
      <c r="B29" s="6" t="s">
        <v>222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5">
      <c r="A30" s="5">
        <f>booking!C30</f>
        <v>46167</v>
      </c>
      <c r="B30" s="6" t="s">
        <v>223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5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5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5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5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5">
      <c r="A35" s="5">
        <f>booking!C35</f>
        <v>46172</v>
      </c>
      <c r="B35" s="6" t="s">
        <v>431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5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5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5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5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5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5">
      <c r="A41" s="5">
        <f>booking!C41</f>
        <v>46178</v>
      </c>
      <c r="B41" s="6" t="s">
        <v>128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5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5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5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5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5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5">
      <c r="A47" s="5">
        <f>booking!C47</f>
        <v>46184</v>
      </c>
      <c r="B47" s="6" t="s">
        <v>55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5">
      <c r="A48" s="5">
        <f>booking!C48</f>
        <v>46185</v>
      </c>
      <c r="B48" s="6" t="s">
        <v>55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5">
      <c r="A49" s="5">
        <f>booking!C49</f>
        <v>46186</v>
      </c>
      <c r="B49" s="6" t="s">
        <v>55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5">
      <c r="A50" s="5">
        <f>booking!C50</f>
        <v>46187</v>
      </c>
      <c r="B50" s="6" t="s">
        <v>55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5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oc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5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oc</v>
      </c>
      <c r="F52" s="128" t="str">
        <f>IF(booking!I52&gt;0,"oc","va")</f>
        <v>oc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5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oc</v>
      </c>
      <c r="F53" s="128" t="str">
        <f>IF(booking!I53&gt;0,"oc","va")</f>
        <v>oc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5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oc</v>
      </c>
      <c r="F54" s="128" t="str">
        <f>IF(booking!I54&gt;0,"oc","va")</f>
        <v>oc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5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oc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5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5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5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oc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va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5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oc</v>
      </c>
      <c r="F59" s="128" t="str">
        <f>IF(booking!I59&gt;0,"oc","va")</f>
        <v>oc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va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5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oc</v>
      </c>
      <c r="F60" s="128" t="str">
        <f>IF(booking!I60&gt;0,"oc","va")</f>
        <v>oc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5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oc</v>
      </c>
      <c r="F61" s="128" t="str">
        <f>IF(booking!I61&gt;0,"oc","va")</f>
        <v>oc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5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oc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oc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5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oc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5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5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5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5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5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5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5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5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5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5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5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5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5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5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5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5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5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5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5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va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5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va</v>
      </c>
      <c r="H83" s="128" t="str">
        <f>IF(booking!M83&gt;0,"oc","va")</f>
        <v>va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5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va</v>
      </c>
      <c r="H84" s="128" t="str">
        <f>IF(booking!M84&gt;0,"oc","va")</f>
        <v>va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5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va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5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5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5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5">
      <c r="A89" s="5">
        <f>booking!C89</f>
        <v>46226</v>
      </c>
      <c r="B89" s="6" t="s">
        <v>154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5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oc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5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oc</v>
      </c>
      <c r="H91" s="128" t="str">
        <f>IF(booking!M91&gt;0,"oc","va")</f>
        <v>oc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5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oc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oc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5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oc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5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5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5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5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5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5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5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5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5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5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5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5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5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5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5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5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5">
      <c r="A110" s="5">
        <f>booking!C110</f>
        <v>46247</v>
      </c>
      <c r="B110" s="6" t="s">
        <v>54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5">
      <c r="A111" s="5">
        <f>booking!C111</f>
        <v>46248</v>
      </c>
      <c r="B111" s="6" t="s">
        <v>54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5">
      <c r="A112" s="5">
        <f>booking!C112</f>
        <v>46249</v>
      </c>
      <c r="B112" s="6" t="s">
        <v>54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5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5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va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5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va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5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5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5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5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5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5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5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5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5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5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5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5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5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5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5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5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5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oc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5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oc</v>
      </c>
      <c r="E133" s="127" t="str">
        <f>IF(booking!H133&gt;0,"oc","va")</f>
        <v>oc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5">
      <c r="A134" s="5">
        <f>booking!C134</f>
        <v>46271</v>
      </c>
      <c r="B134" s="6"/>
      <c r="C134" s="127" t="str">
        <f>IF(booking!D134&gt;0,"oc","va")</f>
        <v>oc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5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5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5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va</v>
      </c>
      <c r="E137" s="127" t="str">
        <f>IF(booking!H137&gt;0,"oc","va")</f>
        <v>oc</v>
      </c>
      <c r="F137" s="128" t="str">
        <f>IF(booking!I137&gt;0,"oc","va")</f>
        <v>oc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5">
      <c r="A138" s="5">
        <f>booking!C138</f>
        <v>46275</v>
      </c>
      <c r="B138" s="6"/>
      <c r="C138" s="127" t="str">
        <f>IF(booking!D138&gt;0,"oc","va")</f>
        <v>va</v>
      </c>
      <c r="D138" s="128" t="str">
        <f>IF(booking!E138&gt;0,"oc","va")</f>
        <v>va</v>
      </c>
      <c r="E138" s="127" t="str">
        <f>IF(booking!H138&gt;0,"oc","va")</f>
        <v>oc</v>
      </c>
      <c r="F138" s="128" t="str">
        <f>IF(booking!I138&gt;0,"oc","va")</f>
        <v>oc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5">
      <c r="A139" s="5">
        <f>booking!C139</f>
        <v>46276</v>
      </c>
      <c r="B139" s="6"/>
      <c r="C139" s="127" t="str">
        <f>IF(booking!D139&gt;0,"oc","va")</f>
        <v>va</v>
      </c>
      <c r="D139" s="128" t="str">
        <f>IF(booking!E139&gt;0,"oc","va")</f>
        <v>oc</v>
      </c>
      <c r="E139" s="127" t="str">
        <f>IF(booking!H139&gt;0,"oc","va")</f>
        <v>oc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5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5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5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5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5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5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5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5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va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5">
      <c r="A148" s="5">
        <f>booking!C148</f>
        <v>46285</v>
      </c>
      <c r="B148" s="6"/>
      <c r="C148" s="127" t="str">
        <f>IF(booking!D148&gt;0,"oc","va")</f>
        <v>va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5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5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5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5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5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5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5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5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5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5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5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5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5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5">
      <c r="A162" s="5">
        <f>booking!C162</f>
        <v>46299</v>
      </c>
      <c r="B162" s="6" t="s">
        <v>159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5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5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5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5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5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5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5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5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5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5">
      <c r="A172" s="5"/>
      <c r="B172" s="5"/>
      <c r="D172" s="15"/>
    </row>
    <row r="173" spans="1:14" x14ac:dyDescent="0.35">
      <c r="A173" s="5"/>
      <c r="B173" s="5"/>
      <c r="D173" s="15"/>
    </row>
    <row r="174" spans="1:14" x14ac:dyDescent="0.35">
      <c r="A174" s="5"/>
      <c r="B174" s="5"/>
      <c r="D174" s="15"/>
    </row>
    <row r="175" spans="1:14" x14ac:dyDescent="0.35">
      <c r="A175" s="5"/>
      <c r="B175" s="5"/>
      <c r="D175" s="15"/>
    </row>
    <row r="176" spans="1:14" x14ac:dyDescent="0.35">
      <c r="A176" s="5"/>
      <c r="B176" s="5"/>
      <c r="D176" s="15"/>
    </row>
    <row r="177" spans="1:4" x14ac:dyDescent="0.35">
      <c r="A177" s="5"/>
      <c r="B177" s="5"/>
      <c r="D177" s="15"/>
    </row>
    <row r="178" spans="1:4" x14ac:dyDescent="0.35">
      <c r="A178" s="5"/>
      <c r="B178" s="5"/>
      <c r="D178" s="15"/>
    </row>
    <row r="179" spans="1:4" x14ac:dyDescent="0.35">
      <c r="A179" s="5"/>
      <c r="B179" s="5"/>
      <c r="D179" s="15"/>
    </row>
    <row r="180" spans="1:4" x14ac:dyDescent="0.35">
      <c r="A180" s="5"/>
      <c r="B180" s="5"/>
      <c r="D180" s="15"/>
    </row>
    <row r="181" spans="1:4" x14ac:dyDescent="0.35">
      <c r="A181" s="5"/>
      <c r="B181" s="5"/>
      <c r="D181" s="15"/>
    </row>
    <row r="182" spans="1:4" x14ac:dyDescent="0.35">
      <c r="A182" s="5"/>
      <c r="B182" s="5"/>
      <c r="D182" s="15"/>
    </row>
    <row r="183" spans="1:4" x14ac:dyDescent="0.35">
      <c r="A183" s="5"/>
      <c r="B183" s="5"/>
      <c r="D183" s="15"/>
    </row>
    <row r="184" spans="1:4" x14ac:dyDescent="0.35">
      <c r="A184" s="5"/>
      <c r="B184" s="5"/>
      <c r="D184" s="15"/>
    </row>
    <row r="185" spans="1:4" x14ac:dyDescent="0.35">
      <c r="A185" s="5"/>
      <c r="B185" s="5"/>
      <c r="D185" s="15"/>
    </row>
    <row r="186" spans="1:4" x14ac:dyDescent="0.35">
      <c r="A186" s="5"/>
      <c r="B186" s="5"/>
      <c r="D186" s="15"/>
    </row>
    <row r="187" spans="1:4" x14ac:dyDescent="0.35">
      <c r="A187" s="5"/>
      <c r="B187" s="5"/>
      <c r="D187" s="15"/>
    </row>
    <row r="188" spans="1:4" x14ac:dyDescent="0.35">
      <c r="A188" s="5"/>
      <c r="B188" s="5"/>
      <c r="D188" s="15"/>
    </row>
    <row r="189" spans="1:4" x14ac:dyDescent="0.35">
      <c r="A189" s="5"/>
      <c r="B189" s="5"/>
      <c r="D189" s="15"/>
    </row>
    <row r="190" spans="1:4" x14ac:dyDescent="0.35">
      <c r="A190" s="5"/>
      <c r="B190" s="5"/>
      <c r="D190" s="15"/>
    </row>
    <row r="191" spans="1:4" x14ac:dyDescent="0.35">
      <c r="A191" s="5"/>
      <c r="B191" s="5"/>
      <c r="D191" s="15"/>
    </row>
    <row r="192" spans="1:4" x14ac:dyDescent="0.35">
      <c r="A192" s="5"/>
      <c r="B192" s="5"/>
      <c r="D192" s="15"/>
    </row>
    <row r="193" spans="1:4" x14ac:dyDescent="0.35">
      <c r="A193" s="5"/>
      <c r="B193" s="5"/>
      <c r="D193" s="15"/>
    </row>
    <row r="194" spans="1:4" x14ac:dyDescent="0.35">
      <c r="A194" s="5"/>
      <c r="B194" s="5"/>
      <c r="D194" s="15"/>
    </row>
    <row r="195" spans="1:4" x14ac:dyDescent="0.35">
      <c r="A195" s="5"/>
      <c r="B195" s="5"/>
      <c r="D195" s="15"/>
    </row>
    <row r="196" spans="1:4" x14ac:dyDescent="0.35">
      <c r="A196" s="5"/>
      <c r="B196" s="5"/>
      <c r="D196" s="15"/>
    </row>
    <row r="197" spans="1:4" x14ac:dyDescent="0.35">
      <c r="A197" s="5"/>
      <c r="B197" s="5"/>
      <c r="D197" s="15"/>
    </row>
    <row r="198" spans="1:4" x14ac:dyDescent="0.35">
      <c r="A198" s="5"/>
      <c r="B198" s="5"/>
      <c r="D198" s="15"/>
    </row>
    <row r="199" spans="1:4" x14ac:dyDescent="0.35">
      <c r="A199" s="5"/>
      <c r="B199" s="5"/>
      <c r="D199" s="15"/>
    </row>
    <row r="200" spans="1:4" x14ac:dyDescent="0.35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2026-06-04T13:14:18Z</cp:lastPrinted>
  <dcterms:created xsi:type="dcterms:W3CDTF">2024-07-25T07:35:10Z</dcterms:created>
  <dcterms:modified xsi:type="dcterms:W3CDTF">2026-06-15T06:29:57Z</dcterms:modified>
  <cp:category/>
  <cp:contentStatus/>
</cp:coreProperties>
</file>
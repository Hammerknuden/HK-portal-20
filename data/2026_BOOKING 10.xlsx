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90" documentId="8_{CBF31231-0F4D-4AAA-8243-F4B7D6A71111}" xr6:coauthVersionLast="47" xr6:coauthVersionMax="47" xr10:uidLastSave="{073DF8CD-C9D1-44B2-957A-06B83308F976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K84" i="7" l="1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<sst xmlns="http://schemas.openxmlformats.org/spreadsheetml/2006/main" count="1398" uniqueCount="490">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</sst>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">
      <c r="C12" s="113"/>
      <c r="D12" s="113"/>
      <c r="E12" s="113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203"/>
    <col min="13" max="13" width="25.21875" customWidth="1"/>
    <col min="14" max="14" width="13.88671875" style="151" bestFit="1" customWidth="1"/>
    <col min="15" max="15" width="16.109375" style="2" customWidth="1"/>
    <col min="16" max="16" width="8.5546875" style="2"/>
    <col min="17" max="17" width="8.5546875" style="2" customWidth="1"/>
    <col min="18" max="18" width="12.77734375" style="125" bestFit="1" customWidth="1"/>
    <col min="19" max="19" width="8.77734375" style="2"/>
    <col min="20" max="20" width="15.5546875" customWidth="1"/>
    <col min="21" max="21" width="11.6640625" bestFit="1" customWidth="1"/>
  </cols>
  <sheetData>
    <row r="1" spans="1:21" ht="20.100000000000001" customHeight="1" x14ac:dyDescent="0.3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154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78" activePane="bottomLeft" state="frozen"/>
      <selection pane="bottomLeft" activeCell="AE82" sqref="AE82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4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555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226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9:M115 D92:Y98 O99:Y123 I11:I18 D16:H33 I19:N33 D124:Y171 D36:H52 I36:N57 D34:N35 Q34:S36 O33:P36 Q33:Y33 O37:Y91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4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4" customFormat="1" ht="19.350000000000001" customHeight="1" thickBot="1" x14ac:dyDescent="0.4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35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35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35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35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35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35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35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35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35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35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35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35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35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" customHeight="1" thickBot="1" x14ac:dyDescent="0.35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35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35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35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35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35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35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35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35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35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35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35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35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35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35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35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35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35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35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35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35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35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35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35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35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35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35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35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35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35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35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35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35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35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35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35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35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35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35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35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35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35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35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35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35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35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35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35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35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35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35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35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35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35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35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35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35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35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35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35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35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35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35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35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35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35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35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35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35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IFERROR(IF(AND(booking!AB83&gt;0,booking!L83&lt;&gt;booking!M83),VLOOKUP(booking!M83,Database!$A$1:'Database'!$L$175,6,FALSE),"-"),"-")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35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35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IFERROR(IF(AND(booking!AB85&gt;0,booking!L85&lt;&gt;booking!M85),VLOOKUP(booking!M85,Database!$A$1:'Database'!$L$175,6,FALSE),"-"),"-")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35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35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35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35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35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35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35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35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35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35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35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35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35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35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35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35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35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35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35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35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35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35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35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35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35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35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35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35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35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35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35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35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35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35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35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35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35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35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35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35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35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35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35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35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35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35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35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35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35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35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35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35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35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35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35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35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35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35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35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35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35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35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35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35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35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35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35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35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35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35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35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35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35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35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35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35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35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35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35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35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35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35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35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35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35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35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2.44140625" customWidth="1"/>
    <col min="4" max="5" width="3.77734375" style="2" bestFit="1" customWidth="1"/>
    <col min="6" max="6" width="4.77734375" bestFit="1" customWidth="1"/>
    <col min="7" max="7" width="5" style="77" bestFit="1" customWidth="1"/>
    <col min="8" max="8" width="5.109375" style="77" bestFit="1" customWidth="1"/>
    <col min="9" max="9" width="4.77734375" bestFit="1" customWidth="1"/>
    <col min="10" max="10" width="3.77734375" bestFit="1" customWidth="1"/>
    <col min="11" max="11" width="4.77734375" style="77" bestFit="1" customWidth="1"/>
    <col min="12" max="12" width="5" style="77" bestFit="1" customWidth="1"/>
    <col min="13" max="13" width="5.109375" style="77" bestFit="1" customWidth="1"/>
    <col min="14" max="14" width="6.21875" bestFit="1" customWidth="1"/>
    <col min="15" max="15" width="3.77734375" bestFit="1" customWidth="1"/>
    <col min="16" max="16" width="4.77734375" style="77" bestFit="1" customWidth="1"/>
    <col min="17" max="17" width="5" style="77" bestFit="1" customWidth="1"/>
    <col min="18" max="18" width="7.21875" style="77" bestFit="1" customWidth="1"/>
    <col min="19" max="19" width="4.77734375" bestFit="1" customWidth="1"/>
    <col min="20" max="20" width="3.77734375" style="76" bestFit="1" customWidth="1"/>
    <col min="21" max="21" width="4.77734375" style="77" bestFit="1" customWidth="1"/>
    <col min="22" max="22" width="5" style="77" bestFit="1" customWidth="1"/>
    <col min="23" max="23" width="4.77734375" style="77" bestFit="1" customWidth="1"/>
    <col min="24" max="24" width="4.77734375" bestFit="1" customWidth="1"/>
    <col min="25" max="25" width="2.88671875" bestFit="1" customWidth="1"/>
    <col min="26" max="26" width="4.77734375" style="77" bestFit="1" customWidth="1"/>
    <col min="27" max="27" width="5" style="77" bestFit="1" customWidth="1"/>
    <col min="28" max="28" width="5.109375" style="77" bestFit="1" customWidth="1"/>
    <col min="29" max="29" width="4.77734375" bestFit="1" customWidth="1"/>
  </cols>
  <sheetData>
    <row r="1" spans="1:29" ht="20.100000000000001" customHeight="1" thickBot="1" x14ac:dyDescent="0.35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35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35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35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35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35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35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35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35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35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35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35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35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35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35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35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35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35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35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35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35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35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35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35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35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35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35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35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35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35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35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35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35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35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35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35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35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35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35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35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35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35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35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35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35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35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35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35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35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35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35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35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35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35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35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35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35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>
        <f>IF(AND(D57="Y",booking!P57&lt;&gt;booking!Q57,booking!Q57&gt;0),booking!Q57,"-")</f>
        <v>130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35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35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35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35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35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35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35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35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35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35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35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35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35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35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35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35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35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35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35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35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35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35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35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35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35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>
        <f>IF(AND(D82="Y",booking!L82&lt;&gt;booking!M82,booking!M82&gt;0),booking!M82,"-")</f>
        <v>131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35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>
        <f>IF(AND(D83="Y",booking!L83&lt;&gt;booking!M83,booking!M83&gt;0),booking!M83,"-")</f>
        <v>113</v>
      </c>
      <c r="P83" s="78">
        <f>IFERROR(VLOOKUP(O83,Database!$A$2:$L$175,8,FALSE),"-")</f>
        <v>0</v>
      </c>
      <c r="Q83" s="78" t="str">
        <f>IFERROR(VLOOKUP(O83,Database!$A$2:$L$175,6,FALSE),"-")</f>
        <v>DK</v>
      </c>
      <c r="R83" s="82">
        <f>IFERROR(VLOOKUP(O83,Database!$A$2:$L$175,9,FALSE),"-")</f>
        <v>0</v>
      </c>
      <c r="S83" s="209" t="str">
        <f>IFERROR(VLOOKUP(O83,Database!$A$2:$S$175,19,FALSE),"-")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35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IFERROR(VLOOKUP(J84,Database!$A$2:$L$175,8,FALSE),"-")</f>
        <v>0</v>
      </c>
      <c r="L84" s="78" t="str">
        <f>IFERROR(VLOOKUP(J84,Database!$A$2:$L$175,6,FALSE),"-")</f>
        <v>CH</v>
      </c>
      <c r="M84" s="93" t="str">
        <f>IFERROR(VLOOKUP(J84,Database!$A$2:$L$175,9,FALSE),"-")</f>
        <v>sing</v>
      </c>
      <c r="N84" s="209" t="str">
        <f>IFERROR(VLOOKUP(J84,Database!$A$2:$S$175,19,FALSE),"-")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IFERROR(VLOOKUP(O84,Database!$A$2:$L$175,8,FALSE),"-")</f>
        <v>-</v>
      </c>
      <c r="Q84" s="78" t="str">
        <f>IFERROR(VLOOKUP(O84,Database!$A$2:$L$175,6,FALSE),"-")</f>
        <v>-</v>
      </c>
      <c r="R84" s="82" t="str">
        <f>IFERROR(VLOOKUP(O84,Database!$A$2:$L$175,9,FALSE),"-")</f>
        <v>-</v>
      </c>
      <c r="S84" s="209" t="str">
        <f>IFERROR(VLOOKUP(O84,Database!$A$2:$S$175,19,FALSE),"-")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35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IFERROR(VLOOKUP(J85,Database!$A$2:$L$175,8,FALSE),"-")</f>
        <v>-</v>
      </c>
      <c r="L85" s="78" t="str">
        <f>IFERROR(VLOOKUP(J85,Database!$A$2:$L$175,6,FALSE),"-")</f>
        <v>-</v>
      </c>
      <c r="M85" s="93" t="str">
        <f>IFERROR(VLOOKUP(J85,Database!$A$2:$L$175,9,FALSE),"-")</f>
        <v>-</v>
      </c>
      <c r="N85" s="209" t="str">
        <f>IFERROR(VLOOKUP(J85,Database!$A$2:$S$175,19,FALSE),"-")</f>
        <v>-</v>
      </c>
      <c r="O85" s="96">
        <f>IF(AND(D85="Y",booking!L85&lt;&gt;booking!M85,booking!M85&gt;0),booking!M85,"-")</f>
        <v>44</v>
      </c>
      <c r="P85" s="78">
        <f>IFERROR(VLOOKUP(O85,Database!$A$2:$L$175,8,FALSE),"-")</f>
        <v>0</v>
      </c>
      <c r="Q85" s="78" t="str">
        <f>IFERROR(VLOOKUP(O85,Database!$A$2:$L$175,6,FALSE),"-")</f>
        <v>CZ</v>
      </c>
      <c r="R85" s="82" t="str">
        <f>IFERROR(VLOOKUP(O85,Database!$A$2:$L$175,9,FALSE),"-")</f>
        <v>dobb</v>
      </c>
      <c r="S85" s="209" t="str">
        <f>IFERROR(VLOOKUP(O85,Database!$A$2:$S$175,19,FALSE),"-")</f>
        <v>N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35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35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35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35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35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35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35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35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35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35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35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35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35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35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35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35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35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35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35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35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35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35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35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35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35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35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35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35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35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35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35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35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35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35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35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35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35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35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35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35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35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35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35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35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35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35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35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35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35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35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35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35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35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35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35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35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35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35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35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35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35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35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35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35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35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35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35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35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35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35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35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35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35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35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35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35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35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35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35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35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35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35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35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35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35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35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4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-</v>
      </c>
      <c r="J57" s="76">
        <f>ankomster!T57</f>
        <v>130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>
        <f>ankomster!O82</f>
        <v>131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>
        <f>ankomster!O83</f>
        <v>113</v>
      </c>
      <c r="I83" t="str">
        <f>IFERROR(VLOOKUP(H83,Database!$A$2:$L$175,2,FALSE),"-")</f>
        <v>Maria Friis Jensen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>
        <f>ankomster!J84</f>
        <v>38</v>
      </c>
      <c r="G84" t="str">
        <f>IFERROR(VLOOKUP(F84,Database!$A$2:$L$175,2,FALSE),"-")</f>
        <v>Werner Strehmel</v>
      </c>
      <c r="H84" t="str">
        <f>ankomster!O84</f>
        <v>-</v>
      </c>
      <c r="I84" t="str">
        <f>IFERROR(VLOOKUP(H84,Database!$A$2:$L$175,2,FALSE),"-")</f>
        <v>-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>
        <f>ankomster!O85</f>
        <v>44</v>
      </c>
      <c r="I85" t="str">
        <f>IFERROR(VLOOKUP(H85,Database!$A$2:$L$175,2,FALSE),"-")</f>
        <v>Jan Uxa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-</v>
      </c>
      <c r="F129">
        <f>ankomster!J129</f>
        <v>126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7" customWidth="1"/>
    <col min="4" max="14" width="3.5546875" style="2" customWidth="1"/>
  </cols>
  <sheetData>
    <row r="1" spans="1:14" ht="15" customHeight="1" thickBot="1" x14ac:dyDescent="0.35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">
      <c r="A172" s="5"/>
      <c r="B172" s="5"/>
      <c r="D172" s="17"/>
    </row>
    <row r="173" spans="1:14" x14ac:dyDescent="0.3">
      <c r="A173" s="5"/>
      <c r="B173" s="5"/>
      <c r="D173" s="17"/>
    </row>
    <row r="174" spans="1:14" x14ac:dyDescent="0.3">
      <c r="A174" s="5"/>
      <c r="B174" s="5"/>
      <c r="D174" s="17"/>
    </row>
    <row r="175" spans="1:14" x14ac:dyDescent="0.3">
      <c r="A175" s="5"/>
      <c r="B175" s="5"/>
      <c r="D175" s="17"/>
    </row>
    <row r="176" spans="1:14" x14ac:dyDescent="0.3">
      <c r="A176" s="5"/>
      <c r="B176" s="5"/>
      <c r="D176" s="17"/>
    </row>
    <row r="177" spans="1:4" x14ac:dyDescent="0.3">
      <c r="A177" s="5"/>
      <c r="B177" s="5"/>
      <c r="D177" s="17"/>
    </row>
    <row r="178" spans="1:4" x14ac:dyDescent="0.3">
      <c r="A178" s="5"/>
      <c r="B178" s="5"/>
      <c r="D178" s="17"/>
    </row>
    <row r="179" spans="1:4" x14ac:dyDescent="0.3">
      <c r="A179" s="5"/>
      <c r="B179" s="5"/>
      <c r="D179" s="17"/>
    </row>
    <row r="180" spans="1:4" x14ac:dyDescent="0.3">
      <c r="A180" s="5"/>
      <c r="B180" s="5"/>
      <c r="D180" s="17"/>
    </row>
    <row r="181" spans="1:4" x14ac:dyDescent="0.3">
      <c r="A181" s="5"/>
      <c r="B181" s="5"/>
      <c r="D181" s="17"/>
    </row>
    <row r="182" spans="1:4" x14ac:dyDescent="0.3">
      <c r="A182" s="5"/>
      <c r="B182" s="5"/>
      <c r="D182" s="17"/>
    </row>
    <row r="183" spans="1:4" x14ac:dyDescent="0.3">
      <c r="A183" s="5"/>
      <c r="B183" s="5"/>
      <c r="D183" s="17"/>
    </row>
    <row r="184" spans="1:4" x14ac:dyDescent="0.3">
      <c r="A184" s="5"/>
      <c r="B184" s="5"/>
      <c r="D184" s="17"/>
    </row>
    <row r="185" spans="1:4" x14ac:dyDescent="0.3">
      <c r="A185" s="5"/>
      <c r="B185" s="5"/>
      <c r="D185" s="17"/>
    </row>
    <row r="186" spans="1:4" x14ac:dyDescent="0.3">
      <c r="A186" s="5"/>
      <c r="B186" s="5"/>
      <c r="D186" s="17"/>
    </row>
    <row r="187" spans="1:4" x14ac:dyDescent="0.3">
      <c r="A187" s="5"/>
      <c r="B187" s="5"/>
      <c r="D187" s="17"/>
    </row>
    <row r="188" spans="1:4" x14ac:dyDescent="0.3">
      <c r="A188" s="5"/>
      <c r="B188" s="5"/>
      <c r="D188" s="17"/>
    </row>
    <row r="189" spans="1:4" x14ac:dyDescent="0.3">
      <c r="A189" s="5"/>
      <c r="B189" s="5"/>
      <c r="D189" s="17"/>
    </row>
    <row r="190" spans="1:4" x14ac:dyDescent="0.3">
      <c r="A190" s="5"/>
      <c r="B190" s="5"/>
      <c r="D190" s="17"/>
    </row>
    <row r="191" spans="1:4" x14ac:dyDescent="0.3">
      <c r="A191" s="5"/>
      <c r="B191" s="5"/>
      <c r="D191" s="17"/>
    </row>
    <row r="192" spans="1:4" x14ac:dyDescent="0.3">
      <c r="A192" s="5"/>
      <c r="B192" s="5"/>
      <c r="D192" s="17"/>
    </row>
    <row r="193" spans="1:4" x14ac:dyDescent="0.3">
      <c r="A193" s="5"/>
      <c r="B193" s="5"/>
      <c r="D193" s="17"/>
    </row>
    <row r="194" spans="1:4" x14ac:dyDescent="0.3">
      <c r="A194" s="5"/>
      <c r="B194" s="5"/>
      <c r="D194" s="17"/>
    </row>
    <row r="195" spans="1:4" x14ac:dyDescent="0.3">
      <c r="A195" s="5"/>
      <c r="B195" s="5"/>
      <c r="D195" s="17"/>
    </row>
    <row r="196" spans="1:4" x14ac:dyDescent="0.3">
      <c r="A196" s="5"/>
      <c r="B196" s="5"/>
      <c r="D196" s="17"/>
    </row>
    <row r="197" spans="1:4" x14ac:dyDescent="0.3">
      <c r="A197" s="5"/>
      <c r="B197" s="5"/>
      <c r="D197" s="17"/>
    </row>
    <row r="198" spans="1:4" x14ac:dyDescent="0.3">
      <c r="A198" s="5"/>
      <c r="B198" s="5"/>
      <c r="D198" s="17"/>
    </row>
    <row r="199" spans="1:4" x14ac:dyDescent="0.3">
      <c r="A199" s="5"/>
      <c r="B199" s="5"/>
      <c r="D199" s="17"/>
    </row>
    <row r="200" spans="1:4" x14ac:dyDescent="0.3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2026-05-11T13:59:34Z</cp:lastPrinted>
  <dcterms:created xsi:type="dcterms:W3CDTF">2024-07-25T07:35:10Z</dcterms:created>
  <dcterms:modified xsi:type="dcterms:W3CDTF">2026-05-15T08:34:07Z</dcterms:modified>
  <cp:category/>
  <cp:contentStatus/>
</cp:coreProperties>
</file>
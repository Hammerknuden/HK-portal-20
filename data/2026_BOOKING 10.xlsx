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451" documentId="8_{AC379FEE-905F-41E2-9E84-8018E4E04006}" xr6:coauthVersionLast="47" xr6:coauthVersionMax="47" xr10:uidLastSave="{AEE33D8F-9AE7-4E6A-B591-B1FE2CA6CF9E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Database!$A$1:$V$102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00" i="3" l="1"/>
  <c r="AI200" i="3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BI196" i="3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J152" i="10" s="1"/>
  <c r="C152" i="10"/>
  <c r="D152" i="10"/>
  <c r="F152" i="10"/>
  <c r="A153" i="10"/>
  <c r="B153" i="10"/>
  <c r="J153" i="10" s="1"/>
  <c r="C153" i="10"/>
  <c r="D153" i="10"/>
  <c r="F153" i="10"/>
  <c r="A154" i="10"/>
  <c r="B154" i="10"/>
  <c r="I154" i="10" s="1"/>
  <c r="C154" i="10"/>
  <c r="D154" i="10"/>
  <c r="F154" i="10"/>
  <c r="A155" i="10"/>
  <c r="B155" i="10"/>
  <c r="J155" i="10" s="1"/>
  <c r="C155" i="10"/>
  <c r="D155" i="10"/>
  <c r="F155" i="10"/>
  <c r="A156" i="10"/>
  <c r="B156" i="10"/>
  <c r="J156" i="10" s="1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I13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J142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J151" i="10" l="1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C153" i="8" s="1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P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46" i="8" l="1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AE200" i="3" s="1"/>
  <c r="T198" i="3"/>
  <c r="T200" i="3" s="1"/>
  <c r="BR196" i="3"/>
  <c r="BL202" i="3" s="1"/>
  <c r="J30" i="4" s="1"/>
  <c r="AU198" i="3"/>
  <c r="AH198" i="3"/>
  <c r="AH200" i="3" s="1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P196" i="3"/>
  <c r="BK202" i="3" s="1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I98" i="7" l="1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<sst xmlns="http://schemas.openxmlformats.org/spreadsheetml/2006/main" count="1588" uniqueCount="540">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</sst>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6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  <xf numFmtId="0" fontId="0" fillId="0" borderId="0" xfId="0"/>
    <xf numFmtId="166" fontId="0" fillId="0" borderId="0" xfId="0" applyNumberFormat="1"/>
    <xf numFmtId="0" fontId="0" fillId="0" borderId="0" xfId="0"/>
    <xf numFmtId="166" fontId="0" fillId="0" borderId="0" xfId="0" applyNumberFormat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607</c:v>
                </c:pt>
                <c:pt idx="25">
                  <c:v>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195</c:v>
                </c:pt>
                <c:pt idx="1">
                  <c:v>23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807</c:v>
                </c:pt>
                <c:pt idx="1">
                  <c:v>79</c:v>
                </c:pt>
                <c:pt idx="2">
                  <c:v>8</c:v>
                </c:pt>
                <c:pt idx="3">
                  <c:v>0</c:v>
                </c:pt>
                <c:pt idx="4">
                  <c:v>8</c:v>
                </c:pt>
                <c:pt idx="5">
                  <c:v>33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607</c:v>
                </c:pt>
                <c:pt idx="25">
                  <c:v>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307</c:v>
                </c:pt>
                <c:pt idx="1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195</c:v>
                </c:pt>
                <c:pt idx="1">
                  <c:v>23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807</c:v>
                </c:pt>
                <c:pt idx="1">
                  <c:v>79</c:v>
                </c:pt>
                <c:pt idx="2">
                  <c:v>8</c:v>
                </c:pt>
                <c:pt idx="3">
                  <c:v>0</c:v>
                </c:pt>
                <c:pt idx="4">
                  <c:v>8</c:v>
                </c:pt>
                <c:pt idx="5">
                  <c:v>33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307</c:v>
                </c:pt>
                <c:pt idx="1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65"/>
  <sheetViews>
    <sheetView topLeftCell="G1" workbookViewId="0">
      <pane ySplit="1" topLeftCell="A147" activePane="bottomLeft" state="frozen"/>
      <selection pane="bottomLeft" activeCell="N165" sqref="N165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199"/>
    <col min="13" max="13" width="25.1796875" customWidth="1"/>
    <col min="14" max="14" width="15.81640625" style="147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2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5" t="s">
        <v>9</v>
      </c>
      <c r="K1" s="3" t="s">
        <v>44</v>
      </c>
      <c r="L1" s="3" t="s">
        <v>45</v>
      </c>
      <c r="M1" s="3" t="s">
        <v>46</v>
      </c>
      <c r="N1" s="171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5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11"/>
      <c r="I2" s="123"/>
      <c r="J2" s="196">
        <v>0.05</v>
      </c>
      <c r="K2" s="102">
        <v>1</v>
      </c>
      <c r="L2" s="102">
        <v>2</v>
      </c>
      <c r="M2" s="144" t="s">
        <v>162</v>
      </c>
      <c r="N2" s="172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5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2"/>
      <c r="I3" s="124"/>
      <c r="J3" s="197"/>
      <c r="K3" s="104"/>
      <c r="L3" s="104"/>
      <c r="M3" s="145"/>
      <c r="N3" s="173"/>
      <c r="O3" s="124"/>
      <c r="P3" s="124"/>
      <c r="Q3" s="124"/>
      <c r="R3" s="154"/>
      <c r="S3" s="149"/>
    </row>
    <row r="4" spans="1:22" x14ac:dyDescent="0.35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11"/>
      <c r="I4" s="123"/>
      <c r="J4" s="196"/>
      <c r="K4" s="102"/>
      <c r="L4" s="102"/>
      <c r="M4" s="144" t="s">
        <v>166</v>
      </c>
      <c r="N4" s="172"/>
      <c r="O4" s="123"/>
      <c r="P4" s="123"/>
      <c r="Q4" s="123"/>
      <c r="R4" s="154"/>
      <c r="S4" s="148"/>
      <c r="T4" s="121"/>
    </row>
    <row r="5" spans="1:22" x14ac:dyDescent="0.35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2"/>
      <c r="I5" s="124"/>
      <c r="J5" s="197">
        <v>0.1</v>
      </c>
      <c r="K5" s="104">
        <v>2</v>
      </c>
      <c r="L5" s="104">
        <v>4</v>
      </c>
      <c r="M5" s="145" t="s">
        <v>169</v>
      </c>
      <c r="N5" s="174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5">
      <c r="A6" s="136">
        <v>4</v>
      </c>
      <c r="B6" s="104"/>
      <c r="C6" s="107"/>
      <c r="D6" s="107"/>
      <c r="E6" s="107"/>
      <c r="F6" s="104"/>
      <c r="G6" s="104"/>
      <c r="H6" s="212"/>
      <c r="I6" s="124"/>
      <c r="J6" s="197"/>
      <c r="K6" s="104"/>
      <c r="L6" s="104"/>
      <c r="M6" s="145"/>
      <c r="N6" s="174"/>
      <c r="O6" s="124"/>
      <c r="P6" s="124"/>
      <c r="Q6" s="124"/>
      <c r="R6" s="154"/>
      <c r="S6" s="149"/>
    </row>
    <row r="7" spans="1:22" x14ac:dyDescent="0.35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11">
        <v>1430</v>
      </c>
      <c r="I7" s="123" t="s">
        <v>155</v>
      </c>
      <c r="J7" s="196">
        <v>0.1</v>
      </c>
      <c r="K7" s="102">
        <v>1</v>
      </c>
      <c r="L7" s="102">
        <v>2</v>
      </c>
      <c r="M7" s="144" t="s">
        <v>172</v>
      </c>
      <c r="N7" s="172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5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8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5">
      <c r="A9" s="135">
        <v>6</v>
      </c>
      <c r="B9" s="116"/>
      <c r="C9" s="119"/>
      <c r="D9" s="119"/>
      <c r="E9" s="119"/>
      <c r="F9" s="116"/>
      <c r="G9" s="2"/>
      <c r="J9" s="198"/>
      <c r="K9" s="118"/>
      <c r="L9" s="118"/>
      <c r="M9" s="120"/>
    </row>
    <row r="10" spans="1:22" x14ac:dyDescent="0.35">
      <c r="A10" s="135">
        <v>6</v>
      </c>
      <c r="B10" s="116"/>
      <c r="C10" s="119"/>
      <c r="D10" s="119"/>
      <c r="E10" s="119"/>
      <c r="F10" s="116"/>
      <c r="G10" s="2"/>
      <c r="J10" s="198"/>
      <c r="K10" s="118"/>
      <c r="L10" s="118"/>
      <c r="M10" s="120"/>
    </row>
    <row r="11" spans="1:22" x14ac:dyDescent="0.35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8">
        <v>0.1</v>
      </c>
      <c r="K11" s="118">
        <v>1</v>
      </c>
      <c r="L11" s="118">
        <v>2</v>
      </c>
      <c r="M11" s="120" t="s">
        <v>177</v>
      </c>
      <c r="N11" s="174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5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8">
        <v>0.1</v>
      </c>
      <c r="K12" s="118">
        <v>1</v>
      </c>
      <c r="L12" s="118">
        <v>2</v>
      </c>
      <c r="M12" s="120" t="s">
        <v>180</v>
      </c>
      <c r="N12" s="174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5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8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5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8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5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8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5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8">
        <v>0.1</v>
      </c>
      <c r="K16" s="118">
        <v>1</v>
      </c>
      <c r="L16" s="118">
        <v>2</v>
      </c>
      <c r="M16" s="120" t="s">
        <v>193</v>
      </c>
      <c r="N16" s="175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5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8">
        <v>0.1</v>
      </c>
      <c r="K17" s="118">
        <v>1</v>
      </c>
      <c r="L17" s="118">
        <v>2</v>
      </c>
      <c r="M17" s="113" t="s">
        <v>197</v>
      </c>
      <c r="N17" s="175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5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8">
        <v>0.1</v>
      </c>
      <c r="K18" s="118">
        <v>1</v>
      </c>
      <c r="L18" s="118">
        <v>2</v>
      </c>
      <c r="M18" s="146" t="s">
        <v>203</v>
      </c>
      <c r="N18" s="175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5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80">
        <f>R19*0.5</f>
        <v>4462.5</v>
      </c>
    </row>
    <row r="20" spans="1:21" x14ac:dyDescent="0.35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5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81">
        <f t="shared" ref="U20:U23" si="0">R20*0.5</f>
        <v>8925</v>
      </c>
    </row>
    <row r="21" spans="1:21" x14ac:dyDescent="0.35">
      <c r="A21" s="136">
        <v>16</v>
      </c>
      <c r="B21" s="116"/>
      <c r="F21" s="116"/>
      <c r="G21" s="2"/>
      <c r="K21" s="118"/>
      <c r="L21" s="118"/>
      <c r="M21" s="113"/>
      <c r="N21" s="175"/>
      <c r="U21" s="181"/>
    </row>
    <row r="22" spans="1:21" x14ac:dyDescent="0.35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5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81">
        <f t="shared" si="0"/>
        <v>4462.5</v>
      </c>
    </row>
    <row r="23" spans="1:21" x14ac:dyDescent="0.35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5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81">
        <f t="shared" si="0"/>
        <v>3187.5</v>
      </c>
    </row>
    <row r="24" spans="1:21" x14ac:dyDescent="0.35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9">
        <v>0.1</v>
      </c>
      <c r="K24">
        <v>1</v>
      </c>
      <c r="L24">
        <v>1</v>
      </c>
      <c r="M24" s="113" t="s">
        <v>209</v>
      </c>
      <c r="N24" s="175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5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5">
      <c r="A26" s="135">
        <v>20</v>
      </c>
      <c r="B26" s="116"/>
      <c r="F26" s="116"/>
      <c r="G26" s="2"/>
      <c r="K26" s="118"/>
      <c r="L26" s="118"/>
      <c r="M26" s="113"/>
      <c r="R26" s="154"/>
    </row>
    <row r="27" spans="1:21" x14ac:dyDescent="0.35">
      <c r="A27" s="135">
        <v>20</v>
      </c>
      <c r="B27" s="116"/>
      <c r="F27" s="116"/>
      <c r="G27" s="2"/>
      <c r="K27" s="118"/>
      <c r="L27" s="118"/>
      <c r="M27" s="113"/>
      <c r="R27" s="154"/>
    </row>
    <row r="28" spans="1:21" x14ac:dyDescent="0.35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9">
        <v>0.1</v>
      </c>
      <c r="K28" s="118">
        <v>1</v>
      </c>
      <c r="L28" s="118">
        <v>2</v>
      </c>
      <c r="M28" s="113" t="s">
        <v>236</v>
      </c>
      <c r="N28" s="175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5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5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5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5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6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5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9">
        <v>0.1</v>
      </c>
      <c r="K34" s="118">
        <v>1</v>
      </c>
      <c r="L34" s="118">
        <v>2</v>
      </c>
      <c r="M34" s="113" t="s">
        <v>228</v>
      </c>
      <c r="N34" s="175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5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5">
      <c r="A37" s="135">
        <v>28</v>
      </c>
      <c r="K37" s="118"/>
      <c r="L37" s="118"/>
      <c r="M37" s="113"/>
    </row>
    <row r="38" spans="1:20" x14ac:dyDescent="0.35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5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5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9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5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9">
        <v>0.1</v>
      </c>
      <c r="K43">
        <v>1</v>
      </c>
      <c r="L43">
        <v>2</v>
      </c>
      <c r="M43" s="155" t="s">
        <v>254</v>
      </c>
      <c r="N43" s="175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5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5">
        <v>36</v>
      </c>
      <c r="M45" s="113"/>
    </row>
    <row r="46" spans="1:20" x14ac:dyDescent="0.35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5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5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5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5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5">
        <v>4531909358</v>
      </c>
      <c r="O56" s="177" t="s">
        <v>272</v>
      </c>
      <c r="Q56" s="2" t="s">
        <v>21</v>
      </c>
      <c r="S56" s="2" t="s">
        <v>21</v>
      </c>
      <c r="T56" t="s">
        <v>273</v>
      </c>
    </row>
    <row r="57" spans="1:20" x14ac:dyDescent="0.35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5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9">
        <v>0.1</v>
      </c>
      <c r="K60">
        <v>1</v>
      </c>
      <c r="L60">
        <v>2</v>
      </c>
      <c r="M60" s="155" t="s">
        <v>268</v>
      </c>
      <c r="N60" s="175">
        <v>4540474386</v>
      </c>
      <c r="O60" s="177" t="s">
        <v>267</v>
      </c>
      <c r="Q60" s="2" t="s">
        <v>21</v>
      </c>
      <c r="R60" s="183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F63" t="s">
        <v>52</v>
      </c>
      <c r="G63" t="s">
        <v>35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5">
      <c r="A64" s="2">
        <v>54</v>
      </c>
      <c r="M64" s="113"/>
      <c r="R64" s="154"/>
    </row>
    <row r="65" spans="1:20" x14ac:dyDescent="0.35">
      <c r="A65" s="2">
        <v>55</v>
      </c>
      <c r="B65" t="s">
        <v>297</v>
      </c>
      <c r="C65" s="22">
        <v>46230</v>
      </c>
      <c r="D65" s="22">
        <v>46234</v>
      </c>
      <c r="E65" s="22">
        <v>46042</v>
      </c>
      <c r="F65" t="s">
        <v>52</v>
      </c>
      <c r="G65" t="s">
        <v>35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5">
      <c r="A66" s="2">
        <v>56</v>
      </c>
      <c r="B66" t="s">
        <v>294</v>
      </c>
      <c r="C66" s="22">
        <v>46192</v>
      </c>
      <c r="D66" s="22">
        <v>46194</v>
      </c>
      <c r="E66" s="22">
        <v>46043</v>
      </c>
      <c r="F66" t="s">
        <v>52</v>
      </c>
      <c r="G66" t="s">
        <v>35</v>
      </c>
      <c r="H66" s="1" t="s">
        <v>307</v>
      </c>
      <c r="I66" s="2" t="s">
        <v>155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296</v>
      </c>
    </row>
    <row r="67" spans="1:20" x14ac:dyDescent="0.35">
      <c r="A67" s="2">
        <v>57</v>
      </c>
      <c r="B67" t="s">
        <v>291</v>
      </c>
      <c r="C67" s="22">
        <v>46232</v>
      </c>
      <c r="D67" s="22">
        <v>46238</v>
      </c>
      <c r="E67" s="22">
        <v>46043</v>
      </c>
      <c r="F67" t="s">
        <v>53</v>
      </c>
      <c r="G67" t="s">
        <v>35</v>
      </c>
      <c r="K67">
        <v>1</v>
      </c>
      <c r="L67">
        <v>2</v>
      </c>
      <c r="N67" s="175">
        <v>466700686</v>
      </c>
      <c r="O67" s="2" t="s">
        <v>292</v>
      </c>
      <c r="Q67" s="2" t="s">
        <v>20</v>
      </c>
      <c r="R67" s="154">
        <v>6450</v>
      </c>
      <c r="S67" s="2" t="s">
        <v>38</v>
      </c>
      <c r="T67" t="s">
        <v>293</v>
      </c>
    </row>
    <row r="68" spans="1:20" x14ac:dyDescent="0.35">
      <c r="A68" s="2">
        <v>58</v>
      </c>
      <c r="B68" t="s">
        <v>289</v>
      </c>
      <c r="C68" s="22">
        <v>46229</v>
      </c>
      <c r="D68" s="22">
        <v>46233</v>
      </c>
      <c r="E68" s="22">
        <v>46046</v>
      </c>
      <c r="F68" t="s">
        <v>52</v>
      </c>
      <c r="G68" t="s">
        <v>6</v>
      </c>
      <c r="I68" s="2" t="s">
        <v>158</v>
      </c>
      <c r="J68" s="199">
        <v>0.1</v>
      </c>
      <c r="K68">
        <v>2</v>
      </c>
      <c r="L68">
        <v>2</v>
      </c>
      <c r="M68" s="113"/>
      <c r="Q68" s="2" t="s">
        <v>21</v>
      </c>
      <c r="R68" s="154">
        <v>4590</v>
      </c>
      <c r="S68" s="2" t="s">
        <v>38</v>
      </c>
      <c r="T68" t="s">
        <v>290</v>
      </c>
    </row>
    <row r="69" spans="1:20" x14ac:dyDescent="0.35">
      <c r="A69" s="2">
        <v>58</v>
      </c>
      <c r="C69" s="22">
        <v>46229</v>
      </c>
      <c r="M69" s="113"/>
      <c r="R69" s="154"/>
    </row>
    <row r="70" spans="1:20" x14ac:dyDescent="0.35">
      <c r="A70" s="2">
        <v>59</v>
      </c>
      <c r="B70" t="s">
        <v>299</v>
      </c>
      <c r="C70" s="22">
        <v>46244</v>
      </c>
      <c r="D70" s="22">
        <v>46248</v>
      </c>
      <c r="E70" s="22">
        <v>46047</v>
      </c>
      <c r="F70" t="s">
        <v>52</v>
      </c>
      <c r="G70" t="s">
        <v>35</v>
      </c>
      <c r="H70" s="1" t="s">
        <v>300</v>
      </c>
      <c r="I70" s="2" t="s">
        <v>155</v>
      </c>
      <c r="K70">
        <v>1</v>
      </c>
      <c r="L70">
        <v>2</v>
      </c>
      <c r="M70" s="113"/>
      <c r="N70" s="147">
        <v>4542401010</v>
      </c>
      <c r="Q70" s="2" t="s">
        <v>21</v>
      </c>
      <c r="R70" s="154">
        <v>5100</v>
      </c>
      <c r="S70" s="2" t="s">
        <v>20</v>
      </c>
    </row>
    <row r="71" spans="1:20" x14ac:dyDescent="0.35">
      <c r="A71" s="2">
        <v>60</v>
      </c>
      <c r="B71" t="s">
        <v>306</v>
      </c>
      <c r="C71" s="22">
        <v>46258</v>
      </c>
      <c r="D71" s="22">
        <v>46262</v>
      </c>
      <c r="E71" s="22">
        <v>46047</v>
      </c>
      <c r="F71" t="s">
        <v>52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4">
        <v>3800</v>
      </c>
      <c r="S71" s="2" t="s">
        <v>20</v>
      </c>
    </row>
    <row r="72" spans="1:20" x14ac:dyDescent="0.35">
      <c r="A72" s="2">
        <v>61</v>
      </c>
      <c r="B72" t="s">
        <v>304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305</v>
      </c>
      <c r="I72" s="2" t="s">
        <v>295</v>
      </c>
      <c r="K72">
        <v>1</v>
      </c>
      <c r="L72">
        <v>2</v>
      </c>
      <c r="M72" s="113"/>
      <c r="Q72" s="2" t="s">
        <v>20</v>
      </c>
      <c r="R72" s="154">
        <v>2975</v>
      </c>
      <c r="S72" s="2" t="s">
        <v>20</v>
      </c>
    </row>
    <row r="73" spans="1:20" x14ac:dyDescent="0.35">
      <c r="A73" s="2">
        <v>62</v>
      </c>
      <c r="B73" t="s">
        <v>303</v>
      </c>
      <c r="C73" s="22">
        <v>46214</v>
      </c>
      <c r="D73" s="22">
        <v>46225</v>
      </c>
      <c r="E73" s="22">
        <v>46047</v>
      </c>
      <c r="F73" t="s">
        <v>52</v>
      </c>
      <c r="G73" t="s">
        <v>35</v>
      </c>
      <c r="I73" s="2" t="s">
        <v>295</v>
      </c>
      <c r="J73" s="199">
        <v>0.1</v>
      </c>
      <c r="K73">
        <v>1</v>
      </c>
      <c r="L73">
        <v>2</v>
      </c>
      <c r="Q73" s="2" t="s">
        <v>21</v>
      </c>
      <c r="R73" s="154">
        <f>8925+3442.5</f>
        <v>12367.5</v>
      </c>
      <c r="S73" s="2" t="s">
        <v>20</v>
      </c>
      <c r="T73" t="s">
        <v>315</v>
      </c>
    </row>
    <row r="74" spans="1:20" x14ac:dyDescent="0.35">
      <c r="A74" s="2">
        <v>63</v>
      </c>
      <c r="B74" t="s">
        <v>301</v>
      </c>
      <c r="C74" s="22">
        <v>46153</v>
      </c>
      <c r="D74" s="22">
        <v>46155</v>
      </c>
      <c r="E74" s="22">
        <v>46048</v>
      </c>
      <c r="F74" t="s">
        <v>53</v>
      </c>
      <c r="G74" t="s">
        <v>6</v>
      </c>
      <c r="H74" s="1" t="s">
        <v>439</v>
      </c>
      <c r="I74" s="2" t="s">
        <v>155</v>
      </c>
      <c r="J74" s="199">
        <v>0.05</v>
      </c>
      <c r="K74">
        <v>1</v>
      </c>
      <c r="L74">
        <v>2</v>
      </c>
      <c r="M74" s="113" t="s">
        <v>302</v>
      </c>
      <c r="N74" s="147">
        <v>460739771649</v>
      </c>
      <c r="Q74" s="2" t="s">
        <v>20</v>
      </c>
      <c r="R74" s="154">
        <v>1805</v>
      </c>
      <c r="S74" s="2" t="s">
        <v>20</v>
      </c>
    </row>
    <row r="75" spans="1:20" x14ac:dyDescent="0.35">
      <c r="A75" s="2">
        <v>64</v>
      </c>
      <c r="B75" t="s">
        <v>308</v>
      </c>
      <c r="C75" s="22">
        <v>46198</v>
      </c>
      <c r="D75" s="22">
        <v>46201</v>
      </c>
      <c r="E75" s="22">
        <v>46053</v>
      </c>
      <c r="F75" t="s">
        <v>53</v>
      </c>
      <c r="G75" t="s">
        <v>35</v>
      </c>
      <c r="I75" s="2" t="s">
        <v>158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5">
      <c r="A76" s="2">
        <v>65</v>
      </c>
      <c r="B76" t="s">
        <v>312</v>
      </c>
      <c r="C76" s="22">
        <v>46256</v>
      </c>
      <c r="D76" s="22">
        <v>46259</v>
      </c>
      <c r="E76" s="22">
        <v>46054</v>
      </c>
      <c r="F76" t="s">
        <v>52</v>
      </c>
      <c r="G76" t="s">
        <v>35</v>
      </c>
      <c r="I76" s="2" t="s">
        <v>155</v>
      </c>
      <c r="K76">
        <v>1</v>
      </c>
      <c r="L76">
        <v>2</v>
      </c>
      <c r="Q76" s="2" t="s">
        <v>20</v>
      </c>
      <c r="R76" s="154">
        <v>2850</v>
      </c>
      <c r="S76" s="2" t="s">
        <v>20</v>
      </c>
    </row>
    <row r="77" spans="1:20" x14ac:dyDescent="0.35">
      <c r="A77" s="2">
        <v>66</v>
      </c>
      <c r="B77" t="s">
        <v>310</v>
      </c>
      <c r="C77" s="22">
        <v>46214</v>
      </c>
      <c r="D77" s="22">
        <v>46222</v>
      </c>
      <c r="E77" s="22">
        <v>46054</v>
      </c>
      <c r="F77" t="s">
        <v>52</v>
      </c>
      <c r="G77" t="s">
        <v>6</v>
      </c>
      <c r="J77" s="199">
        <v>0.1</v>
      </c>
      <c r="K77">
        <v>1</v>
      </c>
      <c r="L77">
        <v>2</v>
      </c>
      <c r="M77" s="113" t="s">
        <v>311</v>
      </c>
      <c r="N77" s="146">
        <v>4521261488</v>
      </c>
      <c r="O77" s="2" t="s">
        <v>178</v>
      </c>
      <c r="Q77" s="2" t="s">
        <v>21</v>
      </c>
      <c r="R77" s="154">
        <v>9180</v>
      </c>
      <c r="S77" s="2" t="s">
        <v>38</v>
      </c>
      <c r="T77">
        <v>2021.24</v>
      </c>
    </row>
    <row r="78" spans="1:20" x14ac:dyDescent="0.35">
      <c r="A78" s="2">
        <v>67</v>
      </c>
      <c r="B78" t="s">
        <v>309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251</v>
      </c>
      <c r="I78" s="2" t="s">
        <v>155</v>
      </c>
      <c r="K78">
        <v>1</v>
      </c>
      <c r="L78">
        <v>2</v>
      </c>
      <c r="M78" s="113"/>
      <c r="Q78" s="2" t="s">
        <v>21</v>
      </c>
      <c r="R78" s="154">
        <v>5750</v>
      </c>
      <c r="S78" s="2" t="s">
        <v>20</v>
      </c>
    </row>
    <row r="79" spans="1:20" x14ac:dyDescent="0.35">
      <c r="A79" s="2">
        <v>68</v>
      </c>
      <c r="B79" t="s">
        <v>314</v>
      </c>
      <c r="C79" s="22">
        <v>46143</v>
      </c>
      <c r="D79" s="22">
        <v>46145</v>
      </c>
      <c r="E79" s="22">
        <v>46055</v>
      </c>
      <c r="F79" t="s">
        <v>52</v>
      </c>
      <c r="G79" t="s">
        <v>35</v>
      </c>
      <c r="H79" s="1" t="s">
        <v>439</v>
      </c>
      <c r="I79" s="2" t="s">
        <v>158</v>
      </c>
      <c r="K79">
        <v>1</v>
      </c>
      <c r="L79">
        <v>1</v>
      </c>
      <c r="N79" s="147">
        <v>4541102606</v>
      </c>
      <c r="P79" s="2" t="s">
        <v>21</v>
      </c>
      <c r="Q79" s="2" t="s">
        <v>20</v>
      </c>
      <c r="R79" s="154">
        <v>1700</v>
      </c>
      <c r="S79" s="2" t="s">
        <v>20</v>
      </c>
    </row>
    <row r="80" spans="1:20" x14ac:dyDescent="0.35">
      <c r="A80" s="2">
        <v>69</v>
      </c>
      <c r="B80" t="s">
        <v>313</v>
      </c>
      <c r="C80" s="22">
        <v>46212</v>
      </c>
      <c r="D80" s="22">
        <v>46215</v>
      </c>
      <c r="E80" s="22">
        <v>46055</v>
      </c>
      <c r="F80" t="s">
        <v>52</v>
      </c>
      <c r="G80" t="s">
        <v>35</v>
      </c>
      <c r="K80">
        <v>1</v>
      </c>
      <c r="L80">
        <v>2</v>
      </c>
      <c r="Q80" s="2" t="s">
        <v>20</v>
      </c>
      <c r="R80" s="154">
        <v>3225</v>
      </c>
      <c r="S80" s="2" t="s">
        <v>20</v>
      </c>
    </row>
    <row r="81" spans="1:20" x14ac:dyDescent="0.35">
      <c r="A81" s="2">
        <v>70</v>
      </c>
      <c r="B81" t="s">
        <v>321</v>
      </c>
      <c r="C81" s="22">
        <v>46188</v>
      </c>
      <c r="D81" s="22">
        <v>46193</v>
      </c>
      <c r="E81" s="22">
        <v>46056</v>
      </c>
      <c r="F81" t="s">
        <v>52</v>
      </c>
      <c r="G81" t="s">
        <v>6</v>
      </c>
      <c r="K81">
        <v>1</v>
      </c>
      <c r="L81">
        <v>2</v>
      </c>
      <c r="M81" s="113" t="s">
        <v>322</v>
      </c>
      <c r="N81" s="146">
        <v>4561793423</v>
      </c>
      <c r="Q81" s="2" t="s">
        <v>21</v>
      </c>
      <c r="R81" s="154">
        <v>5175</v>
      </c>
      <c r="S81" s="2" t="s">
        <v>21</v>
      </c>
      <c r="T81" t="s">
        <v>323</v>
      </c>
    </row>
    <row r="82" spans="1:20" x14ac:dyDescent="0.35">
      <c r="A82" s="2">
        <v>71</v>
      </c>
      <c r="B82" t="s">
        <v>324</v>
      </c>
      <c r="C82" s="22">
        <v>46260</v>
      </c>
      <c r="D82" s="22">
        <v>46264</v>
      </c>
      <c r="E82" s="22">
        <v>46057</v>
      </c>
      <c r="F82" t="s">
        <v>31</v>
      </c>
      <c r="G82" t="s">
        <v>263</v>
      </c>
      <c r="I82" s="2" t="s">
        <v>158</v>
      </c>
    </row>
    <row r="83" spans="1:20" x14ac:dyDescent="0.35">
      <c r="A83" s="2">
        <v>72</v>
      </c>
      <c r="B83" t="s">
        <v>318</v>
      </c>
      <c r="C83" s="22">
        <v>46145</v>
      </c>
      <c r="D83" s="22">
        <v>46152</v>
      </c>
      <c r="E83" s="22">
        <v>46060</v>
      </c>
      <c r="F83" t="s">
        <v>52</v>
      </c>
      <c r="G83" t="s">
        <v>35</v>
      </c>
      <c r="H83" s="1" t="s">
        <v>435</v>
      </c>
      <c r="I83" s="2" t="s">
        <v>158</v>
      </c>
      <c r="K83">
        <v>1</v>
      </c>
      <c r="L83">
        <v>2</v>
      </c>
      <c r="M83" s="155" t="s">
        <v>319</v>
      </c>
      <c r="N83" s="146">
        <v>4527139833</v>
      </c>
      <c r="Q83" s="2" t="s">
        <v>21</v>
      </c>
      <c r="R83" s="154">
        <v>8050</v>
      </c>
      <c r="S83" s="2" t="s">
        <v>21</v>
      </c>
      <c r="T83" t="s">
        <v>320</v>
      </c>
    </row>
    <row r="84" spans="1:20" x14ac:dyDescent="0.35">
      <c r="A84" s="2">
        <v>73</v>
      </c>
      <c r="B84" t="s">
        <v>317</v>
      </c>
      <c r="C84" s="22">
        <v>46143</v>
      </c>
      <c r="D84" s="22">
        <v>46145</v>
      </c>
      <c r="E84" s="22">
        <v>46061</v>
      </c>
      <c r="F84" t="s">
        <v>52</v>
      </c>
      <c r="G84" t="s">
        <v>263</v>
      </c>
    </row>
    <row r="85" spans="1:20" x14ac:dyDescent="0.35">
      <c r="A85" s="2">
        <v>74</v>
      </c>
      <c r="B85" t="s">
        <v>327</v>
      </c>
      <c r="C85" s="22">
        <v>46236</v>
      </c>
      <c r="D85" s="22">
        <v>46240</v>
      </c>
      <c r="E85" s="22">
        <v>46063</v>
      </c>
      <c r="F85" t="s">
        <v>52</v>
      </c>
      <c r="G85" t="s">
        <v>6</v>
      </c>
      <c r="J85" s="199">
        <v>0.1</v>
      </c>
      <c r="K85">
        <v>2</v>
      </c>
      <c r="L85">
        <v>3</v>
      </c>
      <c r="M85" s="113" t="s">
        <v>328</v>
      </c>
      <c r="Q85" s="2" t="s">
        <v>21</v>
      </c>
      <c r="R85" s="154">
        <v>8460</v>
      </c>
      <c r="S85" s="2" t="s">
        <v>21</v>
      </c>
      <c r="T85" t="s">
        <v>329</v>
      </c>
    </row>
    <row r="86" spans="1:20" x14ac:dyDescent="0.35">
      <c r="A86" s="2">
        <v>74</v>
      </c>
      <c r="M86" s="113"/>
      <c r="R86" s="154"/>
    </row>
    <row r="87" spans="1:20" x14ac:dyDescent="0.35">
      <c r="A87" s="2">
        <v>75</v>
      </c>
      <c r="B87" t="s">
        <v>326</v>
      </c>
      <c r="C87" s="22">
        <v>46276</v>
      </c>
      <c r="D87" s="22">
        <v>46279</v>
      </c>
      <c r="E87" s="22">
        <v>46067</v>
      </c>
      <c r="F87" t="s">
        <v>52</v>
      </c>
      <c r="G87" t="s">
        <v>263</v>
      </c>
      <c r="R87" s="154"/>
    </row>
    <row r="88" spans="1:20" x14ac:dyDescent="0.35">
      <c r="A88" s="2">
        <v>76</v>
      </c>
      <c r="B88" t="s">
        <v>325</v>
      </c>
      <c r="C88" s="22">
        <v>46202</v>
      </c>
      <c r="D88" s="22">
        <v>46206</v>
      </c>
      <c r="E88" s="22">
        <v>46068</v>
      </c>
      <c r="F88" t="s">
        <v>52</v>
      </c>
      <c r="G88" t="s">
        <v>35</v>
      </c>
      <c r="I88" s="2" t="s">
        <v>158</v>
      </c>
      <c r="K88">
        <v>1</v>
      </c>
      <c r="L88">
        <v>2</v>
      </c>
      <c r="Q88" s="2" t="s">
        <v>21</v>
      </c>
      <c r="R88" s="154">
        <v>5100</v>
      </c>
      <c r="S88" s="2" t="s">
        <v>20</v>
      </c>
    </row>
    <row r="89" spans="1:20" x14ac:dyDescent="0.35">
      <c r="A89" s="2">
        <v>77</v>
      </c>
      <c r="B89" t="s">
        <v>330</v>
      </c>
      <c r="C89" s="22">
        <v>46200</v>
      </c>
      <c r="D89" s="22">
        <v>46207</v>
      </c>
      <c r="E89" s="22">
        <v>46069</v>
      </c>
      <c r="F89" t="s">
        <v>52</v>
      </c>
      <c r="G89" t="s">
        <v>6</v>
      </c>
      <c r="K89">
        <v>1</v>
      </c>
      <c r="L89">
        <v>2</v>
      </c>
      <c r="M89" s="155" t="s">
        <v>331</v>
      </c>
      <c r="N89" s="146">
        <v>4525240507</v>
      </c>
      <c r="Q89" s="2" t="s">
        <v>21</v>
      </c>
      <c r="R89" s="183">
        <v>8032.5</v>
      </c>
      <c r="S89" s="2" t="s">
        <v>21</v>
      </c>
      <c r="T89" t="s">
        <v>332</v>
      </c>
    </row>
    <row r="90" spans="1:20" x14ac:dyDescent="0.35">
      <c r="A90" s="2">
        <v>78</v>
      </c>
      <c r="B90" t="s">
        <v>340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155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5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52</v>
      </c>
      <c r="G91" t="s">
        <v>6</v>
      </c>
      <c r="J91" s="199">
        <v>0.1</v>
      </c>
      <c r="K91">
        <v>1</v>
      </c>
      <c r="L91">
        <v>2</v>
      </c>
      <c r="M91" s="113" t="s">
        <v>338</v>
      </c>
      <c r="N91" s="146">
        <v>4520646004</v>
      </c>
      <c r="Q91" s="2" t="s">
        <v>21</v>
      </c>
      <c r="R91" s="154">
        <v>5175</v>
      </c>
      <c r="S91" s="2" t="s">
        <v>38</v>
      </c>
      <c r="T91" t="s">
        <v>339</v>
      </c>
    </row>
    <row r="92" spans="1:20" x14ac:dyDescent="0.35">
      <c r="A92" s="2">
        <v>80</v>
      </c>
      <c r="B92" t="s">
        <v>335</v>
      </c>
      <c r="C92" s="22">
        <v>46149</v>
      </c>
      <c r="D92" s="22">
        <v>46152</v>
      </c>
      <c r="E92" s="22">
        <v>46074</v>
      </c>
      <c r="F92" t="s">
        <v>52</v>
      </c>
      <c r="G92" t="s">
        <v>6</v>
      </c>
      <c r="I92" s="2" t="s">
        <v>26</v>
      </c>
      <c r="J92" s="199">
        <v>0.1</v>
      </c>
      <c r="K92">
        <v>2</v>
      </c>
      <c r="L92">
        <v>4</v>
      </c>
      <c r="M92" s="113" t="s">
        <v>336</v>
      </c>
      <c r="N92" s="146">
        <v>4520143818</v>
      </c>
      <c r="Q92" s="2" t="s">
        <v>21</v>
      </c>
      <c r="R92" s="122">
        <v>10350</v>
      </c>
      <c r="S92" s="2" t="s">
        <v>21</v>
      </c>
      <c r="T92" t="s">
        <v>337</v>
      </c>
    </row>
    <row r="93" spans="1:20" x14ac:dyDescent="0.35">
      <c r="A93" s="2">
        <v>80</v>
      </c>
      <c r="M93" s="113"/>
      <c r="N93" s="146"/>
    </row>
    <row r="94" spans="1:20" x14ac:dyDescent="0.35">
      <c r="A94" s="2">
        <v>81</v>
      </c>
      <c r="B94" t="s">
        <v>341</v>
      </c>
      <c r="C94" s="22">
        <v>46218</v>
      </c>
      <c r="D94" s="22">
        <v>46221</v>
      </c>
      <c r="E94" s="22">
        <v>46074</v>
      </c>
      <c r="F94" t="s">
        <v>52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5">
      <c r="A95" s="2">
        <v>82</v>
      </c>
      <c r="B95" s="179" t="s">
        <v>342</v>
      </c>
      <c r="C95" s="22">
        <v>46143</v>
      </c>
      <c r="D95" s="22">
        <v>46145</v>
      </c>
      <c r="E95" s="22">
        <v>46075</v>
      </c>
      <c r="F95" t="s">
        <v>52</v>
      </c>
      <c r="G95" t="s">
        <v>263</v>
      </c>
      <c r="R95" s="154"/>
    </row>
    <row r="96" spans="1:20" x14ac:dyDescent="0.35">
      <c r="A96" s="2">
        <v>83</v>
      </c>
      <c r="B96" s="182" t="s">
        <v>343</v>
      </c>
      <c r="C96" s="22">
        <v>46187</v>
      </c>
      <c r="D96" s="22">
        <v>46191</v>
      </c>
      <c r="E96" s="22">
        <v>46077</v>
      </c>
      <c r="F96" t="s">
        <v>52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5">
      <c r="A97" s="2">
        <v>84</v>
      </c>
      <c r="B97" s="179" t="s">
        <v>355</v>
      </c>
      <c r="C97" s="22">
        <v>46212</v>
      </c>
      <c r="D97" s="22">
        <v>46216</v>
      </c>
      <c r="E97" s="22">
        <v>46079</v>
      </c>
      <c r="F97" t="s">
        <v>52</v>
      </c>
      <c r="G97" t="s">
        <v>6</v>
      </c>
      <c r="J97" s="199">
        <v>0.1</v>
      </c>
      <c r="K97">
        <v>1</v>
      </c>
      <c r="L97">
        <v>2</v>
      </c>
      <c r="M97" s="155" t="s">
        <v>356</v>
      </c>
      <c r="N97" s="146">
        <v>4526251564</v>
      </c>
      <c r="O97" s="2" t="s">
        <v>357</v>
      </c>
      <c r="Q97" s="2" t="s">
        <v>20</v>
      </c>
      <c r="R97" s="154">
        <v>3870</v>
      </c>
    </row>
    <row r="98" spans="1:20" x14ac:dyDescent="0.35">
      <c r="A98" s="2">
        <v>85</v>
      </c>
      <c r="B98" t="s">
        <v>354</v>
      </c>
      <c r="C98" s="22">
        <v>46143</v>
      </c>
      <c r="D98" s="22">
        <v>46145</v>
      </c>
      <c r="E98" s="22">
        <v>46081</v>
      </c>
      <c r="F98" t="s">
        <v>52</v>
      </c>
      <c r="G98" t="s">
        <v>35</v>
      </c>
      <c r="H98" s="1" t="s">
        <v>251</v>
      </c>
      <c r="I98" s="2" t="s">
        <v>158</v>
      </c>
      <c r="K98">
        <v>1</v>
      </c>
      <c r="L98">
        <v>1</v>
      </c>
      <c r="N98" s="147">
        <v>4552167714</v>
      </c>
      <c r="Q98" s="2" t="s">
        <v>20</v>
      </c>
      <c r="R98" s="122">
        <v>1700</v>
      </c>
      <c r="S98" s="2" t="s">
        <v>20</v>
      </c>
    </row>
    <row r="99" spans="1:20" x14ac:dyDescent="0.35">
      <c r="A99" s="2">
        <v>86</v>
      </c>
      <c r="B99" t="s">
        <v>351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199">
        <v>0.1</v>
      </c>
      <c r="K99">
        <v>1</v>
      </c>
      <c r="L99">
        <v>2</v>
      </c>
      <c r="M99" s="113" t="s">
        <v>352</v>
      </c>
      <c r="O99" s="2" t="s">
        <v>353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5">
      <c r="A100" s="2">
        <v>87</v>
      </c>
      <c r="B100" t="s">
        <v>358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5">
      <c r="A101" s="2">
        <v>88</v>
      </c>
      <c r="B101" t="s">
        <v>365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263</v>
      </c>
    </row>
    <row r="102" spans="1:20" x14ac:dyDescent="0.35">
      <c r="A102" s="2">
        <v>89</v>
      </c>
      <c r="B102" t="s">
        <v>361</v>
      </c>
      <c r="C102" s="22">
        <v>46276</v>
      </c>
      <c r="D102" s="22">
        <v>46278</v>
      </c>
      <c r="E102" s="22">
        <v>46091</v>
      </c>
      <c r="F102" t="s">
        <v>52</v>
      </c>
      <c r="G102" t="s">
        <v>6</v>
      </c>
      <c r="I102" s="2" t="s">
        <v>158</v>
      </c>
      <c r="J102" s="199">
        <v>0.05</v>
      </c>
      <c r="K102">
        <v>2</v>
      </c>
      <c r="L102">
        <v>3</v>
      </c>
      <c r="M102" s="113" t="s">
        <v>362</v>
      </c>
      <c r="N102">
        <v>4540528447</v>
      </c>
      <c r="O102"/>
      <c r="P102" s="2" t="s">
        <v>364</v>
      </c>
      <c r="Q102" s="2" t="s">
        <v>21</v>
      </c>
      <c r="R102" s="122">
        <f>2185+1805</f>
        <v>3990</v>
      </c>
      <c r="S102" s="2" t="s">
        <v>20</v>
      </c>
      <c r="T102" t="s">
        <v>363</v>
      </c>
    </row>
    <row r="103" spans="1:20" x14ac:dyDescent="0.35">
      <c r="M103" s="113"/>
      <c r="N103"/>
      <c r="O103"/>
    </row>
    <row r="104" spans="1:20" x14ac:dyDescent="0.35">
      <c r="A104" s="2">
        <v>90</v>
      </c>
      <c r="B104" t="s">
        <v>359</v>
      </c>
      <c r="C104" s="22">
        <v>46156</v>
      </c>
      <c r="D104" s="22">
        <v>46159</v>
      </c>
      <c r="E104" s="22">
        <v>46091</v>
      </c>
      <c r="F104" t="s">
        <v>53</v>
      </c>
      <c r="G104" t="s">
        <v>35</v>
      </c>
      <c r="H104" s="1" t="s">
        <v>360</v>
      </c>
      <c r="I104" s="2" t="s">
        <v>155</v>
      </c>
      <c r="J104" s="199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5">
      <c r="A105" s="2">
        <v>91</v>
      </c>
      <c r="B105" t="s">
        <v>366</v>
      </c>
      <c r="C105" s="22">
        <v>46157</v>
      </c>
      <c r="D105" s="22">
        <v>46159</v>
      </c>
      <c r="E105" s="22">
        <v>46095</v>
      </c>
      <c r="F105" t="s">
        <v>52</v>
      </c>
      <c r="G105" t="s">
        <v>6</v>
      </c>
      <c r="J105" s="199">
        <v>0.05</v>
      </c>
      <c r="K105">
        <v>1</v>
      </c>
      <c r="L105">
        <v>2</v>
      </c>
      <c r="N105"/>
      <c r="O105" t="s">
        <v>493</v>
      </c>
      <c r="P105" s="2" t="s">
        <v>20</v>
      </c>
      <c r="Q105" s="2" t="s">
        <v>21</v>
      </c>
      <c r="R105" s="193">
        <v>2185</v>
      </c>
      <c r="S105" s="2" t="s">
        <v>20</v>
      </c>
    </row>
    <row r="106" spans="1:20" x14ac:dyDescent="0.35">
      <c r="A106" s="2">
        <v>92</v>
      </c>
      <c r="B106" t="s">
        <v>367</v>
      </c>
      <c r="C106" s="22">
        <v>46241</v>
      </c>
      <c r="D106" s="22">
        <v>46246</v>
      </c>
      <c r="E106" s="22">
        <v>46095</v>
      </c>
      <c r="F106" t="s">
        <v>52</v>
      </c>
      <c r="G106" t="s">
        <v>6</v>
      </c>
      <c r="H106" s="1" t="s">
        <v>368</v>
      </c>
      <c r="I106" s="2" t="s">
        <v>158</v>
      </c>
      <c r="J106" s="199">
        <v>0.1</v>
      </c>
      <c r="K106">
        <v>1</v>
      </c>
      <c r="L106">
        <v>2</v>
      </c>
      <c r="M106" s="113" t="s">
        <v>369</v>
      </c>
      <c r="N106"/>
      <c r="O106" t="s">
        <v>370</v>
      </c>
      <c r="P106" s="2" t="s">
        <v>20</v>
      </c>
      <c r="Q106" s="2" t="s">
        <v>20</v>
      </c>
      <c r="R106" s="193">
        <v>4837.5</v>
      </c>
      <c r="S106" s="2" t="s">
        <v>38</v>
      </c>
      <c r="T106" t="s">
        <v>371</v>
      </c>
    </row>
    <row r="107" spans="1:20" x14ac:dyDescent="0.35">
      <c r="A107" s="2">
        <v>93</v>
      </c>
      <c r="B107" t="s">
        <v>372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373</v>
      </c>
      <c r="I107" s="2" t="s">
        <v>158</v>
      </c>
      <c r="J107" s="199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3">
        <v>2850</v>
      </c>
      <c r="S107" s="2" t="s">
        <v>20</v>
      </c>
    </row>
    <row r="108" spans="1:20" x14ac:dyDescent="0.35">
      <c r="A108" s="2">
        <v>94</v>
      </c>
      <c r="B108" t="s">
        <v>374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199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5">
      <c r="A109" s="2">
        <v>95</v>
      </c>
      <c r="B109" t="s">
        <v>375</v>
      </c>
      <c r="C109" s="22">
        <v>46156</v>
      </c>
      <c r="D109" s="22">
        <v>46159</v>
      </c>
      <c r="E109" s="22">
        <v>46098</v>
      </c>
      <c r="F109" t="s">
        <v>53</v>
      </c>
      <c r="G109" t="s">
        <v>35</v>
      </c>
      <c r="J109" s="199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5">
      <c r="A110" s="2">
        <v>96</v>
      </c>
      <c r="B110" t="s">
        <v>376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377</v>
      </c>
      <c r="I110" s="2" t="s">
        <v>155</v>
      </c>
      <c r="J110" s="199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5">
      <c r="A111" s="2">
        <v>97</v>
      </c>
      <c r="B111" t="s">
        <v>378</v>
      </c>
      <c r="C111" s="22">
        <v>46156</v>
      </c>
      <c r="D111" s="22">
        <v>46159</v>
      </c>
      <c r="E111" s="22">
        <v>46102</v>
      </c>
      <c r="F111" t="s">
        <v>52</v>
      </c>
      <c r="G111" t="s">
        <v>35</v>
      </c>
      <c r="H111" s="1">
        <v>1300</v>
      </c>
      <c r="I111" s="2" t="s">
        <v>155</v>
      </c>
      <c r="J111" s="199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5">
      <c r="A112" s="2">
        <v>98</v>
      </c>
      <c r="B112" t="s">
        <v>379</v>
      </c>
      <c r="C112" s="22">
        <v>46207</v>
      </c>
      <c r="D112" s="22">
        <v>46210</v>
      </c>
      <c r="E112" s="22">
        <v>46103</v>
      </c>
      <c r="F112" t="s">
        <v>52</v>
      </c>
      <c r="G112" t="s">
        <v>263</v>
      </c>
      <c r="J112" s="199">
        <v>0</v>
      </c>
      <c r="N112"/>
      <c r="O112"/>
    </row>
    <row r="113" spans="1:20" x14ac:dyDescent="0.35">
      <c r="A113" s="2">
        <v>99</v>
      </c>
      <c r="B113" t="s">
        <v>380</v>
      </c>
      <c r="C113" s="22">
        <v>46171</v>
      </c>
      <c r="D113" s="22">
        <v>46173</v>
      </c>
      <c r="E113" s="22">
        <v>46104</v>
      </c>
      <c r="F113" t="s">
        <v>52</v>
      </c>
      <c r="G113" t="s">
        <v>263</v>
      </c>
      <c r="M113" s="113" t="s">
        <v>381</v>
      </c>
      <c r="N113" t="s">
        <v>382</v>
      </c>
      <c r="O113" t="s">
        <v>383</v>
      </c>
    </row>
    <row r="114" spans="1:20" x14ac:dyDescent="0.35">
      <c r="A114" s="2">
        <v>100</v>
      </c>
      <c r="B114" t="s">
        <v>384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155</v>
      </c>
      <c r="J114" s="199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5">
      <c r="A115" s="2">
        <v>101</v>
      </c>
      <c r="B115" t="s">
        <v>385</v>
      </c>
      <c r="C115" s="22">
        <v>46279</v>
      </c>
      <c r="D115" s="22">
        <v>46281</v>
      </c>
      <c r="E115" s="22">
        <v>46104</v>
      </c>
      <c r="F115" t="s">
        <v>52</v>
      </c>
      <c r="G115" t="s">
        <v>35</v>
      </c>
      <c r="H115" s="1" t="s">
        <v>494</v>
      </c>
      <c r="I115" s="2" t="s">
        <v>158</v>
      </c>
      <c r="J115" s="199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5">
      <c r="A116" s="2">
        <v>102</v>
      </c>
      <c r="B116" t="s">
        <v>386</v>
      </c>
      <c r="C116" s="22">
        <v>46172</v>
      </c>
      <c r="D116" s="22">
        <v>46174</v>
      </c>
      <c r="E116" s="22">
        <v>46106</v>
      </c>
      <c r="F116" t="s">
        <v>52</v>
      </c>
      <c r="G116" t="s">
        <v>263</v>
      </c>
      <c r="N116"/>
      <c r="O116"/>
    </row>
    <row r="117" spans="1:20" x14ac:dyDescent="0.35">
      <c r="A117" s="2">
        <v>103</v>
      </c>
      <c r="B117" t="s">
        <v>387</v>
      </c>
      <c r="C117" s="22">
        <v>46277</v>
      </c>
      <c r="D117" s="22">
        <v>46284</v>
      </c>
      <c r="E117" s="22">
        <v>46107</v>
      </c>
      <c r="F117" t="s">
        <v>52</v>
      </c>
      <c r="G117" t="s">
        <v>6</v>
      </c>
      <c r="I117" s="2" t="s">
        <v>158</v>
      </c>
      <c r="J117" s="199">
        <v>0.1</v>
      </c>
      <c r="K117">
        <v>1</v>
      </c>
      <c r="L117">
        <v>2</v>
      </c>
      <c r="M117" s="113" t="s">
        <v>388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5">
      <c r="A118" s="2">
        <v>104</v>
      </c>
      <c r="B118" t="s">
        <v>389</v>
      </c>
      <c r="C118" s="22">
        <v>46204</v>
      </c>
      <c r="D118" s="22">
        <v>46207</v>
      </c>
      <c r="E118" s="22">
        <v>46107</v>
      </c>
      <c r="F118" t="s">
        <v>52</v>
      </c>
      <c r="G118" t="s">
        <v>35</v>
      </c>
      <c r="J118" s="199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5">
      <c r="A119" s="2">
        <v>105</v>
      </c>
      <c r="B119" t="s">
        <v>395</v>
      </c>
      <c r="C119" s="194">
        <v>46260</v>
      </c>
      <c r="D119" s="194">
        <v>46264</v>
      </c>
      <c r="E119" s="194">
        <v>46108</v>
      </c>
      <c r="F119" t="s">
        <v>52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5">
      <c r="A120" s="2">
        <v>106</v>
      </c>
      <c r="B120" t="s">
        <v>394</v>
      </c>
      <c r="C120" s="194">
        <v>46207</v>
      </c>
      <c r="D120" s="194">
        <v>46210</v>
      </c>
      <c r="E120" s="194">
        <v>46109</v>
      </c>
      <c r="F120" t="s">
        <v>52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5">
      <c r="A121" s="2">
        <v>107</v>
      </c>
      <c r="B121" t="s">
        <v>391</v>
      </c>
      <c r="C121" s="194">
        <v>46160</v>
      </c>
      <c r="D121" s="194">
        <v>46164</v>
      </c>
      <c r="E121" s="194">
        <v>46109</v>
      </c>
      <c r="F121" t="s">
        <v>392</v>
      </c>
      <c r="G121" t="s">
        <v>6</v>
      </c>
      <c r="H121" s="1">
        <v>1500</v>
      </c>
      <c r="J121" s="199">
        <v>0.05</v>
      </c>
      <c r="K121">
        <v>1</v>
      </c>
      <c r="L121">
        <v>2</v>
      </c>
      <c r="M121" t="s">
        <v>393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108</v>
      </c>
      <c r="B122" t="s">
        <v>428</v>
      </c>
      <c r="C122" s="194">
        <v>46159</v>
      </c>
      <c r="D122" s="194">
        <v>46163</v>
      </c>
      <c r="E122" s="194">
        <v>46118</v>
      </c>
      <c r="F122" t="s">
        <v>52</v>
      </c>
      <c r="G122" t="s">
        <v>6</v>
      </c>
      <c r="J122" s="207">
        <v>0.05</v>
      </c>
      <c r="K122">
        <v>1</v>
      </c>
      <c r="L122">
        <v>2</v>
      </c>
      <c r="M122" t="s">
        <v>429</v>
      </c>
      <c r="N122">
        <v>4520241122</v>
      </c>
      <c r="O122" t="s">
        <v>430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5">
      <c r="A123" s="2">
        <v>109</v>
      </c>
      <c r="B123" t="s">
        <v>432</v>
      </c>
      <c r="C123" s="194">
        <v>46192</v>
      </c>
      <c r="D123" s="194">
        <v>46195</v>
      </c>
      <c r="E123" s="194">
        <v>46115</v>
      </c>
      <c r="F123" t="s">
        <v>31</v>
      </c>
      <c r="G123" t="s">
        <v>35</v>
      </c>
      <c r="I123" s="2" t="s">
        <v>158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5">
      <c r="A124" s="2">
        <v>110</v>
      </c>
      <c r="B124" t="s">
        <v>433</v>
      </c>
      <c r="C124" s="194">
        <v>46143</v>
      </c>
      <c r="D124" s="194">
        <v>46145</v>
      </c>
      <c r="E124" s="194">
        <v>46117</v>
      </c>
      <c r="F124" t="s">
        <v>455</v>
      </c>
      <c r="G124" t="s">
        <v>35</v>
      </c>
      <c r="I124" s="2" t="s">
        <v>155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5">
      <c r="A125" s="2">
        <v>111</v>
      </c>
      <c r="B125" t="s">
        <v>440</v>
      </c>
      <c r="C125" s="194">
        <v>46178</v>
      </c>
      <c r="D125" s="194">
        <v>46181</v>
      </c>
      <c r="E125" s="194">
        <v>46120</v>
      </c>
      <c r="F125" t="s">
        <v>52</v>
      </c>
      <c r="G125" t="s">
        <v>263</v>
      </c>
      <c r="J125">
        <v>0</v>
      </c>
      <c r="N125"/>
      <c r="O125"/>
      <c r="P125"/>
      <c r="Q125"/>
      <c r="R125"/>
      <c r="S125"/>
    </row>
    <row r="126" spans="1:20" x14ac:dyDescent="0.35">
      <c r="A126" s="2">
        <v>112</v>
      </c>
      <c r="B126" t="s">
        <v>441</v>
      </c>
      <c r="C126" s="194">
        <v>46195</v>
      </c>
      <c r="D126" s="194">
        <v>46199</v>
      </c>
      <c r="E126" s="194">
        <v>46121</v>
      </c>
      <c r="F126" t="s">
        <v>52</v>
      </c>
      <c r="G126" t="s">
        <v>263</v>
      </c>
      <c r="J126"/>
      <c r="N126"/>
      <c r="O126"/>
    </row>
    <row r="127" spans="1:20" x14ac:dyDescent="0.35">
      <c r="A127" s="2">
        <v>113</v>
      </c>
      <c r="B127" t="s">
        <v>443</v>
      </c>
      <c r="C127" s="194">
        <v>46269</v>
      </c>
      <c r="D127" s="194">
        <v>46271</v>
      </c>
      <c r="E127" s="194">
        <v>46122</v>
      </c>
      <c r="F127" t="s">
        <v>52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5">
      <c r="A128" s="2">
        <v>114</v>
      </c>
      <c r="B128" t="s">
        <v>444</v>
      </c>
      <c r="C128" s="194">
        <v>46243</v>
      </c>
      <c r="D128" s="194">
        <v>46246</v>
      </c>
      <c r="E128" s="194">
        <v>46125</v>
      </c>
      <c r="F128" t="s">
        <v>52</v>
      </c>
      <c r="G128" t="s">
        <v>6</v>
      </c>
      <c r="J128" s="207">
        <v>0.1</v>
      </c>
      <c r="K128">
        <v>1</v>
      </c>
      <c r="L128">
        <v>2</v>
      </c>
      <c r="N128" t="s">
        <v>445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446</v>
      </c>
    </row>
    <row r="129" spans="1:20" x14ac:dyDescent="0.35">
      <c r="A129" s="2">
        <v>115</v>
      </c>
      <c r="B129" t="s">
        <v>447</v>
      </c>
      <c r="C129" s="194">
        <v>46233</v>
      </c>
      <c r="D129" s="194">
        <v>46236</v>
      </c>
      <c r="E129" s="194">
        <v>46125</v>
      </c>
      <c r="F129" t="s">
        <v>52</v>
      </c>
      <c r="G129" t="s">
        <v>6</v>
      </c>
      <c r="J129" s="207">
        <v>0.1</v>
      </c>
      <c r="K129">
        <v>1</v>
      </c>
      <c r="L129">
        <v>2</v>
      </c>
      <c r="M129" t="s">
        <v>448</v>
      </c>
      <c r="N129"/>
      <c r="O129"/>
      <c r="P129" s="2" t="s">
        <v>20</v>
      </c>
      <c r="Q129" s="2" t="s">
        <v>21</v>
      </c>
      <c r="R129" s="122">
        <v>3442.5</v>
      </c>
      <c r="S129" s="2" t="s">
        <v>449</v>
      </c>
    </row>
    <row r="130" spans="1:20" x14ac:dyDescent="0.35">
      <c r="A130" s="2">
        <v>116</v>
      </c>
      <c r="B130" t="s">
        <v>452</v>
      </c>
      <c r="C130" s="22">
        <v>46177</v>
      </c>
      <c r="D130" s="22">
        <v>46180</v>
      </c>
      <c r="E130" s="22">
        <v>46126</v>
      </c>
      <c r="F130" t="s">
        <v>52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5">
      <c r="A131" s="2">
        <v>117</v>
      </c>
      <c r="B131" t="s">
        <v>450</v>
      </c>
      <c r="C131" s="22">
        <v>46173</v>
      </c>
      <c r="D131" s="22">
        <v>46178</v>
      </c>
      <c r="E131" s="22">
        <v>46130</v>
      </c>
      <c r="F131" t="s">
        <v>52</v>
      </c>
      <c r="G131" t="s">
        <v>35</v>
      </c>
      <c r="H131" s="1" t="s">
        <v>451</v>
      </c>
      <c r="I131" s="2" t="s">
        <v>155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5">
      <c r="A132" s="2">
        <v>118</v>
      </c>
      <c r="B132" t="s">
        <v>453</v>
      </c>
      <c r="C132" s="194">
        <v>46272</v>
      </c>
      <c r="D132" s="194">
        <v>46275</v>
      </c>
      <c r="E132" s="194">
        <v>46132</v>
      </c>
      <c r="F132" t="s">
        <v>52</v>
      </c>
      <c r="G132" t="s">
        <v>35</v>
      </c>
      <c r="H132" s="1" t="s">
        <v>439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5">
      <c r="A133" s="2">
        <v>119</v>
      </c>
      <c r="B133" t="s">
        <v>454</v>
      </c>
      <c r="C133" s="194">
        <v>46179</v>
      </c>
      <c r="D133" s="194">
        <v>46182</v>
      </c>
      <c r="E133" s="194">
        <v>46135</v>
      </c>
      <c r="F133" t="s">
        <v>455</v>
      </c>
      <c r="G133" t="s">
        <v>263</v>
      </c>
      <c r="J133"/>
      <c r="N133"/>
      <c r="O133"/>
    </row>
    <row r="134" spans="1:20" x14ac:dyDescent="0.35">
      <c r="A134" s="2">
        <v>120</v>
      </c>
      <c r="B134" t="s">
        <v>458</v>
      </c>
      <c r="C134" s="194">
        <v>46257</v>
      </c>
      <c r="D134" s="194">
        <v>46260</v>
      </c>
      <c r="E134" s="194">
        <v>46137</v>
      </c>
      <c r="F134" t="s">
        <v>52</v>
      </c>
      <c r="G134" t="s">
        <v>6</v>
      </c>
      <c r="I134" s="2" t="s">
        <v>295</v>
      </c>
      <c r="J134" s="207">
        <v>0.1</v>
      </c>
      <c r="K134">
        <v>1</v>
      </c>
      <c r="L134">
        <v>2</v>
      </c>
      <c r="M134" t="s">
        <v>459</v>
      </c>
      <c r="N134" t="s">
        <v>460</v>
      </c>
      <c r="O134" t="s">
        <v>461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462</v>
      </c>
    </row>
    <row r="135" spans="1:20" x14ac:dyDescent="0.35">
      <c r="A135" s="2">
        <v>121</v>
      </c>
      <c r="B135" t="s">
        <v>463</v>
      </c>
      <c r="C135" s="194">
        <v>46247</v>
      </c>
      <c r="D135" s="194">
        <v>46250</v>
      </c>
      <c r="E135" s="194">
        <v>46137</v>
      </c>
      <c r="F135" t="s">
        <v>52</v>
      </c>
      <c r="G135" t="s">
        <v>6</v>
      </c>
      <c r="J135" s="207">
        <v>0.05</v>
      </c>
      <c r="K135">
        <v>1</v>
      </c>
      <c r="L135">
        <v>2</v>
      </c>
      <c r="M135" t="s">
        <v>464</v>
      </c>
      <c r="N135" t="s">
        <v>465</v>
      </c>
      <c r="O135" t="s">
        <v>466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467</v>
      </c>
    </row>
    <row r="136" spans="1:20" x14ac:dyDescent="0.35">
      <c r="A136" s="2">
        <v>122</v>
      </c>
      <c r="B136" t="s">
        <v>468</v>
      </c>
      <c r="C136" s="194">
        <v>46257</v>
      </c>
      <c r="D136" s="194">
        <v>46259</v>
      </c>
      <c r="E136" s="194">
        <v>46140</v>
      </c>
      <c r="F136" t="s">
        <v>52</v>
      </c>
      <c r="G136" t="s">
        <v>6</v>
      </c>
      <c r="J136" s="207">
        <v>0.05</v>
      </c>
      <c r="K136">
        <v>1</v>
      </c>
      <c r="L136">
        <v>2</v>
      </c>
      <c r="M136" t="s">
        <v>469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5">
      <c r="A137" s="2">
        <v>123</v>
      </c>
      <c r="B137" t="s">
        <v>478</v>
      </c>
      <c r="C137" s="194">
        <v>46262</v>
      </c>
      <c r="D137" s="194">
        <v>46269</v>
      </c>
      <c r="E137" s="194">
        <v>46145</v>
      </c>
      <c r="F137" t="s">
        <v>31</v>
      </c>
      <c r="G137" t="s">
        <v>6</v>
      </c>
      <c r="J137" s="207">
        <v>0.1</v>
      </c>
      <c r="K137">
        <v>1</v>
      </c>
      <c r="L137">
        <v>2</v>
      </c>
      <c r="M137" t="s">
        <v>479</v>
      </c>
      <c r="N137" t="s">
        <v>480</v>
      </c>
      <c r="O137" t="s">
        <v>481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482</v>
      </c>
    </row>
    <row r="138" spans="1:20" x14ac:dyDescent="0.35">
      <c r="A138" s="2">
        <v>124</v>
      </c>
      <c r="B138" t="s">
        <v>483</v>
      </c>
      <c r="C138" s="194">
        <v>46286</v>
      </c>
      <c r="D138" s="194">
        <v>46291</v>
      </c>
      <c r="E138" s="194">
        <v>46146</v>
      </c>
      <c r="F138" t="s">
        <v>31</v>
      </c>
      <c r="G138" t="s">
        <v>35</v>
      </c>
      <c r="J138" s="207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5">
      <c r="A139" s="2">
        <v>125</v>
      </c>
      <c r="B139" t="s">
        <v>484</v>
      </c>
      <c r="C139" s="194">
        <v>46171</v>
      </c>
      <c r="D139" s="194">
        <v>46173</v>
      </c>
      <c r="E139" s="194">
        <v>46149</v>
      </c>
      <c r="F139" t="s">
        <v>52</v>
      </c>
      <c r="G139" t="s">
        <v>35</v>
      </c>
      <c r="H139" s="1">
        <v>1400</v>
      </c>
      <c r="I139" s="2" t="s">
        <v>155</v>
      </c>
      <c r="J139" s="207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5">
      <c r="A140" s="2">
        <v>126</v>
      </c>
      <c r="B140" t="s">
        <v>171</v>
      </c>
      <c r="C140" s="194">
        <v>46266</v>
      </c>
      <c r="D140" s="194">
        <v>46270</v>
      </c>
      <c r="E140" s="194">
        <v>46154</v>
      </c>
      <c r="F140" t="s">
        <v>52</v>
      </c>
      <c r="G140" t="s">
        <v>6</v>
      </c>
      <c r="H140" s="1" t="s">
        <v>251</v>
      </c>
      <c r="I140" s="2" t="s">
        <v>442</v>
      </c>
      <c r="J140" s="207">
        <v>0.1</v>
      </c>
      <c r="K140">
        <v>2</v>
      </c>
      <c r="L140">
        <v>3</v>
      </c>
      <c r="M140" t="s">
        <v>485</v>
      </c>
      <c r="N140" t="s">
        <v>486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487</v>
      </c>
    </row>
    <row r="141" spans="1:20" x14ac:dyDescent="0.35">
      <c r="A141" s="2">
        <v>126</v>
      </c>
      <c r="C141" s="194"/>
      <c r="D141" s="194"/>
      <c r="E141" s="194"/>
      <c r="J141" s="207"/>
      <c r="N141"/>
      <c r="O141"/>
    </row>
    <row r="142" spans="1:20" x14ac:dyDescent="0.35">
      <c r="A142" s="2">
        <v>127</v>
      </c>
      <c r="B142" t="s">
        <v>488</v>
      </c>
      <c r="C142" s="194">
        <v>46188</v>
      </c>
      <c r="D142" s="194">
        <v>46191</v>
      </c>
      <c r="E142" s="194">
        <v>46153</v>
      </c>
      <c r="F142" t="s">
        <v>52</v>
      </c>
      <c r="G142" t="s">
        <v>263</v>
      </c>
      <c r="J142" s="207"/>
      <c r="N142"/>
      <c r="O142"/>
    </row>
    <row r="143" spans="1:20" x14ac:dyDescent="0.35">
      <c r="A143" s="2">
        <v>128</v>
      </c>
      <c r="B143" t="s">
        <v>489</v>
      </c>
      <c r="C143" s="194">
        <v>46169</v>
      </c>
      <c r="D143" s="194">
        <v>46173</v>
      </c>
      <c r="E143" s="194">
        <v>46154</v>
      </c>
      <c r="F143" t="s">
        <v>52</v>
      </c>
      <c r="G143" t="s">
        <v>35</v>
      </c>
      <c r="H143" s="1">
        <v>1430</v>
      </c>
      <c r="I143" s="2" t="s">
        <v>158</v>
      </c>
      <c r="J143" s="207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5">
      <c r="A144" s="2">
        <v>129</v>
      </c>
      <c r="B144" t="s">
        <v>491</v>
      </c>
      <c r="C144" s="194">
        <v>46194</v>
      </c>
      <c r="D144" s="194">
        <v>46197</v>
      </c>
      <c r="E144" s="194">
        <v>46154</v>
      </c>
      <c r="F144" t="s">
        <v>53</v>
      </c>
      <c r="G144" t="s">
        <v>35</v>
      </c>
      <c r="J144" s="207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130</v>
      </c>
      <c r="B145" t="s">
        <v>490</v>
      </c>
      <c r="C145" s="194">
        <v>46194</v>
      </c>
      <c r="D145" s="194">
        <v>46197</v>
      </c>
      <c r="E145" s="194">
        <v>46159</v>
      </c>
      <c r="F145" t="s">
        <v>53</v>
      </c>
      <c r="G145" t="s">
        <v>35</v>
      </c>
      <c r="J145" s="210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5">
      <c r="A146" s="2">
        <v>131</v>
      </c>
      <c r="B146" t="s">
        <v>492</v>
      </c>
      <c r="C146" s="194">
        <v>46219</v>
      </c>
      <c r="D146" s="194">
        <v>46222</v>
      </c>
      <c r="E146" s="194">
        <v>46157</v>
      </c>
      <c r="F146" t="s">
        <v>52</v>
      </c>
      <c r="G146" t="s">
        <v>263</v>
      </c>
      <c r="J146" s="210">
        <v>0</v>
      </c>
      <c r="N146"/>
      <c r="O146"/>
    </row>
    <row r="147" spans="1:20" x14ac:dyDescent="0.35">
      <c r="A147" s="2">
        <v>132</v>
      </c>
      <c r="B147" t="s">
        <v>496</v>
      </c>
      <c r="C147" s="194">
        <v>46234</v>
      </c>
      <c r="D147" s="194">
        <v>46237</v>
      </c>
      <c r="E147" s="194">
        <v>46159</v>
      </c>
      <c r="F147" t="s">
        <v>53</v>
      </c>
      <c r="G147" t="s">
        <v>35</v>
      </c>
      <c r="H147"/>
      <c r="J147" s="207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5">
      <c r="A148" s="2">
        <v>133</v>
      </c>
      <c r="B148" t="s">
        <v>497</v>
      </c>
      <c r="C148" s="194">
        <v>46252</v>
      </c>
      <c r="D148" s="194">
        <v>46254</v>
      </c>
      <c r="E148" s="194">
        <v>46160</v>
      </c>
      <c r="F148" t="s">
        <v>52</v>
      </c>
      <c r="G148" t="s">
        <v>6</v>
      </c>
      <c r="H148"/>
      <c r="I148" s="2" t="s">
        <v>442</v>
      </c>
      <c r="J148" s="207">
        <v>0.1</v>
      </c>
      <c r="K148">
        <v>1</v>
      </c>
      <c r="L148">
        <v>2</v>
      </c>
      <c r="M148" t="s">
        <v>501</v>
      </c>
      <c r="N148" t="s">
        <v>498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5">
      <c r="A149" s="2">
        <v>134</v>
      </c>
      <c r="B149" t="s">
        <v>499</v>
      </c>
      <c r="C149" s="194">
        <v>46274</v>
      </c>
      <c r="D149" s="194">
        <v>46277</v>
      </c>
      <c r="E149" s="194">
        <v>46160</v>
      </c>
      <c r="F149" t="s">
        <v>52</v>
      </c>
      <c r="G149" t="s">
        <v>263</v>
      </c>
      <c r="H149"/>
      <c r="J149" s="207"/>
      <c r="N149"/>
      <c r="O149"/>
    </row>
    <row r="150" spans="1:20" x14ac:dyDescent="0.35">
      <c r="A150" s="2">
        <v>135</v>
      </c>
      <c r="B150" t="s">
        <v>500</v>
      </c>
      <c r="C150" s="194">
        <v>46201</v>
      </c>
      <c r="D150" s="194">
        <v>46205</v>
      </c>
      <c r="E150" s="194">
        <v>46162</v>
      </c>
      <c r="F150" t="s">
        <v>31</v>
      </c>
      <c r="G150" t="s">
        <v>35</v>
      </c>
      <c r="H150">
        <v>1230</v>
      </c>
      <c r="I150" s="2" t="s">
        <v>155</v>
      </c>
      <c r="J150" s="207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5">
      <c r="A151" s="2">
        <v>136</v>
      </c>
      <c r="B151" t="s">
        <v>502</v>
      </c>
      <c r="C151" s="194">
        <v>46170</v>
      </c>
      <c r="D151" s="194">
        <v>46174</v>
      </c>
      <c r="E151" s="194">
        <v>46163</v>
      </c>
      <c r="F151" t="s">
        <v>52</v>
      </c>
      <c r="G151" t="s">
        <v>6</v>
      </c>
      <c r="H151">
        <v>1430</v>
      </c>
      <c r="I151" s="2" t="s">
        <v>155</v>
      </c>
      <c r="J151" s="207">
        <v>0.1</v>
      </c>
      <c r="K151">
        <v>1</v>
      </c>
      <c r="L151">
        <v>2</v>
      </c>
      <c r="N151" t="s">
        <v>503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504</v>
      </c>
    </row>
    <row r="152" spans="1:20" x14ac:dyDescent="0.35">
      <c r="A152" s="2">
        <v>137</v>
      </c>
      <c r="B152" t="s">
        <v>183</v>
      </c>
      <c r="C152" s="194">
        <v>46276</v>
      </c>
      <c r="D152" s="194">
        <v>46285</v>
      </c>
      <c r="E152" s="194">
        <v>46166</v>
      </c>
      <c r="F152" t="s">
        <v>52</v>
      </c>
      <c r="G152" t="s">
        <v>6</v>
      </c>
      <c r="H152"/>
      <c r="I152" s="2" t="s">
        <v>295</v>
      </c>
      <c r="J152" s="207">
        <v>0.1</v>
      </c>
      <c r="K152">
        <v>1</v>
      </c>
      <c r="L152">
        <v>2</v>
      </c>
      <c r="M152" t="s">
        <v>184</v>
      </c>
      <c r="N152" t="s">
        <v>505</v>
      </c>
      <c r="O152" t="s">
        <v>185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506</v>
      </c>
    </row>
    <row r="153" spans="1:20" x14ac:dyDescent="0.35">
      <c r="A153" s="2">
        <v>138</v>
      </c>
      <c r="B153" t="s">
        <v>380</v>
      </c>
      <c r="C153" s="194">
        <v>46238</v>
      </c>
      <c r="D153" s="194">
        <v>46240</v>
      </c>
      <c r="E153" s="194">
        <v>46168</v>
      </c>
      <c r="F153" t="s">
        <v>52</v>
      </c>
      <c r="G153" t="s">
        <v>6</v>
      </c>
      <c r="H153"/>
      <c r="J153" s="207">
        <v>0.1</v>
      </c>
      <c r="K153">
        <v>1</v>
      </c>
      <c r="L153">
        <v>2</v>
      </c>
      <c r="M153" t="s">
        <v>381</v>
      </c>
      <c r="N153" t="s">
        <v>382</v>
      </c>
      <c r="O153" t="s">
        <v>383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507</v>
      </c>
    </row>
    <row r="154" spans="1:20" x14ac:dyDescent="0.35">
      <c r="A154" s="2">
        <v>139</v>
      </c>
      <c r="B154" t="s">
        <v>508</v>
      </c>
      <c r="C154" s="194">
        <v>46270</v>
      </c>
      <c r="D154" s="194">
        <v>46274</v>
      </c>
      <c r="E154" s="194">
        <v>46168</v>
      </c>
      <c r="F154" t="s">
        <v>52</v>
      </c>
      <c r="G154" t="s">
        <v>6</v>
      </c>
      <c r="H154"/>
      <c r="J154" s="207">
        <v>0.1</v>
      </c>
      <c r="K154">
        <v>1</v>
      </c>
      <c r="L154">
        <v>2</v>
      </c>
      <c r="M154" t="s">
        <v>509</v>
      </c>
      <c r="N154" t="s">
        <v>510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518</v>
      </c>
    </row>
    <row r="155" spans="1:20" x14ac:dyDescent="0.35">
      <c r="A155" s="2">
        <v>140</v>
      </c>
      <c r="B155" t="s">
        <v>513</v>
      </c>
      <c r="C155" s="194">
        <v>46188</v>
      </c>
      <c r="D155" s="194">
        <v>46190</v>
      </c>
      <c r="E155" s="194">
        <v>46170</v>
      </c>
      <c r="F155" t="s">
        <v>52</v>
      </c>
      <c r="G155" t="s">
        <v>35</v>
      </c>
      <c r="H155"/>
      <c r="J155" s="207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5">
      <c r="A156" s="2">
        <v>141</v>
      </c>
      <c r="B156" t="s">
        <v>514</v>
      </c>
      <c r="C156" s="194">
        <v>46195</v>
      </c>
      <c r="D156" s="194">
        <v>46199</v>
      </c>
      <c r="E156" s="194">
        <v>46171</v>
      </c>
      <c r="F156" t="s">
        <v>61</v>
      </c>
      <c r="G156" t="s">
        <v>35</v>
      </c>
      <c r="H156"/>
      <c r="J156" s="207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5">
      <c r="A157" s="2">
        <v>142</v>
      </c>
      <c r="B157" t="s">
        <v>515</v>
      </c>
      <c r="C157" s="194">
        <v>46268</v>
      </c>
      <c r="D157" s="194">
        <v>46271</v>
      </c>
      <c r="E157" s="194">
        <v>46172</v>
      </c>
      <c r="F157" t="s">
        <v>52</v>
      </c>
      <c r="G157" t="s">
        <v>6</v>
      </c>
      <c r="H157"/>
      <c r="J157" s="207">
        <v>0.05</v>
      </c>
      <c r="K157">
        <v>1</v>
      </c>
      <c r="L157">
        <v>2</v>
      </c>
      <c r="M157" t="s">
        <v>516</v>
      </c>
      <c r="N157"/>
      <c r="O157" t="s">
        <v>517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5">
      <c r="A158" s="2">
        <v>143</v>
      </c>
      <c r="B158" t="s">
        <v>520</v>
      </c>
      <c r="C158" s="194">
        <v>46275</v>
      </c>
      <c r="D158" s="194">
        <v>46278</v>
      </c>
      <c r="E158" s="194">
        <v>46172</v>
      </c>
      <c r="F158" t="s">
        <v>52</v>
      </c>
      <c r="G158" t="s">
        <v>35</v>
      </c>
      <c r="H158"/>
      <c r="I158"/>
      <c r="J158" s="207">
        <v>0</v>
      </c>
      <c r="K158">
        <v>1</v>
      </c>
      <c r="L158">
        <v>2</v>
      </c>
      <c r="N158" t="s">
        <v>521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522</v>
      </c>
    </row>
    <row r="159" spans="1:20" x14ac:dyDescent="0.35">
      <c r="A159" s="2">
        <v>144</v>
      </c>
      <c r="B159" t="s">
        <v>526</v>
      </c>
      <c r="C159" s="194">
        <v>46264</v>
      </c>
      <c r="D159" s="194">
        <v>46269</v>
      </c>
      <c r="E159" s="194">
        <v>46182</v>
      </c>
      <c r="F159" t="s">
        <v>52</v>
      </c>
      <c r="G159" t="s">
        <v>35</v>
      </c>
      <c r="H159"/>
      <c r="I159"/>
      <c r="J159" s="207">
        <v>0</v>
      </c>
      <c r="K159">
        <v>1</v>
      </c>
      <c r="L159">
        <v>2</v>
      </c>
      <c r="N159"/>
      <c r="O159"/>
      <c r="P159" s="2" t="s">
        <v>20</v>
      </c>
      <c r="Q159" s="2" t="s">
        <v>20</v>
      </c>
      <c r="R159" s="122">
        <v>4750</v>
      </c>
      <c r="S159" s="2" t="s">
        <v>20</v>
      </c>
    </row>
    <row r="160" spans="1:20" x14ac:dyDescent="0.35">
      <c r="A160" s="2">
        <v>145</v>
      </c>
      <c r="B160" t="s">
        <v>527</v>
      </c>
      <c r="C160" s="194">
        <v>46271</v>
      </c>
      <c r="D160" s="194">
        <v>46276</v>
      </c>
      <c r="E160" s="194">
        <v>46177</v>
      </c>
      <c r="F160" t="s">
        <v>52</v>
      </c>
      <c r="G160" t="s">
        <v>6</v>
      </c>
      <c r="H160"/>
      <c r="I160"/>
      <c r="J160" s="207">
        <v>0.1</v>
      </c>
      <c r="K160">
        <v>1</v>
      </c>
      <c r="L160">
        <v>2</v>
      </c>
      <c r="M160" t="s">
        <v>27</v>
      </c>
      <c r="N160"/>
      <c r="O160" t="s">
        <v>528</v>
      </c>
      <c r="P160" s="2" t="s">
        <v>20</v>
      </c>
      <c r="Q160" s="2" t="s">
        <v>21</v>
      </c>
      <c r="R160" s="122">
        <v>5175</v>
      </c>
      <c r="S160" s="2" t="s">
        <v>38</v>
      </c>
      <c r="T160" t="s">
        <v>529</v>
      </c>
    </row>
    <row r="161" spans="1:20" x14ac:dyDescent="0.35">
      <c r="A161" s="2">
        <v>146</v>
      </c>
      <c r="B161" t="s">
        <v>530</v>
      </c>
      <c r="C161" s="194">
        <v>46285</v>
      </c>
      <c r="D161" s="194">
        <v>46290</v>
      </c>
      <c r="E161" s="194">
        <v>46177</v>
      </c>
      <c r="F161" t="s">
        <v>52</v>
      </c>
      <c r="G161" t="s">
        <v>6</v>
      </c>
      <c r="H161"/>
      <c r="I161"/>
      <c r="J161" s="207">
        <v>0.1</v>
      </c>
      <c r="K161">
        <v>1</v>
      </c>
      <c r="L161">
        <v>2</v>
      </c>
      <c r="M161" t="s">
        <v>37</v>
      </c>
      <c r="N161" t="s">
        <v>531</v>
      </c>
      <c r="O161" t="s">
        <v>532</v>
      </c>
      <c r="P161" s="2" t="s">
        <v>20</v>
      </c>
      <c r="Q161" s="2" t="s">
        <v>21</v>
      </c>
      <c r="R161" s="122">
        <v>5175</v>
      </c>
      <c r="S161" s="2" t="s">
        <v>21</v>
      </c>
      <c r="T161" t="s">
        <v>533</v>
      </c>
    </row>
    <row r="162" spans="1:20" x14ac:dyDescent="0.35">
      <c r="A162" s="2">
        <v>147</v>
      </c>
      <c r="B162" t="s">
        <v>534</v>
      </c>
      <c r="C162" s="194">
        <v>46269</v>
      </c>
      <c r="D162" s="194">
        <v>46271</v>
      </c>
      <c r="E162" s="194">
        <v>46181</v>
      </c>
      <c r="F162" t="s">
        <v>52</v>
      </c>
      <c r="G162" t="s">
        <v>35</v>
      </c>
      <c r="H162" t="s">
        <v>535</v>
      </c>
      <c r="I162"/>
      <c r="J162" s="207">
        <v>0</v>
      </c>
      <c r="K162">
        <v>1</v>
      </c>
      <c r="L162">
        <v>2</v>
      </c>
      <c r="N162"/>
      <c r="O162"/>
      <c r="P162" s="2" t="s">
        <v>20</v>
      </c>
      <c r="Q162" s="2" t="s">
        <v>20</v>
      </c>
      <c r="R162" s="122">
        <v>1900</v>
      </c>
      <c r="S162" s="2" t="s">
        <v>20</v>
      </c>
    </row>
    <row r="163" spans="1:20" x14ac:dyDescent="0.35">
      <c r="A163" s="2">
        <v>148</v>
      </c>
      <c r="B163" t="s">
        <v>537</v>
      </c>
      <c r="C163" s="194">
        <v>46188</v>
      </c>
      <c r="D163" s="194">
        <v>46192</v>
      </c>
      <c r="E163" s="194">
        <v>46181</v>
      </c>
      <c r="F163" t="s">
        <v>52</v>
      </c>
      <c r="G163" t="s">
        <v>35</v>
      </c>
      <c r="H163"/>
      <c r="I163"/>
      <c r="J163" s="207">
        <v>0</v>
      </c>
      <c r="K163">
        <v>1</v>
      </c>
      <c r="L163">
        <v>2</v>
      </c>
      <c r="N163"/>
      <c r="P163" s="2" t="s">
        <v>20</v>
      </c>
      <c r="Q163" s="2" t="s">
        <v>20</v>
      </c>
      <c r="R163" s="122">
        <v>3800</v>
      </c>
      <c r="S163" s="2" t="s">
        <v>20</v>
      </c>
    </row>
    <row r="164" spans="1:20" x14ac:dyDescent="0.35">
      <c r="A164" s="2">
        <v>149</v>
      </c>
      <c r="B164" s="222" t="s">
        <v>538</v>
      </c>
      <c r="C164" s="223">
        <v>46196</v>
      </c>
      <c r="D164" s="223">
        <v>46200</v>
      </c>
      <c r="E164" s="223">
        <v>46182</v>
      </c>
      <c r="F164" s="222" t="s">
        <v>20</v>
      </c>
      <c r="G164" s="222" t="s">
        <v>35</v>
      </c>
      <c r="H164" s="222" t="s">
        <v>435</v>
      </c>
      <c r="I164" s="222" t="s">
        <v>155</v>
      </c>
      <c r="J164" s="207">
        <v>0</v>
      </c>
      <c r="K164" s="222">
        <v>1</v>
      </c>
      <c r="L164" s="222">
        <v>2</v>
      </c>
      <c r="M164" s="222"/>
      <c r="N164" s="222"/>
      <c r="P164" s="2" t="s">
        <v>20</v>
      </c>
      <c r="Q164" s="2" t="s">
        <v>21</v>
      </c>
      <c r="R164" s="122">
        <v>4600</v>
      </c>
      <c r="S164" s="2" t="s">
        <v>20</v>
      </c>
      <c r="T164" s="222"/>
    </row>
    <row r="165" spans="1:20" x14ac:dyDescent="0.35">
      <c r="A165" s="2">
        <v>150</v>
      </c>
      <c r="B165" s="224" t="s">
        <v>539</v>
      </c>
      <c r="C165" s="225">
        <v>46227</v>
      </c>
      <c r="D165" s="225">
        <v>46230</v>
      </c>
      <c r="E165" s="225">
        <v>46185</v>
      </c>
      <c r="F165" s="224" t="s">
        <v>52</v>
      </c>
      <c r="G165" s="224" t="s">
        <v>35</v>
      </c>
      <c r="H165" s="224"/>
      <c r="I165" s="224"/>
      <c r="J165" s="207">
        <v>0</v>
      </c>
      <c r="K165" s="224">
        <v>1</v>
      </c>
      <c r="L165" s="224">
        <v>2</v>
      </c>
      <c r="M165" s="224"/>
      <c r="N165" s="224"/>
      <c r="P165" s="2" t="s">
        <v>20</v>
      </c>
      <c r="Q165" s="2" t="s">
        <v>20</v>
      </c>
      <c r="R165" s="122">
        <v>3225</v>
      </c>
      <c r="S165" s="2" t="s">
        <v>20</v>
      </c>
      <c r="T165" s="224"/>
    </row>
  </sheetData>
  <autoFilter ref="A1:V102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U1" workbookViewId="0">
      <pane ySplit="1" topLeftCell="A186" activePane="bottomLeft" state="frozen"/>
      <selection pane="bottomLeft" activeCell="AH197" sqref="AH197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70" t="s">
        <v>455</v>
      </c>
      <c r="BW1" s="170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0</v>
      </c>
      <c r="BM108" s="32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Database!A126</f>
        <v>112</v>
      </c>
      <c r="B113" s="22">
        <f>Database!E126</f>
        <v>46121</v>
      </c>
      <c r="C113">
        <f>IF(Database!G126="cansl",0,Database!K126)</f>
        <v>0</v>
      </c>
      <c r="D113">
        <f>Database!D126-Database!C126</f>
        <v>4</v>
      </c>
      <c r="F113">
        <f>Database!L126</f>
        <v>0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Database!A133</f>
        <v>119</v>
      </c>
      <c r="B120" s="22">
        <f>Database!E133</f>
        <v>46135</v>
      </c>
      <c r="C120">
        <f>IF(Database!G133="cansl",0,Database!K133)</f>
        <v>0</v>
      </c>
      <c r="D120">
        <f>Database!D133-Database!C133</f>
        <v>3</v>
      </c>
      <c r="F120">
        <f>Database!L133</f>
        <v>0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Database!A142</f>
        <v>127</v>
      </c>
      <c r="B128" s="22">
        <f>Database!E142</f>
        <v>46153</v>
      </c>
      <c r="C128">
        <f>IF(Database!G142="cansl",0,Database!K142)</f>
        <v>0</v>
      </c>
      <c r="D128">
        <f>Database!D142-Database!C142</f>
        <v>3</v>
      </c>
      <c r="F128">
        <f>Database!L142</f>
        <v>0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Database!A146</f>
        <v>131</v>
      </c>
      <c r="B132" s="22">
        <f>Database!E146</f>
        <v>46157</v>
      </c>
      <c r="C132">
        <f>IF(Database!G146="cansl",0,Database!K146)</f>
        <v>0</v>
      </c>
      <c r="D132">
        <f>Database!D146-Database!C146</f>
        <v>3</v>
      </c>
      <c r="F132">
        <f>Database!L146</f>
        <v>0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Database!A159</f>
        <v>144</v>
      </c>
      <c r="B145" s="22">
        <f>Database!E159</f>
        <v>46182</v>
      </c>
      <c r="C145">
        <f>IF(Database!G159="cansl",0,Database!K159)</f>
        <v>1</v>
      </c>
      <c r="D145">
        <f>Database!D159-Database!C159</f>
        <v>5</v>
      </c>
      <c r="F145">
        <f>Database!L159</f>
        <v>2</v>
      </c>
      <c r="G145" t="str">
        <f>Database!F159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Database!A160</f>
        <v>145</v>
      </c>
      <c r="B146" s="22">
        <f>Database!E160</f>
        <v>46177</v>
      </c>
      <c r="C146">
        <f>IF(Database!G160="cansl",0,Database!K160)</f>
        <v>1</v>
      </c>
      <c r="D146">
        <f>Database!D160-Database!C160</f>
        <v>5</v>
      </c>
      <c r="F146">
        <f>Database!L160</f>
        <v>2</v>
      </c>
      <c r="G146" t="str">
        <f>Database!F160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Database!A161</f>
        <v>146</v>
      </c>
      <c r="B147" s="22">
        <f>Database!E161</f>
        <v>46177</v>
      </c>
      <c r="C147">
        <f>IF(Database!G161="cansl",0,Database!K161)</f>
        <v>1</v>
      </c>
      <c r="D147">
        <f>Database!D161-Database!C161</f>
        <v>5</v>
      </c>
      <c r="F147">
        <f>Database!L161</f>
        <v>2</v>
      </c>
      <c r="G147" t="str">
        <f>Database!F161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5</v>
      </c>
      <c r="AI147">
        <f t="shared" si="134"/>
        <v>5</v>
      </c>
      <c r="AJ147">
        <f t="shared" si="134"/>
        <v>5</v>
      </c>
      <c r="AK147">
        <f t="shared" si="134"/>
        <v>5</v>
      </c>
      <c r="AL147">
        <f t="shared" si="134"/>
        <v>5</v>
      </c>
      <c r="AM147">
        <f t="shared" si="134"/>
        <v>5</v>
      </c>
      <c r="AN147">
        <f t="shared" si="134"/>
        <v>5</v>
      </c>
      <c r="AO147">
        <f t="shared" si="134"/>
        <v>5</v>
      </c>
      <c r="AP147">
        <f t="shared" si="134"/>
        <v>5</v>
      </c>
      <c r="AQ147">
        <f t="shared" si="134"/>
        <v>5</v>
      </c>
      <c r="AR147">
        <f t="shared" si="108"/>
        <v>5</v>
      </c>
      <c r="AS147">
        <f t="shared" si="108"/>
        <v>5</v>
      </c>
      <c r="AT147">
        <f t="shared" si="108"/>
        <v>5</v>
      </c>
      <c r="AU147">
        <f t="shared" si="108"/>
        <v>5</v>
      </c>
      <c r="AV147">
        <f t="shared" si="108"/>
        <v>5</v>
      </c>
      <c r="AW147">
        <f t="shared" si="108"/>
        <v>5</v>
      </c>
      <c r="AX147">
        <f t="shared" si="108"/>
        <v>5</v>
      </c>
      <c r="BB147" s="32">
        <f t="shared" si="110"/>
        <v>2</v>
      </c>
      <c r="BC147" s="32">
        <f t="shared" si="111"/>
        <v>10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Database!A162</f>
        <v>147</v>
      </c>
      <c r="B148" s="22">
        <f>Database!E162</f>
        <v>46181</v>
      </c>
      <c r="C148">
        <f>IF(Database!G162="cansl",0,Database!K162)</f>
        <v>1</v>
      </c>
      <c r="D148">
        <f>Database!D162-Database!C162</f>
        <v>2</v>
      </c>
      <c r="F148">
        <f>Database!L162</f>
        <v>2</v>
      </c>
      <c r="G148" t="str">
        <f>Database!F162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Database!A163</f>
        <v>148</v>
      </c>
      <c r="B149" s="22">
        <f>Database!E163</f>
        <v>46181</v>
      </c>
      <c r="C149">
        <f>IF(Database!G163="cansl",0,Database!K163)</f>
        <v>1</v>
      </c>
      <c r="D149">
        <f>Database!D163-Database!C163</f>
        <v>4</v>
      </c>
      <c r="F149">
        <f>Database!L163</f>
        <v>2</v>
      </c>
      <c r="G149" t="str">
        <f>Database!F163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Database!A164</f>
        <v>149</v>
      </c>
      <c r="B150" s="22">
        <f>Database!E164</f>
        <v>46182</v>
      </c>
      <c r="C150">
        <f>IF(Database!G164="cansl",0,Database!K164)</f>
        <v>1</v>
      </c>
      <c r="D150">
        <f>Database!D164-Database!C164</f>
        <v>4</v>
      </c>
      <c r="F150">
        <f>Database!L164</f>
        <v>2</v>
      </c>
      <c r="G150" t="str">
        <f>Database!F164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Database!A165</f>
        <v>150</v>
      </c>
      <c r="B151" s="22">
        <f>Database!E165</f>
        <v>46185</v>
      </c>
      <c r="C151">
        <f>IF(Database!G165="cansl",0,Database!K165)</f>
        <v>1</v>
      </c>
      <c r="D151">
        <f>Database!D165-Database!C165</f>
        <v>3</v>
      </c>
      <c r="F151">
        <f>Database!L165</f>
        <v>2</v>
      </c>
      <c r="G151" t="str">
        <f>Database!F165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Database!A166</f>
        <v>0</v>
      </c>
      <c r="B152" s="22">
        <f>Database!E166</f>
        <v>0</v>
      </c>
      <c r="C152">
        <f>IF(Database!G166="cansl",0,Database!K166)</f>
        <v>0</v>
      </c>
      <c r="D152">
        <f>Database!D166-Database!C166</f>
        <v>0</v>
      </c>
      <c r="F152">
        <f>Database!L166</f>
        <v>0</v>
      </c>
      <c r="G152">
        <f>Database!F166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2">
        <f t="shared" si="110"/>
        <v>0</v>
      </c>
      <c r="BC152" s="32">
        <f t="shared" si="111"/>
        <v>0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Database!A167</f>
        <v>0</v>
      </c>
      <c r="B153" s="22">
        <f>Database!E167</f>
        <v>0</v>
      </c>
      <c r="C153">
        <f>IF(Database!G167="cansl",0,Database!K167)</f>
        <v>0</v>
      </c>
      <c r="D153">
        <f>Database!D167-Database!C167</f>
        <v>0</v>
      </c>
      <c r="F153">
        <f>Database!L167</f>
        <v>0</v>
      </c>
      <c r="G153">
        <f>Database!F167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2">
        <f t="shared" si="110"/>
        <v>0</v>
      </c>
      <c r="BC153" s="32">
        <f t="shared" si="111"/>
        <v>0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Database!A168</f>
        <v>0</v>
      </c>
      <c r="B154" s="22">
        <f>Database!E168</f>
        <v>0</v>
      </c>
      <c r="C154">
        <f>IF(Database!G168="cansl",0,Database!K168)</f>
        <v>0</v>
      </c>
      <c r="D154">
        <f>Database!D168-Database!C168</f>
        <v>0</v>
      </c>
      <c r="F154">
        <f>Database!L168</f>
        <v>0</v>
      </c>
      <c r="G154">
        <f>Database!F168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2">
        <f t="shared" si="110"/>
        <v>0</v>
      </c>
      <c r="BC154" s="32">
        <f t="shared" si="111"/>
        <v>0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Database!A169</f>
        <v>0</v>
      </c>
      <c r="B155" s="22">
        <f>Database!E169</f>
        <v>0</v>
      </c>
      <c r="C155">
        <f>IF(Database!G169="cansl",0,Database!K169)</f>
        <v>0</v>
      </c>
      <c r="D155">
        <f>Database!D169-Database!C169</f>
        <v>0</v>
      </c>
      <c r="F155">
        <f>Database!L169</f>
        <v>0</v>
      </c>
      <c r="G155">
        <f>Database!F169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2">
        <f t="shared" si="110"/>
        <v>0</v>
      </c>
      <c r="BC155" s="32">
        <f t="shared" si="111"/>
        <v>0</v>
      </c>
      <c r="BD155" s="32">
        <f t="shared" si="112"/>
        <v>0</v>
      </c>
      <c r="BE155" s="32">
        <f t="shared" si="113"/>
        <v>0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Database!A170</f>
        <v>0</v>
      </c>
      <c r="B156" s="22">
        <f>Database!E170</f>
        <v>0</v>
      </c>
      <c r="C156">
        <f>IF(Database!G170="cansl",0,Database!K170)</f>
        <v>0</v>
      </c>
      <c r="D156">
        <f>Database!D170-Database!C170</f>
        <v>0</v>
      </c>
      <c r="F156">
        <f>Database!L170</f>
        <v>0</v>
      </c>
      <c r="G156">
        <f>Database!F170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2">
        <f t="shared" si="110"/>
        <v>0</v>
      </c>
      <c r="BC156" s="32">
        <f t="shared" si="111"/>
        <v>0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Database!A171</f>
        <v>0</v>
      </c>
      <c r="B157" s="22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:BI196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63</v>
      </c>
      <c r="BB196" s="32">
        <f t="shared" ref="BB196:BY196" si="167">SUM(BB2:BB195)</f>
        <v>195</v>
      </c>
      <c r="BC196" s="32">
        <f t="shared" si="167"/>
        <v>807</v>
      </c>
      <c r="BD196" s="32">
        <f t="shared" si="167"/>
        <v>23</v>
      </c>
      <c r="BE196" s="32">
        <f t="shared" si="167"/>
        <v>79</v>
      </c>
      <c r="BF196" s="32">
        <f t="shared" si="167"/>
        <v>2</v>
      </c>
      <c r="BG196" s="32">
        <f t="shared" si="167"/>
        <v>8</v>
      </c>
      <c r="BH196" s="32">
        <f t="shared" si="167"/>
        <v>32</v>
      </c>
      <c r="BI196" s="32">
        <f t="shared" si="154"/>
        <v>0</v>
      </c>
      <c r="BJ196" s="32">
        <f t="shared" si="167"/>
        <v>2</v>
      </c>
      <c r="BK196" s="32">
        <f t="shared" si="167"/>
        <v>8</v>
      </c>
      <c r="BL196" s="32">
        <f t="shared" si="167"/>
        <v>7</v>
      </c>
      <c r="BM196" s="32">
        <f t="shared" si="167"/>
        <v>33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482</v>
      </c>
      <c r="AA198">
        <f t="shared" si="168"/>
        <v>496</v>
      </c>
      <c r="AB198">
        <f t="shared" si="168"/>
        <v>505</v>
      </c>
      <c r="AC198">
        <f t="shared" si="168"/>
        <v>514</v>
      </c>
      <c r="AD198">
        <f t="shared" si="168"/>
        <v>521</v>
      </c>
      <c r="AE198">
        <f t="shared" si="168"/>
        <v>542</v>
      </c>
      <c r="AF198">
        <f t="shared" si="168"/>
        <v>561</v>
      </c>
      <c r="AG198">
        <f t="shared" si="168"/>
        <v>579</v>
      </c>
      <c r="AH198">
        <f t="shared" si="168"/>
        <v>589</v>
      </c>
      <c r="AI198">
        <f t="shared" si="168"/>
        <v>607</v>
      </c>
      <c r="AJ198">
        <f t="shared" si="168"/>
        <v>607</v>
      </c>
      <c r="AK198">
        <f t="shared" si="168"/>
        <v>607</v>
      </c>
      <c r="AL198">
        <f t="shared" si="168"/>
        <v>607</v>
      </c>
      <c r="AM198">
        <f t="shared" si="168"/>
        <v>607</v>
      </c>
      <c r="AN198">
        <f t="shared" si="168"/>
        <v>607</v>
      </c>
      <c r="AO198">
        <f t="shared" si="168"/>
        <v>607</v>
      </c>
      <c r="AP198">
        <f t="shared" si="168"/>
        <v>607</v>
      </c>
      <c r="AQ198">
        <f t="shared" si="168"/>
        <v>607</v>
      </c>
      <c r="AR198">
        <f t="shared" si="168"/>
        <v>607</v>
      </c>
      <c r="AS198">
        <f t="shared" si="168"/>
        <v>607</v>
      </c>
      <c r="AT198">
        <f t="shared" si="168"/>
        <v>607</v>
      </c>
      <c r="AU198">
        <f t="shared" si="168"/>
        <v>607</v>
      </c>
      <c r="AV198">
        <f t="shared" si="168"/>
        <v>607</v>
      </c>
      <c r="AW198">
        <f t="shared" si="168"/>
        <v>607</v>
      </c>
      <c r="AX198">
        <f t="shared" si="168"/>
        <v>607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482</v>
      </c>
      <c r="AA200">
        <f t="shared" si="169"/>
        <v>496</v>
      </c>
      <c r="AB200">
        <f t="shared" si="169"/>
        <v>505</v>
      </c>
      <c r="AC200">
        <f t="shared" si="169"/>
        <v>514</v>
      </c>
      <c r="AD200">
        <f t="shared" si="169"/>
        <v>521</v>
      </c>
      <c r="AE200">
        <f t="shared" si="169"/>
        <v>542</v>
      </c>
      <c r="AF200">
        <f t="shared" si="169"/>
        <v>561</v>
      </c>
      <c r="AG200">
        <f t="shared" si="169"/>
        <v>579</v>
      </c>
      <c r="AH200">
        <f>AH198</f>
        <v>589</v>
      </c>
      <c r="AI200" s="224">
        <f>AI198</f>
        <v>607</v>
      </c>
      <c r="AJ200" s="224">
        <f>AJ198</f>
        <v>607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">
        <v>110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195</v>
      </c>
      <c r="BE202" s="32">
        <f>BD196</f>
        <v>23</v>
      </c>
      <c r="BF202" s="32">
        <f>BF196</f>
        <v>2</v>
      </c>
      <c r="BG202" s="32">
        <f>BH196</f>
        <v>32</v>
      </c>
      <c r="BH202" s="32">
        <f>BJ196</f>
        <v>2</v>
      </c>
      <c r="BI202" s="33">
        <f>BL196</f>
        <v>7</v>
      </c>
      <c r="BJ202" s="34">
        <f>BN196</f>
        <v>0</v>
      </c>
      <c r="BK202" s="35">
        <f>BP196</f>
        <v>0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807</v>
      </c>
      <c r="BE203" s="38">
        <f>BE196</f>
        <v>79</v>
      </c>
      <c r="BF203" s="38">
        <f>BG196</f>
        <v>8</v>
      </c>
      <c r="BG203" s="38">
        <f>BI196</f>
        <v>0</v>
      </c>
      <c r="BH203" s="38">
        <f>BK196</f>
        <v>8</v>
      </c>
      <c r="BI203" s="39">
        <f>BM196</f>
        <v>33</v>
      </c>
      <c r="BJ203" s="40">
        <f>BO196</f>
        <v>0</v>
      </c>
      <c r="BK203" s="41">
        <f>BQ196</f>
        <v>0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61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195</v>
      </c>
      <c r="C30" s="32">
        <f>'book stat'!BE202</f>
        <v>23</v>
      </c>
      <c r="D30" s="32">
        <f>'book stat'!BF202</f>
        <v>2</v>
      </c>
      <c r="E30" s="32">
        <f>'book stat'!BG202</f>
        <v>32</v>
      </c>
      <c r="F30" s="32">
        <f>'book stat'!BH202</f>
        <v>2</v>
      </c>
      <c r="G30" s="33">
        <f>'book stat'!BI202</f>
        <v>7</v>
      </c>
      <c r="H30" s="162">
        <f>'book stat'!BJ202</f>
        <v>0</v>
      </c>
      <c r="I30" s="163">
        <f>'book stat'!BK202</f>
        <v>0</v>
      </c>
      <c r="J30" s="163">
        <f>'book stat'!BL202</f>
        <v>3</v>
      </c>
      <c r="K30" s="164">
        <f>'book stat'!BM202</f>
        <v>2</v>
      </c>
      <c r="L30" s="165">
        <f>'book stat'!BN202</f>
        <v>2</v>
      </c>
      <c r="M30" s="166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807</v>
      </c>
      <c r="C31" s="32">
        <f>'book stat'!BE203</f>
        <v>79</v>
      </c>
      <c r="D31" s="32">
        <f>'book stat'!BF203</f>
        <v>8</v>
      </c>
      <c r="E31" s="32">
        <f>'book stat'!BG203</f>
        <v>0</v>
      </c>
      <c r="F31" s="32">
        <f>'book stat'!BH203</f>
        <v>8</v>
      </c>
      <c r="G31" s="33">
        <f>'book stat'!BI203</f>
        <v>33</v>
      </c>
      <c r="H31" s="167">
        <f>'book stat'!BJ203</f>
        <v>0</v>
      </c>
      <c r="I31" s="168">
        <f>'book stat'!BK203</f>
        <v>0</v>
      </c>
      <c r="J31" s="168">
        <f>'book stat'!BL203</f>
        <v>19</v>
      </c>
      <c r="K31" s="169">
        <f>'book stat'!BM203</f>
        <v>10</v>
      </c>
      <c r="L31" s="165">
        <f>'book stat'!BN203</f>
        <v>4</v>
      </c>
      <c r="M31" s="166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25" activePane="bottomLeft" state="frozen"/>
      <selection pane="bottomLeft" activeCell="Q146" sqref="Q146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601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91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90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90">
        <v>97</v>
      </c>
      <c r="Q20" s="190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0">
        <v>97</v>
      </c>
      <c r="Q21" s="190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90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8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8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8">
        <v>70</v>
      </c>
      <c r="Q52" s="178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8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>
        <v>1</v>
      </c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1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3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3">
        <v>135</v>
      </c>
      <c r="E65" s="213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3">
        <v>135</v>
      </c>
      <c r="E66" s="213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3">
        <v>135</v>
      </c>
      <c r="E67" s="213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3">
        <v>135</v>
      </c>
      <c r="E68" s="8">
        <v>24</v>
      </c>
      <c r="F68" s="114"/>
      <c r="G68" s="133"/>
      <c r="H68" s="192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2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7"/>
      <c r="P69" s="208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>
        <v>69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>
        <v>69</v>
      </c>
      <c r="E76" s="114">
        <v>69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>
        <v>69</v>
      </c>
      <c r="E77" s="114">
        <v>69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>
        <v>69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/>
      <c r="W78" s="18"/>
      <c r="X78" s="20"/>
      <c r="Y78" s="20"/>
      <c r="Z78" s="134">
        <f t="shared" si="6"/>
        <v>4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/>
      <c r="W79" s="18"/>
      <c r="X79" s="20"/>
      <c r="Y79" s="20"/>
      <c r="Z79" s="134">
        <f t="shared" si="6"/>
        <v>5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/>
      <c r="W80" s="18"/>
      <c r="X80" s="20"/>
      <c r="Y80" s="20"/>
      <c r="Z80" s="134">
        <f t="shared" si="6"/>
        <v>8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/>
      <c r="W81" s="18"/>
      <c r="X81" s="20"/>
      <c r="Y81" s="20"/>
      <c r="Z81" s="134">
        <f t="shared" si="6"/>
        <v>8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90"/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/>
      <c r="W82" s="18"/>
      <c r="X82" s="20"/>
      <c r="Y82" s="20"/>
      <c r="Z82" s="134">
        <f t="shared" si="6"/>
        <v>8</v>
      </c>
      <c r="AA82" s="130">
        <f t="shared" si="7"/>
        <v>4</v>
      </c>
      <c r="AB82" s="57">
        <f t="shared" si="5"/>
        <v>0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0"/>
      <c r="M83" s="190"/>
      <c r="N83" s="18"/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/>
      <c r="W83" s="18"/>
      <c r="X83" s="20"/>
      <c r="Y83" s="20"/>
      <c r="Z83" s="134">
        <f t="shared" si="6"/>
        <v>5</v>
      </c>
      <c r="AA83" s="130">
        <f t="shared" si="7"/>
        <v>4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90">
        <v>38</v>
      </c>
      <c r="J84" s="18">
        <v>2</v>
      </c>
      <c r="K84" s="17"/>
      <c r="L84" s="190"/>
      <c r="M84" s="190"/>
      <c r="N84" s="18"/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/>
      <c r="W84" s="18"/>
      <c r="X84" s="20"/>
      <c r="Y84" s="20"/>
      <c r="Z84" s="134">
        <f t="shared" si="6"/>
        <v>5</v>
      </c>
      <c r="AA84" s="130">
        <f t="shared" si="7"/>
        <v>4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90">
        <v>38</v>
      </c>
      <c r="I85" s="190">
        <v>38</v>
      </c>
      <c r="J85" s="18"/>
      <c r="K85" s="18" t="s">
        <v>224</v>
      </c>
      <c r="L85" s="190"/>
      <c r="M85" s="8">
        <v>44</v>
      </c>
      <c r="N85" s="18"/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>
        <v>62</v>
      </c>
      <c r="V85" s="111"/>
      <c r="W85" s="18"/>
      <c r="X85" s="8"/>
      <c r="Y85" s="8"/>
      <c r="Z85" s="134">
        <f t="shared" si="6"/>
        <v>3</v>
      </c>
      <c r="AA85" s="130">
        <f t="shared" si="7"/>
        <v>5</v>
      </c>
      <c r="AB85" s="57">
        <f t="shared" si="5"/>
        <v>2</v>
      </c>
      <c r="AC85" s="21">
        <f t="shared" si="8"/>
        <v>1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90">
        <v>38</v>
      </c>
      <c r="I86" s="190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>
        <v>62</v>
      </c>
      <c r="U86" s="111">
        <v>62</v>
      </c>
      <c r="V86" s="111"/>
      <c r="W86" s="18"/>
      <c r="X86" s="8"/>
      <c r="Y86" s="8"/>
      <c r="Z86" s="134">
        <f t="shared" si="6"/>
        <v>5</v>
      </c>
      <c r="AA86" s="130">
        <f t="shared" si="7"/>
        <v>5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90">
        <v>38</v>
      </c>
      <c r="I87" s="190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>
        <v>62</v>
      </c>
      <c r="U87" s="111">
        <v>62</v>
      </c>
      <c r="V87" s="111"/>
      <c r="W87" s="18"/>
      <c r="X87" s="8"/>
      <c r="Y87" s="8"/>
      <c r="Z87" s="134">
        <f t="shared" si="6"/>
        <v>5</v>
      </c>
      <c r="AA87" s="130">
        <f t="shared" si="7"/>
        <v>5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90">
        <v>38</v>
      </c>
      <c r="I88" s="190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>
        <v>62</v>
      </c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1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90">
        <v>38</v>
      </c>
      <c r="I89" s="190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90">
        <v>38</v>
      </c>
      <c r="I90" s="190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90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8"/>
      <c r="F92" s="18">
        <v>1</v>
      </c>
      <c r="G92" s="17"/>
      <c r="H92" s="8">
        <v>49</v>
      </c>
      <c r="I92" s="8">
        <v>49</v>
      </c>
      <c r="J92" s="18">
        <v>2</v>
      </c>
      <c r="K92" s="17"/>
      <c r="L92" s="152">
        <v>150</v>
      </c>
      <c r="M92" s="138">
        <v>58</v>
      </c>
      <c r="N92" s="18"/>
      <c r="O92" s="17" t="s">
        <v>32</v>
      </c>
      <c r="P92" s="8"/>
      <c r="Q92" s="138">
        <v>58</v>
      </c>
      <c r="R92" s="114"/>
      <c r="S92" s="114" t="s">
        <v>32</v>
      </c>
      <c r="T92" s="8"/>
      <c r="U92" s="152">
        <v>150</v>
      </c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3</v>
      </c>
      <c r="AC92" s="21">
        <f t="shared" si="8"/>
        <v>2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8"/>
      <c r="E93" s="8">
        <v>55</v>
      </c>
      <c r="F93" s="18"/>
      <c r="G93" s="17"/>
      <c r="H93" s="8">
        <v>49</v>
      </c>
      <c r="I93" s="8">
        <v>49</v>
      </c>
      <c r="J93" s="18">
        <v>2</v>
      </c>
      <c r="K93" s="17"/>
      <c r="L93" s="138">
        <v>58</v>
      </c>
      <c r="M93" s="138">
        <v>58</v>
      </c>
      <c r="N93" s="18">
        <v>1</v>
      </c>
      <c r="O93" s="17" t="s">
        <v>287</v>
      </c>
      <c r="P93" s="138">
        <v>58</v>
      </c>
      <c r="Q93" s="138">
        <v>58</v>
      </c>
      <c r="R93" s="114">
        <v>1</v>
      </c>
      <c r="S93" s="114" t="s">
        <v>287</v>
      </c>
      <c r="T93" s="152">
        <v>150</v>
      </c>
      <c r="U93" s="8">
        <v>30</v>
      </c>
      <c r="V93" s="18"/>
      <c r="W93" s="18" t="s">
        <v>158</v>
      </c>
      <c r="X93" s="8"/>
      <c r="Y93" s="8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8">
        <v>55</v>
      </c>
      <c r="E94" s="8">
        <v>55</v>
      </c>
      <c r="F94" s="18"/>
      <c r="G94" s="17"/>
      <c r="H94" s="8">
        <v>49</v>
      </c>
      <c r="I94" s="8">
        <v>49</v>
      </c>
      <c r="J94" s="18">
        <v>2</v>
      </c>
      <c r="K94" s="17"/>
      <c r="L94" s="138">
        <v>58</v>
      </c>
      <c r="M94" s="138">
        <v>58</v>
      </c>
      <c r="N94" s="18">
        <v>1</v>
      </c>
      <c r="O94" s="17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8"/>
      <c r="Y94" s="8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8">
        <v>55</v>
      </c>
      <c r="E95" s="8">
        <v>55</v>
      </c>
      <c r="F95" s="18"/>
      <c r="G95" s="17"/>
      <c r="H95" s="8">
        <v>49</v>
      </c>
      <c r="I95" s="8">
        <v>49</v>
      </c>
      <c r="J95" s="18">
        <v>2</v>
      </c>
      <c r="K95" s="17"/>
      <c r="L95" s="138">
        <v>58</v>
      </c>
      <c r="M95" s="138">
        <v>58</v>
      </c>
      <c r="N95" s="18">
        <v>1</v>
      </c>
      <c r="O95" s="17"/>
      <c r="P95" s="138">
        <v>58</v>
      </c>
      <c r="Q95" s="160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8"/>
      <c r="Y95" s="8">
        <v>58</v>
      </c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8">
        <v>55</v>
      </c>
      <c r="E96" s="8">
        <v>55</v>
      </c>
      <c r="F96" s="18"/>
      <c r="G96" s="17"/>
      <c r="H96" s="8">
        <v>49</v>
      </c>
      <c r="I96" s="8">
        <v>49</v>
      </c>
      <c r="J96" s="18">
        <v>2</v>
      </c>
      <c r="K96" s="17"/>
      <c r="L96" s="138">
        <v>58</v>
      </c>
      <c r="M96" s="152">
        <v>115</v>
      </c>
      <c r="N96" s="18">
        <v>1</v>
      </c>
      <c r="O96" s="17" t="s">
        <v>155</v>
      </c>
      <c r="P96" s="159">
        <v>57</v>
      </c>
      <c r="Q96" s="160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8">
        <v>58</v>
      </c>
      <c r="Y96" s="8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8">
        <v>55</v>
      </c>
      <c r="E97" s="114">
        <v>94</v>
      </c>
      <c r="F97" s="18"/>
      <c r="G97" s="17" t="s">
        <v>32</v>
      </c>
      <c r="H97" s="8">
        <v>49</v>
      </c>
      <c r="I97" s="8">
        <v>49</v>
      </c>
      <c r="J97" s="18">
        <v>2</v>
      </c>
      <c r="K97" s="17"/>
      <c r="L97" s="152">
        <v>115</v>
      </c>
      <c r="M97" s="152">
        <v>115</v>
      </c>
      <c r="N97" s="18">
        <v>2</v>
      </c>
      <c r="O97" s="17"/>
      <c r="P97" s="159">
        <v>57</v>
      </c>
      <c r="Q97" s="160">
        <v>57</v>
      </c>
      <c r="R97" s="114"/>
      <c r="S97" s="114"/>
      <c r="T97" s="8">
        <v>30</v>
      </c>
      <c r="U97" s="213">
        <v>132</v>
      </c>
      <c r="V97" s="18">
        <v>2</v>
      </c>
      <c r="W97" s="18"/>
      <c r="X97" s="8"/>
      <c r="Y97" s="8"/>
      <c r="Z97" s="134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14">
        <v>94</v>
      </c>
      <c r="E98" s="114">
        <v>94</v>
      </c>
      <c r="F98" s="18"/>
      <c r="G98" s="17" t="s">
        <v>156</v>
      </c>
      <c r="H98" s="8">
        <v>49</v>
      </c>
      <c r="I98" s="8"/>
      <c r="J98" s="18">
        <v>2</v>
      </c>
      <c r="K98" s="17"/>
      <c r="L98" s="151">
        <v>115</v>
      </c>
      <c r="M98" s="152">
        <v>115</v>
      </c>
      <c r="N98" s="18">
        <v>2</v>
      </c>
      <c r="O98" s="17"/>
      <c r="P98" s="159">
        <v>57</v>
      </c>
      <c r="Q98" s="160">
        <v>57</v>
      </c>
      <c r="R98" s="114"/>
      <c r="S98" s="114"/>
      <c r="T98" s="213">
        <v>132</v>
      </c>
      <c r="U98" s="213">
        <v>132</v>
      </c>
      <c r="V98" s="18">
        <v>2</v>
      </c>
      <c r="W98" s="18"/>
      <c r="X98" s="20"/>
      <c r="Y98" s="20"/>
      <c r="Z98" s="134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14">
        <v>94</v>
      </c>
      <c r="E99" s="114">
        <v>94</v>
      </c>
      <c r="F99" s="18"/>
      <c r="G99" s="17"/>
      <c r="H99" s="112"/>
      <c r="I99" s="138">
        <v>74</v>
      </c>
      <c r="J99" s="18"/>
      <c r="K99" s="17"/>
      <c r="L99" s="151">
        <v>115</v>
      </c>
      <c r="M99" s="138">
        <v>74</v>
      </c>
      <c r="N99" s="18">
        <v>2</v>
      </c>
      <c r="O99" s="18"/>
      <c r="P99" s="159">
        <v>57</v>
      </c>
      <c r="Q99" s="160">
        <v>57</v>
      </c>
      <c r="R99" s="114"/>
      <c r="S99" s="114"/>
      <c r="T99" s="213">
        <v>132</v>
      </c>
      <c r="U99" s="213">
        <v>132</v>
      </c>
      <c r="V99" s="18">
        <v>2</v>
      </c>
      <c r="W99" s="18"/>
      <c r="X99" s="112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89">
        <v>94</v>
      </c>
      <c r="E100" s="137">
        <v>11</v>
      </c>
      <c r="F100" s="18"/>
      <c r="G100" s="17" t="s">
        <v>157</v>
      </c>
      <c r="H100" s="140">
        <v>74</v>
      </c>
      <c r="I100" s="138">
        <v>74</v>
      </c>
      <c r="J100" s="18">
        <v>2</v>
      </c>
      <c r="K100" s="17"/>
      <c r="L100" s="138">
        <v>74</v>
      </c>
      <c r="M100" s="138">
        <v>74</v>
      </c>
      <c r="N100" s="18">
        <v>1</v>
      </c>
      <c r="O100" s="18"/>
      <c r="P100" s="159">
        <v>57</v>
      </c>
      <c r="Q100" s="160">
        <v>57</v>
      </c>
      <c r="R100" s="114"/>
      <c r="S100" s="114"/>
      <c r="T100" s="215">
        <v>132</v>
      </c>
      <c r="U100" s="8">
        <v>50</v>
      </c>
      <c r="V100" s="18">
        <v>2</v>
      </c>
      <c r="W100" s="18"/>
      <c r="X100" s="112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7">
        <v>11</v>
      </c>
      <c r="E101" s="137">
        <v>11</v>
      </c>
      <c r="F101" s="18"/>
      <c r="G101" s="17" t="s">
        <v>156</v>
      </c>
      <c r="H101" s="140">
        <v>74</v>
      </c>
      <c r="I101" s="138">
        <v>74</v>
      </c>
      <c r="J101" s="18">
        <v>2</v>
      </c>
      <c r="K101" s="17"/>
      <c r="L101" s="138">
        <v>74</v>
      </c>
      <c r="M101" s="138">
        <v>74</v>
      </c>
      <c r="N101" s="18">
        <v>1</v>
      </c>
      <c r="O101" s="18"/>
      <c r="P101" s="159">
        <v>57</v>
      </c>
      <c r="Q101" s="138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2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7">
        <v>11</v>
      </c>
      <c r="E102" s="137">
        <v>11</v>
      </c>
      <c r="F102" s="18"/>
      <c r="G102" s="17"/>
      <c r="H102" s="138">
        <v>74</v>
      </c>
      <c r="I102" s="138">
        <v>74</v>
      </c>
      <c r="J102" s="18">
        <v>2</v>
      </c>
      <c r="K102" s="17"/>
      <c r="L102" s="138">
        <v>74</v>
      </c>
      <c r="M102" s="138">
        <v>74</v>
      </c>
      <c r="N102" s="18">
        <v>1</v>
      </c>
      <c r="O102" s="18"/>
      <c r="P102" s="138">
        <v>138</v>
      </c>
      <c r="Q102" s="138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7">
        <v>11</v>
      </c>
      <c r="E103" s="137">
        <v>11</v>
      </c>
      <c r="F103" s="18"/>
      <c r="G103" s="17"/>
      <c r="H103" s="138">
        <v>74</v>
      </c>
      <c r="I103" s="8">
        <v>32</v>
      </c>
      <c r="J103" s="18">
        <v>2</v>
      </c>
      <c r="K103" s="17" t="s">
        <v>155</v>
      </c>
      <c r="L103" s="138">
        <v>74</v>
      </c>
      <c r="M103" s="153">
        <v>33</v>
      </c>
      <c r="N103" s="18">
        <v>1</v>
      </c>
      <c r="O103" s="18" t="s">
        <v>32</v>
      </c>
      <c r="P103" s="138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4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37">
        <v>11</v>
      </c>
      <c r="E104" s="137">
        <v>11</v>
      </c>
      <c r="F104" s="18"/>
      <c r="G104" s="17"/>
      <c r="H104" s="111">
        <v>32</v>
      </c>
      <c r="I104" s="111">
        <v>32</v>
      </c>
      <c r="J104" s="111">
        <v>2</v>
      </c>
      <c r="K104" s="186" t="s">
        <v>156</v>
      </c>
      <c r="L104" s="153">
        <v>33</v>
      </c>
      <c r="M104" s="153">
        <v>33</v>
      </c>
      <c r="N104" s="111">
        <v>1</v>
      </c>
      <c r="O104" s="111" t="s">
        <v>156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20"/>
      <c r="Y104" s="20"/>
      <c r="Z104" s="134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37">
        <v>11</v>
      </c>
      <c r="E105" s="8"/>
      <c r="F105" s="18"/>
      <c r="G105" s="17"/>
      <c r="H105" s="111">
        <v>32</v>
      </c>
      <c r="I105" s="111">
        <v>32</v>
      </c>
      <c r="J105" s="111">
        <v>2</v>
      </c>
      <c r="K105" s="186"/>
      <c r="L105" s="153">
        <v>33</v>
      </c>
      <c r="M105" s="153">
        <v>33</v>
      </c>
      <c r="N105" s="111">
        <v>1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20"/>
      <c r="Y105" s="20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8"/>
      <c r="E106" s="8"/>
      <c r="F106" s="18"/>
      <c r="G106" s="17"/>
      <c r="H106" s="8">
        <v>32</v>
      </c>
      <c r="I106" s="8">
        <v>32</v>
      </c>
      <c r="J106" s="18">
        <v>2</v>
      </c>
      <c r="K106" s="17"/>
      <c r="L106" s="153">
        <v>33</v>
      </c>
      <c r="M106" s="153">
        <v>33</v>
      </c>
      <c r="N106" s="111">
        <v>1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20"/>
      <c r="Y106" s="20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8"/>
      <c r="E107" s="8">
        <v>59</v>
      </c>
      <c r="F107" s="18"/>
      <c r="G107" s="17" t="s">
        <v>155</v>
      </c>
      <c r="H107" s="8">
        <v>32</v>
      </c>
      <c r="I107" s="8">
        <v>32</v>
      </c>
      <c r="J107" s="18">
        <v>2</v>
      </c>
      <c r="K107" s="17"/>
      <c r="L107" s="153">
        <v>33</v>
      </c>
      <c r="M107" s="153">
        <v>33</v>
      </c>
      <c r="N107" s="18">
        <v>1</v>
      </c>
      <c r="O107" s="18"/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20"/>
      <c r="Y107" s="20"/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8">
        <v>59</v>
      </c>
      <c r="E108" s="8">
        <v>59</v>
      </c>
      <c r="F108" s="18">
        <v>2</v>
      </c>
      <c r="G108" s="17"/>
      <c r="H108" s="8">
        <v>32</v>
      </c>
      <c r="I108" s="8">
        <v>32</v>
      </c>
      <c r="J108" s="18">
        <v>2</v>
      </c>
      <c r="K108" s="17"/>
      <c r="L108" s="153">
        <v>33</v>
      </c>
      <c r="M108" s="153">
        <v>33</v>
      </c>
      <c r="N108" s="2">
        <v>1</v>
      </c>
      <c r="O108" s="18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20"/>
      <c r="Y108" s="20"/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8">
        <v>59</v>
      </c>
      <c r="E109" s="8">
        <v>59</v>
      </c>
      <c r="F109" s="18">
        <v>2</v>
      </c>
      <c r="G109" s="17"/>
      <c r="H109" s="12">
        <v>32</v>
      </c>
      <c r="I109" s="8">
        <v>32</v>
      </c>
      <c r="J109" s="18">
        <v>2</v>
      </c>
      <c r="K109" s="17"/>
      <c r="L109" s="153">
        <v>33</v>
      </c>
      <c r="M109" s="153">
        <v>33</v>
      </c>
      <c r="N109" s="18">
        <v>1</v>
      </c>
      <c r="O109" s="18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20"/>
      <c r="Y109" s="20"/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8">
        <v>59</v>
      </c>
      <c r="E110" s="8">
        <v>59</v>
      </c>
      <c r="F110" s="18">
        <v>2</v>
      </c>
      <c r="G110" s="17"/>
      <c r="H110" s="8">
        <v>32</v>
      </c>
      <c r="I110" s="153">
        <v>46</v>
      </c>
      <c r="J110" s="18">
        <v>2</v>
      </c>
      <c r="K110" s="17"/>
      <c r="L110" s="153">
        <v>33</v>
      </c>
      <c r="M110" s="8">
        <v>23</v>
      </c>
      <c r="N110" s="18">
        <v>1</v>
      </c>
      <c r="O110" s="18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20"/>
      <c r="Y110" s="20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59</v>
      </c>
      <c r="E111" s="114">
        <v>121</v>
      </c>
      <c r="F111" s="18">
        <v>2</v>
      </c>
      <c r="G111" s="17"/>
      <c r="H111" s="153">
        <v>46</v>
      </c>
      <c r="I111" s="153">
        <v>46</v>
      </c>
      <c r="J111" s="18"/>
      <c r="K111" s="17"/>
      <c r="L111" s="8">
        <v>23</v>
      </c>
      <c r="M111" s="8">
        <v>23</v>
      </c>
      <c r="N111" s="18">
        <v>2</v>
      </c>
      <c r="O111" s="18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20">
        <v>121</v>
      </c>
      <c r="Y111" s="20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114">
        <v>121</v>
      </c>
      <c r="E112" s="114">
        <v>121</v>
      </c>
      <c r="F112" s="18"/>
      <c r="G112" s="17"/>
      <c r="H112" s="153">
        <v>46</v>
      </c>
      <c r="I112" s="153">
        <v>46</v>
      </c>
      <c r="J112" s="18"/>
      <c r="K112" s="17"/>
      <c r="L112" s="8">
        <v>23</v>
      </c>
      <c r="M112" s="8">
        <v>23</v>
      </c>
      <c r="N112" s="18">
        <v>2</v>
      </c>
      <c r="O112" s="18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20"/>
      <c r="Y112" s="20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114">
        <v>121</v>
      </c>
      <c r="E113" s="8"/>
      <c r="F113" s="18"/>
      <c r="G113" s="17"/>
      <c r="H113" s="153">
        <v>46</v>
      </c>
      <c r="I113" s="153">
        <v>46</v>
      </c>
      <c r="J113" s="18"/>
      <c r="K113" s="17"/>
      <c r="L113" s="8">
        <v>23</v>
      </c>
      <c r="M113" s="8"/>
      <c r="N113" s="18">
        <v>2</v>
      </c>
      <c r="O113" s="18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20"/>
      <c r="Y113" s="20"/>
      <c r="Z113" s="134">
        <f t="shared" si="6"/>
        <v>6</v>
      </c>
      <c r="AA113" s="130">
        <f t="shared" si="7"/>
        <v>2</v>
      </c>
      <c r="AB113" s="57">
        <f t="shared" si="5"/>
        <v>1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/>
      <c r="E114" s="8">
        <v>26</v>
      </c>
      <c r="F114" s="18"/>
      <c r="G114" s="17" t="s">
        <v>23</v>
      </c>
      <c r="H114" s="153">
        <v>46</v>
      </c>
      <c r="I114" s="111"/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20"/>
      <c r="Y114" s="20"/>
      <c r="Z114" s="134">
        <f t="shared" si="6"/>
        <v>2</v>
      </c>
      <c r="AA114" s="130">
        <f t="shared" si="7"/>
        <v>4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/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0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57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38"/>
      <c r="Y117" s="157">
        <v>54</v>
      </c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58">
        <v>54</v>
      </c>
      <c r="I118" s="157">
        <v>54</v>
      </c>
      <c r="J118" s="18">
        <v>2</v>
      </c>
      <c r="K118" s="17"/>
      <c r="L118" s="12">
        <v>52</v>
      </c>
      <c r="M118" s="157">
        <v>54</v>
      </c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57">
        <v>54</v>
      </c>
      <c r="Y118" s="138"/>
      <c r="Z118" s="134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58">
        <v>54</v>
      </c>
      <c r="I119" s="157">
        <v>54</v>
      </c>
      <c r="J119" s="18">
        <v>2</v>
      </c>
      <c r="K119" s="17"/>
      <c r="L119" s="157">
        <v>54</v>
      </c>
      <c r="M119" s="157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58">
        <v>54</v>
      </c>
      <c r="I120" s="138">
        <v>120</v>
      </c>
      <c r="J120" s="18">
        <v>2</v>
      </c>
      <c r="K120" s="17" t="s">
        <v>155</v>
      </c>
      <c r="L120" s="157">
        <v>54</v>
      </c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90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90">
        <v>60</v>
      </c>
      <c r="Q122" s="190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0">
        <v>60</v>
      </c>
      <c r="Q123" s="190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90">
        <v>60</v>
      </c>
      <c r="Q124" s="190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0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113</v>
      </c>
      <c r="R132" s="114"/>
      <c r="S132" s="114" t="s">
        <v>32</v>
      </c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6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113</v>
      </c>
      <c r="Q133" s="8">
        <v>113</v>
      </c>
      <c r="R133" s="114"/>
      <c r="S133" s="114"/>
      <c r="T133" s="139">
        <v>126</v>
      </c>
      <c r="U133" s="216"/>
      <c r="V133" s="114">
        <v>1</v>
      </c>
      <c r="W133" s="114"/>
      <c r="X133" s="216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6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8"/>
      <c r="N134" s="18"/>
      <c r="O134" s="18"/>
      <c r="P134" s="8">
        <v>113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3</v>
      </c>
      <c r="AB134" s="57">
        <f t="shared" si="10"/>
        <v>2</v>
      </c>
      <c r="AC134" s="21">
        <f t="shared" si="9"/>
        <v>3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6"/>
      <c r="H135" s="139">
        <v>145</v>
      </c>
      <c r="I135" s="138">
        <v>145</v>
      </c>
      <c r="J135" s="18">
        <v>2</v>
      </c>
      <c r="K135" s="17"/>
      <c r="L135" s="8"/>
      <c r="M135" s="8"/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4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6"/>
      <c r="H136" s="139">
        <v>145</v>
      </c>
      <c r="I136" s="138">
        <v>145</v>
      </c>
      <c r="J136" s="18">
        <v>2</v>
      </c>
      <c r="K136" s="17"/>
      <c r="L136" s="8"/>
      <c r="M136" s="8"/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4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6"/>
      <c r="H137" s="139">
        <v>145</v>
      </c>
      <c r="I137" s="138">
        <v>145</v>
      </c>
      <c r="J137" s="18">
        <v>2</v>
      </c>
      <c r="K137" s="17"/>
      <c r="L137" s="8"/>
      <c r="M137" s="8"/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3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6"/>
      <c r="E138" s="111"/>
      <c r="F138" s="111"/>
      <c r="G138" s="186"/>
      <c r="H138" s="139">
        <v>145</v>
      </c>
      <c r="I138" s="138">
        <v>145</v>
      </c>
      <c r="J138" s="18">
        <v>2</v>
      </c>
      <c r="K138" s="17"/>
      <c r="L138" s="8"/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1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6"/>
      <c r="E139" s="137">
        <v>89</v>
      </c>
      <c r="F139" s="18">
        <v>2</v>
      </c>
      <c r="G139" s="17"/>
      <c r="H139" s="139">
        <v>144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8">
        <v>89</v>
      </c>
      <c r="E140" s="137">
        <v>89</v>
      </c>
      <c r="F140" s="18">
        <v>1</v>
      </c>
      <c r="G140" s="17"/>
      <c r="H140" s="188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8">
        <v>89</v>
      </c>
      <c r="E141" s="8"/>
      <c r="F141" s="18">
        <v>1</v>
      </c>
      <c r="G141" s="17"/>
      <c r="H141" s="188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>
        <v>41</v>
      </c>
      <c r="F145" s="18"/>
      <c r="G145" s="17" t="s">
        <v>158</v>
      </c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/>
      <c r="R145" s="114">
        <v>2</v>
      </c>
      <c r="S145" s="114"/>
      <c r="T145" s="8">
        <v>22</v>
      </c>
      <c r="U145" s="153">
        <v>42</v>
      </c>
      <c r="V145" s="18"/>
      <c r="W145" s="18" t="s">
        <v>32</v>
      </c>
      <c r="X145" s="20"/>
      <c r="Y145" s="20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8">
        <v>41</v>
      </c>
      <c r="E146" s="8">
        <v>41</v>
      </c>
      <c r="F146" s="18"/>
      <c r="G146" s="17"/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111"/>
      <c r="Q146" s="111"/>
      <c r="R146" s="114">
        <v>2</v>
      </c>
      <c r="S146" s="114"/>
      <c r="T146" s="153">
        <v>42</v>
      </c>
      <c r="U146" s="153">
        <v>42</v>
      </c>
      <c r="V146" s="111"/>
      <c r="W146" s="111"/>
      <c r="X146" s="20"/>
      <c r="Y146" s="20"/>
      <c r="Z146" s="134">
        <f t="shared" si="11"/>
        <v>6</v>
      </c>
      <c r="AA146" s="130">
        <f t="shared" si="12"/>
        <v>4</v>
      </c>
      <c r="AB146" s="57">
        <f t="shared" si="10"/>
        <v>0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8">
        <v>41</v>
      </c>
      <c r="E147" s="8"/>
      <c r="F147" s="18"/>
      <c r="G147" s="17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111"/>
      <c r="Q147" s="111"/>
      <c r="R147" s="114">
        <v>2</v>
      </c>
      <c r="S147" s="114"/>
      <c r="T147" s="153">
        <v>42</v>
      </c>
      <c r="U147" s="153">
        <v>42</v>
      </c>
      <c r="V147" s="111"/>
      <c r="W147" s="111"/>
      <c r="X147" s="20"/>
      <c r="Y147" s="20"/>
      <c r="Z147" s="134">
        <f t="shared" si="11"/>
        <v>6</v>
      </c>
      <c r="AA147" s="130">
        <f t="shared" si="12"/>
        <v>2</v>
      </c>
      <c r="AB147" s="57">
        <f t="shared" si="10"/>
        <v>0</v>
      </c>
      <c r="AC147" s="21">
        <f t="shared" si="13"/>
        <v>2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8"/>
      <c r="E148" s="8"/>
      <c r="F148" s="18"/>
      <c r="G148" s="17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11"/>
      <c r="Q148" s="8"/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2</v>
      </c>
      <c r="AB148" s="57">
        <f t="shared" si="10"/>
        <v>1</v>
      </c>
      <c r="AC148" s="21">
        <f t="shared" si="13"/>
        <v>1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8"/>
      <c r="Q149" s="8"/>
      <c r="R149" s="114"/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4</v>
      </c>
      <c r="AA149" s="130">
        <f t="shared" si="12"/>
        <v>2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8"/>
      <c r="Q150" s="8"/>
      <c r="R150" s="114"/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3</v>
      </c>
      <c r="AA150" s="130">
        <f t="shared" si="12"/>
        <v>2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38">
        <v>146</v>
      </c>
      <c r="N151" s="18">
        <v>2</v>
      </c>
      <c r="O151" s="18"/>
      <c r="P151" s="8"/>
      <c r="Q151" s="8"/>
      <c r="R151" s="114"/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3</v>
      </c>
      <c r="AA151" s="130">
        <f t="shared" si="12"/>
        <v>2</v>
      </c>
      <c r="AB151" s="57">
        <f t="shared" si="10"/>
        <v>0</v>
      </c>
      <c r="AC151" s="21">
        <f t="shared" si="13"/>
        <v>0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38">
        <v>146</v>
      </c>
      <c r="M152" s="138">
        <v>146</v>
      </c>
      <c r="N152" s="18">
        <v>2</v>
      </c>
      <c r="O152" s="18"/>
      <c r="P152" s="8"/>
      <c r="Q152" s="8"/>
      <c r="R152" s="114"/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38">
        <v>146</v>
      </c>
      <c r="M153" s="8"/>
      <c r="N153" s="18">
        <v>2</v>
      </c>
      <c r="O153" s="18"/>
      <c r="P153" s="8"/>
      <c r="Q153" s="8"/>
      <c r="R153" s="114"/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1</v>
      </c>
      <c r="AB153" s="57">
        <f t="shared" si="10"/>
        <v>0</v>
      </c>
      <c r="AC153" s="21">
        <f t="shared" si="13"/>
        <v>1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8"/>
      <c r="Q154" s="8"/>
      <c r="R154" s="114"/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1</v>
      </c>
      <c r="AA154" s="130">
        <f t="shared" si="12"/>
        <v>0</v>
      </c>
      <c r="AB154" s="57">
        <f t="shared" si="10"/>
        <v>0</v>
      </c>
      <c r="AC154" s="21">
        <f t="shared" si="13"/>
        <v>1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T99 O103:Y123 D99:M115 O99:S102 U99:Z102 T101:T102 W141:X171 W124:W140 D92:Y98 O2:Y91 Y138:Y171 X138 X124:Y137 D124:V171 D52:G58 H52:H57 D59:M9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DK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IFERROR(IF(AND(booking!AB45&gt;0,booking!T45&lt;&gt;booking!U45),VLOOKUP(booking!U45,Database!$A$1:'Database'!$L$189,6,FALSE),"-"),"-")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-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N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-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IFERROR(IF(AND(booking!AB83&gt;0,booking!L83&lt;&gt;booking!M83),VLOOKUP(booking!M83,Database!$A$1:'Database'!$L$189,6,FALSE),"-"),"-")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-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-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Y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udc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-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udc</v>
      </c>
      <c r="I92" s="47" t="str">
        <f>IFERROR(IF(AND(booking!AB92&gt;0,booking!L92&lt;&gt;booking!M92),VLOOKUP(booking!M92,Database!$A$1:'Database'!$L$189,6,FALSE),"-"),"-")</f>
        <v>DK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DK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DK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-</v>
      </c>
      <c r="I93" s="47" t="str">
        <f>IFERROR(IF(AND(booking!AB93&gt;0,booking!L93&lt;&gt;booking!M93),VLOOKUP(booking!M93,Database!$A$1:'Database'!$L$189,6,FALSE),"-"),"-")</f>
        <v>-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udc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-</v>
      </c>
      <c r="E96" s="47" t="str">
        <f>IFERROR(IF(AND(booking!AB96&gt;0,booking!D96&lt;&gt;booking!E96),VLOOKUP(booking!E96,Database!$A$1:'Database'!$L$189,6,FALSE),"-"),"-")</f>
        <v>-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udc</v>
      </c>
      <c r="I96" s="47" t="str">
        <f>IFERROR(IF(AND(booking!AB96&gt;0,booking!L96&lt;&gt;booking!M96),VLOOKUP(booking!M96,Database!$A$1:'Database'!$L$189,6,FALSE),"-"),"-")</f>
        <v>DK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udc</v>
      </c>
      <c r="E97" s="47" t="str">
        <f>IFERROR(IF(AND(booking!AB97&gt;0,booking!D97&lt;&gt;booking!E97),VLOOKUP(booking!E97,Database!$A$1:'Database'!$L$189,6,FALSE),"-"),"-")</f>
        <v>D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-</v>
      </c>
      <c r="I97" s="47" t="str">
        <f>IFERROR(IF(AND(booking!AB97&gt;0,booking!L97&lt;&gt;booking!M97),VLOOKUP(booking!M97,Database!$A$1:'Database'!$L$189,6,FALSE),"-"),"-")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-</v>
      </c>
      <c r="E99" s="47" t="str">
        <f>IFERROR(IF(AND(booking!AB99&gt;0,booking!D99&lt;&gt;booking!E99),VLOOKUP(booking!E99,Database!$A$1:'Database'!$L$189,6,FALSE),"-"),"-")</f>
        <v>-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udc</v>
      </c>
      <c r="I99" s="47" t="str">
        <f>IFERROR(IF(AND(booking!AB99&gt;0,booking!L99&lt;&gt;booking!M99),VLOOKUP(booking!M99,Database!$A$1:'Database'!$L$189,6,FALSE),"-"),"-")</f>
        <v>DK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udc</v>
      </c>
      <c r="E100" s="47" t="str">
        <f>IFERROR(IF(AND(booking!AB100&gt;0,booking!D100&lt;&gt;booking!E100),VLOOKUP(booking!E100,Database!$A$1:'Database'!$L$189,6,FALSE),"-"),"-")</f>
        <v>D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IFERROR(IF(AND(booking!AB100&gt;0,booking!L100&lt;&gt;booking!M100),VLOOKUP(booking!M100,Database!$A$1:'Database'!$L$189,6,FALSE),"-"),"-")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-</v>
      </c>
      <c r="E103" s="47" t="str">
        <f>IFERROR(IF(AND(booking!AB103&gt;0,booking!D103&lt;&gt;booking!E103),VLOOKUP(booking!E103,Database!$A$1:'Database'!$L$189,6,FALSE),"-"),"-")</f>
        <v>-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udc</v>
      </c>
      <c r="I103" s="47" t="str">
        <f>IFERROR(IF(AND(booking!AB103&gt;0,booking!L103&lt;&gt;booking!M103),VLOOKUP(booking!M103,Database!$A$1:'Database'!$L$189,6,FALSE),"-"),"-")</f>
        <v>D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udc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DK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-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-</v>
      </c>
      <c r="E110" s="47" t="str">
        <f>IFERROR(IF(AND(booking!AB110&gt;0,booking!D110&lt;&gt;booking!E110),VLOOKUP(booking!E110,Database!$A$1:'Database'!$L$189,6,FALSE),"-"),"-")</f>
        <v>-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udc</v>
      </c>
      <c r="I110" s="47" t="str">
        <f>IFERROR(IF(AND(booking!AB110&gt;0,booking!L110&lt;&gt;booking!M110),VLOOKUP(booking!M110,Database!$A$1:'Database'!$L$189,6,FALSE),"-"),"-")</f>
        <v>DK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udc</v>
      </c>
      <c r="E111" s="47" t="str">
        <f>IFERROR(IF(AND(booking!AB111&gt;0,booking!D111&lt;&gt;booking!E111),VLOOKUP(booking!E111,Database!$A$1:'Database'!$L$189,6,FALSE),"-"),"-")</f>
        <v>DK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-</v>
      </c>
      <c r="I111" s="47" t="str">
        <f>IFERROR(IF(AND(booking!AB111&gt;0,booking!L111&lt;&gt;booking!M111),VLOOKUP(booking!M111,Database!$A$1:'Database'!$L$189,6,FALSE),"-"),"-")</f>
        <v>-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udc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-</v>
      </c>
      <c r="G113" s="47" t="str">
        <f>IFERROR(IF(AND(booking!AB113&gt;0,booking!H113&lt;&gt;booking!I113),VLOOKUP(booking!I113,Database!$A$1:'Database'!$L$189,6,FALSE),"-"),"-")</f>
        <v>-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-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udc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-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-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DK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IFERROR(IF(AND(booking!AB132&gt;0,booking!H132&lt;&gt;booking!I132),VLOOKUP(booking!I132,Database!$A$1:'Database'!$L$189,6,FALSE),"-"),"-")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IFERROR(IF(AND(booking!AB133&gt;0,booking!H133&lt;&gt;booking!I133),VLOOKUP(booking!I133,Database!$A$1:'Database'!$L$189,6,FALSE),"-"),"-")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IFERROR(IF(AND(booking!AB134&gt;0,booking!H134&lt;&gt;booking!I134),VLOOKUP(booking!I134,Database!$A$1:'Database'!$L$189,6,FALSE),"-"),"-")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IFERROR(IF(AND(booking!AB134&gt;0,booking!L134&lt;&gt;booking!M134),VLOOKUP(booking!M134,Database!$A$1:'Database'!$L$189,6,FALSE),"-"),"-")</f>
        <v>-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-</v>
      </c>
      <c r="I138" s="47" t="str">
        <f>IFERROR(IF(AND(booking!AB138&gt;0,booking!L138&lt;&gt;booking!M138),VLOOKUP(booking!M138,Database!$A$1:'Database'!$L$189,6,FALSE),"-"),"-")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DK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-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-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udc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-</v>
      </c>
      <c r="K147" s="47" t="str">
        <f>IFERROR(IF(AND(booking!AB147&gt;0,booking!P147&lt;&gt;booking!Q147),VLOOKUP(booking!Q147,Database!$A$1:'Database'!$L$189,6,FALSE),"-"),"-")</f>
        <v>-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-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-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-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Y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udc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-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200" t="str">
        <f>rengoering!A1</f>
        <v>dag</v>
      </c>
      <c r="B1" s="201" t="str">
        <f>rengoering!B1</f>
        <v>dato</v>
      </c>
      <c r="C1" s="200" t="s">
        <v>512</v>
      </c>
      <c r="D1" s="202" t="s">
        <v>135</v>
      </c>
      <c r="E1" s="200" t="s">
        <v>129</v>
      </c>
      <c r="F1" s="200" t="s">
        <v>396</v>
      </c>
      <c r="G1" s="203" t="s">
        <v>397</v>
      </c>
      <c r="H1" s="203" t="s">
        <v>398</v>
      </c>
      <c r="I1" s="200" t="s">
        <v>399</v>
      </c>
      <c r="J1" s="200" t="str">
        <f>rengoering!F1</f>
        <v>V2</v>
      </c>
      <c r="K1" s="203" t="s">
        <v>400</v>
      </c>
      <c r="L1" s="203" t="s">
        <v>401</v>
      </c>
      <c r="M1" s="203" t="s">
        <v>402</v>
      </c>
      <c r="N1" s="200" t="s">
        <v>403</v>
      </c>
      <c r="O1" s="200" t="str">
        <f>rengoering!H1</f>
        <v>V3</v>
      </c>
      <c r="P1" s="203" t="s">
        <v>404</v>
      </c>
      <c r="Q1" s="203" t="s">
        <v>405</v>
      </c>
      <c r="R1" s="203" t="s">
        <v>406</v>
      </c>
      <c r="S1" s="200" t="s">
        <v>407</v>
      </c>
      <c r="T1" s="204" t="str">
        <f>rengoering!J1</f>
        <v>V4</v>
      </c>
      <c r="U1" s="203" t="s">
        <v>408</v>
      </c>
      <c r="V1" s="203" t="s">
        <v>409</v>
      </c>
      <c r="W1" s="203" t="s">
        <v>410</v>
      </c>
      <c r="X1" s="200" t="s">
        <v>411</v>
      </c>
      <c r="Y1" s="200" t="str">
        <f>rengoering!L1</f>
        <v>V5</v>
      </c>
      <c r="Z1" s="203" t="s">
        <v>412</v>
      </c>
      <c r="AA1" s="203" t="s">
        <v>413</v>
      </c>
      <c r="AB1" s="203" t="s">
        <v>414</v>
      </c>
      <c r="AC1" s="200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4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6" t="s">
        <v>427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5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5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5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4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5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5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5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4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5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5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5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4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5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5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5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4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5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5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5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4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5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5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5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4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5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5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5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4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5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5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5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4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5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5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5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4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5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5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5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4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5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5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5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4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5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5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5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4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5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5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5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4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5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5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5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4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5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5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5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4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5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5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5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4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5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5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5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4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5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5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5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4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5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5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5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4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5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5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5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4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5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5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5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4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5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5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5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4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5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5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5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4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5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5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5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4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5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5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5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4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5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5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5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4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5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5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5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4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5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5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5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4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5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5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5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4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5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5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5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4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5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5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5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4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5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5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5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4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5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5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5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4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5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5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5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4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5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5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5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4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5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5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5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4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5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5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5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4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5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5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5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4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5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5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5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4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5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5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5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4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5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5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5" t="str">
        <f>IFERROR(VLOOKUP(T42,Database!$A$2:$S$189,19,FALSE),"-")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IFERROR(VLOOKUP(Y42,Database!$A$2:$L$189,8,FALSE),"-")</f>
        <v>-</v>
      </c>
      <c r="AA42" s="77" t="str">
        <f>IFERROR(VLOOKUP(Y42,Database!$A$2:$L$189,6,FALSE),"-")</f>
        <v>-</v>
      </c>
      <c r="AB42" s="90" t="str">
        <f>IFERROR(VLOOKUP(Y42,Database!$A$2:$L$189,9,FALSE),"-")</f>
        <v>-</v>
      </c>
      <c r="AC42" s="8" t="str">
        <f>IFERROR(VLOOKUP(Y42,Database!$A$2:$S$189,19,FALSE),"-")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4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5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5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5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4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IFERROR(VLOOKUP(J44,Database!$A$2:$L$189,8,FALSE),"-")</f>
        <v>-</v>
      </c>
      <c r="L44" s="76" t="str">
        <f>IFERROR(VLOOKUP(J44,Database!$A$2:$L$189,6,FALSE),"-")</f>
        <v>-</v>
      </c>
      <c r="M44" s="91" t="str">
        <f>IFERROR(VLOOKUP(J44,Database!$A$2:$L$189,9,FALSE),"-")</f>
        <v>-</v>
      </c>
      <c r="N44" s="205" t="str">
        <f>IFERROR(VLOOKUP(J44,Database!$A$2:$S$189,19,FALSE),"-")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5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5" t="str">
        <f>IFERROR(VLOOKUP(T44,Database!$A$2:$S$189,19,FALSE),"-")</f>
        <v>YY</v>
      </c>
      <c r="Y44" s="94">
        <f>IF(AND(D44="Y",booking!T44&lt;&gt;booking!U44,booking!U44&gt;0),booking!U44,"-")</f>
        <v>17</v>
      </c>
      <c r="Z44" s="77">
        <f>IFERROR(VLOOKUP(Y44,Database!$A$2:$L$189,8,FALSE),"-")</f>
        <v>0</v>
      </c>
      <c r="AA44" s="77" t="str">
        <f>IFERROR(VLOOKUP(Y44,Database!$A$2:$L$189,6,FALSE),"-")</f>
        <v>DK</v>
      </c>
      <c r="AB44" s="90">
        <f>IFERROR(VLOOKUP(Y44,Database!$A$2:$L$189,9,FALSE),"-")</f>
        <v>0</v>
      </c>
      <c r="AC44" s="8" t="str">
        <f>IFERROR(VLOOKUP(Y44,Database!$A$2:$S$189,19,FALSE),"-")</f>
        <v>YY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4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IFERROR(VLOOKUP(J45,Database!$A$2:$L$189,8,FALSE),"-")</f>
        <v>2030</v>
      </c>
      <c r="L45" s="76" t="str">
        <f>IFERROR(VLOOKUP(J45,Database!$A$2:$L$189,6,FALSE),"-")</f>
        <v>DK</v>
      </c>
      <c r="M45" s="91">
        <f>IFERROR(VLOOKUP(J45,Database!$A$2:$L$189,9,FALSE),"-")</f>
        <v>0</v>
      </c>
      <c r="N45" s="205" t="str">
        <f>IFERROR(VLOOKUP(J45,Database!$A$2:$S$189,19,FALSE),"-")</f>
        <v>YY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5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5" t="str">
        <f>IFERROR(VLOOKUP(T45,Database!$A$2:$S$189,19,FALSE),"-")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IFERROR(VLOOKUP(Y45,Database!$A$2:$L$189,8,FALSE),"-")</f>
        <v>-</v>
      </c>
      <c r="AA45" s="77" t="str">
        <f>IFERROR(VLOOKUP(Y45,Database!$A$2:$L$189,6,FALSE),"-")</f>
        <v>-</v>
      </c>
      <c r="AB45" s="90" t="str">
        <f>IFERROR(VLOOKUP(Y45,Database!$A$2:$L$189,9,FALSE),"-")</f>
        <v>-</v>
      </c>
      <c r="AC45" s="8" t="str">
        <f>IFERROR(VLOOKUP(Y45,Database!$A$2:$S$189,19,FALSE),"-")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4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5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5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5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4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5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5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5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4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5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5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5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4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5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5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5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4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5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5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5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4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>
        <f>IF(AND(D51="Y",booking!H51&lt;&gt;booking!I51,booking!I51&gt;0),booking!I51,"-")</f>
        <v>148</v>
      </c>
      <c r="K51" s="76">
        <f>IFERROR(VLOOKUP(J51,Database!$A$2:$L$189,8,FALSE),"-")</f>
        <v>0</v>
      </c>
      <c r="L51" s="76" t="str">
        <f>IFERROR(VLOOKUP(J51,Database!$A$2:$L$189,6,FALSE),"-")</f>
        <v>DK</v>
      </c>
      <c r="M51" s="91">
        <f>IFERROR(VLOOKUP(J51,Database!$A$2:$L$189,9,FALSE),"-")</f>
        <v>0</v>
      </c>
      <c r="N51" s="205" t="str">
        <f>IFERROR(VLOOKUP(J51,Database!$A$2:$S$189,19,FALSE),"-")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5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5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4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5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5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5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4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5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5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5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4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5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5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5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4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5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5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5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4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5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5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5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4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5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5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5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4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>
        <f>IF(AND(D58="Y",booking!H58&lt;&gt;booking!I58,booking!I58&gt;0),booking!I58,"-")</f>
        <v>141</v>
      </c>
      <c r="K58" s="76">
        <f>IFERROR(VLOOKUP(J58,Database!$A$2:$L$189,8,FALSE),"-")</f>
        <v>0</v>
      </c>
      <c r="L58" s="76" t="str">
        <f>IFERROR(VLOOKUP(J58,Database!$A$2:$L$189,6,FALSE),"-")</f>
        <v>NL</v>
      </c>
      <c r="M58" s="91">
        <f>IFERROR(VLOOKUP(J58,Database!$A$2:$L$189,9,FALSE),"-")</f>
        <v>0</v>
      </c>
      <c r="N58" s="205" t="str">
        <f>IFERROR(VLOOKUP(J58,Database!$A$2:$S$189,19,FALSE),"-")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5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5" t="str">
        <f>IFERROR(VLOOKUP(T58,Database!$A$2:$S$189,19,FALSE),"-")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IFERROR(VLOOKUP(Y58,Database!$A$2:$L$189,8,FALSE),"-")</f>
        <v>-</v>
      </c>
      <c r="AA58" s="77" t="str">
        <f>IFERROR(VLOOKUP(Y58,Database!$A$2:$L$189,6,FALSE),"-")</f>
        <v>-</v>
      </c>
      <c r="AB58" s="90" t="str">
        <f>IFERROR(VLOOKUP(Y58,Database!$A$2:$L$189,9,FALSE),"-")</f>
        <v>-</v>
      </c>
      <c r="AC58" s="8" t="str">
        <f>IFERROR(VLOOKUP(Y58,Database!$A$2:$S$189,19,FALSE),"-")</f>
        <v>-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4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5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5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5" t="str">
        <f>IFERROR(VLOOKUP(T59,Database!$A$2:$S$189,19,FALSE),"-")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IFERROR(VLOOKUP(Y59,Database!$A$2:$L$189,8,FALSE),"-")</f>
        <v>2030</v>
      </c>
      <c r="AA59" s="77" t="str">
        <f>IFERROR(VLOOKUP(Y59,Database!$A$2:$L$189,6,FALSE),"-")</f>
        <v>N</v>
      </c>
      <c r="AB59" s="90" t="str">
        <f>IFERROR(VLOOKUP(Y59,Database!$A$2:$L$189,9,FALSE),"-")</f>
        <v>dobb</v>
      </c>
      <c r="AC59" s="8" t="str">
        <f>IFERROR(VLOOKUP(Y59,Database!$A$2:$S$189,19,FALSE),"-")</f>
        <v>N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4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5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5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5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4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5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5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5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4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5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5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5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4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5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5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5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4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5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5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5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4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5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5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5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4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5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5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5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4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5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5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5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4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5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5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5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4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5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5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5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4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5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5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5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4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5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5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5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4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5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5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5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4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5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5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5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4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5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5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5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4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69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5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5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5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4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5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5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5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4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5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5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5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4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5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5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5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4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5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5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5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4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5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5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5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4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5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5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5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4" t="str">
        <f>IF(booking!A82&gt;0,booking!A82,"-")</f>
        <v>-</v>
      </c>
      <c r="D82" s="87" t="str">
        <f>IF(booking!AB82&gt;0,"Y","-")</f>
        <v>-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5" t="str">
        <f>IFERROR(VLOOKUP(J82,Database!$A$2:$S$189,19,FALSE),"-")</f>
        <v>-</v>
      </c>
      <c r="O82" s="94" t="str">
        <f>IF(AND(D82="Y",booking!L82&lt;&gt;booking!M82,booking!M82&gt;0),booking!M82,"-")</f>
        <v>-</v>
      </c>
      <c r="P82" s="76" t="str">
        <f>IFERROR(VLOOKUP(O82,Database!$A$2:$L$189,8,FALSE),"-")</f>
        <v>-</v>
      </c>
      <c r="Q82" s="76" t="str">
        <f>IFERROR(VLOOKUP(O82,Database!$A$2:$L$189,6,FALSE),"-")</f>
        <v>-</v>
      </c>
      <c r="R82" s="80" t="str">
        <f>IFERROR(VLOOKUP(O82,Database!$A$2:$L$189,9,FALSE),"-")</f>
        <v>-</v>
      </c>
      <c r="S82" s="205" t="str">
        <f>IFERROR(VLOOKUP(O82,Database!$A$2:$S$189,19,FALSE),"-")</f>
        <v>-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5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4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5" t="str">
        <f>IFERROR(VLOOKUP(J83,Database!$A$2:$S$189,19,FALSE),"-")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IFERROR(VLOOKUP(O83,Database!$A$2:$L$189,8,FALSE),"-")</f>
        <v>-</v>
      </c>
      <c r="Q83" s="76" t="str">
        <f>IFERROR(VLOOKUP(O83,Database!$A$2:$L$189,6,FALSE),"-")</f>
        <v>-</v>
      </c>
      <c r="R83" s="80" t="str">
        <f>IFERROR(VLOOKUP(O83,Database!$A$2:$L$189,9,FALSE),"-")</f>
        <v>-</v>
      </c>
      <c r="S83" s="205" t="str">
        <f>IFERROR(VLOOKUP(O83,Database!$A$2:$S$189,19,FALSE),"-")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5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4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5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5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5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4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5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5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5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4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5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5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5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4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5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5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5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4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5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5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5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4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5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5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5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4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5" t="str">
        <f>IFERROR(VLOOKUP(J90,Database!$A$2:$S$189,19,FALSE),"-")</f>
        <v>-</v>
      </c>
      <c r="O90" s="94">
        <f>IF(AND(D90="Y",booking!L90&lt;&gt;booking!M90,booking!M90&gt;0),booking!M90,"-")</f>
        <v>150</v>
      </c>
      <c r="P90" s="76">
        <f>IFERROR(VLOOKUP(O90,Database!$A$2:$L$189,8,FALSE),"-")</f>
        <v>0</v>
      </c>
      <c r="Q90" s="76" t="str">
        <f>IFERROR(VLOOKUP(O90,Database!$A$2:$L$189,6,FALSE),"-")</f>
        <v>DK</v>
      </c>
      <c r="R90" s="80">
        <f>IFERROR(VLOOKUP(O90,Database!$A$2:$L$189,9,FALSE),"-")</f>
        <v>0</v>
      </c>
      <c r="S90" s="205" t="str">
        <f>IFERROR(VLOOKUP(O90,Database!$A$2:$S$189,19,FALSE),"-")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5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4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5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5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5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4" t="str">
        <f>IF(booking!A92&gt;0,booking!A92,"-")</f>
        <v>-</v>
      </c>
      <c r="D92" s="87" t="str">
        <f>IF(booking!AB92&gt;0,"Y","-")</f>
        <v>Y</v>
      </c>
      <c r="E92" s="93" t="str">
        <f>IF(AND(D92="Y",booking!D92&lt;&gt;booking!E92,booking!E92&gt;0),booking!E92,"-")</f>
        <v>-</v>
      </c>
      <c r="F92" s="8" t="str">
        <f>IFERROR(VLOOKUP(E92,Database!$A$2:$L$189,8,FALSE),"-")</f>
        <v>-</v>
      </c>
      <c r="G92" s="76" t="str">
        <f>IFERROR(VLOOKUP(E92,Database!$A$2:$L$189,6,FALSE),"-")</f>
        <v>-</v>
      </c>
      <c r="H92" s="91" t="str">
        <f>IFERROR(VLOOKUP(E92,Database!$A$2:$L$189,9,FALSE),"-")</f>
        <v>-</v>
      </c>
      <c r="I92" s="109" t="str">
        <f>IFERROR(VLOOKUP(E92,Database!$A$2:$S$189,19,FALSE),"-")</f>
        <v>-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5" t="str">
        <f>IFERROR(VLOOKUP(J92,Database!$A$2:$S$189,19,FALSE),"-")</f>
        <v>-</v>
      </c>
      <c r="O92" s="94">
        <f>IF(AND(D92="Y",booking!L92&lt;&gt;booking!M92,booking!M92&gt;0),booking!M92,"-")</f>
        <v>58</v>
      </c>
      <c r="P92" s="76">
        <f>IFERROR(VLOOKUP(O92,Database!$A$2:$L$189,8,FALSE),"-")</f>
        <v>0</v>
      </c>
      <c r="Q92" s="76" t="str">
        <f>IFERROR(VLOOKUP(O92,Database!$A$2:$L$189,6,FALSE),"-")</f>
        <v>DK</v>
      </c>
      <c r="R92" s="80" t="str">
        <f>IFERROR(VLOOKUP(O92,Database!$A$2:$L$189,9,FALSE),"-")</f>
        <v>sing</v>
      </c>
      <c r="S92" s="205" t="str">
        <f>IFERROR(VLOOKUP(O92,Database!$A$2:$S$189,19,FALSE),"-")</f>
        <v>YY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5" t="str">
        <f>IFERROR(VLOOKUP(T92,Database!$A$2:$S$189,19,FALSE),"-")</f>
        <v>YY</v>
      </c>
      <c r="Y92" s="94">
        <f>IF(AND(D92="Y",booking!T92&lt;&gt;booking!U92,booking!U92&gt;0),booking!U92,"-")</f>
        <v>150</v>
      </c>
      <c r="Z92" s="77">
        <f>IFERROR(VLOOKUP(Y92,Database!$A$2:$L$189,8,FALSE),"-")</f>
        <v>0</v>
      </c>
      <c r="AA92" s="77" t="str">
        <f>IFERROR(VLOOKUP(Y92,Database!$A$2:$L$189,6,FALSE),"-")</f>
        <v>DK</v>
      </c>
      <c r="AB92" s="90">
        <f>IFERROR(VLOOKUP(Y92,Database!$A$2:$L$189,9,FALSE),"-")</f>
        <v>0</v>
      </c>
      <c r="AC92" s="8" t="str">
        <f>IFERROR(VLOOKUP(Y92,Database!$A$2:$S$189,19,FALSE),"-")</f>
        <v>N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4">
        <f>IF(booking!A93&gt;0,booking!A93,"-")</f>
        <v>31</v>
      </c>
      <c r="D93" s="87" t="str">
        <f>IF(booking!AB93&gt;0,"Y","-")</f>
        <v>Y</v>
      </c>
      <c r="E93" s="93">
        <f>IF(AND(D93="Y",booking!D93&lt;&gt;booking!E93,booking!E93&gt;0),booking!E93,"-")</f>
        <v>55</v>
      </c>
      <c r="F93" s="8">
        <f>IFERROR(VLOOKUP(E93,Database!$A$2:$L$189,8,FALSE),"-")</f>
        <v>0</v>
      </c>
      <c r="G93" s="76" t="str">
        <f>IFERROR(VLOOKUP(E93,Database!$A$2:$L$189,6,FALSE),"-")</f>
        <v>DK</v>
      </c>
      <c r="H93" s="91" t="str">
        <f>IFERROR(VLOOKUP(E93,Database!$A$2:$L$189,9,FALSE),"-")</f>
        <v>dobb</v>
      </c>
      <c r="I93" s="109" t="str">
        <f>IFERROR(VLOOKUP(E93,Database!$A$2:$S$189,19,FALSE),"-")</f>
        <v>N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5" t="str">
        <f>IFERROR(VLOOKUP(J93,Database!$A$2:$S$189,19,FALSE),"-")</f>
        <v>-</v>
      </c>
      <c r="O93" s="94" t="str">
        <f>IF(AND(D93="Y",booking!L93&lt;&gt;booking!M93,booking!M93&gt;0),booking!M93,"-")</f>
        <v>-</v>
      </c>
      <c r="P93" s="76" t="str">
        <f>IFERROR(VLOOKUP(O93,Database!$A$2:$L$189,8,FALSE),"-")</f>
        <v>-</v>
      </c>
      <c r="Q93" s="76" t="str">
        <f>IFERROR(VLOOKUP(O93,Database!$A$2:$L$189,6,FALSE),"-")</f>
        <v>-</v>
      </c>
      <c r="R93" s="80" t="str">
        <f>IFERROR(VLOOKUP(O93,Database!$A$2:$L$189,9,FALSE),"-")</f>
        <v>-</v>
      </c>
      <c r="S93" s="205" t="str">
        <f>IFERROR(VLOOKUP(O93,Database!$A$2:$S$189,19,FALSE),"-")</f>
        <v>-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5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4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5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5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5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4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5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5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5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4" t="str">
        <f>IF(booking!A96&gt;0,booking!A96,"-")</f>
        <v>-</v>
      </c>
      <c r="D96" s="87" t="str">
        <f>IF(booking!AB96&gt;0,"Y","-")</f>
        <v>Y</v>
      </c>
      <c r="E96" s="93" t="str">
        <f>IF(AND(D96="Y",booking!D96&lt;&gt;booking!E96,booking!E96&gt;0),booking!E96,"-")</f>
        <v>-</v>
      </c>
      <c r="F96" s="8" t="str">
        <f>IFERROR(VLOOKUP(E96,Database!$A$2:$L$189,8,FALSE),"-")</f>
        <v>-</v>
      </c>
      <c r="G96" s="76" t="str">
        <f>IFERROR(VLOOKUP(E96,Database!$A$2:$L$189,6,FALSE),"-")</f>
        <v>-</v>
      </c>
      <c r="H96" s="91" t="str">
        <f>IFERROR(VLOOKUP(E96,Database!$A$2:$L$189,9,FALSE),"-")</f>
        <v>-</v>
      </c>
      <c r="I96" s="109" t="str">
        <f>IFERROR(VLOOKUP(E96,Database!$A$2:$S$189,19,FALSE),"-")</f>
        <v>-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5" t="str">
        <f>IFERROR(VLOOKUP(J96,Database!$A$2:$S$189,19,FALSE),"-")</f>
        <v>-</v>
      </c>
      <c r="O96" s="94">
        <f>IF(AND(D96="Y",booking!L96&lt;&gt;booking!M96,booking!M96&gt;0),booking!M96,"-")</f>
        <v>115</v>
      </c>
      <c r="P96" s="76">
        <f>IFERROR(VLOOKUP(O96,Database!$A$2:$L$189,8,FALSE),"-")</f>
        <v>0</v>
      </c>
      <c r="Q96" s="76" t="str">
        <f>IFERROR(VLOOKUP(O96,Database!$A$2:$L$189,6,FALSE),"-")</f>
        <v>DK</v>
      </c>
      <c r="R96" s="80">
        <f>IFERROR(VLOOKUP(O96,Database!$A$2:$L$189,9,FALSE),"-")</f>
        <v>0</v>
      </c>
      <c r="S96" s="205" t="str">
        <f>IFERROR(VLOOKUP(O96,Database!$A$2:$S$189,19,FALSE),"-")</f>
        <v>N??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5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4" t="str">
        <f>IF(booking!A97&gt;0,booking!A97,"-")</f>
        <v>-</v>
      </c>
      <c r="D97" s="87" t="str">
        <f>IF(booking!AB97&gt;0,"Y","-")</f>
        <v>Y</v>
      </c>
      <c r="E97" s="93">
        <f>IF(AND(D97="Y",booking!D97&lt;&gt;booking!E97,booking!E97&gt;0),booking!E97,"-")</f>
        <v>94</v>
      </c>
      <c r="F97" s="8">
        <f>IFERROR(VLOOKUP(E97,Database!$A$2:$L$189,8,FALSE),"-")</f>
        <v>0</v>
      </c>
      <c r="G97" s="76" t="str">
        <f>IFERROR(VLOOKUP(E97,Database!$A$2:$L$189,6,FALSE),"-")</f>
        <v>D</v>
      </c>
      <c r="H97" s="91">
        <f>IFERROR(VLOOKUP(E97,Database!$A$2:$L$189,9,FALSE),"-")</f>
        <v>0</v>
      </c>
      <c r="I97" s="109" t="str">
        <f>IFERROR(VLOOKUP(E97,Database!$A$2:$S$189,19,FALSE),"-")</f>
        <v>N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5" t="str">
        <f>IFERROR(VLOOKUP(J97,Database!$A$2:$S$189,19,FALSE),"-")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IFERROR(VLOOKUP(O97,Database!$A$2:$L$189,8,FALSE),"-")</f>
        <v>-</v>
      </c>
      <c r="Q97" s="76" t="str">
        <f>IFERROR(VLOOKUP(O97,Database!$A$2:$L$189,6,FALSE),"-")</f>
        <v>-</v>
      </c>
      <c r="R97" s="80" t="str">
        <f>IFERROR(VLOOKUP(O97,Database!$A$2:$L$189,9,FALSE),"-")</f>
        <v>-</v>
      </c>
      <c r="S97" s="205" t="str">
        <f>IFERROR(VLOOKUP(O97,Database!$A$2:$S$189,19,FALSE),"-")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5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4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5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5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5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4" t="str">
        <f>IF(booking!A99&gt;0,booking!A99,"-")</f>
        <v>-</v>
      </c>
      <c r="D99" s="87" t="str">
        <f>IF(booking!AB99&gt;0,"Y","-")</f>
        <v>Y</v>
      </c>
      <c r="E99" s="93" t="str">
        <f>IF(AND(D99="Y",booking!D99&lt;&gt;booking!E99,booking!E99&gt;0),booking!E99,"-")</f>
        <v>-</v>
      </c>
      <c r="F99" s="8" t="str">
        <f>IFERROR(VLOOKUP(E99,Database!$A$2:$L$189,8,FALSE),"-")</f>
        <v>-</v>
      </c>
      <c r="G99" s="76" t="str">
        <f>IFERROR(VLOOKUP(E99,Database!$A$2:$L$189,6,FALSE),"-")</f>
        <v>-</v>
      </c>
      <c r="H99" s="91" t="str">
        <f>IFERROR(VLOOKUP(E99,Database!$A$2:$L$189,9,FALSE),"-")</f>
        <v>-</v>
      </c>
      <c r="I99" s="109" t="str">
        <f>IFERROR(VLOOKUP(E99,Database!$A$2:$S$189,19,FALSE),"-")</f>
        <v>-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5" t="str">
        <f>IFERROR(VLOOKUP(J99,Database!$A$2:$S$189,19,FALSE),"-")</f>
        <v>Y</v>
      </c>
      <c r="O99" s="94">
        <f>IF(AND(D99="Y",booking!L99&lt;&gt;booking!M99,booking!M99&gt;0),booking!M99,"-")</f>
        <v>74</v>
      </c>
      <c r="P99" s="76">
        <f>IFERROR(VLOOKUP(O99,Database!$A$2:$L$189,8,FALSE),"-")</f>
        <v>0</v>
      </c>
      <c r="Q99" s="76" t="str">
        <f>IFERROR(VLOOKUP(O99,Database!$A$2:$L$189,6,FALSE),"-")</f>
        <v>DK</v>
      </c>
      <c r="R99" s="80">
        <f>IFERROR(VLOOKUP(O99,Database!$A$2:$L$189,9,FALSE),"-")</f>
        <v>0</v>
      </c>
      <c r="S99" s="205" t="str">
        <f>IFERROR(VLOOKUP(O99,Database!$A$2:$S$189,19,FALSE),"-")</f>
        <v>Y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5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4">
        <f>IF(booking!A100&gt;0,booking!A100,"-")</f>
        <v>32</v>
      </c>
      <c r="D100" s="87" t="str">
        <f>IF(booking!AB100&gt;0,"Y","-")</f>
        <v>Y</v>
      </c>
      <c r="E100" s="93">
        <f>IF(AND(D100="Y",booking!D100&lt;&gt;booking!E100,booking!E100&gt;0),booking!E100,"-")</f>
        <v>11</v>
      </c>
      <c r="F100" s="8">
        <f>IFERROR(VLOOKUP(E100,Database!$A$2:$L$189,8,FALSE),"-")</f>
        <v>0</v>
      </c>
      <c r="G100" s="76" t="str">
        <f>IFERROR(VLOOKUP(E100,Database!$A$2:$L$189,6,FALSE),"-")</f>
        <v>D</v>
      </c>
      <c r="H100" s="91">
        <f>IFERROR(VLOOKUP(E100,Database!$A$2:$L$189,9,FALSE),"-")</f>
        <v>0</v>
      </c>
      <c r="I100" s="109" t="str">
        <f>IFERROR(VLOOKUP(E100,Database!$A$2:$S$189,19,FALSE),"-")</f>
        <v>N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5" t="str">
        <f>IFERROR(VLOOKUP(J100,Database!$A$2:$S$189,19,FALSE),"-")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IFERROR(VLOOKUP(O100,Database!$A$2:$L$189,8,FALSE),"-")</f>
        <v>-</v>
      </c>
      <c r="Q100" s="76" t="str">
        <f>IFERROR(VLOOKUP(O100,Database!$A$2:$L$189,6,FALSE),"-")</f>
        <v>-</v>
      </c>
      <c r="R100" s="80" t="str">
        <f>IFERROR(VLOOKUP(O100,Database!$A$2:$L$189,9,FALSE),"-")</f>
        <v>-</v>
      </c>
      <c r="S100" s="205" t="str">
        <f>IFERROR(VLOOKUP(O100,Database!$A$2:$S$189,19,FALSE),"-")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5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4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5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5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5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4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5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5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5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4" t="str">
        <f>IF(booking!A103&gt;0,booking!A103,"-")</f>
        <v>-</v>
      </c>
      <c r="D103" s="87" t="str">
        <f>IF(booking!AB103&gt;0,"Y","-")</f>
        <v>Y</v>
      </c>
      <c r="E103" s="93" t="str">
        <f>IF(AND(D103="Y",booking!D103&lt;&gt;booking!E103,booking!E103&gt;0),booking!E103,"-")</f>
        <v>-</v>
      </c>
      <c r="F103" s="8" t="str">
        <f>IFERROR(VLOOKUP(E103,Database!$A$2:$L$189,8,FALSE),"-")</f>
        <v>-</v>
      </c>
      <c r="G103" s="76" t="str">
        <f>IFERROR(VLOOKUP(E103,Database!$A$2:$L$189,6,FALSE),"-")</f>
        <v>-</v>
      </c>
      <c r="H103" s="91" t="str">
        <f>IFERROR(VLOOKUP(E103,Database!$A$2:$L$189,9,FALSE),"-")</f>
        <v>-</v>
      </c>
      <c r="I103" s="109" t="str">
        <f>IFERROR(VLOOKUP(E103,Database!$A$2:$S$189,19,FALSE),"-")</f>
        <v>-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5" t="str">
        <f>IFERROR(VLOOKUP(J103,Database!$A$2:$S$189,19,FALSE),"-")</f>
        <v>N</v>
      </c>
      <c r="O103" s="94">
        <f>IF(AND(D103="Y",booking!L103&lt;&gt;booking!M103,booking!M103&gt;0),booking!M103,"-")</f>
        <v>33</v>
      </c>
      <c r="P103" s="76">
        <f>IFERROR(VLOOKUP(O103,Database!$A$2:$L$189,8,FALSE),"-")</f>
        <v>0</v>
      </c>
      <c r="Q103" s="76" t="str">
        <f>IFERROR(VLOOKUP(O103,Database!$A$2:$L$189,6,FALSE),"-")</f>
        <v>D</v>
      </c>
      <c r="R103" s="80">
        <f>IFERROR(VLOOKUP(O103,Database!$A$2:$L$189,9,FALSE),"-")</f>
        <v>0</v>
      </c>
      <c r="S103" s="205" t="str">
        <f>IFERROR(VLOOKUP(O103,Database!$A$2:$S$189,19,FALSE),"-")</f>
        <v>N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5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4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5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5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5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4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5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5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5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4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5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5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5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4">
        <f>IF(booking!A107&gt;0,booking!A107,"-")</f>
        <v>33</v>
      </c>
      <c r="D107" s="87" t="str">
        <f>IF(booking!AB107&gt;0,"Y","-")</f>
        <v>Y</v>
      </c>
      <c r="E107" s="93">
        <f>IF(AND(D107="Y",booking!D107&lt;&gt;booking!E107,booking!E107&gt;0),booking!E107,"-")</f>
        <v>59</v>
      </c>
      <c r="F107" s="8" t="str">
        <f>IFERROR(VLOOKUP(E107,Database!$A$2:$L$189,8,FALSE),"-")</f>
        <v>1200</v>
      </c>
      <c r="G107" s="76" t="str">
        <f>IFERROR(VLOOKUP(E107,Database!$A$2:$L$189,6,FALSE),"-")</f>
        <v>DK</v>
      </c>
      <c r="H107" s="91" t="str">
        <f>IFERROR(VLOOKUP(E107,Database!$A$2:$L$189,9,FALSE),"-")</f>
        <v>dobb</v>
      </c>
      <c r="I107" s="109" t="str">
        <f>IFERROR(VLOOKUP(E107,Database!$A$2:$S$189,19,FALSE),"-")</f>
        <v>N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5" t="str">
        <f>IFERROR(VLOOKUP(J107,Database!$A$2:$S$189,19,FALSE),"-")</f>
        <v>-</v>
      </c>
      <c r="O107" s="94" t="str">
        <f>IF(AND(D107="Y",booking!L107&lt;&gt;booking!M107,booking!M107&gt;0),booking!M107,"-")</f>
        <v>-</v>
      </c>
      <c r="P107" s="76" t="str">
        <f>IFERROR(VLOOKUP(O107,Database!$A$2:$L$189,8,FALSE),"-")</f>
        <v>-</v>
      </c>
      <c r="Q107" s="76" t="str">
        <f>IFERROR(VLOOKUP(O107,Database!$A$2:$L$189,6,FALSE),"-")</f>
        <v>-</v>
      </c>
      <c r="R107" s="80" t="str">
        <f>IFERROR(VLOOKUP(O107,Database!$A$2:$L$189,9,FALSE),"-")</f>
        <v>-</v>
      </c>
      <c r="S107" s="205" t="str">
        <f>IFERROR(VLOOKUP(O107,Database!$A$2:$S$189,19,FALSE),"-")</f>
        <v>-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5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4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5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5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5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4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5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5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5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4" t="str">
        <f>IF(booking!A110&gt;0,booking!A110,"-")</f>
        <v>wonder</v>
      </c>
      <c r="D110" s="87" t="str">
        <f>IF(booking!AB110&gt;0,"Y","-")</f>
        <v>Y</v>
      </c>
      <c r="E110" s="93" t="str">
        <f>IF(AND(D110="Y",booking!D110&lt;&gt;booking!E110,booking!E110&gt;0),booking!E110,"-")</f>
        <v>-</v>
      </c>
      <c r="F110" s="8" t="str">
        <f>IFERROR(VLOOKUP(E110,Database!$A$2:$L$189,8,FALSE),"-")</f>
        <v>-</v>
      </c>
      <c r="G110" s="76" t="str">
        <f>IFERROR(VLOOKUP(E110,Database!$A$2:$L$189,6,FALSE),"-")</f>
        <v>-</v>
      </c>
      <c r="H110" s="91" t="str">
        <f>IFERROR(VLOOKUP(E110,Database!$A$2:$L$189,9,FALSE),"-")</f>
        <v>-</v>
      </c>
      <c r="I110" s="109" t="str">
        <f>IFERROR(VLOOKUP(E110,Database!$A$2:$S$189,19,FALSE),"-")</f>
        <v>-</v>
      </c>
      <c r="J110" s="94">
        <f>IF(AND(D110="Y",booking!H110&lt;&gt;booking!I110,booking!I110&gt;0),booking!I110,"-")</f>
        <v>46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5" t="str">
        <f>IFERROR(VLOOKUP(J110,Database!$A$2:$S$189,19,FALSE),"-")</f>
        <v>maybe</v>
      </c>
      <c r="O110" s="94">
        <f>IF(AND(D110="Y",booking!L110&lt;&gt;booking!M110,booking!M110&gt;0),booking!M110,"-")</f>
        <v>23</v>
      </c>
      <c r="P110" s="76" t="str">
        <f>IFERROR(VLOOKUP(O110,Database!$A$2:$L$189,8,FALSE),"-")</f>
        <v>1430</v>
      </c>
      <c r="Q110" s="76" t="str">
        <f>IFERROR(VLOOKUP(O110,Database!$A$2:$L$189,6,FALSE),"-")</f>
        <v>DK</v>
      </c>
      <c r="R110" s="80" t="str">
        <f>IFERROR(VLOOKUP(O110,Database!$A$2:$L$189,9,FALSE),"-")</f>
        <v>dobb</v>
      </c>
      <c r="S110" s="205" t="str">
        <f>IFERROR(VLOOKUP(O110,Database!$A$2:$S$189,19,FALSE),"-")</f>
        <v>N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5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4" t="str">
        <f>IF(booking!A111&gt;0,booking!A111,"-")</f>
        <v>wonder</v>
      </c>
      <c r="D111" s="87" t="str">
        <f>IF(booking!AB111&gt;0,"Y","-")</f>
        <v>Y</v>
      </c>
      <c r="E111" s="93">
        <f>IF(AND(D111="Y",booking!D111&lt;&gt;booking!E111,booking!E111&gt;0),booking!E111,"-")</f>
        <v>121</v>
      </c>
      <c r="F111" s="8">
        <f>IFERROR(VLOOKUP(E111,Database!$A$2:$L$189,8,FALSE),"-")</f>
        <v>0</v>
      </c>
      <c r="G111" s="76" t="str">
        <f>IFERROR(VLOOKUP(E111,Database!$A$2:$L$189,6,FALSE),"-")</f>
        <v>DK</v>
      </c>
      <c r="H111" s="91">
        <f>IFERROR(VLOOKUP(E111,Database!$A$2:$L$189,9,FALSE),"-")</f>
        <v>0</v>
      </c>
      <c r="I111" s="109" t="str">
        <f>IFERROR(VLOOKUP(E111,Database!$A$2:$S$189,19,FALSE),"-")</f>
        <v>N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5" t="str">
        <f>IFERROR(VLOOKUP(J111,Database!$A$2:$S$189,19,FALSE),"-")</f>
        <v>-</v>
      </c>
      <c r="O111" s="94" t="str">
        <f>IF(AND(D111="Y",booking!L111&lt;&gt;booking!M111,booking!M111&gt;0),booking!M111,"-")</f>
        <v>-</v>
      </c>
      <c r="P111" s="76" t="str">
        <f>IFERROR(VLOOKUP(O111,Database!$A$2:$L$189,8,FALSE),"-")</f>
        <v>-</v>
      </c>
      <c r="Q111" s="76" t="str">
        <f>IFERROR(VLOOKUP(O111,Database!$A$2:$L$189,6,FALSE),"-")</f>
        <v>-</v>
      </c>
      <c r="R111" s="80" t="str">
        <f>IFERROR(VLOOKUP(O111,Database!$A$2:$L$189,9,FALSE),"-")</f>
        <v>-</v>
      </c>
      <c r="S111" s="205" t="str">
        <f>IFERROR(VLOOKUP(O111,Database!$A$2:$S$189,19,FALSE),"-")</f>
        <v>-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5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4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5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5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5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4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 t="str">
        <f>IF(AND(D113="Y",booking!H113&lt;&gt;booking!I113,booking!I113&gt;0),booking!I113,"-")</f>
        <v>-</v>
      </c>
      <c r="K113" s="76" t="str">
        <f>IFERROR(VLOOKUP(J113,Database!$A$2:$L$189,8,FALSE),"-")</f>
        <v>-</v>
      </c>
      <c r="L113" s="76" t="str">
        <f>IFERROR(VLOOKUP(J113,Database!$A$2:$L$189,6,FALSE),"-")</f>
        <v>-</v>
      </c>
      <c r="M113" s="91" t="str">
        <f>IFERROR(VLOOKUP(J113,Database!$A$2:$L$189,9,FALSE),"-")</f>
        <v>-</v>
      </c>
      <c r="N113" s="205" t="str">
        <f>IFERROR(VLOOKUP(J113,Database!$A$2:$S$189,19,FALSE),"-")</f>
        <v>-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5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5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4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5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5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5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4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5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5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5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4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5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5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5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4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5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5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5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4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5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5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5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4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5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5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5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4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5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5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5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4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5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5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5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4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5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5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5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4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5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5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5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4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5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5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5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4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5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5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5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4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5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5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5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4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IFERROR(VLOOKUP(J127,Database!$A$2:$L$189,8,FALSE),"-")</f>
        <v>0</v>
      </c>
      <c r="L127" s="76" t="str">
        <f>IFERROR(VLOOKUP(J127,Database!$A$2:$L$189,6,FALSE),"-")</f>
        <v>DK</v>
      </c>
      <c r="M127" s="91">
        <f>IFERROR(VLOOKUP(J127,Database!$A$2:$L$189,9,FALSE),"-")</f>
        <v>0</v>
      </c>
      <c r="N127" s="205" t="str">
        <f>IFERROR(VLOOKUP(J127,Database!$A$2:$S$189,19,FALSE),"-")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5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5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4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5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5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5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4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IFERROR(VLOOKUP(J129,Database!$A$2:$L$189,8,FALSE),"-")</f>
        <v>-</v>
      </c>
      <c r="L129" s="76" t="str">
        <f>IFERROR(VLOOKUP(J129,Database!$A$2:$L$189,6,FALSE),"-")</f>
        <v>-</v>
      </c>
      <c r="M129" s="91" t="str">
        <f>IFERROR(VLOOKUP(J129,Database!$A$2:$L$189,9,FALSE),"-")</f>
        <v>-</v>
      </c>
      <c r="N129" s="205" t="str">
        <f>IFERROR(VLOOKUP(J129,Database!$A$2:$S$189,19,FALSE),"-")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5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5" t="str">
        <f>IFERROR(VLOOKUP(T129,Database!$A$2:$S$189,19,FALSE),"-")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IFERROR(VLOOKUP(Y129,Database!$A$2:$L$189,8,FALSE),"-")</f>
        <v>1430</v>
      </c>
      <c r="AA129" s="77" t="str">
        <f>IFERROR(VLOOKUP(Y129,Database!$A$2:$L$189,6,FALSE),"-")</f>
        <v>DK</v>
      </c>
      <c r="AB129" s="90" t="str">
        <f>IFERROR(VLOOKUP(Y129,Database!$A$2:$L$189,9,FALSE),"-")</f>
        <v>Sing</v>
      </c>
      <c r="AC129" s="8" t="str">
        <f>IFERROR(VLOOKUP(Y129,Database!$A$2:$S$189,19,FALSE),"-")</f>
        <v>Y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4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5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5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5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4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5" t="str">
        <f>IFERROR(VLOOKUP(J131,Database!$A$2:$S$189,19,FALSE),"-")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IFERROR(VLOOKUP(O131,Database!$A$2:$L$189,8,FALSE),"-")</f>
        <v>0</v>
      </c>
      <c r="Q131" s="76" t="str">
        <f>IFERROR(VLOOKUP(O131,Database!$A$2:$L$189,6,FALSE),"-")</f>
        <v>DK</v>
      </c>
      <c r="R131" s="80">
        <f>IFERROR(VLOOKUP(O131,Database!$A$2:$L$189,9,FALSE),"-")</f>
        <v>0</v>
      </c>
      <c r="S131" s="205" t="str">
        <f>IFERROR(VLOOKUP(O131,Database!$A$2:$S$189,19,FALSE),"-")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5" t="str">
        <f>IFERROR(VLOOKUP(T131,Database!$A$2:$S$189,19,FALSE),"-")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IFERROR(VLOOKUP(Y131,Database!$A$2:$L$189,8,FALSE),"-")</f>
        <v>-</v>
      </c>
      <c r="AA131" s="77" t="str">
        <f>IFERROR(VLOOKUP(Y131,Database!$A$2:$L$189,6,FALSE),"-")</f>
        <v>-</v>
      </c>
      <c r="AB131" s="90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4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IFERROR(VLOOKUP(J132,Database!$A$2:$L$189,8,FALSE),"-")</f>
        <v>0600</v>
      </c>
      <c r="L132" s="76" t="str">
        <f>IFERROR(VLOOKUP(J132,Database!$A$2:$L$189,6,FALSE),"-")</f>
        <v>DK</v>
      </c>
      <c r="M132" s="91">
        <f>IFERROR(VLOOKUP(J132,Database!$A$2:$L$189,9,FALSE),"-")</f>
        <v>0</v>
      </c>
      <c r="N132" s="205" t="str">
        <f>IFERROR(VLOOKUP(J132,Database!$A$2:$S$189,19,FALSE),"-")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5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5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4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IFERROR(VLOOKUP(E133,Database!$A$2:$L$189,8,FALSE),"-")</f>
        <v>0</v>
      </c>
      <c r="G133" s="76" t="str">
        <f>IFERROR(VLOOKUP(E133,Database!$A$2:$L$189,6,FALSE),"-")</f>
        <v>DK</v>
      </c>
      <c r="H133" s="91">
        <f>IFERROR(VLOOKUP(E133,Database!$A$2:$L$189,9,FALSE),"-")</f>
        <v>0</v>
      </c>
      <c r="I133" s="109" t="str">
        <f>IFERROR(VLOOKUP(E133,Database!$A$2:$S$189,19,FALSE),"-")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IFERROR(VLOOKUP(J133,Database!$A$2:$L$189,8,FALSE),"-")</f>
        <v>-</v>
      </c>
      <c r="L133" s="76" t="str">
        <f>IFERROR(VLOOKUP(J133,Database!$A$2:$L$189,6,FALSE),"-")</f>
        <v>-</v>
      </c>
      <c r="M133" s="91" t="str">
        <f>IFERROR(VLOOKUP(J133,Database!$A$2:$L$189,9,FALSE),"-")</f>
        <v>-</v>
      </c>
      <c r="N133" s="205" t="str">
        <f>IFERROR(VLOOKUP(J133,Database!$A$2:$S$189,19,FALSE),"-")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5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5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4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IFERROR(VLOOKUP(J134,Database!$A$2:$L$189,8,FALSE),"-")</f>
        <v>0</v>
      </c>
      <c r="L134" s="76" t="str">
        <f>IFERROR(VLOOKUP(J134,Database!$A$2:$L$189,6,FALSE),"-")</f>
        <v>DK</v>
      </c>
      <c r="M134" s="91">
        <f>IFERROR(VLOOKUP(J134,Database!$A$2:$L$189,9,FALSE),"-")</f>
        <v>0</v>
      </c>
      <c r="N134" s="205" t="str">
        <f>IFERROR(VLOOKUP(J134,Database!$A$2:$S$189,19,FALSE),"-")</f>
        <v>YY</v>
      </c>
      <c r="O134" s="94" t="str">
        <f>IF(AND(D134="Y",booking!L134&lt;&gt;booking!M134,booking!M134&gt;0),booking!M134,"-")</f>
        <v>-</v>
      </c>
      <c r="P134" s="76" t="str">
        <f>IFERROR(VLOOKUP(O134,Database!$A$2:$L$189,8,FALSE),"-")</f>
        <v>-</v>
      </c>
      <c r="Q134" s="76" t="str">
        <f>IFERROR(VLOOKUP(O134,Database!$A$2:$L$189,6,FALSE),"-")</f>
        <v>-</v>
      </c>
      <c r="R134" s="80" t="str">
        <f>IFERROR(VLOOKUP(O134,Database!$A$2:$L$189,9,FALSE),"-")</f>
        <v>-</v>
      </c>
      <c r="S134" s="205" t="str">
        <f>IFERROR(VLOOKUP(O134,Database!$A$2:$S$189,19,FALSE),"-")</f>
        <v>-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5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4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5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5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5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4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5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5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5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4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5" t="str">
        <f>IFERROR(VLOOKUP(J137,Database!$A$2:$S$189,19,FALSE),"-")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IFERROR(VLOOKUP(O137,Database!$A$2:$L$189,8,FALSE),"-")</f>
        <v>-</v>
      </c>
      <c r="Q137" s="76" t="str">
        <f>IFERROR(VLOOKUP(O137,Database!$A$2:$L$189,6,FALSE),"-")</f>
        <v>-</v>
      </c>
      <c r="R137" s="80" t="str">
        <f>IFERROR(VLOOKUP(O137,Database!$A$2:$L$189,9,FALSE),"-")</f>
        <v>-</v>
      </c>
      <c r="S137" s="205" t="str">
        <f>IFERROR(VLOOKUP(O137,Database!$A$2:$S$189,19,FALSE),"-")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5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4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5" t="str">
        <f>IFERROR(VLOOKUP(J138,Database!$A$2:$S$189,19,FALSE),"-")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IFERROR(VLOOKUP(O138,Database!$A$2:$L$189,8,FALSE),"-")</f>
        <v>0</v>
      </c>
      <c r="Q138" s="76" t="str">
        <f>IFERROR(VLOOKUP(O138,Database!$A$2:$L$189,6,FALSE),"-")</f>
        <v>DK</v>
      </c>
      <c r="R138" s="80">
        <f>IFERROR(VLOOKUP(O138,Database!$A$2:$L$189,9,FALSE),"-")</f>
        <v>0</v>
      </c>
      <c r="S138" s="205" t="str">
        <f>IFERROR(VLOOKUP(O138,Database!$A$2:$S$189,19,FALSE),"-")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5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4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5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5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5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4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5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5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5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4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5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5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5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4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5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5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5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4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5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5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5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4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5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5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5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4" t="str">
        <f>IF(booking!A145&gt;0,booking!A145,"-")</f>
        <v>-</v>
      </c>
      <c r="D145" s="87" t="str">
        <f>IF(booking!AB145&gt;0,"Y","-")</f>
        <v>Y</v>
      </c>
      <c r="E145" s="93">
        <f>IF(AND(D145="Y",booking!D145&lt;&gt;booking!E145,booking!E145&gt;0),booking!E145,"-")</f>
        <v>41</v>
      </c>
      <c r="F145" s="8">
        <f>IFERROR(VLOOKUP(E145,Database!$A$2:$L$189,8,FALSE),"-")</f>
        <v>0</v>
      </c>
      <c r="G145" s="76" t="str">
        <f>IFERROR(VLOOKUP(E145,Database!$A$2:$L$189,6,FALSE),"-")</f>
        <v>DK</v>
      </c>
      <c r="H145" s="91" t="str">
        <f>IFERROR(VLOOKUP(E145,Database!$A$2:$L$189,9,FALSE),"-")</f>
        <v>sing</v>
      </c>
      <c r="I145" s="109" t="str">
        <f>IFERROR(VLOOKUP(E145,Database!$A$2:$S$189,19,FALSE),"-")</f>
        <v>N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5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5" t="str">
        <f>IFERROR(VLOOKUP(O145,Database!$A$2:$S$189,19,FALSE),"-")</f>
        <v>-</v>
      </c>
      <c r="T145" s="95" t="str">
        <f>IF(AND(D145="Y",booking!P145&lt;&gt;booking!Q145,booking!Q145&gt;0),booking!Q145,"-")</f>
        <v>-</v>
      </c>
      <c r="U145" s="76" t="str">
        <f>IFERROR(VLOOKUP(T145,Database!$A$2:$L$189,8,FALSE),"-")</f>
        <v>-</v>
      </c>
      <c r="V145" s="76" t="str">
        <f>IFERROR(VLOOKUP(T145,Database!$A$2:$L$189,6,FALSE),"-")</f>
        <v>-</v>
      </c>
      <c r="W145" s="80" t="str">
        <f>IFERROR(VLOOKUP(T145,Database!$A$2:$L$189,9,FALSE),"-")</f>
        <v>-</v>
      </c>
      <c r="X145" s="205" t="str">
        <f>IFERROR(VLOOKUP(T145,Database!$A$2:$S$189,19,FALSE),"-")</f>
        <v>-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4" t="str">
        <f>IF(booking!A146&gt;0,booking!A146,"-")</f>
        <v>-</v>
      </c>
      <c r="D146" s="87" t="str">
        <f>IF(booking!AB146&gt;0,"Y","-")</f>
        <v>-</v>
      </c>
      <c r="E146" s="93" t="str">
        <f>IF(AND(D146="Y",booking!D146&lt;&gt;booking!E146,booking!E146&gt;0),booking!E146,"-")</f>
        <v>-</v>
      </c>
      <c r="F146" s="8" t="str">
        <f>IFERROR(VLOOKUP(E146,Database!$A$2:$L$189,8,FALSE),"-")</f>
        <v>-</v>
      </c>
      <c r="G146" s="76" t="str">
        <f>IFERROR(VLOOKUP(E146,Database!$A$2:$L$189,6,FALSE),"-")</f>
        <v>-</v>
      </c>
      <c r="H146" s="91" t="str">
        <f>IFERROR(VLOOKUP(E146,Database!$A$2:$L$189,9,FALSE),"-")</f>
        <v>-</v>
      </c>
      <c r="I146" s="109" t="str">
        <f>IFERROR(VLOOKUP(E146,Database!$A$2:$S$189,19,FALSE),"-")</f>
        <v>-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5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5" t="str">
        <f>IFERROR(VLOOKUP(O146,Database!$A$2:$S$189,19,FALSE),"-")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IFERROR(VLOOKUP(T146,Database!$A$2:$L$189,8,FALSE),"-")</f>
        <v>-</v>
      </c>
      <c r="V146" s="76" t="str">
        <f>IFERROR(VLOOKUP(T146,Database!$A$2:$L$189,6,FALSE),"-")</f>
        <v>-</v>
      </c>
      <c r="W146" s="80" t="str">
        <f>IFERROR(VLOOKUP(T146,Database!$A$2:$L$189,9,FALSE),"-")</f>
        <v>-</v>
      </c>
      <c r="X146" s="205" t="str">
        <f>IFERROR(VLOOKUP(T146,Database!$A$2:$S$189,19,FALSE),"-")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4" t="str">
        <f>IF(booking!A147&gt;0,booking!A147,"-")</f>
        <v>-</v>
      </c>
      <c r="D147" s="87" t="str">
        <f>IF(booking!AB147&gt;0,"Y","-")</f>
        <v>-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5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5" t="str">
        <f>IFERROR(VLOOKUP(O147,Database!$A$2:$S$189,19,FALSE),"-")</f>
        <v>-</v>
      </c>
      <c r="T147" s="95" t="str">
        <f>IF(AND(D147="Y",booking!P147&lt;&gt;booking!Q147,booking!Q147&gt;0),booking!Q147,"-")</f>
        <v>-</v>
      </c>
      <c r="U147" s="76" t="str">
        <f>IFERROR(VLOOKUP(T147,Database!$A$2:$L$189,8,FALSE),"-")</f>
        <v>-</v>
      </c>
      <c r="V147" s="76" t="str">
        <f>IFERROR(VLOOKUP(T147,Database!$A$2:$L$189,6,FALSE),"-")</f>
        <v>-</v>
      </c>
      <c r="W147" s="80" t="str">
        <f>IFERROR(VLOOKUP(T147,Database!$A$2:$L$189,9,FALSE),"-")</f>
        <v>-</v>
      </c>
      <c r="X147" s="205" t="str">
        <f>IFERROR(VLOOKUP(T147,Database!$A$2:$S$189,19,FALSE),"-")</f>
        <v>-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4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5" t="str">
        <f>IFERROR(VLOOKUP(J148,Database!$A$2:$S$189,19,FALSE),"-")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IFERROR(VLOOKUP(O148,Database!$A$2:$L$189,8,FALSE),"-")</f>
        <v>0</v>
      </c>
      <c r="Q148" s="76" t="str">
        <f>IFERROR(VLOOKUP(O148,Database!$A$2:$L$189,6,FALSE),"-")</f>
        <v>DK</v>
      </c>
      <c r="R148" s="80">
        <f>IFERROR(VLOOKUP(O148,Database!$A$2:$L$189,9,FALSE),"-")</f>
        <v>0</v>
      </c>
      <c r="S148" s="205" t="str">
        <f>IFERROR(VLOOKUP(O148,Database!$A$2:$S$189,19,FALSE),"-")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5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4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5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5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5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4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5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5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5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4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5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5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5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4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5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5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5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4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5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5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5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4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5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5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5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4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5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5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5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4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5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5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5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4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5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5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5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4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5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5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5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4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5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5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5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4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5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5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5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4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5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5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5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4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5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5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5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4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5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5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5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4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5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5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5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4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5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5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5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4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5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5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5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4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5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5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5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4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5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5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5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4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5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5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5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4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5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5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5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4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5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5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5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 t="str">
        <f>ankomster!Y42</f>
        <v>-</v>
      </c>
      <c r="M42" t="str">
        <f>IFERROR(VLOOKUP(L42,Database!$A$2:$L$189,2,FALSE),"-")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 t="str">
        <f>ankomster!J44</f>
        <v>-</v>
      </c>
      <c r="G44" t="str">
        <f>IFERROR(VLOOKUP(F44,Database!$A$2:$L$189,2,FALSE),"-")</f>
        <v>-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>
        <f>ankomster!Y44</f>
        <v>17</v>
      </c>
      <c r="M44" t="str">
        <f>IFERROR(VLOOKUP(L44,Database!$A$2:$L$189,2,FALSE),"-")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>
        <f>ankomster!J45</f>
        <v>16</v>
      </c>
      <c r="G45" t="str">
        <f>IFERROR(VLOOKUP(F45,Database!$A$2:$L$189,2,FALSE),"-")</f>
        <v>Gitte Horup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 t="str">
        <f>ankomster!Y45</f>
        <v>-</v>
      </c>
      <c r="M45" t="str">
        <f>IFERROR(VLOOKUP(L45,Database!$A$2:$L$189,2,FALSE),"-")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>
        <f>ankomster!J51</f>
        <v>148</v>
      </c>
      <c r="G51" t="str">
        <f>IFERROR(VLOOKUP(F51,Database!$A$2:$L$189,2,FALSE),"-")</f>
        <v>Mia Mønsted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>
        <f>ankomster!J58</f>
        <v>141</v>
      </c>
      <c r="G58" t="str">
        <f>IFERROR(VLOOKUP(F58,Database!$A$2:$L$189,2,FALSE),"-")</f>
        <v>Ria Bakelaar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 t="str">
        <f>ankomster!Y58</f>
        <v>-</v>
      </c>
      <c r="M58" t="str">
        <f>IFERROR(VLOOKUP(L58,Database!$A$2:$L$189,2,FALSE),"-")</f>
        <v>-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>
        <f>ankomster!Y59</f>
        <v>149</v>
      </c>
      <c r="M59" t="str">
        <f>IFERROR(VLOOKUP(L59,Database!$A$2:$L$189,2,FALSE),"-")</f>
        <v>Petter Stavdal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IFERROR(VLOOKUP(D75,Database!$A$2:$L$189,2,FALSE),"-")</f>
        <v>Issam Saou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 t="str">
        <f>ankomster!O82</f>
        <v>-</v>
      </c>
      <c r="I82" t="str">
        <f>IFERROR(VLOOKUP(H82,Database!$A$2:$L$189,2,FALSE),"-")</f>
        <v>-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 t="str">
        <f>ankomster!O83</f>
        <v>-</v>
      </c>
      <c r="I83" t="str">
        <f>IFERROR(VLOOKUP(H83,Database!$A$2:$L$189,2,FALSE),"-")</f>
        <v>-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>
        <f>ankomster!O90</f>
        <v>150</v>
      </c>
      <c r="I90" t="str">
        <f>IFERROR(VLOOKUP(H90,Database!$A$2:$L$189,2,FALSE),"-")</f>
        <v>Pernille Sahl Nielsen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IFERROR(VLOOKUP(D92,Database!$A$2:$L$189,2,FALSE),"-")</f>
        <v>-</v>
      </c>
      <c r="F92" t="str">
        <f>ankomster!J92</f>
        <v>-</v>
      </c>
      <c r="G92" t="str">
        <f>IFERROR(VLOOKUP(F92,Database!$A$2:$L$189,2,FALSE),"-")</f>
        <v>-</v>
      </c>
      <c r="H92">
        <f>ankomster!O92</f>
        <v>58</v>
      </c>
      <c r="I92" t="str">
        <f>IFERROR(VLOOKUP(H92,Database!$A$2:$L$189,2,FALSE),"-")</f>
        <v>Rikke Schwartz</v>
      </c>
      <c r="J92" s="74">
        <f>ankomster!T92</f>
        <v>58</v>
      </c>
      <c r="K92" t="str">
        <f>IFERROR(VLOOKUP(J92,Database!$A$2:$L$189,2,FALSE),"-")</f>
        <v>Rikke Schwartz</v>
      </c>
      <c r="L92">
        <f>ankomster!Y92</f>
        <v>150</v>
      </c>
      <c r="M92" t="str">
        <f>IFERROR(VLOOKUP(L92,Database!$A$2:$L$189,2,FALSE),"-")</f>
        <v>Pernille Sahl Nielsen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IFERROR(VLOOKUP(D93,Database!$A$2:$L$189,2,FALSE),"-")</f>
        <v>Jette Jensen</v>
      </c>
      <c r="F93" t="str">
        <f>ankomster!J93</f>
        <v>-</v>
      </c>
      <c r="G93" t="str">
        <f>IFERROR(VLOOKUP(F93,Database!$A$2:$L$189,2,FALSE),"-")</f>
        <v>-</v>
      </c>
      <c r="H93" t="str">
        <f>ankomster!O93</f>
        <v>-</v>
      </c>
      <c r="I93" t="str">
        <f>IFERROR(VLOOKUP(H93,Database!$A$2:$L$189,2,FALSE),"-")</f>
        <v>-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IFERROR(VLOOKUP(D96,Database!$A$2:$L$189,2,FALSE),"-")</f>
        <v>-</v>
      </c>
      <c r="F96" t="str">
        <f>ankomster!J96</f>
        <v>-</v>
      </c>
      <c r="G96" t="str">
        <f>IFERROR(VLOOKUP(F96,Database!$A$2:$L$189,2,FALSE),"-")</f>
        <v>-</v>
      </c>
      <c r="H96">
        <f>ankomster!O96</f>
        <v>115</v>
      </c>
      <c r="I96" t="str">
        <f>IFERROR(VLOOKUP(H96,Database!$A$2:$L$189,2,FALSE),"-")</f>
        <v>Lene Lei Jensen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IFERROR(VLOOKUP(D97,Database!$A$2:$L$189,2,FALSE),"-")</f>
        <v>Barbara Lobinger</v>
      </c>
      <c r="F97" t="str">
        <f>ankomster!J97</f>
        <v>-</v>
      </c>
      <c r="G97" t="str">
        <f>IFERROR(VLOOKUP(F97,Database!$A$2:$L$189,2,FALSE),"-")</f>
        <v>-</v>
      </c>
      <c r="H97" t="str">
        <f>ankomster!O97</f>
        <v>-</v>
      </c>
      <c r="I97" t="str">
        <f>IFERROR(VLOOKUP(H97,Database!$A$2:$L$189,2,FALSE),"-")</f>
        <v>-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IFERROR(VLOOKUP(D99,Database!$A$2:$L$189,2,FALSE),"-")</f>
        <v>-</v>
      </c>
      <c r="F99">
        <f>ankomster!J99</f>
        <v>74</v>
      </c>
      <c r="G99" t="str">
        <f>IFERROR(VLOOKUP(F99,Database!$A$2:$L$189,2,FALSE),"-")</f>
        <v>Anne Hastrup Poulsen</v>
      </c>
      <c r="H99">
        <f>ankomster!O99</f>
        <v>74</v>
      </c>
      <c r="I99" t="str">
        <f>IFERROR(VLOOKUP(H99,Database!$A$2:$L$189,2,FALSE),"-")</f>
        <v>Anne Hastrup Poulsen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IFERROR(VLOOKUP(D100,Database!$A$2:$L$189,2,FALSE),"-")</f>
        <v>Kathrin Leupold</v>
      </c>
      <c r="F100" t="str">
        <f>ankomster!J100</f>
        <v>-</v>
      </c>
      <c r="G100" t="str">
        <f>IFERROR(VLOOKUP(F100,Database!$A$2:$L$189,2,FALSE),"-")</f>
        <v>-</v>
      </c>
      <c r="H100" t="str">
        <f>ankomster!O100</f>
        <v>-</v>
      </c>
      <c r="I100" t="str">
        <f>IFERROR(VLOOKUP(H100,Database!$A$2:$L$189,2,FALSE),"-")</f>
        <v>-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IFERROR(VLOOKUP(D103,Database!$A$2:$L$189,2,FALSE),"-")</f>
        <v>-</v>
      </c>
      <c r="F103">
        <f>ankomster!J103</f>
        <v>32</v>
      </c>
      <c r="G103" t="str">
        <f>IFERROR(VLOOKUP(F103,Database!$A$2:$L$189,2,FALSE),"-")</f>
        <v>Wolf Adrian</v>
      </c>
      <c r="H103">
        <f>ankomster!O103</f>
        <v>33</v>
      </c>
      <c r="I103" t="str">
        <f>IFERROR(VLOOKUP(H103,Database!$A$2:$L$189,2,FALSE),"-")</f>
        <v>Jörg Wolf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IFERROR(VLOOKUP(D107,Database!$A$2:$L$189,2,FALSE),"-")</f>
        <v>Jutta Fogh</v>
      </c>
      <c r="F107" t="str">
        <f>ankomster!J107</f>
        <v>-</v>
      </c>
      <c r="G107" t="str">
        <f>IFERROR(VLOOKUP(F107,Database!$A$2:$L$189,2,FALSE),"-")</f>
        <v>-</v>
      </c>
      <c r="H107" t="str">
        <f>ankomster!O107</f>
        <v>-</v>
      </c>
      <c r="I107" t="str">
        <f>IFERROR(VLOOKUP(H107,Database!$A$2:$L$189,2,FALSE),"-")</f>
        <v>-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IFERROR(VLOOKUP(D110,Database!$A$2:$L$189,2,FALSE),"-")</f>
        <v>-</v>
      </c>
      <c r="F110">
        <f>ankomster!J110</f>
        <v>46</v>
      </c>
      <c r="G110" t="str">
        <f>IFERROR(VLOOKUP(F110,Database!$A$2:$L$189,2,FALSE),"-")</f>
        <v>Kathrine Moelgaard Nielsen</v>
      </c>
      <c r="H110">
        <f>ankomster!O110</f>
        <v>23</v>
      </c>
      <c r="I110" t="str">
        <f>IFERROR(VLOOKUP(H110,Database!$A$2:$L$189,2,FALSE),"-")</f>
        <v>Stine Jespersen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IFERROR(VLOOKUP(D111,Database!$A$2:$L$189,2,FALSE),"-")</f>
        <v>Sanne Emme</v>
      </c>
      <c r="F111" t="str">
        <f>ankomster!J111</f>
        <v>-</v>
      </c>
      <c r="G111" t="str">
        <f>IFERROR(VLOOKUP(F111,Database!$A$2:$L$189,2,FALSE),"-")</f>
        <v>-</v>
      </c>
      <c r="H111" t="str">
        <f>ankomster!O111</f>
        <v>-</v>
      </c>
      <c r="I111" t="str">
        <f>IFERROR(VLOOKUP(H111,Database!$A$2:$L$189,2,FALSE),"-")</f>
        <v>-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IFERROR(VLOOKUP(D127,Database!$A$2:$L$189,2,FALSE),"-")</f>
        <v>-</v>
      </c>
      <c r="F127">
        <f>ankomster!J127</f>
        <v>144</v>
      </c>
      <c r="G127" t="str">
        <f>IFERROR(VLOOKUP(F127,Database!$A$2:$L$189,2,FALSE),"-")</f>
        <v>Jytte Holmgaard Christensen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 t="str">
        <f>ankomster!J129</f>
        <v>-</v>
      </c>
      <c r="G129" t="str">
        <f>IFERROR(VLOOKUP(F129,Database!$A$2:$L$189,2,FALSE),"-")</f>
        <v>-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>
        <f>ankomster!Y129</f>
        <v>126</v>
      </c>
      <c r="M129" t="str">
        <f>IFERROR(VLOOKUP(L129,Database!$A$2:$L$189,2,FALSE),"-")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>
        <f>ankomster!O131</f>
        <v>142</v>
      </c>
      <c r="I131" t="str">
        <f>IFERROR(VLOOKUP(H131,Database!$A$2:$L$189,2,FALSE),"-")</f>
        <v>Steffen Jarlov</v>
      </c>
      <c r="J131" s="74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>
        <f>ankomster!J132</f>
        <v>147</v>
      </c>
      <c r="G132" t="str">
        <f>IFERROR(VLOOKUP(F132,Database!$A$2:$L$189,2,FALSE),"-")</f>
        <v>Katja Lundsgaard Christensen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IFERROR(VLOOKUP(D133,Database!$A$2:$L$189,2,FALSE),"-")</f>
        <v>Anette Arleth</v>
      </c>
      <c r="F133" t="str">
        <f>ankomster!J133</f>
        <v>-</v>
      </c>
      <c r="G133" t="str">
        <f>IFERROR(VLOOKUP(F133,Database!$A$2:$L$189,2,FALSE),"-")</f>
        <v>-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>
        <f>ankomster!J134</f>
        <v>145</v>
      </c>
      <c r="G134" t="str">
        <f>IFERROR(VLOOKUP(F134,Database!$A$2:$L$189,2,FALSE),"-")</f>
        <v>Alice Andersen</v>
      </c>
      <c r="H134" t="str">
        <f>ankomster!O134</f>
        <v>-</v>
      </c>
      <c r="I134" t="str">
        <f>IFERROR(VLOOKUP(H134,Database!$A$2:$L$189,2,FALSE),"-")</f>
        <v>-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 t="str">
        <f>ankomster!O137</f>
        <v>-</v>
      </c>
      <c r="I137" t="str">
        <f>IFERROR(VLOOKUP(H137,Database!$A$2:$L$189,2,FALSE),"-")</f>
        <v>-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>
        <f>ankomster!O138</f>
        <v>143</v>
      </c>
      <c r="I138" t="str">
        <f>IFERROR(VLOOKUP(H138,Database!$A$2:$L$189,2,FALSE),"-")</f>
        <v>Lisbet Jørgensen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IFERROR(VLOOKUP(D145,Database!$A$2:$L$189,2,FALSE),"-")</f>
        <v>Mette Sandvig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 t="str">
        <f>ankomster!T145</f>
        <v>-</v>
      </c>
      <c r="K145" t="str">
        <f>IFERROR(VLOOKUP(J145,Database!$A$2:$L$189,2,FALSE),"-")</f>
        <v>-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-</v>
      </c>
      <c r="D146" t="str">
        <f>ankomster!E146</f>
        <v>-</v>
      </c>
      <c r="E146" t="str">
        <f>IFERROR(VLOOKUP(D146,Database!$A$2:$L$189,2,FALSE),"-")</f>
        <v>-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 t="str">
        <f>ankomster!T147</f>
        <v>-</v>
      </c>
      <c r="K147" t="str">
        <f>IFERROR(VLOOKUP(J147,Database!$A$2:$L$189,2,FALSE),"-")</f>
        <v>-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>
        <f>ankomster!O148</f>
        <v>146</v>
      </c>
      <c r="I148" t="str">
        <f>IFERROR(VLOOKUP(H148,Database!$A$2:$L$189,2,FALSE),"-")</f>
        <v>Claus Kaae Christensen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5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5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5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5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5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5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5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5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5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5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5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5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5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5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5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5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5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5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5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5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5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5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5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5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5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5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5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5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5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5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5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5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5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5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5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5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5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5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5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5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5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5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5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5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5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5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5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5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5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5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5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5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5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5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5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5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5">
      <c r="A113">
        <f>Database!A126</f>
        <v>112</v>
      </c>
      <c r="B113" s="2">
        <f>Database!Q126</f>
        <v>0</v>
      </c>
      <c r="C113" s="2" t="str">
        <f t="shared" si="3"/>
        <v>-</v>
      </c>
      <c r="D113" s="2" t="str">
        <f>IF(B113="Y",Database!K126,"-")</f>
        <v>-</v>
      </c>
      <c r="E113" s="2">
        <f>IF(AND(D113&gt;1,B113="Y"),Database!L126/D113,Database!L126)</f>
        <v>0</v>
      </c>
    </row>
    <row r="114" spans="1:5" x14ac:dyDescent="0.35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5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5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5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5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5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5">
      <c r="A120">
        <f>Database!A133</f>
        <v>119</v>
      </c>
      <c r="B120" s="2">
        <f>Database!Q133</f>
        <v>0</v>
      </c>
      <c r="C120" s="2" t="str">
        <f t="shared" si="3"/>
        <v>-</v>
      </c>
      <c r="D120" s="2" t="str">
        <f>IF(B120="Y",Database!K133,"-")</f>
        <v>-</v>
      </c>
      <c r="E120" s="2">
        <f>IF(AND(D120&gt;1,B120="Y"),Database!L133/D120,Database!L133)</f>
        <v>0</v>
      </c>
    </row>
    <row r="121" spans="1:5" x14ac:dyDescent="0.35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5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5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5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5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5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5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5">
      <c r="A128">
        <f>Database!A142</f>
        <v>127</v>
      </c>
      <c r="B128" s="2">
        <f>Database!Q142</f>
        <v>0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0</v>
      </c>
    </row>
    <row r="129" spans="1:5" x14ac:dyDescent="0.35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5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5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5">
      <c r="A132">
        <f>Database!A146</f>
        <v>131</v>
      </c>
      <c r="B132" s="2">
        <f>Database!Q146</f>
        <v>0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0</v>
      </c>
    </row>
    <row r="133" spans="1:5" x14ac:dyDescent="0.35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5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5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5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5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5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5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5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5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5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5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5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5">
      <c r="A145">
        <f>Database!A159</f>
        <v>144</v>
      </c>
      <c r="B145" s="2" t="str">
        <f>Database!Q159</f>
        <v>N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2</v>
      </c>
    </row>
    <row r="146" spans="1:5" x14ac:dyDescent="0.35">
      <c r="A146">
        <f>Database!A160</f>
        <v>145</v>
      </c>
      <c r="B146" s="2" t="str">
        <f>Database!Q160</f>
        <v>Y</v>
      </c>
      <c r="C146" s="2">
        <f t="shared" si="4"/>
        <v>2</v>
      </c>
      <c r="D146" s="2">
        <f>IF(B146="Y",Database!K160,"-")</f>
        <v>1</v>
      </c>
      <c r="E146" s="2">
        <f>IF(AND(D146&gt;1,B146="Y"),Database!L160/D146,Database!L160)</f>
        <v>2</v>
      </c>
    </row>
    <row r="147" spans="1:5" x14ac:dyDescent="0.35">
      <c r="A147">
        <f>Database!A161</f>
        <v>146</v>
      </c>
      <c r="B147" s="2" t="str">
        <f>Database!Q161</f>
        <v>Y</v>
      </c>
      <c r="C147" s="2">
        <f t="shared" si="4"/>
        <v>2</v>
      </c>
      <c r="D147" s="2">
        <f>IF(B147="Y",Database!K161,"-")</f>
        <v>1</v>
      </c>
      <c r="E147" s="2">
        <f>IF(AND(D147&gt;1,B147="Y"),Database!L161/D147,Database!L161)</f>
        <v>2</v>
      </c>
    </row>
    <row r="148" spans="1:5" x14ac:dyDescent="0.35">
      <c r="A148">
        <f>Database!A162</f>
        <v>147</v>
      </c>
      <c r="B148" s="2" t="str">
        <f>Database!Q162</f>
        <v>N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2</v>
      </c>
    </row>
    <row r="149" spans="1:5" x14ac:dyDescent="0.35">
      <c r="A149">
        <f>Database!A163</f>
        <v>148</v>
      </c>
      <c r="B149" s="2" t="str">
        <f>Database!Q163</f>
        <v>N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2</v>
      </c>
    </row>
    <row r="150" spans="1:5" x14ac:dyDescent="0.35">
      <c r="A150">
        <f>Database!A164</f>
        <v>149</v>
      </c>
      <c r="B150" s="2" t="str">
        <f>Database!Q164</f>
        <v>Y</v>
      </c>
      <c r="C150" s="2">
        <f t="shared" si="4"/>
        <v>2</v>
      </c>
      <c r="D150" s="2">
        <f>IF(B150="Y",Database!K164,"-")</f>
        <v>1</v>
      </c>
      <c r="E150" s="2">
        <f>IF(AND(D150&gt;1,B150="Y"),Database!L164/D150,Database!L164)</f>
        <v>2</v>
      </c>
    </row>
    <row r="151" spans="1:5" x14ac:dyDescent="0.35">
      <c r="A151">
        <f>Database!A165</f>
        <v>150</v>
      </c>
      <c r="B151" s="2" t="str">
        <f>Database!Q165</f>
        <v>N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2</v>
      </c>
    </row>
    <row r="152" spans="1:5" x14ac:dyDescent="0.35">
      <c r="A152">
        <f>Database!A166</f>
        <v>0</v>
      </c>
      <c r="B152" s="2">
        <f>Database!Q166</f>
        <v>0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0</v>
      </c>
    </row>
    <row r="153" spans="1:5" x14ac:dyDescent="0.35">
      <c r="A153">
        <f>Database!A167</f>
        <v>0</v>
      </c>
      <c r="B153" s="2">
        <f>Database!Q167</f>
        <v>0</v>
      </c>
      <c r="C153" s="2" t="str">
        <f t="shared" si="4"/>
        <v>-</v>
      </c>
      <c r="D153" s="2" t="str">
        <f>IF(B153="Y",Database!K167,"-")</f>
        <v>-</v>
      </c>
      <c r="E153" s="2">
        <f>IF(AND(D153&gt;1,B153="Y"),Database!L167/D153,Database!L167)</f>
        <v>0</v>
      </c>
    </row>
    <row r="154" spans="1:5" x14ac:dyDescent="0.35">
      <c r="A154">
        <f>Database!A168</f>
        <v>0</v>
      </c>
      <c r="B154" s="2">
        <f>Database!Q168</f>
        <v>0</v>
      </c>
      <c r="C154" s="2" t="str">
        <f t="shared" si="4"/>
        <v>-</v>
      </c>
      <c r="D154" s="2" t="str">
        <f>IF(B154="Y",Database!K168,"-")</f>
        <v>-</v>
      </c>
      <c r="E154" s="2">
        <f>IF(AND(D154&gt;1,B154="Y"),Database!L168/D154,Database!L168)</f>
        <v>0</v>
      </c>
    </row>
    <row r="155" spans="1:5" x14ac:dyDescent="0.35">
      <c r="A155">
        <f>Database!A169</f>
        <v>0</v>
      </c>
      <c r="B155" s="2">
        <f>Database!Q169</f>
        <v>0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0</v>
      </c>
    </row>
    <row r="156" spans="1:5" x14ac:dyDescent="0.35">
      <c r="A156">
        <f>Database!A170</f>
        <v>0</v>
      </c>
      <c r="B156" s="2">
        <f>Database!Q170</f>
        <v>0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0</v>
      </c>
    </row>
    <row r="157" spans="1:5" x14ac:dyDescent="0.35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5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5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5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5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5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5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5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5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5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5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5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5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5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5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5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5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5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5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5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5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5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5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5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5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5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5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5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5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5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5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5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5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5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5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5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5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5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5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5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5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5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5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307</v>
      </c>
      <c r="M3">
        <f>SUM(J2:J200)</f>
        <v>300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4" t="str">
        <f>Database!G19</f>
        <v>FM</v>
      </c>
      <c r="C16" s="185">
        <f>Database!C19</f>
        <v>46181</v>
      </c>
      <c r="D16" s="185">
        <f>Database!D19</f>
        <v>46188</v>
      </c>
      <c r="E16" s="184">
        <f t="shared" si="0"/>
        <v>7</v>
      </c>
      <c r="F16" s="184">
        <f>Database!K19</f>
        <v>1</v>
      </c>
      <c r="G16" s="184">
        <f t="shared" si="1"/>
        <v>7</v>
      </c>
      <c r="H16" s="184"/>
      <c r="I16" s="184">
        <f>G16</f>
        <v>7</v>
      </c>
      <c r="J16" s="184">
        <f t="shared" si="3"/>
        <v>0</v>
      </c>
    </row>
    <row r="17" spans="1:10" x14ac:dyDescent="0.35">
      <c r="A17">
        <f>Database!A20</f>
        <v>16</v>
      </c>
      <c r="B17" s="184" t="str">
        <f>Database!G20</f>
        <v>FM</v>
      </c>
      <c r="C17" s="185">
        <f>Database!C20</f>
        <v>46182</v>
      </c>
      <c r="D17" s="185">
        <f>Database!D20</f>
        <v>46188</v>
      </c>
      <c r="E17" s="184">
        <f t="shared" si="0"/>
        <v>6</v>
      </c>
      <c r="F17" s="184">
        <f>Database!K20</f>
        <v>2</v>
      </c>
      <c r="G17" s="184">
        <f t="shared" si="1"/>
        <v>12</v>
      </c>
      <c r="H17" s="184"/>
      <c r="I17" s="184">
        <f>G17</f>
        <v>12</v>
      </c>
      <c r="J17" s="184">
        <f t="shared" si="3"/>
        <v>0</v>
      </c>
    </row>
    <row r="18" spans="1:10" x14ac:dyDescent="0.35">
      <c r="A18">
        <f>Database!A22</f>
        <v>17</v>
      </c>
      <c r="B18" s="184" t="str">
        <f>Database!G22</f>
        <v>FM</v>
      </c>
      <c r="C18" s="185">
        <f>Database!C22</f>
        <v>46181</v>
      </c>
      <c r="D18" s="185">
        <f>Database!D22</f>
        <v>46188</v>
      </c>
      <c r="E18" s="184">
        <f t="shared" si="0"/>
        <v>7</v>
      </c>
      <c r="F18" s="184">
        <f>Database!K22</f>
        <v>1</v>
      </c>
      <c r="G18" s="184">
        <f t="shared" si="1"/>
        <v>7</v>
      </c>
      <c r="H18" s="184"/>
      <c r="I18" s="184">
        <f>G18</f>
        <v>7</v>
      </c>
      <c r="J18" s="184">
        <f t="shared" si="3"/>
        <v>0</v>
      </c>
    </row>
    <row r="19" spans="1:10" x14ac:dyDescent="0.35">
      <c r="A19">
        <f>Database!A23</f>
        <v>18</v>
      </c>
      <c r="B19" s="184" t="str">
        <f>Database!G23</f>
        <v>FM</v>
      </c>
      <c r="C19" s="185">
        <f>Database!C23</f>
        <v>46182</v>
      </c>
      <c r="D19" s="185">
        <f>Database!D23</f>
        <v>46187</v>
      </c>
      <c r="E19" s="184">
        <f t="shared" si="0"/>
        <v>5</v>
      </c>
      <c r="F19" s="184">
        <f>Database!K23</f>
        <v>1</v>
      </c>
      <c r="G19" s="184">
        <f t="shared" si="1"/>
        <v>5</v>
      </c>
      <c r="H19" s="184"/>
      <c r="I19" s="184">
        <f>G19</f>
        <v>5</v>
      </c>
      <c r="J19" s="184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Database!A126</f>
        <v>112</v>
      </c>
      <c r="B113" t="str">
        <f>Database!G126</f>
        <v>cansl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Database!A133</f>
        <v>119</v>
      </c>
      <c r="B120" t="str">
        <f>Database!G133</f>
        <v>cansl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Database!A142</f>
        <v>127</v>
      </c>
      <c r="B128" t="str">
        <f>Database!G142</f>
        <v>cansl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Database!A146</f>
        <v>131</v>
      </c>
      <c r="B132" t="str">
        <f>Database!G146</f>
        <v>cansl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Database!A159</f>
        <v>144</v>
      </c>
      <c r="B145" t="str">
        <f>Database!G159</f>
        <v>bc</v>
      </c>
      <c r="C145" s="5">
        <f>Database!C159</f>
        <v>46264</v>
      </c>
      <c r="D145" s="5">
        <f>Database!D159</f>
        <v>46269</v>
      </c>
      <c r="E145">
        <f t="shared" si="8"/>
        <v>5</v>
      </c>
      <c r="F145">
        <f>Database!K159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Database!A160</f>
        <v>145</v>
      </c>
      <c r="B146" t="str">
        <f>Database!G160</f>
        <v>web</v>
      </c>
      <c r="C146" s="5">
        <f>Database!C160</f>
        <v>46271</v>
      </c>
      <c r="D146" s="5">
        <f>Database!D160</f>
        <v>46276</v>
      </c>
      <c r="E146">
        <f t="shared" si="8"/>
        <v>5</v>
      </c>
      <c r="F146">
        <f>Database!K160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Database!A161</f>
        <v>146</v>
      </c>
      <c r="B147" t="str">
        <f>Database!G161</f>
        <v>web</v>
      </c>
      <c r="C147" s="5">
        <f>Database!C161</f>
        <v>46285</v>
      </c>
      <c r="D147" s="5">
        <f>Database!D161</f>
        <v>46290</v>
      </c>
      <c r="E147">
        <f t="shared" si="8"/>
        <v>5</v>
      </c>
      <c r="F147">
        <f>Database!K161</f>
        <v>1</v>
      </c>
      <c r="G147">
        <f t="shared" si="9"/>
        <v>5</v>
      </c>
      <c r="I147">
        <f t="shared" si="10"/>
        <v>5</v>
      </c>
      <c r="J147">
        <f t="shared" si="11"/>
        <v>0</v>
      </c>
    </row>
    <row r="148" spans="1:10" x14ac:dyDescent="0.35">
      <c r="A148">
        <f>Database!A162</f>
        <v>147</v>
      </c>
      <c r="B148" t="str">
        <f>Database!G162</f>
        <v>bc</v>
      </c>
      <c r="C148" s="5">
        <f>Database!C162</f>
        <v>46269</v>
      </c>
      <c r="D148" s="5">
        <f>Database!D162</f>
        <v>46271</v>
      </c>
      <c r="E148">
        <f t="shared" si="8"/>
        <v>2</v>
      </c>
      <c r="F148">
        <f>Database!K162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Database!A163</f>
        <v>148</v>
      </c>
      <c r="B149" t="str">
        <f>Database!G163</f>
        <v>bc</v>
      </c>
      <c r="C149" s="5">
        <f>Database!C163</f>
        <v>46188</v>
      </c>
      <c r="D149" s="5">
        <f>Database!D163</f>
        <v>46192</v>
      </c>
      <c r="E149">
        <f t="shared" si="8"/>
        <v>4</v>
      </c>
      <c r="F149">
        <f>Database!K163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5">
      <c r="A150">
        <f>Database!A164</f>
        <v>149</v>
      </c>
      <c r="B150" t="str">
        <f>Database!G164</f>
        <v>bc</v>
      </c>
      <c r="C150" s="5">
        <f>Database!C164</f>
        <v>46196</v>
      </c>
      <c r="D150" s="5">
        <f>Database!D164</f>
        <v>46200</v>
      </c>
      <c r="E150">
        <f t="shared" si="8"/>
        <v>4</v>
      </c>
      <c r="F150">
        <f>Database!K164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5">
      <c r="A151">
        <f>Database!A165</f>
        <v>150</v>
      </c>
      <c r="B151" t="str">
        <f>Database!G165</f>
        <v>bc</v>
      </c>
      <c r="C151" s="5">
        <f>Database!C165</f>
        <v>46227</v>
      </c>
      <c r="D151" s="5">
        <f>Database!D165</f>
        <v>46230</v>
      </c>
      <c r="E151">
        <f t="shared" si="8"/>
        <v>3</v>
      </c>
      <c r="F151">
        <f>Database!K165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5">
      <c r="A152">
        <f>Database!A166</f>
        <v>0</v>
      </c>
      <c r="B152">
        <f>Database!G166</f>
        <v>0</v>
      </c>
      <c r="C152" s="5">
        <f>Database!C166</f>
        <v>0</v>
      </c>
      <c r="D152" s="5">
        <f>Database!D166</f>
        <v>0</v>
      </c>
      <c r="E152">
        <f t="shared" si="8"/>
        <v>0</v>
      </c>
      <c r="F152">
        <f>Database!K166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Database!A167</f>
        <v>0</v>
      </c>
      <c r="B153">
        <f>Database!G167</f>
        <v>0</v>
      </c>
      <c r="C153" s="5">
        <f>Database!C167</f>
        <v>0</v>
      </c>
      <c r="D153" s="5">
        <f>Database!D167</f>
        <v>0</v>
      </c>
      <c r="E153">
        <f t="shared" si="8"/>
        <v>0</v>
      </c>
      <c r="F153">
        <f>Database!K167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Database!A168</f>
        <v>0</v>
      </c>
      <c r="B154">
        <f>Database!G168</f>
        <v>0</v>
      </c>
      <c r="C154" s="5">
        <f>Database!C168</f>
        <v>0</v>
      </c>
      <c r="D154" s="5">
        <f>Database!D168</f>
        <v>0</v>
      </c>
      <c r="E154">
        <f t="shared" si="8"/>
        <v>0</v>
      </c>
      <c r="F154">
        <f>Database!K168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Database!A169</f>
        <v>0</v>
      </c>
      <c r="B155">
        <f>Database!G169</f>
        <v>0</v>
      </c>
      <c r="C155" s="5">
        <f>Database!C169</f>
        <v>0</v>
      </c>
      <c r="D155" s="5">
        <f>Database!D169</f>
        <v>0</v>
      </c>
      <c r="E155">
        <f t="shared" si="8"/>
        <v>0</v>
      </c>
      <c r="F155">
        <f>Database!K169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Database!A170</f>
        <v>0</v>
      </c>
      <c r="B156">
        <f>Database!G170</f>
        <v>0</v>
      </c>
      <c r="C156" s="5">
        <f>Database!C170</f>
        <v>0</v>
      </c>
      <c r="D156" s="5">
        <f>Database!D170</f>
        <v>0</v>
      </c>
      <c r="E156">
        <f t="shared" si="8"/>
        <v>0</v>
      </c>
      <c r="F156">
        <f>Database!K170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9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va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va</v>
      </c>
      <c r="H83" s="128" t="str">
        <f>IF(booking!M83&gt;0,"oc","va")</f>
        <v>va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va</v>
      </c>
      <c r="H84" s="128" t="str">
        <f>IF(booking!M84&gt;0,"oc","va")</f>
        <v>va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va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oc</v>
      </c>
      <c r="M85" s="127" t="str">
        <f>IF(booking!X85&gt;0,"oc","va")</f>
        <v>va</v>
      </c>
      <c r="N85" s="128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oc</v>
      </c>
      <c r="L86" s="128" t="str">
        <f>IF(booking!U86&gt;0,"oc","va")</f>
        <v>oc</v>
      </c>
      <c r="M86" s="127" t="str">
        <f>IF(booking!X86&gt;0,"oc","va")</f>
        <v>va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oc</v>
      </c>
      <c r="L87" s="128" t="str">
        <f>IF(booking!U87&gt;0,"oc","va")</f>
        <v>oc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oc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va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oc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va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oc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oc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oc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va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va</v>
      </c>
      <c r="D106" s="128" t="str">
        <f>IF(booking!E106&gt;0,"oc","va")</f>
        <v>va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oc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va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oc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va</v>
      </c>
      <c r="N108" s="128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va</v>
      </c>
      <c r="N109" s="128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va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va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va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va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va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va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va</v>
      </c>
      <c r="H135" s="128" t="str">
        <f>IF(booking!M135&gt;0,"oc","va")</f>
        <v>va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va</v>
      </c>
      <c r="H136" s="128" t="str">
        <f>IF(booking!M136&gt;0,"oc","va")</f>
        <v>va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va</v>
      </c>
      <c r="H137" s="128" t="str">
        <f>IF(booking!M137&gt;0,"oc","va")</f>
        <v>va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va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oc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va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oc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va</v>
      </c>
      <c r="J146" s="128" t="str">
        <f>IF(booking!Q146&gt;0,"oc","va")</f>
        <v>va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va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va</v>
      </c>
      <c r="J147" s="128" t="str">
        <f>IF(booking!Q147&gt;0,"oc","va")</f>
        <v>va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va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va</v>
      </c>
      <c r="J148" s="128" t="str">
        <f>IF(booking!Q148&gt;0,"oc","va")</f>
        <v>va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va</v>
      </c>
      <c r="J149" s="128" t="str">
        <f>IF(booking!Q149&gt;0,"oc","va")</f>
        <v>va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va</v>
      </c>
      <c r="J150" s="128" t="str">
        <f>IF(booking!Q150&gt;0,"oc","va")</f>
        <v>va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oc</v>
      </c>
      <c r="I151" s="127" t="str">
        <f>IF(booking!P151&gt;0,"oc","va")</f>
        <v>va</v>
      </c>
      <c r="J151" s="128" t="str">
        <f>IF(booking!Q151&gt;0,"oc","va")</f>
        <v>va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oc</v>
      </c>
      <c r="H152" s="128" t="str">
        <f>IF(booking!M152&gt;0,"oc","va")</f>
        <v>oc</v>
      </c>
      <c r="I152" s="127" t="str">
        <f>IF(booking!P152&gt;0,"oc","va")</f>
        <v>va</v>
      </c>
      <c r="J152" s="128" t="str">
        <f>IF(booking!Q152&gt;0,"oc","va")</f>
        <v>va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oc</v>
      </c>
      <c r="H153" s="128" t="str">
        <f>IF(booking!M153&gt;0,"oc","va")</f>
        <v>va</v>
      </c>
      <c r="I153" s="127" t="str">
        <f>IF(booking!P153&gt;0,"oc","va")</f>
        <v>va</v>
      </c>
      <c r="J153" s="128" t="str">
        <f>IF(booking!Q153&gt;0,"oc","va")</f>
        <v>va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va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2026-06-04T13:14:18Z</cp:lastPrinted>
  <dcterms:created xsi:type="dcterms:W3CDTF">2024-07-25T07:35:10Z</dcterms:created>
  <dcterms:modified xsi:type="dcterms:W3CDTF">2026-06-13T19:26:29Z</dcterms:modified>
  <cp:category/>
  <cp:contentStatus/>
</cp:coreProperties>
</file>
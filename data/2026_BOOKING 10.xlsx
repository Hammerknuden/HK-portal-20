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C4E0FB26-2888-4F92-999C-17F2B7F8BC3C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AE200" i="3"/>
  <c r="AD200" i="3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S128" i="3"/>
  <c r="BT128" i="3"/>
  <c r="BU128" i="3"/>
  <c r="BV128" i="3"/>
  <c r="BW128" i="3"/>
  <c r="BX128" i="3"/>
  <c r="BY128" i="3"/>
  <c r="BN129" i="3"/>
  <c r="BL129" i="3" s="1"/>
  <c r="BO129" i="3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28" i="3" l="1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132" i="3"/>
  <c r="BM131" i="3"/>
  <c r="BM129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128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S126" i="3" l="1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89" i="3" l="1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<sst xmlns="http://schemas.openxmlformats.org/spreadsheetml/2006/main" count="1393" uniqueCount="489">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</sst>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6"/>
  <sheetViews>
    <sheetView workbookViewId="0">
      <pane ySplit="1" topLeftCell="A2" activePane="bottomLeft" state="frozen"/>
      <selection pane="bottomLeft" activeCell="S126" sqref="S12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X1" workbookViewId="0">
      <pane ySplit="1" topLeftCell="A186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171</v>
      </c>
      <c r="BC196" s="34">
        <f t="shared" si="167"/>
        <v>703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532</v>
      </c>
      <c r="AF198">
        <f t="shared" si="168"/>
        <v>532</v>
      </c>
      <c r="AG198">
        <f t="shared" si="168"/>
        <v>532</v>
      </c>
      <c r="AH198">
        <f t="shared" si="168"/>
        <v>532</v>
      </c>
      <c r="AI198">
        <f t="shared" si="168"/>
        <v>532</v>
      </c>
      <c r="AJ198">
        <f t="shared" si="168"/>
        <v>532</v>
      </c>
      <c r="AK198">
        <f t="shared" si="168"/>
        <v>532</v>
      </c>
      <c r="AL198">
        <f t="shared" si="168"/>
        <v>532</v>
      </c>
      <c r="AM198">
        <f t="shared" si="168"/>
        <v>532</v>
      </c>
      <c r="AN198">
        <f t="shared" si="168"/>
        <v>532</v>
      </c>
      <c r="AO198">
        <f t="shared" si="168"/>
        <v>532</v>
      </c>
      <c r="AP198">
        <f t="shared" si="168"/>
        <v>532</v>
      </c>
      <c r="AQ198">
        <f t="shared" si="168"/>
        <v>532</v>
      </c>
      <c r="AR198">
        <f t="shared" si="168"/>
        <v>532</v>
      </c>
      <c r="AS198">
        <f t="shared" si="168"/>
        <v>532</v>
      </c>
      <c r="AT198">
        <f t="shared" si="168"/>
        <v>532</v>
      </c>
      <c r="AU198">
        <f t="shared" si="168"/>
        <v>532</v>
      </c>
      <c r="AV198">
        <f t="shared" si="168"/>
        <v>532</v>
      </c>
      <c r="AW198">
        <f t="shared" si="168"/>
        <v>532</v>
      </c>
      <c r="AX198">
        <f t="shared" si="168"/>
        <v>532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532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703</v>
      </c>
      <c r="BE203" s="40">
        <f>BE196</f>
        <v>67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0"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703</v>
      </c>
      <c r="C31" s="34">
        <f>'book stat'!BE203</f>
        <v>67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3" activePane="bottomLeft" state="frozen"/>
      <selection pane="bottomLeft" activeCell="T20" sqref="T2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531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/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14"/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4"/>
      <c r="I34" s="8"/>
      <c r="J34" s="20"/>
      <c r="K34" s="19"/>
      <c r="L34" s="142">
        <v>5</v>
      </c>
      <c r="M34" s="142">
        <v>5</v>
      </c>
      <c r="N34" s="117">
        <v>2</v>
      </c>
      <c r="O34" s="117"/>
      <c r="P34" s="114"/>
      <c r="Q34" s="114">
        <v>125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3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4"/>
      <c r="I35" s="8"/>
      <c r="J35" s="20"/>
      <c r="K35" s="19"/>
      <c r="L35" s="142">
        <v>5</v>
      </c>
      <c r="M35" s="142">
        <v>5</v>
      </c>
      <c r="N35" s="117">
        <v>2</v>
      </c>
      <c r="O35" s="117"/>
      <c r="P35" s="114">
        <v>125</v>
      </c>
      <c r="Q35" s="114">
        <v>125</v>
      </c>
      <c r="R35" s="114">
        <v>2</v>
      </c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3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/>
      <c r="I36" s="156">
        <v>79</v>
      </c>
      <c r="J36" s="20"/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125</v>
      </c>
      <c r="Q36" s="114"/>
      <c r="R36" s="114">
        <v>2</v>
      </c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2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/>
      <c r="J51" s="20">
        <v>2</v>
      </c>
      <c r="K51" s="19"/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8</v>
      </c>
      <c r="AA51" s="133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/>
      <c r="I52" s="8"/>
      <c r="J52" s="20">
        <v>2</v>
      </c>
      <c r="K52" s="19" t="s">
        <v>157</v>
      </c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8</v>
      </c>
      <c r="AA52" s="133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8</v>
      </c>
      <c r="AA53" s="133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9</v>
      </c>
      <c r="AA54" s="133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7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7">
        <v>2</v>
      </c>
      <c r="O57" s="20"/>
      <c r="P57" s="8"/>
      <c r="Q57" s="8"/>
      <c r="R57" s="117"/>
      <c r="S57" s="117"/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8"/>
      <c r="M58" s="8"/>
      <c r="N58" s="20"/>
      <c r="O58" s="20"/>
      <c r="P58" s="8"/>
      <c r="Q58" s="157">
        <v>37</v>
      </c>
      <c r="R58" s="117"/>
      <c r="S58" s="117"/>
      <c r="T58" s="142">
        <v>86</v>
      </c>
      <c r="U58" s="114"/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7">
        <v>37</v>
      </c>
      <c r="Q59" s="157">
        <v>37</v>
      </c>
      <c r="R59" s="117">
        <v>2</v>
      </c>
      <c r="S59" s="117"/>
      <c r="T59" s="114"/>
      <c r="U59" s="114"/>
      <c r="V59" s="20"/>
      <c r="W59" s="20"/>
      <c r="X59" s="22"/>
      <c r="Y59" s="22"/>
      <c r="Z59" s="138">
        <f t="shared" si="2"/>
        <v>4</v>
      </c>
      <c r="AA59" s="133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7">
        <v>37</v>
      </c>
      <c r="Q60" s="157">
        <v>37</v>
      </c>
      <c r="R60" s="117">
        <v>2</v>
      </c>
      <c r="S60" s="117"/>
      <c r="T60" s="114"/>
      <c r="U60" s="114"/>
      <c r="V60" s="20"/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57">
        <v>37</v>
      </c>
      <c r="Q61" s="8">
        <v>64</v>
      </c>
      <c r="R61" s="117">
        <v>2</v>
      </c>
      <c r="S61" s="20" t="s">
        <v>159</v>
      </c>
      <c r="T61" s="114"/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226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2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4</v>
      </c>
      <c r="AA130" s="133">
        <f t="shared" si="7"/>
        <v>2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5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4</v>
      </c>
      <c r="AA131" s="133">
        <f t="shared" ref="AA131:AA171" si="12">COUNT(E131,I131,M131,Q131,U131)</f>
        <v>1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5"/>
      <c r="H132" s="8"/>
      <c r="I132" s="8"/>
      <c r="J132" s="20"/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0</v>
      </c>
      <c r="AA132" s="133">
        <f t="shared" si="12"/>
        <v>1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5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0</v>
      </c>
      <c r="AA133" s="133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18 O37:Y91 N99:N107 D99:M115 D92:Y98 O99:Y123 I11:I18 D16:H52 D124:Y171 I19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-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DK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-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-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DK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-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-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-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-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udc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-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-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-</v>
      </c>
      <c r="I83" s="49" t="str">
        <f>IFERROR(IF(AND(booking!AB83&gt;0,booking!L83&lt;&gt;booking!M83),VLOOKUP(booking!M83,Database!$A$1:'Database'!$L$175,6,FALSE),"-"),"-")</f>
        <v>-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-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CH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CZ</v>
      </c>
      <c r="H85" s="53" t="str">
        <f>IF(AND(booking!L85&lt;&gt;booking!M85,booking!L85&gt;0),"udc","-")</f>
        <v>-</v>
      </c>
      <c r="I85" s="49" t="str">
        <f>IFERROR(IF(AND(booking!AB85&gt;0,booking!L85&lt;&gt;booking!M85),VLOOKUP(booking!M85,Database!$A$1:'Database'!$L$175,6,FALSE),"-"),"-")</f>
        <v>-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udc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-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-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udc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>
        <f>IFERROR(IF(AND(booking!AB125&gt;0,booking!P125&lt;&gt;booking!Q125),VLOOKUP(booking!Q125,Database!$A$1:'Database'!$L$175,6,FALSE),"-"),"-")</f>
        <v>0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-</v>
      </c>
      <c r="D133" s="53" t="str">
        <f>IF(AND(booking!D133&lt;&gt;booking!E133,booking!D133&gt;0),"udc","-")</f>
        <v>-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-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>
        <f>IFERROR(IF(AND(booking!AB149&gt;0,booking!T149&lt;&gt;booking!U149),VLOOKUP(booking!U149,Database!$A$1:'Database'!$L$175,6,FALSE),"-"),"-")</f>
        <v>0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 t="str">
        <f>IF(AND(D34="Y",booking!H34&lt;&gt;booking!I34,booking!I34&gt;0),booking!I34,"-")</f>
        <v>-</v>
      </c>
      <c r="K34" s="78" t="str">
        <f>IFERROR(VLOOKUP(J34,Database!$A$2:$L$175,8,FALSE),"-")</f>
        <v>-</v>
      </c>
      <c r="L34" s="78" t="str">
        <f>IFERROR(VLOOKUP(J34,Database!$A$2:$L$175,6,FALSE),"-")</f>
        <v>-</v>
      </c>
      <c r="M34" s="93" t="str">
        <f>IFERROR(VLOOKUP(J34,Database!$A$2:$L$175,9,FALSE),"-")</f>
        <v>-</v>
      </c>
      <c r="N34" s="209" t="str">
        <f>IFERROR(VLOOKUP(J34,Database!$A$2:$S$175,19,FALSE),"-")</f>
        <v>-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>
        <f>IF(AND(D34="Y",booking!P34&lt;&gt;booking!Q34,booking!Q34&gt;0),booking!Q34,"-")</f>
        <v>125</v>
      </c>
      <c r="U34" s="78">
        <f>IFERROR(VLOOKUP(T34,Database!$A$2:$L$175,8,FALSE),"-")</f>
        <v>0</v>
      </c>
      <c r="V34" s="78" t="str">
        <f>IFERROR(VLOOKUP(T34,Database!$A$2:$L$175,6,FALSE),"-")</f>
        <v>DK</v>
      </c>
      <c r="W34" s="82">
        <f>IFERROR(VLOOKUP(T34,Database!$A$2:$L$175,9,FALSE),"-")</f>
        <v>0</v>
      </c>
      <c r="X34" s="209" t="str">
        <f>IFERROR(VLOOKUP(T34,Database!$A$2:$S$175,19,FALSE),"-")</f>
        <v>N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 t="str">
        <f>IF(AND(D51="Y",booking!H51&lt;&gt;booking!I51,booking!I51&gt;0),booking!I51,"-")</f>
        <v>-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-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 t="str">
        <f>IF(AND(D57="Y",booking!L57&lt;&gt;booking!M57,booking!M57&gt;0),booking!M57,"-")</f>
        <v>-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 t="str">
        <f>IF(AND(D57="Y",booking!P57&lt;&gt;booking!Q57,booking!Q57&gt;0),booking!Q57,"-")</f>
        <v>-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>
        <f>IF(AND(D58="Y",booking!P58&lt;&gt;booking!Q58,booking!Q58&gt;0),booking!Q58,"-")</f>
        <v>37</v>
      </c>
      <c r="U58" s="78" t="str">
        <f>IFERROR(VLOOKUP(T58,Database!$A$2:$L$175,8,FALSE),"-")</f>
        <v>1430</v>
      </c>
      <c r="V58" s="78" t="str">
        <f>IFERROR(VLOOKUP(T58,Database!$A$2:$L$175,6,FALSE),"-")</f>
        <v>DK</v>
      </c>
      <c r="W58" s="82">
        <f>IFERROR(VLOOKUP(T58,Database!$A$2:$L$175,9,FALSE),"-")</f>
        <v>0</v>
      </c>
      <c r="X58" s="209" t="str">
        <f>IFERROR(VLOOKUP(T58,Database!$A$2:$S$175,19,FALSE),"-")</f>
        <v>N</v>
      </c>
      <c r="Y58" s="96" t="str">
        <f>IF(AND(D58="Y",booking!T58&lt;&gt;booking!U58,booking!U58&gt;0),booking!U58,"-")</f>
        <v>-</v>
      </c>
      <c r="Z58" s="79" t="str">
        <f>IFERROR(VLOOKUP(Y58,Database!$A$2:$L$175,8,FALSE),"-")</f>
        <v>-</v>
      </c>
      <c r="AA58" s="79" t="str">
        <f>IFERROR(VLOOKUP(Y58,Database!$A$2:$L$175,6,FALSE),"-")</f>
        <v>-</v>
      </c>
      <c r="AB58" s="92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-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 t="str">
        <f>IF(AND(D82="Y",booking!L82&lt;&gt;booking!M82,booking!M82&gt;0),booking!M82,"-")</f>
        <v>-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-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 t="str">
        <f>IF(AND(D83="Y",booking!L83&lt;&gt;booking!M83,booking!M83&gt;0),booking!M83,"-")</f>
        <v>-</v>
      </c>
      <c r="P83" s="78" t="str">
        <f>IFERROR(VLOOKUP(O83,Database!$A$2:$L$175,8,FALSE),"-")</f>
        <v>-</v>
      </c>
      <c r="Q83" s="78" t="str">
        <f>IFERROR(VLOOKUP(O83,Database!$A$2:$L$175,6,FALSE),"-")</f>
        <v>-</v>
      </c>
      <c r="R83" s="82" t="str">
        <f>IFERROR(VLOOKUP(O83,Database!$A$2:$L$175,9,FALSE),"-")</f>
        <v>-</v>
      </c>
      <c r="S83" s="209" t="str">
        <f>IFERROR(VLOOKUP(O83,Database!$A$2:$S$175,19,FALSE),"-")</f>
        <v>-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 t="str">
        <f>IF(AND(D84="Y",booking!H84&lt;&gt;booking!I84,booking!I84&gt;0),booking!I84,"-")</f>
        <v>-</v>
      </c>
      <c r="K84" s="78" t="str">
        <f>IFERROR(VLOOKUP(J84,Database!$A$2:$L$175,8,FALSE),"-")</f>
        <v>-</v>
      </c>
      <c r="L84" s="78" t="str">
        <f>IFERROR(VLOOKUP(J84,Database!$A$2:$L$175,6,FALSE),"-")</f>
        <v>-</v>
      </c>
      <c r="M84" s="93" t="str">
        <f>IFERROR(VLOOKUP(J84,Database!$A$2:$L$175,9,FALSE),"-")</f>
        <v>-</v>
      </c>
      <c r="N84" s="209" t="str">
        <f>IFERROR(VLOOKUP(J84,Database!$A$2:$S$175,19,FALSE),"-")</f>
        <v>-</v>
      </c>
      <c r="O84" s="96">
        <f>IF(AND(D84="Y",booking!L84&lt;&gt;booking!M84,booking!M84&gt;0),booking!M84,"-")</f>
        <v>38</v>
      </c>
      <c r="P84" s="78">
        <f>IFERROR(VLOOKUP(O84,Database!$A$2:$L$175,8,FALSE),"-")</f>
        <v>0</v>
      </c>
      <c r="Q84" s="78" t="str">
        <f>IFERROR(VLOOKUP(O84,Database!$A$2:$L$175,6,FALSE),"-")</f>
        <v>CH</v>
      </c>
      <c r="R84" s="82" t="str">
        <f>IFERROR(VLOOKUP(O84,Database!$A$2:$L$175,9,FALSE),"-")</f>
        <v>sing</v>
      </c>
      <c r="S84" s="209" t="str">
        <f>IFERROR(VLOOKUP(O84,Database!$A$2:$S$175,19,FALSE),"-")</f>
        <v>N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>
        <f>IF(AND(D85="Y",booking!H85&lt;&gt;booking!I85,booking!I85&gt;0),booking!I85,"-")</f>
        <v>44</v>
      </c>
      <c r="K85" s="78">
        <f>IFERROR(VLOOKUP(J85,Database!$A$2:$L$175,8,FALSE),"-")</f>
        <v>0</v>
      </c>
      <c r="L85" s="78" t="str">
        <f>IFERROR(VLOOKUP(J85,Database!$A$2:$L$175,6,FALSE),"-")</f>
        <v>CZ</v>
      </c>
      <c r="M85" s="93" t="str">
        <f>IFERROR(VLOOKUP(J85,Database!$A$2:$L$175,9,FALSE),"-")</f>
        <v>dobb</v>
      </c>
      <c r="N85" s="209" t="str">
        <f>IFERROR(VLOOKUP(J85,Database!$A$2:$S$175,19,FALSE),"-")</f>
        <v>N</v>
      </c>
      <c r="O85" s="96" t="str">
        <f>IF(AND(D85="Y",booking!L85&lt;&gt;booking!M85,booking!M85&gt;0),booking!M85,"-")</f>
        <v>-</v>
      </c>
      <c r="P85" s="78" t="str">
        <f>IFERROR(VLOOKUP(O85,Database!$A$2:$L$175,8,FALSE),"-")</f>
        <v>-</v>
      </c>
      <c r="Q85" s="78" t="str">
        <f>IFERROR(VLOOKUP(O85,Database!$A$2:$L$175,6,FALSE),"-")</f>
        <v>-</v>
      </c>
      <c r="R85" s="82" t="str">
        <f>IFERROR(VLOOKUP(O85,Database!$A$2:$L$175,9,FALSE),"-")</f>
        <v>-</v>
      </c>
      <c r="S85" s="209" t="str">
        <f>IFERROR(VLOOKUP(O85,Database!$A$2:$S$175,19,FALSE),"-")</f>
        <v>-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>
        <f>IFERROR(VLOOKUP(T125,Database!$A$2:$L$175,6,FALSE),"-")</f>
        <v>0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-</v>
      </c>
      <c r="E129" s="95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 t="str">
        <f>IF(AND(D129="Y",booking!H129&lt;&gt;booking!I129,booking!I129&gt;0),booking!I129,"-")</f>
        <v>-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>
        <f>IFERROR(VLOOKUP(Y149,Database!$A$2:$L$175,6,FALSE),"-")</f>
        <v>0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6">
        <f>ankomster!T34</f>
        <v>125</v>
      </c>
      <c r="K34" t="str">
        <f>IFERROR(VLOOKUP(J34,Database!$A$2:$L$175,2,FALSE),"-")</f>
        <v>Erik Jensen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6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269</v>
      </c>
      <c r="M3">
        <f>SUM(J2:J200)</f>
        <v>263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va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va</v>
      </c>
      <c r="J33" s="131" t="str">
        <f>IF(booking!Q33&gt;0,"oc","va")</f>
        <v>va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va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va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va</v>
      </c>
      <c r="F35" s="131" t="str">
        <f>IF(booking!I35&gt;0,"oc","va")</f>
        <v>va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va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va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va</v>
      </c>
      <c r="F52" s="131" t="str">
        <f>IF(booking!I52&gt;0,"oc","va")</f>
        <v>va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va</v>
      </c>
      <c r="F53" s="131" t="str">
        <f>IF(booking!I53&gt;0,"oc","va")</f>
        <v>va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va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va</v>
      </c>
      <c r="I57" s="130" t="str">
        <f>IF(booking!P57&gt;0,"oc","va")</f>
        <v>va</v>
      </c>
      <c r="J57" s="131" t="str">
        <f>IF(booking!Q57&gt;0,"oc","va")</f>
        <v>va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va</v>
      </c>
      <c r="H58" s="131" t="str">
        <f>IF(booking!M58&gt;0,"oc","va")</f>
        <v>va</v>
      </c>
      <c r="I58" s="130" t="str">
        <f>IF(booking!P58&gt;0,"oc","va")</f>
        <v>va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va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va</v>
      </c>
      <c r="H59" s="131" t="str">
        <f>IF(booking!M59&gt;0,"oc","va")</f>
        <v>va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va</v>
      </c>
      <c r="L59" s="131" t="str">
        <f>IF(booking!U59&gt;0,"oc","va")</f>
        <v>va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va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oc</v>
      </c>
      <c r="K60" s="130" t="str">
        <f>IF(booking!T60&gt;0,"oc","va")</f>
        <v>va</v>
      </c>
      <c r="L60" s="131" t="str">
        <f>IF(booking!U60&gt;0,"oc","va")</f>
        <v>va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oc</v>
      </c>
      <c r="J61" s="131" t="str">
        <f>IF(booking!Q61&gt;0,"oc","va")</f>
        <v>oc</v>
      </c>
      <c r="K61" s="130" t="str">
        <f>IF(booking!T61&gt;0,"oc","va")</f>
        <v>va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va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va</v>
      </c>
      <c r="H83" s="131" t="str">
        <f>IF(booking!M83&gt;0,"oc","va")</f>
        <v>va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va</v>
      </c>
      <c r="G84" s="130" t="str">
        <f>IF(booking!L84&gt;0,"oc","va")</f>
        <v>va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va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va</v>
      </c>
      <c r="G90" s="130" t="str">
        <f>IF(booking!L90&gt;0,"oc","va")</f>
        <v>oc</v>
      </c>
      <c r="H90" s="131" t="str">
        <f>IF(booking!M90&gt;0,"oc","va")</f>
        <v>oc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va</v>
      </c>
      <c r="F91" s="131" t="str">
        <f>IF(booking!I91&gt;0,"oc","va")</f>
        <v>va</v>
      </c>
      <c r="G91" s="130" t="str">
        <f>IF(booking!L91&gt;0,"oc","va")</f>
        <v>oc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va</v>
      </c>
      <c r="E129" s="130" t="str">
        <f>IF(booking!H129&gt;0,"oc","va")</f>
        <v>va</v>
      </c>
      <c r="F129" s="131" t="str">
        <f>IF(booking!I129&gt;0,"oc","va")</f>
        <v>va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va</v>
      </c>
      <c r="D130" s="131" t="str">
        <f>IF(booking!E130&gt;0,"oc","va")</f>
        <v>va</v>
      </c>
      <c r="E130" s="130" t="str">
        <f>IF(booking!H130&gt;0,"oc","va")</f>
        <v>va</v>
      </c>
      <c r="F130" s="131" t="str">
        <f>IF(booking!I130&gt;0,"oc","va")</f>
        <v>va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va</v>
      </c>
      <c r="D131" s="131" t="str">
        <f>IF(booking!E131&gt;0,"oc","va")</f>
        <v>va</v>
      </c>
      <c r="E131" s="130" t="str">
        <f>IF(booking!H131&gt;0,"oc","va")</f>
        <v>va</v>
      </c>
      <c r="F131" s="131" t="str">
        <f>IF(booking!I131&gt;0,"oc","va")</f>
        <v>va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va</v>
      </c>
      <c r="D132" s="131" t="str">
        <f>IF(booking!E132&gt;0,"oc","va")</f>
        <v>va</v>
      </c>
      <c r="E132" s="130" t="str">
        <f>IF(booking!H132&gt;0,"oc","va")</f>
        <v>va</v>
      </c>
      <c r="F132" s="131" t="str">
        <f>IF(booking!I132&gt;0,"oc","va")</f>
        <v>va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va</v>
      </c>
      <c r="D133" s="131" t="str">
        <f>IF(booking!E133&gt;0,"oc","va")</f>
        <v>va</v>
      </c>
      <c r="E133" s="130" t="str">
        <f>IF(booking!H133&gt;0,"oc","va")</f>
        <v>va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2026-05-10T16:47:54Z</dcterms:modified>
  <cp:category/>
  <cp:contentStatus/>
</cp:coreProperties>
</file>
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06EABE56-F61C-4702-8942-5168BC698C47}" xr6:coauthVersionLast="47" xr6:coauthVersionMax="47" xr10:uidLastSave="{00000000-0000-0000-0000-000000000000}"/>
  <bookViews>
    <workbookView xWindow="-110" yWindow="-110" windowWidth="19420" windowHeight="11500" firstSheet="1" activeTab="2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Database!$A$1:$V$166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00" i="3" l="1"/>
  <c r="BK201" i="3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P196" i="3" l="1"/>
  <c r="BW196" i="3"/>
  <c r="BU196" i="3"/>
  <c r="BX196" i="3"/>
  <c r="BV196" i="3"/>
  <c r="BT196" i="3"/>
  <c r="BY196" i="3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N203" i="3"/>
  <c r="L31" i="4" s="1"/>
  <c r="BM58" i="3"/>
  <c r="BL58" i="3"/>
  <c r="BN202" i="3"/>
  <c r="L30" i="4" s="1"/>
  <c r="BO203" i="3"/>
  <c r="M31" i="4" s="1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K202" i="3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<sst xmlns="http://schemas.openxmlformats.org/spreadsheetml/2006/main" count="1616" uniqueCount="542">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</sst>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198</c:v>
                </c:pt>
                <c:pt idx="1">
                  <c:v>23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815</c:v>
                </c:pt>
                <c:pt idx="1">
                  <c:v>79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198</c:v>
                </c:pt>
                <c:pt idx="1">
                  <c:v>23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815</c:v>
                </c:pt>
                <c:pt idx="1">
                  <c:v>79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7"/>
  <sheetViews>
    <sheetView topLeftCell="H1" workbookViewId="0">
      <pane ySplit="1" topLeftCell="A148" activePane="bottomLeft" state="frozen"/>
      <selection pane="bottomLeft" activeCell="O174" sqref="O174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9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 t="s">
        <v>6</v>
      </c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 t="s">
        <v>6</v>
      </c>
      <c r="J9" s="198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 t="s">
        <v>6</v>
      </c>
      <c r="J10" s="198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 t="s">
        <v>55</v>
      </c>
      <c r="K21" s="118"/>
      <c r="L21" s="118"/>
      <c r="M21" s="113"/>
      <c r="N21" s="175"/>
      <c r="U21" s="181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G37" t="s">
        <v>263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G45" t="s">
        <v>35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54</v>
      </c>
      <c r="G64" t="s">
        <v>35</v>
      </c>
      <c r="M64" s="113"/>
      <c r="R64" s="154"/>
    </row>
    <row r="65" spans="1:20" x14ac:dyDescent="0.35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5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5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5">
      <c r="A69" s="2">
        <v>58</v>
      </c>
      <c r="C69" s="22">
        <v>46229</v>
      </c>
      <c r="G69" t="s">
        <v>6</v>
      </c>
      <c r="M69" s="113"/>
      <c r="R69" s="154"/>
    </row>
    <row r="70" spans="1:20" x14ac:dyDescent="0.35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5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5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5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5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5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5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5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5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5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5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5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5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5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5">
      <c r="A86" s="2">
        <v>74</v>
      </c>
      <c r="G86" t="s">
        <v>6</v>
      </c>
      <c r="M86" s="113"/>
      <c r="R86" s="154"/>
    </row>
    <row r="87" spans="1:20" x14ac:dyDescent="0.35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5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5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5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5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5">
      <c r="A93" s="2">
        <v>80</v>
      </c>
      <c r="G93" t="s">
        <v>6</v>
      </c>
      <c r="M93" s="113"/>
      <c r="N93" s="146"/>
    </row>
    <row r="94" spans="1:20" x14ac:dyDescent="0.35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5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5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5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5">
      <c r="G103" t="s">
        <v>6</v>
      </c>
      <c r="M103" s="113"/>
      <c r="N103"/>
      <c r="O103"/>
    </row>
    <row r="104" spans="1:20" x14ac:dyDescent="0.35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5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5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5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5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5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5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5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5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5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5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5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5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5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5">
      <c r="A141" s="2">
        <v>126</v>
      </c>
      <c r="C141" s="194"/>
      <c r="D141" s="194"/>
      <c r="E141" s="194"/>
      <c r="G141" t="s">
        <v>6</v>
      </c>
      <c r="J141" s="207"/>
      <c r="N141"/>
      <c r="O141"/>
    </row>
    <row r="142" spans="1:20" x14ac:dyDescent="0.35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5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5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5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5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5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5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5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5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5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5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5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  <row r="163" spans="1:20" x14ac:dyDescent="0.35">
      <c r="A163" s="2">
        <v>148</v>
      </c>
      <c r="B163" t="s">
        <v>537</v>
      </c>
      <c r="C163" s="194">
        <v>46188</v>
      </c>
      <c r="D163" s="194">
        <v>46192</v>
      </c>
      <c r="E163" s="194">
        <v>46181</v>
      </c>
      <c r="F163" t="s">
        <v>52</v>
      </c>
      <c r="G163" t="s">
        <v>35</v>
      </c>
      <c r="H163"/>
      <c r="I163"/>
      <c r="J163" s="207">
        <v>0</v>
      </c>
      <c r="K163">
        <v>1</v>
      </c>
      <c r="L163">
        <v>2</v>
      </c>
      <c r="N163"/>
      <c r="P163" s="2" t="s">
        <v>20</v>
      </c>
      <c r="Q163" s="2" t="s">
        <v>20</v>
      </c>
      <c r="R163" s="122">
        <v>3800</v>
      </c>
      <c r="S163" s="2" t="s">
        <v>20</v>
      </c>
    </row>
    <row r="164" spans="1:20" x14ac:dyDescent="0.35">
      <c r="A164" s="2">
        <v>149</v>
      </c>
      <c r="B164" t="s">
        <v>538</v>
      </c>
      <c r="C164" s="194">
        <v>46196</v>
      </c>
      <c r="D164" s="194">
        <v>46200</v>
      </c>
      <c r="E164" s="194">
        <v>46182</v>
      </c>
      <c r="F164" t="s">
        <v>20</v>
      </c>
      <c r="G164" t="s">
        <v>35</v>
      </c>
      <c r="H164" t="s">
        <v>435</v>
      </c>
      <c r="I164" t="s">
        <v>155</v>
      </c>
      <c r="J164" s="207">
        <v>0</v>
      </c>
      <c r="K164">
        <v>1</v>
      </c>
      <c r="L164">
        <v>2</v>
      </c>
      <c r="N164"/>
      <c r="P164" s="2" t="s">
        <v>20</v>
      </c>
      <c r="Q164" s="2" t="s">
        <v>21</v>
      </c>
      <c r="R164" s="122">
        <v>4600</v>
      </c>
      <c r="S164" s="2" t="s">
        <v>20</v>
      </c>
    </row>
    <row r="165" spans="1:20" x14ac:dyDescent="0.35">
      <c r="A165" s="2">
        <v>150</v>
      </c>
      <c r="B165" t="s">
        <v>539</v>
      </c>
      <c r="C165" s="194">
        <v>46227</v>
      </c>
      <c r="D165" s="194">
        <v>46230</v>
      </c>
      <c r="E165" s="194">
        <v>46185</v>
      </c>
      <c r="F165" t="s">
        <v>52</v>
      </c>
      <c r="G165" t="s">
        <v>35</v>
      </c>
      <c r="H165"/>
      <c r="I165"/>
      <c r="J165" s="207">
        <v>0</v>
      </c>
      <c r="K165">
        <v>1</v>
      </c>
      <c r="L165">
        <v>2</v>
      </c>
      <c r="N165"/>
      <c r="P165" s="2" t="s">
        <v>20</v>
      </c>
      <c r="Q165" s="2" t="s">
        <v>20</v>
      </c>
      <c r="R165" s="122">
        <v>3225</v>
      </c>
      <c r="S165" s="2" t="s">
        <v>20</v>
      </c>
    </row>
    <row r="166" spans="1:20" x14ac:dyDescent="0.35">
      <c r="A166" s="2">
        <v>151</v>
      </c>
      <c r="B166" t="s">
        <v>540</v>
      </c>
      <c r="C166" s="194">
        <v>46283</v>
      </c>
      <c r="D166" s="194">
        <v>46285</v>
      </c>
      <c r="E166" s="194">
        <v>46186</v>
      </c>
      <c r="F166" t="s">
        <v>52</v>
      </c>
      <c r="G166" t="s">
        <v>35</v>
      </c>
      <c r="H166"/>
      <c r="I166"/>
      <c r="J166" s="207">
        <v>0</v>
      </c>
      <c r="K166">
        <v>1</v>
      </c>
      <c r="L166">
        <v>1</v>
      </c>
      <c r="N166"/>
      <c r="O166"/>
      <c r="P166" s="2" t="s">
        <v>21</v>
      </c>
      <c r="Q166" s="2" t="s">
        <v>20</v>
      </c>
      <c r="R166" s="122">
        <v>1700</v>
      </c>
      <c r="S166" s="2" t="s">
        <v>20</v>
      </c>
    </row>
    <row r="167" spans="1:20" x14ac:dyDescent="0.35">
      <c r="A167" s="2">
        <v>152</v>
      </c>
      <c r="B167" t="s">
        <v>541</v>
      </c>
      <c r="C167" s="194">
        <v>46219</v>
      </c>
      <c r="D167" s="194">
        <v>46222</v>
      </c>
      <c r="E167" s="194">
        <v>46192</v>
      </c>
      <c r="F167" t="s">
        <v>52</v>
      </c>
      <c r="G167" t="s">
        <v>35</v>
      </c>
      <c r="H167" t="s">
        <v>368</v>
      </c>
      <c r="I167"/>
      <c r="J167" s="207">
        <v>0</v>
      </c>
      <c r="K167">
        <v>1</v>
      </c>
      <c r="L167">
        <v>2</v>
      </c>
      <c r="N167"/>
      <c r="O167"/>
      <c r="P167" s="2" t="s">
        <v>20</v>
      </c>
      <c r="Q167" s="2" t="s">
        <v>21</v>
      </c>
      <c r="R167" s="122">
        <v>3825</v>
      </c>
      <c r="S167" s="2" t="s">
        <v>20</v>
      </c>
    </row>
  </sheetData>
  <autoFilter ref="A1:V166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abSelected="1" topLeftCell="AA1" workbookViewId="0">
      <pane ySplit="1" topLeftCell="A188" activePane="bottomLeft" state="frozen"/>
      <selection pane="bottomLeft" activeCell="AI200" sqref="AI200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148</v>
      </c>
      <c r="B149" s="22">
        <f>Database!E163</f>
        <v>46181</v>
      </c>
      <c r="C149">
        <f>IF(Database!G163="cansl",0,Database!K163)</f>
        <v>1</v>
      </c>
      <c r="D149">
        <f>Database!D163-Database!C163</f>
        <v>4</v>
      </c>
      <c r="F149">
        <f>Database!L163</f>
        <v>2</v>
      </c>
      <c r="G149" t="str">
        <f>Database!F163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149</v>
      </c>
      <c r="B150" s="22">
        <f>Database!E164</f>
        <v>46182</v>
      </c>
      <c r="C150">
        <f>IF(Database!G164="cansl",0,Database!K164)</f>
        <v>1</v>
      </c>
      <c r="D150">
        <f>Database!D164-Database!C164</f>
        <v>4</v>
      </c>
      <c r="F150">
        <f>Database!L164</f>
        <v>2</v>
      </c>
      <c r="G150" t="str">
        <f>Database!F164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150</v>
      </c>
      <c r="B151" s="22">
        <f>Database!E165</f>
        <v>46185</v>
      </c>
      <c r="C151">
        <f>IF(Database!G165="cansl",0,Database!K165)</f>
        <v>1</v>
      </c>
      <c r="D151">
        <f>Database!D165-Database!C165</f>
        <v>3</v>
      </c>
      <c r="F151">
        <f>Database!L165</f>
        <v>2</v>
      </c>
      <c r="G151" t="str">
        <f>Database!F165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151</v>
      </c>
      <c r="B152" s="22">
        <f>Database!E166</f>
        <v>46186</v>
      </c>
      <c r="C152">
        <f>IF(Database!G166="cansl",0,Database!K166)</f>
        <v>1</v>
      </c>
      <c r="D152">
        <f>Database!D166-Database!C166</f>
        <v>2</v>
      </c>
      <c r="F152">
        <f>Database!L166</f>
        <v>1</v>
      </c>
      <c r="G152" t="str">
        <f>Database!F166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152</v>
      </c>
      <c r="B153" s="22">
        <f>Database!E167</f>
        <v>46192</v>
      </c>
      <c r="C153">
        <f>IF(Database!G167="cansl",0,Database!K167)</f>
        <v>1</v>
      </c>
      <c r="D153">
        <f>Database!D167-Database!C167</f>
        <v>3</v>
      </c>
      <c r="F153">
        <f>Database!L167</f>
        <v>2</v>
      </c>
      <c r="G153" t="str">
        <f>Database!F167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0</v>
      </c>
      <c r="B154" s="22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2">
        <f t="shared" si="110"/>
        <v>0</v>
      </c>
      <c r="BC154" s="32">
        <f t="shared" si="111"/>
        <v>0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0</v>
      </c>
      <c r="B155" s="22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2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198</v>
      </c>
      <c r="BC196" s="32">
        <f t="shared" si="167"/>
        <v>815</v>
      </c>
      <c r="BD196" s="32">
        <f t="shared" si="167"/>
        <v>23</v>
      </c>
      <c r="BE196" s="32">
        <f t="shared" si="167"/>
        <v>79</v>
      </c>
      <c r="BF196" s="32">
        <f t="shared" si="167"/>
        <v>2</v>
      </c>
      <c r="BG196" s="32">
        <f t="shared" si="167"/>
        <v>8</v>
      </c>
      <c r="BH196" s="32">
        <f t="shared" si="167"/>
        <v>32</v>
      </c>
      <c r="BI196" s="32">
        <f t="shared" si="167"/>
        <v>182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609</v>
      </c>
      <c r="AJ198">
        <f t="shared" si="168"/>
        <v>612</v>
      </c>
      <c r="AK198">
        <f t="shared" si="168"/>
        <v>612</v>
      </c>
      <c r="AL198">
        <f t="shared" si="168"/>
        <v>612</v>
      </c>
      <c r="AM198">
        <f t="shared" si="168"/>
        <v>612</v>
      </c>
      <c r="AN198">
        <f t="shared" si="168"/>
        <v>612</v>
      </c>
      <c r="AO198">
        <f t="shared" si="168"/>
        <v>612</v>
      </c>
      <c r="AP198">
        <f t="shared" si="168"/>
        <v>612</v>
      </c>
      <c r="AQ198">
        <f t="shared" si="168"/>
        <v>612</v>
      </c>
      <c r="AR198">
        <f t="shared" si="168"/>
        <v>612</v>
      </c>
      <c r="AS198">
        <f t="shared" si="168"/>
        <v>612</v>
      </c>
      <c r="AT198">
        <f t="shared" si="168"/>
        <v>612</v>
      </c>
      <c r="AU198">
        <f t="shared" si="168"/>
        <v>612</v>
      </c>
      <c r="AV198">
        <f t="shared" si="168"/>
        <v>612</v>
      </c>
      <c r="AW198">
        <f t="shared" si="168"/>
        <v>612</v>
      </c>
      <c r="AX198">
        <f t="shared" si="168"/>
        <v>612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AI200">
        <f>AI198</f>
        <v>609</v>
      </c>
      <c r="AJ200">
        <f>AJ198</f>
        <v>612</v>
      </c>
      <c r="AK200">
        <f>AK198</f>
        <v>612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198</v>
      </c>
      <c r="BE202" s="32">
        <f>BD196</f>
        <v>23</v>
      </c>
      <c r="BF202" s="32">
        <f>BF196</f>
        <v>2</v>
      </c>
      <c r="BG202" s="32">
        <f>BH196</f>
        <v>32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815</v>
      </c>
      <c r="BE203" s="38">
        <f>BE196</f>
        <v>79</v>
      </c>
      <c r="BF203" s="38">
        <f>BG196</f>
        <v>8</v>
      </c>
      <c r="BG203" s="38">
        <f>BI196</f>
        <v>182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13" workbookViewId="0">
      <selection activeCell="E30" sqref="E30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198</v>
      </c>
      <c r="C30" s="32">
        <f>'book stat'!BE202</f>
        <v>23</v>
      </c>
      <c r="D30" s="32">
        <f>'book stat'!BF202</f>
        <v>2</v>
      </c>
      <c r="E30" s="32">
        <f>'book stat'!BG202</f>
        <v>32</v>
      </c>
      <c r="F30" s="32">
        <f>'book stat'!BH202</f>
        <v>2</v>
      </c>
      <c r="G30" s="33">
        <f>'book stat'!BI202</f>
        <v>9</v>
      </c>
      <c r="H30" s="162">
        <f>'book stat'!BJ202</f>
        <v>0</v>
      </c>
      <c r="I30" s="163">
        <f>'book stat'!BK202</f>
        <v>2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815</v>
      </c>
      <c r="C31" s="32">
        <f>'book stat'!BE203</f>
        <v>79</v>
      </c>
      <c r="D31" s="32">
        <f>'book stat'!BF203</f>
        <v>8</v>
      </c>
      <c r="E31" s="32">
        <f>'book stat'!BG203</f>
        <v>182</v>
      </c>
      <c r="F31" s="32">
        <f>'book stat'!BH203</f>
        <v>8</v>
      </c>
      <c r="G31" s="33">
        <f>'book stat'!BI203</f>
        <v>41</v>
      </c>
      <c r="H31" s="167">
        <f>'book stat'!BJ203</f>
        <v>0</v>
      </c>
      <c r="I31" s="168">
        <f>'book stat'!BK203</f>
        <v>8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76" activePane="bottomLeft" state="frozen"/>
      <selection pane="bottomLeft" activeCell="AG82" sqref="AG82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606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69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69</v>
      </c>
      <c r="E76" s="114">
        <v>69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69</v>
      </c>
      <c r="E77" s="114">
        <v>69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69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>
        <v>152</v>
      </c>
      <c r="M83" s="190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7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>
        <v>152</v>
      </c>
      <c r="M84" s="190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7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5</v>
      </c>
      <c r="AA85" s="130">
        <f t="shared" si="7"/>
        <v>5</v>
      </c>
      <c r="AB85" s="57">
        <f t="shared" si="5"/>
        <v>2</v>
      </c>
      <c r="AC85" s="21">
        <f t="shared" si="8"/>
        <v>2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8"/>
      <c r="F92" s="18">
        <v>1</v>
      </c>
      <c r="G92" s="17"/>
      <c r="H92" s="8">
        <v>49</v>
      </c>
      <c r="I92" s="8">
        <v>49</v>
      </c>
      <c r="J92" s="18">
        <v>2</v>
      </c>
      <c r="K92" s="17"/>
      <c r="L92" s="152">
        <v>150</v>
      </c>
      <c r="M92" s="138">
        <v>58</v>
      </c>
      <c r="N92" s="18"/>
      <c r="O92" s="17" t="s">
        <v>32</v>
      </c>
      <c r="P92" s="8"/>
      <c r="Q92" s="138">
        <v>58</v>
      </c>
      <c r="R92" s="114"/>
      <c r="S92" s="114" t="s">
        <v>32</v>
      </c>
      <c r="T92" s="8"/>
      <c r="U92" s="152">
        <v>150</v>
      </c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3</v>
      </c>
      <c r="AC92" s="21">
        <f t="shared" si="8"/>
        <v>2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8"/>
      <c r="E93" s="8">
        <v>55</v>
      </c>
      <c r="F93" s="18"/>
      <c r="G93" s="17"/>
      <c r="H93" s="8">
        <v>49</v>
      </c>
      <c r="I93" s="8">
        <v>49</v>
      </c>
      <c r="J93" s="18">
        <v>2</v>
      </c>
      <c r="K93" s="17"/>
      <c r="L93" s="138">
        <v>58</v>
      </c>
      <c r="M93" s="138">
        <v>58</v>
      </c>
      <c r="N93" s="18">
        <v>1</v>
      </c>
      <c r="O93" s="17" t="s">
        <v>287</v>
      </c>
      <c r="P93" s="138">
        <v>58</v>
      </c>
      <c r="Q93" s="138">
        <v>58</v>
      </c>
      <c r="R93" s="114">
        <v>1</v>
      </c>
      <c r="S93" s="114" t="s">
        <v>287</v>
      </c>
      <c r="T93" s="152">
        <v>150</v>
      </c>
      <c r="U93" s="8">
        <v>30</v>
      </c>
      <c r="V93" s="18"/>
      <c r="W93" s="18" t="s">
        <v>158</v>
      </c>
      <c r="X93" s="8"/>
      <c r="Y93" s="8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8">
        <v>55</v>
      </c>
      <c r="E94" s="8">
        <v>55</v>
      </c>
      <c r="F94" s="18"/>
      <c r="G94" s="17"/>
      <c r="H94" s="8">
        <v>49</v>
      </c>
      <c r="I94" s="8">
        <v>49</v>
      </c>
      <c r="J94" s="18">
        <v>2</v>
      </c>
      <c r="K94" s="17"/>
      <c r="L94" s="138">
        <v>58</v>
      </c>
      <c r="M94" s="138">
        <v>58</v>
      </c>
      <c r="N94" s="18">
        <v>1</v>
      </c>
      <c r="O94" s="17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8"/>
      <c r="Y94" s="8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8">
        <v>55</v>
      </c>
      <c r="E95" s="8">
        <v>55</v>
      </c>
      <c r="F95" s="18"/>
      <c r="G95" s="17"/>
      <c r="H95" s="8">
        <v>49</v>
      </c>
      <c r="I95" s="8">
        <v>49</v>
      </c>
      <c r="J95" s="18">
        <v>2</v>
      </c>
      <c r="K95" s="17"/>
      <c r="L95" s="138">
        <v>58</v>
      </c>
      <c r="M95" s="138">
        <v>58</v>
      </c>
      <c r="N95" s="18">
        <v>1</v>
      </c>
      <c r="O95" s="17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8"/>
      <c r="Y95" s="8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8">
        <v>55</v>
      </c>
      <c r="E96" s="8">
        <v>55</v>
      </c>
      <c r="F96" s="18"/>
      <c r="G96" s="17"/>
      <c r="H96" s="8">
        <v>49</v>
      </c>
      <c r="I96" s="8">
        <v>49</v>
      </c>
      <c r="J96" s="18">
        <v>2</v>
      </c>
      <c r="K96" s="17"/>
      <c r="L96" s="138">
        <v>58</v>
      </c>
      <c r="M96" s="152">
        <v>115</v>
      </c>
      <c r="N96" s="18">
        <v>1</v>
      </c>
      <c r="O96" s="17" t="s">
        <v>155</v>
      </c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8"/>
      <c r="Y96" s="8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8">
        <v>55</v>
      </c>
      <c r="E97" s="114">
        <v>94</v>
      </c>
      <c r="F97" s="18"/>
      <c r="G97" s="17" t="s">
        <v>32</v>
      </c>
      <c r="H97" s="8">
        <v>49</v>
      </c>
      <c r="I97" s="8">
        <v>49</v>
      </c>
      <c r="J97" s="18">
        <v>2</v>
      </c>
      <c r="K97" s="17"/>
      <c r="L97" s="152">
        <v>115</v>
      </c>
      <c r="M97" s="152">
        <v>115</v>
      </c>
      <c r="N97" s="18">
        <v>2</v>
      </c>
      <c r="O97" s="17"/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8"/>
      <c r="Y97" s="8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14">
        <v>94</v>
      </c>
      <c r="E98" s="114">
        <v>94</v>
      </c>
      <c r="F98" s="18"/>
      <c r="G98" s="17" t="s">
        <v>156</v>
      </c>
      <c r="H98" s="8">
        <v>49</v>
      </c>
      <c r="I98" s="8"/>
      <c r="J98" s="18">
        <v>2</v>
      </c>
      <c r="K98" s="17"/>
      <c r="L98" s="151">
        <v>115</v>
      </c>
      <c r="M98" s="152">
        <v>115</v>
      </c>
      <c r="N98" s="18">
        <v>2</v>
      </c>
      <c r="O98" s="17"/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20"/>
      <c r="Y98" s="20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14">
        <v>94</v>
      </c>
      <c r="E99" s="114">
        <v>94</v>
      </c>
      <c r="F99" s="18"/>
      <c r="G99" s="17"/>
      <c r="H99" s="112"/>
      <c r="I99" s="138">
        <v>74</v>
      </c>
      <c r="J99" s="18"/>
      <c r="K99" s="17"/>
      <c r="L99" s="151">
        <v>115</v>
      </c>
      <c r="M99" s="138">
        <v>74</v>
      </c>
      <c r="N99" s="18">
        <v>2</v>
      </c>
      <c r="O99" s="18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2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89">
        <v>94</v>
      </c>
      <c r="E100" s="137">
        <v>11</v>
      </c>
      <c r="F100" s="18"/>
      <c r="G100" s="17" t="s">
        <v>157</v>
      </c>
      <c r="H100" s="140">
        <v>74</v>
      </c>
      <c r="I100" s="138">
        <v>74</v>
      </c>
      <c r="J100" s="18">
        <v>2</v>
      </c>
      <c r="K100" s="17"/>
      <c r="L100" s="138">
        <v>74</v>
      </c>
      <c r="M100" s="138">
        <v>74</v>
      </c>
      <c r="N100" s="18">
        <v>1</v>
      </c>
      <c r="O100" s="18"/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112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7">
        <v>11</v>
      </c>
      <c r="E101" s="137">
        <v>11</v>
      </c>
      <c r="F101" s="18"/>
      <c r="G101" s="17" t="s">
        <v>156</v>
      </c>
      <c r="H101" s="140">
        <v>74</v>
      </c>
      <c r="I101" s="138">
        <v>74</v>
      </c>
      <c r="J101" s="18">
        <v>2</v>
      </c>
      <c r="K101" s="17"/>
      <c r="L101" s="138">
        <v>74</v>
      </c>
      <c r="M101" s="138">
        <v>74</v>
      </c>
      <c r="N101" s="18">
        <v>1</v>
      </c>
      <c r="O101" s="18"/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2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7">
        <v>11</v>
      </c>
      <c r="E102" s="137">
        <v>11</v>
      </c>
      <c r="F102" s="18"/>
      <c r="G102" s="17"/>
      <c r="H102" s="138">
        <v>74</v>
      </c>
      <c r="I102" s="138">
        <v>74</v>
      </c>
      <c r="J102" s="18">
        <v>2</v>
      </c>
      <c r="K102" s="17"/>
      <c r="L102" s="138">
        <v>74</v>
      </c>
      <c r="M102" s="138">
        <v>74</v>
      </c>
      <c r="N102" s="18">
        <v>1</v>
      </c>
      <c r="O102" s="18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7">
        <v>11</v>
      </c>
      <c r="E103" s="137">
        <v>11</v>
      </c>
      <c r="F103" s="18"/>
      <c r="G103" s="17"/>
      <c r="H103" s="138">
        <v>74</v>
      </c>
      <c r="I103" s="8">
        <v>32</v>
      </c>
      <c r="J103" s="18">
        <v>2</v>
      </c>
      <c r="K103" s="17" t="s">
        <v>155</v>
      </c>
      <c r="L103" s="138">
        <v>74</v>
      </c>
      <c r="M103" s="153">
        <v>33</v>
      </c>
      <c r="N103" s="18">
        <v>1</v>
      </c>
      <c r="O103" s="18" t="s">
        <v>32</v>
      </c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37">
        <v>11</v>
      </c>
      <c r="E104" s="137">
        <v>11</v>
      </c>
      <c r="F104" s="18"/>
      <c r="G104" s="17"/>
      <c r="H104" s="111">
        <v>32</v>
      </c>
      <c r="I104" s="111">
        <v>32</v>
      </c>
      <c r="J104" s="111">
        <v>2</v>
      </c>
      <c r="K104" s="186" t="s">
        <v>156</v>
      </c>
      <c r="L104" s="153">
        <v>33</v>
      </c>
      <c r="M104" s="153">
        <v>33</v>
      </c>
      <c r="N104" s="111">
        <v>1</v>
      </c>
      <c r="O104" s="111" t="s">
        <v>156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20"/>
      <c r="Y104" s="20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37">
        <v>11</v>
      </c>
      <c r="E105" s="8"/>
      <c r="F105" s="18"/>
      <c r="G105" s="17"/>
      <c r="H105" s="111">
        <v>32</v>
      </c>
      <c r="I105" s="111">
        <v>32</v>
      </c>
      <c r="J105" s="111">
        <v>2</v>
      </c>
      <c r="K105" s="186"/>
      <c r="L105" s="153">
        <v>33</v>
      </c>
      <c r="M105" s="153">
        <v>33</v>
      </c>
      <c r="N105" s="111">
        <v>1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20"/>
      <c r="Y105" s="20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8"/>
      <c r="E106" s="8"/>
      <c r="F106" s="18"/>
      <c r="G106" s="17"/>
      <c r="H106" s="8">
        <v>32</v>
      </c>
      <c r="I106" s="8">
        <v>32</v>
      </c>
      <c r="J106" s="18">
        <v>2</v>
      </c>
      <c r="K106" s="17"/>
      <c r="L106" s="153">
        <v>33</v>
      </c>
      <c r="M106" s="153">
        <v>33</v>
      </c>
      <c r="N106" s="111">
        <v>1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20"/>
      <c r="Y106" s="20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8"/>
      <c r="E107" s="8">
        <v>59</v>
      </c>
      <c r="F107" s="18"/>
      <c r="G107" s="17" t="s">
        <v>155</v>
      </c>
      <c r="H107" s="8">
        <v>32</v>
      </c>
      <c r="I107" s="8">
        <v>32</v>
      </c>
      <c r="J107" s="18">
        <v>2</v>
      </c>
      <c r="K107" s="17"/>
      <c r="L107" s="153">
        <v>33</v>
      </c>
      <c r="M107" s="153">
        <v>33</v>
      </c>
      <c r="N107" s="18">
        <v>1</v>
      </c>
      <c r="O107" s="18"/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20"/>
      <c r="Y107" s="20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8">
        <v>59</v>
      </c>
      <c r="E108" s="8">
        <v>59</v>
      </c>
      <c r="F108" s="18">
        <v>2</v>
      </c>
      <c r="G108" s="17"/>
      <c r="H108" s="8">
        <v>32</v>
      </c>
      <c r="I108" s="8">
        <v>32</v>
      </c>
      <c r="J108" s="18">
        <v>2</v>
      </c>
      <c r="K108" s="17"/>
      <c r="L108" s="153">
        <v>33</v>
      </c>
      <c r="M108" s="153">
        <v>33</v>
      </c>
      <c r="N108" s="2">
        <v>1</v>
      </c>
      <c r="O108" s="18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20"/>
      <c r="Y108" s="20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8">
        <v>59</v>
      </c>
      <c r="E109" s="8">
        <v>59</v>
      </c>
      <c r="F109" s="18">
        <v>2</v>
      </c>
      <c r="G109" s="17"/>
      <c r="H109" s="12">
        <v>32</v>
      </c>
      <c r="I109" s="8">
        <v>32</v>
      </c>
      <c r="J109" s="18">
        <v>2</v>
      </c>
      <c r="K109" s="17"/>
      <c r="L109" s="153">
        <v>33</v>
      </c>
      <c r="M109" s="153">
        <v>33</v>
      </c>
      <c r="N109" s="18">
        <v>1</v>
      </c>
      <c r="O109" s="18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20"/>
      <c r="Y109" s="20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8">
        <v>59</v>
      </c>
      <c r="E110" s="8">
        <v>59</v>
      </c>
      <c r="F110" s="18">
        <v>2</v>
      </c>
      <c r="G110" s="17"/>
      <c r="H110" s="8">
        <v>32</v>
      </c>
      <c r="I110" s="153">
        <v>46</v>
      </c>
      <c r="J110" s="18">
        <v>2</v>
      </c>
      <c r="K110" s="17"/>
      <c r="L110" s="153">
        <v>33</v>
      </c>
      <c r="M110" s="8">
        <v>23</v>
      </c>
      <c r="N110" s="18">
        <v>1</v>
      </c>
      <c r="O110" s="18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20"/>
      <c r="Y110" s="20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59</v>
      </c>
      <c r="E111" s="114">
        <v>121</v>
      </c>
      <c r="F111" s="18">
        <v>2</v>
      </c>
      <c r="G111" s="17"/>
      <c r="H111" s="153">
        <v>46</v>
      </c>
      <c r="I111" s="153">
        <v>46</v>
      </c>
      <c r="J111" s="18"/>
      <c r="K111" s="17"/>
      <c r="L111" s="8">
        <v>23</v>
      </c>
      <c r="M111" s="8">
        <v>23</v>
      </c>
      <c r="N111" s="18">
        <v>2</v>
      </c>
      <c r="O111" s="18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20">
        <v>121</v>
      </c>
      <c r="Y111" s="20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114">
        <v>121</v>
      </c>
      <c r="E112" s="114">
        <v>121</v>
      </c>
      <c r="F112" s="18"/>
      <c r="G112" s="17"/>
      <c r="H112" s="153">
        <v>46</v>
      </c>
      <c r="I112" s="153">
        <v>46</v>
      </c>
      <c r="J112" s="18"/>
      <c r="K112" s="17"/>
      <c r="L112" s="8">
        <v>23</v>
      </c>
      <c r="M112" s="8">
        <v>23</v>
      </c>
      <c r="N112" s="18">
        <v>2</v>
      </c>
      <c r="O112" s="18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20"/>
      <c r="Y112" s="20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114">
        <v>121</v>
      </c>
      <c r="E113" s="8"/>
      <c r="F113" s="18"/>
      <c r="G113" s="17"/>
      <c r="H113" s="153">
        <v>46</v>
      </c>
      <c r="I113" s="153">
        <v>46</v>
      </c>
      <c r="J113" s="18"/>
      <c r="K113" s="17"/>
      <c r="L113" s="8">
        <v>23</v>
      </c>
      <c r="M113" s="8"/>
      <c r="N113" s="18">
        <v>2</v>
      </c>
      <c r="O113" s="18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20"/>
      <c r="Y113" s="20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11"/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20"/>
      <c r="Y114" s="20"/>
      <c r="Z114" s="134">
        <f t="shared" si="6"/>
        <v>2</v>
      </c>
      <c r="AA114" s="130">
        <f t="shared" si="7"/>
        <v>4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/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0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8"/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3</v>
      </c>
      <c r="AB134" s="57">
        <f t="shared" si="10"/>
        <v>2</v>
      </c>
      <c r="AC134" s="21">
        <f t="shared" si="9"/>
        <v>3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8"/>
      <c r="M135" s="8"/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4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8"/>
      <c r="M136" s="8"/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8"/>
      <c r="M137" s="8"/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8"/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144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>
        <v>41</v>
      </c>
      <c r="F145" s="18"/>
      <c r="G145" s="17" t="s">
        <v>158</v>
      </c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/>
      <c r="R145" s="114">
        <v>2</v>
      </c>
      <c r="S145" s="114"/>
      <c r="T145" s="8">
        <v>22</v>
      </c>
      <c r="U145" s="153">
        <v>42</v>
      </c>
      <c r="V145" s="18"/>
      <c r="W145" s="18" t="s">
        <v>32</v>
      </c>
      <c r="X145" s="20"/>
      <c r="Y145" s="20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8">
        <v>41</v>
      </c>
      <c r="E146" s="8">
        <v>41</v>
      </c>
      <c r="F146" s="18"/>
      <c r="G146" s="17"/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111"/>
      <c r="Q146" s="111">
        <v>151</v>
      </c>
      <c r="R146" s="114"/>
      <c r="S146" s="114" t="s">
        <v>32</v>
      </c>
      <c r="T146" s="153">
        <v>42</v>
      </c>
      <c r="U146" s="153">
        <v>42</v>
      </c>
      <c r="V146" s="111"/>
      <c r="W146" s="111"/>
      <c r="X146" s="20"/>
      <c r="Y146" s="20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8">
        <v>41</v>
      </c>
      <c r="E147" s="8"/>
      <c r="F147" s="18"/>
      <c r="G147" s="17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111">
        <v>151</v>
      </c>
      <c r="Q147" s="111">
        <v>151</v>
      </c>
      <c r="R147" s="114"/>
      <c r="S147" s="114"/>
      <c r="T147" s="153">
        <v>42</v>
      </c>
      <c r="U147" s="153">
        <v>42</v>
      </c>
      <c r="V147" s="111"/>
      <c r="W147" s="111"/>
      <c r="X147" s="20"/>
      <c r="Y147" s="20"/>
      <c r="Z147" s="134">
        <f t="shared" si="11"/>
        <v>4</v>
      </c>
      <c r="AA147" s="130">
        <f t="shared" si="12"/>
        <v>3</v>
      </c>
      <c r="AB147" s="57">
        <f t="shared" si="10"/>
        <v>0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8"/>
      <c r="E148" s="8"/>
      <c r="F148" s="18"/>
      <c r="G148" s="17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11">
        <v>151</v>
      </c>
      <c r="Q148" s="8"/>
      <c r="R148" s="114"/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2</v>
      </c>
      <c r="AA148" s="130">
        <f t="shared" si="12"/>
        <v>2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8"/>
      <c r="Q149" s="8"/>
      <c r="R149" s="114"/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4</v>
      </c>
      <c r="AA149" s="130">
        <f t="shared" si="12"/>
        <v>2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8"/>
      <c r="Q150" s="8"/>
      <c r="R150" s="114"/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3</v>
      </c>
      <c r="AA150" s="130">
        <f t="shared" si="12"/>
        <v>2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38">
        <v>146</v>
      </c>
      <c r="N151" s="18">
        <v>2</v>
      </c>
      <c r="O151" s="18"/>
      <c r="P151" s="8"/>
      <c r="Q151" s="8"/>
      <c r="R151" s="114"/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3</v>
      </c>
      <c r="AA151" s="130">
        <f t="shared" si="12"/>
        <v>2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38">
        <v>146</v>
      </c>
      <c r="M152" s="138">
        <v>146</v>
      </c>
      <c r="N152" s="18">
        <v>2</v>
      </c>
      <c r="O152" s="18"/>
      <c r="P152" s="8"/>
      <c r="Q152" s="8"/>
      <c r="R152" s="114"/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38">
        <v>146</v>
      </c>
      <c r="M153" s="8"/>
      <c r="N153" s="18">
        <v>2</v>
      </c>
      <c r="O153" s="18"/>
      <c r="P153" s="8"/>
      <c r="Q153" s="8"/>
      <c r="R153" s="114"/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1</v>
      </c>
      <c r="AB153" s="57">
        <f t="shared" si="10"/>
        <v>0</v>
      </c>
      <c r="AC153" s="21">
        <f t="shared" si="13"/>
        <v>1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8"/>
      <c r="Q154" s="8"/>
      <c r="R154" s="114"/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1</v>
      </c>
      <c r="AA154" s="130">
        <f t="shared" si="12"/>
        <v>0</v>
      </c>
      <c r="AB154" s="57">
        <f t="shared" si="10"/>
        <v>0</v>
      </c>
      <c r="AC154" s="21">
        <f t="shared" si="13"/>
        <v>1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03:Y123 D99:M115 O99:S102 U99:Z102 T101:T102 W141:X171 W124:W140 D92:Y98 O2:Y91 Y138:Y171 X138 X124:Y137 D124:V171 D52:G58 H52:H57 D59:M9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-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udc</v>
      </c>
      <c r="I92" s="47" t="str">
        <f>IFERROR(IF(AND(booking!AB92&gt;0,booking!L92&lt;&gt;booking!M92),VLOOKUP(booking!M92,Database!$A$1:'Database'!$L$189,6,FALSE),"-"),"-")</f>
        <v>DK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DK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DK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-</v>
      </c>
      <c r="I93" s="47" t="str">
        <f>IFERROR(IF(AND(booking!AB93&gt;0,booking!L93&lt;&gt;booking!M93),VLOOKUP(booking!M93,Database!$A$1:'Database'!$L$189,6,FALSE),"-"),"-")</f>
        <v>-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udc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-</v>
      </c>
      <c r="E96" s="47" t="str">
        <f>IFERROR(IF(AND(booking!AB96&gt;0,booking!D96&lt;&gt;booking!E96),VLOOKUP(booking!E96,Database!$A$1:'Database'!$L$189,6,FALSE),"-"),"-")</f>
        <v>-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udc</v>
      </c>
      <c r="I96" s="47" t="str">
        <f>IFERROR(IF(AND(booking!AB96&gt;0,booking!L96&lt;&gt;booking!M96),VLOOKUP(booking!M96,Database!$A$1:'Database'!$L$189,6,FALSE),"-"),"-")</f>
        <v>DK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udc</v>
      </c>
      <c r="E97" s="47" t="str">
        <f>IFERROR(IF(AND(booking!AB97&gt;0,booking!D97&lt;&gt;booking!E97),VLOOKUP(booking!E97,Database!$A$1:'Database'!$L$189,6,FALSE),"-"),"-")</f>
        <v>D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-</v>
      </c>
      <c r="I97" s="47" t="str">
        <f>IFERROR(IF(AND(booking!AB97&gt;0,booking!L97&lt;&gt;booking!M97),VLOOKUP(booking!M97,Database!$A$1:'Database'!$L$189,6,FALSE),"-"),"-")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-</v>
      </c>
      <c r="E99" s="47" t="str">
        <f>IFERROR(IF(AND(booking!AB99&gt;0,booking!D99&lt;&gt;booking!E99),VLOOKUP(booking!E99,Database!$A$1:'Database'!$L$189,6,FALSE),"-"),"-")</f>
        <v>-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udc</v>
      </c>
      <c r="I99" s="47" t="str">
        <f>IFERROR(IF(AND(booking!AB99&gt;0,booking!L99&lt;&gt;booking!M99),VLOOKUP(booking!M99,Database!$A$1:'Database'!$L$189,6,FALSE),"-"),"-")</f>
        <v>DK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udc</v>
      </c>
      <c r="E100" s="47" t="str">
        <f>IFERROR(IF(AND(booking!AB100&gt;0,booking!D100&lt;&gt;booking!E100),VLOOKUP(booking!E100,Database!$A$1:'Database'!$L$189,6,FALSE),"-"),"-")</f>
        <v>D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IFERROR(IF(AND(booking!AB100&gt;0,booking!L100&lt;&gt;booking!M100),VLOOKUP(booking!M100,Database!$A$1:'Database'!$L$189,6,FALSE),"-"),"-")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-</v>
      </c>
      <c r="E103" s="47" t="str">
        <f>IFERROR(IF(AND(booking!AB103&gt;0,booking!D103&lt;&gt;booking!E103),VLOOKUP(booking!E103,Database!$A$1:'Database'!$L$189,6,FALSE),"-"),"-")</f>
        <v>-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udc</v>
      </c>
      <c r="I103" s="47" t="str">
        <f>IFERROR(IF(AND(booking!AB103&gt;0,booking!L103&lt;&gt;booking!M103),VLOOKUP(booking!M103,Database!$A$1:'Database'!$L$189,6,FALSE),"-"),"-")</f>
        <v>D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udc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DK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-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-</v>
      </c>
      <c r="E110" s="47" t="str">
        <f>IFERROR(IF(AND(booking!AB110&gt;0,booking!D110&lt;&gt;booking!E110),VLOOKUP(booking!E110,Database!$A$1:'Database'!$L$189,6,FALSE),"-"),"-")</f>
        <v>-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udc</v>
      </c>
      <c r="I110" s="47" t="str">
        <f>IFERROR(IF(AND(booking!AB110&gt;0,booking!L110&lt;&gt;booking!M110),VLOOKUP(booking!M110,Database!$A$1:'Database'!$L$189,6,FALSE),"-"),"-")</f>
        <v>DK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udc</v>
      </c>
      <c r="E111" s="47" t="str">
        <f>IFERROR(IF(AND(booking!AB111&gt;0,booking!D111&lt;&gt;booking!E111),VLOOKUP(booking!E111,Database!$A$1:'Database'!$L$189,6,FALSE),"-"),"-")</f>
        <v>DK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-</v>
      </c>
      <c r="I111" s="47" t="str">
        <f>IFERROR(IF(AND(booking!AB111&gt;0,booking!L111&lt;&gt;booking!M111),VLOOKUP(booking!M111,Database!$A$1:'Database'!$L$189,6,FALSE),"-"),"-")</f>
        <v>-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udc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-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-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-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-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DK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-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-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DK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udc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-</v>
      </c>
      <c r="K147" s="47" t="str">
        <f>IFERROR(IF(AND(booking!AB147&gt;0,booking!P147&lt;&gt;booking!Q147),VLOOKUP(booking!Q147,Database!$A$1:'Database'!$L$189,6,FALSE),"-"),"-")</f>
        <v>-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-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udc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Y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udc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-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>
        <f>IFERROR(VLOOKUP(J51,Database!$A$2:$L$189,8,FALSE),"-")</f>
        <v>0</v>
      </c>
      <c r="L51" s="76" t="str">
        <f>IFERROR(VLOOKUP(J51,Database!$A$2:$L$189,6,FALSE),"-")</f>
        <v>DK</v>
      </c>
      <c r="M51" s="91">
        <f>IFERROR(VLOOKUP(J51,Database!$A$2:$L$189,9,FALSE),"-")</f>
        <v>0</v>
      </c>
      <c r="N51" s="205" t="str">
        <f>IFERROR(VLOOKUP(J51,Database!$A$2:$S$189,19,FALSE),"-")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2030</v>
      </c>
      <c r="AA59" s="77" t="str">
        <f>IFERROR(VLOOKUP(Y59,Database!$A$2:$L$189,6,FALSE),"-")</f>
        <v>N</v>
      </c>
      <c r="AB59" s="90" t="str">
        <f>IFERROR(VLOOKUP(Y59,Database!$A$2:$L$189,9,FALSE),"-")</f>
        <v>dobb</v>
      </c>
      <c r="AC59" s="8" t="str">
        <f>IFERROR(VLOOKUP(Y59,Database!$A$2:$S$189,19,FALSE),"-")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69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IFERROR(VLOOKUP(O82,Database!$A$2:$L$189,8,FALSE),"-")</f>
        <v>1400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5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>
        <f>IF(AND(D90="Y",booking!L90&lt;&gt;booking!M90,booking!M90&gt;0),booking!M90,"-")</f>
        <v>150</v>
      </c>
      <c r="P90" s="76">
        <f>IFERROR(VLOOKUP(O90,Database!$A$2:$L$189,8,FALSE),"-")</f>
        <v>0</v>
      </c>
      <c r="Q90" s="76" t="str">
        <f>IFERROR(VLOOKUP(O90,Database!$A$2:$L$189,6,FALSE),"-")</f>
        <v>DK</v>
      </c>
      <c r="R90" s="80">
        <f>IFERROR(VLOOKUP(O90,Database!$A$2:$L$189,9,FALSE),"-")</f>
        <v>0</v>
      </c>
      <c r="S90" s="205" t="str">
        <f>IFERROR(VLOOKUP(O90,Database!$A$2:$S$189,19,FALSE),"-")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6" t="str">
        <f>IFERROR(VLOOKUP(E92,Database!$A$2:$L$189,6,FALSE),"-")</f>
        <v>-</v>
      </c>
      <c r="H92" s="91" t="str">
        <f>IFERROR(VLOOKUP(E92,Database!$A$2:$L$189,9,FALSE),"-")</f>
        <v>-</v>
      </c>
      <c r="I92" s="109" t="str">
        <f>IFERROR(VLOOKUP(E92,Database!$A$2:$S$189,19,FALSE),"-")</f>
        <v>-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>
        <f>IF(AND(D92="Y",booking!L92&lt;&gt;booking!M92,booking!M92&gt;0),booking!M92,"-")</f>
        <v>58</v>
      </c>
      <c r="P92" s="76">
        <f>IFERROR(VLOOKUP(O92,Database!$A$2:$L$189,8,FALSE),"-")</f>
        <v>0</v>
      </c>
      <c r="Q92" s="76" t="str">
        <f>IFERROR(VLOOKUP(O92,Database!$A$2:$L$189,6,FALSE),"-")</f>
        <v>DK</v>
      </c>
      <c r="R92" s="80" t="str">
        <f>IFERROR(VLOOKUP(O92,Database!$A$2:$L$189,9,FALSE),"-")</f>
        <v>sing</v>
      </c>
      <c r="S92" s="205" t="str">
        <f>IFERROR(VLOOKUP(O92,Database!$A$2:$S$189,19,FALSE),"-")</f>
        <v>YY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>
        <f>IF(AND(D92="Y",booking!T92&lt;&gt;booking!U92,booking!U92&gt;0),booking!U92,"-")</f>
        <v>150</v>
      </c>
      <c r="Z92" s="77">
        <f>IFERROR(VLOOKUP(Y92,Database!$A$2:$L$189,8,FALSE),"-")</f>
        <v>0</v>
      </c>
      <c r="AA92" s="77" t="str">
        <f>IFERROR(VLOOKUP(Y92,Database!$A$2:$L$189,6,FALSE),"-")</f>
        <v>DK</v>
      </c>
      <c r="AB92" s="90">
        <f>IFERROR(VLOOKUP(Y92,Database!$A$2:$L$189,9,FALSE),"-")</f>
        <v>0</v>
      </c>
      <c r="AC92" s="8" t="str">
        <f>IFERROR(VLOOKUP(Y92,Database!$A$2:$S$189,19,FALSE),"-")</f>
        <v>N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>
        <f>IF(AND(D93="Y",booking!D93&lt;&gt;booking!E93,booking!E93&gt;0),booking!E93,"-")</f>
        <v>55</v>
      </c>
      <c r="F93" s="8">
        <f>IFERROR(VLOOKUP(E93,Database!$A$2:$L$189,8,FALSE),"-")</f>
        <v>0</v>
      </c>
      <c r="G93" s="76" t="str">
        <f>IFERROR(VLOOKUP(E93,Database!$A$2:$L$189,6,FALSE),"-")</f>
        <v>DK</v>
      </c>
      <c r="H93" s="91" t="str">
        <f>IFERROR(VLOOKUP(E93,Database!$A$2:$L$189,9,FALSE),"-")</f>
        <v>dobb</v>
      </c>
      <c r="I93" s="109" t="str">
        <f>IFERROR(VLOOKUP(E93,Database!$A$2:$S$189,19,FALSE),"-")</f>
        <v>N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 t="str">
        <f>IF(AND(D93="Y",booking!L93&lt;&gt;booking!M93,booking!M93&gt;0),booking!M93,"-")</f>
        <v>-</v>
      </c>
      <c r="P93" s="76" t="str">
        <f>IFERROR(VLOOKUP(O93,Database!$A$2:$L$189,8,FALSE),"-")</f>
        <v>-</v>
      </c>
      <c r="Q93" s="76" t="str">
        <f>IFERROR(VLOOKUP(O93,Database!$A$2:$L$189,6,FALSE),"-")</f>
        <v>-</v>
      </c>
      <c r="R93" s="80" t="str">
        <f>IFERROR(VLOOKUP(O93,Database!$A$2:$L$189,9,FALSE),"-")</f>
        <v>-</v>
      </c>
      <c r="S93" s="205" t="str">
        <f>IFERROR(VLOOKUP(O93,Database!$A$2:$S$189,19,FALSE),"-")</f>
        <v>-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6" t="str">
        <f>IFERROR(VLOOKUP(E96,Database!$A$2:$L$189,6,FALSE),"-")</f>
        <v>-</v>
      </c>
      <c r="H96" s="91" t="str">
        <f>IFERROR(VLOOKUP(E96,Database!$A$2:$L$189,9,FALSE),"-")</f>
        <v>-</v>
      </c>
      <c r="I96" s="109" t="str">
        <f>IFERROR(VLOOKUP(E96,Database!$A$2:$S$189,19,FALSE),"-")</f>
        <v>-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>
        <f>IF(AND(D96="Y",booking!L96&lt;&gt;booking!M96,booking!M96&gt;0),booking!M96,"-")</f>
        <v>115</v>
      </c>
      <c r="P96" s="76">
        <f>IFERROR(VLOOKUP(O96,Database!$A$2:$L$189,8,FALSE),"-")</f>
        <v>0</v>
      </c>
      <c r="Q96" s="76" t="str">
        <f>IFERROR(VLOOKUP(O96,Database!$A$2:$L$189,6,FALSE),"-")</f>
        <v>DK</v>
      </c>
      <c r="R96" s="80">
        <f>IFERROR(VLOOKUP(O96,Database!$A$2:$L$189,9,FALSE),"-")</f>
        <v>0</v>
      </c>
      <c r="S96" s="205" t="str">
        <f>IFERROR(VLOOKUP(O96,Database!$A$2:$S$189,19,FALSE),"-")</f>
        <v>N??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>
        <f>IF(AND(D97="Y",booking!D97&lt;&gt;booking!E97,booking!E97&gt;0),booking!E97,"-")</f>
        <v>94</v>
      </c>
      <c r="F97" s="8">
        <f>IFERROR(VLOOKUP(E97,Database!$A$2:$L$189,8,FALSE),"-")</f>
        <v>0</v>
      </c>
      <c r="G97" s="76" t="str">
        <f>IFERROR(VLOOKUP(E97,Database!$A$2:$L$189,6,FALSE),"-")</f>
        <v>D</v>
      </c>
      <c r="H97" s="91">
        <f>IFERROR(VLOOKUP(E97,Database!$A$2:$L$189,9,FALSE),"-")</f>
        <v>0</v>
      </c>
      <c r="I97" s="109" t="str">
        <f>IFERROR(VLOOKUP(E97,Database!$A$2:$S$189,19,FALSE),"-")</f>
        <v>N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IFERROR(VLOOKUP(O97,Database!$A$2:$L$189,8,FALSE),"-")</f>
        <v>-</v>
      </c>
      <c r="Q97" s="76" t="str">
        <f>IFERROR(VLOOKUP(O97,Database!$A$2:$L$189,6,FALSE),"-")</f>
        <v>-</v>
      </c>
      <c r="R97" s="80" t="str">
        <f>IFERROR(VLOOKUP(O97,Database!$A$2:$L$189,9,FALSE),"-")</f>
        <v>-</v>
      </c>
      <c r="S97" s="205" t="str">
        <f>IFERROR(VLOOKUP(O97,Database!$A$2:$S$189,19,FALSE),"-")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6" t="str">
        <f>IFERROR(VLOOKUP(E99,Database!$A$2:$L$189,6,FALSE),"-")</f>
        <v>-</v>
      </c>
      <c r="H99" s="91" t="str">
        <f>IFERROR(VLOOKUP(E99,Database!$A$2:$L$189,9,FALSE),"-")</f>
        <v>-</v>
      </c>
      <c r="I99" s="109" t="str">
        <f>IFERROR(VLOOKUP(E99,Database!$A$2:$S$189,19,FALSE),"-")</f>
        <v>-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>
        <f>IF(AND(D99="Y",booking!L99&lt;&gt;booking!M99,booking!M99&gt;0),booking!M99,"-")</f>
        <v>74</v>
      </c>
      <c r="P99" s="76">
        <f>IFERROR(VLOOKUP(O99,Database!$A$2:$L$189,8,FALSE),"-")</f>
        <v>0</v>
      </c>
      <c r="Q99" s="76" t="str">
        <f>IFERROR(VLOOKUP(O99,Database!$A$2:$L$189,6,FALSE),"-")</f>
        <v>DK</v>
      </c>
      <c r="R99" s="80">
        <f>IFERROR(VLOOKUP(O99,Database!$A$2:$L$189,9,FALSE),"-")</f>
        <v>0</v>
      </c>
      <c r="S99" s="205" t="str">
        <f>IFERROR(VLOOKUP(O99,Database!$A$2:$S$189,19,FALSE),"-")</f>
        <v>Y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>
        <f>IF(AND(D100="Y",booking!D100&lt;&gt;booking!E100,booking!E100&gt;0),booking!E100,"-")</f>
        <v>11</v>
      </c>
      <c r="F100" s="8">
        <f>IFERROR(VLOOKUP(E100,Database!$A$2:$L$189,8,FALSE),"-")</f>
        <v>0</v>
      </c>
      <c r="G100" s="76" t="str">
        <f>IFERROR(VLOOKUP(E100,Database!$A$2:$L$189,6,FALSE),"-")</f>
        <v>D</v>
      </c>
      <c r="H100" s="91">
        <f>IFERROR(VLOOKUP(E100,Database!$A$2:$L$189,9,FALSE),"-")</f>
        <v>0</v>
      </c>
      <c r="I100" s="109" t="str">
        <f>IFERROR(VLOOKUP(E100,Database!$A$2:$S$189,19,FALSE),"-")</f>
        <v>N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IFERROR(VLOOKUP(O100,Database!$A$2:$L$189,8,FALSE),"-")</f>
        <v>-</v>
      </c>
      <c r="Q100" s="76" t="str">
        <f>IFERROR(VLOOKUP(O100,Database!$A$2:$L$189,6,FALSE),"-")</f>
        <v>-</v>
      </c>
      <c r="R100" s="80" t="str">
        <f>IFERROR(VLOOKUP(O100,Database!$A$2:$L$189,9,FALSE),"-")</f>
        <v>-</v>
      </c>
      <c r="S100" s="205" t="str">
        <f>IFERROR(VLOOKUP(O100,Database!$A$2:$S$189,19,FALSE),"-")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6" t="str">
        <f>IFERROR(VLOOKUP(E103,Database!$A$2:$L$189,6,FALSE),"-")</f>
        <v>-</v>
      </c>
      <c r="H103" s="91" t="str">
        <f>IFERROR(VLOOKUP(E103,Database!$A$2:$L$189,9,FALSE),"-")</f>
        <v>-</v>
      </c>
      <c r="I103" s="109" t="str">
        <f>IFERROR(VLOOKUP(E103,Database!$A$2:$S$189,19,FALSE),"-")</f>
        <v>-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>
        <f>IF(AND(D103="Y",booking!L103&lt;&gt;booking!M103,booking!M103&gt;0),booking!M103,"-")</f>
        <v>33</v>
      </c>
      <c r="P103" s="76">
        <f>IFERROR(VLOOKUP(O103,Database!$A$2:$L$189,8,FALSE),"-")</f>
        <v>0</v>
      </c>
      <c r="Q103" s="76" t="str">
        <f>IFERROR(VLOOKUP(O103,Database!$A$2:$L$189,6,FALSE),"-")</f>
        <v>D</v>
      </c>
      <c r="R103" s="80">
        <f>IFERROR(VLOOKUP(O103,Database!$A$2:$L$189,9,FALSE),"-")</f>
        <v>0</v>
      </c>
      <c r="S103" s="205" t="str">
        <f>IFERROR(VLOOKUP(O103,Database!$A$2:$S$189,19,FALSE),"-")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6" t="str">
        <f>IFERROR(VLOOKUP(E107,Database!$A$2:$L$189,6,FALSE),"-")</f>
        <v>DK</v>
      </c>
      <c r="H107" s="91" t="str">
        <f>IFERROR(VLOOKUP(E107,Database!$A$2:$L$189,9,FALSE),"-")</f>
        <v>dobb</v>
      </c>
      <c r="I107" s="109" t="str">
        <f>IFERROR(VLOOKUP(E107,Database!$A$2:$S$189,19,FALSE),"-")</f>
        <v>N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 t="str">
        <f>IF(AND(D107="Y",booking!L107&lt;&gt;booking!M107,booking!M107&gt;0),booking!M107,"-")</f>
        <v>-</v>
      </c>
      <c r="P107" s="76" t="str">
        <f>IFERROR(VLOOKUP(O107,Database!$A$2:$L$189,8,FALSE),"-")</f>
        <v>-</v>
      </c>
      <c r="Q107" s="76" t="str">
        <f>IFERROR(VLOOKUP(O107,Database!$A$2:$L$189,6,FALSE),"-")</f>
        <v>-</v>
      </c>
      <c r="R107" s="80" t="str">
        <f>IFERROR(VLOOKUP(O107,Database!$A$2:$L$189,9,FALSE),"-")</f>
        <v>-</v>
      </c>
      <c r="S107" s="205" t="str">
        <f>IFERROR(VLOOKUP(O107,Database!$A$2:$S$189,19,FALSE),"-")</f>
        <v>-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6" t="str">
        <f>IFERROR(VLOOKUP(E110,Database!$A$2:$L$189,6,FALSE),"-")</f>
        <v>-</v>
      </c>
      <c r="H110" s="91" t="str">
        <f>IFERROR(VLOOKUP(E110,Database!$A$2:$L$189,9,FALSE),"-")</f>
        <v>-</v>
      </c>
      <c r="I110" s="109" t="str">
        <f>IFERROR(VLOOKUP(E110,Database!$A$2:$S$189,19,FALSE),"-")</f>
        <v>-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>
        <f>IF(AND(D110="Y",booking!L110&lt;&gt;booking!M110,booking!M110&gt;0),booking!M110,"-")</f>
        <v>23</v>
      </c>
      <c r="P110" s="76" t="str">
        <f>IFERROR(VLOOKUP(O110,Database!$A$2:$L$189,8,FALSE),"-")</f>
        <v>1430</v>
      </c>
      <c r="Q110" s="76" t="str">
        <f>IFERROR(VLOOKUP(O110,Database!$A$2:$L$189,6,FALSE),"-")</f>
        <v>DK</v>
      </c>
      <c r="R110" s="80" t="str">
        <f>IFERROR(VLOOKUP(O110,Database!$A$2:$L$189,9,FALSE),"-")</f>
        <v>dobb</v>
      </c>
      <c r="S110" s="205" t="str">
        <f>IFERROR(VLOOKUP(O110,Database!$A$2:$S$189,19,FALSE),"-")</f>
        <v>N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6" t="str">
        <f>IFERROR(VLOOKUP(E111,Database!$A$2:$L$189,6,FALSE),"-")</f>
        <v>DK</v>
      </c>
      <c r="H111" s="91">
        <f>IFERROR(VLOOKUP(E111,Database!$A$2:$L$189,9,FALSE),"-")</f>
        <v>0</v>
      </c>
      <c r="I111" s="109" t="str">
        <f>IFERROR(VLOOKUP(E111,Database!$A$2:$S$189,19,FALSE),"-")</f>
        <v>N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 t="str">
        <f>IF(AND(D111="Y",booking!L111&lt;&gt;booking!M111,booking!M111&gt;0),booking!M111,"-")</f>
        <v>-</v>
      </c>
      <c r="P111" s="76" t="str">
        <f>IFERROR(VLOOKUP(O111,Database!$A$2:$L$189,8,FALSE),"-")</f>
        <v>-</v>
      </c>
      <c r="Q111" s="76" t="str">
        <f>IFERROR(VLOOKUP(O111,Database!$A$2:$L$189,6,FALSE),"-")</f>
        <v>-</v>
      </c>
      <c r="R111" s="80" t="str">
        <f>IFERROR(VLOOKUP(O111,Database!$A$2:$L$189,9,FALSE),"-")</f>
        <v>-</v>
      </c>
      <c r="S111" s="205" t="str">
        <f>IFERROR(VLOOKUP(O111,Database!$A$2:$S$189,19,FALSE),"-")</f>
        <v>-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 t="str">
        <f>IF(AND(D134="Y",booking!L134&lt;&gt;booking!M134,booking!M134&gt;0),booking!M134,"-")</f>
        <v>-</v>
      </c>
      <c r="P134" s="76" t="str">
        <f>IFERROR(VLOOKUP(O134,Database!$A$2:$L$189,8,FALSE),"-")</f>
        <v>-</v>
      </c>
      <c r="Q134" s="76" t="str">
        <f>IFERROR(VLOOKUP(O134,Database!$A$2:$L$189,6,FALSE),"-")</f>
        <v>-</v>
      </c>
      <c r="R134" s="80" t="str">
        <f>IFERROR(VLOOKUP(O134,Database!$A$2:$L$189,9,FALSE),"-")</f>
        <v>-</v>
      </c>
      <c r="S134" s="205" t="str">
        <f>IFERROR(VLOOKUP(O134,Database!$A$2:$S$189,19,FALSE),"-")</f>
        <v>-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>
        <f>IF(AND(D145="Y",booking!D145&lt;&gt;booking!E145,booking!E145&gt;0),booking!E145,"-")</f>
        <v>41</v>
      </c>
      <c r="F145" s="8">
        <f>IFERROR(VLOOKUP(E145,Database!$A$2:$L$189,8,FALSE),"-")</f>
        <v>0</v>
      </c>
      <c r="G145" s="76" t="str">
        <f>IFERROR(VLOOKUP(E145,Database!$A$2:$L$189,6,FALSE),"-")</f>
        <v>DK</v>
      </c>
      <c r="H145" s="91" t="str">
        <f>IFERROR(VLOOKUP(E145,Database!$A$2:$L$189,9,FALSE),"-")</f>
        <v>sing</v>
      </c>
      <c r="I145" s="109" t="str">
        <f>IFERROR(VLOOKUP(E145,Database!$A$2:$S$189,19,FALSE),"-")</f>
        <v>N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 t="str">
        <f>IF(AND(D145="Y",booking!P145&lt;&gt;booking!Q145,booking!Q145&gt;0),booking!Q145,"-")</f>
        <v>-</v>
      </c>
      <c r="U145" s="76" t="str">
        <f>IFERROR(VLOOKUP(T145,Database!$A$2:$L$189,8,FALSE),"-")</f>
        <v>-</v>
      </c>
      <c r="V145" s="76" t="str">
        <f>IFERROR(VLOOKUP(T145,Database!$A$2:$L$189,6,FALSE),"-")</f>
        <v>-</v>
      </c>
      <c r="W145" s="80" t="str">
        <f>IFERROR(VLOOKUP(T145,Database!$A$2:$L$189,9,FALSE),"-")</f>
        <v>-</v>
      </c>
      <c r="X145" s="205" t="str">
        <f>IFERROR(VLOOKUP(T145,Database!$A$2:$S$189,19,FALSE),"-")</f>
        <v>-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Y</v>
      </c>
      <c r="E146" s="93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6" t="str">
        <f>IFERROR(VLOOKUP(E146,Database!$A$2:$L$189,6,FALSE),"-")</f>
        <v>-</v>
      </c>
      <c r="H146" s="91" t="str">
        <f>IFERROR(VLOOKUP(E146,Database!$A$2:$L$189,9,FALSE),"-")</f>
        <v>-</v>
      </c>
      <c r="I146" s="109" t="str">
        <f>IFERROR(VLOOKUP(E146,Database!$A$2:$S$189,19,FALSE),"-")</f>
        <v>-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>
        <f>IF(AND(D146="Y",booking!P146&lt;&gt;booking!Q146,booking!Q146&gt;0),booking!Q146,"-")</f>
        <v>151</v>
      </c>
      <c r="U146" s="76">
        <f>IFERROR(VLOOKUP(T146,Database!$A$2:$L$189,8,FALSE),"-")</f>
        <v>0</v>
      </c>
      <c r="V146" s="76" t="str">
        <f>IFERROR(VLOOKUP(T146,Database!$A$2:$L$189,6,FALSE),"-")</f>
        <v>DK</v>
      </c>
      <c r="W146" s="80">
        <f>IFERROR(VLOOKUP(T146,Database!$A$2:$L$189,9,FALSE),"-")</f>
        <v>0</v>
      </c>
      <c r="X146" s="205" t="str">
        <f>IFERROR(VLOOKUP(T146,Database!$A$2:$S$189,19,FALSE),"-")</f>
        <v>N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-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 t="str">
        <f>IF(AND(D147="Y",booking!P147&lt;&gt;booking!Q147,booking!Q147&gt;0),booking!Q147,"-")</f>
        <v>-</v>
      </c>
      <c r="U147" s="76" t="str">
        <f>IFERROR(VLOOKUP(T147,Database!$A$2:$L$189,8,FALSE),"-")</f>
        <v>-</v>
      </c>
      <c r="V147" s="76" t="str">
        <f>IFERROR(VLOOKUP(T147,Database!$A$2:$L$189,6,FALSE),"-")</f>
        <v>-</v>
      </c>
      <c r="W147" s="80" t="str">
        <f>IFERROR(VLOOKUP(T147,Database!$A$2:$L$189,9,FALSE),"-")</f>
        <v>-</v>
      </c>
      <c r="X147" s="205" t="str">
        <f>IFERROR(VLOOKUP(T147,Database!$A$2:$S$189,19,FALSE),"-")</f>
        <v>-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Mia Mønsted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152</v>
      </c>
      <c r="I82" t="str">
        <f>IFERROR(VLOOKUP(H82,Database!$A$2:$L$189,2,FALSE),"-")</f>
        <v>Maria Ørris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>
        <f>ankomster!O90</f>
        <v>150</v>
      </c>
      <c r="I90" t="str">
        <f>IFERROR(VLOOKUP(H90,Database!$A$2:$L$189,2,FALSE),"-")</f>
        <v>Pernille Sahl Nielsen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4">
        <f>ankomster!T92</f>
        <v>58</v>
      </c>
      <c r="K92" t="str">
        <f>IFERROR(VLOOKUP(J92,Database!$A$2:$L$189,2,FALSE),"-")</f>
        <v>Rikke Schwartz</v>
      </c>
      <c r="L92">
        <f>ankomster!Y92</f>
        <v>150</v>
      </c>
      <c r="M92" t="str">
        <f>IFERROR(VLOOKUP(L92,Database!$A$2:$L$189,2,FALSE),"-")</f>
        <v>Pernille Sahl Nielsen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 t="str">
        <f>ankomster!J93</f>
        <v>-</v>
      </c>
      <c r="G93" t="str">
        <f>IFERROR(VLOOKUP(F93,Database!$A$2:$L$189,2,FALSE),"-")</f>
        <v>-</v>
      </c>
      <c r="H93" t="str">
        <f>ankomster!O93</f>
        <v>-</v>
      </c>
      <c r="I93" t="str">
        <f>IFERROR(VLOOKUP(H93,Database!$A$2:$L$189,2,FALSE),"-")</f>
        <v>-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 t="str">
        <f>ankomster!O134</f>
        <v>-</v>
      </c>
      <c r="I134" t="str">
        <f>IFERROR(VLOOKUP(H134,Database!$A$2:$L$189,2,FALSE),"-")</f>
        <v>-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>
        <f>ankomster!T146</f>
        <v>151</v>
      </c>
      <c r="K146" t="str">
        <f>IFERROR(VLOOKUP(J146,Database!$A$2:$L$189,2,FALSE),"-")</f>
        <v>Susanne Børjessson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5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5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5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5">
      <c r="A149">
        <f>Database!A163</f>
        <v>148</v>
      </c>
      <c r="B149" s="2" t="str">
        <f>Database!Q163</f>
        <v>N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2</v>
      </c>
    </row>
    <row r="150" spans="1:5" x14ac:dyDescent="0.35">
      <c r="A150">
        <f>Database!A164</f>
        <v>149</v>
      </c>
      <c r="B150" s="2" t="str">
        <f>Database!Q164</f>
        <v>Y</v>
      </c>
      <c r="C150" s="2">
        <f t="shared" si="4"/>
        <v>2</v>
      </c>
      <c r="D150" s="2">
        <f>IF(B150="Y",Database!K164,"-")</f>
        <v>1</v>
      </c>
      <c r="E150" s="2">
        <f>IF(AND(D150&gt;1,B150="Y"),Database!L164/D150,Database!L164)</f>
        <v>2</v>
      </c>
    </row>
    <row r="151" spans="1:5" x14ac:dyDescent="0.35">
      <c r="A151">
        <f>Database!A165</f>
        <v>150</v>
      </c>
      <c r="B151" s="2" t="str">
        <f>Database!Q165</f>
        <v>N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2</v>
      </c>
    </row>
    <row r="152" spans="1:5" x14ac:dyDescent="0.35">
      <c r="A152">
        <f>Database!A166</f>
        <v>151</v>
      </c>
      <c r="B152" s="2" t="str">
        <f>Database!Q166</f>
        <v>N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1</v>
      </c>
    </row>
    <row r="153" spans="1:5" x14ac:dyDescent="0.35">
      <c r="A153">
        <f>Database!A167</f>
        <v>152</v>
      </c>
      <c r="B153" s="2" t="str">
        <f>Database!Q167</f>
        <v>Y</v>
      </c>
      <c r="C153" s="2">
        <f t="shared" si="4"/>
        <v>2</v>
      </c>
      <c r="D153" s="2">
        <f>IF(B153="Y",Database!K167,"-")</f>
        <v>1</v>
      </c>
      <c r="E153" s="2">
        <f>IF(AND(D153&gt;1,B153="Y"),Database!L167/D153,Database!L167)</f>
        <v>2</v>
      </c>
    </row>
    <row r="154" spans="1:5" x14ac:dyDescent="0.35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5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307</v>
      </c>
      <c r="M3">
        <f>SUM(J2:J200)</f>
        <v>305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5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5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5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5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Database!A163</f>
        <v>148</v>
      </c>
      <c r="B149" t="str">
        <f>Database!G163</f>
        <v>bc</v>
      </c>
      <c r="C149" s="5">
        <f>Database!C163</f>
        <v>46188</v>
      </c>
      <c r="D149" s="5">
        <f>Database!D163</f>
        <v>46192</v>
      </c>
      <c r="E149">
        <f t="shared" si="8"/>
        <v>4</v>
      </c>
      <c r="F149">
        <f>Database!K163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Database!A164</f>
        <v>149</v>
      </c>
      <c r="B150" t="str">
        <f>Database!G164</f>
        <v>bc</v>
      </c>
      <c r="C150" s="5">
        <f>Database!C164</f>
        <v>46196</v>
      </c>
      <c r="D150" s="5">
        <f>Database!D164</f>
        <v>46200</v>
      </c>
      <c r="E150">
        <f t="shared" si="8"/>
        <v>4</v>
      </c>
      <c r="F150">
        <f>Database!K164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Database!A165</f>
        <v>150</v>
      </c>
      <c r="B151" t="str">
        <f>Database!G165</f>
        <v>bc</v>
      </c>
      <c r="C151" s="5">
        <f>Database!C165</f>
        <v>46227</v>
      </c>
      <c r="D151" s="5">
        <f>Database!D165</f>
        <v>46230</v>
      </c>
      <c r="E151">
        <f t="shared" si="8"/>
        <v>3</v>
      </c>
      <c r="F151">
        <f>Database!K165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Database!A166</f>
        <v>151</v>
      </c>
      <c r="B152" t="str">
        <f>Database!G166</f>
        <v>bc</v>
      </c>
      <c r="C152" s="5">
        <f>Database!C166</f>
        <v>46283</v>
      </c>
      <c r="D152" s="5">
        <f>Database!D166</f>
        <v>46285</v>
      </c>
      <c r="E152">
        <f t="shared" si="8"/>
        <v>2</v>
      </c>
      <c r="F152">
        <f>Database!K166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Database!A167</f>
        <v>152</v>
      </c>
      <c r="B153" t="str">
        <f>Database!G167</f>
        <v>bc</v>
      </c>
      <c r="C153" s="5">
        <f>Database!C167</f>
        <v>46219</v>
      </c>
      <c r="D153" s="5">
        <f>Database!D167</f>
        <v>46222</v>
      </c>
      <c r="E153">
        <f t="shared" si="8"/>
        <v>3</v>
      </c>
      <c r="F153">
        <f>Database!K167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va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oc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va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oc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va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va</v>
      </c>
      <c r="D106" s="128" t="str">
        <f>IF(booking!E106&gt;0,"oc","va")</f>
        <v>va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oc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va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oc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va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va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va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va</v>
      </c>
      <c r="H135" s="128" t="str">
        <f>IF(booking!M135&gt;0,"oc","va")</f>
        <v>va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va</v>
      </c>
      <c r="H136" s="128" t="str">
        <f>IF(booking!M136&gt;0,"oc","va")</f>
        <v>va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va</v>
      </c>
      <c r="H137" s="128" t="str">
        <f>IF(booking!M137&gt;0,"oc","va")</f>
        <v>va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va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oc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va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oc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va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va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va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va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va</v>
      </c>
      <c r="J149" s="128" t="str">
        <f>IF(booking!Q149&gt;0,"oc","va")</f>
        <v>va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va</v>
      </c>
      <c r="J150" s="128" t="str">
        <f>IF(booking!Q150&gt;0,"oc","va")</f>
        <v>va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oc</v>
      </c>
      <c r="I151" s="127" t="str">
        <f>IF(booking!P151&gt;0,"oc","va")</f>
        <v>va</v>
      </c>
      <c r="J151" s="128" t="str">
        <f>IF(booking!Q151&gt;0,"oc","va")</f>
        <v>va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oc</v>
      </c>
      <c r="H152" s="128" t="str">
        <f>IF(booking!M152&gt;0,"oc","va")</f>
        <v>oc</v>
      </c>
      <c r="I152" s="127" t="str">
        <f>IF(booking!P152&gt;0,"oc","va")</f>
        <v>va</v>
      </c>
      <c r="J152" s="128" t="str">
        <f>IF(booking!Q152&gt;0,"oc","va")</f>
        <v>va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oc</v>
      </c>
      <c r="H153" s="128" t="str">
        <f>IF(booking!M153&gt;0,"oc","va")</f>
        <v>va</v>
      </c>
      <c r="I153" s="127" t="str">
        <f>IF(booking!P153&gt;0,"oc","va")</f>
        <v>va</v>
      </c>
      <c r="J153" s="128" t="str">
        <f>IF(booking!Q153&gt;0,"oc","va")</f>
        <v>va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va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2026-06-04T13:14:18Z</cp:lastPrinted>
  <dcterms:created xsi:type="dcterms:W3CDTF">2024-07-25T07:35:10Z</dcterms:created>
  <dcterms:modified xsi:type="dcterms:W3CDTF">2026-06-24T16:28:20Z</dcterms:modified>
  <cp:category/>
  <cp:contentStatus/>
</cp:coreProperties>
</file>
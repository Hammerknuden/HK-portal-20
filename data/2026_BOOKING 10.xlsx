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709" documentId="8_{CBF31231-0F4D-4AAA-8243-F4B7D6A71111}" xr6:coauthVersionLast="47" xr6:coauthVersionMax="47" xr10:uidLastSave="{67B236A8-FB24-4B01-9927-385D00B5332C}"/>
  <bookViews>
    <workbookView xWindow="-110" yWindow="-110" windowWidth="19420" windowHeight="11500" firstSheet="1" activeTab="5" xr2:uid="{00000000-000D-0000-FFFF-FFFF00000000}"/>
  </bookViews>
  <sheets>
    <sheet name="book" sheetId="1" state="hidden" r:id="rId1"/>
    <sheet name="Database" sheetId="2" r:id="rId2"/>
    <sheet name="book stat" sheetId="3" r:id="rId3"/>
    <sheet name="week by week" sheetId="4" r:id="rId4"/>
    <sheet name="booking" sheetId="5" r:id="rId5"/>
    <sheet name="rengoering" sheetId="6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6" l="1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C172" i="11"/>
  <c r="D172" i="11"/>
  <c r="E172" i="11"/>
  <c r="F172" i="11"/>
  <c r="G172" i="11"/>
  <c r="H172" i="11"/>
  <c r="I172" i="11"/>
  <c r="J172" i="11"/>
  <c r="K172" i="11" s="1"/>
  <c r="L172" i="11"/>
  <c r="M172" i="11"/>
  <c r="C173" i="11"/>
  <c r="D173" i="11"/>
  <c r="E173" i="11"/>
  <c r="F173" i="11"/>
  <c r="G173" i="11"/>
  <c r="H173" i="11"/>
  <c r="I173" i="11"/>
  <c r="J173" i="11"/>
  <c r="K173" i="11" s="1"/>
  <c r="L173" i="11"/>
  <c r="M173" i="11"/>
  <c r="C174" i="11"/>
  <c r="D174" i="11"/>
  <c r="E174" i="11"/>
  <c r="F174" i="11"/>
  <c r="G174" i="11"/>
  <c r="H174" i="11"/>
  <c r="I174" i="11"/>
  <c r="J174" i="11"/>
  <c r="K174" i="11" s="1"/>
  <c r="L174" i="11"/>
  <c r="M174" i="11"/>
  <c r="M2" i="11"/>
  <c r="K2" i="11"/>
  <c r="I2" i="11"/>
  <c r="G2" i="11"/>
  <c r="E2" i="11"/>
  <c r="L2" i="11"/>
  <c r="J2" i="11"/>
  <c r="H2" i="11"/>
  <c r="F2" i="11"/>
  <c r="D2" i="11"/>
  <c r="C2" i="11"/>
  <c r="AC2" i="7"/>
  <c r="X2" i="7"/>
  <c r="S2" i="7"/>
  <c r="N2" i="7"/>
  <c r="I2" i="7"/>
  <c r="AC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8" i="10"/>
  <c r="J109" i="10"/>
  <c r="I110" i="10"/>
  <c r="J110" i="10"/>
  <c r="I111" i="10"/>
  <c r="J116" i="10"/>
  <c r="I124" i="10"/>
  <c r="J124" i="10"/>
  <c r="I125" i="10"/>
  <c r="J125" i="10"/>
  <c r="I126" i="10"/>
  <c r="J126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J41" i="10" s="1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 s="1"/>
  <c r="G77" i="10" s="1"/>
  <c r="J77" i="10" s="1"/>
  <c r="F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J106" i="10" s="1"/>
  <c r="A107" i="10"/>
  <c r="B107" i="10"/>
  <c r="I107" i="10" s="1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I108" i="10" s="1"/>
  <c r="A109" i="10"/>
  <c r="B109" i="10"/>
  <c r="C109" i="10"/>
  <c r="D109" i="10"/>
  <c r="F109" i="10"/>
  <c r="A110" i="10"/>
  <c r="B110" i="10"/>
  <c r="C110" i="10"/>
  <c r="D110" i="10"/>
  <c r="E110" i="10"/>
  <c r="F110" i="10"/>
  <c r="G110" i="10"/>
  <c r="A111" i="10"/>
  <c r="B111" i="10"/>
  <c r="J111" i="10" s="1"/>
  <c r="C111" i="10"/>
  <c r="E111" i="10" s="1"/>
  <c r="G111" i="10" s="1"/>
  <c r="D111" i="10"/>
  <c r="F111" i="10"/>
  <c r="A112" i="10"/>
  <c r="B112" i="10"/>
  <c r="J112" i="10" s="1"/>
  <c r="C112" i="10"/>
  <c r="D112" i="10"/>
  <c r="E112" i="10" s="1"/>
  <c r="F112" i="10"/>
  <c r="A113" i="10"/>
  <c r="B113" i="10"/>
  <c r="I113" i="10" s="1"/>
  <c r="C113" i="10"/>
  <c r="D113" i="10"/>
  <c r="E113" i="10"/>
  <c r="F113" i="10"/>
  <c r="G113" i="10"/>
  <c r="A114" i="10"/>
  <c r="B114" i="10"/>
  <c r="I114" i="10" s="1"/>
  <c r="C114" i="10"/>
  <c r="D114" i="10"/>
  <c r="E114" i="10" s="1"/>
  <c r="F114" i="10"/>
  <c r="A115" i="10"/>
  <c r="B115" i="10"/>
  <c r="C115" i="10"/>
  <c r="D115" i="10"/>
  <c r="E115" i="10" s="1"/>
  <c r="G115" i="10" s="1"/>
  <c r="F115" i="10"/>
  <c r="A116" i="10"/>
  <c r="B116" i="10"/>
  <c r="C116" i="10"/>
  <c r="D116" i="10"/>
  <c r="E116" i="10" s="1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E119" i="10" s="1"/>
  <c r="F119" i="10"/>
  <c r="A120" i="10"/>
  <c r="B120" i="10"/>
  <c r="I120" i="10" s="1"/>
  <c r="C120" i="10"/>
  <c r="D120" i="10"/>
  <c r="E120" i="10"/>
  <c r="F120" i="10"/>
  <c r="G120" i="10"/>
  <c r="A121" i="10"/>
  <c r="B121" i="10"/>
  <c r="I121" i="10" s="1"/>
  <c r="C121" i="10"/>
  <c r="E121" i="10" s="1"/>
  <c r="G121" i="10" s="1"/>
  <c r="D121" i="10"/>
  <c r="F121" i="10"/>
  <c r="A122" i="10"/>
  <c r="B122" i="10"/>
  <c r="C122" i="10"/>
  <c r="D122" i="10"/>
  <c r="E122" i="10" s="1"/>
  <c r="G122" i="10" s="1"/>
  <c r="F122" i="10"/>
  <c r="A123" i="10"/>
  <c r="B123" i="10"/>
  <c r="J123" i="10" s="1"/>
  <c r="C123" i="10"/>
  <c r="E123" i="10" s="1"/>
  <c r="D123" i="10"/>
  <c r="F123" i="10"/>
  <c r="A124" i="10"/>
  <c r="B124" i="10"/>
  <c r="C124" i="10"/>
  <c r="D124" i="10"/>
  <c r="E124" i="10"/>
  <c r="G124" i="10" s="1"/>
  <c r="F124" i="10"/>
  <c r="A125" i="10"/>
  <c r="B125" i="10"/>
  <c r="C125" i="10"/>
  <c r="D125" i="10"/>
  <c r="E125" i="10"/>
  <c r="F125" i="10"/>
  <c r="G125" i="10"/>
  <c r="A126" i="10"/>
  <c r="B126" i="10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C11" i="5"/>
  <c r="H45" i="9"/>
  <c r="H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O41" i="3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G123" i="10" l="1"/>
  <c r="I123" i="10" s="1"/>
  <c r="I122" i="10"/>
  <c r="J122" i="10"/>
  <c r="J121" i="10"/>
  <c r="J120" i="10"/>
  <c r="G119" i="10"/>
  <c r="J119" i="10" s="1"/>
  <c r="E117" i="10"/>
  <c r="G117" i="10" s="1"/>
  <c r="J117" i="10" s="1"/>
  <c r="E118" i="10"/>
  <c r="G118" i="10" s="1"/>
  <c r="J118" i="10" s="1"/>
  <c r="I116" i="10"/>
  <c r="G116" i="10"/>
  <c r="I115" i="10"/>
  <c r="J115" i="10"/>
  <c r="G114" i="10"/>
  <c r="J114" i="10"/>
  <c r="J113" i="10"/>
  <c r="G112" i="10"/>
  <c r="I112" i="10"/>
  <c r="BM41" i="3"/>
  <c r="BL41" i="3"/>
  <c r="G83" i="10"/>
  <c r="E109" i="10"/>
  <c r="G109" i="10" s="1"/>
  <c r="I109" i="10" s="1"/>
  <c r="G99" i="10"/>
  <c r="J107" i="10"/>
  <c r="I100" i="10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F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C14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M41" i="3" s="1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B121" i="8"/>
  <c r="D121" i="8" s="1"/>
  <c r="E121" i="8" s="1"/>
  <c r="A121" i="8"/>
  <c r="D120" i="8"/>
  <c r="E120" i="8" s="1"/>
  <c r="C120" i="8" s="1"/>
  <c r="B120" i="8"/>
  <c r="A120" i="8"/>
  <c r="B119" i="8"/>
  <c r="D119" i="8" s="1"/>
  <c r="E119" i="8" s="1"/>
  <c r="A119" i="8"/>
  <c r="B118" i="8"/>
  <c r="A118" i="8"/>
  <c r="B117" i="8"/>
  <c r="A117" i="8"/>
  <c r="D116" i="8"/>
  <c r="E116" i="8" s="1"/>
  <c r="B116" i="8"/>
  <c r="A116" i="8"/>
  <c r="B115" i="8"/>
  <c r="A115" i="8"/>
  <c r="B114" i="8"/>
  <c r="A114" i="8"/>
  <c r="B113" i="8"/>
  <c r="D113" i="8" s="1"/>
  <c r="E113" i="8" s="1"/>
  <c r="A113" i="8"/>
  <c r="D112" i="8"/>
  <c r="E112" i="8" s="1"/>
  <c r="B112" i="8"/>
  <c r="A112" i="8"/>
  <c r="B111" i="8"/>
  <c r="D111" i="8" s="1"/>
  <c r="E111" i="8" s="1"/>
  <c r="A111" i="8"/>
  <c r="E110" i="8"/>
  <c r="C110" i="8"/>
  <c r="B110" i="8"/>
  <c r="D110" i="8" s="1"/>
  <c r="A110" i="8"/>
  <c r="D109" i="8"/>
  <c r="E109" i="8" s="1"/>
  <c r="C109" i="8" s="1"/>
  <c r="B109" i="8"/>
  <c r="A109" i="8"/>
  <c r="B108" i="8"/>
  <c r="A108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B174" i="11" s="1"/>
  <c r="D173" i="7"/>
  <c r="Y173" i="7" s="1"/>
  <c r="B173" i="7"/>
  <c r="A173" i="7"/>
  <c r="B173" i="11" s="1"/>
  <c r="D172" i="7"/>
  <c r="Y172" i="7" s="1"/>
  <c r="AB172" i="7" s="1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AC99" i="5"/>
  <c r="C99" i="6" s="1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N123" i="3" l="1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M119" i="3" s="1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M117" i="3" s="1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L115" i="3" s="1"/>
  <c r="BH115" i="3"/>
  <c r="BY115" i="3"/>
  <c r="BM115" i="3" s="1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L111" i="3" s="1"/>
  <c r="BJ111" i="3"/>
  <c r="BK111" i="3"/>
  <c r="BQ111" i="3"/>
  <c r="BM111" i="3" s="1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L109" i="3" s="1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C59" i="11"/>
  <c r="J36" i="7"/>
  <c r="K36" i="7" s="1"/>
  <c r="C36" i="11"/>
  <c r="T60" i="7"/>
  <c r="C60" i="11"/>
  <c r="O32" i="7"/>
  <c r="C32" i="11"/>
  <c r="O28" i="7"/>
  <c r="C28" i="11"/>
  <c r="Y16" i="7"/>
  <c r="C16" i="11"/>
  <c r="O8" i="7"/>
  <c r="C8" i="11"/>
  <c r="J4" i="7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M98" i="3" s="1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L97" i="3" s="1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M89" i="3" s="1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K172" i="7" s="1"/>
  <c r="O174" i="7"/>
  <c r="P174" i="7" s="1"/>
  <c r="E32" i="6"/>
  <c r="G62" i="6"/>
  <c r="E94" i="6"/>
  <c r="I127" i="6"/>
  <c r="O172" i="7"/>
  <c r="R172" i="7" s="1"/>
  <c r="J173" i="7"/>
  <c r="M173" i="7" s="1"/>
  <c r="E8" i="6"/>
  <c r="G12" i="6"/>
  <c r="M12" i="6"/>
  <c r="G36" i="6"/>
  <c r="M36" i="6"/>
  <c r="K96" i="6"/>
  <c r="K98" i="6"/>
  <c r="T172" i="7"/>
  <c r="U172" i="7" s="1"/>
  <c r="E172" i="7"/>
  <c r="F172" i="7" s="1"/>
  <c r="I9" i="6"/>
  <c r="E28" i="6"/>
  <c r="K141" i="6"/>
  <c r="D9" i="7"/>
  <c r="O36" i="7"/>
  <c r="K174" i="7"/>
  <c r="M174" i="7"/>
  <c r="L174" i="7"/>
  <c r="J32" i="7"/>
  <c r="T174" i="7"/>
  <c r="V174" i="7" s="1"/>
  <c r="O175" i="7"/>
  <c r="R175" i="7" s="1"/>
  <c r="AA172" i="7"/>
  <c r="AA175" i="7"/>
  <c r="E175" i="7"/>
  <c r="F175" i="7" s="1"/>
  <c r="E28" i="7"/>
  <c r="E174" i="7"/>
  <c r="F174" i="7" s="1"/>
  <c r="Y174" i="7"/>
  <c r="AA174" i="7" s="1"/>
  <c r="T175" i="7"/>
  <c r="U175" i="7" s="1"/>
  <c r="E16" i="6"/>
  <c r="E16" i="7"/>
  <c r="D16" i="11" s="1"/>
  <c r="E16" i="11" s="1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A59" i="7"/>
  <c r="Z59" i="7"/>
  <c r="AB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D59" i="11" s="1"/>
  <c r="E59" i="11" s="1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D10" i="11" s="1"/>
  <c r="E10" i="11" s="1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30" i="11" s="1"/>
  <c r="E30" i="11" s="1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R28" i="7"/>
  <c r="Q28" i="7"/>
  <c r="P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D141" i="11" s="1"/>
  <c r="E141" i="11" s="1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K2" i="6"/>
  <c r="I2" i="6"/>
  <c r="M2" i="6"/>
  <c r="D3" i="7"/>
  <c r="C3" i="11" s="1"/>
  <c r="G3" i="6"/>
  <c r="M3" i="6"/>
  <c r="E3" i="6"/>
  <c r="K3" i="6"/>
  <c r="L4" i="7"/>
  <c r="K4" i="7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D60" i="11" s="1"/>
  <c r="E60" i="11" s="1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G98" i="6"/>
  <c r="E98" i="6"/>
  <c r="M98" i="6"/>
  <c r="D98" i="7"/>
  <c r="C98" i="11" s="1"/>
  <c r="D99" i="7"/>
  <c r="C99" i="11" s="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C101" i="11" s="1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Q8" i="7"/>
  <c r="P8" i="7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D4" i="11" s="1"/>
  <c r="E4" i="11" s="1"/>
  <c r="T4" i="7"/>
  <c r="T8" i="7"/>
  <c r="E8" i="7"/>
  <c r="D8" i="11" s="1"/>
  <c r="E8" i="11" s="1"/>
  <c r="J8" i="7"/>
  <c r="Y8" i="7"/>
  <c r="O16" i="7"/>
  <c r="T16" i="7"/>
  <c r="Y28" i="7"/>
  <c r="T28" i="7"/>
  <c r="J28" i="7"/>
  <c r="T32" i="7"/>
  <c r="E32" i="7"/>
  <c r="D32" i="11" s="1"/>
  <c r="E32" i="11" s="1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36" i="11" s="1"/>
  <c r="E36" i="11" s="1"/>
  <c r="D140" i="7"/>
  <c r="C140" i="11" s="1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BL123" i="3" l="1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D14" i="11" s="1"/>
  <c r="E14" i="11" s="1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D76" i="11" s="1"/>
  <c r="E76" i="11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F12" i="7" s="1"/>
  <c r="C12" i="11"/>
  <c r="L8" i="11"/>
  <c r="M8" i="11" s="1"/>
  <c r="AC8" i="7"/>
  <c r="T12" i="7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AB174" i="7"/>
  <c r="O9" i="7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J64" i="7"/>
  <c r="M172" i="7"/>
  <c r="Y44" i="7"/>
  <c r="J44" i="7"/>
  <c r="E64" i="7"/>
  <c r="M16" i="7"/>
  <c r="O64" i="7"/>
  <c r="Y64" i="7"/>
  <c r="G33" i="7"/>
  <c r="V175" i="7"/>
  <c r="G174" i="7"/>
  <c r="L16" i="7"/>
  <c r="Z174" i="7"/>
  <c r="F33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M24" i="7"/>
  <c r="L173" i="7"/>
  <c r="U174" i="7"/>
  <c r="E52" i="7"/>
  <c r="P36" i="7"/>
  <c r="T40" i="7"/>
  <c r="G172" i="7"/>
  <c r="Y40" i="7"/>
  <c r="T52" i="7"/>
  <c r="Q172" i="7"/>
  <c r="O100" i="7"/>
  <c r="Z4" i="7"/>
  <c r="T100" i="7"/>
  <c r="Y84" i="7"/>
  <c r="T84" i="7"/>
  <c r="E84" i="7"/>
  <c r="E100" i="7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I196" i="3"/>
  <c r="BG203" i="3" s="1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O52" i="7"/>
  <c r="T76" i="7"/>
  <c r="O76" i="7"/>
  <c r="Y76" i="7"/>
  <c r="J76" i="7"/>
  <c r="T24" i="7"/>
  <c r="O24" i="7"/>
  <c r="E24" i="7"/>
  <c r="AA4" i="7"/>
  <c r="T96" i="7"/>
  <c r="E96" i="7"/>
  <c r="D96" i="11" s="1"/>
  <c r="E96" i="11" s="1"/>
  <c r="Y96" i="7"/>
  <c r="O96" i="7"/>
  <c r="J96" i="7"/>
  <c r="J99" i="7"/>
  <c r="T99" i="7"/>
  <c r="Y99" i="7"/>
  <c r="O99" i="7"/>
  <c r="E99" i="7"/>
  <c r="D99" i="11" s="1"/>
  <c r="E99" i="11" s="1"/>
  <c r="E119" i="7"/>
  <c r="D119" i="11" s="1"/>
  <c r="E119" i="11" s="1"/>
  <c r="O119" i="7"/>
  <c r="J119" i="7"/>
  <c r="Y119" i="7"/>
  <c r="T119" i="7"/>
  <c r="J105" i="7"/>
  <c r="E105" i="7"/>
  <c r="D105" i="11" s="1"/>
  <c r="E105" i="11" s="1"/>
  <c r="Y105" i="7"/>
  <c r="T105" i="7"/>
  <c r="O105" i="7"/>
  <c r="E94" i="7"/>
  <c r="D94" i="11" s="1"/>
  <c r="E94" i="11" s="1"/>
  <c r="J94" i="7"/>
  <c r="T94" i="7"/>
  <c r="Y94" i="7"/>
  <c r="O94" i="7"/>
  <c r="T161" i="7"/>
  <c r="E161" i="7"/>
  <c r="D161" i="11" s="1"/>
  <c r="E161" i="11" s="1"/>
  <c r="O161" i="7"/>
  <c r="J161" i="7"/>
  <c r="Y161" i="7"/>
  <c r="Y75" i="7"/>
  <c r="J75" i="7"/>
  <c r="T75" i="7"/>
  <c r="E75" i="7"/>
  <c r="D75" i="11" s="1"/>
  <c r="E75" i="11" s="1"/>
  <c r="O75" i="7"/>
  <c r="T111" i="7"/>
  <c r="Y111" i="7"/>
  <c r="O111" i="7"/>
  <c r="J111" i="7"/>
  <c r="E111" i="7"/>
  <c r="D111" i="11" s="1"/>
  <c r="E111" i="11" s="1"/>
  <c r="Y127" i="7"/>
  <c r="O127" i="7"/>
  <c r="J127" i="7"/>
  <c r="E127" i="7"/>
  <c r="D127" i="11" s="1"/>
  <c r="E127" i="11" s="1"/>
  <c r="T11" i="7"/>
  <c r="Y11" i="7"/>
  <c r="O11" i="7"/>
  <c r="E11" i="7"/>
  <c r="D11" i="11" s="1"/>
  <c r="E11" i="11" s="1"/>
  <c r="J130" i="7"/>
  <c r="E130" i="7"/>
  <c r="D130" i="11" s="1"/>
  <c r="E130" i="11" s="1"/>
  <c r="T130" i="7"/>
  <c r="O130" i="7"/>
  <c r="Y130" i="7"/>
  <c r="O92" i="7"/>
  <c r="Y92" i="7"/>
  <c r="T92" i="7"/>
  <c r="E92" i="7"/>
  <c r="D92" i="11" s="1"/>
  <c r="E92" i="11" s="1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D46" i="11" s="1"/>
  <c r="E46" i="11" s="1"/>
  <c r="Y46" i="7"/>
  <c r="Y155" i="7"/>
  <c r="E155" i="7"/>
  <c r="D155" i="11" s="1"/>
  <c r="E155" i="11" s="1"/>
  <c r="O155" i="7"/>
  <c r="J155" i="7"/>
  <c r="T155" i="7"/>
  <c r="T131" i="7"/>
  <c r="Y131" i="7"/>
  <c r="O131" i="7"/>
  <c r="J131" i="7"/>
  <c r="E131" i="7"/>
  <c r="D131" i="11" s="1"/>
  <c r="E131" i="11" s="1"/>
  <c r="G10" i="7"/>
  <c r="H10" i="7"/>
  <c r="F10" i="7"/>
  <c r="T132" i="7"/>
  <c r="E132" i="7"/>
  <c r="D132" i="11" s="1"/>
  <c r="E132" i="11" s="1"/>
  <c r="Y132" i="7"/>
  <c r="O132" i="7"/>
  <c r="J132" i="7"/>
  <c r="J72" i="7"/>
  <c r="Y72" i="7"/>
  <c r="O72" i="7"/>
  <c r="T72" i="7"/>
  <c r="E72" i="7"/>
  <c r="D72" i="11" s="1"/>
  <c r="E72" i="11" s="1"/>
  <c r="V28" i="7"/>
  <c r="W28" i="7"/>
  <c r="U28" i="7"/>
  <c r="Y137" i="7"/>
  <c r="J137" i="7"/>
  <c r="T137" i="7"/>
  <c r="E137" i="7"/>
  <c r="D137" i="11" s="1"/>
  <c r="E137" i="11" s="1"/>
  <c r="O137" i="7"/>
  <c r="Y77" i="7"/>
  <c r="E77" i="7"/>
  <c r="D77" i="11" s="1"/>
  <c r="E77" i="11" s="1"/>
  <c r="T77" i="7"/>
  <c r="O77" i="7"/>
  <c r="J77" i="7"/>
  <c r="Y97" i="7"/>
  <c r="T97" i="7"/>
  <c r="O97" i="7"/>
  <c r="J97" i="7"/>
  <c r="E97" i="7"/>
  <c r="D97" i="11" s="1"/>
  <c r="E97" i="11" s="1"/>
  <c r="T43" i="7"/>
  <c r="Y43" i="7"/>
  <c r="E43" i="7"/>
  <c r="D43" i="11" s="1"/>
  <c r="E43" i="11" s="1"/>
  <c r="J43" i="7"/>
  <c r="G141" i="7"/>
  <c r="F141" i="7"/>
  <c r="H141" i="7"/>
  <c r="P30" i="7"/>
  <c r="R30" i="7"/>
  <c r="Q30" i="7"/>
  <c r="J110" i="7"/>
  <c r="Y110" i="7"/>
  <c r="T110" i="7"/>
  <c r="O110" i="7"/>
  <c r="E110" i="7"/>
  <c r="D110" i="11" s="1"/>
  <c r="E110" i="11" s="1"/>
  <c r="Y90" i="7"/>
  <c r="J90" i="7"/>
  <c r="T90" i="7"/>
  <c r="O90" i="7"/>
  <c r="E90" i="7"/>
  <c r="D90" i="11" s="1"/>
  <c r="E90" i="11" s="1"/>
  <c r="O39" i="7"/>
  <c r="Y39" i="7"/>
  <c r="T39" i="7"/>
  <c r="J39" i="7"/>
  <c r="E39" i="7"/>
  <c r="D39" i="11" s="1"/>
  <c r="E39" i="11" s="1"/>
  <c r="O147" i="7"/>
  <c r="E147" i="7"/>
  <c r="D147" i="11" s="1"/>
  <c r="E147" i="11" s="1"/>
  <c r="T147" i="7"/>
  <c r="Y147" i="7"/>
  <c r="J147" i="7"/>
  <c r="O166" i="7"/>
  <c r="J166" i="7"/>
  <c r="E166" i="7"/>
  <c r="D166" i="11" s="1"/>
  <c r="E166" i="11" s="1"/>
  <c r="Y166" i="7"/>
  <c r="T166" i="7"/>
  <c r="K10" i="7"/>
  <c r="L10" i="7"/>
  <c r="M10" i="7"/>
  <c r="AS198" i="3"/>
  <c r="E121" i="7"/>
  <c r="D121" i="11" s="1"/>
  <c r="E121" i="11" s="1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D27" i="11" s="1"/>
  <c r="E27" i="11" s="1"/>
  <c r="Y27" i="7"/>
  <c r="G173" i="7"/>
  <c r="F173" i="7"/>
  <c r="H173" i="7"/>
  <c r="J68" i="7"/>
  <c r="E68" i="7"/>
  <c r="D68" i="11" s="1"/>
  <c r="E68" i="11" s="1"/>
  <c r="T68" i="7"/>
  <c r="O68" i="7"/>
  <c r="Y68" i="7"/>
  <c r="M8" i="7"/>
  <c r="L8" i="7"/>
  <c r="K8" i="7"/>
  <c r="Y149" i="7"/>
  <c r="J149" i="7"/>
  <c r="O149" i="7"/>
  <c r="E149" i="7"/>
  <c r="D149" i="11" s="1"/>
  <c r="E149" i="11" s="1"/>
  <c r="T149" i="7"/>
  <c r="G76" i="7"/>
  <c r="H76" i="7"/>
  <c r="F76" i="7"/>
  <c r="Q9" i="7"/>
  <c r="BP196" i="3"/>
  <c r="BK202" i="3" s="1"/>
  <c r="I30" i="4" s="1"/>
  <c r="AO198" i="3"/>
  <c r="T58" i="7"/>
  <c r="E58" i="7"/>
  <c r="D58" i="11" s="1"/>
  <c r="E58" i="11" s="1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D57" i="11" s="1"/>
  <c r="E57" i="11" s="1"/>
  <c r="T47" i="7"/>
  <c r="J47" i="7"/>
  <c r="O47" i="7"/>
  <c r="E47" i="7"/>
  <c r="D47" i="11" s="1"/>
  <c r="E47" i="11" s="1"/>
  <c r="Y47" i="7"/>
  <c r="Y25" i="7"/>
  <c r="J25" i="7"/>
  <c r="T25" i="7"/>
  <c r="E25" i="7"/>
  <c r="D25" i="11" s="1"/>
  <c r="E25" i="11" s="1"/>
  <c r="O25" i="7"/>
  <c r="L59" i="7"/>
  <c r="M59" i="7"/>
  <c r="K59" i="7"/>
  <c r="W4" i="7"/>
  <c r="V4" i="7"/>
  <c r="U4" i="7"/>
  <c r="O118" i="7"/>
  <c r="E118" i="7"/>
  <c r="D118" i="11" s="1"/>
  <c r="E118" i="11" s="1"/>
  <c r="T118" i="7"/>
  <c r="J118" i="7"/>
  <c r="Y118" i="7"/>
  <c r="Y150" i="7"/>
  <c r="J150" i="7"/>
  <c r="O150" i="7"/>
  <c r="T150" i="7"/>
  <c r="E150" i="7"/>
  <c r="D150" i="11" s="1"/>
  <c r="E150" i="11" s="1"/>
  <c r="O22" i="7"/>
  <c r="J22" i="7"/>
  <c r="E22" i="7"/>
  <c r="D22" i="11" s="1"/>
  <c r="E22" i="11" s="1"/>
  <c r="T22" i="7"/>
  <c r="Y22" i="7"/>
  <c r="J158" i="7"/>
  <c r="Y158" i="7"/>
  <c r="E158" i="7"/>
  <c r="D158" i="11" s="1"/>
  <c r="E158" i="11" s="1"/>
  <c r="O158" i="7"/>
  <c r="T158" i="7"/>
  <c r="AB198" i="3"/>
  <c r="AB200" i="3" s="1"/>
  <c r="T164" i="7"/>
  <c r="E164" i="7"/>
  <c r="D164" i="11" s="1"/>
  <c r="E164" i="11" s="1"/>
  <c r="Y164" i="7"/>
  <c r="O164" i="7"/>
  <c r="J164" i="7"/>
  <c r="J48" i="7"/>
  <c r="Y48" i="7"/>
  <c r="E48" i="7"/>
  <c r="D48" i="11" s="1"/>
  <c r="E48" i="11" s="1"/>
  <c r="T48" i="7"/>
  <c r="O48" i="7"/>
  <c r="L100" i="7"/>
  <c r="G60" i="7"/>
  <c r="F60" i="7"/>
  <c r="H60" i="7"/>
  <c r="O153" i="7"/>
  <c r="T153" i="7"/>
  <c r="Y153" i="7"/>
  <c r="E153" i="7"/>
  <c r="D153" i="11" s="1"/>
  <c r="E153" i="11" s="1"/>
  <c r="J153" i="7"/>
  <c r="Y15" i="7"/>
  <c r="E15" i="7"/>
  <c r="D15" i="11" s="1"/>
  <c r="E15" i="11" s="1"/>
  <c r="T15" i="7"/>
  <c r="O15" i="7"/>
  <c r="J15" i="7"/>
  <c r="E49" i="7"/>
  <c r="D49" i="11" s="1"/>
  <c r="E49" i="11" s="1"/>
  <c r="Y49" i="7"/>
  <c r="T49" i="7"/>
  <c r="O49" i="7"/>
  <c r="J49" i="7"/>
  <c r="O123" i="7"/>
  <c r="J123" i="7"/>
  <c r="Y123" i="7"/>
  <c r="E123" i="7"/>
  <c r="D123" i="11" s="1"/>
  <c r="E123" i="11" s="1"/>
  <c r="O167" i="7"/>
  <c r="E167" i="7"/>
  <c r="D167" i="11" s="1"/>
  <c r="E167" i="11" s="1"/>
  <c r="T167" i="7"/>
  <c r="Y167" i="7"/>
  <c r="J167" i="7"/>
  <c r="T109" i="7"/>
  <c r="E109" i="7"/>
  <c r="D109" i="11" s="1"/>
  <c r="E109" i="11" s="1"/>
  <c r="Y109" i="7"/>
  <c r="O109" i="7"/>
  <c r="J109" i="7"/>
  <c r="T18" i="7"/>
  <c r="E18" i="7"/>
  <c r="D18" i="11" s="1"/>
  <c r="E18" i="11" s="1"/>
  <c r="O18" i="7"/>
  <c r="Y18" i="7"/>
  <c r="J18" i="7"/>
  <c r="AR198" i="3"/>
  <c r="AL198" i="3"/>
  <c r="Y148" i="7"/>
  <c r="J148" i="7"/>
  <c r="E148" i="7"/>
  <c r="D148" i="11" s="1"/>
  <c r="E148" i="11" s="1"/>
  <c r="T148" i="7"/>
  <c r="O148" i="7"/>
  <c r="O93" i="7"/>
  <c r="J93" i="7"/>
  <c r="T93" i="7"/>
  <c r="E93" i="7"/>
  <c r="D93" i="11" s="1"/>
  <c r="E93" i="11" s="1"/>
  <c r="Y93" i="7"/>
  <c r="Y21" i="7"/>
  <c r="O21" i="7"/>
  <c r="E21" i="7"/>
  <c r="D21" i="11" s="1"/>
  <c r="E21" i="11" s="1"/>
  <c r="T21" i="7"/>
  <c r="J21" i="7"/>
  <c r="T5" i="7"/>
  <c r="E5" i="7"/>
  <c r="D5" i="11" s="1"/>
  <c r="E5" i="11" s="1"/>
  <c r="J5" i="7"/>
  <c r="O5" i="7"/>
  <c r="Y5" i="7"/>
  <c r="J143" i="7"/>
  <c r="Y143" i="7"/>
  <c r="E143" i="7"/>
  <c r="D143" i="11" s="1"/>
  <c r="E143" i="11" s="1"/>
  <c r="O143" i="7"/>
  <c r="T143" i="7"/>
  <c r="X198" i="3"/>
  <c r="X200" i="3" s="1"/>
  <c r="E139" i="7"/>
  <c r="D139" i="11" s="1"/>
  <c r="E139" i="11" s="1"/>
  <c r="J139" i="7"/>
  <c r="O139" i="7"/>
  <c r="Y139" i="7"/>
  <c r="T139" i="7"/>
  <c r="Y42" i="7"/>
  <c r="J42" i="7"/>
  <c r="O42" i="7"/>
  <c r="T42" i="7"/>
  <c r="E42" i="7"/>
  <c r="D42" i="11" s="1"/>
  <c r="E42" i="11" s="1"/>
  <c r="O14" i="7"/>
  <c r="J14" i="7"/>
  <c r="Y14" i="7"/>
  <c r="T14" i="7"/>
  <c r="O55" i="7"/>
  <c r="T55" i="7"/>
  <c r="Y55" i="7"/>
  <c r="E55" i="7"/>
  <c r="D55" i="11" s="1"/>
  <c r="E55" i="11" s="1"/>
  <c r="J55" i="7"/>
  <c r="T71" i="7"/>
  <c r="E71" i="7"/>
  <c r="D71" i="11" s="1"/>
  <c r="E71" i="11" s="1"/>
  <c r="O71" i="7"/>
  <c r="J71" i="7"/>
  <c r="Y71" i="7"/>
  <c r="J80" i="7"/>
  <c r="T80" i="7"/>
  <c r="E80" i="7"/>
  <c r="D80" i="11" s="1"/>
  <c r="E80" i="11" s="1"/>
  <c r="O80" i="7"/>
  <c r="Y80" i="7"/>
  <c r="W16" i="7"/>
  <c r="U16" i="7"/>
  <c r="V16" i="7"/>
  <c r="O117" i="7"/>
  <c r="Y117" i="7"/>
  <c r="T117" i="7"/>
  <c r="J117" i="7"/>
  <c r="E117" i="7"/>
  <c r="D117" i="11" s="1"/>
  <c r="E117" i="11" s="1"/>
  <c r="O69" i="7"/>
  <c r="Y69" i="7"/>
  <c r="E69" i="7"/>
  <c r="D69" i="11" s="1"/>
  <c r="E69" i="11" s="1"/>
  <c r="J69" i="7"/>
  <c r="T69" i="7"/>
  <c r="Y103" i="7"/>
  <c r="O103" i="7"/>
  <c r="E103" i="7"/>
  <c r="D103" i="11" s="1"/>
  <c r="E103" i="11" s="1"/>
  <c r="J103" i="7"/>
  <c r="T103" i="7"/>
  <c r="E65" i="7"/>
  <c r="D65" i="11" s="1"/>
  <c r="E65" i="11" s="1"/>
  <c r="T65" i="7"/>
  <c r="O65" i="7"/>
  <c r="Y65" i="7"/>
  <c r="J65" i="7"/>
  <c r="Y135" i="7"/>
  <c r="E135" i="7"/>
  <c r="D135" i="11" s="1"/>
  <c r="E135" i="11" s="1"/>
  <c r="O135" i="7"/>
  <c r="T135" i="7"/>
  <c r="J135" i="7"/>
  <c r="J19" i="7"/>
  <c r="Y19" i="7"/>
  <c r="E19" i="7"/>
  <c r="D19" i="11" s="1"/>
  <c r="E19" i="11" s="1"/>
  <c r="T19" i="7"/>
  <c r="O19" i="7"/>
  <c r="T31" i="7"/>
  <c r="J31" i="7"/>
  <c r="O31" i="7"/>
  <c r="Y31" i="7"/>
  <c r="E31" i="7"/>
  <c r="D31" i="11" s="1"/>
  <c r="E31" i="11" s="1"/>
  <c r="P141" i="7"/>
  <c r="R141" i="7"/>
  <c r="Q141" i="7"/>
  <c r="AB30" i="7"/>
  <c r="AA30" i="7"/>
  <c r="Z30" i="7"/>
  <c r="AD198" i="3"/>
  <c r="BN196" i="3"/>
  <c r="AN198" i="3"/>
  <c r="O154" i="7"/>
  <c r="T154" i="7"/>
  <c r="Y154" i="7"/>
  <c r="J154" i="7"/>
  <c r="E154" i="7"/>
  <c r="D154" i="11" s="1"/>
  <c r="E154" i="11" s="1"/>
  <c r="O152" i="7"/>
  <c r="J152" i="7"/>
  <c r="Y152" i="7"/>
  <c r="T152" i="7"/>
  <c r="E152" i="7"/>
  <c r="D152" i="11" s="1"/>
  <c r="E152" i="11" s="1"/>
  <c r="T17" i="7"/>
  <c r="E17" i="7"/>
  <c r="D17" i="11" s="1"/>
  <c r="E17" i="11" s="1"/>
  <c r="J17" i="7"/>
  <c r="Y17" i="7"/>
  <c r="O17" i="7"/>
  <c r="V173" i="7"/>
  <c r="U173" i="7"/>
  <c r="W173" i="7"/>
  <c r="T144" i="7"/>
  <c r="E144" i="7"/>
  <c r="D144" i="11" s="1"/>
  <c r="E144" i="11" s="1"/>
  <c r="O144" i="7"/>
  <c r="J144" i="7"/>
  <c r="Y144" i="7"/>
  <c r="H8" i="7"/>
  <c r="G8" i="7"/>
  <c r="F8" i="7"/>
  <c r="E89" i="7"/>
  <c r="D89" i="11" s="1"/>
  <c r="E89" i="11" s="1"/>
  <c r="O89" i="7"/>
  <c r="J89" i="7"/>
  <c r="T89" i="7"/>
  <c r="Y89" i="7"/>
  <c r="E102" i="7"/>
  <c r="D102" i="11" s="1"/>
  <c r="E102" i="11" s="1"/>
  <c r="Y102" i="7"/>
  <c r="T102" i="7"/>
  <c r="O102" i="7"/>
  <c r="J102" i="7"/>
  <c r="J61" i="7"/>
  <c r="O61" i="7"/>
  <c r="E61" i="7"/>
  <c r="D61" i="11" s="1"/>
  <c r="E61" i="11" s="1"/>
  <c r="Y61" i="7"/>
  <c r="T61" i="7"/>
  <c r="T145" i="7"/>
  <c r="E145" i="7"/>
  <c r="D145" i="11" s="1"/>
  <c r="E145" i="11" s="1"/>
  <c r="J145" i="7"/>
  <c r="Y145" i="7"/>
  <c r="O145" i="7"/>
  <c r="O104" i="7"/>
  <c r="T104" i="7"/>
  <c r="J104" i="7"/>
  <c r="Y104" i="7"/>
  <c r="E104" i="7"/>
  <c r="D104" i="11" s="1"/>
  <c r="E104" i="11" s="1"/>
  <c r="W8" i="7"/>
  <c r="V8" i="7"/>
  <c r="U8" i="7"/>
  <c r="O81" i="7"/>
  <c r="E81" i="7"/>
  <c r="D81" i="11" s="1"/>
  <c r="E81" i="11" s="1"/>
  <c r="T81" i="7"/>
  <c r="Y81" i="7"/>
  <c r="J81" i="7"/>
  <c r="AX198" i="3"/>
  <c r="T120" i="7"/>
  <c r="E120" i="7"/>
  <c r="D120" i="11" s="1"/>
  <c r="E120" i="11" s="1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D125" i="11" s="1"/>
  <c r="E125" i="11" s="1"/>
  <c r="O125" i="7"/>
  <c r="O138" i="7"/>
  <c r="E138" i="7"/>
  <c r="D138" i="11" s="1"/>
  <c r="E138" i="11" s="1"/>
  <c r="Y138" i="7"/>
  <c r="T138" i="7"/>
  <c r="J138" i="7"/>
  <c r="O7" i="7"/>
  <c r="T7" i="7"/>
  <c r="J7" i="7"/>
  <c r="Y7" i="7"/>
  <c r="E7" i="7"/>
  <c r="D7" i="11" s="1"/>
  <c r="E7" i="11" s="1"/>
  <c r="E157" i="7"/>
  <c r="D157" i="11" s="1"/>
  <c r="E157" i="11" s="1"/>
  <c r="J157" i="7"/>
  <c r="T157" i="7"/>
  <c r="Y157" i="7"/>
  <c r="O157" i="7"/>
  <c r="T70" i="7"/>
  <c r="E70" i="7"/>
  <c r="D70" i="11" s="1"/>
  <c r="E70" i="11" s="1"/>
  <c r="O70" i="7"/>
  <c r="Y70" i="7"/>
  <c r="J70" i="7"/>
  <c r="T159" i="7"/>
  <c r="E159" i="7"/>
  <c r="D159" i="11" s="1"/>
  <c r="E159" i="11" s="1"/>
  <c r="Y159" i="7"/>
  <c r="O159" i="7"/>
  <c r="J159" i="7"/>
  <c r="F59" i="7"/>
  <c r="H59" i="7"/>
  <c r="G59" i="7"/>
  <c r="T156" i="7"/>
  <c r="E156" i="7"/>
  <c r="D156" i="11" s="1"/>
  <c r="E156" i="11" s="1"/>
  <c r="O156" i="7"/>
  <c r="Y156" i="7"/>
  <c r="J156" i="7"/>
  <c r="W32" i="7"/>
  <c r="V32" i="7"/>
  <c r="U32" i="7"/>
  <c r="M60" i="7"/>
  <c r="K60" i="7"/>
  <c r="L60" i="7"/>
  <c r="J37" i="7"/>
  <c r="O37" i="7"/>
  <c r="E37" i="7"/>
  <c r="D37" i="11" s="1"/>
  <c r="E37" i="11" s="1"/>
  <c r="T37" i="7"/>
  <c r="Y37" i="7"/>
  <c r="M84" i="7"/>
  <c r="L84" i="7"/>
  <c r="K84" i="7"/>
  <c r="O198" i="3"/>
  <c r="O200" i="3" s="1"/>
  <c r="Y20" i="7"/>
  <c r="E20" i="7"/>
  <c r="D20" i="11" s="1"/>
  <c r="E20" i="11" s="1"/>
  <c r="T20" i="7"/>
  <c r="O20" i="7"/>
  <c r="J20" i="7"/>
  <c r="Y124" i="7"/>
  <c r="J124" i="7"/>
  <c r="O124" i="7"/>
  <c r="E124" i="7"/>
  <c r="D124" i="11" s="1"/>
  <c r="E124" i="11" s="1"/>
  <c r="T108" i="7"/>
  <c r="E108" i="7"/>
  <c r="D108" i="11" s="1"/>
  <c r="E108" i="11" s="1"/>
  <c r="Y108" i="7"/>
  <c r="O108" i="7"/>
  <c r="J108" i="7"/>
  <c r="Y165" i="7"/>
  <c r="J165" i="7"/>
  <c r="E165" i="7"/>
  <c r="D165" i="11" s="1"/>
  <c r="E165" i="11" s="1"/>
  <c r="O165" i="7"/>
  <c r="T165" i="7"/>
  <c r="J45" i="7"/>
  <c r="Y45" i="7"/>
  <c r="T45" i="7"/>
  <c r="E45" i="7"/>
  <c r="D45" i="11" s="1"/>
  <c r="E45" i="11" s="1"/>
  <c r="E101" i="7"/>
  <c r="D101" i="11" s="1"/>
  <c r="E101" i="11" s="1"/>
  <c r="Y101" i="7"/>
  <c r="T101" i="7"/>
  <c r="J101" i="7"/>
  <c r="O101" i="7"/>
  <c r="O13" i="7"/>
  <c r="E13" i="7"/>
  <c r="D13" i="11" s="1"/>
  <c r="E13" i="11" s="1"/>
  <c r="T13" i="7"/>
  <c r="Y13" i="7"/>
  <c r="J13" i="7"/>
  <c r="Y50" i="7"/>
  <c r="J50" i="7"/>
  <c r="O50" i="7"/>
  <c r="E50" i="7"/>
  <c r="D50" i="11" s="1"/>
  <c r="E50" i="11" s="1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D168" i="11" s="1"/>
  <c r="E168" i="11" s="1"/>
  <c r="T168" i="7"/>
  <c r="O168" i="7"/>
  <c r="R16" i="7"/>
  <c r="Q16" i="7"/>
  <c r="P16" i="7"/>
  <c r="O56" i="7"/>
  <c r="T56" i="7"/>
  <c r="E56" i="7"/>
  <c r="D56" i="11" s="1"/>
  <c r="E56" i="11" s="1"/>
  <c r="Y56" i="7"/>
  <c r="J56" i="7"/>
  <c r="T133" i="7"/>
  <c r="E133" i="7"/>
  <c r="D133" i="11" s="1"/>
  <c r="E133" i="11" s="1"/>
  <c r="O133" i="7"/>
  <c r="J133" i="7"/>
  <c r="Y133" i="7"/>
  <c r="J170" i="7"/>
  <c r="Y170" i="7"/>
  <c r="O170" i="7"/>
  <c r="E170" i="7"/>
  <c r="D170" i="11" s="1"/>
  <c r="E170" i="11" s="1"/>
  <c r="T170" i="7"/>
  <c r="O66" i="7"/>
  <c r="Y66" i="7"/>
  <c r="T66" i="7"/>
  <c r="J66" i="7"/>
  <c r="E66" i="7"/>
  <c r="D66" i="11" s="1"/>
  <c r="E66" i="11" s="1"/>
  <c r="J3" i="7"/>
  <c r="O3" i="7"/>
  <c r="T3" i="7"/>
  <c r="E3" i="7"/>
  <c r="D3" i="11" s="1"/>
  <c r="E3" i="11" s="1"/>
  <c r="Y3" i="7"/>
  <c r="T35" i="7"/>
  <c r="O35" i="7"/>
  <c r="Y35" i="7"/>
  <c r="E35" i="7"/>
  <c r="D35" i="11" s="1"/>
  <c r="E35" i="11" s="1"/>
  <c r="J35" i="7"/>
  <c r="Y74" i="7"/>
  <c r="J74" i="7"/>
  <c r="T74" i="7"/>
  <c r="E74" i="7"/>
  <c r="D74" i="11" s="1"/>
  <c r="E74" i="11" s="1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D169" i="11" s="1"/>
  <c r="E169" i="11" s="1"/>
  <c r="Y169" i="7"/>
  <c r="J169" i="7"/>
  <c r="Y63" i="7"/>
  <c r="J63" i="7"/>
  <c r="E63" i="7"/>
  <c r="D63" i="11" s="1"/>
  <c r="E63" i="11" s="1"/>
  <c r="O63" i="7"/>
  <c r="T63" i="7"/>
  <c r="O78" i="7"/>
  <c r="Y78" i="7"/>
  <c r="J78" i="7"/>
  <c r="E78" i="7"/>
  <c r="D78" i="11" s="1"/>
  <c r="E78" i="11" s="1"/>
  <c r="T78" i="7"/>
  <c r="T86" i="7"/>
  <c r="O86" i="7"/>
  <c r="Y86" i="7"/>
  <c r="J86" i="7"/>
  <c r="E86" i="7"/>
  <c r="D86" i="11" s="1"/>
  <c r="E86" i="11" s="1"/>
  <c r="T38" i="7"/>
  <c r="E38" i="7"/>
  <c r="D38" i="11" s="1"/>
  <c r="E38" i="11" s="1"/>
  <c r="O38" i="7"/>
  <c r="Y38" i="7"/>
  <c r="J38" i="7"/>
  <c r="T146" i="7"/>
  <c r="E146" i="7"/>
  <c r="D146" i="11" s="1"/>
  <c r="E146" i="11" s="1"/>
  <c r="Y146" i="7"/>
  <c r="J146" i="7"/>
  <c r="O146" i="7"/>
  <c r="AM198" i="3"/>
  <c r="AB36" i="7"/>
  <c r="AA36" i="7"/>
  <c r="Z36" i="7"/>
  <c r="Y113" i="7"/>
  <c r="J113" i="7"/>
  <c r="O113" i="7"/>
  <c r="E113" i="7"/>
  <c r="D113" i="11" s="1"/>
  <c r="E113" i="11" s="1"/>
  <c r="T113" i="7"/>
  <c r="T171" i="7"/>
  <c r="E171" i="7"/>
  <c r="D171" i="11" s="1"/>
  <c r="E171" i="11" s="1"/>
  <c r="O171" i="7"/>
  <c r="J171" i="7"/>
  <c r="Y171" i="7"/>
  <c r="V12" i="7"/>
  <c r="U12" i="7"/>
  <c r="W12" i="7"/>
  <c r="E106" i="7"/>
  <c r="D106" i="11" s="1"/>
  <c r="E106" i="11" s="1"/>
  <c r="O106" i="7"/>
  <c r="Y106" i="7"/>
  <c r="T106" i="7"/>
  <c r="J106" i="7"/>
  <c r="O128" i="7"/>
  <c r="E128" i="7"/>
  <c r="D128" i="11" s="1"/>
  <c r="E128" i="11" s="1"/>
  <c r="Y128" i="7"/>
  <c r="T128" i="7"/>
  <c r="J128" i="7"/>
  <c r="E98" i="7"/>
  <c r="D98" i="11" s="1"/>
  <c r="E98" i="11" s="1"/>
  <c r="O98" i="7"/>
  <c r="J98" i="7"/>
  <c r="Y98" i="7"/>
  <c r="T98" i="7"/>
  <c r="T73" i="7"/>
  <c r="O73" i="7"/>
  <c r="J73" i="7"/>
  <c r="Y73" i="7"/>
  <c r="E73" i="7"/>
  <c r="D73" i="11" s="1"/>
  <c r="E73" i="11" s="1"/>
  <c r="E23" i="7"/>
  <c r="D23" i="11" s="1"/>
  <c r="E23" i="11" s="1"/>
  <c r="T23" i="7"/>
  <c r="Y23" i="7"/>
  <c r="J23" i="7"/>
  <c r="O23" i="7"/>
  <c r="O54" i="7"/>
  <c r="E54" i="7"/>
  <c r="D54" i="11" s="1"/>
  <c r="E54" i="11" s="1"/>
  <c r="Y54" i="7"/>
  <c r="T54" i="7"/>
  <c r="J54" i="7"/>
  <c r="O140" i="7"/>
  <c r="J140" i="7"/>
  <c r="E140" i="7"/>
  <c r="D140" i="11" s="1"/>
  <c r="E140" i="11" s="1"/>
  <c r="Y140" i="7"/>
  <c r="T140" i="7"/>
  <c r="Y112" i="7"/>
  <c r="J112" i="7"/>
  <c r="E112" i="7"/>
  <c r="D112" i="11" s="1"/>
  <c r="E112" i="11" s="1"/>
  <c r="T112" i="7"/>
  <c r="O112" i="7"/>
  <c r="Y163" i="7"/>
  <c r="J163" i="7"/>
  <c r="T163" i="7"/>
  <c r="O163" i="7"/>
  <c r="E163" i="7"/>
  <c r="D163" i="11" s="1"/>
  <c r="E163" i="11" s="1"/>
  <c r="H4" i="7"/>
  <c r="G4" i="7"/>
  <c r="F4" i="7"/>
  <c r="R10" i="7"/>
  <c r="Q10" i="7"/>
  <c r="P10" i="7"/>
  <c r="Y107" i="7"/>
  <c r="E107" i="7"/>
  <c r="D107" i="11" s="1"/>
  <c r="E107" i="11" s="1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D116" i="11" s="1"/>
  <c r="E116" i="11" s="1"/>
  <c r="R4" i="7"/>
  <c r="Q4" i="7"/>
  <c r="P4" i="7"/>
  <c r="J115" i="7"/>
  <c r="O115" i="7"/>
  <c r="E115" i="7"/>
  <c r="D115" i="11" s="1"/>
  <c r="E115" i="11" s="1"/>
  <c r="T115" i="7"/>
  <c r="Y115" i="7"/>
  <c r="J53" i="7"/>
  <c r="Y53" i="7"/>
  <c r="E53" i="7"/>
  <c r="D53" i="11" s="1"/>
  <c r="E53" i="11" s="1"/>
  <c r="T53" i="7"/>
  <c r="O53" i="7"/>
  <c r="J95" i="7"/>
  <c r="T95" i="7"/>
  <c r="O95" i="7"/>
  <c r="E95" i="7"/>
  <c r="D95" i="11" s="1"/>
  <c r="E95" i="11" s="1"/>
  <c r="Y95" i="7"/>
  <c r="BH196" i="3"/>
  <c r="BG202" i="3" s="1"/>
  <c r="E30" i="4" s="1"/>
  <c r="U59" i="7"/>
  <c r="W59" i="7"/>
  <c r="V59" i="7"/>
  <c r="Y29" i="7"/>
  <c r="E29" i="7"/>
  <c r="D29" i="11" s="1"/>
  <c r="E29" i="11" s="1"/>
  <c r="J29" i="7"/>
  <c r="O29" i="7"/>
  <c r="T29" i="7"/>
  <c r="T134" i="7"/>
  <c r="O134" i="7"/>
  <c r="Y134" i="7"/>
  <c r="J134" i="7"/>
  <c r="E134" i="7"/>
  <c r="D134" i="11" s="1"/>
  <c r="E134" i="11" s="1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D87" i="11" s="1"/>
  <c r="E87" i="11" s="1"/>
  <c r="Y162" i="7"/>
  <c r="E162" i="7"/>
  <c r="D162" i="11" s="1"/>
  <c r="E162" i="11" s="1"/>
  <c r="T162" i="7"/>
  <c r="J162" i="7"/>
  <c r="O162" i="7"/>
  <c r="U30" i="7"/>
  <c r="W30" i="7"/>
  <c r="V30" i="7"/>
  <c r="T26" i="7"/>
  <c r="E26" i="7"/>
  <c r="D26" i="11" s="1"/>
  <c r="E26" i="11" s="1"/>
  <c r="O26" i="7"/>
  <c r="Y26" i="7"/>
  <c r="J26" i="7"/>
  <c r="AB28" i="7"/>
  <c r="AA28" i="7"/>
  <c r="Z28" i="7"/>
  <c r="O79" i="7"/>
  <c r="T79" i="7"/>
  <c r="Y79" i="7"/>
  <c r="E79" i="7"/>
  <c r="D79" i="11" s="1"/>
  <c r="E79" i="11" s="1"/>
  <c r="J79" i="7"/>
  <c r="Y62" i="7"/>
  <c r="J62" i="7"/>
  <c r="T62" i="7"/>
  <c r="E62" i="7"/>
  <c r="D62" i="11" s="1"/>
  <c r="E62" i="11" s="1"/>
  <c r="O62" i="7"/>
  <c r="L52" i="7"/>
  <c r="M52" i="7"/>
  <c r="K52" i="7"/>
  <c r="O67" i="7"/>
  <c r="T67" i="7"/>
  <c r="J67" i="7"/>
  <c r="Y67" i="7"/>
  <c r="E67" i="7"/>
  <c r="D67" i="11" s="1"/>
  <c r="E67" i="11" s="1"/>
  <c r="T114" i="7"/>
  <c r="Y114" i="7"/>
  <c r="E114" i="7"/>
  <c r="D114" i="11" s="1"/>
  <c r="E114" i="11" s="1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D160" i="11" s="1"/>
  <c r="E160" i="11" s="1"/>
  <c r="Y136" i="7"/>
  <c r="J136" i="7"/>
  <c r="O136" i="7"/>
  <c r="E136" i="7"/>
  <c r="D136" i="11" s="1"/>
  <c r="E136" i="11" s="1"/>
  <c r="T136" i="7"/>
  <c r="Y88" i="7"/>
  <c r="J88" i="7"/>
  <c r="O88" i="7"/>
  <c r="T88" i="7"/>
  <c r="E88" i="7"/>
  <c r="D88" i="11" s="1"/>
  <c r="E88" i="11" s="1"/>
  <c r="AB8" i="7"/>
  <c r="AA8" i="7"/>
  <c r="Z8" i="7"/>
  <c r="O129" i="7"/>
  <c r="E129" i="7"/>
  <c r="D129" i="11" s="1"/>
  <c r="E129" i="11" s="1"/>
  <c r="J129" i="7"/>
  <c r="T129" i="7"/>
  <c r="Y129" i="7"/>
  <c r="T151" i="7"/>
  <c r="Y151" i="7"/>
  <c r="J151" i="7"/>
  <c r="E151" i="7"/>
  <c r="D151" i="11" s="1"/>
  <c r="E151" i="11" s="1"/>
  <c r="O151" i="7"/>
  <c r="J91" i="7"/>
  <c r="T91" i="7"/>
  <c r="O91" i="7"/>
  <c r="Y91" i="7"/>
  <c r="E91" i="7"/>
  <c r="D91" i="11" s="1"/>
  <c r="E91" i="11" s="1"/>
  <c r="J41" i="7"/>
  <c r="E41" i="7"/>
  <c r="D41" i="11" s="1"/>
  <c r="E41" i="11" s="1"/>
  <c r="T41" i="7"/>
  <c r="Y41" i="7"/>
  <c r="O41" i="7"/>
  <c r="Y122" i="7"/>
  <c r="E122" i="7"/>
  <c r="D122" i="11" s="1"/>
  <c r="E122" i="11" s="1"/>
  <c r="O122" i="7"/>
  <c r="J122" i="7"/>
  <c r="T6" i="7"/>
  <c r="E6" i="7"/>
  <c r="D6" i="11" s="1"/>
  <c r="E6" i="11" s="1"/>
  <c r="Y6" i="7"/>
  <c r="O6" i="7"/>
  <c r="J6" i="7"/>
  <c r="O142" i="7"/>
  <c r="T142" i="7"/>
  <c r="E142" i="7"/>
  <c r="D142" i="11" s="1"/>
  <c r="E142" i="11" s="1"/>
  <c r="Y142" i="7"/>
  <c r="J142" i="7"/>
  <c r="T51" i="7"/>
  <c r="O51" i="7"/>
  <c r="E51" i="7"/>
  <c r="D51" i="11" s="1"/>
  <c r="E51" i="11" s="1"/>
  <c r="J51" i="7"/>
  <c r="Y51" i="7"/>
  <c r="O34" i="7"/>
  <c r="J34" i="7"/>
  <c r="Y34" i="7"/>
  <c r="E34" i="7"/>
  <c r="D34" i="11" s="1"/>
  <c r="E34" i="11" s="1"/>
  <c r="T34" i="7"/>
  <c r="T82" i="7"/>
  <c r="E82" i="7"/>
  <c r="D82" i="11" s="1"/>
  <c r="E82" i="11" s="1"/>
  <c r="O82" i="7"/>
  <c r="J82" i="7"/>
  <c r="Y82" i="7"/>
  <c r="U9" i="7"/>
  <c r="V9" i="7"/>
  <c r="T85" i="7"/>
  <c r="O85" i="7"/>
  <c r="J85" i="7"/>
  <c r="E85" i="7"/>
  <c r="D85" i="11" s="1"/>
  <c r="E85" i="11" s="1"/>
  <c r="Y85" i="7"/>
  <c r="E83" i="7"/>
  <c r="D83" i="11" s="1"/>
  <c r="E83" i="11" s="1"/>
  <c r="Y83" i="7"/>
  <c r="T83" i="7"/>
  <c r="J83" i="7"/>
  <c r="O83" i="7"/>
  <c r="BD196" i="3"/>
  <c r="BE202" i="3" s="1"/>
  <c r="C30" i="4" s="1"/>
  <c r="Y126" i="7"/>
  <c r="E126" i="7"/>
  <c r="D126" i="11" s="1"/>
  <c r="E126" i="11" s="1"/>
  <c r="J126" i="7"/>
  <c r="O126" i="7"/>
  <c r="V198" i="3"/>
  <c r="V200" i="3" s="1"/>
  <c r="AC198" i="3"/>
  <c r="AC200" i="3" s="1"/>
  <c r="P40" i="7" l="1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I3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22" authorId="0" shapeId="0" xr:uid="{F5175706-7E15-42DF-8F33-EA0D671ACEF0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<sst xmlns="http://schemas.openxmlformats.org/spreadsheetml/2006/main" count="1371" uniqueCount="482">
  <si>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</si>
  <si>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</si>
  <si>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</si>
  <si>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</si>
  <si>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</si>
  <si>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</si>
  <si>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</si>
  <si>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</si>
  <si>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</si>
  <si>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</si>
  <si>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</si>
  <si>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</si>
  <si>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</si>
  <si>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</si>
  <si>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</si>
  <si>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</si>
  <si>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</si>
  <si>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</si>
  <si>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</si>
  <si>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</si>
  <si>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</si>
  <si>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</si>
  <si>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</si>
  <si>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</si>
  <si>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</si>
  <si>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</si>
  <si>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</si>
  <si>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</si>
  <si>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</si>
  <si>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</si>
  <si>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</si>
  <si>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</si>
  <si>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</si>
  <si>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</si>
  <si>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</si>
  <si>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</si>
  <si>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</si>
  <si>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</si>
  <si>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</si>
  <si>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</si>
  <si>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</si>
  <si>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</si>
  <si>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</si>
  <si>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</si>
  <si>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</si>
  <si>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</si>
  <si>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</si>
  <si>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</si>
  <si>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</si>
  <si>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</si>
  <si>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</si>
  <si>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</si>
  <si>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</si>
  <si>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</si>
  <si>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</si>
  <si>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</si>
  <si>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</si>
  <si>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</si>
  <si>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</si>
  <si>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</si>
  <si>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</si>
  <si>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</si>
  <si>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</si>
  <si>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</si>
  <si>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</si>
  <si>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</si>
  <si>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</si>
  <si>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</si>
  <si>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</si>
  <si>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</si>
  <si>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</si>
  <si>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</si>
  <si>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</si>
  <si>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</si>
  <si>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</si>
  <si>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</si>
  <si>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</si>
  <si>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</si>
  <si>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</si>
  <si>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</si>
  <si>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</si>
  <si>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</si>
  <si>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</si>
  <si>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</si>
  <si>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</si>
  <si>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</si>
  <si>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</si>
  <si>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</si>
  <si>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</si>
  <si>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</si>
  <si>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</si>
  <si>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</si>
  <si>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</si>
  <si>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</si>
  <si>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</si>
  <si>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</si>
  <si>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</si>
  <si>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</si>
  <si>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</si>
  <si>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</si>
  <si>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</si>
  <si>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</si>
  <si>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</si>
  <si>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</si>
  <si>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</si>
  <si>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</si>
  <si>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</si>
  <si>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</si>
  <si>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</si>
  <si>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</si>
  <si>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</si>
  <si>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</si>
  <si>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</si>
  <si>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</si>
  <si>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</si>
  <si>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</si>
  <si>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</si>
  <si>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</si>
  <si>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</si>
  <si>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</si>
  <si>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</si>
  <si>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</si>
  <si>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</si>
  <si>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</si>
  <si>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</si>
  <si>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</si>
  <si>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</si>
  <si>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</si>
  <si>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</si>
  <si>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</si>
  <si>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</si>
  <si>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</si>
  <si>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</si>
  <si>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</si>
  <si>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</si>
  <si>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</si>
  <si>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</si>
  <si>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</si>
  <si>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</si>
  <si>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</si>
  <si>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</si>
  <si>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</si>
  <si>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</si>
  <si>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</si>
  <si>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</si>
  <si>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</si>
  <si>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</si>
  <si>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</si>
  <si>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</si>
  <si>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</si>
  <si>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</si>
  <si>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</si>
  <si>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</si>
  <si>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</si>
  <si>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</si>
  <si>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</si>
  <si>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</si>
  <si>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</si>
  <si>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</si>
  <si>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</si>
  <si>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</si>
  <si>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</si>
  <si>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</si>
  <si>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</si>
  <si>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</si>
  <si>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</si>
  <si>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</si>
  <si>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</si>
  <si>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</si>
  <si>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</si>
  <si>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</si>
  <si>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</si>
  <si>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</si>
  <si>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</si>
  <si>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</si>
  <si>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</si>
  <si>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</si>
  <si>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</si>
  <si>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</si>
  <si>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</si>
  <si>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</si>
  <si>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</si>
  <si>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</si>
  <si>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</si>
  <si>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</si>
  <si>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</si>
  <si>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</si>
  <si>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</si>
  <si>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</si>
  <si>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</si>
  <si>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</si>
  <si>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</si>
  <si>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</si>
  <si>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</si>
  <si>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</si>
  <si>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</si>
  <si>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</si>
  <si>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</si>
  <si>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</si>
  <si>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</si>
  <si>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</si>
  <si>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</si>
  <si>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</si>
  <si>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</si>
  <si>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</si>
  <si>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</si>
  <si>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</si>
  <si>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</si>
  <si>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</si>
  <si>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</si>
  <si>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</si>
  <si>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</si>
  <si>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</si>
  <si>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</si>
  <si>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</si>
  <si>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</si>
  <si>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</si>
  <si>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</si>
  <si>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</si>
  <si>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</si>
  <si>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</si>
  <si>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</si>
  <si>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</si>
  <si>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</si>
  <si>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</si>
  <si>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</si>
  <si>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</si>
  <si>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</si>
  <si>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</si>
  <si>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</si>
  <si>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</si>
  <si>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</si>
  <si>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</si>
  <si>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</si>
  <si>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</si>
  <si>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</si>
  <si>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</si>
  <si>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</si>
  <si>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</si>
  <si>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</si>
  <si>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</si>
  <si>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</si>
  <si>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</si>
  <si>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</si>
  <si>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</si>
  <si>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</si>
  <si>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</si>
  <si>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</si>
  <si>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</si>
  <si>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</si>
  <si>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</si>
  <si>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</si>
  <si>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</si>
  <si>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</si>
  <si>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</si>
  <si>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</si>
  <si>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</si>
  <si>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</si>
  <si>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</si>
  <si>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</si>
  <si>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</si>
  <si>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</si>
  <si>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</si>
  <si>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</si>
  <si>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</si>
  <si>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</si>
  <si>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</si>
  <si>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</si>
  <si>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</si>
  <si>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</si>
  <si>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</si>
  <si>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</si>
  <si>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</si>
  <si>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</si>
  <si>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</si>
  <si>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</si>
  <si>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</si>
  <si>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</si>
  <si>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</si>
  <si>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</si>
  <si>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</si>
  <si>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</si>
  <si>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</si>
  <si>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</si>
  <si>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</si>
  <si>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</si>
  <si>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</si>
  <si>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</si>
  <si>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</si>
  <si>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</si>
  <si>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</si>
  <si>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</si>
  <si>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</si>
  <si>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</si>
  <si>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</si>
  <si>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</si>
  <si>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</si>
  <si>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</si>
  <si>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</si>
  <si>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</si>
  <si>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</si>
  <si>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</si>
  <si>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</si>
  <si>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</si>
  <si>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</si>
  <si>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</si>
  <si>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</si>
  <si>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</si>
  <si>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</si>
  <si>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</si>
  <si>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</si>
  <si>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</si>
  <si>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</si>
  <si>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</si>
  <si>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</si>
  <si>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</si>
  <si>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</si>
  <si>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</si>
  <si>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</si>
  <si>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</si>
  <si>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</si>
  <si>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</si>
  <si>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</si>
  <si>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</si>
  <si>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</si>
  <si>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</si>
  <si>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</si>
  <si>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</si>
  <si>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</si>
  <si>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</si>
  <si>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</si>
  <si>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</si>
  <si>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</si>
  <si>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</si>
  <si>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</si>
  <si>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</si>
  <si>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</si>
  <si>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</si>
  <si>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</si>
  <si>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</si>
  <si>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</si>
  <si>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</si>
  <si>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</si>
  <si>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</si>
  <si>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</si>
  <si>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</si>
  <si>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</si>
  <si>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</si>
  <si>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</si>
  <si>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</si>
  <si>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</si>
  <si>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</si>
  <si>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</si>
  <si>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</si>
  <si>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</si>
  <si>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</si>
  <si>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</si>
  <si>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</si>
  <si>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</si>
  <si>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</si>
  <si>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</si>
  <si>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</si>
  <si>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</si>
  <si>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</si>
  <si>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</si>
  <si>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</si>
  <si>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</si>
  <si>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</si>
  <si>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</si>
  <si>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</si>
  <si>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</si>
  <si>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</si>
  <si>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</si>
  <si>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</si>
  <si>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</si>
  <si>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</si>
  <si>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</si>
  <si>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</si>
  <si>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</si>
  <si>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</si>
  <si>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</si>
  <si>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</si>
  <si>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</si>
  <si>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</si>
  <si>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</si>
  <si>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</si>
  <si>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</si>
  <si>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</si>
  <si>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</si>
  <si>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</si>
  <si>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</si>
  <si>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</si>
  <si>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</si>
  <si>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</si>
  <si>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</si>
  <si>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</si>
  <si>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</si>
  <si>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</si>
  <si>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</si>
  <si>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</si>
  <si>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</si>
  <si>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</si>
  <si>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</si>
  <si>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</si>
  <si>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</si>
  <si>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</si>
  <si>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</si>
  <si>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</si>
  <si>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</si>
  <si>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</si>
  <si>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</si>
  <si>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</si>
  <si>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</si>
  <si>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</si>
  <si>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</si>
  <si>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</si>
  <si>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</si>
  <si>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</si>
  <si>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</si>
  <si>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</si>
  <si>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</si>
  <si>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</si>
  <si>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</si>
  <si>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</si>
  <si>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</si>
  <si>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</si>
  <si>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</si>
  <si>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</si>
  <si>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</si>
  <si>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</si>
  <si>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</si>
  <si>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</si>
  <si>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</si>
  <si>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</si>
  <si>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</si>
  <si>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</si>
  <si>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</si>
  <si>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</si>
  <si>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</si>
  <si>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</si>
  <si>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</si>
  <si>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</si>
  <si>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</si>
  <si>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</si>
  <si>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</si>
  <si>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</si>
  <si>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</si>
  <si>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</si>
  <si>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</si>
  <si>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</si>
  <si>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</si>
  <si>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</si>
  <si>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</si>
  <si>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</si>
  <si>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</si>
  <si>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</si>
  <si>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</si>
  <si>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IT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</si>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</sst>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0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0" borderId="37" xfId="0" applyFont="1" applyBorder="1"/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169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699</c:v>
                </c:pt>
                <c:pt idx="1">
                  <c:v>67</c:v>
                </c:pt>
                <c:pt idx="2">
                  <c:v>0</c:v>
                </c:pt>
                <c:pt idx="3">
                  <c:v>155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169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699</c:v>
                </c:pt>
                <c:pt idx="1">
                  <c:v>67</c:v>
                </c:pt>
                <c:pt idx="2">
                  <c:v>0</c:v>
                </c:pt>
                <c:pt idx="3">
                  <c:v>155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262</c:v>
                </c:pt>
                <c:pt idx="1">
                  <c:v>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262</c:v>
                </c:pt>
                <c:pt idx="1">
                  <c:v>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3"/>
      <c r="B2" s="104"/>
      <c r="C2" s="107"/>
      <c r="D2" s="107"/>
      <c r="E2" s="107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8"/>
    </row>
    <row r="3" spans="1:19" x14ac:dyDescent="0.35">
      <c r="A3" s="105"/>
      <c r="B3" s="106"/>
      <c r="C3" s="109"/>
      <c r="D3" s="109"/>
      <c r="E3" s="109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10"/>
    </row>
    <row r="4" spans="1:19" x14ac:dyDescent="0.35">
      <c r="A4" s="103"/>
      <c r="B4" s="104"/>
      <c r="C4" s="107"/>
      <c r="D4" s="107"/>
      <c r="E4" s="107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8"/>
    </row>
    <row r="12" spans="1:19" x14ac:dyDescent="0.35">
      <c r="C12" s="113"/>
      <c r="D12" s="113"/>
      <c r="E12" s="113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23"/>
  <sheetViews>
    <sheetView topLeftCell="H1" workbookViewId="0">
      <pane ySplit="1" topLeftCell="A105" activePane="bottomLeft" state="frozen"/>
      <selection pane="bottomLeft" activeCell="S123" sqref="S123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203"/>
    <col min="13" max="13" width="25.1796875" customWidth="1"/>
    <col min="14" max="14" width="13.90625" style="151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5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2" t="s">
        <v>40</v>
      </c>
      <c r="D1" s="102" t="s">
        <v>41</v>
      </c>
      <c r="E1" s="102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199" t="s">
        <v>9</v>
      </c>
      <c r="K1" s="3" t="s">
        <v>45</v>
      </c>
      <c r="L1" s="3" t="s">
        <v>46</v>
      </c>
      <c r="M1" s="3" t="s">
        <v>47</v>
      </c>
      <c r="N1" s="175" t="s">
        <v>48</v>
      </c>
      <c r="O1" s="3" t="s">
        <v>49</v>
      </c>
      <c r="P1" s="3" t="s">
        <v>32</v>
      </c>
      <c r="Q1" s="3" t="s">
        <v>50</v>
      </c>
      <c r="R1" s="125" t="s">
        <v>51</v>
      </c>
      <c r="S1" s="3" t="s">
        <v>18</v>
      </c>
      <c r="T1" s="3" t="s">
        <v>52</v>
      </c>
    </row>
    <row r="2" spans="1:21" x14ac:dyDescent="0.35">
      <c r="A2" s="139">
        <v>1</v>
      </c>
      <c r="B2" s="104" t="s">
        <v>162</v>
      </c>
      <c r="C2" s="107">
        <v>46222</v>
      </c>
      <c r="D2" s="107">
        <v>46228</v>
      </c>
      <c r="E2" s="107">
        <v>45868</v>
      </c>
      <c r="F2" s="104" t="s">
        <v>53</v>
      </c>
      <c r="G2" s="104" t="s">
        <v>6</v>
      </c>
      <c r="H2" s="104"/>
      <c r="I2" s="126"/>
      <c r="J2" s="200">
        <v>0.05</v>
      </c>
      <c r="K2" s="104">
        <v>1</v>
      </c>
      <c r="L2" s="104">
        <v>2</v>
      </c>
      <c r="M2" s="148" t="s">
        <v>163</v>
      </c>
      <c r="N2" s="176"/>
      <c r="O2" s="126" t="s">
        <v>164</v>
      </c>
      <c r="P2" s="126"/>
      <c r="Q2" s="126" t="s">
        <v>21</v>
      </c>
      <c r="R2" s="158">
        <v>7267.5</v>
      </c>
      <c r="S2" s="152" t="s">
        <v>20</v>
      </c>
      <c r="T2" t="s">
        <v>165</v>
      </c>
    </row>
    <row r="3" spans="1:21" x14ac:dyDescent="0.35">
      <c r="A3" s="140">
        <v>2</v>
      </c>
      <c r="B3" s="106" t="s">
        <v>166</v>
      </c>
      <c r="C3" s="109">
        <v>46172</v>
      </c>
      <c r="D3" s="109">
        <v>46180</v>
      </c>
      <c r="E3" s="109">
        <v>45889</v>
      </c>
      <c r="F3" s="106" t="s">
        <v>53</v>
      </c>
      <c r="G3" s="106" t="s">
        <v>265</v>
      </c>
      <c r="H3" s="106"/>
      <c r="I3" s="127"/>
      <c r="J3" s="201"/>
      <c r="K3" s="106"/>
      <c r="L3" s="106"/>
      <c r="M3" s="149"/>
      <c r="N3" s="177"/>
      <c r="O3" s="127"/>
      <c r="P3" s="127"/>
      <c r="Q3" s="127"/>
      <c r="R3" s="158"/>
      <c r="S3" s="153"/>
    </row>
    <row r="4" spans="1:21" x14ac:dyDescent="0.35">
      <c r="A4" s="139">
        <v>3</v>
      </c>
      <c r="B4" s="104" t="s">
        <v>166</v>
      </c>
      <c r="C4" s="107">
        <v>46283</v>
      </c>
      <c r="D4" s="107">
        <v>46285</v>
      </c>
      <c r="E4" s="107">
        <v>45889</v>
      </c>
      <c r="F4" s="104" t="s">
        <v>53</v>
      </c>
      <c r="G4" s="104" t="s">
        <v>6</v>
      </c>
      <c r="H4" s="104"/>
      <c r="I4" s="126"/>
      <c r="J4" s="200">
        <v>0.1</v>
      </c>
      <c r="K4" s="104">
        <v>1</v>
      </c>
      <c r="L4" s="104">
        <v>2</v>
      </c>
      <c r="M4" s="148" t="s">
        <v>167</v>
      </c>
      <c r="N4" s="176"/>
      <c r="O4" s="126" t="s">
        <v>168</v>
      </c>
      <c r="P4" s="126"/>
      <c r="Q4" s="126" t="s">
        <v>21</v>
      </c>
      <c r="R4" s="158">
        <v>2070</v>
      </c>
      <c r="S4" s="152" t="s">
        <v>20</v>
      </c>
      <c r="T4" s="124"/>
    </row>
    <row r="5" spans="1:21" x14ac:dyDescent="0.35">
      <c r="A5" s="140">
        <v>4</v>
      </c>
      <c r="B5" s="106" t="s">
        <v>169</v>
      </c>
      <c r="C5" s="109">
        <v>46246</v>
      </c>
      <c r="D5" s="109">
        <v>46250</v>
      </c>
      <c r="E5" s="109">
        <v>45891</v>
      </c>
      <c r="F5" s="106" t="s">
        <v>53</v>
      </c>
      <c r="G5" s="106" t="s">
        <v>6</v>
      </c>
      <c r="H5" s="106"/>
      <c r="I5" s="127"/>
      <c r="J5" s="201">
        <v>0.1</v>
      </c>
      <c r="K5" s="106">
        <v>2</v>
      </c>
      <c r="L5" s="106">
        <v>4</v>
      </c>
      <c r="M5" s="149" t="s">
        <v>171</v>
      </c>
      <c r="N5" s="178">
        <v>4530267986</v>
      </c>
      <c r="O5" s="127" t="s">
        <v>172</v>
      </c>
      <c r="P5" s="127"/>
      <c r="Q5" s="127" t="s">
        <v>21</v>
      </c>
      <c r="R5" s="158">
        <v>9180</v>
      </c>
      <c r="S5" s="153" t="s">
        <v>21</v>
      </c>
      <c r="T5" t="s">
        <v>170</v>
      </c>
    </row>
    <row r="6" spans="1:21" x14ac:dyDescent="0.35">
      <c r="A6" s="139">
        <v>5</v>
      </c>
      <c r="B6" s="104" t="s">
        <v>173</v>
      </c>
      <c r="C6" s="107">
        <v>46169</v>
      </c>
      <c r="D6" s="107">
        <v>46174</v>
      </c>
      <c r="E6" s="107">
        <v>45903</v>
      </c>
      <c r="F6" s="104" t="s">
        <v>53</v>
      </c>
      <c r="G6" s="104" t="s">
        <v>6</v>
      </c>
      <c r="H6" s="104">
        <v>1430</v>
      </c>
      <c r="I6" s="126" t="s">
        <v>156</v>
      </c>
      <c r="J6" s="200">
        <v>0.1</v>
      </c>
      <c r="K6" s="104">
        <v>1</v>
      </c>
      <c r="L6" s="104">
        <v>2</v>
      </c>
      <c r="M6" s="148" t="s">
        <v>174</v>
      </c>
      <c r="N6" s="176"/>
      <c r="O6" s="126"/>
      <c r="P6" s="126"/>
      <c r="Q6" s="126" t="s">
        <v>21</v>
      </c>
      <c r="R6" s="158">
        <v>5175</v>
      </c>
      <c r="S6" s="152" t="s">
        <v>20</v>
      </c>
    </row>
    <row r="7" spans="1:21" x14ac:dyDescent="0.35">
      <c r="A7" s="139">
        <v>6</v>
      </c>
      <c r="B7" s="119" t="s">
        <v>175</v>
      </c>
      <c r="C7" s="122">
        <v>46178</v>
      </c>
      <c r="D7" s="122">
        <v>46180</v>
      </c>
      <c r="E7" s="122">
        <v>45910</v>
      </c>
      <c r="F7" s="119" t="s">
        <v>53</v>
      </c>
      <c r="G7" s="2" t="s">
        <v>6</v>
      </c>
      <c r="H7" s="2"/>
      <c r="J7" s="202">
        <v>0.1</v>
      </c>
      <c r="K7" s="121">
        <v>2</v>
      </c>
      <c r="L7" s="121">
        <v>4</v>
      </c>
      <c r="M7" s="123" t="s">
        <v>176</v>
      </c>
      <c r="Q7" s="2" t="s">
        <v>21</v>
      </c>
      <c r="R7" s="125">
        <v>4140</v>
      </c>
      <c r="S7" s="2" t="s">
        <v>38</v>
      </c>
      <c r="T7" t="s">
        <v>177</v>
      </c>
    </row>
    <row r="8" spans="1:21" x14ac:dyDescent="0.35">
      <c r="A8" s="140">
        <v>7</v>
      </c>
      <c r="B8" s="119" t="s">
        <v>178</v>
      </c>
      <c r="C8" s="122">
        <v>46207</v>
      </c>
      <c r="D8" s="122">
        <v>46214</v>
      </c>
      <c r="E8" s="122">
        <v>45927</v>
      </c>
      <c r="F8" s="119" t="s">
        <v>53</v>
      </c>
      <c r="G8" s="2" t="s">
        <v>6</v>
      </c>
      <c r="H8" s="2"/>
      <c r="J8" s="202">
        <v>0.1</v>
      </c>
      <c r="K8" s="121">
        <v>1</v>
      </c>
      <c r="L8" s="121">
        <v>2</v>
      </c>
      <c r="M8" s="123" t="s">
        <v>179</v>
      </c>
      <c r="N8" s="178">
        <v>4522701312</v>
      </c>
      <c r="O8" s="2" t="s">
        <v>180</v>
      </c>
      <c r="Q8" s="2" t="s">
        <v>20</v>
      </c>
      <c r="R8" s="158">
        <v>6772.5</v>
      </c>
      <c r="S8" s="2" t="s">
        <v>21</v>
      </c>
    </row>
    <row r="9" spans="1:21" x14ac:dyDescent="0.35">
      <c r="A9" s="139">
        <v>8</v>
      </c>
      <c r="B9" s="119" t="s">
        <v>181</v>
      </c>
      <c r="C9" s="122">
        <v>46158</v>
      </c>
      <c r="D9" s="122">
        <v>46163</v>
      </c>
      <c r="E9" s="122">
        <v>45953</v>
      </c>
      <c r="F9" s="119" t="s">
        <v>31</v>
      </c>
      <c r="G9" s="2" t="s">
        <v>6</v>
      </c>
      <c r="H9" s="2"/>
      <c r="J9" s="202">
        <v>0.1</v>
      </c>
      <c r="K9" s="121">
        <v>1</v>
      </c>
      <c r="L9" s="121">
        <v>2</v>
      </c>
      <c r="M9" s="123" t="s">
        <v>182</v>
      </c>
      <c r="N9" s="178">
        <v>4917643882286</v>
      </c>
      <c r="O9" s="2" t="s">
        <v>183</v>
      </c>
      <c r="Q9" s="2" t="s">
        <v>21</v>
      </c>
      <c r="R9" s="125">
        <v>4275</v>
      </c>
      <c r="S9" s="2" t="s">
        <v>21</v>
      </c>
      <c r="T9" s="119" t="s">
        <v>184</v>
      </c>
    </row>
    <row r="10" spans="1:21" x14ac:dyDescent="0.35">
      <c r="A10" s="139">
        <v>9</v>
      </c>
      <c r="B10" s="119" t="s">
        <v>185</v>
      </c>
      <c r="C10" s="122">
        <v>46159</v>
      </c>
      <c r="D10" s="122">
        <v>46166</v>
      </c>
      <c r="E10" s="122">
        <v>45954</v>
      </c>
      <c r="F10" s="119" t="s">
        <v>53</v>
      </c>
      <c r="G10" s="2" t="s">
        <v>6</v>
      </c>
      <c r="H10" s="2">
        <v>1430</v>
      </c>
      <c r="I10" s="2" t="s">
        <v>156</v>
      </c>
      <c r="J10" s="202">
        <v>0.1</v>
      </c>
      <c r="K10" s="121">
        <v>1</v>
      </c>
      <c r="L10" s="121">
        <v>2</v>
      </c>
      <c r="M10" s="123" t="s">
        <v>186</v>
      </c>
      <c r="O10" s="2" t="s">
        <v>187</v>
      </c>
      <c r="Q10" s="2" t="s">
        <v>21</v>
      </c>
      <c r="R10" s="158">
        <v>7245</v>
      </c>
      <c r="S10" s="2" t="s">
        <v>21</v>
      </c>
    </row>
    <row r="11" spans="1:21" x14ac:dyDescent="0.35">
      <c r="A11" s="140">
        <v>10</v>
      </c>
      <c r="B11" s="119" t="s">
        <v>188</v>
      </c>
      <c r="C11" s="122">
        <v>46225</v>
      </c>
      <c r="D11" s="122">
        <v>46228</v>
      </c>
      <c r="E11" s="122">
        <v>45932</v>
      </c>
      <c r="F11" s="119" t="s">
        <v>53</v>
      </c>
      <c r="G11" s="2" t="s">
        <v>6</v>
      </c>
      <c r="H11" s="2"/>
      <c r="J11" s="202">
        <v>0.1</v>
      </c>
      <c r="K11" s="121">
        <v>1</v>
      </c>
      <c r="L11" s="121">
        <v>2</v>
      </c>
      <c r="M11" s="120" t="s">
        <v>189</v>
      </c>
      <c r="N11" s="151">
        <v>4561557600</v>
      </c>
      <c r="Q11" s="2" t="s">
        <v>21</v>
      </c>
      <c r="R11" s="125">
        <v>3442</v>
      </c>
      <c r="S11" s="2" t="s">
        <v>21</v>
      </c>
      <c r="T11" t="s">
        <v>190</v>
      </c>
    </row>
    <row r="12" spans="1:21" x14ac:dyDescent="0.35">
      <c r="A12" s="139">
        <v>11</v>
      </c>
      <c r="B12" s="119" t="s">
        <v>191</v>
      </c>
      <c r="C12" s="24">
        <v>46237</v>
      </c>
      <c r="D12" s="24">
        <v>46242</v>
      </c>
      <c r="E12" s="24">
        <v>45932</v>
      </c>
      <c r="F12" s="119" t="s">
        <v>31</v>
      </c>
      <c r="G12" s="2" t="s">
        <v>6</v>
      </c>
      <c r="H12" s="2"/>
      <c r="J12" s="202">
        <v>0.1</v>
      </c>
      <c r="K12" s="121">
        <v>1</v>
      </c>
      <c r="L12" s="121">
        <v>2</v>
      </c>
      <c r="M12" s="123" t="s">
        <v>193</v>
      </c>
      <c r="Q12" s="2" t="s">
        <v>21</v>
      </c>
      <c r="R12" s="125">
        <v>5737.5</v>
      </c>
      <c r="S12" s="2" t="s">
        <v>20</v>
      </c>
      <c r="T12" t="s">
        <v>192</v>
      </c>
    </row>
    <row r="13" spans="1:21" x14ac:dyDescent="0.35">
      <c r="A13" s="139">
        <v>12</v>
      </c>
      <c r="B13" s="119" t="s">
        <v>194</v>
      </c>
      <c r="C13" s="122">
        <v>46175</v>
      </c>
      <c r="D13" s="122">
        <v>46179</v>
      </c>
      <c r="E13" s="122">
        <v>45977</v>
      </c>
      <c r="F13" s="119" t="s">
        <v>53</v>
      </c>
      <c r="G13" s="2" t="s">
        <v>6</v>
      </c>
      <c r="H13" s="2"/>
      <c r="I13" s="2" t="s">
        <v>159</v>
      </c>
      <c r="J13" s="202">
        <v>0.1</v>
      </c>
      <c r="K13" s="121">
        <v>1</v>
      </c>
      <c r="L13" s="121">
        <v>2</v>
      </c>
      <c r="M13" s="123" t="s">
        <v>195</v>
      </c>
      <c r="N13" s="179">
        <v>4540552384</v>
      </c>
      <c r="O13" s="2" t="s">
        <v>196</v>
      </c>
      <c r="Q13" s="2" t="s">
        <v>21</v>
      </c>
      <c r="R13" s="125">
        <v>4140</v>
      </c>
      <c r="S13" s="2" t="s">
        <v>21</v>
      </c>
      <c r="T13" t="s">
        <v>197</v>
      </c>
    </row>
    <row r="14" spans="1:21" x14ac:dyDescent="0.35">
      <c r="A14" s="140">
        <v>13</v>
      </c>
      <c r="B14" s="119" t="s">
        <v>198</v>
      </c>
      <c r="C14" s="24">
        <v>46211</v>
      </c>
      <c r="D14" s="24">
        <v>46218</v>
      </c>
      <c r="E14" s="24">
        <v>45998</v>
      </c>
      <c r="F14" s="119" t="s">
        <v>53</v>
      </c>
      <c r="G14" s="2" t="s">
        <v>6</v>
      </c>
      <c r="J14" s="202">
        <v>0.1</v>
      </c>
      <c r="K14" s="121">
        <v>1</v>
      </c>
      <c r="L14" s="121">
        <v>2</v>
      </c>
      <c r="M14" s="116" t="s">
        <v>199</v>
      </c>
      <c r="N14" s="179">
        <v>4525582842</v>
      </c>
      <c r="O14" s="2" t="s">
        <v>201</v>
      </c>
      <c r="Q14" s="2" t="s">
        <v>21</v>
      </c>
      <c r="R14" s="125">
        <v>8032.5</v>
      </c>
      <c r="S14" s="2" t="s">
        <v>38</v>
      </c>
      <c r="T14" t="s">
        <v>200</v>
      </c>
    </row>
    <row r="15" spans="1:21" x14ac:dyDescent="0.35">
      <c r="A15" s="139">
        <v>14</v>
      </c>
      <c r="B15" s="119" t="s">
        <v>202</v>
      </c>
      <c r="C15" s="24">
        <v>46206</v>
      </c>
      <c r="D15" s="24">
        <v>46213</v>
      </c>
      <c r="E15" s="24">
        <v>46001</v>
      </c>
      <c r="F15" s="119" t="s">
        <v>53</v>
      </c>
      <c r="G15" s="2" t="s">
        <v>6</v>
      </c>
      <c r="J15" s="202">
        <v>0.1</v>
      </c>
      <c r="K15" s="121">
        <v>1</v>
      </c>
      <c r="L15" s="121">
        <v>2</v>
      </c>
      <c r="M15" s="150" t="s">
        <v>205</v>
      </c>
      <c r="N15" s="179">
        <v>4591191885</v>
      </c>
      <c r="O15" s="2" t="s">
        <v>203</v>
      </c>
      <c r="Q15" s="2" t="s">
        <v>21</v>
      </c>
      <c r="R15" s="125">
        <v>9180</v>
      </c>
      <c r="S15" s="2" t="s">
        <v>38</v>
      </c>
      <c r="T15" s="119" t="s">
        <v>204</v>
      </c>
    </row>
    <row r="16" spans="1:21" x14ac:dyDescent="0.35">
      <c r="A16" s="139">
        <v>15</v>
      </c>
      <c r="B16" s="119" t="s">
        <v>206</v>
      </c>
      <c r="C16" s="24">
        <v>46181</v>
      </c>
      <c r="D16" s="24">
        <v>46188</v>
      </c>
      <c r="E16" s="24">
        <v>45866</v>
      </c>
      <c r="F16" s="119" t="s">
        <v>53</v>
      </c>
      <c r="G16" s="2" t="s">
        <v>56</v>
      </c>
      <c r="K16" s="121">
        <v>1</v>
      </c>
      <c r="L16" s="121">
        <v>2</v>
      </c>
      <c r="M16" s="116" t="s">
        <v>207</v>
      </c>
      <c r="N16" s="151">
        <v>4531534745</v>
      </c>
      <c r="O16" s="2" t="s">
        <v>208</v>
      </c>
      <c r="Q16" s="2" t="s">
        <v>21</v>
      </c>
      <c r="R16" s="125">
        <v>8925</v>
      </c>
      <c r="S16" s="2" t="s">
        <v>38</v>
      </c>
      <c r="T16" t="s">
        <v>209</v>
      </c>
      <c r="U16" s="184">
        <f>R16*0.5</f>
        <v>4462.5</v>
      </c>
    </row>
    <row r="17" spans="1:21" x14ac:dyDescent="0.35">
      <c r="A17" s="140">
        <v>16</v>
      </c>
      <c r="B17" s="119" t="s">
        <v>220</v>
      </c>
      <c r="C17" s="24">
        <v>46182</v>
      </c>
      <c r="D17" s="24">
        <v>46188</v>
      </c>
      <c r="E17" s="24">
        <v>45832</v>
      </c>
      <c r="F17" s="119" t="s">
        <v>53</v>
      </c>
      <c r="G17" s="2" t="s">
        <v>56</v>
      </c>
      <c r="H17" s="1" t="s">
        <v>439</v>
      </c>
      <c r="K17" s="121">
        <v>2</v>
      </c>
      <c r="L17" s="121">
        <v>4</v>
      </c>
      <c r="M17" s="116" t="s">
        <v>221</v>
      </c>
      <c r="N17" s="179">
        <v>4530604703</v>
      </c>
      <c r="Q17" s="2" t="s">
        <v>21</v>
      </c>
      <c r="R17" s="125">
        <v>17850</v>
      </c>
      <c r="S17" s="2" t="s">
        <v>38</v>
      </c>
      <c r="T17" t="s">
        <v>222</v>
      </c>
      <c r="U17" s="185">
        <f t="shared" ref="U17:U19" si="0">R17*0.5</f>
        <v>8925</v>
      </c>
    </row>
    <row r="18" spans="1:21" x14ac:dyDescent="0.35">
      <c r="A18" s="139">
        <v>17</v>
      </c>
      <c r="B18" s="119" t="s">
        <v>214</v>
      </c>
      <c r="C18" s="24">
        <v>46181</v>
      </c>
      <c r="D18" s="24">
        <v>46188</v>
      </c>
      <c r="E18" s="24">
        <v>45824</v>
      </c>
      <c r="F18" s="119" t="s">
        <v>53</v>
      </c>
      <c r="G18" s="2" t="s">
        <v>56</v>
      </c>
      <c r="K18" s="121">
        <v>1</v>
      </c>
      <c r="L18" s="121">
        <v>2</v>
      </c>
      <c r="M18" s="116" t="s">
        <v>217</v>
      </c>
      <c r="N18" s="179">
        <v>4524669843</v>
      </c>
      <c r="O18" s="2" t="s">
        <v>218</v>
      </c>
      <c r="Q18" s="2" t="s">
        <v>21</v>
      </c>
      <c r="R18" s="125">
        <v>8925</v>
      </c>
      <c r="S18" s="2" t="s">
        <v>38</v>
      </c>
      <c r="T18" t="s">
        <v>219</v>
      </c>
      <c r="U18" s="185">
        <f t="shared" si="0"/>
        <v>4462.5</v>
      </c>
    </row>
    <row r="19" spans="1:21" x14ac:dyDescent="0.35">
      <c r="A19" s="139">
        <v>18</v>
      </c>
      <c r="B19" s="119" t="s">
        <v>212</v>
      </c>
      <c r="C19" s="24">
        <v>46182</v>
      </c>
      <c r="D19" s="24">
        <v>46187</v>
      </c>
      <c r="E19" s="24">
        <v>45834</v>
      </c>
      <c r="F19" s="119" t="s">
        <v>53</v>
      </c>
      <c r="G19" s="2" t="s">
        <v>56</v>
      </c>
      <c r="K19" s="121">
        <v>1</v>
      </c>
      <c r="L19" s="121">
        <v>2</v>
      </c>
      <c r="M19" s="150" t="s">
        <v>213</v>
      </c>
      <c r="N19" s="179">
        <v>4531909358</v>
      </c>
      <c r="O19" s="2" t="s">
        <v>216</v>
      </c>
      <c r="Q19" s="2" t="s">
        <v>21</v>
      </c>
      <c r="R19" s="125">
        <v>6375</v>
      </c>
      <c r="S19" s="2" t="s">
        <v>38</v>
      </c>
      <c r="T19" t="s">
        <v>215</v>
      </c>
      <c r="U19" s="185">
        <f t="shared" si="0"/>
        <v>3187.5</v>
      </c>
    </row>
    <row r="20" spans="1:21" x14ac:dyDescent="0.35">
      <c r="A20" s="140">
        <v>19</v>
      </c>
      <c r="B20" t="s">
        <v>210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159</v>
      </c>
      <c r="J20" s="203">
        <v>0.1</v>
      </c>
      <c r="K20">
        <v>1</v>
      </c>
      <c r="L20">
        <v>1</v>
      </c>
      <c r="M20" s="116" t="s">
        <v>211</v>
      </c>
      <c r="N20" s="179">
        <v>4541515960</v>
      </c>
      <c r="P20" s="2" t="s">
        <v>21</v>
      </c>
      <c r="Q20" s="2" t="s">
        <v>21</v>
      </c>
      <c r="R20" s="125">
        <v>14805</v>
      </c>
      <c r="S20" s="2" t="s">
        <v>38</v>
      </c>
      <c r="T20" s="2" t="s">
        <v>200</v>
      </c>
    </row>
    <row r="21" spans="1:21" x14ac:dyDescent="0.35">
      <c r="A21" s="139">
        <v>20</v>
      </c>
      <c r="B21" s="119" t="s">
        <v>240</v>
      </c>
      <c r="C21" s="24">
        <v>46163</v>
      </c>
      <c r="D21" s="24">
        <v>46167</v>
      </c>
      <c r="E21" s="24">
        <v>46008</v>
      </c>
      <c r="F21" s="119" t="s">
        <v>53</v>
      </c>
      <c r="G21" s="2" t="s">
        <v>6</v>
      </c>
      <c r="K21" s="121">
        <v>3</v>
      </c>
      <c r="L21" s="121">
        <v>6</v>
      </c>
      <c r="M21" s="116" t="s">
        <v>241</v>
      </c>
      <c r="Q21" s="2" t="s">
        <v>21</v>
      </c>
      <c r="R21" s="158">
        <v>12420</v>
      </c>
      <c r="S21" s="2" t="s">
        <v>38</v>
      </c>
      <c r="T21" t="s">
        <v>242</v>
      </c>
    </row>
    <row r="22" spans="1:21" x14ac:dyDescent="0.35">
      <c r="A22" s="139">
        <v>21</v>
      </c>
      <c r="B22" s="119" t="s">
        <v>262</v>
      </c>
      <c r="C22" s="24">
        <v>46251</v>
      </c>
      <c r="D22" s="24">
        <v>46256</v>
      </c>
      <c r="E22" s="24">
        <v>46009</v>
      </c>
      <c r="F22" s="119" t="s">
        <v>54</v>
      </c>
      <c r="G22" s="2" t="s">
        <v>6</v>
      </c>
      <c r="J22" s="203">
        <v>0.1</v>
      </c>
      <c r="K22" s="121">
        <v>1</v>
      </c>
      <c r="L22" s="121">
        <v>2</v>
      </c>
      <c r="M22" s="116" t="s">
        <v>238</v>
      </c>
      <c r="N22" s="179">
        <v>46705125490</v>
      </c>
      <c r="O22" s="2" t="s">
        <v>237</v>
      </c>
      <c r="Q22" s="2" t="s">
        <v>21</v>
      </c>
      <c r="R22" s="158">
        <v>5175</v>
      </c>
      <c r="S22" s="2" t="s">
        <v>38</v>
      </c>
      <c r="T22" t="s">
        <v>239</v>
      </c>
    </row>
    <row r="23" spans="1:21" x14ac:dyDescent="0.35">
      <c r="A23" s="140">
        <v>22</v>
      </c>
      <c r="B23" t="s">
        <v>235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1">
        <v>1</v>
      </c>
      <c r="L23" s="121">
        <v>2</v>
      </c>
      <c r="M23" s="116"/>
      <c r="Q23" s="2" t="s">
        <v>21</v>
      </c>
      <c r="R23" s="125">
        <v>11500</v>
      </c>
      <c r="S23" s="2" t="s">
        <v>20</v>
      </c>
      <c r="T23" t="s">
        <v>236</v>
      </c>
    </row>
    <row r="24" spans="1:21" x14ac:dyDescent="0.35">
      <c r="A24" s="139">
        <v>23</v>
      </c>
      <c r="B24" t="s">
        <v>234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253</v>
      </c>
      <c r="I24" s="2" t="s">
        <v>156</v>
      </c>
      <c r="K24" s="121">
        <v>1</v>
      </c>
      <c r="L24" s="121">
        <v>2</v>
      </c>
      <c r="Q24" s="2" t="s">
        <v>21</v>
      </c>
      <c r="R24" s="158">
        <v>3825</v>
      </c>
      <c r="S24" s="2" t="s">
        <v>20</v>
      </c>
    </row>
    <row r="25" spans="1:21" x14ac:dyDescent="0.35">
      <c r="A25" s="139">
        <v>24</v>
      </c>
      <c r="B25" t="s">
        <v>233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I25" s="2" t="s">
        <v>156</v>
      </c>
      <c r="K25" s="121">
        <v>1</v>
      </c>
      <c r="L25" s="121">
        <v>2</v>
      </c>
      <c r="M25" s="116"/>
      <c r="Q25" s="2" t="s">
        <v>21</v>
      </c>
      <c r="R25" s="158">
        <v>3825</v>
      </c>
      <c r="S25" s="2" t="s">
        <v>20</v>
      </c>
    </row>
    <row r="26" spans="1:21" x14ac:dyDescent="0.35">
      <c r="A26" s="140">
        <v>25</v>
      </c>
      <c r="B26" t="s">
        <v>232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159</v>
      </c>
      <c r="K26" s="121">
        <v>1</v>
      </c>
      <c r="L26" s="121">
        <v>1</v>
      </c>
      <c r="M26" s="116"/>
      <c r="P26" s="2" t="s">
        <v>21</v>
      </c>
      <c r="Q26" s="2" t="s">
        <v>20</v>
      </c>
      <c r="R26" s="125">
        <v>4250</v>
      </c>
      <c r="S26" s="2" t="s">
        <v>20</v>
      </c>
    </row>
    <row r="27" spans="1:21" x14ac:dyDescent="0.35">
      <c r="A27" s="139">
        <v>26</v>
      </c>
      <c r="B27" t="s">
        <v>231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1">
        <v>1</v>
      </c>
      <c r="L27" s="121">
        <v>2</v>
      </c>
      <c r="N27" s="180"/>
      <c r="Q27" s="2" t="s">
        <v>21</v>
      </c>
      <c r="R27" s="125">
        <v>3450</v>
      </c>
      <c r="S27" s="2" t="s">
        <v>20</v>
      </c>
      <c r="T27" t="s">
        <v>319</v>
      </c>
    </row>
    <row r="28" spans="1:21" x14ac:dyDescent="0.35">
      <c r="A28" s="139">
        <v>27</v>
      </c>
      <c r="B28" t="s">
        <v>229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I28" s="2" t="s">
        <v>440</v>
      </c>
      <c r="J28" s="203">
        <v>0.1</v>
      </c>
      <c r="K28" s="121">
        <v>1</v>
      </c>
      <c r="L28" s="121">
        <v>2</v>
      </c>
      <c r="M28" s="116" t="s">
        <v>230</v>
      </c>
      <c r="N28" s="179">
        <v>4561283743</v>
      </c>
      <c r="Q28" s="2" t="s">
        <v>21</v>
      </c>
      <c r="R28" s="125">
        <v>6210</v>
      </c>
      <c r="S28" s="2" t="s">
        <v>21</v>
      </c>
      <c r="T28" t="s">
        <v>441</v>
      </c>
    </row>
    <row r="29" spans="1:21" x14ac:dyDescent="0.35">
      <c r="A29" s="140">
        <v>28</v>
      </c>
      <c r="B29" t="s">
        <v>228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16"/>
      <c r="Q29" s="2" t="s">
        <v>21</v>
      </c>
      <c r="R29" s="125">
        <v>1900</v>
      </c>
      <c r="S29" s="2" t="s">
        <v>20</v>
      </c>
    </row>
    <row r="30" spans="1:21" x14ac:dyDescent="0.35">
      <c r="A30" s="139">
        <v>29</v>
      </c>
      <c r="B30" t="s">
        <v>245</v>
      </c>
      <c r="C30" s="24">
        <v>46177</v>
      </c>
      <c r="D30" s="24">
        <v>46179</v>
      </c>
      <c r="E30" s="24">
        <v>46023</v>
      </c>
      <c r="F30" t="s">
        <v>58</v>
      </c>
      <c r="G30" t="s">
        <v>265</v>
      </c>
      <c r="K30" s="121"/>
      <c r="L30" s="121"/>
      <c r="M30" s="116"/>
    </row>
    <row r="31" spans="1:21" x14ac:dyDescent="0.35">
      <c r="A31" s="139">
        <v>30</v>
      </c>
      <c r="B31" t="s">
        <v>243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1">
        <v>1</v>
      </c>
      <c r="L31" s="121">
        <v>2</v>
      </c>
      <c r="N31" s="179">
        <v>4526241192</v>
      </c>
      <c r="Q31" s="2" t="s">
        <v>21</v>
      </c>
      <c r="R31" s="125">
        <v>5100</v>
      </c>
      <c r="S31" s="2" t="s">
        <v>21</v>
      </c>
      <c r="T31" t="s">
        <v>244</v>
      </c>
    </row>
    <row r="32" spans="1:21" x14ac:dyDescent="0.35">
      <c r="A32" s="140">
        <v>31</v>
      </c>
      <c r="B32" t="s">
        <v>246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 s="203">
        <v>0.1</v>
      </c>
      <c r="K32" s="121">
        <v>1</v>
      </c>
      <c r="L32" s="121">
        <v>1</v>
      </c>
      <c r="M32" s="116" t="s">
        <v>247</v>
      </c>
      <c r="N32" s="151">
        <v>4541125671</v>
      </c>
      <c r="P32" s="2" t="s">
        <v>21</v>
      </c>
      <c r="Q32" s="2" t="s">
        <v>21</v>
      </c>
      <c r="R32" s="125">
        <v>4275</v>
      </c>
      <c r="S32" s="2" t="s">
        <v>21</v>
      </c>
      <c r="T32" s="119" t="s">
        <v>248</v>
      </c>
    </row>
    <row r="33" spans="1:20" x14ac:dyDescent="0.35">
      <c r="A33" s="139">
        <v>32</v>
      </c>
      <c r="B33" t="s">
        <v>261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1">
        <v>1</v>
      </c>
      <c r="L33" s="121">
        <v>2</v>
      </c>
      <c r="Q33" s="2" t="s">
        <v>21</v>
      </c>
      <c r="R33" s="125">
        <v>8925</v>
      </c>
      <c r="S33" s="2" t="s">
        <v>20</v>
      </c>
    </row>
    <row r="34" spans="1:20" x14ac:dyDescent="0.35">
      <c r="A34" s="139">
        <v>33</v>
      </c>
      <c r="B34" t="s">
        <v>260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1">
        <v>1</v>
      </c>
      <c r="L34" s="121">
        <v>1</v>
      </c>
      <c r="M34" s="116"/>
      <c r="P34" s="2" t="s">
        <v>21</v>
      </c>
      <c r="Q34" s="2" t="s">
        <v>21</v>
      </c>
      <c r="R34" s="125">
        <v>7525</v>
      </c>
      <c r="S34" s="2" t="s">
        <v>20</v>
      </c>
    </row>
    <row r="35" spans="1:20" x14ac:dyDescent="0.35">
      <c r="A35" s="140">
        <v>34</v>
      </c>
      <c r="B35" t="s">
        <v>259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H35" s="1" t="s">
        <v>363</v>
      </c>
      <c r="I35" s="2" t="s">
        <v>156</v>
      </c>
      <c r="K35" s="121">
        <v>1</v>
      </c>
      <c r="L35" s="121">
        <v>2</v>
      </c>
      <c r="Q35" s="2" t="s">
        <v>21</v>
      </c>
      <c r="R35" s="125">
        <v>12375</v>
      </c>
      <c r="S35" s="2" t="s">
        <v>20</v>
      </c>
    </row>
    <row r="36" spans="1:20" x14ac:dyDescent="0.35">
      <c r="A36" s="139">
        <v>35</v>
      </c>
      <c r="B36" t="s">
        <v>255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I36" s="2" t="s">
        <v>156</v>
      </c>
      <c r="J36" s="203">
        <v>0.1</v>
      </c>
      <c r="K36">
        <v>1</v>
      </c>
      <c r="L36">
        <v>2</v>
      </c>
      <c r="M36" s="159" t="s">
        <v>256</v>
      </c>
      <c r="N36" s="179">
        <v>46733448215</v>
      </c>
      <c r="O36" s="2" t="s">
        <v>257</v>
      </c>
      <c r="Q36" s="2" t="s">
        <v>21</v>
      </c>
      <c r="R36" s="125">
        <v>4140</v>
      </c>
      <c r="S36" s="2" t="s">
        <v>38</v>
      </c>
      <c r="T36" t="s">
        <v>258</v>
      </c>
    </row>
    <row r="37" spans="1:20" x14ac:dyDescent="0.35">
      <c r="A37" s="139">
        <v>36</v>
      </c>
      <c r="B37" t="s">
        <v>254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I37" s="2" t="s">
        <v>159</v>
      </c>
      <c r="K37">
        <v>2</v>
      </c>
      <c r="L37">
        <v>4</v>
      </c>
      <c r="M37" s="116"/>
      <c r="Q37" s="2" t="s">
        <v>20</v>
      </c>
      <c r="R37" s="125">
        <v>6450</v>
      </c>
      <c r="S37" s="2" t="s">
        <v>20</v>
      </c>
    </row>
    <row r="38" spans="1:20" x14ac:dyDescent="0.35">
      <c r="A38" s="140">
        <v>37</v>
      </c>
      <c r="B38" t="s">
        <v>252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253</v>
      </c>
      <c r="K38">
        <v>1</v>
      </c>
      <c r="L38">
        <v>2</v>
      </c>
      <c r="M38" s="116"/>
      <c r="Q38" s="2" t="s">
        <v>21</v>
      </c>
      <c r="R38" s="125">
        <v>3450</v>
      </c>
      <c r="S38" s="2" t="s">
        <v>20</v>
      </c>
    </row>
    <row r="39" spans="1:20" x14ac:dyDescent="0.35">
      <c r="A39" s="139">
        <v>38</v>
      </c>
      <c r="B39" t="s">
        <v>251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I39" s="2" t="s">
        <v>159</v>
      </c>
      <c r="K39">
        <v>1</v>
      </c>
      <c r="L39">
        <v>2</v>
      </c>
      <c r="M39" s="116"/>
      <c r="Q39" s="2" t="s">
        <v>20</v>
      </c>
      <c r="R39" s="125">
        <v>7525</v>
      </c>
      <c r="S39" s="2" t="s">
        <v>20</v>
      </c>
    </row>
    <row r="40" spans="1:20" x14ac:dyDescent="0.35">
      <c r="A40" s="2">
        <v>39</v>
      </c>
      <c r="B40" t="s">
        <v>250</v>
      </c>
      <c r="C40" s="24">
        <v>46216</v>
      </c>
      <c r="D40" s="24">
        <v>46220</v>
      </c>
      <c r="E40" s="24">
        <v>46032</v>
      </c>
      <c r="G40" t="s">
        <v>265</v>
      </c>
    </row>
    <row r="41" spans="1:20" x14ac:dyDescent="0.35">
      <c r="A41" s="2">
        <v>40</v>
      </c>
      <c r="B41" t="s">
        <v>249</v>
      </c>
      <c r="C41" s="24">
        <v>46164</v>
      </c>
      <c r="D41" s="24">
        <v>46167</v>
      </c>
      <c r="E41" s="24">
        <v>46033</v>
      </c>
      <c r="F41" t="s">
        <v>53</v>
      </c>
      <c r="G41" t="s">
        <v>265</v>
      </c>
      <c r="M41" s="116"/>
    </row>
    <row r="42" spans="1:20" x14ac:dyDescent="0.35">
      <c r="A42" s="2">
        <v>41</v>
      </c>
      <c r="B42" t="s">
        <v>264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159</v>
      </c>
      <c r="K42">
        <v>1</v>
      </c>
      <c r="L42">
        <v>2</v>
      </c>
      <c r="M42" s="116"/>
      <c r="Q42" s="2" t="s">
        <v>20</v>
      </c>
      <c r="R42" s="125">
        <v>2850</v>
      </c>
      <c r="S42" s="2" t="s">
        <v>20</v>
      </c>
    </row>
    <row r="43" spans="1:20" x14ac:dyDescent="0.35">
      <c r="A43" s="2">
        <v>42</v>
      </c>
      <c r="B43" t="s">
        <v>263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16"/>
      <c r="P43" s="2" t="s">
        <v>21</v>
      </c>
      <c r="Q43" s="2" t="s">
        <v>20</v>
      </c>
      <c r="R43" s="125">
        <v>2550</v>
      </c>
      <c r="S43" s="2" t="s">
        <v>20</v>
      </c>
    </row>
    <row r="44" spans="1:20" x14ac:dyDescent="0.35">
      <c r="A44" s="2">
        <v>43</v>
      </c>
      <c r="B44" t="s">
        <v>281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253</v>
      </c>
      <c r="I44" s="2" t="s">
        <v>284</v>
      </c>
      <c r="K44">
        <v>1</v>
      </c>
      <c r="L44">
        <v>2</v>
      </c>
      <c r="M44" s="116" t="s">
        <v>283</v>
      </c>
      <c r="N44" s="151">
        <v>4526140610</v>
      </c>
      <c r="Q44" s="2" t="s">
        <v>21</v>
      </c>
      <c r="R44" s="125">
        <v>4500</v>
      </c>
      <c r="S44" s="2" t="s">
        <v>20</v>
      </c>
      <c r="T44" t="s">
        <v>282</v>
      </c>
    </row>
    <row r="45" spans="1:20" x14ac:dyDescent="0.35">
      <c r="A45" s="2">
        <v>44</v>
      </c>
      <c r="B45" t="s">
        <v>280</v>
      </c>
      <c r="C45" s="24">
        <v>46222</v>
      </c>
      <c r="D45" s="24">
        <v>46227</v>
      </c>
      <c r="E45" s="24">
        <v>46037</v>
      </c>
      <c r="F45" t="s">
        <v>287</v>
      </c>
      <c r="G45" t="s">
        <v>35</v>
      </c>
      <c r="I45" s="2" t="s">
        <v>156</v>
      </c>
      <c r="K45">
        <v>1</v>
      </c>
      <c r="L45">
        <v>2</v>
      </c>
      <c r="Q45" s="2" t="s">
        <v>21</v>
      </c>
      <c r="R45" s="125">
        <v>6375</v>
      </c>
      <c r="S45" s="2" t="s">
        <v>20</v>
      </c>
    </row>
    <row r="46" spans="1:20" x14ac:dyDescent="0.35">
      <c r="A46" s="2">
        <v>45</v>
      </c>
      <c r="B46" t="s">
        <v>279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25">
        <v>3825</v>
      </c>
      <c r="S46" s="2" t="s">
        <v>20</v>
      </c>
    </row>
    <row r="47" spans="1:20" x14ac:dyDescent="0.35">
      <c r="A47" s="2">
        <v>46</v>
      </c>
      <c r="B47" t="s">
        <v>276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H47" s="1" t="s">
        <v>253</v>
      </c>
      <c r="I47" s="2" t="s">
        <v>156</v>
      </c>
      <c r="K47">
        <v>1</v>
      </c>
      <c r="L47">
        <v>2</v>
      </c>
      <c r="M47" s="116"/>
      <c r="Q47" s="2" t="s">
        <v>20</v>
      </c>
      <c r="R47" s="125">
        <v>5125</v>
      </c>
      <c r="S47" s="2" t="s">
        <v>278</v>
      </c>
      <c r="T47" t="s">
        <v>277</v>
      </c>
    </row>
    <row r="48" spans="1:20" x14ac:dyDescent="0.35">
      <c r="A48" s="2">
        <v>47</v>
      </c>
      <c r="B48" t="s">
        <v>212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16" t="s">
        <v>213</v>
      </c>
      <c r="N48" s="179">
        <v>4531909358</v>
      </c>
      <c r="O48" s="181" t="s">
        <v>274</v>
      </c>
      <c r="Q48" s="2" t="s">
        <v>21</v>
      </c>
      <c r="S48" s="2" t="s">
        <v>21</v>
      </c>
      <c r="T48" t="s">
        <v>275</v>
      </c>
    </row>
    <row r="49" spans="1:20" x14ac:dyDescent="0.35">
      <c r="A49" s="2">
        <v>48</v>
      </c>
      <c r="B49" t="s">
        <v>273</v>
      </c>
      <c r="C49" s="24">
        <v>46156</v>
      </c>
      <c r="D49" s="24">
        <v>46159</v>
      </c>
      <c r="E49" s="24">
        <v>46040</v>
      </c>
      <c r="F49" t="s">
        <v>53</v>
      </c>
      <c r="G49" t="s">
        <v>265</v>
      </c>
      <c r="M49" s="116"/>
    </row>
    <row r="50" spans="1:20" x14ac:dyDescent="0.35">
      <c r="A50" s="2">
        <v>49</v>
      </c>
      <c r="B50" t="s">
        <v>272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156</v>
      </c>
      <c r="K50">
        <v>1</v>
      </c>
      <c r="L50">
        <v>2</v>
      </c>
      <c r="M50" s="116"/>
      <c r="Q50" s="2" t="s">
        <v>21</v>
      </c>
      <c r="R50" s="125">
        <v>8925</v>
      </c>
      <c r="S50" s="2" t="s">
        <v>20</v>
      </c>
    </row>
    <row r="51" spans="1:20" x14ac:dyDescent="0.35">
      <c r="A51" s="2">
        <v>50</v>
      </c>
      <c r="B51" t="s">
        <v>271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I51" s="2" t="s">
        <v>156</v>
      </c>
      <c r="K51">
        <v>1</v>
      </c>
      <c r="L51">
        <v>2</v>
      </c>
      <c r="Q51" s="2" t="s">
        <v>21</v>
      </c>
      <c r="R51" s="125">
        <v>5100</v>
      </c>
      <c r="S51" s="2" t="s">
        <v>20</v>
      </c>
    </row>
    <row r="52" spans="1:20" x14ac:dyDescent="0.35">
      <c r="A52" s="2">
        <v>51</v>
      </c>
      <c r="B52" t="s">
        <v>268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 s="203">
        <v>0.1</v>
      </c>
      <c r="K52">
        <v>1</v>
      </c>
      <c r="L52">
        <v>2</v>
      </c>
      <c r="M52" s="159" t="s">
        <v>270</v>
      </c>
      <c r="N52" s="179">
        <v>4540474386</v>
      </c>
      <c r="O52" s="181" t="s">
        <v>269</v>
      </c>
      <c r="Q52" s="2" t="s">
        <v>21</v>
      </c>
      <c r="R52" s="187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286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H53" s="1" t="s">
        <v>442</v>
      </c>
      <c r="K53">
        <v>1</v>
      </c>
      <c r="L53">
        <v>2</v>
      </c>
      <c r="M53" s="116"/>
      <c r="Q53" s="2" t="s">
        <v>21</v>
      </c>
      <c r="R53" s="125">
        <v>4600</v>
      </c>
      <c r="S53" s="2" t="s">
        <v>20</v>
      </c>
    </row>
    <row r="54" spans="1:20" x14ac:dyDescent="0.35">
      <c r="A54" s="2">
        <v>53</v>
      </c>
      <c r="B54" t="s">
        <v>285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H54" s="1" t="s">
        <v>371</v>
      </c>
      <c r="I54" s="2" t="s">
        <v>156</v>
      </c>
      <c r="K54">
        <v>1</v>
      </c>
      <c r="L54">
        <v>2</v>
      </c>
      <c r="Q54" s="2" t="s">
        <v>20</v>
      </c>
      <c r="R54" s="125">
        <v>2850</v>
      </c>
      <c r="S54" s="2" t="s">
        <v>20</v>
      </c>
    </row>
    <row r="55" spans="1:20" x14ac:dyDescent="0.35">
      <c r="A55" s="2">
        <v>54</v>
      </c>
      <c r="B55" t="s">
        <v>301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H55" s="1" t="s">
        <v>376</v>
      </c>
      <c r="I55" s="2" t="s">
        <v>438</v>
      </c>
      <c r="K55">
        <v>2</v>
      </c>
      <c r="L55">
        <v>4</v>
      </c>
      <c r="M55" s="116"/>
      <c r="Q55" s="2" t="s">
        <v>20</v>
      </c>
      <c r="R55" s="158">
        <v>5700</v>
      </c>
    </row>
    <row r="56" spans="1:20" x14ac:dyDescent="0.35">
      <c r="A56" s="2">
        <v>55</v>
      </c>
      <c r="B56" t="s">
        <v>300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I56" s="2" t="s">
        <v>156</v>
      </c>
      <c r="K56">
        <v>1</v>
      </c>
      <c r="L56">
        <v>2</v>
      </c>
      <c r="M56" s="116"/>
      <c r="Q56" s="2" t="s">
        <v>20</v>
      </c>
      <c r="R56" s="125">
        <v>4300</v>
      </c>
      <c r="S56" s="2" t="s">
        <v>20</v>
      </c>
    </row>
    <row r="57" spans="1:20" x14ac:dyDescent="0.35">
      <c r="A57" s="2">
        <v>56</v>
      </c>
      <c r="B57" t="s">
        <v>297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310</v>
      </c>
      <c r="I57" s="2" t="s">
        <v>156</v>
      </c>
      <c r="K57">
        <v>1</v>
      </c>
      <c r="L57">
        <v>2</v>
      </c>
      <c r="M57" s="116"/>
      <c r="Q57" s="2" t="s">
        <v>20</v>
      </c>
      <c r="R57" s="125">
        <v>1900</v>
      </c>
      <c r="S57" s="2" t="s">
        <v>20</v>
      </c>
      <c r="T57" t="s">
        <v>299</v>
      </c>
    </row>
    <row r="58" spans="1:20" x14ac:dyDescent="0.35">
      <c r="A58" s="2">
        <v>57</v>
      </c>
      <c r="B58" t="s">
        <v>294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79">
        <v>466700686</v>
      </c>
      <c r="O58" s="2" t="s">
        <v>295</v>
      </c>
      <c r="Q58" s="2" t="s">
        <v>20</v>
      </c>
      <c r="R58" s="158">
        <v>6450</v>
      </c>
      <c r="S58" s="2" t="s">
        <v>38</v>
      </c>
      <c r="T58" t="s">
        <v>296</v>
      </c>
    </row>
    <row r="59" spans="1:20" x14ac:dyDescent="0.35">
      <c r="A59" s="2">
        <v>58</v>
      </c>
      <c r="B59" t="s">
        <v>292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159</v>
      </c>
      <c r="J59" s="203">
        <v>0.1</v>
      </c>
      <c r="K59">
        <v>2</v>
      </c>
      <c r="L59">
        <v>2</v>
      </c>
      <c r="M59" s="116"/>
      <c r="Q59" s="2" t="s">
        <v>21</v>
      </c>
      <c r="R59" s="158">
        <v>4590</v>
      </c>
      <c r="S59" s="2" t="s">
        <v>38</v>
      </c>
      <c r="T59" t="s">
        <v>293</v>
      </c>
    </row>
    <row r="60" spans="1:20" x14ac:dyDescent="0.35">
      <c r="A60" s="2">
        <v>59</v>
      </c>
      <c r="B60" t="s">
        <v>302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303</v>
      </c>
      <c r="I60" s="2" t="s">
        <v>156</v>
      </c>
      <c r="K60">
        <v>1</v>
      </c>
      <c r="L60">
        <v>2</v>
      </c>
      <c r="M60" s="116"/>
      <c r="N60" s="151">
        <v>4542401010</v>
      </c>
      <c r="Q60" s="2" t="s">
        <v>21</v>
      </c>
      <c r="R60" s="158">
        <v>5100</v>
      </c>
      <c r="S60" s="2" t="s">
        <v>20</v>
      </c>
    </row>
    <row r="61" spans="1:20" x14ac:dyDescent="0.35">
      <c r="A61" s="2">
        <v>60</v>
      </c>
      <c r="B61" t="s">
        <v>309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58">
        <v>3800</v>
      </c>
      <c r="S61" s="2" t="s">
        <v>20</v>
      </c>
    </row>
    <row r="62" spans="1:20" x14ac:dyDescent="0.35">
      <c r="A62" s="2">
        <v>61</v>
      </c>
      <c r="B62" t="s">
        <v>307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308</v>
      </c>
      <c r="I62" s="2" t="s">
        <v>298</v>
      </c>
      <c r="K62">
        <v>1</v>
      </c>
      <c r="L62">
        <v>2</v>
      </c>
      <c r="M62" s="116"/>
      <c r="Q62" s="2" t="s">
        <v>20</v>
      </c>
      <c r="R62" s="158">
        <v>2975</v>
      </c>
      <c r="S62" s="2" t="s">
        <v>20</v>
      </c>
    </row>
    <row r="63" spans="1:20" x14ac:dyDescent="0.35">
      <c r="A63" s="2">
        <v>62</v>
      </c>
      <c r="B63" t="s">
        <v>306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298</v>
      </c>
      <c r="J63" s="203">
        <v>0.1</v>
      </c>
      <c r="K63">
        <v>1</v>
      </c>
      <c r="L63">
        <v>2</v>
      </c>
      <c r="Q63" s="2" t="s">
        <v>21</v>
      </c>
      <c r="R63" s="158">
        <f>8925+3442.5</f>
        <v>12367.5</v>
      </c>
      <c r="S63" s="2" t="s">
        <v>20</v>
      </c>
      <c r="T63" t="s">
        <v>318</v>
      </c>
    </row>
    <row r="64" spans="1:20" x14ac:dyDescent="0.35">
      <c r="A64" s="2">
        <v>63</v>
      </c>
      <c r="B64" t="s">
        <v>304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 s="203">
        <v>0.05</v>
      </c>
      <c r="K64">
        <v>1</v>
      </c>
      <c r="L64">
        <v>2</v>
      </c>
      <c r="M64" s="116" t="s">
        <v>305</v>
      </c>
      <c r="Q64" s="2" t="s">
        <v>20</v>
      </c>
      <c r="R64" s="158">
        <v>1805</v>
      </c>
      <c r="S64" s="2" t="s">
        <v>20</v>
      </c>
    </row>
    <row r="65" spans="1:20" x14ac:dyDescent="0.35">
      <c r="A65" s="2">
        <v>64</v>
      </c>
      <c r="B65" t="s">
        <v>311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159</v>
      </c>
      <c r="K65">
        <v>1</v>
      </c>
      <c r="L65">
        <v>2</v>
      </c>
      <c r="Q65" s="2" t="s">
        <v>20</v>
      </c>
      <c r="R65" s="125">
        <v>2850</v>
      </c>
      <c r="S65" s="2" t="s">
        <v>20</v>
      </c>
    </row>
    <row r="66" spans="1:20" x14ac:dyDescent="0.35">
      <c r="A66" s="2">
        <v>65</v>
      </c>
      <c r="B66" t="s">
        <v>315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156</v>
      </c>
      <c r="K66">
        <v>1</v>
      </c>
      <c r="L66">
        <v>2</v>
      </c>
      <c r="Q66" s="2" t="s">
        <v>20</v>
      </c>
      <c r="R66" s="158">
        <v>2850</v>
      </c>
      <c r="S66" s="2" t="s">
        <v>20</v>
      </c>
    </row>
    <row r="67" spans="1:20" x14ac:dyDescent="0.35">
      <c r="A67" s="2">
        <v>66</v>
      </c>
      <c r="B67" t="s">
        <v>313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 s="203">
        <v>0.1</v>
      </c>
      <c r="K67">
        <v>1</v>
      </c>
      <c r="L67">
        <v>2</v>
      </c>
      <c r="M67" s="116" t="s">
        <v>314</v>
      </c>
      <c r="N67" s="150">
        <v>4521261488</v>
      </c>
      <c r="O67" s="2" t="s">
        <v>180</v>
      </c>
      <c r="Q67" s="2" t="s">
        <v>21</v>
      </c>
      <c r="R67" s="158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312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H68" s="1" t="s">
        <v>253</v>
      </c>
      <c r="I68" s="2" t="s">
        <v>156</v>
      </c>
      <c r="K68">
        <v>1</v>
      </c>
      <c r="L68">
        <v>2</v>
      </c>
      <c r="M68" s="116"/>
      <c r="Q68" s="2" t="s">
        <v>21</v>
      </c>
      <c r="R68" s="158">
        <v>5750</v>
      </c>
      <c r="S68" s="2" t="s">
        <v>20</v>
      </c>
    </row>
    <row r="69" spans="1:20" x14ac:dyDescent="0.35">
      <c r="A69" s="2">
        <v>68</v>
      </c>
      <c r="B69" t="s">
        <v>317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H69" s="1" t="s">
        <v>443</v>
      </c>
      <c r="I69" s="2" t="s">
        <v>159</v>
      </c>
      <c r="K69">
        <v>1</v>
      </c>
      <c r="L69">
        <v>1</v>
      </c>
      <c r="P69" s="2" t="s">
        <v>21</v>
      </c>
      <c r="Q69" s="2" t="s">
        <v>20</v>
      </c>
      <c r="R69" s="158">
        <v>1700</v>
      </c>
      <c r="S69" s="2" t="s">
        <v>20</v>
      </c>
    </row>
    <row r="70" spans="1:20" x14ac:dyDescent="0.35">
      <c r="A70" s="2">
        <v>69</v>
      </c>
      <c r="B70" t="s">
        <v>316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58">
        <v>3225</v>
      </c>
      <c r="S70" s="2" t="s">
        <v>20</v>
      </c>
    </row>
    <row r="71" spans="1:20" x14ac:dyDescent="0.35">
      <c r="A71" s="2">
        <v>70</v>
      </c>
      <c r="B71" t="s">
        <v>324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16" t="s">
        <v>325</v>
      </c>
      <c r="N71" s="150">
        <v>4561793423</v>
      </c>
      <c r="Q71" s="2" t="s">
        <v>21</v>
      </c>
      <c r="R71" s="158">
        <v>5175</v>
      </c>
      <c r="S71" s="2" t="s">
        <v>21</v>
      </c>
      <c r="T71" t="s">
        <v>326</v>
      </c>
    </row>
    <row r="72" spans="1:20" x14ac:dyDescent="0.35">
      <c r="A72" s="2">
        <v>71</v>
      </c>
      <c r="B72" t="s">
        <v>327</v>
      </c>
      <c r="C72" s="24">
        <v>46260</v>
      </c>
      <c r="D72" s="24">
        <v>46264</v>
      </c>
      <c r="E72" s="24">
        <v>46057</v>
      </c>
      <c r="F72" t="s">
        <v>31</v>
      </c>
      <c r="G72" t="s">
        <v>265</v>
      </c>
      <c r="I72" s="2" t="s">
        <v>159</v>
      </c>
    </row>
    <row r="73" spans="1:20" x14ac:dyDescent="0.35">
      <c r="A73" s="2">
        <v>72</v>
      </c>
      <c r="B73" t="s">
        <v>321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253</v>
      </c>
      <c r="K73">
        <v>1</v>
      </c>
      <c r="L73">
        <v>2</v>
      </c>
      <c r="M73" s="159" t="s">
        <v>322</v>
      </c>
      <c r="N73" s="150">
        <v>4527139833</v>
      </c>
      <c r="Q73" s="2" t="s">
        <v>21</v>
      </c>
      <c r="R73" s="158">
        <v>8050</v>
      </c>
      <c r="S73" s="2" t="s">
        <v>21</v>
      </c>
      <c r="T73" t="s">
        <v>323</v>
      </c>
    </row>
    <row r="74" spans="1:20" x14ac:dyDescent="0.35">
      <c r="A74" s="2">
        <v>73</v>
      </c>
      <c r="B74" t="s">
        <v>320</v>
      </c>
      <c r="C74" s="24">
        <v>46143</v>
      </c>
      <c r="D74" s="24">
        <v>46145</v>
      </c>
      <c r="E74" s="24">
        <v>46061</v>
      </c>
      <c r="F74" t="s">
        <v>53</v>
      </c>
      <c r="G74" t="s">
        <v>265</v>
      </c>
    </row>
    <row r="75" spans="1:20" x14ac:dyDescent="0.35">
      <c r="A75" s="2">
        <v>74</v>
      </c>
      <c r="B75" t="s">
        <v>330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 s="203">
        <v>0.1</v>
      </c>
      <c r="K75">
        <v>2</v>
      </c>
      <c r="L75">
        <v>3</v>
      </c>
      <c r="M75" s="116" t="s">
        <v>331</v>
      </c>
      <c r="Q75" s="2" t="s">
        <v>21</v>
      </c>
      <c r="R75" s="158">
        <v>8460</v>
      </c>
      <c r="S75" s="2" t="s">
        <v>21</v>
      </c>
      <c r="T75" t="s">
        <v>332</v>
      </c>
    </row>
    <row r="76" spans="1:20" x14ac:dyDescent="0.35">
      <c r="A76" s="2">
        <v>75</v>
      </c>
      <c r="B76" t="s">
        <v>329</v>
      </c>
      <c r="C76" s="24">
        <v>46276</v>
      </c>
      <c r="D76" s="24">
        <v>46279</v>
      </c>
      <c r="E76" s="24">
        <v>46067</v>
      </c>
      <c r="F76" t="s">
        <v>53</v>
      </c>
      <c r="G76" t="s">
        <v>265</v>
      </c>
      <c r="R76" s="158"/>
    </row>
    <row r="77" spans="1:20" x14ac:dyDescent="0.35">
      <c r="A77" s="2">
        <v>76</v>
      </c>
      <c r="B77" t="s">
        <v>328</v>
      </c>
      <c r="C77" s="24">
        <v>46202</v>
      </c>
      <c r="D77" s="24">
        <v>46206</v>
      </c>
      <c r="E77" s="24">
        <v>46068</v>
      </c>
      <c r="F77" t="s">
        <v>53</v>
      </c>
      <c r="G77" t="s">
        <v>35</v>
      </c>
      <c r="I77" s="2" t="s">
        <v>159</v>
      </c>
      <c r="K77">
        <v>1</v>
      </c>
      <c r="L77">
        <v>2</v>
      </c>
      <c r="Q77" s="2" t="s">
        <v>21</v>
      </c>
      <c r="R77" s="158">
        <v>5100</v>
      </c>
      <c r="S77" s="2" t="s">
        <v>20</v>
      </c>
    </row>
    <row r="78" spans="1:20" x14ac:dyDescent="0.35">
      <c r="A78" s="2">
        <v>77</v>
      </c>
      <c r="B78" t="s">
        <v>333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59" t="s">
        <v>334</v>
      </c>
      <c r="N78" s="150">
        <v>4525240507</v>
      </c>
      <c r="Q78" s="2" t="s">
        <v>21</v>
      </c>
      <c r="R78" s="187">
        <v>8032.5</v>
      </c>
      <c r="S78" s="2" t="s">
        <v>21</v>
      </c>
      <c r="T78" t="s">
        <v>335</v>
      </c>
    </row>
    <row r="79" spans="1:20" x14ac:dyDescent="0.35">
      <c r="A79" s="2">
        <v>78</v>
      </c>
      <c r="B79" t="s">
        <v>343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I79" s="2" t="s">
        <v>156</v>
      </c>
      <c r="K79">
        <v>1</v>
      </c>
      <c r="L79">
        <v>2</v>
      </c>
      <c r="Q79" s="2" t="s">
        <v>21</v>
      </c>
      <c r="R79" s="125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 s="203">
        <v>0.1</v>
      </c>
      <c r="K80">
        <v>1</v>
      </c>
      <c r="L80">
        <v>2</v>
      </c>
      <c r="M80" s="116" t="s">
        <v>341</v>
      </c>
      <c r="N80" s="150">
        <v>4520646004</v>
      </c>
      <c r="Q80" s="2" t="s">
        <v>21</v>
      </c>
      <c r="R80" s="158">
        <v>5175</v>
      </c>
      <c r="S80" s="2" t="s">
        <v>38</v>
      </c>
      <c r="T80" t="s">
        <v>342</v>
      </c>
    </row>
    <row r="81" spans="1:20" x14ac:dyDescent="0.35">
      <c r="A81" s="2">
        <v>80</v>
      </c>
      <c r="B81" t="s">
        <v>338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 s="203">
        <v>0.1</v>
      </c>
      <c r="K81">
        <v>2</v>
      </c>
      <c r="L81">
        <v>4</v>
      </c>
      <c r="M81" s="116" t="s">
        <v>339</v>
      </c>
      <c r="N81" s="150">
        <v>4520143818</v>
      </c>
      <c r="Q81" s="2" t="s">
        <v>21</v>
      </c>
      <c r="R81" s="125">
        <v>10350</v>
      </c>
      <c r="S81" s="2" t="s">
        <v>21</v>
      </c>
      <c r="T81" t="s">
        <v>340</v>
      </c>
    </row>
    <row r="82" spans="1:20" x14ac:dyDescent="0.35">
      <c r="A82" s="2">
        <v>81</v>
      </c>
      <c r="B82" t="s">
        <v>344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25">
        <v>3825</v>
      </c>
      <c r="S82" s="2" t="s">
        <v>20</v>
      </c>
    </row>
    <row r="83" spans="1:20" x14ac:dyDescent="0.35">
      <c r="A83" s="2">
        <v>82</v>
      </c>
      <c r="B83" s="183" t="s">
        <v>345</v>
      </c>
      <c r="C83" s="24">
        <v>46143</v>
      </c>
      <c r="D83" s="24">
        <v>46145</v>
      </c>
      <c r="E83" s="24">
        <v>46075</v>
      </c>
      <c r="F83" t="s">
        <v>53</v>
      </c>
      <c r="G83" t="s">
        <v>265</v>
      </c>
      <c r="R83" s="158"/>
    </row>
    <row r="84" spans="1:20" x14ac:dyDescent="0.35">
      <c r="A84" s="2">
        <v>83</v>
      </c>
      <c r="B84" s="186" t="s">
        <v>346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25">
        <v>4600</v>
      </c>
      <c r="S84" s="2" t="s">
        <v>20</v>
      </c>
    </row>
    <row r="85" spans="1:20" x14ac:dyDescent="0.35">
      <c r="A85" s="2">
        <v>84</v>
      </c>
      <c r="B85" s="183" t="s">
        <v>358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 s="203">
        <v>0.1</v>
      </c>
      <c r="K85">
        <v>1</v>
      </c>
      <c r="L85">
        <v>2</v>
      </c>
      <c r="M85" s="159" t="s">
        <v>359</v>
      </c>
      <c r="N85" s="150">
        <v>4526251564</v>
      </c>
      <c r="O85" s="2" t="s">
        <v>360</v>
      </c>
      <c r="Q85" s="2" t="s">
        <v>20</v>
      </c>
      <c r="R85" s="158">
        <v>3870</v>
      </c>
    </row>
    <row r="86" spans="1:20" x14ac:dyDescent="0.35">
      <c r="A86" s="2">
        <v>85</v>
      </c>
      <c r="B86" t="s">
        <v>357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25">
        <v>1700</v>
      </c>
      <c r="S86" s="2" t="s">
        <v>20</v>
      </c>
    </row>
    <row r="87" spans="1:20" x14ac:dyDescent="0.35">
      <c r="A87" s="2">
        <v>86</v>
      </c>
      <c r="B87" t="s">
        <v>354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 s="203">
        <v>0.1</v>
      </c>
      <c r="K87">
        <v>1</v>
      </c>
      <c r="L87">
        <v>2</v>
      </c>
      <c r="M87" s="116" t="s">
        <v>355</v>
      </c>
      <c r="O87" s="2" t="s">
        <v>356</v>
      </c>
      <c r="Q87" s="2" t="s">
        <v>21</v>
      </c>
      <c r="R87" s="125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361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25">
        <v>2975</v>
      </c>
      <c r="S88" s="2" t="s">
        <v>20</v>
      </c>
    </row>
    <row r="89" spans="1:20" x14ac:dyDescent="0.35">
      <c r="A89" s="2">
        <v>88</v>
      </c>
      <c r="B89" t="s">
        <v>368</v>
      </c>
      <c r="C89" s="24">
        <v>46188</v>
      </c>
      <c r="D89" s="24">
        <v>46191</v>
      </c>
      <c r="E89" s="24">
        <v>46089</v>
      </c>
      <c r="F89" t="s">
        <v>31</v>
      </c>
      <c r="G89" t="s">
        <v>265</v>
      </c>
    </row>
    <row r="90" spans="1:20" x14ac:dyDescent="0.35">
      <c r="A90" s="2">
        <v>89</v>
      </c>
      <c r="B90" t="s">
        <v>364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159</v>
      </c>
      <c r="J90" s="203">
        <v>0.05</v>
      </c>
      <c r="K90">
        <v>2</v>
      </c>
      <c r="L90">
        <v>3</v>
      </c>
      <c r="M90" s="116" t="s">
        <v>365</v>
      </c>
      <c r="N90">
        <v>4540528447</v>
      </c>
      <c r="O90"/>
      <c r="P90" s="2" t="s">
        <v>367</v>
      </c>
      <c r="Q90" s="2" t="s">
        <v>21</v>
      </c>
      <c r="R90" s="125">
        <f>2185+1805</f>
        <v>3990</v>
      </c>
      <c r="S90" s="2" t="s">
        <v>20</v>
      </c>
      <c r="T90" t="s">
        <v>366</v>
      </c>
    </row>
    <row r="91" spans="1:20" x14ac:dyDescent="0.35">
      <c r="A91" s="2">
        <v>90</v>
      </c>
      <c r="B91" t="s">
        <v>362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363</v>
      </c>
      <c r="I91" t="s">
        <v>156</v>
      </c>
      <c r="J91" s="203">
        <v>0</v>
      </c>
      <c r="K91">
        <v>1</v>
      </c>
      <c r="L91">
        <v>2</v>
      </c>
      <c r="N91"/>
      <c r="O91"/>
      <c r="P91" s="2" t="s">
        <v>20</v>
      </c>
      <c r="Q91" s="2" t="s">
        <v>20</v>
      </c>
      <c r="R91" s="125">
        <v>2850</v>
      </c>
      <c r="S91" s="2" t="s">
        <v>20</v>
      </c>
    </row>
    <row r="92" spans="1:20" x14ac:dyDescent="0.35">
      <c r="A92" s="2">
        <v>91</v>
      </c>
      <c r="B92" t="s">
        <v>369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 s="203">
        <v>0.05</v>
      </c>
      <c r="K92">
        <v>1</v>
      </c>
      <c r="L92">
        <v>2</v>
      </c>
      <c r="N92"/>
      <c r="O92"/>
      <c r="P92" s="2" t="s">
        <v>20</v>
      </c>
      <c r="Q92" s="2" t="s">
        <v>21</v>
      </c>
      <c r="R92" s="197">
        <v>2185</v>
      </c>
      <c r="S92" s="2" t="s">
        <v>20</v>
      </c>
    </row>
    <row r="93" spans="1:20" x14ac:dyDescent="0.35">
      <c r="A93" s="2">
        <v>92</v>
      </c>
      <c r="B93" t="s">
        <v>370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371</v>
      </c>
      <c r="I93" t="s">
        <v>159</v>
      </c>
      <c r="J93" s="203">
        <v>0.1</v>
      </c>
      <c r="K93">
        <v>1</v>
      </c>
      <c r="L93">
        <v>2</v>
      </c>
      <c r="M93" s="116" t="s">
        <v>372</v>
      </c>
      <c r="N93"/>
      <c r="O93" t="s">
        <v>373</v>
      </c>
      <c r="P93" s="2" t="s">
        <v>20</v>
      </c>
      <c r="Q93" s="2" t="s">
        <v>20</v>
      </c>
      <c r="R93" s="197">
        <v>4837.5</v>
      </c>
      <c r="S93" s="2" t="s">
        <v>38</v>
      </c>
      <c r="T93" t="s">
        <v>374</v>
      </c>
    </row>
    <row r="94" spans="1:20" x14ac:dyDescent="0.35">
      <c r="A94" s="2">
        <v>93</v>
      </c>
      <c r="B94" t="s">
        <v>375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376</v>
      </c>
      <c r="I94" t="s">
        <v>159</v>
      </c>
      <c r="J94" s="203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197">
        <v>2850</v>
      </c>
      <c r="S94" s="2" t="s">
        <v>20</v>
      </c>
    </row>
    <row r="95" spans="1:20" x14ac:dyDescent="0.35">
      <c r="A95" s="2">
        <v>94</v>
      </c>
      <c r="B95" t="s">
        <v>377</v>
      </c>
      <c r="C95" s="24">
        <v>46234</v>
      </c>
      <c r="D95" s="24">
        <v>46237</v>
      </c>
      <c r="E95" s="24">
        <v>46098</v>
      </c>
      <c r="F95" t="s">
        <v>31</v>
      </c>
      <c r="G95" t="s">
        <v>35</v>
      </c>
      <c r="H95"/>
      <c r="I95"/>
      <c r="J95" s="203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25">
        <v>2925</v>
      </c>
      <c r="S95" s="2" t="s">
        <v>20</v>
      </c>
    </row>
    <row r="96" spans="1:20" x14ac:dyDescent="0.35">
      <c r="A96" s="2">
        <v>95</v>
      </c>
      <c r="B96" t="s">
        <v>378</v>
      </c>
      <c r="C96" s="24">
        <v>46156</v>
      </c>
      <c r="D96" s="24">
        <v>46159</v>
      </c>
      <c r="E96" s="24">
        <v>46098</v>
      </c>
      <c r="F96" t="s">
        <v>54</v>
      </c>
      <c r="G96" t="s">
        <v>35</v>
      </c>
      <c r="H96"/>
      <c r="I96"/>
      <c r="J96" s="203">
        <v>0</v>
      </c>
      <c r="K96">
        <v>1</v>
      </c>
      <c r="L96">
        <v>2</v>
      </c>
      <c r="N96"/>
      <c r="O96"/>
      <c r="P96" s="2" t="s">
        <v>20</v>
      </c>
      <c r="Q96" s="2" t="s">
        <v>21</v>
      </c>
      <c r="R96" s="125">
        <v>3450</v>
      </c>
      <c r="S96" s="2" t="s">
        <v>20</v>
      </c>
    </row>
    <row r="97" spans="1:20" x14ac:dyDescent="0.35">
      <c r="A97" s="2">
        <v>96</v>
      </c>
      <c r="B97" t="s">
        <v>379</v>
      </c>
      <c r="C97" s="24">
        <v>46159</v>
      </c>
      <c r="D97" s="24">
        <v>46163</v>
      </c>
      <c r="E97" s="24">
        <v>46099</v>
      </c>
      <c r="F97" t="s">
        <v>31</v>
      </c>
      <c r="G97" t="s">
        <v>35</v>
      </c>
      <c r="H97" t="s">
        <v>380</v>
      </c>
      <c r="I97" t="s">
        <v>156</v>
      </c>
      <c r="J97" s="203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s="2" t="s">
        <v>20</v>
      </c>
    </row>
    <row r="98" spans="1:20" x14ac:dyDescent="0.35">
      <c r="A98" s="2">
        <v>97</v>
      </c>
      <c r="B98" t="s">
        <v>381</v>
      </c>
      <c r="C98" s="24">
        <v>46156</v>
      </c>
      <c r="D98" s="24">
        <v>46159</v>
      </c>
      <c r="E98" s="24">
        <v>46102</v>
      </c>
      <c r="F98" t="s">
        <v>53</v>
      </c>
      <c r="G98" t="s">
        <v>35</v>
      </c>
      <c r="H98"/>
      <c r="I98"/>
      <c r="J98" s="203">
        <v>0</v>
      </c>
      <c r="K98">
        <v>1</v>
      </c>
      <c r="L98">
        <v>2</v>
      </c>
      <c r="N98"/>
      <c r="O98"/>
      <c r="P98" s="2" t="s">
        <v>20</v>
      </c>
      <c r="Q98" s="2" t="s">
        <v>20</v>
      </c>
      <c r="R98" s="125">
        <v>2850</v>
      </c>
      <c r="S98" s="2" t="s">
        <v>20</v>
      </c>
    </row>
    <row r="99" spans="1:20" x14ac:dyDescent="0.35">
      <c r="A99" s="2">
        <v>98</v>
      </c>
      <c r="B99" t="s">
        <v>382</v>
      </c>
      <c r="C99" s="24">
        <v>46207</v>
      </c>
      <c r="D99" s="24">
        <v>46210</v>
      </c>
      <c r="E99" s="24">
        <v>46103</v>
      </c>
      <c r="F99" t="s">
        <v>53</v>
      </c>
      <c r="G99" t="s">
        <v>265</v>
      </c>
      <c r="H99"/>
      <c r="I99"/>
      <c r="J99" s="203">
        <v>0</v>
      </c>
      <c r="N99"/>
      <c r="O99"/>
    </row>
    <row r="100" spans="1:20" x14ac:dyDescent="0.35">
      <c r="A100" s="2">
        <v>99</v>
      </c>
      <c r="B100" t="s">
        <v>383</v>
      </c>
      <c r="C100" s="24">
        <v>46171</v>
      </c>
      <c r="D100" s="24">
        <v>46173</v>
      </c>
      <c r="E100" s="24">
        <v>46104</v>
      </c>
      <c r="F100" t="s">
        <v>53</v>
      </c>
      <c r="G100" t="s">
        <v>6</v>
      </c>
      <c r="H100"/>
      <c r="I100"/>
      <c r="J100" s="203">
        <v>0.1</v>
      </c>
      <c r="K100">
        <v>1</v>
      </c>
      <c r="L100">
        <v>2</v>
      </c>
      <c r="M100" s="116" t="s">
        <v>384</v>
      </c>
      <c r="N100" t="s">
        <v>385</v>
      </c>
      <c r="O100" t="s">
        <v>386</v>
      </c>
      <c r="P100" s="2" t="s">
        <v>20</v>
      </c>
      <c r="Q100" s="2" t="s">
        <v>21</v>
      </c>
      <c r="R100" s="125">
        <v>2070</v>
      </c>
      <c r="S100" s="2" t="s">
        <v>21</v>
      </c>
      <c r="T100" t="s">
        <v>387</v>
      </c>
    </row>
    <row r="101" spans="1:20" x14ac:dyDescent="0.35">
      <c r="A101" s="2">
        <v>100</v>
      </c>
      <c r="B101" t="s">
        <v>388</v>
      </c>
      <c r="C101" s="24">
        <v>46279</v>
      </c>
      <c r="D101" s="24">
        <v>46281</v>
      </c>
      <c r="E101" s="24">
        <v>46104</v>
      </c>
      <c r="F101" t="s">
        <v>53</v>
      </c>
      <c r="G101" t="s">
        <v>35</v>
      </c>
      <c r="H101"/>
      <c r="I101"/>
      <c r="J101" s="203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25">
        <v>1900</v>
      </c>
      <c r="S101" s="2" t="s">
        <v>20</v>
      </c>
    </row>
    <row r="102" spans="1:20" x14ac:dyDescent="0.35">
      <c r="A102" s="2">
        <v>101</v>
      </c>
      <c r="B102" t="s">
        <v>389</v>
      </c>
      <c r="C102" s="24">
        <v>46279</v>
      </c>
      <c r="D102" s="24">
        <v>46281</v>
      </c>
      <c r="E102" s="24">
        <v>46104</v>
      </c>
      <c r="F102" t="s">
        <v>53</v>
      </c>
      <c r="G102" t="s">
        <v>35</v>
      </c>
      <c r="H102"/>
      <c r="I102" t="s">
        <v>159</v>
      </c>
      <c r="J102" s="203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25">
        <v>1700</v>
      </c>
      <c r="S102" s="2" t="s">
        <v>20</v>
      </c>
    </row>
    <row r="103" spans="1:20" x14ac:dyDescent="0.35">
      <c r="A103" s="2">
        <v>102</v>
      </c>
      <c r="B103" t="s">
        <v>390</v>
      </c>
      <c r="C103" s="24">
        <v>46172</v>
      </c>
      <c r="D103" s="24">
        <v>46174</v>
      </c>
      <c r="E103" s="24">
        <v>46106</v>
      </c>
      <c r="F103" t="s">
        <v>53</v>
      </c>
      <c r="G103" t="s">
        <v>265</v>
      </c>
      <c r="H103"/>
      <c r="I103"/>
      <c r="N103"/>
      <c r="O103"/>
    </row>
    <row r="104" spans="1:20" x14ac:dyDescent="0.35">
      <c r="A104" s="2">
        <v>103</v>
      </c>
      <c r="B104" t="s">
        <v>391</v>
      </c>
      <c r="C104" s="24">
        <v>46277</v>
      </c>
      <c r="D104" s="24">
        <v>46284</v>
      </c>
      <c r="E104" s="24">
        <v>46107</v>
      </c>
      <c r="F104" t="s">
        <v>53</v>
      </c>
      <c r="G104" t="s">
        <v>6</v>
      </c>
      <c r="H104"/>
      <c r="I104" t="s">
        <v>159</v>
      </c>
      <c r="J104" s="203">
        <v>0.1</v>
      </c>
      <c r="K104">
        <v>1</v>
      </c>
      <c r="L104">
        <v>2</v>
      </c>
      <c r="M104" s="116" t="s">
        <v>392</v>
      </c>
      <c r="N104"/>
      <c r="O104"/>
      <c r="P104" s="2" t="s">
        <v>20</v>
      </c>
      <c r="Q104" s="2" t="s">
        <v>21</v>
      </c>
      <c r="R104" s="125">
        <v>6210</v>
      </c>
      <c r="S104" s="2" t="s">
        <v>20</v>
      </c>
    </row>
    <row r="105" spans="1:20" x14ac:dyDescent="0.35">
      <c r="A105" s="2">
        <v>104</v>
      </c>
      <c r="B105" t="s">
        <v>393</v>
      </c>
      <c r="C105" s="24">
        <v>46204</v>
      </c>
      <c r="D105" s="24">
        <v>46207</v>
      </c>
      <c r="E105" s="24">
        <v>46107</v>
      </c>
      <c r="F105" t="s">
        <v>53</v>
      </c>
      <c r="G105" t="s">
        <v>35</v>
      </c>
      <c r="H105"/>
      <c r="I105"/>
      <c r="J105" s="203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25">
        <v>3225</v>
      </c>
      <c r="S105" s="2" t="s">
        <v>20</v>
      </c>
    </row>
    <row r="106" spans="1:20" x14ac:dyDescent="0.35">
      <c r="A106" s="2">
        <v>105</v>
      </c>
      <c r="B106" t="s">
        <v>399</v>
      </c>
      <c r="C106" s="198">
        <v>46260</v>
      </c>
      <c r="D106" s="198">
        <v>46264</v>
      </c>
      <c r="E106" s="198">
        <v>46108</v>
      </c>
      <c r="F106" t="s">
        <v>53</v>
      </c>
      <c r="G106" t="s">
        <v>35</v>
      </c>
      <c r="H106"/>
      <c r="I106"/>
      <c r="J106">
        <v>0</v>
      </c>
      <c r="K106">
        <v>1</v>
      </c>
      <c r="L106">
        <v>1</v>
      </c>
      <c r="N106"/>
      <c r="O106"/>
      <c r="P106" s="2" t="s">
        <v>21</v>
      </c>
      <c r="Q106" s="2" t="s">
        <v>20</v>
      </c>
      <c r="R106" s="125">
        <v>3400</v>
      </c>
      <c r="S106" s="2" t="s">
        <v>20</v>
      </c>
    </row>
    <row r="107" spans="1:20" x14ac:dyDescent="0.35">
      <c r="A107" s="2">
        <v>106</v>
      </c>
      <c r="B107" t="s">
        <v>398</v>
      </c>
      <c r="C107" s="198">
        <v>46207</v>
      </c>
      <c r="D107" s="198">
        <v>46210</v>
      </c>
      <c r="E107" s="198">
        <v>46109</v>
      </c>
      <c r="F107" t="s">
        <v>53</v>
      </c>
      <c r="G107" t="s">
        <v>35</v>
      </c>
      <c r="H107"/>
      <c r="I107"/>
      <c r="J107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25">
        <v>3225</v>
      </c>
      <c r="S107" s="2" t="s">
        <v>20</v>
      </c>
    </row>
    <row r="108" spans="1:20" x14ac:dyDescent="0.35">
      <c r="A108" s="2">
        <v>107</v>
      </c>
      <c r="B108" t="s">
        <v>395</v>
      </c>
      <c r="C108" s="198">
        <v>46160</v>
      </c>
      <c r="D108" s="198">
        <v>46164</v>
      </c>
      <c r="E108" s="198">
        <v>46109</v>
      </c>
      <c r="F108" t="s">
        <v>396</v>
      </c>
      <c r="G108" t="s">
        <v>6</v>
      </c>
      <c r="H108"/>
      <c r="I108"/>
      <c r="J108" s="203">
        <v>0.05</v>
      </c>
      <c r="K108">
        <v>1</v>
      </c>
      <c r="L108">
        <v>2</v>
      </c>
      <c r="M108" t="s">
        <v>397</v>
      </c>
      <c r="N108"/>
      <c r="O108"/>
      <c r="P108" s="2" t="s">
        <v>20</v>
      </c>
      <c r="Q108" s="2" t="s">
        <v>21</v>
      </c>
      <c r="R108" s="125">
        <v>4370</v>
      </c>
      <c r="S108" s="2" t="s">
        <v>20</v>
      </c>
    </row>
    <row r="109" spans="1:20" x14ac:dyDescent="0.35">
      <c r="A109" s="2">
        <v>108</v>
      </c>
      <c r="B109" t="s">
        <v>432</v>
      </c>
      <c r="C109" s="198">
        <v>46159</v>
      </c>
      <c r="D109" s="198">
        <v>46163</v>
      </c>
      <c r="E109" s="198">
        <v>46118</v>
      </c>
      <c r="F109" t="s">
        <v>53</v>
      </c>
      <c r="G109" t="s">
        <v>6</v>
      </c>
      <c r="H109"/>
      <c r="I109"/>
      <c r="J109" s="211">
        <v>0.05</v>
      </c>
      <c r="K109">
        <v>1</v>
      </c>
      <c r="L109">
        <v>2</v>
      </c>
      <c r="M109" t="s">
        <v>433</v>
      </c>
      <c r="N109"/>
      <c r="O109" t="s">
        <v>434</v>
      </c>
      <c r="P109" s="2" t="s">
        <v>20</v>
      </c>
      <c r="Q109" s="2" t="s">
        <v>21</v>
      </c>
      <c r="R109" s="125">
        <v>4370</v>
      </c>
      <c r="S109" s="2" t="s">
        <v>20</v>
      </c>
    </row>
    <row r="110" spans="1:20" x14ac:dyDescent="0.35">
      <c r="A110" s="2">
        <v>109</v>
      </c>
      <c r="B110" t="s">
        <v>436</v>
      </c>
      <c r="C110" s="198">
        <v>46192</v>
      </c>
      <c r="D110" s="198">
        <v>46195</v>
      </c>
      <c r="E110" s="198">
        <v>46115</v>
      </c>
      <c r="F110" t="s">
        <v>31</v>
      </c>
      <c r="G110" t="s">
        <v>35</v>
      </c>
      <c r="H110"/>
      <c r="I110" t="s">
        <v>159</v>
      </c>
      <c r="J110">
        <v>0</v>
      </c>
      <c r="K110">
        <v>1</v>
      </c>
      <c r="L110">
        <v>1</v>
      </c>
      <c r="N110"/>
      <c r="O110"/>
      <c r="P110" s="2" t="s">
        <v>21</v>
      </c>
      <c r="Q110" s="2" t="s">
        <v>21</v>
      </c>
      <c r="R110" s="125">
        <v>2850</v>
      </c>
      <c r="S110" s="2" t="s">
        <v>20</v>
      </c>
    </row>
    <row r="111" spans="1:20" x14ac:dyDescent="0.35">
      <c r="A111" s="2">
        <v>110</v>
      </c>
      <c r="B111" t="s">
        <v>437</v>
      </c>
      <c r="C111" s="198">
        <v>46143</v>
      </c>
      <c r="D111" s="198">
        <v>46145</v>
      </c>
      <c r="E111" s="198">
        <v>46117</v>
      </c>
      <c r="F111" t="s">
        <v>53</v>
      </c>
      <c r="G111" t="s">
        <v>35</v>
      </c>
      <c r="H111"/>
      <c r="I111"/>
      <c r="J111">
        <v>0</v>
      </c>
      <c r="K111">
        <v>1</v>
      </c>
      <c r="L111">
        <v>2</v>
      </c>
      <c r="N111"/>
      <c r="O111"/>
      <c r="P111" s="2" t="s">
        <v>20</v>
      </c>
      <c r="Q111" s="2" t="s">
        <v>20</v>
      </c>
      <c r="R111" s="125">
        <v>1900</v>
      </c>
      <c r="S111" s="2" t="s">
        <v>20</v>
      </c>
    </row>
    <row r="112" spans="1:20" x14ac:dyDescent="0.35">
      <c r="A112" s="2">
        <v>111</v>
      </c>
      <c r="B112" t="s">
        <v>444</v>
      </c>
      <c r="C112" s="198">
        <v>46178</v>
      </c>
      <c r="D112" s="198">
        <v>46181</v>
      </c>
      <c r="E112" s="198">
        <v>46120</v>
      </c>
      <c r="F112" t="s">
        <v>53</v>
      </c>
      <c r="G112" t="s">
        <v>265</v>
      </c>
      <c r="H112"/>
      <c r="I112"/>
      <c r="J112">
        <v>0</v>
      </c>
      <c r="N112"/>
      <c r="O112"/>
      <c r="P112"/>
      <c r="Q112"/>
      <c r="R112"/>
      <c r="S112"/>
    </row>
    <row r="113" spans="1:20" x14ac:dyDescent="0.35">
      <c r="A113" s="2">
        <v>112</v>
      </c>
      <c r="B113" t="s">
        <v>445</v>
      </c>
      <c r="C113" s="198">
        <v>46195</v>
      </c>
      <c r="D113" s="198">
        <v>46199</v>
      </c>
      <c r="E113" s="198">
        <v>46121</v>
      </c>
      <c r="F113" t="s">
        <v>53</v>
      </c>
      <c r="G113" t="s">
        <v>35</v>
      </c>
      <c r="H113"/>
      <c r="I113" t="s">
        <v>446</v>
      </c>
      <c r="J113">
        <v>0</v>
      </c>
      <c r="K113">
        <v>1</v>
      </c>
      <c r="L113">
        <v>2</v>
      </c>
      <c r="N113"/>
      <c r="O113"/>
      <c r="P113" s="2" t="s">
        <v>20</v>
      </c>
      <c r="Q113" s="2" t="s">
        <v>21</v>
      </c>
      <c r="R113" s="125">
        <v>4600</v>
      </c>
      <c r="S113" s="2" t="s">
        <v>20</v>
      </c>
    </row>
    <row r="114" spans="1:20" x14ac:dyDescent="0.35">
      <c r="A114" s="2">
        <v>113</v>
      </c>
      <c r="B114" t="s">
        <v>447</v>
      </c>
      <c r="C114" s="198">
        <v>46269</v>
      </c>
      <c r="D114" s="198">
        <v>46271</v>
      </c>
      <c r="E114" s="198">
        <v>46122</v>
      </c>
      <c r="F114" t="s">
        <v>53</v>
      </c>
      <c r="G114" t="s">
        <v>35</v>
      </c>
      <c r="H114"/>
      <c r="I114"/>
      <c r="J114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5">
        <v>1700</v>
      </c>
      <c r="S114" s="2" t="s">
        <v>20</v>
      </c>
    </row>
    <row r="115" spans="1:20" x14ac:dyDescent="0.35">
      <c r="A115" s="2">
        <v>114</v>
      </c>
      <c r="B115" t="s">
        <v>448</v>
      </c>
      <c r="C115" s="198">
        <v>46243</v>
      </c>
      <c r="D115" s="198">
        <v>46246</v>
      </c>
      <c r="E115" s="198">
        <v>46125</v>
      </c>
      <c r="F115" t="s">
        <v>53</v>
      </c>
      <c r="G115" t="s">
        <v>6</v>
      </c>
      <c r="H115"/>
      <c r="I115"/>
      <c r="J115" s="211">
        <v>0.1</v>
      </c>
      <c r="K115">
        <v>1</v>
      </c>
      <c r="L115">
        <v>2</v>
      </c>
      <c r="N115" t="s">
        <v>449</v>
      </c>
      <c r="O115"/>
      <c r="P115" s="2" t="s">
        <v>20</v>
      </c>
      <c r="Q115" s="2" t="s">
        <v>21</v>
      </c>
      <c r="R115" s="125">
        <v>3442.5</v>
      </c>
      <c r="S115" s="2" t="s">
        <v>21</v>
      </c>
      <c r="T115" t="s">
        <v>450</v>
      </c>
    </row>
    <row r="116" spans="1:20" x14ac:dyDescent="0.35">
      <c r="A116" s="2">
        <v>115</v>
      </c>
      <c r="B116" t="s">
        <v>451</v>
      </c>
      <c r="C116" s="198">
        <v>46233</v>
      </c>
      <c r="D116" s="198">
        <v>46236</v>
      </c>
      <c r="E116" s="198">
        <v>46125</v>
      </c>
      <c r="F116" t="s">
        <v>53</v>
      </c>
      <c r="G116" t="s">
        <v>6</v>
      </c>
      <c r="H116"/>
      <c r="I116"/>
      <c r="J116" s="211">
        <v>0.1</v>
      </c>
      <c r="K116">
        <v>1</v>
      </c>
      <c r="L116">
        <v>2</v>
      </c>
      <c r="M116" t="s">
        <v>452</v>
      </c>
      <c r="N116"/>
      <c r="O116"/>
      <c r="P116" s="2" t="s">
        <v>20</v>
      </c>
      <c r="Q116" s="2" t="s">
        <v>21</v>
      </c>
      <c r="R116" s="125">
        <v>3442.5</v>
      </c>
      <c r="S116" s="2" t="s">
        <v>453</v>
      </c>
    </row>
    <row r="117" spans="1:20" x14ac:dyDescent="0.35">
      <c r="A117" s="2">
        <v>116</v>
      </c>
      <c r="B117" t="s">
        <v>456</v>
      </c>
      <c r="C117" s="24">
        <v>46177</v>
      </c>
      <c r="D117" s="24">
        <v>46180</v>
      </c>
      <c r="E117" s="24">
        <v>46126</v>
      </c>
      <c r="F117" t="s">
        <v>53</v>
      </c>
      <c r="G117" t="s">
        <v>35</v>
      </c>
      <c r="K117">
        <v>1</v>
      </c>
      <c r="L117">
        <v>2</v>
      </c>
      <c r="P117" s="2" t="s">
        <v>20</v>
      </c>
      <c r="Q117" s="2" t="s">
        <v>20</v>
      </c>
      <c r="R117" s="125">
        <v>2850</v>
      </c>
      <c r="S117" s="2" t="s">
        <v>20</v>
      </c>
    </row>
    <row r="118" spans="1:20" x14ac:dyDescent="0.35">
      <c r="A118" s="2">
        <v>117</v>
      </c>
      <c r="B118" t="s">
        <v>454</v>
      </c>
      <c r="C118" s="24">
        <v>46173</v>
      </c>
      <c r="D118" s="24">
        <v>46178</v>
      </c>
      <c r="E118" s="24">
        <v>46130</v>
      </c>
      <c r="F118" t="s">
        <v>53</v>
      </c>
      <c r="G118" t="s">
        <v>35</v>
      </c>
      <c r="H118" s="1" t="s">
        <v>455</v>
      </c>
      <c r="I118" s="2" t="s">
        <v>156</v>
      </c>
      <c r="K118">
        <v>1</v>
      </c>
      <c r="L118">
        <v>2</v>
      </c>
      <c r="P118" s="2" t="s">
        <v>20</v>
      </c>
      <c r="Q118" s="2" t="s">
        <v>21</v>
      </c>
      <c r="R118" s="125">
        <v>5750</v>
      </c>
      <c r="S118" s="2" t="s">
        <v>21</v>
      </c>
      <c r="T118">
        <v>2019</v>
      </c>
    </row>
    <row r="119" spans="1:20" x14ac:dyDescent="0.35">
      <c r="A119" s="2">
        <v>118</v>
      </c>
      <c r="B119" t="s">
        <v>458</v>
      </c>
      <c r="C119" s="198">
        <v>46272</v>
      </c>
      <c r="D119" s="198">
        <v>46275</v>
      </c>
      <c r="E119" s="198">
        <v>46132</v>
      </c>
      <c r="F119" t="s">
        <v>53</v>
      </c>
      <c r="G119" t="s">
        <v>35</v>
      </c>
      <c r="H119" t="s">
        <v>443</v>
      </c>
      <c r="I119"/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5">
        <v>2850</v>
      </c>
      <c r="S119" s="2" t="s">
        <v>20</v>
      </c>
    </row>
    <row r="120" spans="1:20" x14ac:dyDescent="0.35">
      <c r="A120" s="2">
        <v>119</v>
      </c>
      <c r="B120" t="s">
        <v>459</v>
      </c>
      <c r="C120" s="198">
        <v>46179</v>
      </c>
      <c r="D120" s="198">
        <v>46182</v>
      </c>
      <c r="E120" s="198">
        <v>46135</v>
      </c>
      <c r="F120" t="s">
        <v>460</v>
      </c>
      <c r="G120" t="s">
        <v>35</v>
      </c>
      <c r="H120"/>
      <c r="I120"/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21</v>
      </c>
      <c r="R120" s="125">
        <v>3450</v>
      </c>
      <c r="S120" s="2" t="s">
        <v>20</v>
      </c>
    </row>
    <row r="121" spans="1:20" x14ac:dyDescent="0.35">
      <c r="A121" s="2">
        <v>120</v>
      </c>
      <c r="B121" t="s">
        <v>463</v>
      </c>
      <c r="C121" s="198">
        <v>46257</v>
      </c>
      <c r="D121" s="198">
        <v>46260</v>
      </c>
      <c r="E121" s="198">
        <v>46137</v>
      </c>
      <c r="F121" t="s">
        <v>53</v>
      </c>
      <c r="G121" t="s">
        <v>6</v>
      </c>
      <c r="H121"/>
      <c r="I121" t="s">
        <v>298</v>
      </c>
      <c r="J121" s="211">
        <v>0.1</v>
      </c>
      <c r="K121">
        <v>1</v>
      </c>
      <c r="L121">
        <v>2</v>
      </c>
      <c r="M121" t="s">
        <v>464</v>
      </c>
      <c r="N121" t="s">
        <v>465</v>
      </c>
      <c r="O121" t="s">
        <v>466</v>
      </c>
      <c r="P121" s="2" t="s">
        <v>20</v>
      </c>
      <c r="Q121" s="2" t="s">
        <v>21</v>
      </c>
      <c r="R121" s="125">
        <v>0</v>
      </c>
      <c r="S121" s="2" t="s">
        <v>21</v>
      </c>
      <c r="T121" t="s">
        <v>467</v>
      </c>
    </row>
    <row r="122" spans="1:20" x14ac:dyDescent="0.35">
      <c r="A122" s="2">
        <v>121</v>
      </c>
      <c r="B122" t="s">
        <v>468</v>
      </c>
      <c r="C122" s="198">
        <v>46247</v>
      </c>
      <c r="D122" s="198">
        <v>46250</v>
      </c>
      <c r="E122" s="198">
        <v>46137</v>
      </c>
      <c r="F122" t="s">
        <v>53</v>
      </c>
      <c r="G122" t="s">
        <v>6</v>
      </c>
      <c r="H122"/>
      <c r="I122"/>
      <c r="J122" s="211">
        <v>0.05</v>
      </c>
      <c r="K122">
        <v>1</v>
      </c>
      <c r="L122">
        <v>2</v>
      </c>
      <c r="M122" t="s">
        <v>469</v>
      </c>
      <c r="N122" t="s">
        <v>470</v>
      </c>
      <c r="O122" t="s">
        <v>471</v>
      </c>
      <c r="P122" s="2" t="s">
        <v>20</v>
      </c>
      <c r="Q122" s="2" t="s">
        <v>21</v>
      </c>
      <c r="R122" s="125">
        <v>3277.5</v>
      </c>
      <c r="S122" s="2" t="s">
        <v>20</v>
      </c>
      <c r="T122" t="s">
        <v>472</v>
      </c>
    </row>
    <row r="123" spans="1:20" x14ac:dyDescent="0.35">
      <c r="A123" s="2">
        <v>122</v>
      </c>
      <c r="B123" t="s">
        <v>473</v>
      </c>
      <c r="C123" s="198">
        <v>46257</v>
      </c>
      <c r="D123" s="198">
        <v>46259</v>
      </c>
      <c r="E123" s="198">
        <v>46140</v>
      </c>
      <c r="F123" t="s">
        <v>53</v>
      </c>
      <c r="G123" t="s">
        <v>6</v>
      </c>
      <c r="H123"/>
      <c r="I123"/>
      <c r="J123" s="211">
        <v>0.05</v>
      </c>
      <c r="K123">
        <v>1</v>
      </c>
      <c r="L123">
        <v>2</v>
      </c>
      <c r="M123" t="s">
        <v>474</v>
      </c>
      <c r="N123"/>
      <c r="O123"/>
      <c r="P123" s="2" t="s">
        <v>20</v>
      </c>
      <c r="Q123" s="2" t="s">
        <v>21</v>
      </c>
      <c r="R123" s="125">
        <v>2185</v>
      </c>
      <c r="S123" s="2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AC1" workbookViewId="0">
      <pane ySplit="1" topLeftCell="A198" activePane="bottomLeft" state="frozen"/>
      <selection pane="bottomLeft" activeCell="AE210" sqref="AE210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287</v>
      </c>
      <c r="BU1" s="2" t="str">
        <f>BT1</f>
        <v>CZ</v>
      </c>
      <c r="BV1" s="174" t="s">
        <v>290</v>
      </c>
      <c r="BW1" s="174" t="s">
        <v>290</v>
      </c>
      <c r="BX1" s="134" t="s">
        <v>291</v>
      </c>
      <c r="BY1" s="134" t="s">
        <v>291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0</v>
      </c>
      <c r="D41">
        <f>Database!D41-Database!C41</f>
        <v>3</v>
      </c>
      <c r="F41">
        <f>Database!L41</f>
        <v>0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4">
        <f t="shared" si="9"/>
        <v>0</v>
      </c>
      <c r="BC41" s="34">
        <f t="shared" si="10"/>
        <v>0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2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0</v>
      </c>
      <c r="D72">
        <f>Database!D72-Database!C72</f>
        <v>4</v>
      </c>
      <c r="F72">
        <f>Database!L72</f>
        <v>0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0</v>
      </c>
      <c r="D83">
        <f>Database!D83-Database!C83</f>
        <v>2</v>
      </c>
      <c r="F83">
        <f>Database!L83</f>
        <v>0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98</v>
      </c>
      <c r="B99" s="24">
        <f>Database!E99</f>
        <v>46103</v>
      </c>
      <c r="C99">
        <f>IF(Database!G99="cansl",0,Database!K99)</f>
        <v>0</v>
      </c>
      <c r="D99">
        <f>Database!D99-Database!C99</f>
        <v>3</v>
      </c>
      <c r="F99">
        <f>Database!L99</f>
        <v>0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102</v>
      </c>
      <c r="B103" s="24">
        <f>Database!E103</f>
        <v>46106</v>
      </c>
      <c r="C103">
        <f>IF(Database!G103="cansl",0,Database!K103)</f>
        <v>0</v>
      </c>
      <c r="D103">
        <f>Database!D103-Database!C103</f>
        <v>2</v>
      </c>
      <c r="F103">
        <f>Database!L103</f>
        <v>0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7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4">
        <f t="shared" si="63"/>
        <v>2</v>
      </c>
      <c r="BC104" s="34">
        <f t="shared" si="64"/>
        <v>14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105</v>
      </c>
      <c r="B106" s="24">
        <f>Database!E106</f>
        <v>46108</v>
      </c>
      <c r="C106">
        <f>IF(Database!G106="cansl",0,Database!K106)</f>
        <v>1</v>
      </c>
      <c r="D106">
        <f>Database!D106-Database!C106</f>
        <v>4</v>
      </c>
      <c r="F106">
        <f>Database!L106</f>
        <v>1</v>
      </c>
      <c r="G106" t="str">
        <f>Database!F106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106</v>
      </c>
      <c r="B107" s="24">
        <f>Database!E107</f>
        <v>46109</v>
      </c>
      <c r="C107">
        <f>IF(Database!G107="cansl",0,Database!K107)</f>
        <v>1</v>
      </c>
      <c r="D107">
        <f>Database!D107-Database!C107</f>
        <v>3</v>
      </c>
      <c r="F107">
        <f>Database!L107</f>
        <v>2</v>
      </c>
      <c r="G107" t="str">
        <f>Database!F107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107</v>
      </c>
      <c r="B108" s="24">
        <f>Database!E108</f>
        <v>46109</v>
      </c>
      <c r="C108">
        <f>IF(Database!G108="cansl",0,Database!K108)</f>
        <v>1</v>
      </c>
      <c r="D108">
        <f>Database!D108-Database!C108</f>
        <v>4</v>
      </c>
      <c r="F108">
        <f>Database!L108</f>
        <v>2</v>
      </c>
      <c r="G108" t="str">
        <f>Database!F108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108</v>
      </c>
      <c r="B109" s="24">
        <f>Database!E109</f>
        <v>46118</v>
      </c>
      <c r="C109">
        <f>IF(Database!G109="cansl",0,Database!K109)</f>
        <v>1</v>
      </c>
      <c r="D109">
        <f>Database!D109-Database!C109</f>
        <v>4</v>
      </c>
      <c r="F109">
        <f>Database!L109</f>
        <v>2</v>
      </c>
      <c r="G109" t="str">
        <f>Database!F109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4">
        <f t="shared" si="63"/>
        <v>2</v>
      </c>
      <c r="BC109" s="34">
        <f t="shared" si="64"/>
        <v>8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109</v>
      </c>
      <c r="B110" s="24">
        <f>Database!E110</f>
        <v>46115</v>
      </c>
      <c r="C110">
        <f>IF(Database!G110="cansl",0,Database!K110)</f>
        <v>1</v>
      </c>
      <c r="D110">
        <f>Database!D110-Database!C110</f>
        <v>3</v>
      </c>
      <c r="F110">
        <f>Database!L110</f>
        <v>1</v>
      </c>
      <c r="G110" t="str">
        <f>Database!F110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1</v>
      </c>
      <c r="BI110" s="34">
        <f t="shared" si="70"/>
        <v>3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110</v>
      </c>
      <c r="B111" s="24">
        <f>Database!E111</f>
        <v>46117</v>
      </c>
      <c r="C111">
        <f>IF(Database!G111="cansl",0,Database!K111)</f>
        <v>1</v>
      </c>
      <c r="D111">
        <f>Database!D111-Database!C111</f>
        <v>2</v>
      </c>
      <c r="F111">
        <f>Database!L111</f>
        <v>2</v>
      </c>
      <c r="G111" t="str">
        <f>Database!F111</f>
        <v>DK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4">
        <f t="shared" si="63"/>
        <v>2</v>
      </c>
      <c r="BC111" s="34">
        <f t="shared" si="64"/>
        <v>4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111</v>
      </c>
      <c r="B112" s="24">
        <f>Database!E112</f>
        <v>46120</v>
      </c>
      <c r="C112">
        <f>IF(Database!G112="cansl",0,Database!K112)</f>
        <v>0</v>
      </c>
      <c r="D112">
        <f>Database!D112-Database!C112</f>
        <v>3</v>
      </c>
      <c r="F112">
        <f>Database!L112</f>
        <v>0</v>
      </c>
      <c r="G112" t="str">
        <f>Database!F112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112</v>
      </c>
      <c r="B113" s="24">
        <f>Database!E113</f>
        <v>46121</v>
      </c>
      <c r="C113">
        <f>IF(Database!G113="cansl",0,Database!K113)</f>
        <v>1</v>
      </c>
      <c r="D113">
        <f>Database!D113-Database!C113</f>
        <v>4</v>
      </c>
      <c r="F113">
        <f>Database!L113</f>
        <v>2</v>
      </c>
      <c r="G113" t="str">
        <f>Database!F113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4</v>
      </c>
      <c r="AA113">
        <f t="shared" si="101"/>
        <v>4</v>
      </c>
      <c r="AB113">
        <f t="shared" si="101"/>
        <v>4</v>
      </c>
      <c r="AC113">
        <f t="shared" si="101"/>
        <v>4</v>
      </c>
      <c r="AD113">
        <f t="shared" si="101"/>
        <v>4</v>
      </c>
      <c r="AE113">
        <f t="shared" si="101"/>
        <v>4</v>
      </c>
      <c r="AF113">
        <f t="shared" si="101"/>
        <v>4</v>
      </c>
      <c r="AG113">
        <f t="shared" si="101"/>
        <v>4</v>
      </c>
      <c r="AH113">
        <f t="shared" si="102"/>
        <v>4</v>
      </c>
      <c r="AI113">
        <f t="shared" si="102"/>
        <v>4</v>
      </c>
      <c r="AJ113">
        <f t="shared" si="102"/>
        <v>4</v>
      </c>
      <c r="AK113">
        <f t="shared" si="102"/>
        <v>4</v>
      </c>
      <c r="AL113">
        <f t="shared" si="102"/>
        <v>4</v>
      </c>
      <c r="AM113">
        <f t="shared" si="102"/>
        <v>4</v>
      </c>
      <c r="AN113">
        <f t="shared" si="102"/>
        <v>4</v>
      </c>
      <c r="AO113">
        <f t="shared" si="102"/>
        <v>4</v>
      </c>
      <c r="AP113">
        <f t="shared" si="102"/>
        <v>4</v>
      </c>
      <c r="AQ113">
        <f t="shared" si="102"/>
        <v>4</v>
      </c>
      <c r="AR113">
        <f t="shared" si="103"/>
        <v>4</v>
      </c>
      <c r="AS113">
        <f t="shared" si="103"/>
        <v>4</v>
      </c>
      <c r="AT113">
        <f t="shared" si="103"/>
        <v>4</v>
      </c>
      <c r="AU113">
        <f t="shared" si="103"/>
        <v>4</v>
      </c>
      <c r="AV113">
        <f t="shared" si="103"/>
        <v>4</v>
      </c>
      <c r="AW113">
        <f t="shared" si="103"/>
        <v>4</v>
      </c>
      <c r="AX113">
        <f t="shared" si="103"/>
        <v>4</v>
      </c>
      <c r="BB113" s="34">
        <f t="shared" si="63"/>
        <v>2</v>
      </c>
      <c r="BC113" s="34">
        <f t="shared" si="64"/>
        <v>8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113</v>
      </c>
      <c r="B114" s="24">
        <f>Database!E114</f>
        <v>46122</v>
      </c>
      <c r="C114">
        <f>IF(Database!G114="cansl",0,Database!K114)</f>
        <v>1</v>
      </c>
      <c r="D114">
        <f>Database!D114-Database!C114</f>
        <v>2</v>
      </c>
      <c r="F114">
        <f>Database!L114</f>
        <v>1</v>
      </c>
      <c r="G114" t="str">
        <f>Database!F114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4">
        <f t="shared" si="63"/>
        <v>1</v>
      </c>
      <c r="BC114" s="34">
        <f t="shared" si="64"/>
        <v>2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114</v>
      </c>
      <c r="B115" s="24">
        <f>Database!E115</f>
        <v>46125</v>
      </c>
      <c r="C115">
        <f>IF(Database!G115="cansl",0,Database!K115)</f>
        <v>1</v>
      </c>
      <c r="D115">
        <f>Database!D115-Database!C115</f>
        <v>3</v>
      </c>
      <c r="F115">
        <f>Database!L115</f>
        <v>2</v>
      </c>
      <c r="G115" t="str">
        <f>Database!F115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4">
        <f t="shared" si="63"/>
        <v>2</v>
      </c>
      <c r="BC115" s="34">
        <f t="shared" si="64"/>
        <v>6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115</v>
      </c>
      <c r="B116" s="24">
        <f>Database!E116</f>
        <v>46125</v>
      </c>
      <c r="C116">
        <f>IF(Database!G116="cansl",0,Database!K116)</f>
        <v>1</v>
      </c>
      <c r="D116">
        <f>Database!D116-Database!C116</f>
        <v>3</v>
      </c>
      <c r="F116">
        <f>Database!L116</f>
        <v>2</v>
      </c>
      <c r="G116" t="str">
        <f>Database!F116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4">
        <f t="shared" si="63"/>
        <v>2</v>
      </c>
      <c r="BC116" s="34">
        <f t="shared" si="64"/>
        <v>6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116</v>
      </c>
      <c r="B117" s="24">
        <f>Database!E117</f>
        <v>46126</v>
      </c>
      <c r="C117">
        <f>IF(Database!G117="cansl",0,Database!K117)</f>
        <v>1</v>
      </c>
      <c r="D117">
        <f>Database!D117-Database!C117</f>
        <v>3</v>
      </c>
      <c r="F117">
        <f>Database!L117</f>
        <v>2</v>
      </c>
      <c r="G117" t="str">
        <f>Database!F117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4">
        <f t="shared" si="63"/>
        <v>2</v>
      </c>
      <c r="BC117" s="34">
        <f t="shared" si="64"/>
        <v>6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117</v>
      </c>
      <c r="B118" s="24">
        <f>Database!E118</f>
        <v>46130</v>
      </c>
      <c r="C118">
        <f>IF(Database!G118="cansl",0,Database!K118)</f>
        <v>1</v>
      </c>
      <c r="D118">
        <f>Database!D118-Database!C118</f>
        <v>5</v>
      </c>
      <c r="F118">
        <f>Database!L118</f>
        <v>2</v>
      </c>
      <c r="G118" t="str">
        <f>Database!F118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4">
        <f t="shared" si="63"/>
        <v>2</v>
      </c>
      <c r="BC118" s="34">
        <f t="shared" si="64"/>
        <v>10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118</v>
      </c>
      <c r="B119" s="24">
        <f>Database!E119</f>
        <v>46132</v>
      </c>
      <c r="C119">
        <f>IF(Database!G119="cansl",0,Database!K119)</f>
        <v>1</v>
      </c>
      <c r="D119">
        <f>Database!D119-Database!C119</f>
        <v>3</v>
      </c>
      <c r="F119">
        <f>Database!L119</f>
        <v>2</v>
      </c>
      <c r="G119" t="str">
        <f>Database!F119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4">
        <f t="shared" si="63"/>
        <v>2</v>
      </c>
      <c r="BC119" s="34">
        <f t="shared" si="64"/>
        <v>6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119</v>
      </c>
      <c r="B120" s="24">
        <f>Database!E120</f>
        <v>46135</v>
      </c>
      <c r="C120">
        <f>IF(Database!G120="cansl",0,Database!K120)</f>
        <v>1</v>
      </c>
      <c r="D120">
        <f>Database!D120-Database!C120</f>
        <v>3</v>
      </c>
      <c r="F120">
        <f>Database!L120</f>
        <v>2</v>
      </c>
      <c r="G120" t="str">
        <f>Database!F120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3</v>
      </c>
      <c r="AC120">
        <f t="shared" si="106"/>
        <v>3</v>
      </c>
      <c r="AD120">
        <f t="shared" si="107"/>
        <v>3</v>
      </c>
      <c r="AE120">
        <f t="shared" si="107"/>
        <v>3</v>
      </c>
      <c r="AF120">
        <f t="shared" si="107"/>
        <v>3</v>
      </c>
      <c r="AG120">
        <f t="shared" si="107"/>
        <v>3</v>
      </c>
      <c r="AH120">
        <f t="shared" si="107"/>
        <v>3</v>
      </c>
      <c r="AI120">
        <f t="shared" si="107"/>
        <v>3</v>
      </c>
      <c r="AJ120">
        <f t="shared" si="107"/>
        <v>3</v>
      </c>
      <c r="AK120">
        <f t="shared" si="107"/>
        <v>3</v>
      </c>
      <c r="AL120">
        <f t="shared" si="107"/>
        <v>3</v>
      </c>
      <c r="AM120">
        <f t="shared" si="107"/>
        <v>3</v>
      </c>
      <c r="AN120">
        <f t="shared" si="107"/>
        <v>3</v>
      </c>
      <c r="AO120">
        <f t="shared" si="107"/>
        <v>3</v>
      </c>
      <c r="AP120">
        <f t="shared" si="107"/>
        <v>3</v>
      </c>
      <c r="AQ120">
        <f t="shared" si="107"/>
        <v>3</v>
      </c>
      <c r="AR120">
        <f t="shared" si="108"/>
        <v>3</v>
      </c>
      <c r="AS120">
        <f t="shared" si="108"/>
        <v>3</v>
      </c>
      <c r="AT120">
        <f t="shared" si="108"/>
        <v>3</v>
      </c>
      <c r="AU120">
        <f t="shared" si="108"/>
        <v>3</v>
      </c>
      <c r="AV120">
        <f t="shared" si="108"/>
        <v>3</v>
      </c>
      <c r="AW120">
        <f t="shared" si="108"/>
        <v>3</v>
      </c>
      <c r="AX120">
        <f t="shared" si="108"/>
        <v>3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120</v>
      </c>
      <c r="B121" s="24">
        <f>Database!E121</f>
        <v>46137</v>
      </c>
      <c r="C121">
        <f>IF(Database!G121="cansl",0,Database!K121)</f>
        <v>1</v>
      </c>
      <c r="D121">
        <f>Database!D121-Database!C121</f>
        <v>3</v>
      </c>
      <c r="F121">
        <f>Database!L121</f>
        <v>2</v>
      </c>
      <c r="G121" t="str">
        <f>Database!F121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4">
        <f t="shared" si="63"/>
        <v>2</v>
      </c>
      <c r="BC121" s="34">
        <f t="shared" si="64"/>
        <v>6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121</v>
      </c>
      <c r="B122" s="24">
        <f>Database!E122</f>
        <v>46137</v>
      </c>
      <c r="C122">
        <f>IF(Database!G122="cansl",0,Database!K122)</f>
        <v>1</v>
      </c>
      <c r="D122">
        <f>Database!D122-Database!C122</f>
        <v>3</v>
      </c>
      <c r="F122">
        <f>Database!L122</f>
        <v>2</v>
      </c>
      <c r="G122" t="str">
        <f>Database!F122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4">
        <f t="shared" si="63"/>
        <v>2</v>
      </c>
      <c r="BC122" s="34">
        <f t="shared" si="64"/>
        <v>6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122</v>
      </c>
      <c r="B123" s="24">
        <f>Database!E123</f>
        <v>46140</v>
      </c>
      <c r="C123">
        <f>IF(Database!G123="cansl",0,Database!K123)</f>
        <v>1</v>
      </c>
      <c r="D123">
        <f>Database!D123-Database!C123</f>
        <v>2</v>
      </c>
      <c r="F123">
        <f>Database!L123</f>
        <v>2</v>
      </c>
      <c r="G123" t="str">
        <f>Database!F123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4">
        <f t="shared" si="63"/>
        <v>2</v>
      </c>
      <c r="BC123" s="34">
        <f t="shared" si="64"/>
        <v>4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169</v>
      </c>
      <c r="BC196" s="34">
        <f t="shared" si="167"/>
        <v>699</v>
      </c>
      <c r="BD196" s="34">
        <f t="shared" si="167"/>
        <v>19</v>
      </c>
      <c r="BE196" s="34">
        <f t="shared" si="167"/>
        <v>67</v>
      </c>
      <c r="BF196" s="34">
        <f t="shared" si="167"/>
        <v>0</v>
      </c>
      <c r="BG196" s="34">
        <f t="shared" si="167"/>
        <v>0</v>
      </c>
      <c r="BH196" s="34">
        <f t="shared" si="167"/>
        <v>27</v>
      </c>
      <c r="BI196" s="34">
        <f t="shared" si="167"/>
        <v>155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153</v>
      </c>
      <c r="K198">
        <f t="shared" ref="K198:AX198" si="168">SUM(K2:K195)</f>
        <v>158</v>
      </c>
      <c r="L198">
        <f t="shared" si="168"/>
        <v>172</v>
      </c>
      <c r="M198">
        <f t="shared" si="168"/>
        <v>221</v>
      </c>
      <c r="N198">
        <f t="shared" si="168"/>
        <v>259</v>
      </c>
      <c r="O198">
        <f t="shared" si="168"/>
        <v>319</v>
      </c>
      <c r="P198">
        <f t="shared" si="168"/>
        <v>335</v>
      </c>
      <c r="Q198">
        <f t="shared" si="168"/>
        <v>357</v>
      </c>
      <c r="R198">
        <f t="shared" si="168"/>
        <v>369</v>
      </c>
      <c r="S198">
        <f t="shared" si="168"/>
        <v>398</v>
      </c>
      <c r="T198">
        <f t="shared" si="168"/>
        <v>415</v>
      </c>
      <c r="U198">
        <f t="shared" si="168"/>
        <v>418</v>
      </c>
      <c r="V198">
        <f t="shared" si="168"/>
        <v>435</v>
      </c>
      <c r="W198">
        <f t="shared" si="168"/>
        <v>448</v>
      </c>
      <c r="X198">
        <f t="shared" si="168"/>
        <v>475</v>
      </c>
      <c r="Y198">
        <f t="shared" si="168"/>
        <v>480</v>
      </c>
      <c r="Z198">
        <f t="shared" si="168"/>
        <v>490</v>
      </c>
      <c r="AA198">
        <f t="shared" si="168"/>
        <v>504</v>
      </c>
      <c r="AB198">
        <f t="shared" si="168"/>
        <v>516</v>
      </c>
      <c r="AC198">
        <f t="shared" si="168"/>
        <v>518</v>
      </c>
      <c r="AD198">
        <f t="shared" si="168"/>
        <v>518</v>
      </c>
      <c r="AE198">
        <f t="shared" si="168"/>
        <v>518</v>
      </c>
      <c r="AF198">
        <f t="shared" si="168"/>
        <v>518</v>
      </c>
      <c r="AG198">
        <f t="shared" si="168"/>
        <v>518</v>
      </c>
      <c r="AH198">
        <f t="shared" si="168"/>
        <v>518</v>
      </c>
      <c r="AI198">
        <f t="shared" si="168"/>
        <v>518</v>
      </c>
      <c r="AJ198">
        <f t="shared" si="168"/>
        <v>518</v>
      </c>
      <c r="AK198">
        <f t="shared" si="168"/>
        <v>518</v>
      </c>
      <c r="AL198">
        <f t="shared" si="168"/>
        <v>518</v>
      </c>
      <c r="AM198">
        <f t="shared" si="168"/>
        <v>518</v>
      </c>
      <c r="AN198">
        <f t="shared" si="168"/>
        <v>518</v>
      </c>
      <c r="AO198">
        <f t="shared" si="168"/>
        <v>518</v>
      </c>
      <c r="AP198">
        <f t="shared" si="168"/>
        <v>518</v>
      </c>
      <c r="AQ198">
        <f t="shared" si="168"/>
        <v>518</v>
      </c>
      <c r="AR198">
        <f t="shared" si="168"/>
        <v>518</v>
      </c>
      <c r="AS198">
        <f t="shared" si="168"/>
        <v>518</v>
      </c>
      <c r="AT198">
        <f t="shared" si="168"/>
        <v>518</v>
      </c>
      <c r="AU198">
        <f t="shared" si="168"/>
        <v>518</v>
      </c>
      <c r="AV198">
        <f t="shared" si="168"/>
        <v>518</v>
      </c>
      <c r="AW198">
        <f t="shared" si="168"/>
        <v>518</v>
      </c>
      <c r="AX198">
        <f t="shared" si="168"/>
        <v>518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AC200" si="169">K198</f>
        <v>158</v>
      </c>
      <c r="L200">
        <f t="shared" si="169"/>
        <v>172</v>
      </c>
      <c r="M200">
        <f t="shared" si="169"/>
        <v>221</v>
      </c>
      <c r="N200">
        <f t="shared" si="169"/>
        <v>259</v>
      </c>
      <c r="O200">
        <f t="shared" si="169"/>
        <v>319</v>
      </c>
      <c r="P200">
        <f t="shared" si="169"/>
        <v>335</v>
      </c>
      <c r="Q200">
        <f t="shared" si="169"/>
        <v>357</v>
      </c>
      <c r="R200">
        <f t="shared" si="169"/>
        <v>369</v>
      </c>
      <c r="S200">
        <f t="shared" si="169"/>
        <v>398</v>
      </c>
      <c r="T200">
        <f t="shared" si="169"/>
        <v>415</v>
      </c>
      <c r="U200">
        <f t="shared" si="169"/>
        <v>418</v>
      </c>
      <c r="V200">
        <f t="shared" si="169"/>
        <v>435</v>
      </c>
      <c r="W200">
        <f t="shared" si="169"/>
        <v>448</v>
      </c>
      <c r="X200">
        <f t="shared" si="169"/>
        <v>475</v>
      </c>
      <c r="Y200">
        <f t="shared" si="169"/>
        <v>480</v>
      </c>
      <c r="Z200">
        <f t="shared" si="169"/>
        <v>490</v>
      </c>
      <c r="AA200">
        <f t="shared" si="169"/>
        <v>504</v>
      </c>
      <c r="AB200">
        <f t="shared" si="169"/>
        <v>516</v>
      </c>
      <c r="AC200">
        <f t="shared" si="169"/>
        <v>518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169</v>
      </c>
      <c r="BE202" s="34">
        <f>BD196</f>
        <v>19</v>
      </c>
      <c r="BF202" s="34">
        <f>BF196</f>
        <v>0</v>
      </c>
      <c r="BG202" s="34">
        <f>BH196</f>
        <v>27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699</v>
      </c>
      <c r="BE203" s="40">
        <f>BE196</f>
        <v>67</v>
      </c>
      <c r="BF203" s="40">
        <f>BG196</f>
        <v>0</v>
      </c>
      <c r="BG203" s="40">
        <f>BI196</f>
        <v>155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J24" sqref="J24"/>
    </sheetView>
  </sheetViews>
  <sheetFormatPr defaultRowHeight="14.5" x14ac:dyDescent="0.35"/>
  <sheetData>
    <row r="28" spans="1:13" ht="15" customHeight="1" thickBot="1" x14ac:dyDescent="0.4">
      <c r="A28" t="s">
        <v>154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5" t="s">
        <v>287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169</v>
      </c>
      <c r="C30" s="34">
        <f>'book stat'!BE202</f>
        <v>19</v>
      </c>
      <c r="D30" s="34">
        <f>'book stat'!BF202</f>
        <v>0</v>
      </c>
      <c r="E30" s="34">
        <f>'book stat'!BG202</f>
        <v>27</v>
      </c>
      <c r="F30" s="34">
        <f>'book stat'!BH202</f>
        <v>0</v>
      </c>
      <c r="G30" s="35">
        <f>'book stat'!BI202</f>
        <v>5</v>
      </c>
      <c r="H30" s="166">
        <f>'book stat'!BJ202</f>
        <v>0</v>
      </c>
      <c r="I30" s="167">
        <f>'book stat'!BK202</f>
        <v>0</v>
      </c>
      <c r="J30" s="167">
        <f>'book stat'!BL202</f>
        <v>3</v>
      </c>
      <c r="K30" s="168">
        <f>'book stat'!BM202</f>
        <v>2</v>
      </c>
      <c r="L30" s="169">
        <f>'book stat'!BN202</f>
        <v>0</v>
      </c>
      <c r="M30" s="170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699</v>
      </c>
      <c r="C31" s="34">
        <f>'book stat'!BE203</f>
        <v>67</v>
      </c>
      <c r="D31" s="34">
        <f>'book stat'!BF203</f>
        <v>0</v>
      </c>
      <c r="E31" s="34">
        <f>'book stat'!BG203</f>
        <v>155</v>
      </c>
      <c r="F31" s="34">
        <f>'book stat'!BH203</f>
        <v>0</v>
      </c>
      <c r="G31" s="35">
        <f>'book stat'!BI203</f>
        <v>29</v>
      </c>
      <c r="H31" s="171">
        <f>'book stat'!BJ203</f>
        <v>0</v>
      </c>
      <c r="I31" s="172">
        <f>'book stat'!BK203</f>
        <v>0</v>
      </c>
      <c r="J31" s="172">
        <f>'book stat'!BL203</f>
        <v>19</v>
      </c>
      <c r="K31" s="173">
        <f>'book stat'!BM203</f>
        <v>10</v>
      </c>
      <c r="L31" s="169">
        <f>'book stat'!BN203</f>
        <v>0</v>
      </c>
      <c r="M31" s="170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41" activePane="bottomLeft" state="frozen"/>
      <selection pane="bottomLeft" activeCell="R131" sqref="R131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4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15">
        <v>1</v>
      </c>
      <c r="E1" s="216"/>
      <c r="F1" s="66" t="s">
        <v>117</v>
      </c>
      <c r="G1" s="67" t="s">
        <v>8</v>
      </c>
      <c r="H1" s="217">
        <v>2</v>
      </c>
      <c r="I1" s="216"/>
      <c r="J1" s="66" t="s">
        <v>117</v>
      </c>
      <c r="K1" s="68" t="s">
        <v>8</v>
      </c>
      <c r="L1" s="217">
        <v>3</v>
      </c>
      <c r="M1" s="216"/>
      <c r="N1" s="66" t="s">
        <v>117</v>
      </c>
      <c r="O1" s="69" t="s">
        <v>8</v>
      </c>
      <c r="P1" s="215">
        <v>4</v>
      </c>
      <c r="Q1" s="216"/>
      <c r="R1" s="66" t="s">
        <v>117</v>
      </c>
      <c r="S1" s="68" t="s">
        <v>8</v>
      </c>
      <c r="T1" s="218">
        <v>5</v>
      </c>
      <c r="U1" s="219"/>
      <c r="V1" s="66" t="s">
        <v>117</v>
      </c>
      <c r="W1" s="68" t="s">
        <v>8</v>
      </c>
      <c r="X1" s="215">
        <v>6</v>
      </c>
      <c r="Y1" s="216"/>
      <c r="Z1" s="70" t="s">
        <v>118</v>
      </c>
      <c r="AA1" s="132">
        <f>SUM(AA2:AA171)</f>
        <v>524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8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8">
        <f>F2+J2+N2+R2+V2</f>
        <v>0</v>
      </c>
      <c r="AA2" s="133">
        <f>COUNT(E2,I2,M2,Q2,U2)</f>
        <v>0</v>
      </c>
      <c r="AB2" s="59">
        <f t="shared" ref="AB2:AB6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4"/>
      <c r="Q3" s="114"/>
      <c r="R3" s="60"/>
      <c r="S3" s="60"/>
      <c r="T3" s="114"/>
      <c r="U3" s="114"/>
      <c r="V3" s="117"/>
      <c r="W3" s="117"/>
      <c r="X3" s="22"/>
      <c r="Y3" s="22"/>
      <c r="Z3" s="138">
        <f t="shared" ref="Z3:Z66" si="2">F3+J3+N3+R3+V3</f>
        <v>0</v>
      </c>
      <c r="AA3" s="133">
        <f t="shared" ref="AA3:AA66" si="3">COUNT(E3,I3,M3,Q3,U3)</f>
        <v>0</v>
      </c>
      <c r="AB3" s="59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4"/>
      <c r="Q4" s="114"/>
      <c r="R4" s="60"/>
      <c r="S4" s="60"/>
      <c r="T4" s="114"/>
      <c r="U4" s="114"/>
      <c r="V4" s="117"/>
      <c r="W4" s="117"/>
      <c r="X4" s="22"/>
      <c r="Y4" s="22"/>
      <c r="Z4" s="138">
        <f t="shared" si="2"/>
        <v>0</v>
      </c>
      <c r="AA4" s="133">
        <f t="shared" si="3"/>
        <v>0</v>
      </c>
      <c r="AB4" s="59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4"/>
      <c r="Q5" s="114"/>
      <c r="R5" s="60"/>
      <c r="S5" s="60"/>
      <c r="T5" s="8"/>
      <c r="U5" s="8"/>
      <c r="V5" s="117"/>
      <c r="W5" s="117"/>
      <c r="X5" s="22"/>
      <c r="Y5" s="22"/>
      <c r="Z5" s="138">
        <f t="shared" si="2"/>
        <v>0</v>
      </c>
      <c r="AA5" s="133">
        <f t="shared" si="3"/>
        <v>0</v>
      </c>
      <c r="AB5" s="59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161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110</v>
      </c>
      <c r="J6" s="20"/>
      <c r="K6" s="19"/>
      <c r="L6" s="14"/>
      <c r="M6" s="8">
        <v>68</v>
      </c>
      <c r="N6" s="20"/>
      <c r="O6" s="20" t="s">
        <v>32</v>
      </c>
      <c r="P6" s="115"/>
      <c r="Q6" s="114">
        <v>28</v>
      </c>
      <c r="R6" s="60"/>
      <c r="S6" s="60"/>
      <c r="T6" s="8"/>
      <c r="U6" s="8">
        <v>28</v>
      </c>
      <c r="V6" s="117"/>
      <c r="W6" s="117" t="s">
        <v>32</v>
      </c>
      <c r="X6" s="22"/>
      <c r="Y6" s="22"/>
      <c r="Z6" s="138">
        <f t="shared" si="2"/>
        <v>0</v>
      </c>
      <c r="AA6" s="133">
        <f t="shared" si="3"/>
        <v>5</v>
      </c>
      <c r="AB6" s="59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110</v>
      </c>
      <c r="I7" s="8">
        <v>110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7">
        <v>1</v>
      </c>
      <c r="W7" s="117"/>
      <c r="X7" s="22"/>
      <c r="Y7" s="22"/>
      <c r="Z7" s="138">
        <f t="shared" si="2"/>
        <v>5</v>
      </c>
      <c r="AA7" s="133">
        <f t="shared" si="3"/>
        <v>5</v>
      </c>
      <c r="AB7" s="59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110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56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8">
        <f t="shared" si="2"/>
        <v>5</v>
      </c>
      <c r="AA8" s="133">
        <f t="shared" si="3"/>
        <v>1</v>
      </c>
      <c r="AB8" s="59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56">
        <v>72</v>
      </c>
      <c r="Q9" s="156">
        <v>72</v>
      </c>
      <c r="R9" s="20">
        <v>2</v>
      </c>
      <c r="S9" s="20" t="s">
        <v>336</v>
      </c>
      <c r="T9" s="8"/>
      <c r="U9" s="8"/>
      <c r="V9" s="20"/>
      <c r="W9" s="20"/>
      <c r="X9" s="22"/>
      <c r="Y9" s="22"/>
      <c r="Z9" s="138">
        <f t="shared" si="2"/>
        <v>2</v>
      </c>
      <c r="AA9" s="133">
        <f t="shared" si="3"/>
        <v>1</v>
      </c>
      <c r="AB9" s="59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56">
        <v>72</v>
      </c>
      <c r="Q10" s="156">
        <v>72</v>
      </c>
      <c r="R10" s="20">
        <v>2</v>
      </c>
      <c r="S10" s="20" t="s">
        <v>337</v>
      </c>
      <c r="T10" s="8"/>
      <c r="U10" s="8"/>
      <c r="V10" s="20"/>
      <c r="W10" s="20"/>
      <c r="X10" s="22"/>
      <c r="Y10" s="22"/>
      <c r="Z10" s="138">
        <f t="shared" si="2"/>
        <v>2</v>
      </c>
      <c r="AA10" s="133">
        <f>COUNT(E10,I11,M10,Q10,U10)</f>
        <v>1</v>
      </c>
      <c r="AB10" s="59">
        <f t="shared" si="0"/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56">
        <v>72</v>
      </c>
      <c r="Q11" s="156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8">
        <f t="shared" si="2"/>
        <v>2</v>
      </c>
      <c r="AA11" s="133">
        <f>COUNT(E11,#REF!,M11,Q11,U11)</f>
        <v>1</v>
      </c>
      <c r="AB11" s="59">
        <f t="shared" si="0"/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2">
        <v>80</v>
      </c>
      <c r="J12" s="20"/>
      <c r="K12" s="19" t="s">
        <v>156</v>
      </c>
      <c r="L12" s="14"/>
      <c r="M12" s="142">
        <v>80</v>
      </c>
      <c r="N12" s="20"/>
      <c r="O12" s="20" t="s">
        <v>156</v>
      </c>
      <c r="P12" s="156">
        <v>72</v>
      </c>
      <c r="Q12" s="156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8">
        <f t="shared" si="2"/>
        <v>2</v>
      </c>
      <c r="AA12" s="133">
        <f t="shared" si="3"/>
        <v>3</v>
      </c>
      <c r="AB12" s="59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4"/>
      <c r="E13" s="114"/>
      <c r="F13" s="20"/>
      <c r="G13" s="19"/>
      <c r="H13" s="142">
        <v>80</v>
      </c>
      <c r="I13" s="142">
        <v>80</v>
      </c>
      <c r="J13" s="20">
        <v>2</v>
      </c>
      <c r="K13" s="19"/>
      <c r="L13" s="144">
        <v>80</v>
      </c>
      <c r="M13" s="142">
        <v>80</v>
      </c>
      <c r="N13" s="20">
        <v>2</v>
      </c>
      <c r="O13" s="20"/>
      <c r="P13" s="156">
        <v>72</v>
      </c>
      <c r="Q13" s="156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8">
        <f t="shared" si="2"/>
        <v>6</v>
      </c>
      <c r="AA13" s="133">
        <f t="shared" si="3"/>
        <v>3</v>
      </c>
      <c r="AB13" s="59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4"/>
      <c r="E14" s="195"/>
      <c r="F14" s="20"/>
      <c r="G14" s="19"/>
      <c r="H14" s="142">
        <v>80</v>
      </c>
      <c r="I14" s="142">
        <v>80</v>
      </c>
      <c r="J14" s="20">
        <v>2</v>
      </c>
      <c r="K14" s="19"/>
      <c r="L14" s="144">
        <v>80</v>
      </c>
      <c r="M14" s="142">
        <v>80</v>
      </c>
      <c r="N14" s="20">
        <v>2</v>
      </c>
      <c r="O14" s="20"/>
      <c r="P14" s="156">
        <v>72</v>
      </c>
      <c r="Q14" s="156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8">
        <f t="shared" si="2"/>
        <v>6</v>
      </c>
      <c r="AA14" s="133">
        <f t="shared" si="3"/>
        <v>3</v>
      </c>
      <c r="AB14" s="59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4"/>
      <c r="E15" s="114"/>
      <c r="F15" s="20"/>
      <c r="G15" s="19"/>
      <c r="H15" s="142">
        <v>80</v>
      </c>
      <c r="I15" s="8"/>
      <c r="J15" s="20">
        <v>2</v>
      </c>
      <c r="K15" s="19"/>
      <c r="L15" s="144">
        <v>80</v>
      </c>
      <c r="M15" s="8"/>
      <c r="N15" s="20">
        <v>2</v>
      </c>
      <c r="O15" s="20"/>
      <c r="P15" s="156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8">
        <f t="shared" si="2"/>
        <v>4</v>
      </c>
      <c r="AA15" s="133">
        <f t="shared" si="3"/>
        <v>0</v>
      </c>
      <c r="AB15" s="59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1">
        <v>63</v>
      </c>
      <c r="V16" s="20"/>
      <c r="W16" s="20"/>
      <c r="X16" s="22"/>
      <c r="Y16" s="22"/>
      <c r="Z16" s="138">
        <f t="shared" si="2"/>
        <v>0</v>
      </c>
      <c r="AA16" s="133">
        <f t="shared" si="3"/>
        <v>1</v>
      </c>
      <c r="AB16" s="59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7"/>
      <c r="S17" s="117"/>
      <c r="T17" s="141">
        <v>63</v>
      </c>
      <c r="U17" s="141">
        <v>63</v>
      </c>
      <c r="V17" s="20"/>
      <c r="W17" s="20" t="s">
        <v>288</v>
      </c>
      <c r="X17" s="22"/>
      <c r="Y17" s="22"/>
      <c r="Z17" s="138">
        <f t="shared" si="2"/>
        <v>0</v>
      </c>
      <c r="AA17" s="133">
        <f t="shared" si="3"/>
        <v>1</v>
      </c>
      <c r="AB17" s="59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7"/>
      <c r="S18" s="117"/>
      <c r="T18" s="141">
        <v>63</v>
      </c>
      <c r="U18" s="8"/>
      <c r="V18" s="20"/>
      <c r="W18" s="20"/>
      <c r="X18" s="22"/>
      <c r="Y18" s="22"/>
      <c r="Z18" s="138">
        <f t="shared" si="2"/>
        <v>0</v>
      </c>
      <c r="AA18" s="133">
        <f t="shared" si="3"/>
        <v>1</v>
      </c>
      <c r="AB18" s="59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223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/>
      <c r="J19" s="117"/>
      <c r="K19" s="19"/>
      <c r="L19" s="14"/>
      <c r="M19" s="8">
        <v>95</v>
      </c>
      <c r="N19" s="20"/>
      <c r="O19" s="20"/>
      <c r="P19" s="8"/>
      <c r="Q19" s="194">
        <v>97</v>
      </c>
      <c r="R19" s="117"/>
      <c r="S19" s="117"/>
      <c r="T19" s="8"/>
      <c r="U19" s="8">
        <v>90</v>
      </c>
      <c r="V19" s="20"/>
      <c r="W19" s="20" t="s">
        <v>156</v>
      </c>
      <c r="X19" s="22"/>
      <c r="Y19" s="22"/>
      <c r="Z19" s="138">
        <f t="shared" si="2"/>
        <v>0</v>
      </c>
      <c r="AA19" s="133">
        <f t="shared" si="3"/>
        <v>4</v>
      </c>
      <c r="AB19" s="59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/>
      <c r="I20" s="8">
        <v>91</v>
      </c>
      <c r="J20" s="117"/>
      <c r="K20" s="19" t="s">
        <v>159</v>
      </c>
      <c r="L20" s="14">
        <v>95</v>
      </c>
      <c r="M20" s="8">
        <v>95</v>
      </c>
      <c r="N20" s="20">
        <v>2</v>
      </c>
      <c r="O20" s="20" t="s">
        <v>288</v>
      </c>
      <c r="P20" s="194">
        <v>97</v>
      </c>
      <c r="Q20" s="194">
        <v>97</v>
      </c>
      <c r="R20" s="117"/>
      <c r="S20" s="117"/>
      <c r="T20" s="8">
        <v>90</v>
      </c>
      <c r="U20" s="8">
        <v>90</v>
      </c>
      <c r="V20" s="20"/>
      <c r="W20" s="20" t="s">
        <v>288</v>
      </c>
      <c r="X20" s="22"/>
      <c r="Y20" s="22"/>
      <c r="Z20" s="138">
        <f t="shared" si="2"/>
        <v>2</v>
      </c>
      <c r="AA20" s="133">
        <f t="shared" si="3"/>
        <v>5</v>
      </c>
      <c r="AB20" s="59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2">
        <v>8</v>
      </c>
      <c r="F21" s="20"/>
      <c r="G21" s="19"/>
      <c r="H21" s="8">
        <v>91</v>
      </c>
      <c r="I21" s="8">
        <v>91</v>
      </c>
      <c r="J21" s="117">
        <v>2</v>
      </c>
      <c r="K21" s="19" t="s">
        <v>288</v>
      </c>
      <c r="L21" s="14">
        <v>95</v>
      </c>
      <c r="M21" s="8">
        <v>95</v>
      </c>
      <c r="N21" s="20">
        <v>2</v>
      </c>
      <c r="O21" s="20"/>
      <c r="P21" s="194">
        <v>97</v>
      </c>
      <c r="Q21" s="194">
        <v>97</v>
      </c>
      <c r="R21" s="117"/>
      <c r="S21" s="117"/>
      <c r="T21" s="8">
        <v>90</v>
      </c>
      <c r="U21" s="8">
        <v>90</v>
      </c>
      <c r="V21" s="20"/>
      <c r="W21" s="20"/>
      <c r="X21" s="22"/>
      <c r="Y21" s="22"/>
      <c r="Z21" s="138">
        <f t="shared" si="2"/>
        <v>4</v>
      </c>
      <c r="AA21" s="133">
        <f t="shared" si="3"/>
        <v>5</v>
      </c>
      <c r="AB21" s="59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2">
        <v>8</v>
      </c>
      <c r="E22" s="142">
        <v>8</v>
      </c>
      <c r="F22" s="20">
        <v>2</v>
      </c>
      <c r="G22" s="19" t="s">
        <v>157</v>
      </c>
      <c r="H22" s="8">
        <v>91</v>
      </c>
      <c r="I22" s="141">
        <v>108</v>
      </c>
      <c r="J22" s="117">
        <v>2</v>
      </c>
      <c r="K22" s="19" t="s">
        <v>159</v>
      </c>
      <c r="L22" s="14">
        <v>95</v>
      </c>
      <c r="M22" s="8"/>
      <c r="N22" s="20">
        <v>2</v>
      </c>
      <c r="O22" s="20"/>
      <c r="P22" s="194">
        <v>97</v>
      </c>
      <c r="Q22" s="8">
        <v>96</v>
      </c>
      <c r="R22" s="117"/>
      <c r="S22" s="117"/>
      <c r="T22" s="8">
        <v>90</v>
      </c>
      <c r="U22" s="142">
        <v>9</v>
      </c>
      <c r="V22" s="20"/>
      <c r="W22" s="20"/>
      <c r="X22" s="22"/>
      <c r="Y22" s="22"/>
      <c r="Z22" s="138">
        <f t="shared" si="2"/>
        <v>6</v>
      </c>
      <c r="AA22" s="133">
        <f t="shared" si="3"/>
        <v>4</v>
      </c>
      <c r="AB22" s="59">
        <f t="shared" si="0"/>
        <v>3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2">
        <v>8</v>
      </c>
      <c r="E23" s="142">
        <v>8</v>
      </c>
      <c r="F23" s="20">
        <v>2</v>
      </c>
      <c r="G23" s="19" t="s">
        <v>130</v>
      </c>
      <c r="H23" s="154">
        <v>108</v>
      </c>
      <c r="I23" s="141">
        <v>108</v>
      </c>
      <c r="J23" s="117">
        <v>2</v>
      </c>
      <c r="K23" s="19"/>
      <c r="L23" s="14"/>
      <c r="M23" s="141">
        <v>107</v>
      </c>
      <c r="N23" s="20"/>
      <c r="O23" s="20"/>
      <c r="P23" s="8">
        <v>96</v>
      </c>
      <c r="Q23" s="8">
        <v>96</v>
      </c>
      <c r="R23" s="117">
        <v>2</v>
      </c>
      <c r="S23" s="117" t="s">
        <v>157</v>
      </c>
      <c r="T23" s="142">
        <v>9</v>
      </c>
      <c r="U23" s="142">
        <v>9</v>
      </c>
      <c r="V23" s="20">
        <v>2</v>
      </c>
      <c r="W23" s="20" t="s">
        <v>135</v>
      </c>
      <c r="X23" s="22"/>
      <c r="Y23" s="22"/>
      <c r="Z23" s="138">
        <f t="shared" si="2"/>
        <v>8</v>
      </c>
      <c r="AA23" s="133">
        <f t="shared" si="3"/>
        <v>5</v>
      </c>
      <c r="AB23" s="59">
        <f t="shared" si="0"/>
        <v>1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2">
        <v>8</v>
      </c>
      <c r="E24" s="142">
        <v>8</v>
      </c>
      <c r="F24" s="20">
        <v>2</v>
      </c>
      <c r="G24" s="19"/>
      <c r="H24" s="154">
        <v>108</v>
      </c>
      <c r="I24" s="141">
        <v>108</v>
      </c>
      <c r="J24" s="20">
        <v>2</v>
      </c>
      <c r="K24" s="19"/>
      <c r="L24" s="154">
        <v>107</v>
      </c>
      <c r="M24" s="141">
        <v>107</v>
      </c>
      <c r="N24" s="20">
        <v>2</v>
      </c>
      <c r="O24" s="20" t="s">
        <v>394</v>
      </c>
      <c r="P24" s="8">
        <v>96</v>
      </c>
      <c r="Q24" s="8">
        <v>96</v>
      </c>
      <c r="R24" s="117">
        <v>2</v>
      </c>
      <c r="S24" s="117"/>
      <c r="T24" s="142">
        <v>9</v>
      </c>
      <c r="U24" s="142">
        <v>9</v>
      </c>
      <c r="V24" s="20">
        <v>2</v>
      </c>
      <c r="W24" s="20"/>
      <c r="X24" s="22"/>
      <c r="Y24" s="22"/>
      <c r="Z24" s="138">
        <f t="shared" si="2"/>
        <v>10</v>
      </c>
      <c r="AA24" s="133">
        <f t="shared" si="3"/>
        <v>5</v>
      </c>
      <c r="AB24" s="59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2">
        <v>8</v>
      </c>
      <c r="E25" s="142">
        <v>8</v>
      </c>
      <c r="F25" s="20">
        <v>2</v>
      </c>
      <c r="G25" s="19"/>
      <c r="H25" s="154">
        <v>108</v>
      </c>
      <c r="I25" s="141">
        <v>108</v>
      </c>
      <c r="J25" s="20">
        <v>2</v>
      </c>
      <c r="K25" s="19"/>
      <c r="L25" s="154">
        <v>107</v>
      </c>
      <c r="M25" s="141">
        <v>107</v>
      </c>
      <c r="N25" s="20">
        <v>2</v>
      </c>
      <c r="O25" s="20"/>
      <c r="P25" s="8">
        <v>96</v>
      </c>
      <c r="Q25" s="8">
        <v>96</v>
      </c>
      <c r="R25" s="117">
        <v>2</v>
      </c>
      <c r="S25" s="117"/>
      <c r="T25" s="142">
        <v>9</v>
      </c>
      <c r="U25" s="142">
        <v>9</v>
      </c>
      <c r="V25" s="20">
        <v>2</v>
      </c>
      <c r="W25" s="20"/>
      <c r="X25" s="22"/>
      <c r="Y25" s="22"/>
      <c r="Z25" s="138">
        <f t="shared" si="2"/>
        <v>10</v>
      </c>
      <c r="AA25" s="133">
        <f t="shared" si="3"/>
        <v>5</v>
      </c>
      <c r="AB25" s="59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2">
        <v>8</v>
      </c>
      <c r="E26" s="141">
        <v>20</v>
      </c>
      <c r="F26" s="20">
        <v>2</v>
      </c>
      <c r="G26" s="19"/>
      <c r="H26" s="154">
        <v>108</v>
      </c>
      <c r="I26" s="141">
        <v>20</v>
      </c>
      <c r="J26" s="20">
        <v>2</v>
      </c>
      <c r="K26" s="19"/>
      <c r="L26" s="154">
        <v>107</v>
      </c>
      <c r="M26" s="141">
        <v>107</v>
      </c>
      <c r="N26" s="114">
        <v>2</v>
      </c>
      <c r="O26" s="20"/>
      <c r="P26" s="8">
        <v>96</v>
      </c>
      <c r="Q26" s="141">
        <v>20</v>
      </c>
      <c r="R26" s="117">
        <v>2</v>
      </c>
      <c r="S26" s="117"/>
      <c r="T26" s="142">
        <v>9</v>
      </c>
      <c r="U26" s="142">
        <v>9</v>
      </c>
      <c r="V26" s="20">
        <v>2</v>
      </c>
      <c r="W26" s="20"/>
      <c r="X26" s="22"/>
      <c r="Y26" s="22"/>
      <c r="Z26" s="138">
        <f t="shared" si="2"/>
        <v>10</v>
      </c>
      <c r="AA26" s="133">
        <f t="shared" si="3"/>
        <v>5</v>
      </c>
      <c r="AB26" s="59">
        <f t="shared" si="0"/>
        <v>3</v>
      </c>
      <c r="AC26" s="23">
        <f t="shared" si="1"/>
        <v>3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41">
        <v>20</v>
      </c>
      <c r="E27" s="141">
        <v>20</v>
      </c>
      <c r="F27" s="117">
        <v>2</v>
      </c>
      <c r="G27" s="19"/>
      <c r="H27" s="154">
        <v>20</v>
      </c>
      <c r="I27" s="141">
        <v>20</v>
      </c>
      <c r="J27" s="20">
        <v>2</v>
      </c>
      <c r="K27" s="19"/>
      <c r="L27" s="192">
        <v>107</v>
      </c>
      <c r="M27" s="8"/>
      <c r="N27" s="114">
        <v>2</v>
      </c>
      <c r="O27" s="20"/>
      <c r="P27" s="141">
        <v>20</v>
      </c>
      <c r="Q27" s="141">
        <v>20</v>
      </c>
      <c r="R27" s="117">
        <v>2</v>
      </c>
      <c r="S27" s="117"/>
      <c r="T27" s="142">
        <v>9</v>
      </c>
      <c r="U27" s="142">
        <v>9</v>
      </c>
      <c r="V27" s="20">
        <v>2</v>
      </c>
      <c r="W27" s="20"/>
      <c r="X27" s="10"/>
      <c r="Y27" s="8"/>
      <c r="Z27" s="138">
        <f t="shared" si="2"/>
        <v>10</v>
      </c>
      <c r="AA27" s="133">
        <f t="shared" si="3"/>
        <v>4</v>
      </c>
      <c r="AB27" s="59">
        <f t="shared" si="0"/>
        <v>0</v>
      </c>
      <c r="AC27" s="23">
        <f t="shared" si="1"/>
        <v>1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41">
        <v>20</v>
      </c>
      <c r="E28" s="141">
        <v>20</v>
      </c>
      <c r="F28" s="117">
        <v>2</v>
      </c>
      <c r="G28" s="19"/>
      <c r="H28" s="154">
        <v>20</v>
      </c>
      <c r="I28" s="141">
        <v>20</v>
      </c>
      <c r="J28" s="20">
        <v>2</v>
      </c>
      <c r="K28" s="19"/>
      <c r="L28" s="10"/>
      <c r="M28" s="8"/>
      <c r="N28" s="114"/>
      <c r="O28" s="20"/>
      <c r="P28" s="141">
        <v>20</v>
      </c>
      <c r="Q28" s="141">
        <v>20</v>
      </c>
      <c r="R28" s="117">
        <v>2</v>
      </c>
      <c r="S28" s="117"/>
      <c r="T28" s="142">
        <v>9</v>
      </c>
      <c r="U28" s="142">
        <v>9</v>
      </c>
      <c r="V28" s="20">
        <v>2</v>
      </c>
      <c r="W28" s="20"/>
      <c r="X28" s="10"/>
      <c r="Y28" s="8"/>
      <c r="Z28" s="138">
        <f t="shared" si="2"/>
        <v>8</v>
      </c>
      <c r="AA28" s="133">
        <f t="shared" si="3"/>
        <v>4</v>
      </c>
      <c r="AB28" s="59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224</v>
      </c>
      <c r="B29" s="6" t="s">
        <v>128</v>
      </c>
      <c r="C29" s="7">
        <v>46166</v>
      </c>
      <c r="D29" s="141">
        <v>20</v>
      </c>
      <c r="E29" s="141">
        <v>20</v>
      </c>
      <c r="F29" s="117">
        <v>2</v>
      </c>
      <c r="G29" s="19"/>
      <c r="H29" s="154">
        <v>20</v>
      </c>
      <c r="I29" s="141">
        <v>20</v>
      </c>
      <c r="J29" s="20">
        <v>2</v>
      </c>
      <c r="K29" s="19"/>
      <c r="L29" s="10"/>
      <c r="M29" s="8"/>
      <c r="N29" s="114"/>
      <c r="O29" s="20"/>
      <c r="P29" s="141">
        <v>20</v>
      </c>
      <c r="Q29" s="141">
        <v>20</v>
      </c>
      <c r="R29" s="117">
        <v>2</v>
      </c>
      <c r="S29" s="117"/>
      <c r="T29" s="142">
        <v>9</v>
      </c>
      <c r="U29" s="8"/>
      <c r="V29" s="20">
        <v>2</v>
      </c>
      <c r="W29" s="20"/>
      <c r="X29" s="10"/>
      <c r="Y29" s="8"/>
      <c r="Z29" s="138">
        <f t="shared" si="2"/>
        <v>8</v>
      </c>
      <c r="AA29" s="133">
        <f t="shared" si="3"/>
        <v>3</v>
      </c>
      <c r="AB29" s="59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225</v>
      </c>
      <c r="B30" s="6" t="s">
        <v>122</v>
      </c>
      <c r="C30" s="7">
        <v>46167</v>
      </c>
      <c r="D30" s="141">
        <v>20</v>
      </c>
      <c r="E30" s="8"/>
      <c r="F30" s="117">
        <v>2</v>
      </c>
      <c r="G30" s="136"/>
      <c r="H30" s="154">
        <v>20</v>
      </c>
      <c r="I30" s="8"/>
      <c r="J30" s="20">
        <v>2</v>
      </c>
      <c r="K30" s="19"/>
      <c r="L30" s="10"/>
      <c r="M30" s="8"/>
      <c r="N30" s="114"/>
      <c r="O30" s="20"/>
      <c r="P30" s="141">
        <v>20</v>
      </c>
      <c r="Q30" s="8"/>
      <c r="R30" s="117">
        <v>2</v>
      </c>
      <c r="S30" s="117"/>
      <c r="T30" s="8"/>
      <c r="U30" s="8"/>
      <c r="V30" s="20"/>
      <c r="W30" s="20"/>
      <c r="X30" s="10"/>
      <c r="Y30" s="8"/>
      <c r="Z30" s="138">
        <f t="shared" si="2"/>
        <v>6</v>
      </c>
      <c r="AA30" s="133">
        <f t="shared" si="3"/>
        <v>0</v>
      </c>
      <c r="AB30" s="59">
        <f t="shared" si="0"/>
        <v>0</v>
      </c>
      <c r="AC30" s="23">
        <f t="shared" si="1"/>
        <v>3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17"/>
      <c r="G31" s="136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7"/>
      <c r="S31" s="117"/>
      <c r="T31" s="8"/>
      <c r="U31" s="8"/>
      <c r="V31" s="20"/>
      <c r="W31" s="20"/>
      <c r="X31" s="22"/>
      <c r="Y31" s="22"/>
      <c r="Z31" s="138">
        <f t="shared" si="2"/>
        <v>0</v>
      </c>
      <c r="AA31" s="133">
        <f t="shared" si="3"/>
        <v>0</v>
      </c>
      <c r="AB31" s="59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17"/>
      <c r="G32" s="136"/>
      <c r="H32" s="14"/>
      <c r="I32" s="8"/>
      <c r="J32" s="20"/>
      <c r="K32" s="19"/>
      <c r="L32" s="8"/>
      <c r="M32" s="142">
        <v>5</v>
      </c>
      <c r="N32" s="117"/>
      <c r="O32" s="117" t="s">
        <v>23</v>
      </c>
      <c r="P32" s="114"/>
      <c r="Q32" s="114"/>
      <c r="R32" s="114"/>
      <c r="S32" s="114"/>
      <c r="T32" s="8"/>
      <c r="U32" s="8"/>
      <c r="V32" s="20"/>
      <c r="W32" s="20"/>
      <c r="X32" s="22"/>
      <c r="Y32" s="22"/>
      <c r="Z32" s="138">
        <f t="shared" si="2"/>
        <v>0</v>
      </c>
      <c r="AA32" s="133">
        <f t="shared" si="3"/>
        <v>1</v>
      </c>
      <c r="AB32" s="59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17"/>
      <c r="G33" s="136"/>
      <c r="H33" s="14"/>
      <c r="I33" s="8"/>
      <c r="J33" s="20"/>
      <c r="K33" s="19"/>
      <c r="L33" s="142">
        <v>5</v>
      </c>
      <c r="M33" s="142">
        <v>5</v>
      </c>
      <c r="N33" s="117">
        <v>2</v>
      </c>
      <c r="O33" s="117"/>
      <c r="P33" s="114"/>
      <c r="Q33" s="114"/>
      <c r="R33" s="114"/>
      <c r="S33" s="114"/>
      <c r="T33" s="8"/>
      <c r="U33" s="8"/>
      <c r="V33" s="20"/>
      <c r="W33" s="20"/>
      <c r="X33" s="22"/>
      <c r="Y33" s="22"/>
      <c r="Z33" s="138">
        <f t="shared" si="2"/>
        <v>2</v>
      </c>
      <c r="AA33" s="133">
        <f t="shared" si="3"/>
        <v>1</v>
      </c>
      <c r="AB33" s="59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17"/>
      <c r="G34" s="136"/>
      <c r="H34" s="14"/>
      <c r="I34" s="8"/>
      <c r="J34" s="20"/>
      <c r="K34" s="19"/>
      <c r="L34" s="142">
        <v>5</v>
      </c>
      <c r="M34" s="142">
        <v>5</v>
      </c>
      <c r="N34" s="117">
        <v>2</v>
      </c>
      <c r="O34" s="117"/>
      <c r="P34" s="114"/>
      <c r="Q34" s="114"/>
      <c r="R34" s="114"/>
      <c r="S34" s="114"/>
      <c r="T34" s="8"/>
      <c r="U34" s="142">
        <v>99</v>
      </c>
      <c r="V34" s="20"/>
      <c r="W34" s="19" t="s">
        <v>156</v>
      </c>
      <c r="X34" s="22"/>
      <c r="Y34" s="22"/>
      <c r="Z34" s="138">
        <f t="shared" si="2"/>
        <v>2</v>
      </c>
      <c r="AA34" s="133">
        <f t="shared" si="3"/>
        <v>2</v>
      </c>
      <c r="AB34" s="59">
        <f t="shared" si="0"/>
        <v>1</v>
      </c>
      <c r="AC34" s="23">
        <f t="shared" si="1"/>
        <v>0</v>
      </c>
      <c r="AD34" s="18"/>
    </row>
    <row r="35" spans="1:30" ht="30" customHeight="1" x14ac:dyDescent="0.35">
      <c r="A35" s="6" t="s">
        <v>435</v>
      </c>
      <c r="B35" s="6" t="s">
        <v>127</v>
      </c>
      <c r="C35" s="7">
        <v>46172</v>
      </c>
      <c r="D35" s="8"/>
      <c r="E35" s="8"/>
      <c r="F35" s="117"/>
      <c r="G35" s="136"/>
      <c r="H35" s="14"/>
      <c r="I35" s="8"/>
      <c r="J35" s="20"/>
      <c r="K35" s="19"/>
      <c r="L35" s="142">
        <v>5</v>
      </c>
      <c r="M35" s="142">
        <v>5</v>
      </c>
      <c r="N35" s="117">
        <v>2</v>
      </c>
      <c r="O35" s="117"/>
      <c r="P35" s="114"/>
      <c r="Q35" s="114"/>
      <c r="R35" s="114"/>
      <c r="S35" s="114"/>
      <c r="T35" s="142">
        <v>99</v>
      </c>
      <c r="U35" s="147">
        <v>99</v>
      </c>
      <c r="V35" s="20">
        <v>2</v>
      </c>
      <c r="W35" s="19"/>
      <c r="X35" s="22"/>
      <c r="Y35" s="22"/>
      <c r="Z35" s="138">
        <f t="shared" si="2"/>
        <v>4</v>
      </c>
      <c r="AA35" s="133">
        <f t="shared" si="3"/>
        <v>2</v>
      </c>
      <c r="AB35" s="59">
        <f t="shared" si="0"/>
        <v>0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>
        <v>117</v>
      </c>
      <c r="F36" s="117"/>
      <c r="G36" s="136"/>
      <c r="H36" s="115"/>
      <c r="I36" s="156">
        <v>79</v>
      </c>
      <c r="J36" s="20"/>
      <c r="K36" s="19" t="s">
        <v>159</v>
      </c>
      <c r="L36" s="142">
        <v>5</v>
      </c>
      <c r="M36" s="142">
        <v>5</v>
      </c>
      <c r="N36" s="117">
        <v>2</v>
      </c>
      <c r="O36" s="117"/>
      <c r="P36" s="114"/>
      <c r="Q36" s="114"/>
      <c r="R36" s="114"/>
      <c r="S36" s="114"/>
      <c r="T36" s="142">
        <v>99</v>
      </c>
      <c r="U36" s="8"/>
      <c r="V36" s="20">
        <v>2</v>
      </c>
      <c r="W36" s="19"/>
      <c r="X36" s="22"/>
      <c r="Y36" s="22"/>
      <c r="Z36" s="138">
        <f t="shared" si="2"/>
        <v>4</v>
      </c>
      <c r="AA36" s="133">
        <f t="shared" si="3"/>
        <v>3</v>
      </c>
      <c r="AB36" s="59">
        <f t="shared" si="0"/>
        <v>2</v>
      </c>
      <c r="AC36" s="23">
        <f t="shared" si="1"/>
        <v>1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>
        <v>117</v>
      </c>
      <c r="E37" s="8">
        <v>117</v>
      </c>
      <c r="F37" s="117">
        <v>2</v>
      </c>
      <c r="G37" s="136"/>
      <c r="H37" s="156">
        <v>79</v>
      </c>
      <c r="I37" s="156">
        <v>79</v>
      </c>
      <c r="J37" s="20">
        <v>2</v>
      </c>
      <c r="K37" s="19"/>
      <c r="L37" s="142">
        <v>5</v>
      </c>
      <c r="M37" s="8"/>
      <c r="N37" s="20"/>
      <c r="O37" s="20"/>
      <c r="P37" s="114"/>
      <c r="Q37" s="114"/>
      <c r="R37" s="114"/>
      <c r="S37" s="117"/>
      <c r="T37" s="114"/>
      <c r="U37" s="114"/>
      <c r="V37" s="20"/>
      <c r="W37" s="20"/>
      <c r="X37" s="22"/>
      <c r="Y37" s="22"/>
      <c r="Z37" s="138">
        <f t="shared" si="2"/>
        <v>4</v>
      </c>
      <c r="AA37" s="133">
        <f t="shared" si="3"/>
        <v>2</v>
      </c>
      <c r="AB37" s="59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>
        <v>117</v>
      </c>
      <c r="E38" s="8">
        <v>117</v>
      </c>
      <c r="F38" s="117">
        <v>2</v>
      </c>
      <c r="G38" s="136"/>
      <c r="H38" s="156">
        <v>79</v>
      </c>
      <c r="I38" s="156">
        <v>79</v>
      </c>
      <c r="J38" s="20">
        <v>2</v>
      </c>
      <c r="K38" s="19"/>
      <c r="L38" s="8"/>
      <c r="M38" s="8"/>
      <c r="N38" s="20"/>
      <c r="O38" s="20"/>
      <c r="P38" s="114"/>
      <c r="Q38" s="114"/>
      <c r="R38" s="114"/>
      <c r="S38" s="117"/>
      <c r="T38" s="114"/>
      <c r="U38" s="142">
        <v>12</v>
      </c>
      <c r="V38" s="20"/>
      <c r="W38" s="20"/>
      <c r="X38" s="22"/>
      <c r="Y38" s="22"/>
      <c r="Z38" s="138">
        <f t="shared" si="2"/>
        <v>4</v>
      </c>
      <c r="AA38" s="133">
        <f t="shared" si="3"/>
        <v>3</v>
      </c>
      <c r="AB38" s="59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>
        <v>117</v>
      </c>
      <c r="E39" s="8">
        <v>117</v>
      </c>
      <c r="F39" s="117">
        <v>2</v>
      </c>
      <c r="G39" s="136"/>
      <c r="H39" s="156">
        <v>79</v>
      </c>
      <c r="I39" s="156">
        <v>79</v>
      </c>
      <c r="J39" s="20">
        <v>2</v>
      </c>
      <c r="K39" s="19"/>
      <c r="L39" s="8"/>
      <c r="M39" s="156">
        <v>27</v>
      </c>
      <c r="N39" s="20"/>
      <c r="O39" s="20" t="s">
        <v>159</v>
      </c>
      <c r="P39" s="114"/>
      <c r="Q39" s="114"/>
      <c r="R39" s="114"/>
      <c r="S39" s="117"/>
      <c r="T39" s="142">
        <v>12</v>
      </c>
      <c r="U39" s="142">
        <v>12</v>
      </c>
      <c r="V39" s="20"/>
      <c r="W39" s="20" t="s">
        <v>135</v>
      </c>
      <c r="X39" s="22"/>
      <c r="Y39" s="22"/>
      <c r="Z39" s="138">
        <f t="shared" si="2"/>
        <v>4</v>
      </c>
      <c r="AA39" s="133">
        <f t="shared" si="3"/>
        <v>4</v>
      </c>
      <c r="AB39" s="59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>
        <v>117</v>
      </c>
      <c r="E40" s="8">
        <v>117</v>
      </c>
      <c r="F40" s="117">
        <v>2</v>
      </c>
      <c r="G40" s="136"/>
      <c r="H40" s="156">
        <v>79</v>
      </c>
      <c r="I40" s="156">
        <v>79</v>
      </c>
      <c r="J40" s="20">
        <v>2</v>
      </c>
      <c r="K40" s="19"/>
      <c r="L40" s="155">
        <v>27</v>
      </c>
      <c r="M40" s="156">
        <v>27</v>
      </c>
      <c r="N40" s="20">
        <v>2</v>
      </c>
      <c r="O40" s="20"/>
      <c r="P40" s="114"/>
      <c r="Q40" s="114">
        <v>116</v>
      </c>
      <c r="R40" s="114"/>
      <c r="S40" s="117"/>
      <c r="T40" s="142">
        <v>12</v>
      </c>
      <c r="U40" s="142">
        <v>12</v>
      </c>
      <c r="V40" s="20"/>
      <c r="W40" s="20"/>
      <c r="X40" s="22"/>
      <c r="Y40" s="22"/>
      <c r="Z40" s="138">
        <f t="shared" si="2"/>
        <v>6</v>
      </c>
      <c r="AA40" s="133">
        <f t="shared" si="3"/>
        <v>5</v>
      </c>
      <c r="AB40" s="59">
        <f t="shared" si="0"/>
        <v>1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>
        <v>117</v>
      </c>
      <c r="E41" s="142">
        <v>6</v>
      </c>
      <c r="F41" s="117">
        <v>2</v>
      </c>
      <c r="G41" s="136" t="s">
        <v>156</v>
      </c>
      <c r="H41" s="156">
        <v>79</v>
      </c>
      <c r="I41" s="142">
        <v>6</v>
      </c>
      <c r="J41" s="20">
        <v>2</v>
      </c>
      <c r="K41" s="19"/>
      <c r="L41" s="156">
        <v>27</v>
      </c>
      <c r="M41" s="156">
        <v>27</v>
      </c>
      <c r="N41" s="20">
        <v>2</v>
      </c>
      <c r="O41" s="20"/>
      <c r="P41" s="114">
        <v>116</v>
      </c>
      <c r="Q41" s="114">
        <v>116</v>
      </c>
      <c r="R41" s="114"/>
      <c r="S41" s="117"/>
      <c r="T41" s="142">
        <v>12</v>
      </c>
      <c r="U41" s="142">
        <v>12</v>
      </c>
      <c r="V41" s="20"/>
      <c r="W41" s="20"/>
      <c r="X41" s="115"/>
      <c r="Y41" s="114"/>
      <c r="Z41" s="138">
        <f t="shared" si="2"/>
        <v>6</v>
      </c>
      <c r="AA41" s="133">
        <f t="shared" si="3"/>
        <v>5</v>
      </c>
      <c r="AB41" s="59">
        <f t="shared" si="0"/>
        <v>2</v>
      </c>
      <c r="AC41" s="23">
        <f t="shared" si="1"/>
        <v>2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3">
        <v>6</v>
      </c>
      <c r="E42" s="142">
        <v>6</v>
      </c>
      <c r="F42" s="117"/>
      <c r="G42" s="136"/>
      <c r="H42" s="144">
        <v>6</v>
      </c>
      <c r="I42" s="142">
        <v>6</v>
      </c>
      <c r="J42" s="20"/>
      <c r="K42" s="19"/>
      <c r="L42" s="156">
        <v>27</v>
      </c>
      <c r="M42" s="156">
        <v>27</v>
      </c>
      <c r="N42" s="20">
        <v>2</v>
      </c>
      <c r="O42" s="20" t="s">
        <v>156</v>
      </c>
      <c r="P42" s="114">
        <v>116</v>
      </c>
      <c r="Q42" s="114">
        <v>116</v>
      </c>
      <c r="R42" s="114"/>
      <c r="S42" s="117"/>
      <c r="T42" s="142">
        <v>12</v>
      </c>
      <c r="U42" s="114">
        <v>119</v>
      </c>
      <c r="V42" s="20"/>
      <c r="W42" s="20"/>
      <c r="X42" s="115"/>
      <c r="Y42" s="114"/>
      <c r="Z42" s="138">
        <f t="shared" si="2"/>
        <v>2</v>
      </c>
      <c r="AA42" s="133">
        <f t="shared" si="3"/>
        <v>5</v>
      </c>
      <c r="AB42" s="59">
        <f t="shared" si="0"/>
        <v>1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3">
        <v>6</v>
      </c>
      <c r="E43" s="8">
        <v>6</v>
      </c>
      <c r="F43" s="117"/>
      <c r="G43" s="136"/>
      <c r="H43" s="144">
        <v>6</v>
      </c>
      <c r="I43" s="8"/>
      <c r="J43" s="20"/>
      <c r="K43" s="19"/>
      <c r="L43" s="156">
        <v>27</v>
      </c>
      <c r="M43" s="156">
        <v>27</v>
      </c>
      <c r="N43" s="20">
        <v>2</v>
      </c>
      <c r="O43" s="20"/>
      <c r="P43" s="114">
        <v>116</v>
      </c>
      <c r="Q43" s="114"/>
      <c r="R43" s="114"/>
      <c r="S43" s="117"/>
      <c r="T43" s="114">
        <v>119</v>
      </c>
      <c r="U43" s="114">
        <v>119</v>
      </c>
      <c r="V43" s="20">
        <v>2</v>
      </c>
      <c r="W43" s="20" t="s">
        <v>457</v>
      </c>
      <c r="X43" s="115"/>
      <c r="Y43" s="114"/>
      <c r="Z43" s="138">
        <f t="shared" si="2"/>
        <v>4</v>
      </c>
      <c r="AA43" s="133">
        <f t="shared" si="3"/>
        <v>3</v>
      </c>
      <c r="AB43" s="59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>
        <v>6</v>
      </c>
      <c r="E44" s="8">
        <v>6</v>
      </c>
      <c r="F44" s="117"/>
      <c r="G44" s="136"/>
      <c r="H44" s="14"/>
      <c r="I44" s="142">
        <v>17</v>
      </c>
      <c r="J44" s="20"/>
      <c r="K44" s="19" t="s">
        <v>156</v>
      </c>
      <c r="L44" s="156">
        <v>27</v>
      </c>
      <c r="M44" s="156">
        <v>27</v>
      </c>
      <c r="N44" s="20">
        <v>2</v>
      </c>
      <c r="O44" s="20"/>
      <c r="P44" s="8"/>
      <c r="Q44" s="146">
        <v>15</v>
      </c>
      <c r="R44" s="117"/>
      <c r="S44" s="117"/>
      <c r="T44" s="8">
        <v>119</v>
      </c>
      <c r="U44" s="114">
        <v>119</v>
      </c>
      <c r="V44" s="20">
        <v>2</v>
      </c>
      <c r="W44" s="20"/>
      <c r="X44" s="22"/>
      <c r="Y44" s="22"/>
      <c r="Z44" s="138">
        <f t="shared" si="2"/>
        <v>4</v>
      </c>
      <c r="AA44" s="133">
        <f t="shared" si="3"/>
        <v>5</v>
      </c>
      <c r="AB44" s="59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>
        <v>6</v>
      </c>
      <c r="E45" s="142">
        <v>16</v>
      </c>
      <c r="F45" s="117"/>
      <c r="G45" s="136"/>
      <c r="H45" s="142">
        <v>17</v>
      </c>
      <c r="I45" s="142">
        <v>17</v>
      </c>
      <c r="J45" s="20">
        <v>2</v>
      </c>
      <c r="K45" s="19"/>
      <c r="L45" s="156">
        <v>27</v>
      </c>
      <c r="M45" s="142">
        <v>18</v>
      </c>
      <c r="N45" s="20">
        <v>2</v>
      </c>
      <c r="O45" s="20" t="s">
        <v>159</v>
      </c>
      <c r="P45" s="146">
        <v>15</v>
      </c>
      <c r="Q45" s="146">
        <v>15</v>
      </c>
      <c r="R45" s="117">
        <v>2</v>
      </c>
      <c r="S45" s="117"/>
      <c r="T45" s="114">
        <v>119</v>
      </c>
      <c r="U45" s="142">
        <v>16</v>
      </c>
      <c r="V45" s="20">
        <v>2</v>
      </c>
      <c r="W45" s="20"/>
      <c r="X45" s="22"/>
      <c r="Y45" s="22"/>
      <c r="Z45" s="138">
        <f t="shared" si="2"/>
        <v>8</v>
      </c>
      <c r="AA45" s="133">
        <f t="shared" si="3"/>
        <v>5</v>
      </c>
      <c r="AB45" s="59">
        <f t="shared" si="0"/>
        <v>3</v>
      </c>
      <c r="AC45" s="23">
        <f t="shared" si="1"/>
        <v>3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2">
        <v>16</v>
      </c>
      <c r="E46" s="142">
        <v>16</v>
      </c>
      <c r="F46" s="117">
        <v>2</v>
      </c>
      <c r="G46" s="136"/>
      <c r="H46" s="142">
        <v>17</v>
      </c>
      <c r="I46" s="145">
        <v>17</v>
      </c>
      <c r="J46" s="20">
        <v>2</v>
      </c>
      <c r="K46" s="19"/>
      <c r="L46" s="142">
        <v>18</v>
      </c>
      <c r="M46" s="147">
        <v>18</v>
      </c>
      <c r="N46" s="20">
        <v>2</v>
      </c>
      <c r="O46" s="20"/>
      <c r="P46" s="146">
        <v>15</v>
      </c>
      <c r="Q46" s="146">
        <v>15</v>
      </c>
      <c r="R46" s="117">
        <v>2</v>
      </c>
      <c r="S46" s="117"/>
      <c r="T46" s="142">
        <v>16</v>
      </c>
      <c r="U46" s="142">
        <v>16</v>
      </c>
      <c r="V46" s="20">
        <v>2</v>
      </c>
      <c r="W46" s="20"/>
      <c r="X46" s="22"/>
      <c r="Y46" s="22"/>
      <c r="Z46" s="138">
        <f t="shared" si="2"/>
        <v>10</v>
      </c>
      <c r="AA46" s="133">
        <f t="shared" si="3"/>
        <v>5</v>
      </c>
      <c r="AB46" s="59">
        <f t="shared" si="0"/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2">
        <v>16</v>
      </c>
      <c r="E47" s="142">
        <v>16</v>
      </c>
      <c r="F47" s="117">
        <v>2</v>
      </c>
      <c r="G47" s="136"/>
      <c r="H47" s="145">
        <v>17</v>
      </c>
      <c r="I47" s="145">
        <v>17</v>
      </c>
      <c r="J47" s="20">
        <v>2</v>
      </c>
      <c r="K47" s="19"/>
      <c r="L47" s="147">
        <v>18</v>
      </c>
      <c r="M47" s="142">
        <v>18</v>
      </c>
      <c r="N47" s="20">
        <v>2</v>
      </c>
      <c r="O47" s="20"/>
      <c r="P47" s="146">
        <v>15</v>
      </c>
      <c r="Q47" s="146">
        <v>15</v>
      </c>
      <c r="R47" s="117">
        <v>2</v>
      </c>
      <c r="S47" s="117"/>
      <c r="T47" s="142">
        <v>16</v>
      </c>
      <c r="U47" s="142">
        <v>16</v>
      </c>
      <c r="V47" s="20">
        <v>2</v>
      </c>
      <c r="W47" s="20"/>
      <c r="X47" s="22"/>
      <c r="Y47" s="22"/>
      <c r="Z47" s="138">
        <f t="shared" si="2"/>
        <v>10</v>
      </c>
      <c r="AA47" s="133">
        <f t="shared" si="3"/>
        <v>5</v>
      </c>
      <c r="AB47" s="59">
        <f t="shared" si="0"/>
        <v>0</v>
      </c>
      <c r="AC47" s="23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2">
        <v>16</v>
      </c>
      <c r="E48" s="142">
        <v>16</v>
      </c>
      <c r="F48" s="117">
        <v>2</v>
      </c>
      <c r="G48" s="136"/>
      <c r="H48" s="145">
        <v>17</v>
      </c>
      <c r="I48" s="145">
        <v>17</v>
      </c>
      <c r="J48" s="20">
        <v>2</v>
      </c>
      <c r="K48" s="19"/>
      <c r="L48" s="142">
        <v>18</v>
      </c>
      <c r="M48" s="142">
        <v>18</v>
      </c>
      <c r="N48" s="20">
        <v>2</v>
      </c>
      <c r="O48" s="20"/>
      <c r="P48" s="146">
        <v>15</v>
      </c>
      <c r="Q48" s="146">
        <v>15</v>
      </c>
      <c r="R48" s="117">
        <v>2</v>
      </c>
      <c r="S48" s="117"/>
      <c r="T48" s="142">
        <v>16</v>
      </c>
      <c r="U48" s="142">
        <v>16</v>
      </c>
      <c r="V48" s="20">
        <v>2</v>
      </c>
      <c r="W48" s="20"/>
      <c r="X48" s="22"/>
      <c r="Y48" s="22"/>
      <c r="Z48" s="138">
        <f t="shared" si="2"/>
        <v>10</v>
      </c>
      <c r="AA48" s="133">
        <f t="shared" si="3"/>
        <v>5</v>
      </c>
      <c r="AB48" s="59">
        <f t="shared" si="0"/>
        <v>0</v>
      </c>
      <c r="AC48" s="23">
        <f t="shared" si="4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2">
        <v>16</v>
      </c>
      <c r="E49" s="142">
        <v>16</v>
      </c>
      <c r="F49" s="117">
        <v>2</v>
      </c>
      <c r="G49" s="136"/>
      <c r="H49" s="145">
        <v>17</v>
      </c>
      <c r="I49" s="145">
        <v>17</v>
      </c>
      <c r="J49" s="20">
        <v>2</v>
      </c>
      <c r="K49" s="19"/>
      <c r="L49" s="142">
        <v>18</v>
      </c>
      <c r="M49" s="142">
        <v>18</v>
      </c>
      <c r="N49" s="20">
        <v>2</v>
      </c>
      <c r="O49" s="20"/>
      <c r="P49" s="146">
        <v>15</v>
      </c>
      <c r="Q49" s="146">
        <v>15</v>
      </c>
      <c r="R49" s="117">
        <v>2</v>
      </c>
      <c r="S49" s="117"/>
      <c r="T49" s="142">
        <v>16</v>
      </c>
      <c r="U49" s="142">
        <v>16</v>
      </c>
      <c r="V49" s="20">
        <v>2</v>
      </c>
      <c r="W49" s="20"/>
      <c r="X49" s="22"/>
      <c r="Y49" s="22"/>
      <c r="Z49" s="138">
        <f t="shared" si="2"/>
        <v>10</v>
      </c>
      <c r="AA49" s="133">
        <f t="shared" si="3"/>
        <v>5</v>
      </c>
      <c r="AB49" s="59">
        <f t="shared" si="0"/>
        <v>0</v>
      </c>
      <c r="AC49" s="23">
        <f t="shared" si="4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2">
        <v>16</v>
      </c>
      <c r="E50" s="142">
        <v>16</v>
      </c>
      <c r="F50" s="117">
        <v>2</v>
      </c>
      <c r="G50" s="136"/>
      <c r="H50" s="145">
        <v>17</v>
      </c>
      <c r="I50" s="145">
        <v>17</v>
      </c>
      <c r="J50" s="20">
        <v>2</v>
      </c>
      <c r="K50" s="19"/>
      <c r="L50" s="142">
        <v>18</v>
      </c>
      <c r="M50" s="114">
        <v>83</v>
      </c>
      <c r="N50" s="20">
        <v>2</v>
      </c>
      <c r="O50" s="20"/>
      <c r="P50" s="146">
        <v>15</v>
      </c>
      <c r="Q50" s="146">
        <v>15</v>
      </c>
      <c r="R50" s="117">
        <v>2</v>
      </c>
      <c r="S50" s="117"/>
      <c r="T50" s="142">
        <v>16</v>
      </c>
      <c r="U50" s="142">
        <v>16</v>
      </c>
      <c r="V50" s="20">
        <v>2</v>
      </c>
      <c r="W50" s="20"/>
      <c r="X50" s="22"/>
      <c r="Y50" s="22"/>
      <c r="Z50" s="138">
        <f t="shared" si="2"/>
        <v>10</v>
      </c>
      <c r="AA50" s="133">
        <f t="shared" si="3"/>
        <v>5</v>
      </c>
      <c r="AB50" s="59">
        <f t="shared" si="0"/>
        <v>1</v>
      </c>
      <c r="AC50" s="23">
        <f t="shared" si="4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2">
        <v>16</v>
      </c>
      <c r="E51" s="114"/>
      <c r="F51" s="117">
        <v>2</v>
      </c>
      <c r="G51" s="136"/>
      <c r="H51" s="145">
        <v>17</v>
      </c>
      <c r="I51" s="115"/>
      <c r="J51" s="20">
        <v>2</v>
      </c>
      <c r="K51" s="19"/>
      <c r="L51" s="114">
        <v>83</v>
      </c>
      <c r="M51" s="8">
        <v>83</v>
      </c>
      <c r="N51" s="20">
        <v>2</v>
      </c>
      <c r="O51" s="20"/>
      <c r="P51" s="146">
        <v>15</v>
      </c>
      <c r="Q51" s="182">
        <v>70</v>
      </c>
      <c r="R51" s="117"/>
      <c r="S51" s="117"/>
      <c r="T51" s="142">
        <v>16</v>
      </c>
      <c r="U51" s="142">
        <v>86</v>
      </c>
      <c r="V51" s="20">
        <v>2</v>
      </c>
      <c r="W51" s="20"/>
      <c r="X51" s="22"/>
      <c r="Y51" s="22"/>
      <c r="Z51" s="138">
        <f t="shared" si="2"/>
        <v>8</v>
      </c>
      <c r="AA51" s="133">
        <f t="shared" si="3"/>
        <v>3</v>
      </c>
      <c r="AB51" s="59">
        <f t="shared" si="0"/>
        <v>2</v>
      </c>
      <c r="AC51" s="23">
        <f t="shared" si="4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4"/>
      <c r="E52" s="8"/>
      <c r="F52" s="117"/>
      <c r="G52" s="136"/>
      <c r="H52" s="115"/>
      <c r="I52" s="8"/>
      <c r="J52" s="20">
        <v>2</v>
      </c>
      <c r="K52" s="19" t="s">
        <v>157</v>
      </c>
      <c r="L52" s="8">
        <v>83</v>
      </c>
      <c r="M52" s="8">
        <v>83</v>
      </c>
      <c r="N52" s="20">
        <v>2</v>
      </c>
      <c r="O52" s="20"/>
      <c r="P52" s="182">
        <v>70</v>
      </c>
      <c r="Q52" s="182">
        <v>70</v>
      </c>
      <c r="R52" s="117">
        <v>2</v>
      </c>
      <c r="S52" s="117"/>
      <c r="T52" s="142">
        <v>86</v>
      </c>
      <c r="U52" s="142">
        <v>86</v>
      </c>
      <c r="V52" s="20">
        <v>2</v>
      </c>
      <c r="W52" s="20" t="s">
        <v>157</v>
      </c>
      <c r="X52" s="22"/>
      <c r="Y52" s="22"/>
      <c r="Z52" s="138">
        <f t="shared" si="2"/>
        <v>8</v>
      </c>
      <c r="AA52" s="133">
        <f t="shared" si="3"/>
        <v>3</v>
      </c>
      <c r="AB52" s="59">
        <f t="shared" si="0"/>
        <v>0</v>
      </c>
      <c r="AC52" s="23">
        <f t="shared" si="4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2">
        <v>31</v>
      </c>
      <c r="F53" s="20"/>
      <c r="G53" s="20" t="s">
        <v>32</v>
      </c>
      <c r="H53" s="14"/>
      <c r="I53" s="8"/>
      <c r="J53" s="20">
        <v>2</v>
      </c>
      <c r="K53" s="19"/>
      <c r="L53" s="8">
        <v>83</v>
      </c>
      <c r="M53" s="8">
        <v>83</v>
      </c>
      <c r="N53" s="20">
        <v>2</v>
      </c>
      <c r="O53" s="20"/>
      <c r="P53" s="182">
        <v>70</v>
      </c>
      <c r="Q53" s="142">
        <v>70</v>
      </c>
      <c r="R53" s="117">
        <v>2</v>
      </c>
      <c r="S53" s="117"/>
      <c r="T53" s="142">
        <v>86</v>
      </c>
      <c r="U53" s="142">
        <v>86</v>
      </c>
      <c r="V53" s="20">
        <v>2</v>
      </c>
      <c r="W53" s="20" t="s">
        <v>267</v>
      </c>
      <c r="X53" s="22"/>
      <c r="Y53" s="22"/>
      <c r="Z53" s="138">
        <f t="shared" si="2"/>
        <v>8</v>
      </c>
      <c r="AA53" s="133">
        <f t="shared" si="3"/>
        <v>4</v>
      </c>
      <c r="AB53" s="59">
        <f t="shared" si="0"/>
        <v>1</v>
      </c>
      <c r="AC53" s="23">
        <f t="shared" si="4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2">
        <v>31</v>
      </c>
      <c r="E54" s="142">
        <v>31</v>
      </c>
      <c r="F54" s="20">
        <v>1</v>
      </c>
      <c r="G54" s="20"/>
      <c r="H54" s="8"/>
      <c r="I54" s="8"/>
      <c r="J54" s="20">
        <v>2</v>
      </c>
      <c r="K54" s="19"/>
      <c r="L54" s="8">
        <v>83</v>
      </c>
      <c r="M54" s="8"/>
      <c r="N54" s="20">
        <v>2</v>
      </c>
      <c r="O54" s="20"/>
      <c r="P54" s="142">
        <v>70</v>
      </c>
      <c r="Q54" s="142">
        <v>70</v>
      </c>
      <c r="R54" s="117">
        <v>2</v>
      </c>
      <c r="S54" s="117"/>
      <c r="T54" s="142">
        <v>86</v>
      </c>
      <c r="U54" s="142">
        <v>86</v>
      </c>
      <c r="V54" s="20">
        <v>2</v>
      </c>
      <c r="W54" s="20"/>
      <c r="X54" s="22"/>
      <c r="Y54" s="22"/>
      <c r="Z54" s="138">
        <f t="shared" si="2"/>
        <v>9</v>
      </c>
      <c r="AA54" s="133">
        <f t="shared" si="3"/>
        <v>3</v>
      </c>
      <c r="AB54" s="59">
        <f t="shared" si="0"/>
        <v>0</v>
      </c>
      <c r="AC54" s="23">
        <f t="shared" si="4"/>
        <v>1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2">
        <v>31</v>
      </c>
      <c r="E55" s="142">
        <v>31</v>
      </c>
      <c r="F55" s="20">
        <v>1</v>
      </c>
      <c r="G55" s="20"/>
      <c r="H55" s="8"/>
      <c r="I55" s="8">
        <v>109</v>
      </c>
      <c r="J55" s="20">
        <v>2</v>
      </c>
      <c r="K55" s="19" t="s">
        <v>32</v>
      </c>
      <c r="L55" s="8"/>
      <c r="M55" s="8">
        <v>56</v>
      </c>
      <c r="N55" s="117"/>
      <c r="O55" s="20"/>
      <c r="P55" s="142">
        <v>70</v>
      </c>
      <c r="Q55" s="142">
        <v>70</v>
      </c>
      <c r="R55" s="117">
        <v>2</v>
      </c>
      <c r="S55" s="117"/>
      <c r="T55" s="142">
        <v>86</v>
      </c>
      <c r="U55" s="142">
        <v>86</v>
      </c>
      <c r="V55" s="20">
        <v>2</v>
      </c>
      <c r="W55" s="20"/>
      <c r="X55" s="22"/>
      <c r="Y55" s="22"/>
      <c r="Z55" s="138">
        <f t="shared" si="2"/>
        <v>7</v>
      </c>
      <c r="AA55" s="133">
        <f t="shared" si="3"/>
        <v>5</v>
      </c>
      <c r="AB55" s="59">
        <f t="shared" si="0"/>
        <v>2</v>
      </c>
      <c r="AC55" s="23">
        <f t="shared" si="4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2">
        <v>31</v>
      </c>
      <c r="E56" s="142">
        <v>31</v>
      </c>
      <c r="F56" s="20">
        <v>1</v>
      </c>
      <c r="G56" s="20"/>
      <c r="H56" s="8">
        <v>109</v>
      </c>
      <c r="I56" s="8">
        <v>109</v>
      </c>
      <c r="J56" s="20"/>
      <c r="K56" s="19" t="s">
        <v>226</v>
      </c>
      <c r="L56" s="8">
        <v>56</v>
      </c>
      <c r="M56" s="8">
        <v>56</v>
      </c>
      <c r="N56" s="117">
        <v>2</v>
      </c>
      <c r="O56" s="20"/>
      <c r="P56" s="142">
        <v>70</v>
      </c>
      <c r="Q56" s="8"/>
      <c r="R56" s="117">
        <v>2</v>
      </c>
      <c r="S56" s="117"/>
      <c r="T56" s="142">
        <v>86</v>
      </c>
      <c r="U56" s="142">
        <v>86</v>
      </c>
      <c r="V56" s="20">
        <v>2</v>
      </c>
      <c r="W56" s="20"/>
      <c r="X56" s="22"/>
      <c r="Y56" s="22"/>
      <c r="Z56" s="138">
        <f t="shared" si="2"/>
        <v>7</v>
      </c>
      <c r="AA56" s="133">
        <f t="shared" si="3"/>
        <v>4</v>
      </c>
      <c r="AB56" s="59">
        <f t="shared" si="0"/>
        <v>0</v>
      </c>
      <c r="AC56" s="23">
        <f t="shared" si="4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2">
        <v>31</v>
      </c>
      <c r="E57" s="142">
        <v>31</v>
      </c>
      <c r="F57" s="20">
        <v>1</v>
      </c>
      <c r="G57" s="20"/>
      <c r="H57" s="8">
        <v>109</v>
      </c>
      <c r="I57" s="8">
        <v>109</v>
      </c>
      <c r="J57" s="20"/>
      <c r="K57" s="19"/>
      <c r="L57" s="8">
        <v>56</v>
      </c>
      <c r="M57" s="8"/>
      <c r="N57" s="117">
        <v>2</v>
      </c>
      <c r="O57" s="20"/>
      <c r="P57" s="8"/>
      <c r="Q57" s="8"/>
      <c r="R57" s="117"/>
      <c r="S57" s="117"/>
      <c r="T57" s="142">
        <v>86</v>
      </c>
      <c r="U57" s="142">
        <v>86</v>
      </c>
      <c r="V57" s="20">
        <v>2</v>
      </c>
      <c r="W57" s="20"/>
      <c r="X57" s="22"/>
      <c r="Y57" s="22"/>
      <c r="Z57" s="138">
        <f t="shared" si="2"/>
        <v>5</v>
      </c>
      <c r="AA57" s="133">
        <f t="shared" si="3"/>
        <v>3</v>
      </c>
      <c r="AB57" s="59">
        <f t="shared" si="0"/>
        <v>0</v>
      </c>
      <c r="AC57" s="23">
        <f t="shared" si="4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2">
        <v>31</v>
      </c>
      <c r="E58" s="8"/>
      <c r="F58" s="20">
        <v>1</v>
      </c>
      <c r="G58" s="20"/>
      <c r="H58" s="8">
        <v>109</v>
      </c>
      <c r="I58" s="22">
        <v>112</v>
      </c>
      <c r="J58" s="20"/>
      <c r="K58" s="19" t="s">
        <v>159</v>
      </c>
      <c r="L58" s="8"/>
      <c r="M58" s="8"/>
      <c r="N58" s="20"/>
      <c r="O58" s="20"/>
      <c r="P58" s="8"/>
      <c r="Q58" s="157">
        <v>37</v>
      </c>
      <c r="R58" s="117"/>
      <c r="S58" s="117"/>
      <c r="T58" s="142">
        <v>86</v>
      </c>
      <c r="U58" s="114"/>
      <c r="V58" s="20">
        <v>2</v>
      </c>
      <c r="W58" s="20"/>
      <c r="X58" s="22"/>
      <c r="Y58" s="22"/>
      <c r="Z58" s="138">
        <f t="shared" si="2"/>
        <v>3</v>
      </c>
      <c r="AA58" s="133">
        <f t="shared" si="3"/>
        <v>2</v>
      </c>
      <c r="AB58" s="59">
        <f t="shared" si="0"/>
        <v>2</v>
      </c>
      <c r="AC58" s="23">
        <f t="shared" si="4"/>
        <v>3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7"/>
      <c r="G59" s="136"/>
      <c r="H59" s="213">
        <v>112</v>
      </c>
      <c r="I59" s="22">
        <v>112</v>
      </c>
      <c r="J59" s="20">
        <v>2</v>
      </c>
      <c r="K59" s="19"/>
      <c r="L59" s="8"/>
      <c r="M59" s="8"/>
      <c r="N59" s="20"/>
      <c r="O59" s="20"/>
      <c r="P59" s="157">
        <v>37</v>
      </c>
      <c r="Q59" s="157">
        <v>37</v>
      </c>
      <c r="R59" s="117">
        <v>2</v>
      </c>
      <c r="S59" s="117"/>
      <c r="T59" s="114"/>
      <c r="U59" s="114"/>
      <c r="V59" s="20"/>
      <c r="W59" s="20"/>
      <c r="X59" s="22"/>
      <c r="Y59" s="22"/>
      <c r="Z59" s="138">
        <f t="shared" si="2"/>
        <v>4</v>
      </c>
      <c r="AA59" s="133">
        <f t="shared" si="3"/>
        <v>2</v>
      </c>
      <c r="AB59" s="59">
        <f t="shared" si="0"/>
        <v>0</v>
      </c>
      <c r="AC59" s="23">
        <f t="shared" si="4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7"/>
      <c r="G60" s="136"/>
      <c r="H60" s="213">
        <v>112</v>
      </c>
      <c r="I60" s="22">
        <v>112</v>
      </c>
      <c r="J60" s="20">
        <v>2</v>
      </c>
      <c r="K60" s="19"/>
      <c r="L60" s="8"/>
      <c r="M60" s="8"/>
      <c r="N60" s="20"/>
      <c r="O60" s="20"/>
      <c r="P60" s="157">
        <v>37</v>
      </c>
      <c r="Q60" s="157">
        <v>37</v>
      </c>
      <c r="R60" s="117">
        <v>2</v>
      </c>
      <c r="S60" s="117"/>
      <c r="T60" s="114"/>
      <c r="U60" s="114"/>
      <c r="V60" s="20"/>
      <c r="W60" s="20"/>
      <c r="X60" s="22"/>
      <c r="Y60" s="22"/>
      <c r="Z60" s="138">
        <f t="shared" si="2"/>
        <v>4</v>
      </c>
      <c r="AA60" s="133">
        <f t="shared" si="3"/>
        <v>2</v>
      </c>
      <c r="AB60" s="59">
        <f t="shared" si="0"/>
        <v>0</v>
      </c>
      <c r="AC60" s="23">
        <f t="shared" si="4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17"/>
      <c r="G61" s="136"/>
      <c r="H61" s="213">
        <v>112</v>
      </c>
      <c r="I61" s="129">
        <v>112</v>
      </c>
      <c r="J61" s="20">
        <v>2</v>
      </c>
      <c r="K61" s="19"/>
      <c r="L61" s="8"/>
      <c r="M61" s="8">
        <v>34</v>
      </c>
      <c r="N61" s="20"/>
      <c r="O61" s="20"/>
      <c r="P61" s="157">
        <v>37</v>
      </c>
      <c r="Q61" s="8">
        <v>64</v>
      </c>
      <c r="R61" s="117">
        <v>2</v>
      </c>
      <c r="S61" s="20" t="s">
        <v>159</v>
      </c>
      <c r="T61" s="114"/>
      <c r="U61" s="114"/>
      <c r="V61" s="20"/>
      <c r="W61" s="20"/>
      <c r="X61" s="22"/>
      <c r="Y61" s="22"/>
      <c r="Z61" s="138">
        <f t="shared" si="2"/>
        <v>4</v>
      </c>
      <c r="AA61" s="133">
        <f t="shared" si="3"/>
        <v>3</v>
      </c>
      <c r="AB61" s="59">
        <f t="shared" si="0"/>
        <v>2</v>
      </c>
      <c r="AC61" s="23">
        <f t="shared" si="4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17"/>
      <c r="G62" s="136"/>
      <c r="H62" s="129">
        <v>112</v>
      </c>
      <c r="I62" s="9">
        <v>61</v>
      </c>
      <c r="J62" s="20">
        <v>2</v>
      </c>
      <c r="K62" s="19"/>
      <c r="L62" s="8">
        <v>34</v>
      </c>
      <c r="M62" s="8">
        <v>34</v>
      </c>
      <c r="N62" s="20">
        <v>2</v>
      </c>
      <c r="O62" s="20" t="s">
        <v>226</v>
      </c>
      <c r="P62" s="8">
        <v>64</v>
      </c>
      <c r="Q62" s="8">
        <v>64</v>
      </c>
      <c r="R62" s="20"/>
      <c r="S62" s="20" t="s">
        <v>288</v>
      </c>
      <c r="T62" s="114"/>
      <c r="U62" s="114"/>
      <c r="V62" s="20"/>
      <c r="W62" s="20"/>
      <c r="X62" s="22"/>
      <c r="Y62" s="22"/>
      <c r="Z62" s="138">
        <f t="shared" si="2"/>
        <v>4</v>
      </c>
      <c r="AA62" s="133">
        <f t="shared" si="3"/>
        <v>4</v>
      </c>
      <c r="AB62" s="59">
        <f t="shared" si="0"/>
        <v>2</v>
      </c>
      <c r="AC62" s="23">
        <f t="shared" si="4"/>
        <v>1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17"/>
      <c r="G63" s="136" t="s">
        <v>157</v>
      </c>
      <c r="H63" s="9">
        <v>61</v>
      </c>
      <c r="I63" s="9">
        <v>61</v>
      </c>
      <c r="J63" s="20">
        <v>2</v>
      </c>
      <c r="K63" s="19" t="s">
        <v>157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14"/>
      <c r="U63" s="156">
        <v>77</v>
      </c>
      <c r="V63" s="20"/>
      <c r="W63" s="20" t="s">
        <v>23</v>
      </c>
      <c r="X63" s="22"/>
      <c r="Y63" s="22"/>
      <c r="Z63" s="138">
        <f t="shared" si="2"/>
        <v>4</v>
      </c>
      <c r="AA63" s="133">
        <f t="shared" si="3"/>
        <v>5</v>
      </c>
      <c r="AB63" s="59">
        <f t="shared" si="0"/>
        <v>1</v>
      </c>
      <c r="AC63" s="23">
        <f t="shared" si="4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17"/>
      <c r="G64" s="136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14"/>
      <c r="R64" s="20"/>
      <c r="S64" s="20"/>
      <c r="T64" s="156">
        <v>77</v>
      </c>
      <c r="U64" s="156">
        <v>77</v>
      </c>
      <c r="V64" s="20">
        <v>2</v>
      </c>
      <c r="W64" s="20"/>
      <c r="X64" s="22"/>
      <c r="Y64" s="22"/>
      <c r="Z64" s="138">
        <f t="shared" si="2"/>
        <v>6</v>
      </c>
      <c r="AA64" s="133">
        <f t="shared" si="3"/>
        <v>4</v>
      </c>
      <c r="AB64" s="59">
        <f t="shared" si="0"/>
        <v>0</v>
      </c>
      <c r="AC64" s="23">
        <f t="shared" si="4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17"/>
      <c r="G65" s="136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4"/>
      <c r="Q65" s="157">
        <v>76</v>
      </c>
      <c r="R65" s="20"/>
      <c r="S65" s="20" t="s">
        <v>159</v>
      </c>
      <c r="T65" s="156">
        <v>77</v>
      </c>
      <c r="U65" s="156">
        <v>77</v>
      </c>
      <c r="V65" s="20">
        <v>2</v>
      </c>
      <c r="W65" s="20"/>
      <c r="X65" s="22"/>
      <c r="Y65" s="22"/>
      <c r="Z65" s="138">
        <f t="shared" si="2"/>
        <v>6</v>
      </c>
      <c r="AA65" s="133">
        <f t="shared" si="3"/>
        <v>3</v>
      </c>
      <c r="AB65" s="59">
        <f t="shared" si="0"/>
        <v>1</v>
      </c>
      <c r="AC65" s="23">
        <f t="shared" si="4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17"/>
      <c r="G66" s="136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7">
        <v>76</v>
      </c>
      <c r="Q66" s="157">
        <v>76</v>
      </c>
      <c r="R66" s="117">
        <v>2</v>
      </c>
      <c r="S66" s="117"/>
      <c r="T66" s="156">
        <v>77</v>
      </c>
      <c r="U66" s="156">
        <v>77</v>
      </c>
      <c r="V66" s="20">
        <v>2</v>
      </c>
      <c r="W66" s="20"/>
      <c r="X66" s="22"/>
      <c r="Y66" s="22"/>
      <c r="Z66" s="138">
        <f t="shared" si="2"/>
        <v>6</v>
      </c>
      <c r="AA66" s="133">
        <f t="shared" si="3"/>
        <v>3</v>
      </c>
      <c r="AB66" s="59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3">
        <f t="shared" si="4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17"/>
      <c r="G67" s="136"/>
      <c r="H67" s="14"/>
      <c r="I67" s="157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7">
        <v>76</v>
      </c>
      <c r="Q67" s="157">
        <v>76</v>
      </c>
      <c r="R67" s="117">
        <v>2</v>
      </c>
      <c r="S67" s="117"/>
      <c r="T67" s="156">
        <v>77</v>
      </c>
      <c r="U67" s="156">
        <v>77</v>
      </c>
      <c r="V67" s="20">
        <v>2</v>
      </c>
      <c r="W67" s="20"/>
      <c r="X67" s="22"/>
      <c r="Y67" s="22"/>
      <c r="Z67" s="138">
        <f t="shared" ref="Z67:Z130" si="6">F67+J67+N67+R67+V67</f>
        <v>6</v>
      </c>
      <c r="AA67" s="133">
        <f t="shared" ref="AA67:AA130" si="7">COUNT(E67,I67,M67,Q67,U67)</f>
        <v>4</v>
      </c>
      <c r="AB67" s="59">
        <f t="shared" si="5"/>
        <v>1</v>
      </c>
      <c r="AC67" s="23">
        <f t="shared" si="4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17"/>
      <c r="G68" s="136"/>
      <c r="H68" s="196">
        <v>104</v>
      </c>
      <c r="I68" s="157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7">
        <v>76</v>
      </c>
      <c r="Q68" s="157">
        <v>76</v>
      </c>
      <c r="R68" s="117">
        <v>2</v>
      </c>
      <c r="S68" s="136"/>
      <c r="T68" s="156">
        <v>77</v>
      </c>
      <c r="U68" s="156">
        <v>77</v>
      </c>
      <c r="V68" s="20">
        <v>2</v>
      </c>
      <c r="W68" s="20"/>
      <c r="X68" s="128"/>
      <c r="Y68" s="129"/>
      <c r="Z68" s="138">
        <f t="shared" si="6"/>
        <v>6</v>
      </c>
      <c r="AA68" s="133">
        <f t="shared" si="7"/>
        <v>5</v>
      </c>
      <c r="AB68" s="59">
        <f t="shared" si="5"/>
        <v>1</v>
      </c>
      <c r="AC68" s="23">
        <f t="shared" si="4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7">
        <v>2</v>
      </c>
      <c r="G69" s="136" t="s">
        <v>227</v>
      </c>
      <c r="H69" s="196">
        <v>104</v>
      </c>
      <c r="I69" s="157">
        <v>104</v>
      </c>
      <c r="J69" s="20"/>
      <c r="K69" s="19"/>
      <c r="L69" s="8">
        <v>34</v>
      </c>
      <c r="M69" s="8">
        <v>34</v>
      </c>
      <c r="N69" s="20">
        <v>2</v>
      </c>
      <c r="O69" s="191"/>
      <c r="P69" s="212">
        <v>76</v>
      </c>
      <c r="Q69" s="142">
        <v>14</v>
      </c>
      <c r="R69" s="117">
        <v>2</v>
      </c>
      <c r="S69" s="136"/>
      <c r="T69" s="156">
        <v>77</v>
      </c>
      <c r="U69" s="156">
        <v>77</v>
      </c>
      <c r="V69" s="20">
        <v>2</v>
      </c>
      <c r="W69" s="20"/>
      <c r="X69" s="129"/>
      <c r="Y69" s="129"/>
      <c r="Z69" s="138">
        <f t="shared" si="6"/>
        <v>8</v>
      </c>
      <c r="AA69" s="133">
        <f t="shared" si="7"/>
        <v>5</v>
      </c>
      <c r="AB69" s="59">
        <f t="shared" si="5"/>
        <v>1</v>
      </c>
      <c r="AC69" s="23">
        <f t="shared" si="4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7">
        <v>2</v>
      </c>
      <c r="G70" s="136"/>
      <c r="H70" s="157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2">
        <v>14</v>
      </c>
      <c r="Q70" s="142">
        <v>14</v>
      </c>
      <c r="R70" s="117">
        <v>2</v>
      </c>
      <c r="S70" s="136"/>
      <c r="T70" s="156">
        <v>77</v>
      </c>
      <c r="U70" s="142">
        <v>7</v>
      </c>
      <c r="V70" s="20">
        <v>2</v>
      </c>
      <c r="W70" s="20"/>
      <c r="X70" s="129"/>
      <c r="Y70" s="129"/>
      <c r="Z70" s="138">
        <f t="shared" si="6"/>
        <v>8</v>
      </c>
      <c r="AA70" s="133">
        <f t="shared" si="7"/>
        <v>5</v>
      </c>
      <c r="AB70" s="59">
        <f t="shared" si="5"/>
        <v>2</v>
      </c>
      <c r="AC70" s="23">
        <f t="shared" si="4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7">
        <v>2</v>
      </c>
      <c r="G71" s="136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2">
        <v>14</v>
      </c>
      <c r="Q71" s="142">
        <v>14</v>
      </c>
      <c r="R71" s="117">
        <v>2</v>
      </c>
      <c r="S71" s="136"/>
      <c r="T71" s="142">
        <v>7</v>
      </c>
      <c r="U71" s="142">
        <v>7</v>
      </c>
      <c r="V71" s="20"/>
      <c r="W71" s="20"/>
      <c r="X71" s="129"/>
      <c r="Y71" s="129"/>
      <c r="Z71" s="138">
        <f t="shared" si="6"/>
        <v>6</v>
      </c>
      <c r="AA71" s="133">
        <f t="shared" si="7"/>
        <v>3</v>
      </c>
      <c r="AB71" s="59">
        <f t="shared" si="5"/>
        <v>0</v>
      </c>
      <c r="AC71" s="23">
        <f t="shared" si="4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7"/>
      <c r="G72" s="136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2">
        <v>14</v>
      </c>
      <c r="Q72" s="142">
        <v>14</v>
      </c>
      <c r="R72" s="117">
        <v>2</v>
      </c>
      <c r="S72" s="136"/>
      <c r="T72" s="142">
        <v>7</v>
      </c>
      <c r="U72" s="142">
        <v>7</v>
      </c>
      <c r="V72" s="20"/>
      <c r="W72" s="20"/>
      <c r="X72" s="129"/>
      <c r="Y72" s="129"/>
      <c r="Z72" s="138">
        <f t="shared" si="6"/>
        <v>2</v>
      </c>
      <c r="AA72" s="133">
        <f t="shared" si="7"/>
        <v>5</v>
      </c>
      <c r="AB72" s="59">
        <f t="shared" si="5"/>
        <v>2</v>
      </c>
      <c r="AC72" s="23">
        <f t="shared" si="4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7"/>
      <c r="G73" s="136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5">
        <v>14</v>
      </c>
      <c r="Q73" s="142">
        <v>14</v>
      </c>
      <c r="R73" s="117">
        <v>2</v>
      </c>
      <c r="S73" s="136"/>
      <c r="T73" s="142">
        <v>7</v>
      </c>
      <c r="U73" s="142">
        <v>7</v>
      </c>
      <c r="V73" s="20"/>
      <c r="W73" s="20"/>
      <c r="X73" s="129"/>
      <c r="Y73" s="129"/>
      <c r="Z73" s="138">
        <f t="shared" si="6"/>
        <v>2</v>
      </c>
      <c r="AA73" s="133">
        <f t="shared" si="7"/>
        <v>4</v>
      </c>
      <c r="AB73" s="59">
        <f t="shared" si="5"/>
        <v>0</v>
      </c>
      <c r="AC73" s="23">
        <f t="shared" si="4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7"/>
      <c r="G74" s="136"/>
      <c r="H74" s="8"/>
      <c r="I74" s="142">
        <v>13</v>
      </c>
      <c r="J74" s="20"/>
      <c r="K74" s="19"/>
      <c r="L74" s="8">
        <v>36</v>
      </c>
      <c r="M74" s="8">
        <v>36</v>
      </c>
      <c r="N74" s="20"/>
      <c r="O74" s="20"/>
      <c r="P74" s="145">
        <v>14</v>
      </c>
      <c r="Q74" s="145">
        <v>14</v>
      </c>
      <c r="R74" s="117">
        <v>2</v>
      </c>
      <c r="S74" s="136"/>
      <c r="T74" s="142">
        <v>7</v>
      </c>
      <c r="U74" s="142">
        <v>7</v>
      </c>
      <c r="V74" s="20"/>
      <c r="W74" s="20"/>
      <c r="X74" s="129"/>
      <c r="Y74" s="129"/>
      <c r="Z74" s="138">
        <f t="shared" si="6"/>
        <v>2</v>
      </c>
      <c r="AA74" s="133">
        <f t="shared" si="7"/>
        <v>5</v>
      </c>
      <c r="AB74" s="59">
        <f t="shared" si="5"/>
        <v>1</v>
      </c>
      <c r="AC74" s="23">
        <f t="shared" si="4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7">
        <v>69</v>
      </c>
      <c r="F75" s="117"/>
      <c r="G75" s="136"/>
      <c r="H75" s="142">
        <v>13</v>
      </c>
      <c r="I75" s="142">
        <v>13</v>
      </c>
      <c r="J75" s="20">
        <v>2</v>
      </c>
      <c r="K75" s="19"/>
      <c r="L75" s="8">
        <v>36</v>
      </c>
      <c r="M75" s="142">
        <v>84</v>
      </c>
      <c r="N75" s="20"/>
      <c r="O75" s="20"/>
      <c r="P75" s="145">
        <v>14</v>
      </c>
      <c r="Q75" s="145">
        <v>14</v>
      </c>
      <c r="R75" s="117">
        <v>2</v>
      </c>
      <c r="S75" s="136"/>
      <c r="T75" s="142">
        <v>7</v>
      </c>
      <c r="U75" s="142">
        <v>7</v>
      </c>
      <c r="V75" s="20"/>
      <c r="W75" s="20"/>
      <c r="X75" s="129"/>
      <c r="Y75" s="129"/>
      <c r="Z75" s="138">
        <f t="shared" si="6"/>
        <v>4</v>
      </c>
      <c r="AA75" s="133">
        <f t="shared" si="7"/>
        <v>5</v>
      </c>
      <c r="AB75" s="59">
        <f t="shared" si="5"/>
        <v>2</v>
      </c>
      <c r="AC75" s="23">
        <f t="shared" si="4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7">
        <v>69</v>
      </c>
      <c r="E76" s="117">
        <v>69</v>
      </c>
      <c r="F76" s="117"/>
      <c r="G76" s="136"/>
      <c r="H76" s="142">
        <v>13</v>
      </c>
      <c r="I76" s="142">
        <v>13</v>
      </c>
      <c r="J76" s="20">
        <v>2</v>
      </c>
      <c r="K76" s="19"/>
      <c r="L76" s="142">
        <v>84</v>
      </c>
      <c r="M76" s="142">
        <v>84</v>
      </c>
      <c r="N76" s="20"/>
      <c r="O76" s="20"/>
      <c r="P76" s="145">
        <v>14</v>
      </c>
      <c r="Q76" s="114"/>
      <c r="R76" s="117">
        <v>2</v>
      </c>
      <c r="S76" s="117"/>
      <c r="T76" s="142">
        <v>7</v>
      </c>
      <c r="U76" s="142">
        <v>7</v>
      </c>
      <c r="V76" s="20"/>
      <c r="W76" s="20"/>
      <c r="X76" s="22"/>
      <c r="Y76" s="22"/>
      <c r="Z76" s="138">
        <f t="shared" si="6"/>
        <v>4</v>
      </c>
      <c r="AA76" s="133">
        <f t="shared" si="7"/>
        <v>4</v>
      </c>
      <c r="AB76" s="59">
        <f t="shared" si="5"/>
        <v>0</v>
      </c>
      <c r="AC76" s="23">
        <f t="shared" si="4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7">
        <v>69</v>
      </c>
      <c r="E77" s="117">
        <v>69</v>
      </c>
      <c r="F77" s="20"/>
      <c r="G77" s="19"/>
      <c r="H77" s="142">
        <v>13</v>
      </c>
      <c r="I77" s="142">
        <v>13</v>
      </c>
      <c r="J77" s="20">
        <v>2</v>
      </c>
      <c r="K77" s="19"/>
      <c r="L77" s="142">
        <v>84</v>
      </c>
      <c r="M77" s="142">
        <v>84</v>
      </c>
      <c r="N77" s="20"/>
      <c r="O77" s="20"/>
      <c r="P77" s="114"/>
      <c r="Q77" s="142">
        <v>66</v>
      </c>
      <c r="R77" s="117"/>
      <c r="S77" s="117"/>
      <c r="T77" s="142">
        <v>7</v>
      </c>
      <c r="U77" s="8">
        <v>62</v>
      </c>
      <c r="V77" s="20"/>
      <c r="W77" s="20" t="s">
        <v>158</v>
      </c>
      <c r="X77" s="22"/>
      <c r="Y77" s="22"/>
      <c r="Z77" s="138">
        <f t="shared" si="6"/>
        <v>2</v>
      </c>
      <c r="AA77" s="133">
        <f t="shared" si="7"/>
        <v>5</v>
      </c>
      <c r="AB77" s="59">
        <f t="shared" si="5"/>
        <v>2</v>
      </c>
      <c r="AC77" s="23">
        <f t="shared" si="4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7">
        <v>69</v>
      </c>
      <c r="E78" s="142">
        <v>19</v>
      </c>
      <c r="F78" s="20"/>
      <c r="G78" s="19" t="s">
        <v>32</v>
      </c>
      <c r="H78" s="142">
        <v>13</v>
      </c>
      <c r="I78" s="142">
        <v>13</v>
      </c>
      <c r="J78" s="20">
        <v>2</v>
      </c>
      <c r="K78" s="19"/>
      <c r="L78" s="142">
        <v>84</v>
      </c>
      <c r="M78" s="142">
        <v>84</v>
      </c>
      <c r="N78" s="20"/>
      <c r="O78" s="20"/>
      <c r="P78" s="142">
        <v>66</v>
      </c>
      <c r="Q78" s="142">
        <v>66</v>
      </c>
      <c r="R78" s="117">
        <v>2</v>
      </c>
      <c r="S78" s="117"/>
      <c r="T78" s="8">
        <v>62</v>
      </c>
      <c r="U78" s="8">
        <v>62</v>
      </c>
      <c r="V78" s="20"/>
      <c r="W78" s="20"/>
      <c r="X78" s="22"/>
      <c r="Y78" s="22"/>
      <c r="Z78" s="138">
        <f t="shared" si="6"/>
        <v>4</v>
      </c>
      <c r="AA78" s="133">
        <f t="shared" si="7"/>
        <v>5</v>
      </c>
      <c r="AB78" s="59">
        <f t="shared" si="5"/>
        <v>1</v>
      </c>
      <c r="AC78" s="23">
        <f t="shared" si="4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2">
        <v>19</v>
      </c>
      <c r="E79" s="142">
        <v>19</v>
      </c>
      <c r="F79" s="20">
        <v>1</v>
      </c>
      <c r="G79" s="19"/>
      <c r="H79" s="142">
        <v>13</v>
      </c>
      <c r="I79" s="142">
        <v>13</v>
      </c>
      <c r="J79" s="20">
        <v>2</v>
      </c>
      <c r="K79" s="19"/>
      <c r="L79" s="142">
        <v>84</v>
      </c>
      <c r="M79" s="141">
        <v>43</v>
      </c>
      <c r="N79" s="20"/>
      <c r="O79" s="20" t="s">
        <v>158</v>
      </c>
      <c r="P79" s="142">
        <v>66</v>
      </c>
      <c r="Q79" s="142">
        <v>66</v>
      </c>
      <c r="R79" s="117">
        <v>2</v>
      </c>
      <c r="S79" s="117"/>
      <c r="T79" s="8">
        <v>62</v>
      </c>
      <c r="U79" s="8">
        <v>62</v>
      </c>
      <c r="V79" s="20"/>
      <c r="W79" s="20"/>
      <c r="X79" s="22"/>
      <c r="Y79" s="22"/>
      <c r="Z79" s="138">
        <f t="shared" si="6"/>
        <v>5</v>
      </c>
      <c r="AA79" s="133">
        <f t="shared" si="7"/>
        <v>5</v>
      </c>
      <c r="AB79" s="59">
        <f t="shared" si="5"/>
        <v>1</v>
      </c>
      <c r="AC79" s="23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2">
        <v>19</v>
      </c>
      <c r="E80" s="142">
        <v>19</v>
      </c>
      <c r="F80" s="20">
        <v>1</v>
      </c>
      <c r="G80" s="19"/>
      <c r="H80" s="142">
        <v>13</v>
      </c>
      <c r="I80" s="142">
        <v>13</v>
      </c>
      <c r="J80" s="20">
        <v>2</v>
      </c>
      <c r="K80" s="19"/>
      <c r="L80" s="141">
        <v>43</v>
      </c>
      <c r="M80" s="141">
        <v>43</v>
      </c>
      <c r="N80" s="20">
        <v>3</v>
      </c>
      <c r="O80" s="20"/>
      <c r="P80" s="142">
        <v>66</v>
      </c>
      <c r="Q80" s="142">
        <v>66</v>
      </c>
      <c r="R80" s="117">
        <v>2</v>
      </c>
      <c r="S80" s="117"/>
      <c r="T80" s="8">
        <v>62</v>
      </c>
      <c r="U80" s="8">
        <v>62</v>
      </c>
      <c r="V80" s="20"/>
      <c r="W80" s="20"/>
      <c r="X80" s="22"/>
      <c r="Y80" s="22"/>
      <c r="Z80" s="138">
        <f t="shared" si="6"/>
        <v>8</v>
      </c>
      <c r="AA80" s="133">
        <f t="shared" si="7"/>
        <v>5</v>
      </c>
      <c r="AB80" s="59">
        <f t="shared" si="5"/>
        <v>0</v>
      </c>
      <c r="AC80" s="23">
        <f t="shared" si="8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2">
        <v>19</v>
      </c>
      <c r="E81" s="142">
        <v>19</v>
      </c>
      <c r="F81" s="20">
        <v>1</v>
      </c>
      <c r="G81" s="19"/>
      <c r="H81" s="142">
        <v>13</v>
      </c>
      <c r="I81" s="8">
        <v>81</v>
      </c>
      <c r="J81" s="20">
        <v>2</v>
      </c>
      <c r="K81" s="19"/>
      <c r="L81" s="141">
        <v>43</v>
      </c>
      <c r="M81" s="141">
        <v>43</v>
      </c>
      <c r="N81" s="20">
        <v>3</v>
      </c>
      <c r="O81" s="20"/>
      <c r="P81" s="142">
        <v>66</v>
      </c>
      <c r="Q81" s="142">
        <v>66</v>
      </c>
      <c r="R81" s="117">
        <v>2</v>
      </c>
      <c r="S81" s="117"/>
      <c r="T81" s="8">
        <v>62</v>
      </c>
      <c r="U81" s="8">
        <v>62</v>
      </c>
      <c r="V81" s="20"/>
      <c r="W81" s="20"/>
      <c r="X81" s="22"/>
      <c r="Y81" s="22"/>
      <c r="Z81" s="138">
        <f t="shared" si="6"/>
        <v>8</v>
      </c>
      <c r="AA81" s="133">
        <f t="shared" si="7"/>
        <v>5</v>
      </c>
      <c r="AB81" s="59">
        <f t="shared" si="5"/>
        <v>1</v>
      </c>
      <c r="AC81" s="23">
        <f t="shared" si="8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2">
        <v>19</v>
      </c>
      <c r="E82" s="142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1">
        <v>43</v>
      </c>
      <c r="M82" s="8"/>
      <c r="N82" s="20">
        <v>3</v>
      </c>
      <c r="O82" s="20"/>
      <c r="P82" s="142">
        <v>66</v>
      </c>
      <c r="Q82" s="142">
        <v>66</v>
      </c>
      <c r="R82" s="117">
        <v>2</v>
      </c>
      <c r="S82" s="117"/>
      <c r="T82" s="8">
        <v>62</v>
      </c>
      <c r="U82" s="8">
        <v>62</v>
      </c>
      <c r="V82" s="20"/>
      <c r="W82" s="20"/>
      <c r="X82" s="22"/>
      <c r="Y82" s="22"/>
      <c r="Z82" s="138">
        <f t="shared" si="6"/>
        <v>8</v>
      </c>
      <c r="AA82" s="133">
        <f t="shared" si="7"/>
        <v>4</v>
      </c>
      <c r="AB82" s="59">
        <f t="shared" si="5"/>
        <v>0</v>
      </c>
      <c r="AC82" s="23">
        <f t="shared" si="8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2">
        <v>19</v>
      </c>
      <c r="E83" s="142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2">
        <v>66</v>
      </c>
      <c r="Q83" s="142">
        <v>66</v>
      </c>
      <c r="R83" s="117">
        <v>2</v>
      </c>
      <c r="S83" s="117"/>
      <c r="T83" s="8">
        <v>62</v>
      </c>
      <c r="U83" s="8">
        <v>62</v>
      </c>
      <c r="V83" s="20"/>
      <c r="W83" s="20"/>
      <c r="X83" s="22"/>
      <c r="Y83" s="22"/>
      <c r="Z83" s="138">
        <f t="shared" si="6"/>
        <v>5</v>
      </c>
      <c r="AA83" s="133">
        <f t="shared" si="7"/>
        <v>4</v>
      </c>
      <c r="AB83" s="59">
        <f t="shared" si="5"/>
        <v>0</v>
      </c>
      <c r="AC83" s="23">
        <f t="shared" si="8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2">
        <v>19</v>
      </c>
      <c r="E84" s="142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2">
        <v>66</v>
      </c>
      <c r="Q84" s="142">
        <v>66</v>
      </c>
      <c r="R84" s="117">
        <v>2</v>
      </c>
      <c r="S84" s="117"/>
      <c r="T84" s="8">
        <v>62</v>
      </c>
      <c r="U84" s="8">
        <v>62</v>
      </c>
      <c r="V84" s="20"/>
      <c r="W84" s="20"/>
      <c r="X84" s="22"/>
      <c r="Y84" s="22"/>
      <c r="Z84" s="138">
        <f t="shared" si="6"/>
        <v>5</v>
      </c>
      <c r="AA84" s="133">
        <f t="shared" si="7"/>
        <v>4</v>
      </c>
      <c r="AB84" s="59">
        <f t="shared" si="5"/>
        <v>1</v>
      </c>
      <c r="AC84" s="23">
        <f t="shared" si="8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2">
        <v>19</v>
      </c>
      <c r="E85" s="142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226</v>
      </c>
      <c r="P85" s="142">
        <v>66</v>
      </c>
      <c r="Q85" s="141">
        <v>1</v>
      </c>
      <c r="R85" s="20">
        <v>2</v>
      </c>
      <c r="S85" s="117"/>
      <c r="T85" s="114">
        <v>62</v>
      </c>
      <c r="U85" s="114">
        <v>62</v>
      </c>
      <c r="V85" s="114"/>
      <c r="W85" s="20"/>
      <c r="X85" s="22"/>
      <c r="Y85" s="22"/>
      <c r="Z85" s="138">
        <f t="shared" si="6"/>
        <v>3</v>
      </c>
      <c r="AA85" s="133">
        <f t="shared" si="7"/>
        <v>5</v>
      </c>
      <c r="AB85" s="59">
        <f t="shared" si="5"/>
        <v>2</v>
      </c>
      <c r="AC85" s="23">
        <f t="shared" si="8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2">
        <v>19</v>
      </c>
      <c r="E86" s="142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1">
        <v>1</v>
      </c>
      <c r="Q86" s="141">
        <v>1</v>
      </c>
      <c r="R86" s="20">
        <v>2</v>
      </c>
      <c r="S86" s="117"/>
      <c r="T86" s="114">
        <v>62</v>
      </c>
      <c r="U86" s="114">
        <v>62</v>
      </c>
      <c r="V86" s="114"/>
      <c r="W86" s="20"/>
      <c r="X86" s="22"/>
      <c r="Y86" s="22"/>
      <c r="Z86" s="138">
        <f t="shared" si="6"/>
        <v>5</v>
      </c>
      <c r="AA86" s="133">
        <f t="shared" si="7"/>
        <v>5</v>
      </c>
      <c r="AB86" s="59">
        <f t="shared" si="5"/>
        <v>0</v>
      </c>
      <c r="AC86" s="23">
        <f t="shared" si="8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2">
        <v>19</v>
      </c>
      <c r="E87" s="142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1">
        <v>1</v>
      </c>
      <c r="Q87" s="141">
        <v>1</v>
      </c>
      <c r="R87" s="20">
        <v>2</v>
      </c>
      <c r="S87" s="117"/>
      <c r="T87" s="114">
        <v>62</v>
      </c>
      <c r="U87" s="114">
        <v>62</v>
      </c>
      <c r="V87" s="114"/>
      <c r="W87" s="20"/>
      <c r="X87" s="22"/>
      <c r="Y87" s="22"/>
      <c r="Z87" s="138">
        <f t="shared" si="6"/>
        <v>5</v>
      </c>
      <c r="AA87" s="133">
        <f t="shared" si="7"/>
        <v>5</v>
      </c>
      <c r="AB87" s="59">
        <f t="shared" si="5"/>
        <v>0</v>
      </c>
      <c r="AC87" s="23">
        <f t="shared" si="8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2">
        <v>19</v>
      </c>
      <c r="E88" s="142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1">
        <v>1</v>
      </c>
      <c r="Q88" s="141">
        <v>1</v>
      </c>
      <c r="R88" s="20">
        <v>2</v>
      </c>
      <c r="S88" s="117"/>
      <c r="T88" s="114">
        <v>62</v>
      </c>
      <c r="U88" s="142">
        <v>10</v>
      </c>
      <c r="V88" s="114"/>
      <c r="W88" s="20"/>
      <c r="X88" s="114"/>
      <c r="Y88" s="114"/>
      <c r="Z88" s="138">
        <f t="shared" si="6"/>
        <v>5</v>
      </c>
      <c r="AA88" s="133">
        <f t="shared" si="7"/>
        <v>5</v>
      </c>
      <c r="AB88" s="59">
        <f t="shared" si="5"/>
        <v>1</v>
      </c>
      <c r="AC88" s="23">
        <f t="shared" si="8"/>
        <v>1</v>
      </c>
      <c r="AD88" s="18"/>
    </row>
    <row r="89" spans="1:30" ht="30" customHeight="1" x14ac:dyDescent="0.35">
      <c r="A89" s="6" t="s">
        <v>155</v>
      </c>
      <c r="B89" s="6" t="s">
        <v>125</v>
      </c>
      <c r="C89" s="7">
        <v>46226</v>
      </c>
      <c r="D89" s="142">
        <v>19</v>
      </c>
      <c r="E89" s="142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1">
        <v>1</v>
      </c>
      <c r="Q89" s="141">
        <v>1</v>
      </c>
      <c r="R89" s="20">
        <v>2</v>
      </c>
      <c r="S89" s="117"/>
      <c r="T89" s="142">
        <v>10</v>
      </c>
      <c r="U89" s="142">
        <v>10</v>
      </c>
      <c r="V89" s="114">
        <v>2</v>
      </c>
      <c r="W89" s="20"/>
      <c r="X89" s="114"/>
      <c r="Y89" s="114"/>
      <c r="Z89" s="138">
        <f t="shared" si="6"/>
        <v>7</v>
      </c>
      <c r="AA89" s="133">
        <f t="shared" si="7"/>
        <v>5</v>
      </c>
      <c r="AB89" s="59">
        <f t="shared" si="5"/>
        <v>0</v>
      </c>
      <c r="AC89" s="23">
        <f t="shared" si="8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2">
        <v>19</v>
      </c>
      <c r="E90" s="142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1">
        <v>1</v>
      </c>
      <c r="Q90" s="141">
        <v>1</v>
      </c>
      <c r="R90" s="20">
        <v>2</v>
      </c>
      <c r="S90" s="117"/>
      <c r="T90" s="142">
        <v>10</v>
      </c>
      <c r="U90" s="142">
        <v>10</v>
      </c>
      <c r="V90" s="114">
        <v>2</v>
      </c>
      <c r="W90" s="20"/>
      <c r="X90" s="114"/>
      <c r="Y90" s="114"/>
      <c r="Z90" s="138">
        <f t="shared" si="6"/>
        <v>7</v>
      </c>
      <c r="AA90" s="133">
        <f t="shared" si="7"/>
        <v>4</v>
      </c>
      <c r="AB90" s="59">
        <f t="shared" si="5"/>
        <v>0</v>
      </c>
      <c r="AC90" s="23">
        <f t="shared" si="8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2">
        <v>19</v>
      </c>
      <c r="E91" s="142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1">
        <v>1</v>
      </c>
      <c r="Q91" s="114"/>
      <c r="R91" s="117">
        <v>2</v>
      </c>
      <c r="S91" s="117"/>
      <c r="T91" s="142">
        <v>10</v>
      </c>
      <c r="U91" s="8">
        <v>49</v>
      </c>
      <c r="V91" s="20">
        <v>2</v>
      </c>
      <c r="W91" s="20"/>
      <c r="X91" s="114"/>
      <c r="Y91" s="114"/>
      <c r="Z91" s="138">
        <f t="shared" si="6"/>
        <v>5</v>
      </c>
      <c r="AA91" s="133">
        <f t="shared" si="7"/>
        <v>2</v>
      </c>
      <c r="AB91" s="59">
        <f t="shared" si="5"/>
        <v>1</v>
      </c>
      <c r="AC91" s="23">
        <f t="shared" si="8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2">
        <v>19</v>
      </c>
      <c r="E92" s="8"/>
      <c r="F92" s="20">
        <v>1</v>
      </c>
      <c r="G92" s="19"/>
      <c r="H92" s="114"/>
      <c r="I92" s="114"/>
      <c r="J92" s="20"/>
      <c r="K92" s="19"/>
      <c r="L92" s="8"/>
      <c r="M92" s="142">
        <v>58</v>
      </c>
      <c r="N92" s="20"/>
      <c r="O92" s="19" t="s">
        <v>32</v>
      </c>
      <c r="P92" s="8"/>
      <c r="Q92" s="142">
        <v>58</v>
      </c>
      <c r="R92" s="117"/>
      <c r="S92" s="117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8">
        <f t="shared" si="6"/>
        <v>3</v>
      </c>
      <c r="AA92" s="133">
        <f t="shared" si="7"/>
        <v>3</v>
      </c>
      <c r="AB92" s="59">
        <f t="shared" si="5"/>
        <v>2</v>
      </c>
      <c r="AC92" s="23">
        <f t="shared" si="8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8"/>
      <c r="I93" s="8">
        <v>30</v>
      </c>
      <c r="J93" s="20"/>
      <c r="K93" s="19" t="s">
        <v>159</v>
      </c>
      <c r="L93" s="142">
        <v>58</v>
      </c>
      <c r="M93" s="142">
        <v>58</v>
      </c>
      <c r="N93" s="20">
        <v>1</v>
      </c>
      <c r="O93" s="19" t="s">
        <v>289</v>
      </c>
      <c r="P93" s="142">
        <v>58</v>
      </c>
      <c r="Q93" s="142">
        <v>58</v>
      </c>
      <c r="R93" s="117">
        <v>1</v>
      </c>
      <c r="S93" s="117" t="s">
        <v>289</v>
      </c>
      <c r="T93" s="8">
        <v>49</v>
      </c>
      <c r="U93" s="8">
        <v>49</v>
      </c>
      <c r="V93" s="20">
        <v>2</v>
      </c>
      <c r="W93" s="20"/>
      <c r="X93" s="8"/>
      <c r="Y93" s="8"/>
      <c r="Z93" s="138">
        <f t="shared" si="6"/>
        <v>4</v>
      </c>
      <c r="AA93" s="133">
        <f t="shared" si="7"/>
        <v>5</v>
      </c>
      <c r="AB93" s="59">
        <f t="shared" si="5"/>
        <v>2</v>
      </c>
      <c r="AC93" s="23">
        <f t="shared" si="8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8">
        <v>30</v>
      </c>
      <c r="I94" s="8">
        <v>30</v>
      </c>
      <c r="J94" s="20">
        <v>2</v>
      </c>
      <c r="K94" s="19"/>
      <c r="L94" s="142">
        <v>58</v>
      </c>
      <c r="M94" s="142">
        <v>58</v>
      </c>
      <c r="N94" s="20">
        <v>1</v>
      </c>
      <c r="O94" s="19"/>
      <c r="P94" s="142">
        <v>58</v>
      </c>
      <c r="Q94" s="142">
        <v>58</v>
      </c>
      <c r="R94" s="117">
        <v>1</v>
      </c>
      <c r="S94" s="117"/>
      <c r="T94" s="8">
        <v>49</v>
      </c>
      <c r="U94" s="8">
        <v>49</v>
      </c>
      <c r="V94" s="20">
        <v>2</v>
      </c>
      <c r="W94" s="20"/>
      <c r="X94" s="8"/>
      <c r="Y94" s="8"/>
      <c r="Z94" s="138">
        <f t="shared" si="6"/>
        <v>6</v>
      </c>
      <c r="AA94" s="133">
        <f t="shared" si="7"/>
        <v>5</v>
      </c>
      <c r="AB94" s="59">
        <f t="shared" si="5"/>
        <v>0</v>
      </c>
      <c r="AC94" s="23">
        <f t="shared" si="8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8">
        <v>30</v>
      </c>
      <c r="I95" s="8">
        <v>30</v>
      </c>
      <c r="J95" s="20">
        <v>2</v>
      </c>
      <c r="K95" s="19"/>
      <c r="L95" s="142">
        <v>58</v>
      </c>
      <c r="M95" s="142">
        <v>58</v>
      </c>
      <c r="N95" s="20">
        <v>1</v>
      </c>
      <c r="O95" s="19"/>
      <c r="P95" s="142">
        <v>58</v>
      </c>
      <c r="Q95" s="164">
        <v>57</v>
      </c>
      <c r="R95" s="117">
        <v>1</v>
      </c>
      <c r="S95" s="117"/>
      <c r="T95" s="8">
        <v>49</v>
      </c>
      <c r="U95" s="8">
        <v>49</v>
      </c>
      <c r="V95" s="20">
        <v>2</v>
      </c>
      <c r="W95" s="20"/>
      <c r="X95" s="8"/>
      <c r="Y95" s="8">
        <v>58</v>
      </c>
      <c r="Z95" s="138">
        <f t="shared" si="6"/>
        <v>6</v>
      </c>
      <c r="AA95" s="133">
        <f t="shared" si="7"/>
        <v>5</v>
      </c>
      <c r="AB95" s="59">
        <f t="shared" si="5"/>
        <v>1</v>
      </c>
      <c r="AC95" s="23">
        <f t="shared" si="8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8">
        <v>30</v>
      </c>
      <c r="I96" s="8">
        <v>30</v>
      </c>
      <c r="J96" s="20">
        <v>2</v>
      </c>
      <c r="K96" s="19"/>
      <c r="L96" s="142">
        <v>58</v>
      </c>
      <c r="M96" s="156">
        <v>115</v>
      </c>
      <c r="N96" s="20">
        <v>1</v>
      </c>
      <c r="O96" s="19" t="s">
        <v>156</v>
      </c>
      <c r="P96" s="163">
        <v>57</v>
      </c>
      <c r="Q96" s="164">
        <v>57</v>
      </c>
      <c r="R96" s="117"/>
      <c r="S96" s="117" t="s">
        <v>288</v>
      </c>
      <c r="T96" s="8">
        <v>49</v>
      </c>
      <c r="U96" s="8">
        <v>49</v>
      </c>
      <c r="V96" s="20">
        <v>2</v>
      </c>
      <c r="W96" s="20"/>
      <c r="X96" s="8">
        <v>58</v>
      </c>
      <c r="Y96" s="8"/>
      <c r="Z96" s="138">
        <f t="shared" si="6"/>
        <v>5</v>
      </c>
      <c r="AA96" s="133">
        <f t="shared" si="7"/>
        <v>5</v>
      </c>
      <c r="AB96" s="59">
        <f t="shared" si="5"/>
        <v>1</v>
      </c>
      <c r="AC96" s="23">
        <f t="shared" si="8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7">
        <v>94</v>
      </c>
      <c r="F97" s="20"/>
      <c r="G97" s="19" t="s">
        <v>32</v>
      </c>
      <c r="H97" s="8">
        <v>30</v>
      </c>
      <c r="I97" s="8"/>
      <c r="J97" s="20">
        <v>2</v>
      </c>
      <c r="K97" s="19"/>
      <c r="L97" s="156">
        <v>115</v>
      </c>
      <c r="M97" s="156">
        <v>115</v>
      </c>
      <c r="N97" s="20">
        <v>2</v>
      </c>
      <c r="O97" s="19"/>
      <c r="P97" s="163">
        <v>57</v>
      </c>
      <c r="Q97" s="164">
        <v>57</v>
      </c>
      <c r="R97" s="117"/>
      <c r="S97" s="117"/>
      <c r="T97" s="8">
        <v>49</v>
      </c>
      <c r="U97" s="8">
        <v>49</v>
      </c>
      <c r="V97" s="20">
        <v>2</v>
      </c>
      <c r="W97" s="20"/>
      <c r="X97" s="8"/>
      <c r="Y97" s="8"/>
      <c r="Z97" s="138">
        <f t="shared" si="6"/>
        <v>6</v>
      </c>
      <c r="AA97" s="133">
        <f t="shared" si="7"/>
        <v>4</v>
      </c>
      <c r="AB97" s="59">
        <f t="shared" si="5"/>
        <v>1</v>
      </c>
      <c r="AC97" s="23">
        <f t="shared" si="8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7">
        <v>94</v>
      </c>
      <c r="E98" s="117">
        <v>94</v>
      </c>
      <c r="F98" s="20"/>
      <c r="G98" s="19" t="s">
        <v>157</v>
      </c>
      <c r="H98" s="115"/>
      <c r="I98" s="114"/>
      <c r="J98" s="20"/>
      <c r="K98" s="19"/>
      <c r="L98" s="155">
        <v>115</v>
      </c>
      <c r="M98" s="156">
        <v>115</v>
      </c>
      <c r="N98" s="20">
        <v>2</v>
      </c>
      <c r="O98" s="19"/>
      <c r="P98" s="163">
        <v>57</v>
      </c>
      <c r="Q98" s="164">
        <v>57</v>
      </c>
      <c r="R98" s="117"/>
      <c r="S98" s="117"/>
      <c r="T98" s="8">
        <v>49</v>
      </c>
      <c r="U98" s="8"/>
      <c r="V98" s="20">
        <v>2</v>
      </c>
      <c r="W98" s="20"/>
      <c r="X98" s="22"/>
      <c r="Y98" s="22"/>
      <c r="Z98" s="138">
        <f t="shared" si="6"/>
        <v>4</v>
      </c>
      <c r="AA98" s="133">
        <f t="shared" si="7"/>
        <v>3</v>
      </c>
      <c r="AB98" s="59">
        <f t="shared" si="5"/>
        <v>0</v>
      </c>
      <c r="AC98" s="23">
        <f t="shared" si="8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7">
        <v>94</v>
      </c>
      <c r="E99" s="117">
        <v>94</v>
      </c>
      <c r="F99" s="20"/>
      <c r="G99" s="19"/>
      <c r="H99" s="115"/>
      <c r="I99" s="142">
        <v>74</v>
      </c>
      <c r="J99" s="20"/>
      <c r="K99" s="19"/>
      <c r="L99" s="155">
        <v>115</v>
      </c>
      <c r="M99" s="142">
        <v>74</v>
      </c>
      <c r="N99" s="20">
        <v>2</v>
      </c>
      <c r="O99" s="20"/>
      <c r="P99" s="163">
        <v>57</v>
      </c>
      <c r="Q99" s="164">
        <v>57</v>
      </c>
      <c r="R99" s="117"/>
      <c r="S99" s="117"/>
      <c r="T99" s="8"/>
      <c r="U99" s="8"/>
      <c r="V99" s="20"/>
      <c r="W99" s="20"/>
      <c r="X99" s="22"/>
      <c r="Y99" s="22"/>
      <c r="Z99" s="138">
        <f t="shared" si="6"/>
        <v>2</v>
      </c>
      <c r="AA99" s="133">
        <f t="shared" si="7"/>
        <v>4</v>
      </c>
      <c r="AB99" s="59">
        <f t="shared" si="5"/>
        <v>2</v>
      </c>
      <c r="AC99" s="23">
        <f t="shared" si="8"/>
        <v>1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3">
        <v>94</v>
      </c>
      <c r="E100" s="141">
        <v>11</v>
      </c>
      <c r="F100" s="20"/>
      <c r="G100" s="19" t="s">
        <v>158</v>
      </c>
      <c r="H100" s="144">
        <v>74</v>
      </c>
      <c r="I100" s="142">
        <v>74</v>
      </c>
      <c r="J100" s="20">
        <v>2</v>
      </c>
      <c r="K100" s="19"/>
      <c r="L100" s="142">
        <v>74</v>
      </c>
      <c r="M100" s="142">
        <v>74</v>
      </c>
      <c r="N100" s="20">
        <v>1</v>
      </c>
      <c r="O100" s="20"/>
      <c r="P100" s="163">
        <v>57</v>
      </c>
      <c r="Q100" s="164">
        <v>57</v>
      </c>
      <c r="R100" s="117"/>
      <c r="S100" s="117"/>
      <c r="T100" s="8"/>
      <c r="U100" s="8">
        <v>50</v>
      </c>
      <c r="V100" s="20"/>
      <c r="W100" s="20"/>
      <c r="X100" s="22"/>
      <c r="Y100" s="22"/>
      <c r="Z100" s="138">
        <f t="shared" si="6"/>
        <v>3</v>
      </c>
      <c r="AA100" s="133">
        <f t="shared" si="7"/>
        <v>5</v>
      </c>
      <c r="AB100" s="59">
        <f t="shared" si="5"/>
        <v>2</v>
      </c>
      <c r="AC100" s="23">
        <f t="shared" si="8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1">
        <v>11</v>
      </c>
      <c r="E101" s="141">
        <v>11</v>
      </c>
      <c r="F101" s="20"/>
      <c r="G101" s="19" t="s">
        <v>157</v>
      </c>
      <c r="H101" s="144">
        <v>74</v>
      </c>
      <c r="I101" s="142">
        <v>74</v>
      </c>
      <c r="J101" s="20">
        <v>2</v>
      </c>
      <c r="K101" s="19"/>
      <c r="L101" s="142">
        <v>74</v>
      </c>
      <c r="M101" s="142">
        <v>74</v>
      </c>
      <c r="N101" s="20">
        <v>1</v>
      </c>
      <c r="O101" s="20"/>
      <c r="P101" s="163">
        <v>57</v>
      </c>
      <c r="Q101" s="8"/>
      <c r="R101" s="117"/>
      <c r="S101" s="117"/>
      <c r="T101" s="8">
        <v>50</v>
      </c>
      <c r="U101" s="8">
        <v>50</v>
      </c>
      <c r="V101" s="20">
        <v>2</v>
      </c>
      <c r="W101" s="20"/>
      <c r="X101" s="22"/>
      <c r="Y101" s="22"/>
      <c r="Z101" s="138">
        <f t="shared" si="6"/>
        <v>5</v>
      </c>
      <c r="AA101" s="133">
        <f t="shared" si="7"/>
        <v>4</v>
      </c>
      <c r="AB101" s="59">
        <f t="shared" si="5"/>
        <v>0</v>
      </c>
      <c r="AC101" s="23">
        <f t="shared" si="8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1">
        <v>11</v>
      </c>
      <c r="E102" s="141">
        <v>11</v>
      </c>
      <c r="F102" s="20"/>
      <c r="G102" s="19"/>
      <c r="H102" s="142">
        <v>74</v>
      </c>
      <c r="I102" s="142">
        <v>74</v>
      </c>
      <c r="J102" s="20">
        <v>2</v>
      </c>
      <c r="K102" s="19"/>
      <c r="L102" s="142">
        <v>74</v>
      </c>
      <c r="M102" s="142">
        <v>74</v>
      </c>
      <c r="N102" s="20">
        <v>1</v>
      </c>
      <c r="O102" s="20"/>
      <c r="P102" s="8"/>
      <c r="Q102" s="8"/>
      <c r="R102" s="117"/>
      <c r="S102" s="117"/>
      <c r="T102" s="8">
        <v>50</v>
      </c>
      <c r="U102" s="8">
        <v>50</v>
      </c>
      <c r="V102" s="20">
        <v>2</v>
      </c>
      <c r="W102" s="20"/>
      <c r="X102" s="22"/>
      <c r="Y102" s="22"/>
      <c r="Z102" s="138">
        <f t="shared" si="6"/>
        <v>5</v>
      </c>
      <c r="AA102" s="133">
        <f t="shared" si="7"/>
        <v>4</v>
      </c>
      <c r="AB102" s="59">
        <f t="shared" si="5"/>
        <v>0</v>
      </c>
      <c r="AC102" s="23">
        <f t="shared" si="8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1">
        <v>11</v>
      </c>
      <c r="E103" s="141">
        <v>11</v>
      </c>
      <c r="F103" s="20"/>
      <c r="G103" s="19"/>
      <c r="H103" s="142">
        <v>74</v>
      </c>
      <c r="I103" s="8">
        <v>32</v>
      </c>
      <c r="J103" s="20">
        <v>2</v>
      </c>
      <c r="K103" s="19" t="s">
        <v>156</v>
      </c>
      <c r="L103" s="142">
        <v>74</v>
      </c>
      <c r="M103" s="157">
        <v>33</v>
      </c>
      <c r="N103" s="20">
        <v>1</v>
      </c>
      <c r="O103" s="20" t="s">
        <v>32</v>
      </c>
      <c r="P103" s="8"/>
      <c r="Q103" s="8">
        <v>45</v>
      </c>
      <c r="R103" s="117"/>
      <c r="S103" s="117"/>
      <c r="T103" s="8">
        <v>50</v>
      </c>
      <c r="U103" s="8">
        <v>50</v>
      </c>
      <c r="V103" s="20">
        <v>2</v>
      </c>
      <c r="W103" s="20"/>
      <c r="X103" s="22"/>
      <c r="Y103" s="22"/>
      <c r="Z103" s="138">
        <f t="shared" si="6"/>
        <v>5</v>
      </c>
      <c r="AA103" s="133">
        <f t="shared" si="7"/>
        <v>5</v>
      </c>
      <c r="AB103" s="59">
        <f t="shared" si="5"/>
        <v>3</v>
      </c>
      <c r="AC103" s="23">
        <f t="shared" si="8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1">
        <v>11</v>
      </c>
      <c r="E104" s="141">
        <v>11</v>
      </c>
      <c r="F104" s="20"/>
      <c r="G104" s="19"/>
      <c r="H104" s="114">
        <v>32</v>
      </c>
      <c r="I104" s="114">
        <v>32</v>
      </c>
      <c r="J104" s="114">
        <v>2</v>
      </c>
      <c r="K104" s="190" t="s">
        <v>157</v>
      </c>
      <c r="L104" s="157">
        <v>33</v>
      </c>
      <c r="M104" s="157">
        <v>33</v>
      </c>
      <c r="N104" s="114">
        <v>1</v>
      </c>
      <c r="O104" s="114" t="s">
        <v>157</v>
      </c>
      <c r="P104" s="114">
        <v>45</v>
      </c>
      <c r="Q104" s="114">
        <v>45</v>
      </c>
      <c r="R104" s="114">
        <v>2</v>
      </c>
      <c r="S104" s="114"/>
      <c r="T104" s="114">
        <v>50</v>
      </c>
      <c r="U104" s="156">
        <v>92</v>
      </c>
      <c r="V104" s="114">
        <v>2</v>
      </c>
      <c r="W104" s="114" t="s">
        <v>32</v>
      </c>
      <c r="X104" s="22"/>
      <c r="Y104" s="22"/>
      <c r="Z104" s="138">
        <f t="shared" si="6"/>
        <v>7</v>
      </c>
      <c r="AA104" s="133">
        <f t="shared" si="7"/>
        <v>5</v>
      </c>
      <c r="AB104" s="59">
        <f t="shared" si="5"/>
        <v>1</v>
      </c>
      <c r="AC104" s="23">
        <f t="shared" si="8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1">
        <v>11</v>
      </c>
      <c r="E105" s="8"/>
      <c r="F105" s="20"/>
      <c r="G105" s="19"/>
      <c r="H105" s="114">
        <v>32</v>
      </c>
      <c r="I105" s="114">
        <v>32</v>
      </c>
      <c r="J105" s="114">
        <v>2</v>
      </c>
      <c r="K105" s="190"/>
      <c r="L105" s="157">
        <v>33</v>
      </c>
      <c r="M105" s="157">
        <v>33</v>
      </c>
      <c r="N105" s="114">
        <v>1</v>
      </c>
      <c r="O105" s="114"/>
      <c r="P105" s="114">
        <v>45</v>
      </c>
      <c r="Q105" s="114">
        <v>45</v>
      </c>
      <c r="R105" s="114">
        <v>2</v>
      </c>
      <c r="S105" s="114"/>
      <c r="T105" s="156">
        <v>92</v>
      </c>
      <c r="U105" s="156">
        <v>92</v>
      </c>
      <c r="V105" s="114"/>
      <c r="W105" s="114" t="s">
        <v>267</v>
      </c>
      <c r="X105" s="22"/>
      <c r="Y105" s="22"/>
      <c r="Z105" s="138">
        <f t="shared" si="6"/>
        <v>5</v>
      </c>
      <c r="AA105" s="133">
        <f t="shared" si="7"/>
        <v>4</v>
      </c>
      <c r="AB105" s="59">
        <f t="shared" si="5"/>
        <v>0</v>
      </c>
      <c r="AC105" s="23">
        <f t="shared" si="8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7">
        <v>33</v>
      </c>
      <c r="M106" s="157">
        <v>33</v>
      </c>
      <c r="N106" s="114">
        <v>1</v>
      </c>
      <c r="O106" s="114"/>
      <c r="P106" s="114">
        <v>45</v>
      </c>
      <c r="Q106" s="156">
        <v>114</v>
      </c>
      <c r="R106" s="114">
        <v>2</v>
      </c>
      <c r="S106" s="114" t="s">
        <v>23</v>
      </c>
      <c r="T106" s="156">
        <v>92</v>
      </c>
      <c r="U106" s="156">
        <v>92</v>
      </c>
      <c r="V106" s="114"/>
      <c r="W106" s="114"/>
      <c r="X106" s="22"/>
      <c r="Y106" s="22"/>
      <c r="Z106" s="138">
        <f t="shared" si="6"/>
        <v>5</v>
      </c>
      <c r="AA106" s="133">
        <f t="shared" si="7"/>
        <v>4</v>
      </c>
      <c r="AB106" s="59">
        <f t="shared" si="5"/>
        <v>1</v>
      </c>
      <c r="AC106" s="23">
        <f t="shared" si="8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156</v>
      </c>
      <c r="H107" s="8">
        <v>32</v>
      </c>
      <c r="I107" s="8">
        <v>32</v>
      </c>
      <c r="J107" s="20">
        <v>2</v>
      </c>
      <c r="K107" s="19"/>
      <c r="L107" s="157">
        <v>33</v>
      </c>
      <c r="M107" s="157">
        <v>33</v>
      </c>
      <c r="N107" s="20">
        <v>1</v>
      </c>
      <c r="O107" s="20"/>
      <c r="P107" s="156">
        <v>114</v>
      </c>
      <c r="Q107" s="156">
        <v>114</v>
      </c>
      <c r="R107" s="117">
        <v>2</v>
      </c>
      <c r="S107" s="117" t="s">
        <v>267</v>
      </c>
      <c r="T107" s="156">
        <v>92</v>
      </c>
      <c r="U107" s="156">
        <v>92</v>
      </c>
      <c r="V107" s="20"/>
      <c r="W107" s="20"/>
      <c r="X107" s="22"/>
      <c r="Y107" s="22"/>
      <c r="Z107" s="138">
        <f t="shared" si="6"/>
        <v>5</v>
      </c>
      <c r="AA107" s="133">
        <f t="shared" si="7"/>
        <v>5</v>
      </c>
      <c r="AB107" s="59">
        <f t="shared" si="5"/>
        <v>1</v>
      </c>
      <c r="AC107" s="23">
        <f t="shared" si="8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7">
        <v>33</v>
      </c>
      <c r="M108" s="157">
        <v>33</v>
      </c>
      <c r="N108" s="2">
        <v>1</v>
      </c>
      <c r="O108" s="20"/>
      <c r="P108" s="156">
        <v>114</v>
      </c>
      <c r="Q108" s="156">
        <v>114</v>
      </c>
      <c r="R108" s="117">
        <v>2</v>
      </c>
      <c r="S108" s="117"/>
      <c r="T108" s="156">
        <v>92</v>
      </c>
      <c r="U108" s="156">
        <v>92</v>
      </c>
      <c r="V108" s="20"/>
      <c r="W108" s="20"/>
      <c r="X108" s="22"/>
      <c r="Y108" s="22"/>
      <c r="Z108" s="138">
        <f>F108+J108+N109+R108+V108</f>
        <v>7</v>
      </c>
      <c r="AA108" s="133">
        <f t="shared" si="7"/>
        <v>5</v>
      </c>
      <c r="AB108" s="59">
        <f t="shared" si="5"/>
        <v>0</v>
      </c>
      <c r="AC108" s="23">
        <f t="shared" si="8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8">
        <v>32</v>
      </c>
      <c r="J109" s="20">
        <v>2</v>
      </c>
      <c r="K109" s="19"/>
      <c r="L109" s="157">
        <v>33</v>
      </c>
      <c r="M109" s="157">
        <v>33</v>
      </c>
      <c r="N109" s="20">
        <v>1</v>
      </c>
      <c r="O109" s="20"/>
      <c r="P109" s="156">
        <v>114</v>
      </c>
      <c r="Q109" s="142">
        <v>4</v>
      </c>
      <c r="R109" s="117">
        <v>2</v>
      </c>
      <c r="S109" s="117"/>
      <c r="T109" s="156">
        <v>92</v>
      </c>
      <c r="U109" s="142">
        <v>4</v>
      </c>
      <c r="V109" s="20"/>
      <c r="W109" s="20"/>
      <c r="X109" s="22"/>
      <c r="Y109" s="22"/>
      <c r="Z109" s="138">
        <f>F109+J109+N110+R109+V109</f>
        <v>7</v>
      </c>
      <c r="AA109" s="133">
        <f t="shared" si="7"/>
        <v>5</v>
      </c>
      <c r="AB109" s="59">
        <f t="shared" si="5"/>
        <v>2</v>
      </c>
      <c r="AC109" s="23">
        <f t="shared" si="8"/>
        <v>2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8">
        <v>32</v>
      </c>
      <c r="I110" s="157">
        <v>46</v>
      </c>
      <c r="J110" s="20">
        <v>2</v>
      </c>
      <c r="K110" s="19"/>
      <c r="L110" s="157">
        <v>33</v>
      </c>
      <c r="M110" s="8">
        <v>23</v>
      </c>
      <c r="N110" s="20">
        <v>1</v>
      </c>
      <c r="O110" s="20"/>
      <c r="P110" s="142">
        <v>4</v>
      </c>
      <c r="Q110" s="142">
        <v>4</v>
      </c>
      <c r="R110" s="117">
        <v>2</v>
      </c>
      <c r="S110" s="117"/>
      <c r="T110" s="142">
        <v>4</v>
      </c>
      <c r="U110" s="142">
        <v>4</v>
      </c>
      <c r="V110" s="20">
        <v>2</v>
      </c>
      <c r="W110" s="20"/>
      <c r="X110" s="22"/>
      <c r="Y110" s="22">
        <v>121</v>
      </c>
      <c r="Z110" s="138">
        <f t="shared" si="6"/>
        <v>9</v>
      </c>
      <c r="AA110" s="133">
        <f t="shared" si="7"/>
        <v>5</v>
      </c>
      <c r="AB110" s="59">
        <f t="shared" si="5"/>
        <v>2</v>
      </c>
      <c r="AC110" s="23">
        <f t="shared" si="8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117">
        <v>121</v>
      </c>
      <c r="F111" s="20">
        <v>2</v>
      </c>
      <c r="G111" s="19"/>
      <c r="H111" s="157">
        <v>46</v>
      </c>
      <c r="I111" s="15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2">
        <v>4</v>
      </c>
      <c r="Q111" s="142">
        <v>4</v>
      </c>
      <c r="R111" s="117">
        <v>2</v>
      </c>
      <c r="S111" s="117"/>
      <c r="T111" s="142">
        <v>4</v>
      </c>
      <c r="U111" s="142">
        <v>4</v>
      </c>
      <c r="V111" s="20">
        <v>2</v>
      </c>
      <c r="W111" s="20"/>
      <c r="X111" s="22">
        <v>121</v>
      </c>
      <c r="Y111" s="22"/>
      <c r="Z111" s="138">
        <f t="shared" si="6"/>
        <v>8</v>
      </c>
      <c r="AA111" s="133">
        <f t="shared" si="7"/>
        <v>5</v>
      </c>
      <c r="AB111" s="59">
        <f t="shared" si="5"/>
        <v>1</v>
      </c>
      <c r="AC111" s="23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117">
        <v>121</v>
      </c>
      <c r="E112" s="117">
        <v>121</v>
      </c>
      <c r="F112" s="20"/>
      <c r="G112" s="19"/>
      <c r="H112" s="157">
        <v>46</v>
      </c>
      <c r="I112" s="15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2">
        <v>4</v>
      </c>
      <c r="Q112" s="142">
        <v>4</v>
      </c>
      <c r="R112" s="117">
        <v>2</v>
      </c>
      <c r="S112" s="117"/>
      <c r="T112" s="142">
        <v>4</v>
      </c>
      <c r="U112" s="142">
        <v>4</v>
      </c>
      <c r="V112" s="20">
        <v>2</v>
      </c>
      <c r="W112" s="20"/>
      <c r="X112" s="22"/>
      <c r="Y112" s="22"/>
      <c r="Z112" s="138">
        <f t="shared" si="6"/>
        <v>6</v>
      </c>
      <c r="AA112" s="133">
        <f t="shared" si="7"/>
        <v>5</v>
      </c>
      <c r="AB112" s="59">
        <f t="shared" si="5"/>
        <v>0</v>
      </c>
      <c r="AC112" s="23">
        <f t="shared" si="9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117">
        <v>121</v>
      </c>
      <c r="E113" s="8"/>
      <c r="F113" s="20"/>
      <c r="G113" s="19"/>
      <c r="H113" s="157">
        <v>46</v>
      </c>
      <c r="I113" s="157">
        <v>46</v>
      </c>
      <c r="J113" s="20"/>
      <c r="K113" s="19"/>
      <c r="L113" s="8">
        <v>23</v>
      </c>
      <c r="M113" s="8"/>
      <c r="N113" s="20">
        <v>2</v>
      </c>
      <c r="O113" s="20"/>
      <c r="P113" s="142">
        <v>4</v>
      </c>
      <c r="Q113" s="156">
        <v>51</v>
      </c>
      <c r="R113" s="117">
        <v>2</v>
      </c>
      <c r="S113" s="117"/>
      <c r="T113" s="142">
        <v>4</v>
      </c>
      <c r="U113" s="8"/>
      <c r="V113" s="20">
        <v>2</v>
      </c>
      <c r="W113" s="20"/>
      <c r="X113" s="22"/>
      <c r="Y113" s="22"/>
      <c r="Z113" s="138">
        <f t="shared" si="6"/>
        <v>6</v>
      </c>
      <c r="AA113" s="133">
        <f t="shared" si="7"/>
        <v>2</v>
      </c>
      <c r="AB113" s="59">
        <f t="shared" si="5"/>
        <v>1</v>
      </c>
      <c r="AC113" s="23">
        <f t="shared" si="9"/>
        <v>4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7">
        <v>46</v>
      </c>
      <c r="I114" s="157">
        <v>46</v>
      </c>
      <c r="J114" s="20"/>
      <c r="K114" s="19"/>
      <c r="L114" s="14"/>
      <c r="M114" s="8">
        <v>52</v>
      </c>
      <c r="N114" s="20"/>
      <c r="O114" s="20"/>
      <c r="P114" s="160">
        <v>51</v>
      </c>
      <c r="Q114" s="156">
        <v>51</v>
      </c>
      <c r="R114" s="117">
        <v>2</v>
      </c>
      <c r="S114" s="117" t="s">
        <v>266</v>
      </c>
      <c r="T114" s="8"/>
      <c r="U114" s="142">
        <v>21</v>
      </c>
      <c r="V114" s="20"/>
      <c r="W114" s="20" t="s">
        <v>159</v>
      </c>
      <c r="X114" s="22"/>
      <c r="Y114" s="22"/>
      <c r="Z114" s="138">
        <f t="shared" si="6"/>
        <v>2</v>
      </c>
      <c r="AA114" s="133">
        <f t="shared" si="7"/>
        <v>5</v>
      </c>
      <c r="AB114" s="59">
        <f t="shared" si="5"/>
        <v>3</v>
      </c>
      <c r="AC114" s="23">
        <f t="shared" si="9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7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0">
        <v>51</v>
      </c>
      <c r="Q115" s="156">
        <v>51</v>
      </c>
      <c r="R115" s="117">
        <v>2</v>
      </c>
      <c r="S115" s="117"/>
      <c r="T115" s="142">
        <v>21</v>
      </c>
      <c r="U115" s="142">
        <v>21</v>
      </c>
      <c r="V115" s="20">
        <v>2</v>
      </c>
      <c r="W115" s="20" t="s">
        <v>267</v>
      </c>
      <c r="X115" s="22"/>
      <c r="Y115" s="22"/>
      <c r="Z115" s="138">
        <f t="shared" si="6"/>
        <v>8</v>
      </c>
      <c r="AA115" s="133">
        <f t="shared" si="7"/>
        <v>4</v>
      </c>
      <c r="AB115" s="59">
        <f t="shared" si="5"/>
        <v>0</v>
      </c>
      <c r="AC115" s="23">
        <f t="shared" si="9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0">
        <v>51</v>
      </c>
      <c r="Q116" s="156">
        <v>51</v>
      </c>
      <c r="R116" s="117">
        <v>2</v>
      </c>
      <c r="S116" s="117"/>
      <c r="T116" s="142">
        <v>21</v>
      </c>
      <c r="U116" s="142">
        <v>21</v>
      </c>
      <c r="V116" s="20">
        <v>2</v>
      </c>
      <c r="W116" s="20"/>
      <c r="X116" s="22"/>
      <c r="Y116" s="22"/>
      <c r="Z116" s="138">
        <f t="shared" si="6"/>
        <v>8</v>
      </c>
      <c r="AA116" s="133">
        <f t="shared" si="7"/>
        <v>4</v>
      </c>
      <c r="AB116" s="59">
        <f t="shared" si="5"/>
        <v>0</v>
      </c>
      <c r="AC116" s="23">
        <f t="shared" si="9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1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0">
        <v>51</v>
      </c>
      <c r="Q117" s="156">
        <v>51</v>
      </c>
      <c r="R117" s="117">
        <v>2</v>
      </c>
      <c r="S117" s="117"/>
      <c r="T117" s="142">
        <v>21</v>
      </c>
      <c r="U117" s="142">
        <v>21</v>
      </c>
      <c r="V117" s="20">
        <v>2</v>
      </c>
      <c r="W117" s="20"/>
      <c r="X117" s="22"/>
      <c r="Y117" s="161">
        <v>54</v>
      </c>
      <c r="Z117" s="138">
        <f t="shared" si="6"/>
        <v>8</v>
      </c>
      <c r="AA117" s="133">
        <f t="shared" si="7"/>
        <v>5</v>
      </c>
      <c r="AB117" s="59">
        <f t="shared" si="5"/>
        <v>1</v>
      </c>
      <c r="AC117" s="23">
        <f t="shared" si="9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2">
        <v>54</v>
      </c>
      <c r="I118" s="161">
        <v>54</v>
      </c>
      <c r="J118" s="20">
        <v>2</v>
      </c>
      <c r="K118" s="19"/>
      <c r="L118" s="14">
        <v>52</v>
      </c>
      <c r="M118" s="161">
        <v>54</v>
      </c>
      <c r="N118" s="20">
        <v>2</v>
      </c>
      <c r="O118" s="20"/>
      <c r="P118" s="160">
        <v>51</v>
      </c>
      <c r="Q118" s="8">
        <v>93</v>
      </c>
      <c r="R118" s="117">
        <v>2</v>
      </c>
      <c r="S118" s="117"/>
      <c r="T118" s="142">
        <v>21</v>
      </c>
      <c r="U118" s="142">
        <v>21</v>
      </c>
      <c r="V118" s="20">
        <v>2</v>
      </c>
      <c r="W118" s="20"/>
      <c r="X118" s="161">
        <v>54</v>
      </c>
      <c r="Y118" s="22"/>
      <c r="Z118" s="138">
        <f t="shared" si="6"/>
        <v>10</v>
      </c>
      <c r="AA118" s="133">
        <f t="shared" si="7"/>
        <v>4</v>
      </c>
      <c r="AB118" s="59">
        <f t="shared" si="5"/>
        <v>2</v>
      </c>
      <c r="AC118" s="23">
        <f t="shared" si="9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2">
        <v>54</v>
      </c>
      <c r="I119" s="161">
        <v>54</v>
      </c>
      <c r="J119" s="20">
        <v>2</v>
      </c>
      <c r="K119" s="19"/>
      <c r="L119" s="161">
        <v>54</v>
      </c>
      <c r="M119" s="161">
        <v>54</v>
      </c>
      <c r="N119" s="20">
        <v>2</v>
      </c>
      <c r="O119" s="20"/>
      <c r="P119" s="8">
        <v>93</v>
      </c>
      <c r="Q119" s="8">
        <v>93</v>
      </c>
      <c r="R119" s="117"/>
      <c r="S119" s="117" t="s">
        <v>226</v>
      </c>
      <c r="T119" s="142">
        <v>21</v>
      </c>
      <c r="U119" s="8">
        <v>25</v>
      </c>
      <c r="V119" s="117">
        <v>2</v>
      </c>
      <c r="W119" s="117" t="s">
        <v>32</v>
      </c>
      <c r="X119" s="22"/>
      <c r="Y119" s="22"/>
      <c r="Z119" s="138">
        <f t="shared" si="6"/>
        <v>6</v>
      </c>
      <c r="AA119" s="133">
        <f t="shared" si="7"/>
        <v>5</v>
      </c>
      <c r="AB119" s="59">
        <f t="shared" si="5"/>
        <v>2</v>
      </c>
      <c r="AC119" s="23">
        <f t="shared" si="9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2">
        <v>54</v>
      </c>
      <c r="I120" s="142">
        <v>120</v>
      </c>
      <c r="J120" s="20">
        <v>2</v>
      </c>
      <c r="K120" s="19" t="s">
        <v>156</v>
      </c>
      <c r="L120" s="161">
        <v>54</v>
      </c>
      <c r="M120" s="141">
        <v>122</v>
      </c>
      <c r="N120" s="20">
        <v>2</v>
      </c>
      <c r="O120" s="20" t="s">
        <v>159</v>
      </c>
      <c r="P120" s="8">
        <v>93</v>
      </c>
      <c r="Q120" s="8">
        <v>93</v>
      </c>
      <c r="R120" s="117"/>
      <c r="S120" s="117"/>
      <c r="T120" s="8">
        <v>25</v>
      </c>
      <c r="U120" s="8">
        <v>25</v>
      </c>
      <c r="V120" s="117"/>
      <c r="W120" s="117" t="s">
        <v>57</v>
      </c>
      <c r="X120" s="22"/>
      <c r="Y120" s="22"/>
      <c r="Z120" s="138">
        <f t="shared" si="6"/>
        <v>4</v>
      </c>
      <c r="AA120" s="133">
        <f t="shared" si="7"/>
        <v>5</v>
      </c>
      <c r="AB120" s="59">
        <f t="shared" si="5"/>
        <v>2</v>
      </c>
      <c r="AC120" s="23">
        <f t="shared" si="9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4">
        <v>120</v>
      </c>
      <c r="I121" s="142">
        <v>120</v>
      </c>
      <c r="J121" s="20">
        <v>2</v>
      </c>
      <c r="K121" s="19" t="s">
        <v>461</v>
      </c>
      <c r="L121" s="141">
        <v>122</v>
      </c>
      <c r="M121" s="141">
        <v>122</v>
      </c>
      <c r="N121" s="20">
        <v>2</v>
      </c>
      <c r="O121" s="20"/>
      <c r="P121" s="8">
        <v>93</v>
      </c>
      <c r="Q121" s="194">
        <v>60</v>
      </c>
      <c r="R121" s="117"/>
      <c r="S121" s="117" t="s">
        <v>32</v>
      </c>
      <c r="T121" s="8">
        <v>25</v>
      </c>
      <c r="U121" s="8">
        <v>25</v>
      </c>
      <c r="V121" s="117"/>
      <c r="W121" s="117"/>
      <c r="X121" s="22"/>
      <c r="Y121" s="22"/>
      <c r="Z121" s="138">
        <f t="shared" si="6"/>
        <v>4</v>
      </c>
      <c r="AA121" s="133">
        <f t="shared" si="7"/>
        <v>5</v>
      </c>
      <c r="AB121" s="59">
        <f t="shared" si="5"/>
        <v>1</v>
      </c>
      <c r="AC121" s="23">
        <f t="shared" si="9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142">
        <v>120</v>
      </c>
      <c r="I122" s="142">
        <v>120</v>
      </c>
      <c r="J122" s="20">
        <v>2</v>
      </c>
      <c r="K122" s="19" t="s">
        <v>462</v>
      </c>
      <c r="L122" s="141">
        <v>122</v>
      </c>
      <c r="M122" s="8"/>
      <c r="N122" s="20">
        <v>2</v>
      </c>
      <c r="O122" s="20"/>
      <c r="P122" s="194">
        <v>60</v>
      </c>
      <c r="Q122" s="194">
        <v>60</v>
      </c>
      <c r="R122" s="117">
        <v>1</v>
      </c>
      <c r="S122" s="117"/>
      <c r="T122" s="8">
        <v>25</v>
      </c>
      <c r="U122" s="8">
        <v>25</v>
      </c>
      <c r="V122" s="117"/>
      <c r="W122" s="117"/>
      <c r="X122" s="22"/>
      <c r="Y122" s="22"/>
      <c r="Z122" s="138">
        <f t="shared" si="6"/>
        <v>5</v>
      </c>
      <c r="AA122" s="133">
        <f t="shared" si="7"/>
        <v>3</v>
      </c>
      <c r="AB122" s="59">
        <f t="shared" si="5"/>
        <v>0</v>
      </c>
      <c r="AC122" s="23">
        <f t="shared" si="9"/>
        <v>2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142">
        <v>120</v>
      </c>
      <c r="I123" s="8">
        <v>105</v>
      </c>
      <c r="J123" s="117">
        <v>2</v>
      </c>
      <c r="K123" s="117" t="s">
        <v>32</v>
      </c>
      <c r="L123" s="8"/>
      <c r="M123" s="8">
        <v>78</v>
      </c>
      <c r="N123" s="20"/>
      <c r="O123" s="20"/>
      <c r="P123" s="194">
        <v>60</v>
      </c>
      <c r="Q123" s="194">
        <v>60</v>
      </c>
      <c r="R123" s="117">
        <v>1</v>
      </c>
      <c r="S123" s="117"/>
      <c r="T123" s="8">
        <v>25</v>
      </c>
      <c r="U123" s="8">
        <v>25</v>
      </c>
      <c r="V123" s="117"/>
      <c r="W123" s="117"/>
      <c r="X123" s="22"/>
      <c r="Y123" s="22"/>
      <c r="Z123" s="138">
        <f t="shared" si="6"/>
        <v>3</v>
      </c>
      <c r="AA123" s="133">
        <f t="shared" si="7"/>
        <v>5</v>
      </c>
      <c r="AB123" s="59">
        <f t="shared" si="5"/>
        <v>3</v>
      </c>
      <c r="AC123" s="23">
        <f t="shared" si="9"/>
        <v>1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7">
        <v>2</v>
      </c>
      <c r="G124" s="136" t="s">
        <v>157</v>
      </c>
      <c r="H124" s="8">
        <v>105</v>
      </c>
      <c r="I124" s="8">
        <v>105</v>
      </c>
      <c r="J124" s="117"/>
      <c r="K124" s="117"/>
      <c r="L124" s="8">
        <v>78</v>
      </c>
      <c r="M124" s="8">
        <v>78</v>
      </c>
      <c r="N124" s="117">
        <v>2</v>
      </c>
      <c r="O124" s="117" t="s">
        <v>157</v>
      </c>
      <c r="P124" s="194">
        <v>60</v>
      </c>
      <c r="Q124" s="194">
        <v>60</v>
      </c>
      <c r="R124" s="117">
        <v>1</v>
      </c>
      <c r="S124" s="117"/>
      <c r="T124" s="8">
        <v>25</v>
      </c>
      <c r="U124" s="142">
        <v>35</v>
      </c>
      <c r="V124" s="117"/>
      <c r="W124" s="117"/>
      <c r="X124" s="22"/>
      <c r="Y124" s="22"/>
      <c r="Z124" s="138">
        <f t="shared" si="6"/>
        <v>5</v>
      </c>
      <c r="AA124" s="133">
        <f t="shared" si="7"/>
        <v>5</v>
      </c>
      <c r="AB124" s="59">
        <f t="shared" si="5"/>
        <v>1</v>
      </c>
      <c r="AC124" s="23">
        <f t="shared" si="9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7">
        <v>2</v>
      </c>
      <c r="G125" s="136"/>
      <c r="H125" s="8">
        <v>105</v>
      </c>
      <c r="I125" s="8">
        <v>105</v>
      </c>
      <c r="J125" s="117"/>
      <c r="K125" s="117"/>
      <c r="L125" s="8">
        <v>78</v>
      </c>
      <c r="M125" s="8">
        <v>78</v>
      </c>
      <c r="N125" s="117">
        <v>2</v>
      </c>
      <c r="O125" s="117"/>
      <c r="P125" s="194">
        <v>60</v>
      </c>
      <c r="Q125" s="142">
        <v>123</v>
      </c>
      <c r="R125" s="117">
        <v>1</v>
      </c>
      <c r="S125" s="117"/>
      <c r="T125" s="142">
        <v>35</v>
      </c>
      <c r="U125" s="142">
        <v>35</v>
      </c>
      <c r="V125" s="117">
        <v>2</v>
      </c>
      <c r="W125" s="117" t="s">
        <v>227</v>
      </c>
      <c r="X125" s="22"/>
      <c r="Y125" s="22"/>
      <c r="Z125" s="138">
        <f t="shared" si="6"/>
        <v>7</v>
      </c>
      <c r="AA125" s="133">
        <f t="shared" si="7"/>
        <v>5</v>
      </c>
      <c r="AB125" s="59">
        <f t="shared" si="5"/>
        <v>1</v>
      </c>
      <c r="AC125" s="23">
        <f t="shared" si="9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7">
        <v>2</v>
      </c>
      <c r="G126" s="136"/>
      <c r="H126" s="8">
        <v>105</v>
      </c>
      <c r="I126" s="8">
        <v>105</v>
      </c>
      <c r="J126" s="117"/>
      <c r="K126" s="117"/>
      <c r="L126" s="8">
        <v>78</v>
      </c>
      <c r="M126" s="8">
        <v>78</v>
      </c>
      <c r="N126" s="117">
        <v>2</v>
      </c>
      <c r="O126" s="117"/>
      <c r="P126" s="142">
        <v>123</v>
      </c>
      <c r="Q126" s="142">
        <v>123</v>
      </c>
      <c r="R126" s="117">
        <v>2</v>
      </c>
      <c r="S126" s="117"/>
      <c r="T126" s="142">
        <v>35</v>
      </c>
      <c r="U126" s="142">
        <v>35</v>
      </c>
      <c r="V126" s="117">
        <v>2</v>
      </c>
      <c r="W126" s="117"/>
      <c r="X126" s="22"/>
      <c r="Y126" s="22"/>
      <c r="Z126" s="138">
        <f t="shared" si="6"/>
        <v>8</v>
      </c>
      <c r="AA126" s="133">
        <f t="shared" si="7"/>
        <v>5</v>
      </c>
      <c r="AB126" s="59">
        <f t="shared" si="5"/>
        <v>0</v>
      </c>
      <c r="AC126" s="23">
        <f t="shared" si="9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7">
        <v>2</v>
      </c>
      <c r="G127" s="136"/>
      <c r="H127" s="8">
        <v>105</v>
      </c>
      <c r="I127" s="8"/>
      <c r="J127" s="117"/>
      <c r="K127" s="117"/>
      <c r="L127" s="8">
        <v>78</v>
      </c>
      <c r="M127" s="8">
        <v>78</v>
      </c>
      <c r="N127" s="117">
        <v>2</v>
      </c>
      <c r="O127" s="117"/>
      <c r="P127" s="142">
        <v>123</v>
      </c>
      <c r="Q127" s="142">
        <v>123</v>
      </c>
      <c r="R127" s="117">
        <v>2</v>
      </c>
      <c r="S127" s="117"/>
      <c r="T127" s="142">
        <v>35</v>
      </c>
      <c r="U127" s="142">
        <v>35</v>
      </c>
      <c r="V127" s="117">
        <v>2</v>
      </c>
      <c r="W127" s="117"/>
      <c r="X127" s="22"/>
      <c r="Y127" s="22"/>
      <c r="Z127" s="138">
        <f t="shared" si="6"/>
        <v>8</v>
      </c>
      <c r="AA127" s="133">
        <f t="shared" si="7"/>
        <v>4</v>
      </c>
      <c r="AB127" s="59">
        <f t="shared" si="5"/>
        <v>0</v>
      </c>
      <c r="AC127" s="23">
        <f t="shared" si="9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7">
        <v>2</v>
      </c>
      <c r="G128" s="136"/>
      <c r="H128" s="8"/>
      <c r="I128" s="8"/>
      <c r="J128" s="20"/>
      <c r="K128" s="19"/>
      <c r="L128" s="8">
        <v>78</v>
      </c>
      <c r="M128" s="8">
        <v>78</v>
      </c>
      <c r="N128" s="117">
        <v>2</v>
      </c>
      <c r="O128" s="117"/>
      <c r="P128" s="142">
        <v>123</v>
      </c>
      <c r="Q128" s="142">
        <v>123</v>
      </c>
      <c r="R128" s="117">
        <v>2</v>
      </c>
      <c r="S128" s="117"/>
      <c r="T128" s="142">
        <v>35</v>
      </c>
      <c r="U128" s="8"/>
      <c r="V128" s="117">
        <v>2</v>
      </c>
      <c r="W128" s="117"/>
      <c r="X128" s="22"/>
      <c r="Y128" s="22"/>
      <c r="Z128" s="138">
        <f t="shared" si="6"/>
        <v>8</v>
      </c>
      <c r="AA128" s="133">
        <f t="shared" si="7"/>
        <v>2</v>
      </c>
      <c r="AB128" s="59">
        <f t="shared" si="5"/>
        <v>0</v>
      </c>
      <c r="AC128" s="23">
        <f t="shared" si="9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>
        <v>78</v>
      </c>
      <c r="M129" s="8">
        <v>78</v>
      </c>
      <c r="N129" s="117">
        <v>2</v>
      </c>
      <c r="O129" s="117"/>
      <c r="P129" s="142">
        <v>123</v>
      </c>
      <c r="Q129" s="142">
        <v>123</v>
      </c>
      <c r="R129" s="117">
        <v>2</v>
      </c>
      <c r="S129" s="117"/>
      <c r="T129" s="8"/>
      <c r="U129" s="8"/>
      <c r="V129" s="137"/>
      <c r="W129" s="117"/>
      <c r="X129" s="22"/>
      <c r="Y129" s="22"/>
      <c r="Z129" s="138">
        <f t="shared" si="6"/>
        <v>4</v>
      </c>
      <c r="AA129" s="133">
        <f t="shared" si="7"/>
        <v>2</v>
      </c>
      <c r="AB129" s="59">
        <f t="shared" si="5"/>
        <v>0</v>
      </c>
      <c r="AC129" s="23">
        <f t="shared" si="9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>
        <v>78</v>
      </c>
      <c r="M130" s="8">
        <v>78</v>
      </c>
      <c r="N130" s="117">
        <v>2</v>
      </c>
      <c r="O130" s="117"/>
      <c r="P130" s="142">
        <v>123</v>
      </c>
      <c r="Q130" s="142">
        <v>123</v>
      </c>
      <c r="R130" s="117">
        <v>2</v>
      </c>
      <c r="S130" s="117"/>
      <c r="T130" s="8"/>
      <c r="U130" s="8"/>
      <c r="V130" s="117"/>
      <c r="W130" s="117"/>
      <c r="X130" s="22"/>
      <c r="Y130" s="22"/>
      <c r="Z130" s="138">
        <f t="shared" si="6"/>
        <v>4</v>
      </c>
      <c r="AA130" s="133">
        <f t="shared" si="7"/>
        <v>2</v>
      </c>
      <c r="AB130" s="59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3">
        <f t="shared" si="9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35"/>
      <c r="H131" s="8"/>
      <c r="I131" s="8"/>
      <c r="J131" s="20"/>
      <c r="K131" s="19"/>
      <c r="L131" s="8">
        <v>78</v>
      </c>
      <c r="M131" s="8"/>
      <c r="N131" s="20">
        <v>2</v>
      </c>
      <c r="O131" s="20"/>
      <c r="P131" s="142">
        <v>123</v>
      </c>
      <c r="Q131" s="142">
        <v>123</v>
      </c>
      <c r="R131" s="117">
        <v>2</v>
      </c>
      <c r="S131" s="117"/>
      <c r="T131" s="8"/>
      <c r="U131" s="8"/>
      <c r="V131" s="117"/>
      <c r="W131" s="117"/>
      <c r="X131" s="22"/>
      <c r="Y131" s="22"/>
      <c r="Z131" s="138">
        <f t="shared" ref="Z131:Z171" si="11">F131+J131+N131+R131+V131</f>
        <v>4</v>
      </c>
      <c r="AA131" s="133">
        <f t="shared" ref="AA131:AA171" si="12">COUNT(E131,I131,M131,Q131,U131)</f>
        <v>1</v>
      </c>
      <c r="AB131" s="59">
        <f t="shared" si="10"/>
        <v>0</v>
      </c>
      <c r="AC131" s="23">
        <f t="shared" si="9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35"/>
      <c r="H132" s="8"/>
      <c r="I132" s="8"/>
      <c r="J132" s="20"/>
      <c r="K132" s="19"/>
      <c r="L132" s="8"/>
      <c r="M132" s="8"/>
      <c r="N132" s="20"/>
      <c r="O132" s="20"/>
      <c r="P132" s="142">
        <v>123</v>
      </c>
      <c r="Q132" s="8">
        <v>113</v>
      </c>
      <c r="R132" s="117"/>
      <c r="S132" s="117" t="s">
        <v>32</v>
      </c>
      <c r="T132" s="8"/>
      <c r="U132" s="8"/>
      <c r="V132" s="117"/>
      <c r="W132" s="117"/>
      <c r="X132" s="22"/>
      <c r="Y132" s="22"/>
      <c r="Z132" s="138">
        <f t="shared" si="11"/>
        <v>0</v>
      </c>
      <c r="AA132" s="133">
        <f t="shared" si="12"/>
        <v>1</v>
      </c>
      <c r="AB132" s="59">
        <f t="shared" si="10"/>
        <v>1</v>
      </c>
      <c r="AC132" s="23">
        <f t="shared" si="9"/>
        <v>1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35"/>
      <c r="H133" s="14"/>
      <c r="I133" s="8"/>
      <c r="J133" s="20"/>
      <c r="K133" s="19"/>
      <c r="L133" s="8"/>
      <c r="M133" s="8"/>
      <c r="N133" s="20"/>
      <c r="O133" s="20"/>
      <c r="P133" s="8">
        <v>113</v>
      </c>
      <c r="Q133" s="8">
        <v>113</v>
      </c>
      <c r="R133" s="117"/>
      <c r="S133" s="117"/>
      <c r="T133" s="8"/>
      <c r="U133" s="8"/>
      <c r="V133" s="117"/>
      <c r="W133" s="117"/>
      <c r="X133" s="22"/>
      <c r="Y133" s="22"/>
      <c r="Z133" s="138">
        <f t="shared" si="11"/>
        <v>0</v>
      </c>
      <c r="AA133" s="133">
        <f t="shared" si="12"/>
        <v>1</v>
      </c>
      <c r="AB133" s="59">
        <f t="shared" si="10"/>
        <v>0</v>
      </c>
      <c r="AC133" s="23">
        <f t="shared" si="9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5"/>
      <c r="H134" s="14"/>
      <c r="I134" s="8"/>
      <c r="J134" s="20"/>
      <c r="K134" s="19"/>
      <c r="L134" s="8"/>
      <c r="M134" s="8"/>
      <c r="N134" s="20"/>
      <c r="O134" s="20"/>
      <c r="P134" s="8">
        <v>113</v>
      </c>
      <c r="Q134" s="8"/>
      <c r="R134" s="117"/>
      <c r="S134" s="117"/>
      <c r="T134" s="8"/>
      <c r="U134" s="8">
        <v>22</v>
      </c>
      <c r="V134" s="117"/>
      <c r="W134" s="117"/>
      <c r="X134" s="22"/>
      <c r="Y134" s="22"/>
      <c r="Z134" s="138">
        <f t="shared" si="11"/>
        <v>0</v>
      </c>
      <c r="AA134" s="133">
        <f t="shared" si="12"/>
        <v>1</v>
      </c>
      <c r="AB134" s="59">
        <f t="shared" si="10"/>
        <v>1</v>
      </c>
      <c r="AC134" s="23">
        <f t="shared" si="9"/>
        <v>1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>
        <v>118</v>
      </c>
      <c r="R135" s="117"/>
      <c r="S135" s="117"/>
      <c r="T135" s="8">
        <v>22</v>
      </c>
      <c r="U135" s="8">
        <v>22</v>
      </c>
      <c r="V135" s="20">
        <v>2</v>
      </c>
      <c r="W135" s="20" t="s">
        <v>226</v>
      </c>
      <c r="X135" s="22"/>
      <c r="Y135" s="22"/>
      <c r="Z135" s="138">
        <f t="shared" si="11"/>
        <v>2</v>
      </c>
      <c r="AA135" s="133">
        <f t="shared" si="12"/>
        <v>2</v>
      </c>
      <c r="AB135" s="59">
        <f t="shared" si="10"/>
        <v>1</v>
      </c>
      <c r="AC135" s="23">
        <f t="shared" si="9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>
        <v>118</v>
      </c>
      <c r="Q136" s="8">
        <v>118</v>
      </c>
      <c r="R136" s="117"/>
      <c r="S136" s="117"/>
      <c r="T136" s="8">
        <v>22</v>
      </c>
      <c r="U136" s="8">
        <v>22</v>
      </c>
      <c r="V136" s="20">
        <v>2</v>
      </c>
      <c r="W136" s="20"/>
      <c r="X136" s="22"/>
      <c r="Y136" s="22"/>
      <c r="Z136" s="138">
        <f t="shared" si="11"/>
        <v>2</v>
      </c>
      <c r="AA136" s="133">
        <f t="shared" si="12"/>
        <v>2</v>
      </c>
      <c r="AB136" s="59">
        <f t="shared" si="10"/>
        <v>0</v>
      </c>
      <c r="AC136" s="23">
        <f t="shared" si="9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>
        <v>118</v>
      </c>
      <c r="Q137" s="8">
        <v>118</v>
      </c>
      <c r="R137" s="117"/>
      <c r="S137" s="117"/>
      <c r="T137" s="8">
        <v>22</v>
      </c>
      <c r="U137" s="8">
        <v>22</v>
      </c>
      <c r="V137" s="20">
        <v>2</v>
      </c>
      <c r="W137" s="20"/>
      <c r="X137" s="22"/>
      <c r="Y137" s="22"/>
      <c r="Z137" s="138">
        <f t="shared" si="11"/>
        <v>2</v>
      </c>
      <c r="AA137" s="133">
        <f t="shared" si="12"/>
        <v>2</v>
      </c>
      <c r="AB137" s="59">
        <f t="shared" si="10"/>
        <v>0</v>
      </c>
      <c r="AC137" s="23">
        <f t="shared" si="9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>
        <v>118</v>
      </c>
      <c r="Q138" s="8"/>
      <c r="R138" s="117"/>
      <c r="S138" s="117"/>
      <c r="T138" s="8">
        <v>22</v>
      </c>
      <c r="U138" s="8">
        <v>22</v>
      </c>
      <c r="V138" s="20">
        <v>2</v>
      </c>
      <c r="W138" s="20"/>
      <c r="X138" s="22"/>
      <c r="Y138" s="22"/>
      <c r="Z138" s="138">
        <f t="shared" si="11"/>
        <v>2</v>
      </c>
      <c r="AA138" s="133">
        <f t="shared" si="12"/>
        <v>1</v>
      </c>
      <c r="AB138" s="59">
        <f t="shared" si="10"/>
        <v>0</v>
      </c>
      <c r="AC138" s="23">
        <f t="shared" si="9"/>
        <v>1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1">
        <v>89</v>
      </c>
      <c r="F139" s="20"/>
      <c r="G139" s="19"/>
      <c r="H139" s="10"/>
      <c r="I139" s="141">
        <v>89</v>
      </c>
      <c r="J139" s="20"/>
      <c r="K139" s="19"/>
      <c r="L139" s="8"/>
      <c r="M139" s="8"/>
      <c r="N139" s="20"/>
      <c r="O139" s="20"/>
      <c r="P139" s="8"/>
      <c r="Q139" s="8"/>
      <c r="R139" s="117"/>
      <c r="S139" s="117"/>
      <c r="T139" s="8">
        <v>22</v>
      </c>
      <c r="U139" s="8">
        <v>22</v>
      </c>
      <c r="V139" s="20">
        <v>2</v>
      </c>
      <c r="W139" s="20"/>
      <c r="X139" s="22"/>
      <c r="Y139" s="22"/>
      <c r="Z139" s="138">
        <f t="shared" si="11"/>
        <v>2</v>
      </c>
      <c r="AA139" s="133">
        <f t="shared" si="12"/>
        <v>3</v>
      </c>
      <c r="AB139" s="59">
        <f t="shared" si="10"/>
        <v>2</v>
      </c>
      <c r="AC139" s="23">
        <f t="shared" si="9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2">
        <v>89</v>
      </c>
      <c r="E140" s="141">
        <v>89</v>
      </c>
      <c r="F140" s="20">
        <v>1</v>
      </c>
      <c r="G140" s="19"/>
      <c r="H140" s="192">
        <v>89</v>
      </c>
      <c r="I140" s="141">
        <v>89</v>
      </c>
      <c r="J140" s="20">
        <v>2</v>
      </c>
      <c r="K140" s="19"/>
      <c r="L140" s="8"/>
      <c r="M140" s="156">
        <v>103</v>
      </c>
      <c r="N140" s="20"/>
      <c r="O140" s="20" t="s">
        <v>159</v>
      </c>
      <c r="P140" s="8"/>
      <c r="Q140" s="8"/>
      <c r="R140" s="117"/>
      <c r="S140" s="117"/>
      <c r="T140" s="8">
        <v>22</v>
      </c>
      <c r="U140" s="8">
        <v>22</v>
      </c>
      <c r="V140" s="20">
        <v>2</v>
      </c>
      <c r="W140" s="20"/>
      <c r="X140" s="22"/>
      <c r="Y140" s="22"/>
      <c r="Z140" s="138">
        <f t="shared" si="11"/>
        <v>5</v>
      </c>
      <c r="AA140" s="133">
        <f t="shared" si="12"/>
        <v>4</v>
      </c>
      <c r="AB140" s="59">
        <f t="shared" si="10"/>
        <v>1</v>
      </c>
      <c r="AC140" s="23">
        <f t="shared" si="9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2">
        <v>89</v>
      </c>
      <c r="E141" s="8"/>
      <c r="F141" s="20">
        <v>1</v>
      </c>
      <c r="G141" s="19"/>
      <c r="H141" s="192">
        <v>89</v>
      </c>
      <c r="I141" s="8"/>
      <c r="J141" s="20">
        <v>2</v>
      </c>
      <c r="K141" s="19"/>
      <c r="L141" s="156">
        <v>103</v>
      </c>
      <c r="M141" s="156">
        <v>103</v>
      </c>
      <c r="N141" s="20">
        <v>2</v>
      </c>
      <c r="O141" s="20"/>
      <c r="P141" s="8"/>
      <c r="Q141" s="8"/>
      <c r="R141" s="117"/>
      <c r="S141" s="117"/>
      <c r="T141" s="8">
        <v>22</v>
      </c>
      <c r="U141" s="8">
        <v>22</v>
      </c>
      <c r="V141" s="20">
        <v>2</v>
      </c>
      <c r="W141" s="20"/>
      <c r="X141" s="22"/>
      <c r="Y141" s="22"/>
      <c r="Z141" s="138">
        <f t="shared" si="11"/>
        <v>7</v>
      </c>
      <c r="AA141" s="133">
        <f t="shared" si="12"/>
        <v>2</v>
      </c>
      <c r="AB141" s="59">
        <f t="shared" si="10"/>
        <v>0</v>
      </c>
      <c r="AC141" s="23">
        <f t="shared" si="9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56">
        <v>103</v>
      </c>
      <c r="M142" s="156">
        <v>103</v>
      </c>
      <c r="N142" s="20">
        <v>2</v>
      </c>
      <c r="O142" s="20"/>
      <c r="P142" s="8"/>
      <c r="Q142" s="8">
        <v>101</v>
      </c>
      <c r="R142" s="117"/>
      <c r="S142" s="117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38">
        <f t="shared" si="11"/>
        <v>4</v>
      </c>
      <c r="AA142" s="133">
        <f t="shared" si="12"/>
        <v>4</v>
      </c>
      <c r="AB142" s="59">
        <f t="shared" si="10"/>
        <v>2</v>
      </c>
      <c r="AC142" s="23">
        <f t="shared" si="9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56">
        <v>103</v>
      </c>
      <c r="M143" s="156">
        <v>103</v>
      </c>
      <c r="N143" s="20">
        <v>2</v>
      </c>
      <c r="O143" s="20"/>
      <c r="P143" s="8">
        <v>101</v>
      </c>
      <c r="Q143" s="8">
        <v>101</v>
      </c>
      <c r="R143" s="117"/>
      <c r="S143" s="117"/>
      <c r="T143" s="8">
        <v>22</v>
      </c>
      <c r="U143" s="8">
        <v>22</v>
      </c>
      <c r="V143" s="20">
        <v>2</v>
      </c>
      <c r="W143" s="20"/>
      <c r="X143" s="22"/>
      <c r="Y143" s="22"/>
      <c r="Z143" s="138">
        <f t="shared" si="11"/>
        <v>4</v>
      </c>
      <c r="AA143" s="133">
        <f t="shared" si="12"/>
        <v>4</v>
      </c>
      <c r="AB143" s="59">
        <f t="shared" si="10"/>
        <v>0</v>
      </c>
      <c r="AC143" s="23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2">
        <v>47</v>
      </c>
      <c r="J144" s="20"/>
      <c r="K144" s="19" t="s">
        <v>159</v>
      </c>
      <c r="L144" s="156">
        <v>103</v>
      </c>
      <c r="M144" s="156">
        <v>103</v>
      </c>
      <c r="N144" s="20">
        <v>2</v>
      </c>
      <c r="O144" s="20"/>
      <c r="P144" s="8">
        <v>101</v>
      </c>
      <c r="Q144" s="8"/>
      <c r="R144" s="117"/>
      <c r="S144" s="117"/>
      <c r="T144" s="8">
        <v>22</v>
      </c>
      <c r="U144" s="8">
        <v>22</v>
      </c>
      <c r="V144" s="20">
        <v>2</v>
      </c>
      <c r="W144" s="20"/>
      <c r="X144" s="22"/>
      <c r="Y144" s="22"/>
      <c r="Z144" s="138">
        <f t="shared" si="11"/>
        <v>4</v>
      </c>
      <c r="AA144" s="133">
        <f t="shared" si="12"/>
        <v>3</v>
      </c>
      <c r="AB144" s="59">
        <f t="shared" si="10"/>
        <v>1</v>
      </c>
      <c r="AC144" s="23">
        <f t="shared" si="13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159</v>
      </c>
      <c r="H145" s="142">
        <v>47</v>
      </c>
      <c r="I145" s="142">
        <v>47</v>
      </c>
      <c r="J145" s="20">
        <v>2</v>
      </c>
      <c r="K145" s="19"/>
      <c r="L145" s="156">
        <v>103</v>
      </c>
      <c r="M145" s="156">
        <v>103</v>
      </c>
      <c r="N145" s="20">
        <v>2</v>
      </c>
      <c r="O145" s="20"/>
      <c r="P145" s="8"/>
      <c r="Q145" s="8">
        <v>42</v>
      </c>
      <c r="R145" s="117"/>
      <c r="S145" s="117" t="s">
        <v>32</v>
      </c>
      <c r="T145" s="8">
        <v>22</v>
      </c>
      <c r="U145" s="8"/>
      <c r="V145" s="20"/>
      <c r="W145" s="20"/>
      <c r="X145" s="22"/>
      <c r="Y145" s="22"/>
      <c r="Z145" s="138">
        <f t="shared" si="11"/>
        <v>4</v>
      </c>
      <c r="AA145" s="133">
        <f t="shared" si="12"/>
        <v>4</v>
      </c>
      <c r="AB145" s="59">
        <f t="shared" si="10"/>
        <v>2</v>
      </c>
      <c r="AC145" s="23">
        <f t="shared" si="13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2">
        <v>47</v>
      </c>
      <c r="I146" s="142">
        <v>47</v>
      </c>
      <c r="J146" s="20">
        <v>2</v>
      </c>
      <c r="K146" s="19"/>
      <c r="L146" s="156">
        <v>103</v>
      </c>
      <c r="M146" s="156">
        <v>103</v>
      </c>
      <c r="N146" s="20">
        <v>2</v>
      </c>
      <c r="O146" s="20"/>
      <c r="P146" s="8">
        <v>42</v>
      </c>
      <c r="Q146" s="8">
        <v>42</v>
      </c>
      <c r="R146" s="117"/>
      <c r="S146" s="117"/>
      <c r="T146" s="8"/>
      <c r="U146" s="141">
        <v>3</v>
      </c>
      <c r="V146" s="20"/>
      <c r="W146" s="20"/>
      <c r="X146" s="22"/>
      <c r="Y146" s="22"/>
      <c r="Z146" s="138">
        <f t="shared" si="11"/>
        <v>4</v>
      </c>
      <c r="AA146" s="133">
        <f t="shared" si="12"/>
        <v>5</v>
      </c>
      <c r="AB146" s="59">
        <f t="shared" si="10"/>
        <v>1</v>
      </c>
      <c r="AC146" s="23">
        <f t="shared" si="13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2">
        <v>47</v>
      </c>
      <c r="I147" s="142">
        <v>47</v>
      </c>
      <c r="J147" s="20">
        <v>2</v>
      </c>
      <c r="K147" s="19"/>
      <c r="L147" s="156">
        <v>103</v>
      </c>
      <c r="M147" s="8"/>
      <c r="N147" s="20">
        <v>2</v>
      </c>
      <c r="O147" s="20"/>
      <c r="P147" s="8">
        <v>42</v>
      </c>
      <c r="Q147" s="8">
        <v>42</v>
      </c>
      <c r="R147" s="117"/>
      <c r="S147" s="117"/>
      <c r="T147" s="141">
        <v>3</v>
      </c>
      <c r="U147" s="141">
        <v>3</v>
      </c>
      <c r="V147" s="20">
        <v>2</v>
      </c>
      <c r="W147" s="20"/>
      <c r="X147" s="22"/>
      <c r="Y147" s="22"/>
      <c r="Z147" s="138">
        <f t="shared" si="11"/>
        <v>6</v>
      </c>
      <c r="AA147" s="133">
        <f t="shared" si="12"/>
        <v>4</v>
      </c>
      <c r="AB147" s="59">
        <f t="shared" si="10"/>
        <v>0</v>
      </c>
      <c r="AC147" s="23">
        <f t="shared" si="13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2">
        <v>47</v>
      </c>
      <c r="I148" s="142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17"/>
      <c r="S148" s="117"/>
      <c r="T148" s="141">
        <v>3</v>
      </c>
      <c r="U148" s="8"/>
      <c r="V148" s="20">
        <v>2</v>
      </c>
      <c r="W148" s="20"/>
      <c r="X148" s="22"/>
      <c r="Y148" s="22"/>
      <c r="Z148" s="138">
        <f t="shared" si="11"/>
        <v>4</v>
      </c>
      <c r="AA148" s="133">
        <f t="shared" si="12"/>
        <v>1</v>
      </c>
      <c r="AB148" s="59">
        <f t="shared" si="10"/>
        <v>0</v>
      </c>
      <c r="AC148" s="23">
        <f t="shared" si="13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2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7"/>
      <c r="S149" s="117"/>
      <c r="T149" s="8"/>
      <c r="U149" s="8"/>
      <c r="V149" s="20"/>
      <c r="W149" s="20"/>
      <c r="X149" s="22"/>
      <c r="Y149" s="22"/>
      <c r="Z149" s="138">
        <f t="shared" si="11"/>
        <v>2</v>
      </c>
      <c r="AA149" s="133">
        <f t="shared" si="12"/>
        <v>0</v>
      </c>
      <c r="AB149" s="59">
        <f t="shared" si="10"/>
        <v>0</v>
      </c>
      <c r="AC149" s="23">
        <f t="shared" si="13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7"/>
      <c r="S150" s="117"/>
      <c r="T150" s="8"/>
      <c r="U150" s="8"/>
      <c r="V150" s="20"/>
      <c r="W150" s="20"/>
      <c r="X150" s="22"/>
      <c r="Y150" s="22"/>
      <c r="Z150" s="138">
        <f t="shared" si="11"/>
        <v>0</v>
      </c>
      <c r="AA150" s="133">
        <f t="shared" si="12"/>
        <v>0</v>
      </c>
      <c r="AB150" s="59">
        <f t="shared" si="10"/>
        <v>0</v>
      </c>
      <c r="AC150" s="23">
        <f t="shared" si="13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7"/>
      <c r="S151" s="117"/>
      <c r="T151" s="8"/>
      <c r="U151" s="8"/>
      <c r="V151" s="20"/>
      <c r="W151" s="20"/>
      <c r="X151" s="22"/>
      <c r="Y151" s="22"/>
      <c r="Z151" s="138">
        <f t="shared" si="11"/>
        <v>0</v>
      </c>
      <c r="AA151" s="133">
        <f t="shared" si="12"/>
        <v>0</v>
      </c>
      <c r="AB151" s="59">
        <f t="shared" si="10"/>
        <v>0</v>
      </c>
      <c r="AC151" s="23">
        <f t="shared" si="13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7"/>
      <c r="S152" s="117"/>
      <c r="T152" s="8"/>
      <c r="U152" s="8"/>
      <c r="V152" s="20"/>
      <c r="W152" s="20"/>
      <c r="X152" s="22"/>
      <c r="Y152" s="22"/>
      <c r="Z152" s="138">
        <f t="shared" si="11"/>
        <v>0</v>
      </c>
      <c r="AA152" s="133">
        <f t="shared" si="12"/>
        <v>0</v>
      </c>
      <c r="AB152" s="59">
        <f t="shared" si="10"/>
        <v>0</v>
      </c>
      <c r="AC152" s="23">
        <f t="shared" si="13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7"/>
      <c r="S153" s="117"/>
      <c r="T153" s="8"/>
      <c r="U153" s="8"/>
      <c r="V153" s="20"/>
      <c r="W153" s="20"/>
      <c r="X153" s="22"/>
      <c r="Y153" s="22"/>
      <c r="Z153" s="138">
        <f t="shared" si="11"/>
        <v>0</v>
      </c>
      <c r="AA153" s="133">
        <f t="shared" si="12"/>
        <v>0</v>
      </c>
      <c r="AB153" s="59">
        <f t="shared" si="10"/>
        <v>0</v>
      </c>
      <c r="AC153" s="23">
        <f t="shared" si="13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7"/>
      <c r="S154" s="117"/>
      <c r="T154" s="8"/>
      <c r="U154" s="8"/>
      <c r="V154" s="20"/>
      <c r="W154" s="20"/>
      <c r="X154" s="22"/>
      <c r="Y154" s="22"/>
      <c r="Z154" s="138">
        <f t="shared" si="11"/>
        <v>0</v>
      </c>
      <c r="AA154" s="133">
        <f t="shared" si="12"/>
        <v>0</v>
      </c>
      <c r="AB154" s="59">
        <f t="shared" si="10"/>
        <v>0</v>
      </c>
      <c r="AC154" s="23">
        <f t="shared" si="13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7"/>
      <c r="S155" s="117"/>
      <c r="T155" s="8"/>
      <c r="U155" s="8"/>
      <c r="V155" s="20"/>
      <c r="W155" s="20"/>
      <c r="X155" s="22"/>
      <c r="Y155" s="22"/>
      <c r="Z155" s="138">
        <f t="shared" si="11"/>
        <v>0</v>
      </c>
      <c r="AA155" s="133">
        <f t="shared" si="12"/>
        <v>0</v>
      </c>
      <c r="AB155" s="59">
        <f t="shared" si="10"/>
        <v>0</v>
      </c>
      <c r="AC155" s="23">
        <f t="shared" si="13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7"/>
      <c r="S156" s="117"/>
      <c r="T156" s="8"/>
      <c r="U156" s="8"/>
      <c r="V156" s="20"/>
      <c r="W156" s="20"/>
      <c r="X156" s="22"/>
      <c r="Y156" s="22"/>
      <c r="Z156" s="138">
        <f t="shared" si="11"/>
        <v>0</v>
      </c>
      <c r="AA156" s="133">
        <f t="shared" si="12"/>
        <v>0</v>
      </c>
      <c r="AB156" s="59">
        <f t="shared" si="10"/>
        <v>0</v>
      </c>
      <c r="AC156" s="23">
        <f t="shared" si="13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7"/>
      <c r="S157" s="117"/>
      <c r="T157" s="8"/>
      <c r="U157" s="8"/>
      <c r="V157" s="20"/>
      <c r="W157" s="20"/>
      <c r="X157" s="22"/>
      <c r="Y157" s="22"/>
      <c r="Z157" s="138">
        <f t="shared" si="11"/>
        <v>0</v>
      </c>
      <c r="AA157" s="133">
        <f t="shared" si="12"/>
        <v>0</v>
      </c>
      <c r="AB157" s="59">
        <f t="shared" si="10"/>
        <v>0</v>
      </c>
      <c r="AC157" s="23">
        <f t="shared" si="13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7"/>
      <c r="S158" s="117"/>
      <c r="T158" s="8"/>
      <c r="U158" s="8"/>
      <c r="V158" s="20"/>
      <c r="W158" s="20"/>
      <c r="X158" s="22"/>
      <c r="Y158" s="22"/>
      <c r="Z158" s="138">
        <f t="shared" si="11"/>
        <v>0</v>
      </c>
      <c r="AA158" s="133">
        <f t="shared" si="12"/>
        <v>0</v>
      </c>
      <c r="AB158" s="59">
        <f t="shared" si="10"/>
        <v>0</v>
      </c>
      <c r="AC158" s="23">
        <f t="shared" si="13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7"/>
      <c r="S159" s="117"/>
      <c r="T159" s="8"/>
      <c r="U159" s="8"/>
      <c r="V159" s="20"/>
      <c r="W159" s="20"/>
      <c r="X159" s="22"/>
      <c r="Y159" s="22"/>
      <c r="Z159" s="138">
        <f t="shared" si="11"/>
        <v>0</v>
      </c>
      <c r="AA159" s="133">
        <f t="shared" si="12"/>
        <v>0</v>
      </c>
      <c r="AB159" s="59">
        <f t="shared" si="10"/>
        <v>0</v>
      </c>
      <c r="AC159" s="23">
        <f t="shared" si="13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7"/>
      <c r="S160" s="117"/>
      <c r="T160" s="8"/>
      <c r="U160" s="8"/>
      <c r="V160" s="20"/>
      <c r="W160" s="20"/>
      <c r="X160" s="22"/>
      <c r="Y160" s="22"/>
      <c r="Z160" s="138">
        <f t="shared" si="11"/>
        <v>0</v>
      </c>
      <c r="AA160" s="133">
        <f t="shared" si="12"/>
        <v>0</v>
      </c>
      <c r="AB160" s="59">
        <f t="shared" si="10"/>
        <v>0</v>
      </c>
      <c r="AC160" s="23">
        <f t="shared" si="13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7"/>
      <c r="S161" s="117"/>
      <c r="T161" s="8"/>
      <c r="U161" s="8"/>
      <c r="V161" s="20"/>
      <c r="W161" s="20"/>
      <c r="X161" s="22"/>
      <c r="Y161" s="22"/>
      <c r="Z161" s="138">
        <f t="shared" si="11"/>
        <v>0</v>
      </c>
      <c r="AA161" s="133">
        <f t="shared" si="12"/>
        <v>0</v>
      </c>
      <c r="AB161" s="59">
        <f t="shared" si="10"/>
        <v>0</v>
      </c>
      <c r="AC161" s="23">
        <f t="shared" si="13"/>
        <v>0</v>
      </c>
      <c r="AD161" s="18"/>
    </row>
    <row r="162" spans="1:30" ht="30" customHeight="1" x14ac:dyDescent="0.35">
      <c r="A162" s="6" t="s">
        <v>160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7"/>
      <c r="S162" s="117"/>
      <c r="T162" s="8"/>
      <c r="U162" s="8"/>
      <c r="V162" s="20"/>
      <c r="W162" s="20"/>
      <c r="X162" s="22"/>
      <c r="Y162" s="22"/>
      <c r="Z162" s="138">
        <f t="shared" si="11"/>
        <v>0</v>
      </c>
      <c r="AA162" s="133">
        <f t="shared" si="12"/>
        <v>0</v>
      </c>
      <c r="AB162" s="59">
        <f t="shared" si="10"/>
        <v>0</v>
      </c>
      <c r="AC162" s="23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7"/>
      <c r="S163" s="117"/>
      <c r="T163" s="8"/>
      <c r="U163" s="8"/>
      <c r="V163" s="20"/>
      <c r="W163" s="20"/>
      <c r="X163" s="22"/>
      <c r="Y163" s="22"/>
      <c r="Z163" s="138">
        <f t="shared" si="11"/>
        <v>0</v>
      </c>
      <c r="AA163" s="133">
        <f t="shared" si="12"/>
        <v>0</v>
      </c>
      <c r="AB163" s="59">
        <f t="shared" si="10"/>
        <v>0</v>
      </c>
      <c r="AC163" s="23">
        <f t="shared" si="14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7"/>
      <c r="S164" s="117"/>
      <c r="T164" s="8"/>
      <c r="U164" s="8"/>
      <c r="V164" s="20"/>
      <c r="W164" s="20"/>
      <c r="X164" s="22"/>
      <c r="Y164" s="22"/>
      <c r="Z164" s="138">
        <f t="shared" si="11"/>
        <v>0</v>
      </c>
      <c r="AA164" s="133">
        <f t="shared" si="12"/>
        <v>0</v>
      </c>
      <c r="AB164" s="59">
        <f t="shared" si="10"/>
        <v>0</v>
      </c>
      <c r="AC164" s="23">
        <f t="shared" si="14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7"/>
      <c r="S165" s="117"/>
      <c r="T165" s="8"/>
      <c r="U165" s="8"/>
      <c r="V165" s="20"/>
      <c r="W165" s="20"/>
      <c r="X165" s="22"/>
      <c r="Y165" s="22"/>
      <c r="Z165" s="138">
        <f t="shared" si="11"/>
        <v>0</v>
      </c>
      <c r="AA165" s="133">
        <f t="shared" si="12"/>
        <v>0</v>
      </c>
      <c r="AB165" s="59">
        <f t="shared" si="10"/>
        <v>0</v>
      </c>
      <c r="AC165" s="23">
        <f t="shared" si="14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7"/>
      <c r="S166" s="117"/>
      <c r="T166" s="8"/>
      <c r="U166" s="8"/>
      <c r="V166" s="20"/>
      <c r="W166" s="20"/>
      <c r="X166" s="22"/>
      <c r="Y166" s="22"/>
      <c r="Z166" s="138">
        <f t="shared" si="11"/>
        <v>0</v>
      </c>
      <c r="AA166" s="133">
        <f t="shared" si="12"/>
        <v>0</v>
      </c>
      <c r="AB166" s="59">
        <f t="shared" si="10"/>
        <v>0</v>
      </c>
      <c r="AC166" s="23">
        <f t="shared" si="14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7"/>
      <c r="S167" s="117"/>
      <c r="T167" s="8"/>
      <c r="U167" s="8"/>
      <c r="V167" s="20"/>
      <c r="W167" s="20"/>
      <c r="X167" s="22"/>
      <c r="Y167" s="22"/>
      <c r="Z167" s="138">
        <f t="shared" si="11"/>
        <v>0</v>
      </c>
      <c r="AA167" s="133">
        <f t="shared" si="12"/>
        <v>0</v>
      </c>
      <c r="AB167" s="59">
        <f t="shared" si="10"/>
        <v>0</v>
      </c>
      <c r="AC167" s="23">
        <f t="shared" si="14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7"/>
      <c r="S168" s="117"/>
      <c r="T168" s="8"/>
      <c r="U168" s="8"/>
      <c r="V168" s="20"/>
      <c r="W168" s="20"/>
      <c r="X168" s="22"/>
      <c r="Y168" s="22"/>
      <c r="Z168" s="138">
        <f t="shared" si="11"/>
        <v>0</v>
      </c>
      <c r="AA168" s="133">
        <f t="shared" si="12"/>
        <v>0</v>
      </c>
      <c r="AB168" s="59">
        <f t="shared" si="10"/>
        <v>0</v>
      </c>
      <c r="AC168" s="23">
        <f t="shared" si="14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7"/>
      <c r="S169" s="117"/>
      <c r="T169" s="8"/>
      <c r="U169" s="8"/>
      <c r="V169" s="20"/>
      <c r="W169" s="20"/>
      <c r="X169" s="22"/>
      <c r="Y169" s="22"/>
      <c r="Z169" s="138">
        <f t="shared" si="11"/>
        <v>0</v>
      </c>
      <c r="AA169" s="133">
        <f t="shared" si="12"/>
        <v>0</v>
      </c>
      <c r="AB169" s="59">
        <f t="shared" si="10"/>
        <v>0</v>
      </c>
      <c r="AC169" s="23">
        <f t="shared" si="14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7"/>
      <c r="S170" s="117"/>
      <c r="T170" s="8"/>
      <c r="U170" s="8"/>
      <c r="V170" s="20"/>
      <c r="W170" s="20"/>
      <c r="X170" s="22"/>
      <c r="Y170" s="22"/>
      <c r="Z170" s="138">
        <f t="shared" si="11"/>
        <v>0</v>
      </c>
      <c r="AA170" s="133">
        <f t="shared" si="12"/>
        <v>0</v>
      </c>
      <c r="AB170" s="59">
        <f t="shared" si="10"/>
        <v>0</v>
      </c>
      <c r="AC170" s="23">
        <f t="shared" si="14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7"/>
      <c r="S171" s="117"/>
      <c r="T171" s="8"/>
      <c r="U171" s="8"/>
      <c r="V171" s="20"/>
      <c r="W171" s="20"/>
      <c r="X171" s="22"/>
      <c r="Y171" s="22"/>
      <c r="Z171" s="138">
        <f t="shared" si="11"/>
        <v>0</v>
      </c>
      <c r="AA171" s="133">
        <f t="shared" si="12"/>
        <v>0</v>
      </c>
      <c r="AB171" s="59">
        <f t="shared" si="10"/>
        <v>0</v>
      </c>
      <c r="AC171" s="23">
        <f t="shared" si="14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91 D2:H8 I2:I9 D14 H9:H10 H12:H15 H53:H57 H58:M58 D53:G58 D59:M91 F9:G15 D9:E13 D15:E15 O34:S36 T35 V34:Y36 T34:U34 T36:U36 D116:N123 O2:Y33 J2:N57 O37:Y91 N99:N107 D99:M115 D92:Y98 O99:Y123 I11:I57 D16:H52 D124:Y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tabSelected="1"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4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4" customFormat="1" ht="19.399999999999999" customHeight="1" thickBot="1" x14ac:dyDescent="0.5">
      <c r="A1" s="54" t="s">
        <v>131</v>
      </c>
      <c r="B1" s="55" t="s">
        <v>116</v>
      </c>
      <c r="C1" s="73" t="s">
        <v>476</v>
      </c>
      <c r="D1" s="56" t="s">
        <v>130</v>
      </c>
      <c r="E1" s="57" t="s">
        <v>477</v>
      </c>
      <c r="F1" s="56" t="s">
        <v>132</v>
      </c>
      <c r="G1" s="57" t="s">
        <v>478</v>
      </c>
      <c r="H1" s="56" t="s">
        <v>133</v>
      </c>
      <c r="I1" s="57" t="s">
        <v>479</v>
      </c>
      <c r="J1" s="56" t="s">
        <v>134</v>
      </c>
      <c r="K1" s="57" t="s">
        <v>480</v>
      </c>
      <c r="L1" s="56" t="s">
        <v>135</v>
      </c>
      <c r="M1" s="57" t="s">
        <v>481</v>
      </c>
    </row>
    <row r="2" spans="1:13" ht="15" customHeight="1" thickBot="1" x14ac:dyDescent="0.4">
      <c r="A2" s="46" t="str">
        <f>booking!B2</f>
        <v>mandag</v>
      </c>
      <c r="B2" s="47">
        <f>booking!C2</f>
        <v>46139</v>
      </c>
      <c r="C2" s="48" t="str">
        <f>IF(booking!AC2&gt;0,"Y","-")</f>
        <v>-</v>
      </c>
      <c r="D2" s="53" t="str">
        <f>IF(AND(booking!D2&lt;&gt;booking!E2,booking!D2&gt;0),"udc","-")</f>
        <v>-</v>
      </c>
      <c r="E2" s="49" t="str">
        <f>IFERROR(IF(AND(booking!AB2&gt;0,booking!D2&lt;&gt;booking!E2),VLOOKUP(booking!E2,Database!$A$1:'Database'!$L$175,6,FALSE),"-"),"-")</f>
        <v>-</v>
      </c>
      <c r="F2" s="53" t="str">
        <f>IF(AND(booking!H2&lt;&gt;booking!I2,booking!H2&gt;0),"udc","-")</f>
        <v>-</v>
      </c>
      <c r="G2" s="49" t="str">
        <f>IFERROR(IF(AND(booking!AB2&gt;0,booking!H2&lt;&gt;booking!I2),VLOOKUP(booking!I2,Database!$A$1:'Database'!$L$175,6,FALSE),"-"),"-")</f>
        <v>-</v>
      </c>
      <c r="H2" s="53" t="str">
        <f>IF(AND(booking!L2&lt;&gt;booking!M2,booking!L2&gt;0),"udc","-")</f>
        <v>-</v>
      </c>
      <c r="I2" s="49" t="str">
        <f>IFERROR(IF(AND(booking!AB2&gt;0,booking!L2&lt;&gt;booking!M2),VLOOKUP(booking!M2,Database!$A$1:'Database'!$L$175,6,FALSE),"-"),"-")</f>
        <v>-</v>
      </c>
      <c r="J2" s="53" t="str">
        <f>IF(AND(booking!P2&lt;&gt;booking!Q2,booking!P2&gt;0),"udc","-")</f>
        <v>-</v>
      </c>
      <c r="K2" s="49" t="str">
        <f>IFERROR(IF(AND(booking!AB2&gt;0,booking!P2&lt;&gt;booking!Q2),VLOOKUP(booking!Q2,Database!$A$1:'Database'!$L$175,6,FALSE),"-"),"-")</f>
        <v>-</v>
      </c>
      <c r="L2" s="53" t="str">
        <f>IF(AND(booking!T2&lt;&gt;booking!U2,booking!T2&gt;0),"udc","-")</f>
        <v>-</v>
      </c>
      <c r="M2" s="49" t="str">
        <f>IFERROR(IF(AND(booking!AB2&gt;0,booking!T2&lt;&gt;booking!U2),VLOOKUP(booking!U2,Database!$A$1:'Database'!$L$175,6,FALSE),"-"),"-")</f>
        <v>-</v>
      </c>
    </row>
    <row r="3" spans="1:13" ht="15" customHeight="1" thickBot="1" x14ac:dyDescent="0.4">
      <c r="A3" s="50" t="str">
        <f>booking!B3</f>
        <v>tirsdag</v>
      </c>
      <c r="B3" s="51">
        <f>booking!C3</f>
        <v>46140</v>
      </c>
      <c r="C3" s="52" t="str">
        <f>IF(booking!AC3&gt;0,"Y","-")</f>
        <v>-</v>
      </c>
      <c r="D3" s="53" t="str">
        <f>IF(AND(booking!D3&lt;&gt;booking!E3,booking!D3&gt;0),"udc","-")</f>
        <v>-</v>
      </c>
      <c r="E3" s="49" t="str">
        <f>IFERROR(IF(AND(booking!AB3&gt;0,booking!D3&lt;&gt;booking!E3),VLOOKUP(booking!E3,Database!$A$1:'Database'!$L$175,6,FALSE),"-"),"-")</f>
        <v>-</v>
      </c>
      <c r="F3" s="53" t="str">
        <f>IF(AND(booking!H3&lt;&gt;booking!I3,booking!H3&gt;0),"udc","-")</f>
        <v>-</v>
      </c>
      <c r="G3" s="49" t="str">
        <f>IFERROR(IF(AND(booking!AB3&gt;0,booking!H3&lt;&gt;booking!I3),VLOOKUP(booking!I3,Database!$A$1:'Database'!$L$175,6,FALSE),"-"),"-")</f>
        <v>-</v>
      </c>
      <c r="H3" s="53" t="str">
        <f>IF(AND(booking!L3&lt;&gt;booking!M3,booking!L3&gt;0),"udc","-")</f>
        <v>-</v>
      </c>
      <c r="I3" s="49" t="str">
        <f>IFERROR(IF(AND(booking!AB3&gt;0,booking!L3&lt;&gt;booking!M3),VLOOKUP(booking!M3,Database!$A$1:'Database'!$L$175,6,FALSE),"-"),"-")</f>
        <v>-</v>
      </c>
      <c r="J3" s="53" t="str">
        <f>IF(AND(booking!P3&lt;&gt;booking!Q3,booking!P3&gt;0),"udc","-")</f>
        <v>-</v>
      </c>
      <c r="K3" s="49" t="str">
        <f>IFERROR(IF(AND(booking!AB3&gt;0,booking!P3&lt;&gt;booking!Q3),VLOOKUP(booking!Q3,Database!$A$1:'Database'!$L$175,6,FALSE),"-"),"-")</f>
        <v>-</v>
      </c>
      <c r="L3" s="53" t="str">
        <f>IF(AND(booking!T3&lt;&gt;booking!U3,booking!T3&gt;0),"udc","-")</f>
        <v>-</v>
      </c>
      <c r="M3" s="49" t="str">
        <f>IFERROR(IF(AND(booking!AB3&gt;0,booking!T3&lt;&gt;booking!U3),VLOOKUP(booking!U3,Database!$A$1:'Database'!$L$175,6,FALSE),"-"),"-")</f>
        <v>-</v>
      </c>
    </row>
    <row r="4" spans="1:13" ht="15" customHeight="1" thickBot="1" x14ac:dyDescent="0.4">
      <c r="A4" t="str">
        <f>booking!B4</f>
        <v>onsdag</v>
      </c>
      <c r="B4" s="24">
        <f>booking!C4</f>
        <v>46141</v>
      </c>
      <c r="C4" s="2" t="str">
        <f>IF(booking!AC4&gt;0,"Y","-")</f>
        <v>-</v>
      </c>
      <c r="D4" s="53" t="str">
        <f>IF(AND(booking!D4&lt;&gt;booking!E4,booking!D4&gt;0),"udc","-")</f>
        <v>-</v>
      </c>
      <c r="E4" s="49" t="str">
        <f>IFERROR(IF(AND(booking!AB4&gt;0,booking!D4&lt;&gt;booking!E4),VLOOKUP(booking!E4,Database!$A$1:'Database'!$L$175,6,FALSE),"-"),"-")</f>
        <v>-</v>
      </c>
      <c r="F4" s="53" t="str">
        <f>IF(AND(booking!H4&lt;&gt;booking!I4,booking!H4&gt;0),"udc","-")</f>
        <v>-</v>
      </c>
      <c r="G4" s="49" t="str">
        <f>IFERROR(IF(AND(booking!AB4&gt;0,booking!H4&lt;&gt;booking!I4),VLOOKUP(booking!I4,Database!$A$1:'Database'!$L$175,6,FALSE),"-"),"-")</f>
        <v>-</v>
      </c>
      <c r="H4" s="53" t="str">
        <f>IF(AND(booking!L4&lt;&gt;booking!M4,booking!L4&gt;0),"udc","-")</f>
        <v>-</v>
      </c>
      <c r="I4" s="49" t="str">
        <f>IFERROR(IF(AND(booking!AB4&gt;0,booking!L4&lt;&gt;booking!M4),VLOOKUP(booking!M4,Database!$A$1:'Database'!$L$175,6,FALSE),"-"),"-")</f>
        <v>-</v>
      </c>
      <c r="J4" s="53" t="str">
        <f>IF(AND(booking!P4&lt;&gt;booking!Q4,booking!P4&gt;0),"udc","-")</f>
        <v>-</v>
      </c>
      <c r="K4" s="49" t="str">
        <f>IFERROR(IF(AND(booking!AB4&gt;0,booking!P4&lt;&gt;booking!Q4),VLOOKUP(booking!Q4,Database!$A$1:'Database'!$L$175,6,FALSE),"-"),"-")</f>
        <v>-</v>
      </c>
      <c r="L4" s="53" t="str">
        <f>IF(AND(booking!T4&lt;&gt;booking!U4,booking!T4&gt;0),"udc","-")</f>
        <v>-</v>
      </c>
      <c r="M4" s="49" t="str">
        <f>IFERROR(IF(AND(booking!AB4&gt;0,booking!T4&lt;&gt;booking!U4),VLOOKUP(booking!U4,Database!$A$1:'Database'!$L$175,6,FALSE),"-"),"-")</f>
        <v>-</v>
      </c>
    </row>
    <row r="5" spans="1:13" ht="15" customHeight="1" thickBot="1" x14ac:dyDescent="0.4">
      <c r="A5" t="str">
        <f>booking!B5</f>
        <v>torsdag</v>
      </c>
      <c r="B5" s="24">
        <f>booking!C5</f>
        <v>46142</v>
      </c>
      <c r="C5" s="2" t="str">
        <f>IF(booking!AC5&gt;0,"Y","-")</f>
        <v>-</v>
      </c>
      <c r="D5" s="53" t="str">
        <f>IF(AND(booking!D5&lt;&gt;booking!E5,booking!D5&gt;0),"udc","-")</f>
        <v>-</v>
      </c>
      <c r="E5" s="49" t="str">
        <f>IFERROR(IF(AND(booking!AB5&gt;0,booking!D5&lt;&gt;booking!E5),VLOOKUP(booking!E5,Database!$A$1:'Database'!$L$175,6,FALSE),"-"),"-")</f>
        <v>-</v>
      </c>
      <c r="F5" s="53" t="str">
        <f>IF(AND(booking!H5&lt;&gt;booking!I5,booking!H5&gt;0),"udc","-")</f>
        <v>-</v>
      </c>
      <c r="G5" s="49" t="str">
        <f>IFERROR(IF(AND(booking!AB5&gt;0,booking!H5&lt;&gt;booking!I5),VLOOKUP(booking!I5,Database!$A$1:'Database'!$L$175,6,FALSE),"-"),"-")</f>
        <v>-</v>
      </c>
      <c r="H5" s="53" t="str">
        <f>IF(AND(booking!L5&lt;&gt;booking!M5,booking!L5&gt;0),"udc","-")</f>
        <v>-</v>
      </c>
      <c r="I5" s="49" t="str">
        <f>IFERROR(IF(AND(booking!AB5&gt;0,booking!L5&lt;&gt;booking!M5),VLOOKUP(booking!M5,Database!$A$1:'Database'!$L$175,6,FALSE),"-"),"-")</f>
        <v>-</v>
      </c>
      <c r="J5" s="53" t="str">
        <f>IF(AND(booking!P5&lt;&gt;booking!Q5,booking!P5&gt;0),"udc","-")</f>
        <v>-</v>
      </c>
      <c r="K5" s="49" t="str">
        <f>IFERROR(IF(AND(booking!AB5&gt;0,booking!P5&lt;&gt;booking!Q5),VLOOKUP(booking!Q5,Database!$A$1:'Database'!$L$175,6,FALSE),"-"),"-")</f>
        <v>-</v>
      </c>
      <c r="L5" s="53" t="str">
        <f>IF(AND(booking!T5&lt;&gt;booking!U5,booking!T5&gt;0),"udc","-")</f>
        <v>-</v>
      </c>
      <c r="M5" s="49" t="str">
        <f>IFERROR(IF(AND(booking!AB5&gt;0,booking!T5&lt;&gt;booking!U5),VLOOKUP(booking!U5,Database!$A$1:'Database'!$L$175,6,FALSE),"-"),"-")</f>
        <v>-</v>
      </c>
    </row>
    <row r="6" spans="1:13" ht="15" customHeight="1" thickBot="1" x14ac:dyDescent="0.4">
      <c r="A6" t="str">
        <f>booking!B6</f>
        <v>fredag</v>
      </c>
      <c r="B6" s="24">
        <f>booking!C6</f>
        <v>46143</v>
      </c>
      <c r="C6" s="2" t="str">
        <f>IF(booking!AC6&gt;0,"Y","-")</f>
        <v>-</v>
      </c>
      <c r="D6" s="53" t="str">
        <f>IF(AND(booking!D6&lt;&gt;booking!E6,booking!D6&gt;0),"udc","-")</f>
        <v>-</v>
      </c>
      <c r="E6" s="49" t="str">
        <f>IFERROR(IF(AND(booking!AB6&gt;0,booking!D6&lt;&gt;booking!E6),VLOOKUP(booking!E6,Database!$A$1:'Database'!$L$175,6,FALSE),"-"),"-")</f>
        <v>DK</v>
      </c>
      <c r="F6" s="53" t="str">
        <f>IF(AND(booking!H6&lt;&gt;booking!I6,booking!H6&gt;0),"udc","-")</f>
        <v>-</v>
      </c>
      <c r="G6" s="49" t="str">
        <f>IFERROR(IF(AND(booking!AB6&gt;0,booking!H6&lt;&gt;booking!I6),VLOOKUP(booking!I6,Database!$A$1:'Database'!$L$175,6,FALSE),"-"),"-")</f>
        <v>DK</v>
      </c>
      <c r="H6" s="53" t="str">
        <f>IF(AND(booking!L6&lt;&gt;booking!M6,booking!L6&gt;0),"udc","-")</f>
        <v>-</v>
      </c>
      <c r="I6" s="49" t="str">
        <f>IFERROR(IF(AND(booking!AB6&gt;0,booking!L6&lt;&gt;booking!M6),VLOOKUP(booking!M6,Database!$A$1:'Database'!$L$175,6,FALSE),"-"),"-")</f>
        <v>DK</v>
      </c>
      <c r="J6" s="53" t="str">
        <f>IF(AND(booking!P6&lt;&gt;booking!Q6,booking!P6&gt;0),"udc","-")</f>
        <v>-</v>
      </c>
      <c r="K6" s="49" t="str">
        <f>IFERROR(IF(AND(booking!AB6&gt;0,booking!P6&lt;&gt;booking!Q6),VLOOKUP(booking!Q6,Database!$A$1:'Database'!$L$175,6,FALSE),"-"),"-")</f>
        <v>DK</v>
      </c>
      <c r="L6" s="53" t="str">
        <f>IF(AND(booking!T6&lt;&gt;booking!U6,booking!T6&gt;0),"udc","-")</f>
        <v>-</v>
      </c>
      <c r="M6" s="49" t="str">
        <f>IFERROR(IF(AND(booking!AB6&gt;0,booking!T6&lt;&gt;booking!U6),VLOOKUP(booking!U6,Database!$A$1:'Database'!$L$175,6,FALSE),"-"),"-")</f>
        <v>DK</v>
      </c>
    </row>
    <row r="7" spans="1:13" ht="15" customHeight="1" thickBot="1" x14ac:dyDescent="0.4">
      <c r="A7" t="str">
        <f>booking!B7</f>
        <v>lørdag</v>
      </c>
      <c r="B7" s="24">
        <f>booking!C7</f>
        <v>46144</v>
      </c>
      <c r="C7" s="2" t="str">
        <f>IF(booking!AC7&gt;0,"Y","-")</f>
        <v>-</v>
      </c>
      <c r="D7" s="53" t="str">
        <f>IF(AND(booking!D7&lt;&gt;booking!E7,booking!D7&gt;0),"udc","-")</f>
        <v>-</v>
      </c>
      <c r="E7" s="49" t="str">
        <f>IFERROR(IF(AND(booking!AB7&gt;0,booking!D7&lt;&gt;booking!E7),VLOOKUP(booking!E7,Database!$A$1:'Database'!$L$175,6,FALSE),"-"),"-")</f>
        <v>-</v>
      </c>
      <c r="F7" s="53" t="str">
        <f>IF(AND(booking!H7&lt;&gt;booking!I7,booking!H7&gt;0),"udc","-")</f>
        <v>-</v>
      </c>
      <c r="G7" s="49" t="str">
        <f>IFERROR(IF(AND(booking!AB7&gt;0,booking!H7&lt;&gt;booking!I7),VLOOKUP(booking!I7,Database!$A$1:'Database'!$L$175,6,FALSE),"-"),"-")</f>
        <v>-</v>
      </c>
      <c r="H7" s="53" t="str">
        <f>IF(AND(booking!L7&lt;&gt;booking!M7,booking!L7&gt;0),"udc","-")</f>
        <v>-</v>
      </c>
      <c r="I7" s="49" t="str">
        <f>IFERROR(IF(AND(booking!AB7&gt;0,booking!L7&lt;&gt;booking!M7),VLOOKUP(booking!M7,Database!$A$1:'Database'!$L$175,6,FALSE),"-"),"-")</f>
        <v>-</v>
      </c>
      <c r="J7" s="53" t="str">
        <f>IF(AND(booking!P7&lt;&gt;booking!Q7,booking!P7&gt;0),"udc","-")</f>
        <v>-</v>
      </c>
      <c r="K7" s="49" t="str">
        <f>IFERROR(IF(AND(booking!AB7&gt;0,booking!P7&lt;&gt;booking!Q7),VLOOKUP(booking!Q7,Database!$A$1:'Database'!$L$175,6,FALSE),"-"),"-")</f>
        <v>-</v>
      </c>
      <c r="L7" s="53" t="str">
        <f>IF(AND(booking!T7&lt;&gt;booking!U7,booking!T7&gt;0),"udc","-")</f>
        <v>-</v>
      </c>
      <c r="M7" s="49" t="str">
        <f>IFERROR(IF(AND(booking!AB7&gt;0,booking!T7&lt;&gt;booking!U7),VLOOKUP(booking!U7,Database!$A$1:'Database'!$L$175,6,FALSE),"-"),"-")</f>
        <v>-</v>
      </c>
    </row>
    <row r="8" spans="1:13" ht="15" customHeight="1" thickBot="1" x14ac:dyDescent="0.4">
      <c r="A8" s="46" t="str">
        <f>booking!B8</f>
        <v>søndag</v>
      </c>
      <c r="B8" s="47">
        <f>booking!C8</f>
        <v>46145</v>
      </c>
      <c r="C8" s="48" t="str">
        <f>IF(booking!AC8&gt;0,"Y","-")</f>
        <v>Y</v>
      </c>
      <c r="D8" s="53" t="str">
        <f>IF(AND(booking!D8&lt;&gt;booking!E8,booking!D8&gt;0),"udc","-")</f>
        <v>udc</v>
      </c>
      <c r="E8" s="49" t="str">
        <f>IFERROR(IF(AND(booking!AB8&gt;0,booking!D8&lt;&gt;booking!E8),VLOOKUP(booking!E8,Database!$A$1:'Database'!$L$175,6,FALSE),"-"),"-")</f>
        <v>-</v>
      </c>
      <c r="F8" s="53" t="str">
        <f>IF(AND(booking!H8&lt;&gt;booking!I8,booking!H8&gt;0),"udc","-")</f>
        <v>udc</v>
      </c>
      <c r="G8" s="49" t="str">
        <f>IFERROR(IF(AND(booking!AB8&gt;0,booking!H8&lt;&gt;booking!I8),VLOOKUP(booking!I8,Database!$A$1:'Database'!$L$175,6,FALSE),"-"),"-")</f>
        <v>-</v>
      </c>
      <c r="H8" s="53" t="str">
        <f>IF(AND(booking!L8&lt;&gt;booking!M8,booking!L8&gt;0),"udc","-")</f>
        <v>udc</v>
      </c>
      <c r="I8" s="49" t="str">
        <f>IFERROR(IF(AND(booking!AB8&gt;0,booking!L8&lt;&gt;booking!M8),VLOOKUP(booking!M8,Database!$A$1:'Database'!$L$175,6,FALSE),"-"),"-")</f>
        <v>-</v>
      </c>
      <c r="J8" s="53" t="str">
        <f>IF(AND(booking!P8&lt;&gt;booking!Q8,booking!P8&gt;0),"udc","-")</f>
        <v>udc</v>
      </c>
      <c r="K8" s="49" t="str">
        <f>IFERROR(IF(AND(booking!AB8&gt;0,booking!P8&lt;&gt;booking!Q8),VLOOKUP(booking!Q8,Database!$A$1:'Database'!$L$175,6,FALSE),"-"),"-")</f>
        <v>DK</v>
      </c>
      <c r="L8" s="53" t="str">
        <f>IF(AND(booking!T8&lt;&gt;booking!U8,booking!T8&gt;0),"udc","-")</f>
        <v>udc</v>
      </c>
      <c r="M8" s="49" t="str">
        <f>IFERROR(IF(AND(booking!AB8&gt;0,booking!T8&lt;&gt;booking!U8),VLOOKUP(booking!U8,Database!$A$1:'Database'!$L$175,6,FALSE),"-"),"-")</f>
        <v>-</v>
      </c>
    </row>
    <row r="9" spans="1:13" ht="15" customHeight="1" thickBot="1" x14ac:dyDescent="0.4">
      <c r="A9" t="str">
        <f>booking!B9</f>
        <v>mandag</v>
      </c>
      <c r="B9" s="24">
        <f>booking!C9</f>
        <v>46146</v>
      </c>
      <c r="C9" s="2" t="str">
        <f>IF(booking!AC9&gt;0,"Y","-")</f>
        <v>-</v>
      </c>
      <c r="D9" s="53" t="str">
        <f>IF(AND(booking!D9&lt;&gt;booking!E9,booking!D9&gt;0),"udc","-")</f>
        <v>-</v>
      </c>
      <c r="E9" s="49" t="str">
        <f>IFERROR(IF(AND(booking!AB9&gt;0,booking!D9&lt;&gt;booking!E9),VLOOKUP(booking!E9,Database!$A$1:'Database'!$L$175,6,FALSE),"-"),"-")</f>
        <v>-</v>
      </c>
      <c r="F9" s="53" t="str">
        <f>IF(AND(booking!H9&lt;&gt;booking!I9,booking!H9&gt;0),"udc","-")</f>
        <v>-</v>
      </c>
      <c r="G9" s="49" t="str">
        <f>IFERROR(IF(AND(booking!AB9&gt;0,booking!H9&lt;&gt;booking!I9),VLOOKUP(booking!I9,Database!$A$1:'Database'!$L$175,6,FALSE),"-"),"-")</f>
        <v>-</v>
      </c>
      <c r="H9" s="53" t="str">
        <f>IF(AND(booking!L9&lt;&gt;booking!M9,booking!L9&gt;0),"udc","-")</f>
        <v>-</v>
      </c>
      <c r="I9" s="49" t="str">
        <f>IFERROR(IF(AND(booking!AB9&gt;0,booking!L9&lt;&gt;booking!M9),VLOOKUP(booking!M9,Database!$A$1:'Database'!$L$175,6,FALSE),"-"),"-")</f>
        <v>-</v>
      </c>
      <c r="J9" s="53" t="str">
        <f>IF(AND(booking!P9&lt;&gt;booking!Q9,booking!P9&gt;0),"udc","-")</f>
        <v>-</v>
      </c>
      <c r="K9" s="49" t="str">
        <f>IFERROR(IF(AND(booking!AB9&gt;0,booking!P9&lt;&gt;booking!Q9),VLOOKUP(booking!Q9,Database!$A$1:'Database'!$L$175,6,FALSE),"-"),"-")</f>
        <v>-</v>
      </c>
      <c r="L9" s="53" t="str">
        <f>IF(AND(booking!T9&lt;&gt;booking!U9,booking!T9&gt;0),"udc","-")</f>
        <v>-</v>
      </c>
      <c r="M9" s="49" t="str">
        <f>IFERROR(IF(AND(booking!AB9&gt;0,booking!T9&lt;&gt;booking!U9),VLOOKUP(booking!U9,Database!$A$1:'Database'!$L$175,6,FALSE),"-"),"-")</f>
        <v>-</v>
      </c>
    </row>
    <row r="10" spans="1:13" ht="15" customHeight="1" thickBot="1" x14ac:dyDescent="0.4">
      <c r="A10" t="str">
        <f>booking!B10</f>
        <v>tirsdag</v>
      </c>
      <c r="B10" s="24">
        <f>booking!C10</f>
        <v>46147</v>
      </c>
      <c r="C10" s="2" t="str">
        <f>IF(booking!AC10&gt;0,"Y","-")</f>
        <v>-</v>
      </c>
      <c r="D10" s="53" t="str">
        <f>IF(AND(booking!D10&lt;&gt;booking!E10,booking!D10&gt;0),"udc","-")</f>
        <v>-</v>
      </c>
      <c r="E10" s="49" t="str">
        <f>IFERROR(IF(AND(booking!AB10&gt;0,booking!D10&lt;&gt;booking!E10),VLOOKUP(booking!E10,Database!$A$1:'Database'!$L$175,6,FALSE),"-"),"-")</f>
        <v>-</v>
      </c>
      <c r="F10" s="53" t="str">
        <f>IF(AND(booking!H10&lt;&gt;booking!I11,booking!H10&gt;0),"udc","-")</f>
        <v>-</v>
      </c>
      <c r="G10" s="49" t="str">
        <f>IFERROR(IF(AND(booking!AB10&gt;0,booking!H10&lt;&gt;booking!I11),VLOOKUP(booking!I11,Database!$A$1:'Database'!$L$175,6,FALSE),"-"),"-")</f>
        <v>-</v>
      </c>
      <c r="H10" s="53" t="str">
        <f>IF(AND(booking!L10&lt;&gt;booking!M10,booking!L10&gt;0),"udc","-")</f>
        <v>-</v>
      </c>
      <c r="I10" s="49" t="str">
        <f>IFERROR(IF(AND(booking!AB10&gt;0,booking!L10&lt;&gt;booking!M10),VLOOKUP(booking!M10,Database!$A$1:'Database'!$L$175,6,FALSE),"-"),"-")</f>
        <v>-</v>
      </c>
      <c r="J10" s="53" t="str">
        <f>IF(AND(booking!P10&lt;&gt;booking!Q10,booking!P10&gt;0),"udc","-")</f>
        <v>-</v>
      </c>
      <c r="K10" s="49" t="str">
        <f>IFERROR(IF(AND(booking!AB10&gt;0,booking!P10&lt;&gt;booking!Q10),VLOOKUP(booking!Q10,Database!$A$1:'Database'!$L$175,6,FALSE),"-"),"-")</f>
        <v>-</v>
      </c>
      <c r="L10" s="53" t="str">
        <f>IF(AND(booking!T10&lt;&gt;booking!U10,booking!T10&gt;0),"udc","-")</f>
        <v>-</v>
      </c>
      <c r="M10" s="49" t="str">
        <f>IFERROR(IF(AND(booking!AB10&gt;0,booking!T10&lt;&gt;booking!U10),VLOOKUP(booking!U10,Database!$A$1:'Database'!$L$175,6,FALSE),"-"),"-")</f>
        <v>-</v>
      </c>
    </row>
    <row r="11" spans="1:13" ht="15" customHeight="1" thickBot="1" x14ac:dyDescent="0.4">
      <c r="A11" t="str">
        <f>booking!B11</f>
        <v>onsdag</v>
      </c>
      <c r="B11" s="24">
        <f>booking!C11</f>
        <v>46148</v>
      </c>
      <c r="C11" s="2" t="str">
        <f>IF(booking!AC11&gt;0,"Y","-")</f>
        <v>-</v>
      </c>
      <c r="D11" s="53" t="str">
        <f>IF(AND(booking!D11&lt;&gt;booking!E11,booking!D11&gt;0),"udc","-")</f>
        <v>-</v>
      </c>
      <c r="E11" s="49" t="str">
        <f>IFERROR(IF(AND(booking!AB11&gt;0,booking!D11&lt;&gt;booking!E11),VLOOKUP(booking!E11,Database!$A$1:'Database'!$L$175,6,FALSE),"-"),"-")</f>
        <v>-</v>
      </c>
      <c r="F11" s="53" t="str">
        <f>IF(AND(booking!H11&lt;&gt;booking!I12,booking!H11&gt;0),"udc","-")</f>
        <v>-</v>
      </c>
      <c r="G11" s="49" t="str">
        <f>IFERROR(IF(AND(booking!AB11&gt;0,booking!H11&lt;&gt;booking!#REF!),VLOOKUP(booking!#REF!,Database!$A$1:'Database'!$L$175,6,FALSE),"-"),"-")</f>
        <v>-</v>
      </c>
      <c r="H11" s="53" t="str">
        <f>IF(AND(booking!L11&lt;&gt;booking!M11,booking!L11&gt;0),"udc","-")</f>
        <v>-</v>
      </c>
      <c r="I11" s="49" t="str">
        <f>IFERROR(IF(AND(booking!AB11&gt;0,booking!L11&lt;&gt;booking!M11),VLOOKUP(booking!M11,Database!$A$1:'Database'!$L$175,6,FALSE),"-"),"-")</f>
        <v>-</v>
      </c>
      <c r="J11" s="53" t="str">
        <f>IF(AND(booking!P11&lt;&gt;booking!Q11,booking!P11&gt;0),"udc","-")</f>
        <v>-</v>
      </c>
      <c r="K11" s="49" t="str">
        <f>IFERROR(IF(AND(booking!AB11&gt;0,booking!P11&lt;&gt;booking!Q11),VLOOKUP(booking!Q11,Database!$A$1:'Database'!$L$175,6,FALSE),"-"),"-")</f>
        <v>-</v>
      </c>
      <c r="L11" s="53" t="str">
        <f>IF(AND(booking!T11&lt;&gt;booking!U11,booking!T11&gt;0),"udc","-")</f>
        <v>-</v>
      </c>
      <c r="M11" s="49" t="str">
        <f>IFERROR(IF(AND(booking!AB11&gt;0,booking!T11&lt;&gt;booking!U11),VLOOKUP(booking!U11,Database!$A$1:'Database'!$L$175,6,FALSE),"-"),"-")</f>
        <v>-</v>
      </c>
    </row>
    <row r="12" spans="1:13" ht="15" customHeight="1" thickBot="1" x14ac:dyDescent="0.4">
      <c r="A12" t="str">
        <f>booking!B12</f>
        <v>torsdag</v>
      </c>
      <c r="B12" s="24">
        <f>booking!C12</f>
        <v>46149</v>
      </c>
      <c r="C12" s="2" t="str">
        <f>IF(booking!AC12&gt;0,"Y","-")</f>
        <v>-</v>
      </c>
      <c r="D12" s="53" t="str">
        <f>IF(AND(booking!D12&lt;&gt;booking!E12,booking!D12&gt;0),"udc","-")</f>
        <v>-</v>
      </c>
      <c r="E12" s="49" t="str">
        <f>IFERROR(IF(AND(booking!AB12&gt;0,booking!D12&lt;&gt;booking!E12),VLOOKUP(booking!E12,Database!$A$1:'Database'!$L$175,6,FALSE),"-"),"-")</f>
        <v>-</v>
      </c>
      <c r="F12" s="53" t="str">
        <f>IF(AND(booking!H12&lt;&gt;booking!I12,booking!H12&gt;0),"udc","-")</f>
        <v>-</v>
      </c>
      <c r="G12" s="49" t="str">
        <f>IFERROR(IF(AND(booking!AB12&gt;0,booking!H12&lt;&gt;booking!I12),VLOOKUP(booking!I12,Database!$A$1:'Database'!$L$175,6,FALSE),"-"),"-")</f>
        <v>DK</v>
      </c>
      <c r="H12" s="53" t="str">
        <f>IF(AND(booking!L12&lt;&gt;booking!M12,booking!L12&gt;0),"udc","-")</f>
        <v>-</v>
      </c>
      <c r="I12" s="49" t="str">
        <f>IFERROR(IF(AND(booking!AB12&gt;0,booking!L12&lt;&gt;booking!M12),VLOOKUP(booking!M12,Database!$A$1:'Database'!$L$175,6,FALSE),"-"),"-")</f>
        <v>DK</v>
      </c>
      <c r="J12" s="53" t="str">
        <f>IF(AND(booking!P12&lt;&gt;booking!Q12,booking!P12&gt;0),"udc","-")</f>
        <v>-</v>
      </c>
      <c r="K12" s="49" t="str">
        <f>IFERROR(IF(AND(booking!AB12&gt;0,booking!P12&lt;&gt;booking!Q12),VLOOKUP(booking!Q12,Database!$A$1:'Database'!$L$175,6,FALSE),"-"),"-")</f>
        <v>-</v>
      </c>
      <c r="L12" s="53" t="str">
        <f>IF(AND(booking!T12&lt;&gt;booking!U12,booking!T12&gt;0),"udc","-")</f>
        <v>-</v>
      </c>
      <c r="M12" s="49" t="str">
        <f>IFERROR(IF(AND(booking!AB12&gt;0,booking!T12&lt;&gt;booking!U12),VLOOKUP(booking!U12,Database!$A$1:'Database'!$L$175,6,FALSE),"-"),"-")</f>
        <v>-</v>
      </c>
    </row>
    <row r="13" spans="1:13" ht="15" customHeight="1" thickBot="1" x14ac:dyDescent="0.4">
      <c r="A13" t="str">
        <f>booking!B13</f>
        <v>fredag</v>
      </c>
      <c r="B13" s="24">
        <f>booking!C13</f>
        <v>46150</v>
      </c>
      <c r="C13" s="2" t="str">
        <f>IF(booking!AC13&gt;0,"Y","-")</f>
        <v>-</v>
      </c>
      <c r="D13" s="53" t="str">
        <f>IF(AND(booking!D13&lt;&gt;booking!E13,booking!D13&gt;0),"udc","-")</f>
        <v>-</v>
      </c>
      <c r="E13" s="49" t="str">
        <f>IFERROR(IF(AND(booking!AB13&gt;0,booking!D13&lt;&gt;booking!E13),VLOOKUP(booking!E13,Database!$A$1:'Database'!$L$175,6,FALSE),"-"),"-")</f>
        <v>-</v>
      </c>
      <c r="F13" s="53" t="str">
        <f>IF(AND(booking!H13&lt;&gt;booking!I13,booking!H13&gt;0),"udc","-")</f>
        <v>-</v>
      </c>
      <c r="G13" s="49" t="str">
        <f>IFERROR(IF(AND(booking!AB13&gt;0,booking!H13&lt;&gt;booking!I13),VLOOKUP(booking!I13,Database!$A$1:'Database'!$L$175,6,FALSE),"-"),"-")</f>
        <v>-</v>
      </c>
      <c r="H13" s="53" t="str">
        <f>IF(AND(booking!L13&lt;&gt;booking!M13,booking!L13&gt;0),"udc","-")</f>
        <v>-</v>
      </c>
      <c r="I13" s="49" t="str">
        <f>IFERROR(IF(AND(booking!AB13&gt;0,booking!L13&lt;&gt;booking!M13),VLOOKUP(booking!M13,Database!$A$1:'Database'!$L$175,6,FALSE),"-"),"-")</f>
        <v>-</v>
      </c>
      <c r="J13" s="53" t="str">
        <f>IF(AND(booking!P13&lt;&gt;booking!Q13,booking!P13&gt;0),"udc","-")</f>
        <v>-</v>
      </c>
      <c r="K13" s="49" t="str">
        <f>IFERROR(IF(AND(booking!AB13&gt;0,booking!P13&lt;&gt;booking!Q13),VLOOKUP(booking!Q13,Database!$A$1:'Database'!$L$175,6,FALSE),"-"),"-")</f>
        <v>-</v>
      </c>
      <c r="L13" s="53" t="str">
        <f>IF(AND(booking!T13&lt;&gt;booking!U13,booking!T13&gt;0),"udc","-")</f>
        <v>-</v>
      </c>
      <c r="M13" s="49" t="str">
        <f>IFERROR(IF(AND(booking!AB13&gt;0,booking!T13&lt;&gt;booking!U13),VLOOKUP(booking!U13,Database!$A$1:'Database'!$L$175,6,FALSE),"-"),"-")</f>
        <v>-</v>
      </c>
    </row>
    <row r="14" spans="1:13" ht="15" customHeight="1" thickBot="1" x14ac:dyDescent="0.4">
      <c r="A14" t="str">
        <f>booking!B14</f>
        <v>lørdag</v>
      </c>
      <c r="B14" s="24">
        <f>booking!C14</f>
        <v>46151</v>
      </c>
      <c r="C14" s="2" t="str">
        <f>IF(booking!AC14&gt;0,"Y","-")</f>
        <v>-</v>
      </c>
      <c r="D14" s="53" t="str">
        <f>IF(AND(booking!D14&lt;&gt;booking!E14,booking!D14&gt;0),"udc","-")</f>
        <v>-</v>
      </c>
      <c r="E14" s="49" t="str">
        <f>IFERROR(IF(AND(booking!AB14&gt;0,booking!#REF!&lt;&gt;booking!D14),VLOOKUP(booking!D14,Database!$A$1:'Database'!$L$175,6,FALSE),"-"),"-")</f>
        <v>-</v>
      </c>
      <c r="F14" s="53" t="str">
        <f>IF(AND(booking!H14&lt;&gt;booking!I14,booking!H14&gt;0),"udc","-")</f>
        <v>-</v>
      </c>
      <c r="G14" s="49" t="str">
        <f>IFERROR(IF(AND(booking!AB14&gt;0,booking!H14&lt;&gt;booking!I14),VLOOKUP(booking!I14,Database!$A$1:'Database'!$L$175,6,FALSE),"-"),"-")</f>
        <v>-</v>
      </c>
      <c r="H14" s="53" t="str">
        <f>IF(AND(booking!L14&lt;&gt;booking!M14,booking!L14&gt;0),"udc","-")</f>
        <v>-</v>
      </c>
      <c r="I14" s="49" t="str">
        <f>IFERROR(IF(AND(booking!AB14&gt;0,booking!L14&lt;&gt;booking!M14),VLOOKUP(booking!M14,Database!$A$1:'Database'!$L$175,6,FALSE),"-"),"-")</f>
        <v>-</v>
      </c>
      <c r="J14" s="53" t="str">
        <f>IF(AND(booking!P14&lt;&gt;booking!Q14,booking!P14&gt;0),"udc","-")</f>
        <v>-</v>
      </c>
      <c r="K14" s="49" t="str">
        <f>IFERROR(IF(AND(booking!AB14&gt;0,booking!P14&lt;&gt;booking!Q14),VLOOKUP(booking!Q14,Database!$A$1:'Database'!$L$175,6,FALSE),"-"),"-")</f>
        <v>-</v>
      </c>
      <c r="L14" s="53" t="str">
        <f>IF(AND(booking!T14&lt;&gt;booking!U14,booking!T14&gt;0),"udc","-")</f>
        <v>-</v>
      </c>
      <c r="M14" s="49" t="str">
        <f>IFERROR(IF(AND(booking!AB14&gt;0,booking!T14&lt;&gt;booking!U14),VLOOKUP(booking!U14,Database!$A$1:'Database'!$L$175,6,FALSE),"-"),"-")</f>
        <v>-</v>
      </c>
    </row>
    <row r="15" spans="1:13" ht="14.15" customHeight="1" thickBot="1" x14ac:dyDescent="0.4">
      <c r="A15" s="46" t="str">
        <f>booking!B15</f>
        <v>søndag</v>
      </c>
      <c r="B15" s="47">
        <f>booking!C15</f>
        <v>46152</v>
      </c>
      <c r="C15" s="48" t="str">
        <f>IF(booking!AC15&gt;0,"Y","-")</f>
        <v>Y</v>
      </c>
      <c r="D15" s="53" t="str">
        <f>IF(AND(booking!D15&lt;&gt;booking!E15,booking!D15&gt;0),"udc","-")</f>
        <v>-</v>
      </c>
      <c r="E15" s="49" t="str">
        <f>IFERROR(IF(AND(booking!AB15&gt;0,booking!D15&lt;&gt;booking!E15),VLOOKUP(booking!E15,Database!$A$1:'Database'!$L$175,6,FALSE),"-"),"-")</f>
        <v>-</v>
      </c>
      <c r="F15" s="53" t="str">
        <f>IF(AND(booking!H15&lt;&gt;booking!I15,booking!H15&gt;0),"udc","-")</f>
        <v>udc</v>
      </c>
      <c r="G15" s="49" t="str">
        <f>IFERROR(IF(AND(booking!AB15&gt;0,booking!H15&lt;&gt;booking!I15),VLOOKUP(booking!I15,Database!$A$1:'Database'!$L$175,6,FALSE),"-"),"-")</f>
        <v>-</v>
      </c>
      <c r="H15" s="53" t="str">
        <f>IF(AND(booking!L15&lt;&gt;booking!M15,booking!L15&gt;0),"udc","-")</f>
        <v>udc</v>
      </c>
      <c r="I15" s="49" t="str">
        <f>IFERROR(IF(AND(booking!AB15&gt;0,booking!L15&lt;&gt;booking!M15),VLOOKUP(booking!M15,Database!$A$1:'Database'!$L$175,6,FALSE),"-"),"-")</f>
        <v>-</v>
      </c>
      <c r="J15" s="53" t="str">
        <f>IF(AND(booking!P15&lt;&gt;booking!Q15,booking!P15&gt;0),"udc","-")</f>
        <v>udc</v>
      </c>
      <c r="K15" s="49" t="str">
        <f>IFERROR(IF(AND(booking!AB15&gt;0,booking!P15&lt;&gt;booking!Q15),VLOOKUP(booking!Q15,Database!$A$1:'Database'!$L$175,6,FALSE),"-"),"-")</f>
        <v>-</v>
      </c>
      <c r="L15" s="53" t="str">
        <f>IF(AND(booking!T15&lt;&gt;booking!U15,booking!T15&gt;0),"udc","-")</f>
        <v>-</v>
      </c>
      <c r="M15" s="49" t="str">
        <f>IFERROR(IF(AND(booking!AB15&gt;0,booking!T15&lt;&gt;booking!U15),VLOOKUP(booking!U15,Database!$A$1:'Database'!$L$175,6,FALSE),"-"),"-")</f>
        <v>-</v>
      </c>
    </row>
    <row r="16" spans="1:13" ht="15" hidden="1" customHeight="1" thickBot="1" x14ac:dyDescent="0.4">
      <c r="A16" t="str">
        <f>booking!B16</f>
        <v>mandag</v>
      </c>
      <c r="B16" s="24">
        <f>booking!C16</f>
        <v>46153</v>
      </c>
      <c r="C16" s="2" t="str">
        <f>IF(booking!AC16&gt;0,"Y","-")</f>
        <v>-</v>
      </c>
      <c r="D16" s="53" t="str">
        <f>IF(AND(booking!D16&lt;&gt;booking!E16,booking!D16&gt;0),"udc","-")</f>
        <v>-</v>
      </c>
      <c r="E16" s="49" t="str">
        <f>IFERROR(IF(AND(booking!AB16&gt;0,booking!D16&lt;&gt;booking!E16),VLOOKUP(booking!E16,Database!$A$1:'Database'!$L$175,6,FALSE),"-"),"-")</f>
        <v>-</v>
      </c>
      <c r="F16" s="53" t="str">
        <f>IF(AND(booking!H16&lt;&gt;booking!I16,booking!H16&gt;0),"udc","-")</f>
        <v>-</v>
      </c>
      <c r="G16" s="49" t="str">
        <f>IFERROR(IF(AND(booking!AB16&gt;0,booking!H16&lt;&gt;booking!I16),VLOOKUP(booking!I16,Database!$A$1:'Database'!$L$175,6,FALSE),"-"),"-")</f>
        <v>-</v>
      </c>
      <c r="H16" s="53" t="str">
        <f>IF(AND(booking!L16&lt;&gt;booking!M16,booking!L16&gt;0),"udc","-")</f>
        <v>-</v>
      </c>
      <c r="I16" s="49" t="str">
        <f>IFERROR(IF(AND(booking!AB16&gt;0,booking!L16&lt;&gt;booking!M16),VLOOKUP(booking!M16,Database!$A$1:'Database'!$L$175,6,FALSE),"-"),"-")</f>
        <v>-</v>
      </c>
      <c r="J16" s="53" t="str">
        <f>IF(AND(booking!P16&lt;&gt;booking!Q16,booking!P16&gt;0),"udc","-")</f>
        <v>-</v>
      </c>
      <c r="K16" s="49" t="str">
        <f>IFERROR(IF(AND(booking!AB16&gt;0,booking!P16&lt;&gt;booking!Q16),VLOOKUP(booking!Q16,Database!$A$1:'Database'!$L$175,6,FALSE),"-"),"-")</f>
        <v>-</v>
      </c>
      <c r="L16" s="53" t="str">
        <f>IF(AND(booking!T16&lt;&gt;booking!U16,booking!T16&gt;0),"udc","-")</f>
        <v>-</v>
      </c>
      <c r="M16" s="49" t="str">
        <f>IFERROR(IF(AND(booking!AB16&gt;0,booking!T16&lt;&gt;booking!U16),VLOOKUP(booking!U16,Database!$A$1:'Database'!$L$175,6,FALSE),"-"),"-")</f>
        <v>S</v>
      </c>
    </row>
    <row r="17" spans="1:13" ht="15" hidden="1" customHeight="1" thickBot="1" x14ac:dyDescent="0.4">
      <c r="A17" t="str">
        <f>booking!B17</f>
        <v>tirsdag</v>
      </c>
      <c r="B17" s="24">
        <f>booking!C17</f>
        <v>46154</v>
      </c>
      <c r="C17" s="2" t="str">
        <f>IF(booking!AC17&gt;0,"Y","-")</f>
        <v>-</v>
      </c>
      <c r="D17" s="53" t="str">
        <f>IF(AND(booking!D17&lt;&gt;booking!E17,booking!D17&gt;0),"udc","-")</f>
        <v>-</v>
      </c>
      <c r="E17" s="49" t="str">
        <f>IFERROR(IF(AND(booking!AB17&gt;0,booking!D17&lt;&gt;booking!E17),VLOOKUP(booking!E17,Database!$A$1:'Database'!$L$175,6,FALSE),"-"),"-")</f>
        <v>-</v>
      </c>
      <c r="F17" s="53" t="str">
        <f>IF(AND(booking!H17&lt;&gt;booking!I17,booking!H17&gt;0),"udc","-")</f>
        <v>-</v>
      </c>
      <c r="G17" s="49" t="str">
        <f>IFERROR(IF(AND(booking!AB17&gt;0,booking!H17&lt;&gt;booking!I17),VLOOKUP(booking!I17,Database!$A$1:'Database'!$L$175,6,FALSE),"-"),"-")</f>
        <v>-</v>
      </c>
      <c r="H17" s="53" t="str">
        <f>IF(AND(booking!L17&lt;&gt;booking!M17,booking!L17&gt;0),"udc","-")</f>
        <v>-</v>
      </c>
      <c r="I17" s="49" t="str">
        <f>IFERROR(IF(AND(booking!AB17&gt;0,booking!L17&lt;&gt;booking!M17),VLOOKUP(booking!M17,Database!$A$1:'Database'!$L$175,6,FALSE),"-"),"-")</f>
        <v>-</v>
      </c>
      <c r="J17" s="53" t="str">
        <f>IF(AND(booking!P17&lt;&gt;booking!Q17,booking!P17&gt;0),"udc","-")</f>
        <v>-</v>
      </c>
      <c r="K17" s="49" t="str">
        <f>IFERROR(IF(AND(booking!AB17&gt;0,booking!P17&lt;&gt;booking!Q17),VLOOKUP(booking!Q17,Database!$A$1:'Database'!$L$175,6,FALSE),"-"),"-")</f>
        <v>-</v>
      </c>
      <c r="L17" s="53" t="str">
        <f>IF(AND(booking!T17&lt;&gt;booking!U17,booking!T17&gt;0),"udc","-")</f>
        <v>-</v>
      </c>
      <c r="M17" s="49" t="str">
        <f>IFERROR(IF(AND(booking!AB17&gt;0,booking!T17&lt;&gt;booking!U17),VLOOKUP(booking!U17,Database!$A$1:'Database'!$L$175,6,FALSE),"-"),"-")</f>
        <v>-</v>
      </c>
    </row>
    <row r="18" spans="1:13" ht="15" hidden="1" customHeight="1" thickBot="1" x14ac:dyDescent="0.4">
      <c r="A18" t="str">
        <f>booking!B18</f>
        <v>onsdag</v>
      </c>
      <c r="B18" s="24">
        <f>booking!C18</f>
        <v>46155</v>
      </c>
      <c r="C18" s="2" t="str">
        <f>IF(booking!AC18&gt;0,"Y","-")</f>
        <v>Y</v>
      </c>
      <c r="D18" s="53" t="str">
        <f>IF(AND(booking!D18&lt;&gt;booking!E18,booking!D18&gt;0),"udc","-")</f>
        <v>-</v>
      </c>
      <c r="E18" s="49" t="str">
        <f>IFERROR(IF(AND(booking!AB18&gt;0,booking!D18&lt;&gt;booking!E18),VLOOKUP(booking!E18,Database!$A$1:'Database'!$L$175,6,FALSE),"-"),"-")</f>
        <v>DK</v>
      </c>
      <c r="F18" s="53" t="str">
        <f>IF(AND(booking!H18&lt;&gt;booking!I18,booking!H18&gt;0),"udc","-")</f>
        <v>-</v>
      </c>
      <c r="G18" s="49" t="str">
        <f>IFERROR(IF(AND(booking!AB18&gt;0,booking!H18&lt;&gt;booking!I18),VLOOKUP(booking!I18,Database!$A$1:'Database'!$L$175,6,FALSE),"-"),"-")</f>
        <v>-</v>
      </c>
      <c r="H18" s="53" t="str">
        <f>IF(AND(booking!L18&lt;&gt;booking!M18,booking!L18&gt;0),"udc","-")</f>
        <v>-</v>
      </c>
      <c r="I18" s="49" t="str">
        <f>IFERROR(IF(AND(booking!AB18&gt;0,booking!L18&lt;&gt;booking!M18),VLOOKUP(booking!M18,Database!$A$1:'Database'!$L$175,6,FALSE),"-"),"-")</f>
        <v>-</v>
      </c>
      <c r="J18" s="53" t="str">
        <f>IF(AND(booking!P18&lt;&gt;booking!Q18,booking!P18&gt;0),"udc","-")</f>
        <v>-</v>
      </c>
      <c r="K18" s="49" t="str">
        <f>IFERROR(IF(AND(booking!AB18&gt;0,booking!P18&lt;&gt;booking!Q18),VLOOKUP(booking!Q18,Database!$A$1:'Database'!$L$175,6,FALSE),"-"),"-")</f>
        <v>-</v>
      </c>
      <c r="L18" s="53" t="str">
        <f>IF(AND(booking!T18&lt;&gt;booking!U18,booking!T18&gt;0),"udc","-")</f>
        <v>udc</v>
      </c>
      <c r="M18" s="49" t="str">
        <f>IFERROR(IF(AND(booking!AB18&gt;0,booking!T18&lt;&gt;booking!U18),VLOOKUP(booking!U18,Database!$A$1:'Database'!$L$175,6,FALSE),"-"),"-")</f>
        <v>-</v>
      </c>
    </row>
    <row r="19" spans="1:13" ht="15" hidden="1" customHeight="1" thickBot="1" x14ac:dyDescent="0.4">
      <c r="A19" t="str">
        <f>booking!B19</f>
        <v>torsdag</v>
      </c>
      <c r="B19" s="24">
        <f>booking!C19</f>
        <v>46156</v>
      </c>
      <c r="C19" s="2" t="str">
        <f>IF(booking!AC19&gt;0,"Y","-")</f>
        <v>-</v>
      </c>
      <c r="D19" s="53" t="str">
        <f>IF(AND(booking!D19&lt;&gt;booking!E19,booking!D19&gt;0),"udc","-")</f>
        <v>-</v>
      </c>
      <c r="E19" s="49" t="str">
        <f>IFERROR(IF(AND(booking!AB19&gt;0,booking!D19&lt;&gt;booking!E19),VLOOKUP(booking!E19,Database!$A$1:'Database'!$L$175,6,FALSE),"-"),"-")</f>
        <v>-</v>
      </c>
      <c r="F19" s="53" t="str">
        <f>IF(AND(booking!H19&lt;&gt;booking!I19,booking!H19&gt;0),"udc","-")</f>
        <v>-</v>
      </c>
      <c r="G19" s="49" t="str">
        <f>IFERROR(IF(AND(booking!AB19&gt;0,booking!H19&lt;&gt;booking!I19),VLOOKUP(booking!I19,Database!$A$1:'Database'!$L$175,6,FALSE),"-"),"-")</f>
        <v>-</v>
      </c>
      <c r="H19" s="53" t="str">
        <f>IF(AND(booking!L19&lt;&gt;booking!M19,booking!L19&gt;0),"udc","-")</f>
        <v>-</v>
      </c>
      <c r="I19" s="49" t="str">
        <f>IFERROR(IF(AND(booking!AB19&gt;0,booking!L19&lt;&gt;booking!M19),VLOOKUP(booking!M19,Database!$A$1:'Database'!$L$175,6,FALSE),"-"),"-")</f>
        <v>S</v>
      </c>
      <c r="J19" s="53" t="str">
        <f>IF(AND(booking!P19&lt;&gt;booking!Q19,booking!P19&gt;0),"udc","-")</f>
        <v>-</v>
      </c>
      <c r="K19" s="49" t="str">
        <f>IFERROR(IF(AND(booking!AB19&gt;0,booking!P19&lt;&gt;booking!Q19),VLOOKUP(booking!Q19,Database!$A$1:'Database'!$L$175,6,FALSE),"-"),"-")</f>
        <v>DK</v>
      </c>
      <c r="L19" s="53" t="str">
        <f>IF(AND(booking!T19&lt;&gt;booking!U19,booking!T19&gt;0),"udc","-")</f>
        <v>-</v>
      </c>
      <c r="M19" s="49" t="str">
        <f>IFERROR(IF(AND(booking!AB19&gt;0,booking!T19&lt;&gt;booking!U19),VLOOKUP(booking!U19,Database!$A$1:'Database'!$L$175,6,FALSE),"-"),"-")</f>
        <v>S</v>
      </c>
    </row>
    <row r="20" spans="1:13" ht="15" hidden="1" customHeight="1" thickBot="1" x14ac:dyDescent="0.4">
      <c r="A20" t="str">
        <f>booking!B20</f>
        <v>fredag</v>
      </c>
      <c r="B20" s="24">
        <f>booking!C20</f>
        <v>46157</v>
      </c>
      <c r="C20" s="2" t="str">
        <f>IF(booking!AC20&gt;0,"Y","-")</f>
        <v>-</v>
      </c>
      <c r="D20" s="53" t="str">
        <f>IF(AND(booking!D20&lt;&gt;booking!E20,booking!D20&gt;0),"udc","-")</f>
        <v>-</v>
      </c>
      <c r="E20" s="49" t="str">
        <f>IFERROR(IF(AND(booking!AB20&gt;0,booking!D20&lt;&gt;booking!E20),VLOOKUP(booking!E20,Database!$A$1:'Database'!$L$175,6,FALSE),"-"),"-")</f>
        <v>-</v>
      </c>
      <c r="F20" s="53" t="str">
        <f>IF(AND(booking!H20&lt;&gt;booking!I20,booking!H20&gt;0),"udc","-")</f>
        <v>-</v>
      </c>
      <c r="G20" s="49" t="str">
        <f>IFERROR(IF(AND(booking!AB20&gt;0,booking!H20&lt;&gt;booking!I20),VLOOKUP(booking!I20,Database!$A$1:'Database'!$L$175,6,FALSE),"-"),"-")</f>
        <v>DK</v>
      </c>
      <c r="H20" s="53" t="str">
        <f>IF(AND(booking!L20&lt;&gt;booking!M20,booking!L20&gt;0),"udc","-")</f>
        <v>-</v>
      </c>
      <c r="I20" s="49" t="str">
        <f>IFERROR(IF(AND(booking!AB20&gt;0,booking!L20&lt;&gt;booking!M20),VLOOKUP(booking!M20,Database!$A$1:'Database'!$L$175,6,FALSE),"-"),"-")</f>
        <v>-</v>
      </c>
      <c r="J20" s="53" t="str">
        <f>IF(AND(booking!P20&lt;&gt;booking!Q20,booking!P20&gt;0),"udc","-")</f>
        <v>-</v>
      </c>
      <c r="K20" s="49" t="str">
        <f>IFERROR(IF(AND(booking!AB20&gt;0,booking!P20&lt;&gt;booking!Q20),VLOOKUP(booking!Q20,Database!$A$1:'Database'!$L$175,6,FALSE),"-"),"-")</f>
        <v>-</v>
      </c>
      <c r="L20" s="53" t="str">
        <f>IF(AND(booking!T20&lt;&gt;booking!U20,booking!T20&gt;0),"udc","-")</f>
        <v>-</v>
      </c>
      <c r="M20" s="49" t="str">
        <f>IFERROR(IF(AND(booking!AB20&gt;0,booking!T20&lt;&gt;booking!U20),VLOOKUP(booking!U20,Database!$A$1:'Database'!$L$175,6,FALSE),"-"),"-")</f>
        <v>-</v>
      </c>
    </row>
    <row r="21" spans="1:13" ht="15" hidden="1" customHeight="1" thickBot="1" x14ac:dyDescent="0.4">
      <c r="A21" t="str">
        <f>booking!B21</f>
        <v>lørdag</v>
      </c>
      <c r="B21" s="24">
        <f>booking!C21</f>
        <v>46158</v>
      </c>
      <c r="C21" s="2" t="str">
        <f>IF(booking!AC21&gt;0,"Y","-")</f>
        <v>Y</v>
      </c>
      <c r="D21" s="53" t="str">
        <f>IF(AND(booking!D21&lt;&gt;booking!E21,booking!D21&gt;0),"udc","-")</f>
        <v>udc</v>
      </c>
      <c r="E21" s="49" t="str">
        <f>IFERROR(IF(AND(booking!AB21&gt;0,booking!D21&lt;&gt;booking!E21),VLOOKUP(booking!E21,Database!$A$1:'Database'!$L$175,6,FALSE),"-"),"-")</f>
        <v>D</v>
      </c>
      <c r="F21" s="53" t="str">
        <f>IF(AND(booking!H21&lt;&gt;booking!I21,booking!H21&gt;0),"udc","-")</f>
        <v>-</v>
      </c>
      <c r="G21" s="49" t="str">
        <f>IFERROR(IF(AND(booking!AB21&gt;0,booking!H21&lt;&gt;booking!I21),VLOOKUP(booking!I21,Database!$A$1:'Database'!$L$175,6,FALSE),"-"),"-")</f>
        <v>-</v>
      </c>
      <c r="H21" s="53" t="str">
        <f>IF(AND(booking!L21&lt;&gt;booking!M21,booking!L21&gt;0),"udc","-")</f>
        <v>-</v>
      </c>
      <c r="I21" s="49" t="str">
        <f>IFERROR(IF(AND(booking!AB21&gt;0,booking!L21&lt;&gt;booking!M21),VLOOKUP(booking!M21,Database!$A$1:'Database'!$L$175,6,FALSE),"-"),"-")</f>
        <v>-</v>
      </c>
      <c r="J21" s="53" t="str">
        <f>IF(AND(booking!P21&lt;&gt;booking!Q21,booking!P21&gt;0),"udc","-")</f>
        <v>-</v>
      </c>
      <c r="K21" s="49" t="str">
        <f>IFERROR(IF(AND(booking!AB21&gt;0,booking!P21&lt;&gt;booking!Q21),VLOOKUP(booking!Q21,Database!$A$1:'Database'!$L$175,6,FALSE),"-"),"-")</f>
        <v>-</v>
      </c>
      <c r="L21" s="53" t="str">
        <f>IF(AND(booking!T21&lt;&gt;booking!U21,booking!T21&gt;0),"udc","-")</f>
        <v>-</v>
      </c>
      <c r="M21" s="49" t="str">
        <f>IFERROR(IF(AND(booking!AB21&gt;0,booking!T21&lt;&gt;booking!U21),VLOOKUP(booking!U21,Database!$A$1:'Database'!$L$175,6,FALSE),"-"),"-")</f>
        <v>-</v>
      </c>
    </row>
    <row r="22" spans="1:13" ht="15" hidden="1" customHeight="1" thickBot="1" x14ac:dyDescent="0.4">
      <c r="A22" s="46" t="str">
        <f>booking!B22</f>
        <v>søndag</v>
      </c>
      <c r="B22" s="47">
        <f>booking!C22</f>
        <v>46159</v>
      </c>
      <c r="C22" s="48" t="str">
        <f>IF(booking!AC22&gt;0,"Y","-")</f>
        <v>Y</v>
      </c>
      <c r="D22" s="53" t="str">
        <f>IF(AND(booking!D22&lt;&gt;booking!E22,booking!D22&gt;0),"udc","-")</f>
        <v>-</v>
      </c>
      <c r="E22" s="49" t="str">
        <f>IFERROR(IF(AND(booking!AB22&gt;0,booking!D22&lt;&gt;booking!E22),VLOOKUP(booking!E22,Database!$A$1:'Database'!$L$175,6,FALSE),"-"),"-")</f>
        <v>-</v>
      </c>
      <c r="F22" s="53" t="str">
        <f>IF(AND(booking!H22&lt;&gt;booking!I22,booking!H22&gt;0),"udc","-")</f>
        <v>udc</v>
      </c>
      <c r="G22" s="49" t="str">
        <f>IFERROR(IF(AND(booking!AB22&gt;0,booking!H22&lt;&gt;booking!I22),VLOOKUP(booking!I22,Database!$A$1:'Database'!$L$175,6,FALSE),"-"),"-")</f>
        <v>DK</v>
      </c>
      <c r="H22" s="53" t="str">
        <f>IF(AND(booking!L22&lt;&gt;booking!M22,booking!L22&gt;0),"udc","-")</f>
        <v>udc</v>
      </c>
      <c r="I22" s="49" t="str">
        <f>IFERROR(IF(AND(booking!AB22&gt;0,booking!L22&lt;&gt;booking!M22),VLOOKUP(booking!M22,Database!$A$1:'Database'!$L$175,6,FALSE),"-"),"-")</f>
        <v>-</v>
      </c>
      <c r="J22" s="53" t="str">
        <f>IF(AND(booking!P22&lt;&gt;booking!Q22,booking!P22&gt;0),"udc","-")</f>
        <v>udc</v>
      </c>
      <c r="K22" s="49" t="str">
        <f>IFERROR(IF(AND(booking!AB22&gt;0,booking!P22&lt;&gt;booking!Q22),VLOOKUP(booking!Q22,Database!$A$1:'Database'!$L$175,6,FALSE),"-"),"-")</f>
        <v>D</v>
      </c>
      <c r="L22" s="53" t="str">
        <f>IF(AND(booking!T22&lt;&gt;booking!U22,booking!T22&gt;0),"udc","-")</f>
        <v>udc</v>
      </c>
      <c r="M22" s="49" t="str">
        <f>IFERROR(IF(AND(booking!AB22&gt;0,booking!T22&lt;&gt;booking!U22),VLOOKUP(booking!U22,Database!$A$1:'Database'!$L$175,6,FALSE),"-"),"-")</f>
        <v>DK</v>
      </c>
    </row>
    <row r="23" spans="1:13" ht="15" hidden="1" customHeight="1" thickBot="1" x14ac:dyDescent="0.4">
      <c r="A23" t="str">
        <f>booking!B23</f>
        <v>mandag</v>
      </c>
      <c r="B23" s="24">
        <f>booking!C23</f>
        <v>46160</v>
      </c>
      <c r="C23" s="2" t="str">
        <f>IF(booking!AC23&gt;0,"Y","-")</f>
        <v>-</v>
      </c>
      <c r="D23" s="53" t="str">
        <f>IF(AND(booking!D23&lt;&gt;booking!E23,booking!D23&gt;0),"udc","-")</f>
        <v>-</v>
      </c>
      <c r="E23" s="49" t="str">
        <f>IFERROR(IF(AND(booking!AB23&gt;0,booking!D23&lt;&gt;booking!E23),VLOOKUP(booking!E23,Database!$A$1:'Database'!$L$175,6,FALSE),"-"),"-")</f>
        <v>-</v>
      </c>
      <c r="F23" s="53" t="str">
        <f>IF(AND(booking!H23&lt;&gt;booking!I23,booking!H23&gt;0),"udc","-")</f>
        <v>-</v>
      </c>
      <c r="G23" s="49" t="str">
        <f>IFERROR(IF(AND(booking!AB23&gt;0,booking!H23&lt;&gt;booking!I23),VLOOKUP(booking!I23,Database!$A$1:'Database'!$L$175,6,FALSE),"-"),"-")</f>
        <v>-</v>
      </c>
      <c r="H23" s="53" t="str">
        <f>IF(AND(booking!L23&lt;&gt;booking!M23,booking!L23&gt;0),"udc","-")</f>
        <v>-</v>
      </c>
      <c r="I23" s="49" t="str">
        <f>IFERROR(IF(AND(booking!AB23&gt;0,booking!L23&lt;&gt;booking!M23),VLOOKUP(booking!M23,Database!$A$1:'Database'!$L$175,6,FALSE),"-"),"-")</f>
        <v>USA</v>
      </c>
      <c r="J23" s="53" t="str">
        <f>IF(AND(booking!P23&lt;&gt;booking!Q23,booking!P23&gt;0),"udc","-")</f>
        <v>-</v>
      </c>
      <c r="K23" s="49" t="str">
        <f>IFERROR(IF(AND(booking!AB23&gt;0,booking!P23&lt;&gt;booking!Q23),VLOOKUP(booking!Q23,Database!$A$1:'Database'!$L$175,6,FALSE),"-"),"-")</f>
        <v>-</v>
      </c>
      <c r="L23" s="53" t="str">
        <f>IF(AND(booking!T23&lt;&gt;booking!U23,booking!T23&gt;0),"udc","-")</f>
        <v>-</v>
      </c>
      <c r="M23" s="49" t="str">
        <f>IFERROR(IF(AND(booking!AB23&gt;0,booking!T23&lt;&gt;booking!U23),VLOOKUP(booking!U23,Database!$A$1:'Database'!$L$175,6,FALSE),"-"),"-")</f>
        <v>-</v>
      </c>
    </row>
    <row r="24" spans="1:13" ht="15" hidden="1" customHeight="1" thickBot="1" x14ac:dyDescent="0.4">
      <c r="A24" t="str">
        <f>booking!B24</f>
        <v>tirsdag</v>
      </c>
      <c r="B24" s="24">
        <f>booking!C24</f>
        <v>46161</v>
      </c>
      <c r="C24" s="2" t="str">
        <f>IF(booking!AC24&gt;0,"Y","-")</f>
        <v>-</v>
      </c>
      <c r="D24" s="53" t="str">
        <f>IF(AND(booking!D24&lt;&gt;booking!E24,booking!D24&gt;0),"udc","-")</f>
        <v>-</v>
      </c>
      <c r="E24" s="49" t="str">
        <f>IFERROR(IF(AND(booking!AB24&gt;0,booking!D24&lt;&gt;booking!E24),VLOOKUP(booking!E24,Database!$A$1:'Database'!$L$175,6,FALSE),"-"),"-")</f>
        <v>-</v>
      </c>
      <c r="F24" s="53" t="str">
        <f>IF(AND(booking!H24&lt;&gt;booking!I24,booking!H24&gt;0),"udc","-")</f>
        <v>-</v>
      </c>
      <c r="G24" s="49" t="str">
        <f>IFERROR(IF(AND(booking!AB24&gt;0,booking!H24&lt;&gt;booking!I24),VLOOKUP(booking!I24,Database!$A$1:'Database'!$L$175,6,FALSE),"-"),"-")</f>
        <v>-</v>
      </c>
      <c r="H24" s="53" t="str">
        <f>IF(AND(booking!L24&lt;&gt;booking!M24,booking!L24&gt;0),"udc","-")</f>
        <v>-</v>
      </c>
      <c r="I24" s="49" t="str">
        <f>IFERROR(IF(AND(booking!AB24&gt;0,booking!L24&lt;&gt;booking!M24),VLOOKUP(booking!M24,Database!$A$1:'Database'!$L$175,6,FALSE),"-"),"-")</f>
        <v>-</v>
      </c>
      <c r="J24" s="53" t="str">
        <f>IF(AND(booking!P24&lt;&gt;booking!Q24,booking!P24&gt;0),"udc","-")</f>
        <v>-</v>
      </c>
      <c r="K24" s="49" t="str">
        <f>IFERROR(IF(AND(booking!AB24&gt;0,booking!P24&lt;&gt;booking!Q24),VLOOKUP(booking!Q24,Database!$A$1:'Database'!$L$175,6,FALSE),"-"),"-")</f>
        <v>-</v>
      </c>
      <c r="L24" s="53" t="str">
        <f>IF(AND(booking!T24&lt;&gt;booking!U24,booking!T24&gt;0),"udc","-")</f>
        <v>-</v>
      </c>
      <c r="M24" s="49" t="str">
        <f>IFERROR(IF(AND(booking!AB24&gt;0,booking!T24&lt;&gt;booking!U24),VLOOKUP(booking!U24,Database!$A$1:'Database'!$L$175,6,FALSE),"-"),"-")</f>
        <v>-</v>
      </c>
    </row>
    <row r="25" spans="1:13" ht="15" hidden="1" customHeight="1" thickBot="1" x14ac:dyDescent="0.4">
      <c r="A25" t="str">
        <f>booking!B25</f>
        <v>onsdag</v>
      </c>
      <c r="B25" s="24">
        <f>booking!C25</f>
        <v>46162</v>
      </c>
      <c r="C25" s="2" t="str">
        <f>IF(booking!AC25&gt;0,"Y","-")</f>
        <v>-</v>
      </c>
      <c r="D25" s="53" t="str">
        <f>IF(AND(booking!D25&lt;&gt;booking!E25,booking!D25&gt;0),"udc","-")</f>
        <v>-</v>
      </c>
      <c r="E25" s="49" t="str">
        <f>IFERROR(IF(AND(booking!AB25&gt;0,booking!D25&lt;&gt;booking!E25),VLOOKUP(booking!E25,Database!$A$1:'Database'!$L$175,6,FALSE),"-"),"-")</f>
        <v>-</v>
      </c>
      <c r="F25" s="53" t="str">
        <f>IF(AND(booking!H25&lt;&gt;booking!I25,booking!H25&gt;0),"udc","-")</f>
        <v>-</v>
      </c>
      <c r="G25" s="49" t="str">
        <f>IFERROR(IF(AND(booking!AB25&gt;0,booking!H25&lt;&gt;booking!I25),VLOOKUP(booking!I25,Database!$A$1:'Database'!$L$175,6,FALSE),"-"),"-")</f>
        <v>-</v>
      </c>
      <c r="H25" s="53" t="str">
        <f>IF(AND(booking!L25&lt;&gt;booking!M25,booking!L25&gt;0),"udc","-")</f>
        <v>-</v>
      </c>
      <c r="I25" s="49" t="str">
        <f>IFERROR(IF(AND(booking!AB25&gt;0,booking!L25&lt;&gt;booking!M25),VLOOKUP(booking!M25,Database!$A$1:'Database'!$L$175,6,FALSE),"-"),"-")</f>
        <v>-</v>
      </c>
      <c r="J25" s="53" t="str">
        <f>IF(AND(booking!P25&lt;&gt;booking!Q25,booking!P25&gt;0),"udc","-")</f>
        <v>-</v>
      </c>
      <c r="K25" s="49" t="str">
        <f>IFERROR(IF(AND(booking!AB25&gt;0,booking!P25&lt;&gt;booking!Q25),VLOOKUP(booking!Q25,Database!$A$1:'Database'!$L$175,6,FALSE),"-"),"-")</f>
        <v>-</v>
      </c>
      <c r="L25" s="53" t="str">
        <f>IF(AND(booking!T25&lt;&gt;booking!U25,booking!T25&gt;0),"udc","-")</f>
        <v>-</v>
      </c>
      <c r="M25" s="49" t="str">
        <f>IFERROR(IF(AND(booking!AB25&gt;0,booking!T25&lt;&gt;booking!U25),VLOOKUP(booking!U25,Database!$A$1:'Database'!$L$175,6,FALSE),"-"),"-")</f>
        <v>-</v>
      </c>
    </row>
    <row r="26" spans="1:13" ht="15" hidden="1" customHeight="1" thickBot="1" x14ac:dyDescent="0.4">
      <c r="A26" t="str">
        <f>booking!B26</f>
        <v>torsdag</v>
      </c>
      <c r="B26" s="24">
        <f>booking!C26</f>
        <v>46163</v>
      </c>
      <c r="C26" s="2" t="str">
        <f>IF(booking!AC26&gt;0,"Y","-")</f>
        <v>Y</v>
      </c>
      <c r="D26" s="53" t="str">
        <f>IF(AND(booking!D26&lt;&gt;booking!E26,booking!D26&gt;0),"udc","-")</f>
        <v>udc</v>
      </c>
      <c r="E26" s="49" t="str">
        <f>IFERROR(IF(AND(booking!AB26&gt;0,booking!D26&lt;&gt;booking!E26),VLOOKUP(booking!E26,Database!$A$1:'Database'!$L$175,6,FALSE),"-"),"-")</f>
        <v>DK</v>
      </c>
      <c r="F26" s="53" t="str">
        <f>IF(AND(booking!H26&lt;&gt;booking!I26,booking!H26&gt;0),"udc","-")</f>
        <v>udc</v>
      </c>
      <c r="G26" s="49" t="str">
        <f>IFERROR(IF(AND(booking!AB26&gt;0,booking!H26&lt;&gt;booking!I26),VLOOKUP(booking!I26,Database!$A$1:'Database'!$L$175,6,FALSE),"-"),"-")</f>
        <v>DK</v>
      </c>
      <c r="H26" s="53" t="str">
        <f>IF(AND(booking!L26&lt;&gt;booking!M26,booking!L26&gt;0),"udc","-")</f>
        <v>-</v>
      </c>
      <c r="I26" s="49" t="str">
        <f>IFERROR(IF(AND(booking!AB26&gt;0,booking!L26&lt;&gt;booking!M26),VLOOKUP(booking!M26,Database!$A$1:'Database'!$L$175,6,FALSE),"-"),"-")</f>
        <v>-</v>
      </c>
      <c r="J26" s="53" t="str">
        <f>IF(AND(booking!P26&lt;&gt;booking!Q26,booking!P26&gt;0),"udc","-")</f>
        <v>udc</v>
      </c>
      <c r="K26" s="49" t="str">
        <f>IFERROR(IF(AND(booking!AB26&gt;0,booking!P26&lt;&gt;booking!Q26),VLOOKUP(booking!Q26,Database!$A$1:'Database'!$L$175,6,FALSE),"-"),"-")</f>
        <v>DK</v>
      </c>
      <c r="L26" s="53" t="str">
        <f>IF(AND(booking!T26&lt;&gt;booking!U26,booking!T26&gt;0),"udc","-")</f>
        <v>-</v>
      </c>
      <c r="M26" s="49" t="str">
        <f>IFERROR(IF(AND(booking!AB26&gt;0,booking!T26&lt;&gt;booking!U26),VLOOKUP(booking!U26,Database!$A$1:'Database'!$L$175,6,FALSE),"-"),"-")</f>
        <v>-</v>
      </c>
    </row>
    <row r="27" spans="1:13" ht="15" hidden="1" customHeight="1" thickBot="1" x14ac:dyDescent="0.4">
      <c r="A27" t="str">
        <f>booking!B27</f>
        <v>fredag</v>
      </c>
      <c r="B27" s="24">
        <f>booking!C27</f>
        <v>46164</v>
      </c>
      <c r="C27" s="2" t="str">
        <f>IF(booking!AC27&gt;0,"Y","-")</f>
        <v>Y</v>
      </c>
      <c r="D27" s="53" t="str">
        <f>IF(AND(booking!D27&lt;&gt;booking!E27,booking!D27&gt;0),"udc","-")</f>
        <v>-</v>
      </c>
      <c r="E27" s="49" t="str">
        <f>IFERROR(IF(AND(booking!AB27&gt;0,booking!D27&lt;&gt;booking!E27),VLOOKUP(booking!E27,Database!$A$1:'Database'!$L$175,6,FALSE),"-"),"-")</f>
        <v>-</v>
      </c>
      <c r="F27" s="53" t="str">
        <f>IF(AND(booking!H27&lt;&gt;booking!I27,booking!H27&gt;0),"udc","-")</f>
        <v>-</v>
      </c>
      <c r="G27" s="49" t="str">
        <f>IFERROR(IF(AND(booking!AB27&gt;0,booking!H27&lt;&gt;booking!I27),VLOOKUP(booking!I27,Database!$A$1:'Database'!$L$175,6,FALSE),"-"),"-")</f>
        <v>-</v>
      </c>
      <c r="H27" s="53" t="str">
        <f>IF(AND(booking!L27&lt;&gt;booking!M27,booking!L27&gt;0),"udc","-")</f>
        <v>udc</v>
      </c>
      <c r="I27" s="49" t="str">
        <f>IFERROR(IF(AND(booking!AB27&gt;0,booking!L27&lt;&gt;booking!M27),VLOOKUP(booking!M27,Database!$A$1:'Database'!$L$175,6,FALSE),"-"),"-")</f>
        <v>-</v>
      </c>
      <c r="J27" s="53" t="str">
        <f>IF(AND(booking!P27&lt;&gt;booking!Q27,booking!P27&gt;0),"udc","-")</f>
        <v>-</v>
      </c>
      <c r="K27" s="49" t="str">
        <f>IFERROR(IF(AND(booking!AB27&gt;0,booking!P27&lt;&gt;booking!Q27),VLOOKUP(booking!Q27,Database!$A$1:'Database'!$L$175,6,FALSE),"-"),"-")</f>
        <v>-</v>
      </c>
      <c r="L27" s="53" t="str">
        <f>IF(AND(booking!T27&lt;&gt;booking!U27,booking!T27&gt;0),"udc","-")</f>
        <v>-</v>
      </c>
      <c r="M27" s="49" t="str">
        <f>IFERROR(IF(AND(booking!AB27&gt;0,booking!T27&lt;&gt;booking!U27),VLOOKUP(booking!U27,Database!$A$1:'Database'!$L$175,6,FALSE),"-"),"-")</f>
        <v>-</v>
      </c>
    </row>
    <row r="28" spans="1:13" ht="15" hidden="1" customHeight="1" thickBot="1" x14ac:dyDescent="0.4">
      <c r="A28" t="str">
        <f>booking!B28</f>
        <v>lørdag</v>
      </c>
      <c r="B28" s="24">
        <f>booking!C28</f>
        <v>46165</v>
      </c>
      <c r="C28" s="2" t="str">
        <f>IF(booking!AC28&gt;0,"Y","-")</f>
        <v>-</v>
      </c>
      <c r="D28" s="53" t="str">
        <f>IF(AND(booking!D28&lt;&gt;booking!E28,booking!D28&gt;0),"udc","-")</f>
        <v>-</v>
      </c>
      <c r="E28" s="49" t="str">
        <f>IFERROR(IF(AND(booking!AB28&gt;0,booking!D28&lt;&gt;booking!E28),VLOOKUP(booking!E28,Database!$A$1:'Database'!$L$175,6,FALSE),"-"),"-")</f>
        <v>-</v>
      </c>
      <c r="F28" s="53" t="str">
        <f>IF(AND(booking!H28&lt;&gt;booking!I28,booking!H28&gt;0),"udc","-")</f>
        <v>-</v>
      </c>
      <c r="G28" s="49" t="str">
        <f>IFERROR(IF(AND(booking!AB28&gt;0,booking!H28&lt;&gt;booking!I28),VLOOKUP(booking!I28,Database!$A$1:'Database'!$L$175,6,FALSE),"-"),"-")</f>
        <v>-</v>
      </c>
      <c r="H28" s="53" t="str">
        <f>IF(AND(booking!L28&lt;&gt;booking!M28,booking!L28&gt;0),"udc","-")</f>
        <v>-</v>
      </c>
      <c r="I28" s="49" t="str">
        <f>IFERROR(IF(AND(booking!AB28&gt;0,booking!L28&lt;&gt;booking!M28),VLOOKUP(booking!M28,Database!$A$1:'Database'!$L$175,6,FALSE),"-"),"-")</f>
        <v>-</v>
      </c>
      <c r="J28" s="53" t="str">
        <f>IF(AND(booking!P28&lt;&gt;booking!Q28,booking!P28&gt;0),"udc","-")</f>
        <v>-</v>
      </c>
      <c r="K28" s="49" t="str">
        <f>IFERROR(IF(AND(booking!AB28&gt;0,booking!P28&lt;&gt;booking!Q28),VLOOKUP(booking!Q28,Database!$A$1:'Database'!$L$175,6,FALSE),"-"),"-")</f>
        <v>-</v>
      </c>
      <c r="L28" s="53" t="str">
        <f>IF(AND(booking!T28&lt;&gt;booking!U28,booking!T28&gt;0),"udc","-")</f>
        <v>-</v>
      </c>
      <c r="M28" s="49" t="str">
        <f>IFERROR(IF(AND(booking!AB28&gt;0,booking!T28&lt;&gt;booking!U28),VLOOKUP(booking!U28,Database!$A$1:'Database'!$L$175,6,FALSE),"-"),"-")</f>
        <v>-</v>
      </c>
    </row>
    <row r="29" spans="1:13" ht="15" hidden="1" customHeight="1" thickBot="1" x14ac:dyDescent="0.4">
      <c r="A29" s="46" t="str">
        <f>booking!B29</f>
        <v>søndag</v>
      </c>
      <c r="B29" s="47">
        <f>booking!C29</f>
        <v>46166</v>
      </c>
      <c r="C29" s="48" t="str">
        <f>IF(booking!AC29&gt;0,"Y","-")</f>
        <v>Y</v>
      </c>
      <c r="D29" s="53" t="str">
        <f>IF(AND(booking!D29&lt;&gt;booking!E29,booking!D29&gt;0),"udc","-")</f>
        <v>-</v>
      </c>
      <c r="E29" s="49" t="str">
        <f>IFERROR(IF(AND(booking!AB29&gt;0,booking!D29&lt;&gt;booking!E29),VLOOKUP(booking!E29,Database!$A$1:'Database'!$L$175,6,FALSE),"-"),"-")</f>
        <v>-</v>
      </c>
      <c r="F29" s="53" t="str">
        <f>IF(AND(booking!H29&lt;&gt;booking!I29,booking!H29&gt;0),"udc","-")</f>
        <v>-</v>
      </c>
      <c r="G29" s="49" t="str">
        <f>IFERROR(IF(AND(booking!AB29&gt;0,booking!H29&lt;&gt;booking!I29),VLOOKUP(booking!I29,Database!$A$1:'Database'!$L$175,6,FALSE),"-"),"-")</f>
        <v>-</v>
      </c>
      <c r="H29" s="53" t="str">
        <f>IF(AND(booking!L29&lt;&gt;booking!M29,booking!L29&gt;0),"udc","-")</f>
        <v>-</v>
      </c>
      <c r="I29" s="49" t="str">
        <f>IFERROR(IF(AND(booking!AB29&gt;0,booking!L29&lt;&gt;booking!M29),VLOOKUP(booking!M29,Database!$A$1:'Database'!$L$175,6,FALSE),"-"),"-")</f>
        <v>-</v>
      </c>
      <c r="J29" s="53" t="str">
        <f>IF(AND(booking!P29&lt;&gt;booking!Q29,booking!P29&gt;0),"udc","-")</f>
        <v>-</v>
      </c>
      <c r="K29" s="49" t="str">
        <f>IFERROR(IF(AND(booking!AB29&gt;0,booking!P29&lt;&gt;booking!Q29),VLOOKUP(booking!Q29,Database!$A$1:'Database'!$L$175,6,FALSE),"-"),"-")</f>
        <v>-</v>
      </c>
      <c r="L29" s="53" t="str">
        <f>IF(AND(booking!T29&lt;&gt;booking!U29,booking!T29&gt;0),"udc","-")</f>
        <v>udc</v>
      </c>
      <c r="M29" s="49" t="str">
        <f>IFERROR(IF(AND(booking!AB29&gt;0,booking!T29&lt;&gt;booking!U29),VLOOKUP(booking!U29,Database!$A$1:'Database'!$L$175,6,FALSE),"-"),"-")</f>
        <v>-</v>
      </c>
    </row>
    <row r="30" spans="1:13" ht="15" hidden="1" customHeight="1" thickBot="1" x14ac:dyDescent="0.4">
      <c r="A30" t="str">
        <f>booking!B30</f>
        <v>mandag</v>
      </c>
      <c r="B30" s="24">
        <f>booking!C30</f>
        <v>46167</v>
      </c>
      <c r="C30" s="2" t="str">
        <f>IF(booking!AC30&gt;0,"Y","-")</f>
        <v>Y</v>
      </c>
      <c r="D30" s="53" t="str">
        <f>IF(AND(booking!D30&lt;&gt;booking!E30,booking!D30&gt;0),"udc","-")</f>
        <v>udc</v>
      </c>
      <c r="E30" s="49" t="str">
        <f>IFERROR(IF(AND(booking!AB30&gt;0,booking!D30&lt;&gt;booking!E30),VLOOKUP(booking!E30,Database!$A$1:'Database'!$L$175,6,FALSE),"-"),"-")</f>
        <v>-</v>
      </c>
      <c r="F30" s="53" t="str">
        <f>IF(AND(booking!H30&lt;&gt;booking!I30,booking!H30&gt;0),"udc","-")</f>
        <v>udc</v>
      </c>
      <c r="G30" s="49" t="str">
        <f>IFERROR(IF(AND(booking!AB30&gt;0,booking!H30&lt;&gt;booking!I30),VLOOKUP(booking!I30,Database!$A$1:'Database'!$L$175,6,FALSE),"-"),"-")</f>
        <v>-</v>
      </c>
      <c r="H30" s="53" t="str">
        <f>IF(AND(booking!L30&lt;&gt;booking!M30,booking!L30&gt;0),"udc","-")</f>
        <v>-</v>
      </c>
      <c r="I30" s="49" t="str">
        <f>IFERROR(IF(AND(booking!AB30&gt;0,booking!L30&lt;&gt;booking!M30),VLOOKUP(booking!M30,Database!$A$1:'Database'!$L$175,6,FALSE),"-"),"-")</f>
        <v>-</v>
      </c>
      <c r="J30" s="53" t="str">
        <f>IF(AND(booking!P30&lt;&gt;booking!Q30,booking!P30&gt;0),"udc","-")</f>
        <v>udc</v>
      </c>
      <c r="K30" s="49" t="str">
        <f>IFERROR(IF(AND(booking!AB30&gt;0,booking!P30&lt;&gt;booking!Q30),VLOOKUP(booking!Q30,Database!$A$1:'Database'!$L$175,6,FALSE),"-"),"-")</f>
        <v>-</v>
      </c>
      <c r="L30" s="53" t="str">
        <f>IF(AND(booking!T30&lt;&gt;booking!U30,booking!T30&gt;0),"udc","-")</f>
        <v>-</v>
      </c>
      <c r="M30" s="49" t="str">
        <f>IFERROR(IF(AND(booking!AB30&gt;0,booking!T30&lt;&gt;booking!U30),VLOOKUP(booking!U30,Database!$A$1:'Database'!$L$175,6,FALSE),"-"),"-")</f>
        <v>-</v>
      </c>
    </row>
    <row r="31" spans="1:13" ht="15" customHeight="1" thickBot="1" x14ac:dyDescent="0.4">
      <c r="A31" t="str">
        <f>booking!B31</f>
        <v>tirsdag</v>
      </c>
      <c r="B31" s="24">
        <f>booking!C31</f>
        <v>46168</v>
      </c>
      <c r="C31" s="2" t="str">
        <f>IF(booking!AC31&gt;0,"Y","-")</f>
        <v>-</v>
      </c>
      <c r="D31" s="53" t="str">
        <f>IF(AND(booking!D31&lt;&gt;booking!E31,booking!D31&gt;0),"udc","-")</f>
        <v>-</v>
      </c>
      <c r="E31" s="49" t="str">
        <f>IFERROR(IF(AND(booking!AB31&gt;0,booking!D31&lt;&gt;booking!E31),VLOOKUP(booking!E31,Database!$A$1:'Database'!$L$175,6,FALSE),"-"),"-")</f>
        <v>-</v>
      </c>
      <c r="F31" s="53" t="str">
        <f>IF(AND(booking!H31&lt;&gt;booking!I31,booking!H31&gt;0),"udc","-")</f>
        <v>-</v>
      </c>
      <c r="G31" s="49" t="str">
        <f>IFERROR(IF(AND(booking!AB31&gt;0,booking!H31&lt;&gt;booking!I31),VLOOKUP(booking!I31,Database!$A$1:'Database'!$L$175,6,FALSE),"-"),"-")</f>
        <v>-</v>
      </c>
      <c r="H31" s="53" t="str">
        <f>IF(AND(booking!L31&lt;&gt;booking!M31,booking!L31&gt;0),"udc","-")</f>
        <v>-</v>
      </c>
      <c r="I31" s="49" t="str">
        <f>IFERROR(IF(AND(booking!AB31&gt;0,booking!L31&lt;&gt;booking!M31),VLOOKUP(booking!M31,Database!$A$1:'Database'!$L$175,6,FALSE),"-"),"-")</f>
        <v>-</v>
      </c>
      <c r="J31" s="53" t="str">
        <f>IF(AND(booking!P31&lt;&gt;booking!Q31,booking!P31&gt;0),"udc","-")</f>
        <v>-</v>
      </c>
      <c r="K31" s="49" t="str">
        <f>IFERROR(IF(AND(booking!AB31&gt;0,booking!P31&lt;&gt;booking!Q31),VLOOKUP(booking!Q31,Database!$A$1:'Database'!$L$175,6,FALSE),"-"),"-")</f>
        <v>-</v>
      </c>
      <c r="L31" s="53" t="str">
        <f>IF(AND(booking!T31&lt;&gt;booking!U31,booking!T31&gt;0),"udc","-")</f>
        <v>-</v>
      </c>
      <c r="M31" s="49" t="str">
        <f>IFERROR(IF(AND(booking!AB31&gt;0,booking!T31&lt;&gt;booking!U31),VLOOKUP(booking!U31,Database!$A$1:'Database'!$L$175,6,FALSE),"-"),"-")</f>
        <v>-</v>
      </c>
    </row>
    <row r="32" spans="1:13" ht="15" customHeight="1" thickBot="1" x14ac:dyDescent="0.4">
      <c r="A32" t="str">
        <f>booking!B32</f>
        <v>onsdag</v>
      </c>
      <c r="B32" s="24">
        <f>booking!C32</f>
        <v>46169</v>
      </c>
      <c r="C32" s="2" t="str">
        <f>IF(booking!AC32&gt;0,"Y","-")</f>
        <v>-</v>
      </c>
      <c r="D32" s="53" t="str">
        <f>IF(AND(booking!D32&lt;&gt;booking!E32,booking!D32&gt;0),"udc","-")</f>
        <v>-</v>
      </c>
      <c r="E32" s="49" t="str">
        <f>IFERROR(IF(AND(booking!AB32&gt;0,booking!D32&lt;&gt;booking!E32),VLOOKUP(booking!E32,Database!$A$1:'Database'!$L$175,6,FALSE),"-"),"-")</f>
        <v>-</v>
      </c>
      <c r="F32" s="53" t="str">
        <f>IF(AND(booking!H32&lt;&gt;booking!I32,booking!H32&gt;0),"udc","-")</f>
        <v>-</v>
      </c>
      <c r="G32" s="49" t="str">
        <f>IFERROR(IF(AND(booking!AB32&gt;0,booking!H32&lt;&gt;booking!I32),VLOOKUP(booking!I32,Database!$A$1:'Database'!$L$175,6,FALSE),"-"),"-")</f>
        <v>-</v>
      </c>
      <c r="H32" s="53" t="str">
        <f>IF(AND(booking!L32&lt;&gt;booking!M32,booking!L32&gt;0),"udc","-")</f>
        <v>-</v>
      </c>
      <c r="I32" s="49" t="str">
        <f>IFERROR(IF(AND(booking!AB32&gt;0,booking!L32&lt;&gt;booking!M32),VLOOKUP(booking!M32,Database!$A$1:'Database'!$L$175,6,FALSE),"-"),"-")</f>
        <v>DK</v>
      </c>
      <c r="J32" s="53" t="str">
        <f>IF(AND(booking!P32&lt;&gt;booking!Q32,booking!P32&gt;0),"udc","-")</f>
        <v>-</v>
      </c>
      <c r="K32" s="49" t="str">
        <f>IFERROR(IF(AND(booking!AB32&gt;0,booking!P32&lt;&gt;booking!Q32),VLOOKUP(booking!Q32,Database!$A$1:'Database'!$L$175,6,FALSE),"-"),"-")</f>
        <v>-</v>
      </c>
      <c r="L32" s="53" t="str">
        <f>IF(AND(booking!T32&lt;&gt;booking!U32,booking!T32&gt;0),"udc","-")</f>
        <v>-</v>
      </c>
      <c r="M32" s="49" t="str">
        <f>IFERROR(IF(AND(booking!AB32&gt;0,booking!T32&lt;&gt;booking!U32),VLOOKUP(booking!U32,Database!$A$1:'Database'!$L$175,6,FALSE),"-"),"-")</f>
        <v>-</v>
      </c>
    </row>
    <row r="33" spans="1:13" ht="15" customHeight="1" thickBot="1" x14ac:dyDescent="0.4">
      <c r="A33" t="str">
        <f>booking!B33</f>
        <v>torsdag</v>
      </c>
      <c r="B33" s="24">
        <f>booking!C33</f>
        <v>46170</v>
      </c>
      <c r="C33" s="2" t="str">
        <f>IF(booking!AC33&gt;0,"Y","-")</f>
        <v>-</v>
      </c>
      <c r="D33" s="53" t="str">
        <f>IF(AND(booking!D33&lt;&gt;booking!E33,booking!D33&gt;0),"udc","-")</f>
        <v>-</v>
      </c>
      <c r="E33" s="49" t="str">
        <f>IFERROR(IF(AND(booking!AB33&gt;0,booking!D33&lt;&gt;booking!E33),VLOOKUP(booking!E33,Database!$A$1:'Database'!$L$175,6,FALSE),"-"),"-")</f>
        <v>-</v>
      </c>
      <c r="F33" s="53" t="str">
        <f>IF(AND(booking!H33&lt;&gt;booking!I33,booking!H33&gt;0),"udc","-")</f>
        <v>-</v>
      </c>
      <c r="G33" s="49" t="str">
        <f>IFERROR(IF(AND(booking!AB33&gt;0,booking!H33&lt;&gt;booking!I33),VLOOKUP(booking!I33,Database!$A$1:'Database'!$L$175,6,FALSE),"-"),"-")</f>
        <v>-</v>
      </c>
      <c r="H33" s="53" t="str">
        <f>IF(AND(booking!L33&lt;&gt;booking!M33,booking!L33&gt;0),"udc","-")</f>
        <v>-</v>
      </c>
      <c r="I33" s="49" t="str">
        <f>IFERROR(IF(AND(booking!AB33&gt;0,booking!L33&lt;&gt;booking!M33),VLOOKUP(booking!M33,Database!$A$1:'Database'!$L$175,6,FALSE),"-"),"-")</f>
        <v>-</v>
      </c>
      <c r="J33" s="53" t="str">
        <f>IF(AND(booking!P33&lt;&gt;booking!Q33,booking!P33&gt;0),"udc","-")</f>
        <v>-</v>
      </c>
      <c r="K33" s="49" t="str">
        <f>IFERROR(IF(AND(booking!AB33&gt;0,booking!P33&lt;&gt;booking!Q33),VLOOKUP(booking!Q33,Database!$A$1:'Database'!$L$175,6,FALSE),"-"),"-")</f>
        <v>-</v>
      </c>
      <c r="L33" s="53" t="str">
        <f>IF(AND(booking!T33&lt;&gt;booking!U33,booking!T33&gt;0),"udc","-")</f>
        <v>-</v>
      </c>
      <c r="M33" s="49" t="str">
        <f>IFERROR(IF(AND(booking!AB33&gt;0,booking!T33&lt;&gt;booking!U33),VLOOKUP(booking!U33,Database!$A$1:'Database'!$L$175,6,FALSE),"-"),"-")</f>
        <v>-</v>
      </c>
    </row>
    <row r="34" spans="1:13" ht="15" customHeight="1" thickBot="1" x14ac:dyDescent="0.4">
      <c r="A34" t="str">
        <f>booking!B34</f>
        <v>fredag</v>
      </c>
      <c r="B34" s="24">
        <f>booking!C34</f>
        <v>46171</v>
      </c>
      <c r="C34" s="2" t="str">
        <f>IF(booking!AC34&gt;0,"Y","-")</f>
        <v>-</v>
      </c>
      <c r="D34" s="53" t="str">
        <f>IF(AND(booking!D34&lt;&gt;booking!E34,booking!D34&gt;0),"udc","-")</f>
        <v>-</v>
      </c>
      <c r="E34" s="49" t="str">
        <f>IFERROR(IF(AND(booking!AB34&gt;0,booking!D34&lt;&gt;booking!E34),VLOOKUP(booking!E34,Database!$A$1:'Database'!$L$175,6,FALSE),"-"),"-")</f>
        <v>-</v>
      </c>
      <c r="F34" s="53" t="str">
        <f>IF(AND(booking!H34&lt;&gt;booking!I34,booking!H34&gt;0),"udc","-")</f>
        <v>-</v>
      </c>
      <c r="G34" s="49" t="str">
        <f>IFERROR(IF(AND(booking!AB34&gt;0,booking!H34&lt;&gt;booking!I34),VLOOKUP(booking!I34,Database!$A$1:'Database'!$L$175,6,FALSE),"-"),"-")</f>
        <v>-</v>
      </c>
      <c r="H34" s="53" t="str">
        <f>IF(AND(booking!L34&lt;&gt;booking!M34,booking!L34&gt;0),"udc","-")</f>
        <v>-</v>
      </c>
      <c r="I34" s="49" t="str">
        <f>IFERROR(IF(AND(booking!AB34&gt;0,booking!L34&lt;&gt;booking!M34),VLOOKUP(booking!M34,Database!$A$1:'Database'!$L$175,6,FALSE),"-"),"-")</f>
        <v>-</v>
      </c>
      <c r="J34" s="53" t="str">
        <f>IF(AND(booking!P34&lt;&gt;booking!Q34,booking!P34&gt;0),"udc","-")</f>
        <v>-</v>
      </c>
      <c r="K34" s="49" t="str">
        <f>IFERROR(IF(AND(booking!AB34&gt;0,booking!P34&lt;&gt;booking!Q34),VLOOKUP(booking!Q34,Database!$A$1:'Database'!$L$175,6,FALSE),"-"),"-")</f>
        <v>-</v>
      </c>
      <c r="L34" s="53" t="str">
        <f>IF(AND(booking!T34&lt;&gt;booking!U34,booking!T34&gt;0),"udc","-")</f>
        <v>-</v>
      </c>
      <c r="M34" s="49" t="str">
        <f>IFERROR(IF(AND(booking!AB34&gt;0,booking!T34&lt;&gt;booking!U34),VLOOKUP(booking!U34,Database!$A$1:'Database'!$L$175,6,FALSE),"-"),"-")</f>
        <v>DK</v>
      </c>
    </row>
    <row r="35" spans="1:13" ht="15" customHeight="1" thickBot="1" x14ac:dyDescent="0.4">
      <c r="A35" t="str">
        <f>booking!B35</f>
        <v>lørdag</v>
      </c>
      <c r="B35" s="24">
        <f>booking!C35</f>
        <v>46172</v>
      </c>
      <c r="C35" s="2" t="str">
        <f>IF(booking!AC35&gt;0,"Y","-")</f>
        <v>-</v>
      </c>
      <c r="D35" s="53" t="str">
        <f>IF(AND(booking!D35&lt;&gt;booking!E35,booking!D35&gt;0),"udc","-")</f>
        <v>-</v>
      </c>
      <c r="E35" s="49" t="str">
        <f>IFERROR(IF(AND(booking!AB35&gt;0,booking!D35&lt;&gt;booking!E35),VLOOKUP(booking!E35,Database!$A$1:'Database'!$L$175,6,FALSE),"-"),"-")</f>
        <v>-</v>
      </c>
      <c r="F35" s="53" t="str">
        <f>IF(AND(booking!H35&lt;&gt;booking!I35,booking!H35&gt;0),"udc","-")</f>
        <v>-</v>
      </c>
      <c r="G35" s="49" t="str">
        <f>IFERROR(IF(AND(booking!AB35&gt;0,booking!H35&lt;&gt;booking!I35),VLOOKUP(booking!I35,Database!$A$1:'Database'!$L$175,6,FALSE),"-"),"-")</f>
        <v>-</v>
      </c>
      <c r="H35" s="53" t="str">
        <f>IF(AND(booking!L35&lt;&gt;booking!M35,booking!L35&gt;0),"udc","-")</f>
        <v>-</v>
      </c>
      <c r="I35" s="49" t="str">
        <f>IFERROR(IF(AND(booking!AB35&gt;0,booking!L35&lt;&gt;booking!M35),VLOOKUP(booking!M35,Database!$A$1:'Database'!$L$175,6,FALSE),"-"),"-")</f>
        <v>-</v>
      </c>
      <c r="J35" s="53" t="str">
        <f>IF(AND(booking!P35&lt;&gt;booking!Q35,booking!P35&gt;0),"udc","-")</f>
        <v>-</v>
      </c>
      <c r="K35" s="49" t="str">
        <f>IFERROR(IF(AND(booking!AB35&gt;0,booking!P35&lt;&gt;booking!Q35),VLOOKUP(booking!Q35,Database!$A$1:'Database'!$L$175,6,FALSE),"-"),"-")</f>
        <v>-</v>
      </c>
      <c r="L35" s="53" t="str">
        <f>IF(AND(booking!T35&lt;&gt;booking!U35,booking!T35&gt;0),"udc","-")</f>
        <v>-</v>
      </c>
      <c r="M35" s="49" t="str">
        <f>IFERROR(IF(AND(booking!AB35&gt;0,booking!T35&lt;&gt;booking!U35),VLOOKUP(booking!U35,Database!$A$1:'Database'!$L$175,6,FALSE),"-"),"-")</f>
        <v>-</v>
      </c>
    </row>
    <row r="36" spans="1:13" ht="15" customHeight="1" thickBot="1" x14ac:dyDescent="0.4">
      <c r="A36" s="46" t="str">
        <f>booking!B36</f>
        <v>søndag</v>
      </c>
      <c r="B36" s="47">
        <f>booking!C36</f>
        <v>46173</v>
      </c>
      <c r="C36" s="48" t="str">
        <f>IF(booking!AC36&gt;0,"Y","-")</f>
        <v>Y</v>
      </c>
      <c r="D36" s="53" t="str">
        <f>IF(AND(booking!D36&lt;&gt;booking!E36,booking!D36&gt;0),"udc","-")</f>
        <v>-</v>
      </c>
      <c r="E36" s="49" t="str">
        <f>IFERROR(IF(AND(booking!AB36&gt;0,booking!D36&lt;&gt;booking!E36),VLOOKUP(booking!E36,Database!$A$1:'Database'!$L$175,6,FALSE),"-"),"-")</f>
        <v>DK</v>
      </c>
      <c r="F36" s="53" t="str">
        <f>IF(AND(booking!H36&lt;&gt;booking!I36,booking!H36&gt;0),"udc","-")</f>
        <v>-</v>
      </c>
      <c r="G36" s="49" t="str">
        <f>IFERROR(IF(AND(booking!AB36&gt;0,booking!H36&lt;&gt;booking!I36),VLOOKUP(booking!I36,Database!$A$1:'Database'!$L$175,6,FALSE),"-"),"-")</f>
        <v>DK</v>
      </c>
      <c r="H36" s="53" t="str">
        <f>IF(AND(booking!L36&lt;&gt;booking!M36,booking!L36&gt;0),"udc","-")</f>
        <v>-</v>
      </c>
      <c r="I36" s="49" t="str">
        <f>IFERROR(IF(AND(booking!AB36&gt;0,booking!L36&lt;&gt;booking!M36),VLOOKUP(booking!M36,Database!$A$1:'Database'!$L$175,6,FALSE),"-"),"-")</f>
        <v>-</v>
      </c>
      <c r="J36" s="53" t="str">
        <f>IF(AND(booking!P36&lt;&gt;booking!Q36,booking!P36&gt;0),"udc","-")</f>
        <v>-</v>
      </c>
      <c r="K36" s="49" t="str">
        <f>IFERROR(IF(AND(booking!AB36&gt;0,booking!P36&lt;&gt;booking!Q36),VLOOKUP(booking!Q36,Database!$A$1:'Database'!$L$175,6,FALSE),"-"),"-")</f>
        <v>-</v>
      </c>
      <c r="L36" s="53" t="str">
        <f>IF(AND(booking!T36&lt;&gt;booking!U36,booking!T36&gt;0),"udc","-")</f>
        <v>udc</v>
      </c>
      <c r="M36" s="49" t="str">
        <f>IFERROR(IF(AND(booking!AB36&gt;0,booking!T36&lt;&gt;booking!U36),VLOOKUP(booking!U36,Database!$A$1:'Database'!$L$175,6,FALSE),"-"),"-")</f>
        <v>-</v>
      </c>
    </row>
    <row r="37" spans="1:13" ht="15" customHeight="1" thickBot="1" x14ac:dyDescent="0.4">
      <c r="A37" t="str">
        <f>booking!B37</f>
        <v>mandag</v>
      </c>
      <c r="B37" s="24">
        <f>booking!C37</f>
        <v>46174</v>
      </c>
      <c r="C37" s="2" t="str">
        <f>IF(booking!AC37&gt;0,"Y","-")</f>
        <v>Y</v>
      </c>
      <c r="D37" s="53" t="str">
        <f>IF(AND(booking!D37&lt;&gt;booking!E37,booking!D37&gt;0),"udc","-")</f>
        <v>-</v>
      </c>
      <c r="E37" s="49" t="str">
        <f>IFERROR(IF(AND(booking!AB37&gt;0,booking!D37&lt;&gt;booking!E37),VLOOKUP(booking!E37,Database!$A$1:'Database'!$L$175,6,FALSE),"-"),"-")</f>
        <v>-</v>
      </c>
      <c r="F37" s="53" t="str">
        <f>IF(AND(booking!H37&lt;&gt;booking!I37,booking!H37&gt;0),"udc","-")</f>
        <v>-</v>
      </c>
      <c r="G37" s="49" t="str">
        <f>IFERROR(IF(AND(booking!AB37&gt;0,booking!H37&lt;&gt;booking!I37),VLOOKUP(booking!I37,Database!$A$1:'Database'!$L$175,6,FALSE),"-"),"-")</f>
        <v>-</v>
      </c>
      <c r="H37" s="53" t="str">
        <f>IF(AND(booking!L37&lt;&gt;booking!M37,booking!L37&gt;0),"udc","-")</f>
        <v>udc</v>
      </c>
      <c r="I37" s="49" t="str">
        <f>IFERROR(IF(AND(booking!AB37&gt;0,booking!L37&lt;&gt;booking!M37),VLOOKUP(booking!M37,Database!$A$1:'Database'!$L$175,6,FALSE),"-"),"-")</f>
        <v>-</v>
      </c>
      <c r="J37" s="53" t="str">
        <f>IF(AND(booking!P37&lt;&gt;booking!Q37,booking!P37&gt;0),"udc","-")</f>
        <v>-</v>
      </c>
      <c r="K37" s="49" t="str">
        <f>IFERROR(IF(AND(booking!AB37&gt;0,booking!P37&lt;&gt;booking!Q37),VLOOKUP(booking!Q37,Database!$A$1:'Database'!$L$175,6,FALSE),"-"),"-")</f>
        <v>-</v>
      </c>
      <c r="L37" s="53" t="str">
        <f>IF(AND(booking!T37&lt;&gt;booking!U37,booking!T37&gt;0),"udc","-")</f>
        <v>-</v>
      </c>
      <c r="M37" s="49" t="str">
        <f>IFERROR(IF(AND(booking!AB37&gt;0,booking!T37&lt;&gt;booking!U37),VLOOKUP(booking!U37,Database!$A$1:'Database'!$L$175,6,FALSE),"-"),"-")</f>
        <v>-</v>
      </c>
    </row>
    <row r="38" spans="1:13" ht="15" customHeight="1" thickBot="1" x14ac:dyDescent="0.4">
      <c r="A38" t="str">
        <f>booking!B38</f>
        <v>tirsdag</v>
      </c>
      <c r="B38" s="24">
        <f>booking!C38</f>
        <v>46175</v>
      </c>
      <c r="C38" s="2" t="str">
        <f>IF(booking!AC38&gt;0,"Y","-")</f>
        <v>-</v>
      </c>
      <c r="D38" s="53" t="str">
        <f>IF(AND(booking!D38&lt;&gt;booking!E38,booking!D38&gt;0),"udc","-")</f>
        <v>-</v>
      </c>
      <c r="E38" s="49" t="str">
        <f>IFERROR(IF(AND(booking!AB38&gt;0,booking!D38&lt;&gt;booking!E38),VLOOKUP(booking!E38,Database!$A$1:'Database'!$L$175,6,FALSE),"-"),"-")</f>
        <v>-</v>
      </c>
      <c r="F38" s="53" t="str">
        <f>IF(AND(booking!H38&lt;&gt;booking!I38,booking!H38&gt;0),"udc","-")</f>
        <v>-</v>
      </c>
      <c r="G38" s="49" t="str">
        <f>IFERROR(IF(AND(booking!AB38&gt;0,booking!H38&lt;&gt;booking!I38),VLOOKUP(booking!I38,Database!$A$1:'Database'!$L$175,6,FALSE),"-"),"-")</f>
        <v>-</v>
      </c>
      <c r="H38" s="53" t="str">
        <f>IF(AND(booking!L38&lt;&gt;booking!M38,booking!L38&gt;0),"udc","-")</f>
        <v>-</v>
      </c>
      <c r="I38" s="49" t="str">
        <f>IFERROR(IF(AND(booking!AB38&gt;0,booking!L38&lt;&gt;booking!M38),VLOOKUP(booking!M38,Database!$A$1:'Database'!$L$175,6,FALSE),"-"),"-")</f>
        <v>-</v>
      </c>
      <c r="J38" s="53" t="str">
        <f>IF(AND(booking!P38&lt;&gt;booking!Q38,booking!P38&gt;0),"udc","-")</f>
        <v>-</v>
      </c>
      <c r="K38" s="49" t="str">
        <f>IFERROR(IF(AND(booking!AB38&gt;0,booking!P38&lt;&gt;booking!Q38),VLOOKUP(booking!Q38,Database!$A$1:'Database'!$L$175,6,FALSE),"-"),"-")</f>
        <v>-</v>
      </c>
      <c r="L38" s="53" t="str">
        <f>IF(AND(booking!T38&lt;&gt;booking!U38,booking!T38&gt;0),"udc","-")</f>
        <v>-</v>
      </c>
      <c r="M38" s="49" t="str">
        <f>IFERROR(IF(AND(booking!AB38&gt;0,booking!T38&lt;&gt;booking!U38),VLOOKUP(booking!U38,Database!$A$1:'Database'!$L$175,6,FALSE),"-"),"-")</f>
        <v>DK</v>
      </c>
    </row>
    <row r="39" spans="1:13" ht="15" customHeight="1" thickBot="1" x14ac:dyDescent="0.4">
      <c r="A39" t="str">
        <f>booking!B39</f>
        <v>onsdag</v>
      </c>
      <c r="B39" s="24">
        <f>booking!C39</f>
        <v>46176</v>
      </c>
      <c r="C39" s="2" t="str">
        <f>IF(booking!AC39&gt;0,"Y","-")</f>
        <v>-</v>
      </c>
      <c r="D39" s="53" t="str">
        <f>IF(AND(booking!D39&lt;&gt;booking!E39,booking!D39&gt;0),"udc","-")</f>
        <v>-</v>
      </c>
      <c r="E39" s="49" t="str">
        <f>IFERROR(IF(AND(booking!AB39&gt;0,booking!D39&lt;&gt;booking!E39),VLOOKUP(booking!E39,Database!$A$1:'Database'!$L$175,6,FALSE),"-"),"-")</f>
        <v>-</v>
      </c>
      <c r="F39" s="53" t="str">
        <f>IF(AND(booking!H39&lt;&gt;booking!I39,booking!H39&gt;0),"udc","-")</f>
        <v>-</v>
      </c>
      <c r="G39" s="49" t="str">
        <f>IFERROR(IF(AND(booking!AB39&gt;0,booking!H39&lt;&gt;booking!I39),VLOOKUP(booking!I39,Database!$A$1:'Database'!$L$175,6,FALSE),"-"),"-")</f>
        <v>-</v>
      </c>
      <c r="H39" s="53" t="str">
        <f>IF(AND(booking!L39&lt;&gt;booking!M39,booking!L39&gt;0),"udc","-")</f>
        <v>-</v>
      </c>
      <c r="I39" s="49" t="str">
        <f>IFERROR(IF(AND(booking!AB39&gt;0,booking!L39&lt;&gt;booking!M39),VLOOKUP(booking!M39,Database!$A$1:'Database'!$L$175,6,FALSE),"-"),"-")</f>
        <v>DK</v>
      </c>
      <c r="J39" s="53" t="str">
        <f>IF(AND(booking!P39&lt;&gt;booking!Q39,booking!P39&gt;0),"udc","-")</f>
        <v>-</v>
      </c>
      <c r="K39" s="49" t="str">
        <f>IFERROR(IF(AND(booking!AB39&gt;0,booking!P39&lt;&gt;booking!Q39),VLOOKUP(booking!Q39,Database!$A$1:'Database'!$L$175,6,FALSE),"-"),"-")</f>
        <v>-</v>
      </c>
      <c r="L39" s="53" t="str">
        <f>IF(AND(booking!T39&lt;&gt;booking!U39,booking!T39&gt;0),"udc","-")</f>
        <v>-</v>
      </c>
      <c r="M39" s="49" t="str">
        <f>IFERROR(IF(AND(booking!AB39&gt;0,booking!T39&lt;&gt;booking!U39),VLOOKUP(booking!U39,Database!$A$1:'Database'!$L$175,6,FALSE),"-"),"-")</f>
        <v>-</v>
      </c>
    </row>
    <row r="40" spans="1:13" ht="15" customHeight="1" thickBot="1" x14ac:dyDescent="0.4">
      <c r="A40" t="str">
        <f>booking!B40</f>
        <v>torsdag</v>
      </c>
      <c r="B40" s="24">
        <f>booking!C40</f>
        <v>46177</v>
      </c>
      <c r="C40" s="2" t="str">
        <f>IF(booking!AC40&gt;0,"Y","-")</f>
        <v>-</v>
      </c>
      <c r="D40" s="53" t="str">
        <f>IF(AND(booking!D40&lt;&gt;booking!E40,booking!D40&gt;0),"udc","-")</f>
        <v>-</v>
      </c>
      <c r="E40" s="49" t="str">
        <f>IFERROR(IF(AND(booking!AB40&gt;0,booking!D40&lt;&gt;booking!E40),VLOOKUP(booking!E40,Database!$A$1:'Database'!$L$175,6,FALSE),"-"),"-")</f>
        <v>-</v>
      </c>
      <c r="F40" s="53" t="str">
        <f>IF(AND(booking!H40&lt;&gt;booking!I40,booking!H40&gt;0),"udc","-")</f>
        <v>-</v>
      </c>
      <c r="G40" s="49" t="str">
        <f>IFERROR(IF(AND(booking!AB40&gt;0,booking!H40&lt;&gt;booking!I40),VLOOKUP(booking!I40,Database!$A$1:'Database'!$L$175,6,FALSE),"-"),"-")</f>
        <v>-</v>
      </c>
      <c r="H40" s="53" t="str">
        <f>IF(AND(booking!L40&lt;&gt;booking!M40,booking!L40&gt;0),"udc","-")</f>
        <v>-</v>
      </c>
      <c r="I40" s="49" t="str">
        <f>IFERROR(IF(AND(booking!AB40&gt;0,booking!L40&lt;&gt;booking!M40),VLOOKUP(booking!M40,Database!$A$1:'Database'!$L$175,6,FALSE),"-"),"-")</f>
        <v>-</v>
      </c>
      <c r="J40" s="53" t="str">
        <f>IF(AND(booking!P40&lt;&gt;booking!Q40,booking!P40&gt;0),"udc","-")</f>
        <v>-</v>
      </c>
      <c r="K40" s="49" t="str">
        <f>IFERROR(IF(AND(booking!AB40&gt;0,booking!P40&lt;&gt;booking!Q40),VLOOKUP(booking!Q40,Database!$A$1:'Database'!$L$175,6,FALSE),"-"),"-")</f>
        <v>DK</v>
      </c>
      <c r="L40" s="53" t="str">
        <f>IF(AND(booking!T40&lt;&gt;booking!U40,booking!T40&gt;0),"udc","-")</f>
        <v>-</v>
      </c>
      <c r="M40" s="49" t="str">
        <f>IFERROR(IF(AND(booking!AB40&gt;0,booking!T40&lt;&gt;booking!U40),VLOOKUP(booking!U40,Database!$A$1:'Database'!$L$175,6,FALSE),"-"),"-")</f>
        <v>-</v>
      </c>
    </row>
    <row r="41" spans="1:13" ht="15" customHeight="1" thickBot="1" x14ac:dyDescent="0.4">
      <c r="A41" t="str">
        <f>booking!B41</f>
        <v>fredag</v>
      </c>
      <c r="B41" s="24">
        <f>booking!C41</f>
        <v>46178</v>
      </c>
      <c r="C41" s="2" t="str">
        <f>IF(booking!AC41&gt;0,"Y","-")</f>
        <v>Y</v>
      </c>
      <c r="D41" s="53" t="str">
        <f>IF(AND(booking!D41&lt;&gt;booking!E41,booking!D41&gt;0),"udc","-")</f>
        <v>udc</v>
      </c>
      <c r="E41" s="49" t="str">
        <f>IFERROR(IF(AND(booking!AB41&gt;0,booking!D41&lt;&gt;booking!E41),VLOOKUP(booking!E41,Database!$A$1:'Database'!$L$175,6,FALSE),"-"),"-")</f>
        <v>DK</v>
      </c>
      <c r="F41" s="53" t="str">
        <f>IF(AND(booking!H41&lt;&gt;booking!I41,booking!H41&gt;0),"udc","-")</f>
        <v>udc</v>
      </c>
      <c r="G41" s="49" t="str">
        <f>IFERROR(IF(AND(booking!AB41&gt;0,booking!H41&lt;&gt;booking!I41),VLOOKUP(booking!I41,Database!$A$1:'Database'!$L$175,6,FALSE),"-"),"-")</f>
        <v>DK</v>
      </c>
      <c r="H41" s="53" t="str">
        <f>IF(AND(booking!L41&lt;&gt;booking!M41,booking!L41&gt;0),"udc","-")</f>
        <v>-</v>
      </c>
      <c r="I41" s="49" t="str">
        <f>IFERROR(IF(AND(booking!AB41&gt;0,booking!L41&lt;&gt;booking!M41),VLOOKUP(booking!M41,Database!$A$1:'Database'!$L$175,6,FALSE),"-"),"-")</f>
        <v>-</v>
      </c>
      <c r="J41" s="53" t="str">
        <f>IF(AND(booking!P41&lt;&gt;booking!Q41,booking!P41&gt;0),"udc","-")</f>
        <v>-</v>
      </c>
      <c r="K41" s="49" t="str">
        <f>IFERROR(IF(AND(booking!AB41&gt;0,booking!P41&lt;&gt;booking!Q41),VLOOKUP(booking!Q41,Database!$A$1:'Database'!$L$175,6,FALSE),"-"),"-")</f>
        <v>-</v>
      </c>
      <c r="L41" s="53" t="str">
        <f>IF(AND(booking!T41&lt;&gt;booking!U41,booking!T41&gt;0),"udc","-")</f>
        <v>-</v>
      </c>
      <c r="M41" s="49" t="str">
        <f>IFERROR(IF(AND(booking!AB41&gt;0,booking!T41&lt;&gt;booking!U41),VLOOKUP(booking!U41,Database!$A$1:'Database'!$L$175,6,FALSE),"-"),"-")</f>
        <v>-</v>
      </c>
    </row>
    <row r="42" spans="1:13" ht="15" customHeight="1" thickBot="1" x14ac:dyDescent="0.4">
      <c r="A42" t="str">
        <f>booking!B42</f>
        <v>lørdag</v>
      </c>
      <c r="B42" s="24">
        <f>booking!C42</f>
        <v>46179</v>
      </c>
      <c r="C42" s="2" t="str">
        <f>IF(booking!AC42&gt;0,"Y","-")</f>
        <v>Y</v>
      </c>
      <c r="D42" s="53" t="str">
        <f>IF(AND(booking!D42&lt;&gt;booking!E42,booking!D42&gt;0),"udc","-")</f>
        <v>-</v>
      </c>
      <c r="E42" s="49" t="str">
        <f>IFERROR(IF(AND(booking!AB42&gt;0,booking!D42&lt;&gt;booking!E42),VLOOKUP(booking!E42,Database!$A$1:'Database'!$L$175,6,FALSE),"-"),"-")</f>
        <v>-</v>
      </c>
      <c r="F42" s="53" t="str">
        <f>IF(AND(booking!H42&lt;&gt;booking!I42,booking!H42&gt;0),"udc","-")</f>
        <v>-</v>
      </c>
      <c r="G42" s="49" t="str">
        <f>IFERROR(IF(AND(booking!AB42&gt;0,booking!H42&lt;&gt;booking!I42),VLOOKUP(booking!I42,Database!$A$1:'Database'!$L$175,6,FALSE),"-"),"-")</f>
        <v>-</v>
      </c>
      <c r="H42" s="53" t="str">
        <f>IF(AND(booking!L42&lt;&gt;booking!M42,booking!L42&gt;0),"udc","-")</f>
        <v>-</v>
      </c>
      <c r="I42" s="49" t="str">
        <f>IFERROR(IF(AND(booking!AB42&gt;0,booking!L42&lt;&gt;booking!M42),VLOOKUP(booking!M42,Database!$A$1:'Database'!$L$175,6,FALSE),"-"),"-")</f>
        <v>-</v>
      </c>
      <c r="J42" s="53" t="str">
        <f>IF(AND(booking!P42&lt;&gt;booking!Q42,booking!P42&gt;0),"udc","-")</f>
        <v>-</v>
      </c>
      <c r="K42" s="49" t="str">
        <f>IFERROR(IF(AND(booking!AB42&gt;0,booking!P42&lt;&gt;booking!Q42),VLOOKUP(booking!Q42,Database!$A$1:'Database'!$L$175,6,FALSE),"-"),"-")</f>
        <v>-</v>
      </c>
      <c r="L42" s="53" t="str">
        <f>IF(AND(booking!T42&lt;&gt;booking!U42,booking!T42&gt;0),"udc","-")</f>
        <v>udc</v>
      </c>
      <c r="M42" s="49" t="str">
        <f>IFERROR(IF(AND(booking!AB42&gt;0,booking!T42&lt;&gt;booking!U42),VLOOKUP(booking!U42,Database!$A$1:'Database'!$L$175,6,FALSE),"-"),"-")</f>
        <v>it</v>
      </c>
    </row>
    <row r="43" spans="1:13" ht="15" customHeight="1" thickBot="1" x14ac:dyDescent="0.4">
      <c r="A43" s="46" t="str">
        <f>booking!B43</f>
        <v>søndag</v>
      </c>
      <c r="B43" s="47">
        <f>booking!C43</f>
        <v>46180</v>
      </c>
      <c r="C43" s="48" t="str">
        <f>IF(booking!AC43&gt;0,"Y","-")</f>
        <v>Y</v>
      </c>
      <c r="D43" s="53" t="str">
        <f>IF(AND(booking!D43&lt;&gt;booking!E43,booking!D43&gt;0),"udc","-")</f>
        <v>-</v>
      </c>
      <c r="E43" s="49" t="str">
        <f>IFERROR(IF(AND(booking!AB43&gt;0,booking!D43&lt;&gt;booking!E43),VLOOKUP(booking!E43,Database!$A$1:'Database'!$L$175,6,FALSE),"-"),"-")</f>
        <v>-</v>
      </c>
      <c r="F43" s="53" t="str">
        <f>IF(AND(booking!H43&lt;&gt;booking!I43,booking!H43&gt;0),"udc","-")</f>
        <v>udc</v>
      </c>
      <c r="G43" s="49" t="str">
        <f>IFERROR(IF(AND(booking!AB43&gt;0,booking!H43&lt;&gt;booking!I43),VLOOKUP(booking!I43,Database!$A$1:'Database'!$L$175,6,FALSE),"-"),"-")</f>
        <v>-</v>
      </c>
      <c r="H43" s="53" t="str">
        <f>IF(AND(booking!L43&lt;&gt;booking!M43,booking!L43&gt;0),"udc","-")</f>
        <v>-</v>
      </c>
      <c r="I43" s="49" t="str">
        <f>IFERROR(IF(AND(booking!AB43&gt;0,booking!L43&lt;&gt;booking!M43),VLOOKUP(booking!M43,Database!$A$1:'Database'!$L$175,6,FALSE),"-"),"-")</f>
        <v>-</v>
      </c>
      <c r="J43" s="53" t="str">
        <f>IF(AND(booking!P43&lt;&gt;booking!Q43,booking!P43&gt;0),"udc","-")</f>
        <v>udc</v>
      </c>
      <c r="K43" s="49" t="str">
        <f>IFERROR(IF(AND(booking!AB43&gt;0,booking!P43&lt;&gt;booking!Q43),VLOOKUP(booking!Q43,Database!$A$1:'Database'!$L$175,6,FALSE),"-"),"-")</f>
        <v>-</v>
      </c>
      <c r="L43" s="53" t="str">
        <f>IF(AND(booking!T43&lt;&gt;booking!U43,booking!T43&gt;0),"udc","-")</f>
        <v>-</v>
      </c>
      <c r="M43" s="49" t="str">
        <f>IFERROR(IF(AND(booking!AB43&gt;0,booking!T43&lt;&gt;booking!U43),VLOOKUP(booking!U43,Database!$A$1:'Database'!$L$175,6,FALSE),"-"),"-")</f>
        <v>-</v>
      </c>
    </row>
    <row r="44" spans="1:13" ht="15" customHeight="1" thickBot="1" x14ac:dyDescent="0.4">
      <c r="A44" t="str">
        <f>booking!B44</f>
        <v>mandag</v>
      </c>
      <c r="B44" s="24">
        <f>booking!C44</f>
        <v>46181</v>
      </c>
      <c r="C44" s="2" t="str">
        <f>IF(booking!AC44&gt;0,"Y","-")</f>
        <v>-</v>
      </c>
      <c r="D44" s="53" t="str">
        <f>IF(AND(booking!D44&lt;&gt;booking!E44,booking!D44&gt;0),"udc","-")</f>
        <v>-</v>
      </c>
      <c r="E44" s="49" t="str">
        <f>IFERROR(IF(AND(booking!AB44&gt;0,booking!D44&lt;&gt;booking!E44),VLOOKUP(booking!E44,Database!$A$1:'Database'!$L$175,6,FALSE),"-"),"-")</f>
        <v>-</v>
      </c>
      <c r="F44" s="53" t="str">
        <f>IF(AND(booking!H44&lt;&gt;booking!I44,booking!H44&gt;0),"udc","-")</f>
        <v>-</v>
      </c>
      <c r="G44" s="49" t="str">
        <f>IFERROR(IF(AND(booking!AB44&gt;0,booking!H44&lt;&gt;booking!I44),VLOOKUP(booking!I44,Database!$A$1:'Database'!$L$175,6,FALSE),"-"),"-")</f>
        <v>DK</v>
      </c>
      <c r="H44" s="53" t="str">
        <f>IF(AND(booking!L44&lt;&gt;booking!M44,booking!L44&gt;0),"udc","-")</f>
        <v>-</v>
      </c>
      <c r="I44" s="49" t="str">
        <f>IFERROR(IF(AND(booking!AB44&gt;0,booking!L44&lt;&gt;booking!M44),VLOOKUP(booking!M44,Database!$A$1:'Database'!$L$175,6,FALSE),"-"),"-")</f>
        <v>-</v>
      </c>
      <c r="J44" s="53" t="str">
        <f>IF(AND(booking!P44&lt;&gt;booking!Q44,booking!P44&gt;0),"udc","-")</f>
        <v>-</v>
      </c>
      <c r="K44" s="49" t="str">
        <f>IFERROR(IF(AND(booking!AB44&gt;0,booking!P44&lt;&gt;booking!Q44),VLOOKUP(booking!Q44,Database!$A$1:'Database'!$L$175,6,FALSE),"-"),"-")</f>
        <v>DK</v>
      </c>
      <c r="L44" s="53" t="str">
        <f>IF(AND(booking!T44&lt;&gt;booking!U44,booking!T44&gt;0),"udc","-")</f>
        <v>-</v>
      </c>
      <c r="M44" s="49" t="str">
        <f>IFERROR(IF(AND(booking!AB44&gt;0,booking!T44&lt;&gt;booking!U44),VLOOKUP(booking!U44,Database!$A$1:'Database'!$L$175,6,FALSE),"-"),"-")</f>
        <v>-</v>
      </c>
    </row>
    <row r="45" spans="1:13" ht="15" customHeight="1" thickBot="1" x14ac:dyDescent="0.4">
      <c r="A45" t="str">
        <f>booking!B45</f>
        <v>tirsdag</v>
      </c>
      <c r="B45" s="24">
        <f>booking!C45</f>
        <v>46182</v>
      </c>
      <c r="C45" s="2" t="str">
        <f>IF(booking!AC45&gt;0,"Y","-")</f>
        <v>Y</v>
      </c>
      <c r="D45" s="53" t="str">
        <f>IF(AND(booking!D45&lt;&gt;booking!E45,booking!D45&gt;0),"udc","-")</f>
        <v>udc</v>
      </c>
      <c r="E45" s="49" t="str">
        <f>IFERROR(IF(AND(booking!AB45&gt;0,booking!D45&lt;&gt;booking!E45),VLOOKUP(booking!E45,Database!$A$1:'Database'!$L$175,6,FALSE),"-"),"-")</f>
        <v>DK</v>
      </c>
      <c r="F45" s="53" t="str">
        <f>IF(AND(booking!H45&lt;&gt;booking!I45,booking!H45&gt;0),"udc","-")</f>
        <v>-</v>
      </c>
      <c r="G45" s="49" t="str">
        <f>IFERROR(IF(AND(booking!AB45&gt;0,booking!H45&lt;&gt;booking!I45),VLOOKUP(booking!I45,Database!$A$1:'Database'!$L$175,6,FALSE),"-"),"-")</f>
        <v>-</v>
      </c>
      <c r="H45" s="53" t="e">
        <f>IF(AND(booking!L45&lt;&gt;booking!#REF!,booking!L45&gt;0),"udc","-")</f>
        <v>#REF!</v>
      </c>
      <c r="I45" s="49" t="str">
        <f>IFERROR(IF(AND(booking!AB45&gt;0,booking!L45&lt;&gt;booking!#REF!),VLOOKUP(booking!#REF!,Database!$A$1:'Database'!$L$175,6,FALSE),"-"),"-")</f>
        <v>-</v>
      </c>
      <c r="J45" s="53" t="str">
        <f>IF(AND(booking!P45&lt;&gt;booking!Q45,booking!P45&gt;0),"udc","-")</f>
        <v>-</v>
      </c>
      <c r="K45" s="49" t="str">
        <f>IFERROR(IF(AND(booking!AB45&gt;0,booking!P45&lt;&gt;booking!Q45),VLOOKUP(booking!Q45,Database!$A$1:'Database'!$L$175,6,FALSE),"-"),"-")</f>
        <v>-</v>
      </c>
      <c r="L45" s="53" t="str">
        <f>IF(AND(booking!T45&lt;&gt;booking!U45,booking!T45&gt;0),"udc","-")</f>
        <v>udc</v>
      </c>
      <c r="M45" s="49" t="str">
        <f>IFERROR(IF(AND(booking!AB45&gt;0,booking!T45&lt;&gt;booking!U45),VLOOKUP(booking!U45,Database!$A$1:'Database'!$L$175,6,FALSE),"-"),"-")</f>
        <v>DK</v>
      </c>
    </row>
    <row r="46" spans="1:13" ht="15" customHeight="1" thickBot="1" x14ac:dyDescent="0.4">
      <c r="A46" t="str">
        <f>booking!B46</f>
        <v>onsdag</v>
      </c>
      <c r="B46" s="24">
        <f>booking!C46</f>
        <v>46183</v>
      </c>
      <c r="C46" s="2" t="str">
        <f>IF(booking!AC46&gt;0,"Y","-")</f>
        <v>-</v>
      </c>
      <c r="D46" s="53" t="str">
        <f>IF(AND(booking!D46&lt;&gt;booking!E46,booking!D46&gt;0),"udc","-")</f>
        <v>-</v>
      </c>
      <c r="E46" s="49" t="str">
        <f>IFERROR(IF(AND(booking!AB46&gt;0,booking!D46&lt;&gt;booking!E46),VLOOKUP(booking!E46,Database!$A$1:'Database'!$L$175,6,FALSE),"-"),"-")</f>
        <v>-</v>
      </c>
      <c r="F46" s="53" t="str">
        <f>IF(AND(booking!H46&lt;&gt;booking!I46,booking!H46&gt;0),"udc","-")</f>
        <v>-</v>
      </c>
      <c r="G46" s="49" t="str">
        <f>IFERROR(IF(AND(booking!AB46&gt;0,booking!H46&lt;&gt;booking!I46),VLOOKUP(booking!I46,Database!$A$1:'Database'!$L$175,6,FALSE),"-"),"-")</f>
        <v>-</v>
      </c>
      <c r="H46" s="53" t="str">
        <f>IF(AND(booking!L46&lt;&gt;booking!M45,booking!L46&gt;0),"udc","-")</f>
        <v>-</v>
      </c>
      <c r="I46" s="49" t="str">
        <f>IFERROR(IF(AND(booking!AB46&gt;0,booking!L46&lt;&gt;booking!M45),VLOOKUP(booking!M45,Database!$A$1:'Database'!$L$175,6,FALSE),"-"),"-")</f>
        <v>-</v>
      </c>
      <c r="J46" s="53" t="str">
        <f>IF(AND(booking!P46&lt;&gt;booking!Q46,booking!P46&gt;0),"udc","-")</f>
        <v>-</v>
      </c>
      <c r="K46" s="49" t="str">
        <f>IFERROR(IF(AND(booking!AB46&gt;0,booking!P46&lt;&gt;booking!Q46),VLOOKUP(booking!Q46,Database!$A$1:'Database'!$L$175,6,FALSE),"-"),"-")</f>
        <v>-</v>
      </c>
      <c r="L46" s="53" t="str">
        <f>IF(AND(booking!T46&lt;&gt;booking!U46,booking!T46&gt;0),"udc","-")</f>
        <v>-</v>
      </c>
      <c r="M46" s="49" t="str">
        <f>IFERROR(IF(AND(booking!AB46&gt;0,booking!T46&lt;&gt;booking!U46),VLOOKUP(booking!U46,Database!$A$1:'Database'!$L$175,6,FALSE),"-"),"-")</f>
        <v>-</v>
      </c>
    </row>
    <row r="47" spans="1:13" ht="15" customHeight="1" thickBot="1" x14ac:dyDescent="0.4">
      <c r="A47" t="str">
        <f>booking!B47</f>
        <v>torsdag</v>
      </c>
      <c r="B47" s="24">
        <f>booking!C47</f>
        <v>46184</v>
      </c>
      <c r="C47" s="2" t="str">
        <f>IF(booking!AC47&gt;0,"Y","-")</f>
        <v>-</v>
      </c>
      <c r="D47" s="53" t="str">
        <f>IF(AND(booking!D47&lt;&gt;booking!E47,booking!D47&gt;0),"udc","-")</f>
        <v>-</v>
      </c>
      <c r="E47" s="49" t="str">
        <f>IFERROR(IF(AND(booking!AB47&gt;0,booking!D47&lt;&gt;booking!E47),VLOOKUP(booking!E47,Database!$A$1:'Database'!$L$175,6,FALSE),"-"),"-")</f>
        <v>-</v>
      </c>
      <c r="F47" s="53" t="str">
        <f>IF(AND(booking!H47&lt;&gt;booking!I47,booking!H47&gt;0),"udc","-")</f>
        <v>-</v>
      </c>
      <c r="G47" s="49" t="str">
        <f>IFERROR(IF(AND(booking!AB47&gt;0,booking!H47&lt;&gt;booking!I47),VLOOKUP(booking!I47,Database!$A$1:'Database'!$L$175,6,FALSE),"-"),"-")</f>
        <v>-</v>
      </c>
      <c r="H47" s="53" t="str">
        <f>IF(AND(booking!L47&lt;&gt;booking!M47,booking!L47&gt;0),"udc","-")</f>
        <v>-</v>
      </c>
      <c r="I47" s="49" t="str">
        <f>IFERROR(IF(AND(booking!AB47&gt;0,booking!L47&lt;&gt;booking!M47),VLOOKUP(booking!M47,Database!$A$1:'Database'!$L$175,6,FALSE),"-"),"-")</f>
        <v>-</v>
      </c>
      <c r="J47" s="53" t="str">
        <f>IF(AND(booking!P47&lt;&gt;booking!Q47,booking!P47&gt;0),"udc","-")</f>
        <v>-</v>
      </c>
      <c r="K47" s="49" t="str">
        <f>IFERROR(IF(AND(booking!AB47&gt;0,booking!P47&lt;&gt;booking!Q47),VLOOKUP(booking!Q47,Database!$A$1:'Database'!$L$175,6,FALSE),"-"),"-")</f>
        <v>-</v>
      </c>
      <c r="L47" s="53" t="str">
        <f>IF(AND(booking!T47&lt;&gt;booking!U47,booking!T47&gt;0),"udc","-")</f>
        <v>-</v>
      </c>
      <c r="M47" s="49" t="str">
        <f>IFERROR(IF(AND(booking!AB47&gt;0,booking!T47&lt;&gt;booking!U47),VLOOKUP(booking!U47,Database!$A$1:'Database'!$L$175,6,FALSE),"-"),"-")</f>
        <v>-</v>
      </c>
    </row>
    <row r="48" spans="1:13" ht="15" customHeight="1" thickBot="1" x14ac:dyDescent="0.4">
      <c r="A48" t="str">
        <f>booking!B48</f>
        <v>fredag</v>
      </c>
      <c r="B48" s="24">
        <f>booking!C48</f>
        <v>46185</v>
      </c>
      <c r="C48" s="2" t="str">
        <f>IF(booking!AC48&gt;0,"Y","-")</f>
        <v>-</v>
      </c>
      <c r="D48" s="53" t="str">
        <f>IF(AND(booking!D48&lt;&gt;booking!E48,booking!D48&gt;0),"udc","-")</f>
        <v>-</v>
      </c>
      <c r="E48" s="49" t="str">
        <f>IFERROR(IF(AND(booking!AB48&gt;0,booking!D48&lt;&gt;booking!E48),VLOOKUP(booking!E48,Database!$A$1:'Database'!$L$175,6,FALSE),"-"),"-")</f>
        <v>-</v>
      </c>
      <c r="F48" s="53" t="str">
        <f>IF(AND(booking!H48&lt;&gt;booking!I48,booking!H48&gt;0),"udc","-")</f>
        <v>-</v>
      </c>
      <c r="G48" s="49" t="str">
        <f>IFERROR(IF(AND(booking!AB48&gt;0,booking!H48&lt;&gt;booking!I48),VLOOKUP(booking!I48,Database!$A$1:'Database'!$L$175,6,FALSE),"-"),"-")</f>
        <v>-</v>
      </c>
      <c r="H48" s="53" t="str">
        <f>IF(AND(booking!L48&lt;&gt;booking!M48,booking!L48&gt;0),"udc","-")</f>
        <v>-</v>
      </c>
      <c r="I48" s="49" t="str">
        <f>IFERROR(IF(AND(booking!AB48&gt;0,booking!L48&lt;&gt;booking!M48),VLOOKUP(booking!M48,Database!$A$1:'Database'!$L$175,6,FALSE),"-"),"-")</f>
        <v>-</v>
      </c>
      <c r="J48" s="53" t="str">
        <f>IF(AND(booking!P48&lt;&gt;booking!Q48,booking!P48&gt;0),"udc","-")</f>
        <v>-</v>
      </c>
      <c r="K48" s="49" t="str">
        <f>IFERROR(IF(AND(booking!AB48&gt;0,booking!P48&lt;&gt;booking!Q48),VLOOKUP(booking!Q48,Database!$A$1:'Database'!$L$175,6,FALSE),"-"),"-")</f>
        <v>-</v>
      </c>
      <c r="L48" s="53" t="str">
        <f>IF(AND(booking!T48&lt;&gt;booking!U48,booking!T48&gt;0),"udc","-")</f>
        <v>-</v>
      </c>
      <c r="M48" s="49" t="str">
        <f>IFERROR(IF(AND(booking!AB48&gt;0,booking!T48&lt;&gt;booking!U48),VLOOKUP(booking!U48,Database!$A$1:'Database'!$L$175,6,FALSE),"-"),"-")</f>
        <v>-</v>
      </c>
    </row>
    <row r="49" spans="1:13" ht="15" customHeight="1" thickBot="1" x14ac:dyDescent="0.4">
      <c r="A49" t="str">
        <f>booking!B49</f>
        <v>lørdag</v>
      </c>
      <c r="B49" s="24">
        <f>booking!C49</f>
        <v>46186</v>
      </c>
      <c r="C49" s="2" t="str">
        <f>IF(booking!AC49&gt;0,"Y","-")</f>
        <v>-</v>
      </c>
      <c r="D49" s="53" t="str">
        <f>IF(AND(booking!D49&lt;&gt;booking!E49,booking!D49&gt;0),"udc","-")</f>
        <v>-</v>
      </c>
      <c r="E49" s="49" t="str">
        <f>IFERROR(IF(AND(booking!AB49&gt;0,booking!D49&lt;&gt;booking!E49),VLOOKUP(booking!E49,Database!$A$1:'Database'!$L$175,6,FALSE),"-"),"-")</f>
        <v>-</v>
      </c>
      <c r="F49" s="53" t="str">
        <f>IF(AND(booking!H49&lt;&gt;booking!I49,booking!H49&gt;0),"udc","-")</f>
        <v>-</v>
      </c>
      <c r="G49" s="49" t="str">
        <f>IFERROR(IF(AND(booking!AB49&gt;0,booking!H49&lt;&gt;booking!I49),VLOOKUP(booking!I49,Database!$A$1:'Database'!$L$175,6,FALSE),"-"),"-")</f>
        <v>-</v>
      </c>
      <c r="H49" s="53" t="str">
        <f>IF(AND(booking!L49&lt;&gt;booking!M49,booking!L49&gt;0),"udc","-")</f>
        <v>-</v>
      </c>
      <c r="I49" s="49" t="str">
        <f>IFERROR(IF(AND(booking!AB49&gt;0,booking!L49&lt;&gt;booking!M49),VLOOKUP(booking!M49,Database!$A$1:'Database'!$L$175,6,FALSE),"-"),"-")</f>
        <v>-</v>
      </c>
      <c r="J49" s="53" t="str">
        <f>IF(AND(booking!P49&lt;&gt;booking!Q49,booking!P49&gt;0),"udc","-")</f>
        <v>-</v>
      </c>
      <c r="K49" s="49" t="str">
        <f>IFERROR(IF(AND(booking!AB49&gt;0,booking!P49&lt;&gt;booking!Q49),VLOOKUP(booking!Q49,Database!$A$1:'Database'!$L$175,6,FALSE),"-"),"-")</f>
        <v>-</v>
      </c>
      <c r="L49" s="53" t="str">
        <f>IF(AND(booking!T49&lt;&gt;booking!U49,booking!T49&gt;0),"udc","-")</f>
        <v>-</v>
      </c>
      <c r="M49" s="49" t="str">
        <f>IFERROR(IF(AND(booking!AB49&gt;0,booking!T49&lt;&gt;booking!U49),VLOOKUP(booking!U49,Database!$A$1:'Database'!$L$175,6,FALSE),"-"),"-")</f>
        <v>-</v>
      </c>
    </row>
    <row r="50" spans="1:13" ht="15" customHeight="1" thickBot="1" x14ac:dyDescent="0.4">
      <c r="A50" s="46" t="str">
        <f>booking!B50</f>
        <v>søndag</v>
      </c>
      <c r="B50" s="47">
        <f>booking!C50</f>
        <v>46187</v>
      </c>
      <c r="C50" s="48" t="str">
        <f>IF(booking!AC50&gt;0,"Y","-")</f>
        <v>Y</v>
      </c>
      <c r="D50" s="53" t="str">
        <f>IF(AND(booking!D50&lt;&gt;booking!E50,booking!D50&gt;0),"udc","-")</f>
        <v>-</v>
      </c>
      <c r="E50" s="49" t="str">
        <f>IFERROR(IF(AND(booking!AB50&gt;0,booking!D50&lt;&gt;booking!E50),VLOOKUP(booking!E50,Database!$A$1:'Database'!$L$175,6,FALSE),"-"),"-")</f>
        <v>-</v>
      </c>
      <c r="F50" s="53" t="str">
        <f>IF(AND(booking!H50&lt;&gt;booking!I50,booking!H50&gt;0),"udc","-")</f>
        <v>-</v>
      </c>
      <c r="G50" s="49" t="str">
        <f>IFERROR(IF(AND(booking!AB50&gt;0,booking!H50&lt;&gt;booking!I50),VLOOKUP(booking!I50,Database!$A$1:'Database'!$L$175,6,FALSE),"-"),"-")</f>
        <v>-</v>
      </c>
      <c r="H50" s="53" t="str">
        <f>IF(AND(booking!L50&lt;&gt;booking!M50,booking!L50&gt;0),"udc","-")</f>
        <v>udc</v>
      </c>
      <c r="I50" s="49" t="str">
        <f>IFERROR(IF(AND(booking!AB50&gt;0,booking!L50&lt;&gt;booking!M50),VLOOKUP(booking!M50,Database!$A$1:'Database'!$L$175,6,FALSE),"-"),"-")</f>
        <v>DK</v>
      </c>
      <c r="J50" s="53" t="str">
        <f>IF(AND(booking!P50&lt;&gt;booking!Q50,booking!P50&gt;0),"udc","-")</f>
        <v>-</v>
      </c>
      <c r="K50" s="49" t="str">
        <f>IFERROR(IF(AND(booking!AB50&gt;0,booking!P50&lt;&gt;booking!Q50),VLOOKUP(booking!Q50,Database!$A$1:'Database'!$L$175,6,FALSE),"-"),"-")</f>
        <v>-</v>
      </c>
      <c r="L50" s="53" t="str">
        <f>IF(AND(booking!T50&lt;&gt;booking!U50,booking!T50&gt;0),"udc","-")</f>
        <v>-</v>
      </c>
      <c r="M50" s="49" t="str">
        <f>IFERROR(IF(AND(booking!AB50&gt;0,booking!T50&lt;&gt;booking!U50),VLOOKUP(booking!U50,Database!$A$1:'Database'!$L$175,6,FALSE),"-"),"-")</f>
        <v>-</v>
      </c>
    </row>
    <row r="51" spans="1:13" ht="15" customHeight="1" thickBot="1" x14ac:dyDescent="0.4">
      <c r="A51" t="str">
        <f>booking!B51</f>
        <v>mandag</v>
      </c>
      <c r="B51" s="24">
        <f>booking!C51</f>
        <v>46188</v>
      </c>
      <c r="C51" s="2" t="str">
        <f>IF(booking!AC51&gt;0,"Y","-")</f>
        <v>Y</v>
      </c>
      <c r="D51" s="53" t="str">
        <f>IF(AND(booking!D51&lt;&gt;booking!E51,booking!D51&gt;0),"udc","-")</f>
        <v>udc</v>
      </c>
      <c r="E51" s="49" t="str">
        <f>IFERROR(IF(AND(booking!AB51&gt;0,booking!D51&lt;&gt;booking!E51),VLOOKUP(booking!E51,Database!$A$1:'Database'!$L$175,6,FALSE),"-"),"-")</f>
        <v>-</v>
      </c>
      <c r="F51" s="53" t="str">
        <f>IF(AND(booking!H51&lt;&gt;booking!I51,booking!H51&gt;0),"udc","-")</f>
        <v>udc</v>
      </c>
      <c r="G51" s="49" t="str">
        <f>IFERROR(IF(AND(booking!AB51&gt;0,booking!H51&lt;&gt;booking!I51),VLOOKUP(booking!I51,Database!$A$1:'Database'!$L$175,6,FALSE),"-"),"-")</f>
        <v>-</v>
      </c>
      <c r="H51" s="53" t="str">
        <f>IF(AND(booking!L51&lt;&gt;booking!M51,booking!L51&gt;0),"udc","-")</f>
        <v>-</v>
      </c>
      <c r="I51" s="49" t="str">
        <f>IFERROR(IF(AND(booking!AB51&gt;0,booking!L51&lt;&gt;booking!M51),VLOOKUP(booking!M51,Database!$A$1:'Database'!$L$175,6,FALSE),"-"),"-")</f>
        <v>-</v>
      </c>
      <c r="J51" s="53" t="str">
        <f>IF(AND(booking!P51&lt;&gt;booking!Q51,booking!P51&gt;0),"udc","-")</f>
        <v>udc</v>
      </c>
      <c r="K51" s="49" t="str">
        <f>IFERROR(IF(AND(booking!AB51&gt;0,booking!P51&lt;&gt;booking!Q51),VLOOKUP(booking!Q51,Database!$A$1:'Database'!$L$175,6,FALSE),"-"),"-")</f>
        <v>DK</v>
      </c>
      <c r="L51" s="53" t="str">
        <f>IF(AND(booking!T51&lt;&gt;booking!U51,booking!T51&gt;0),"udc","-")</f>
        <v>udc</v>
      </c>
      <c r="M51" s="49" t="str">
        <f>IFERROR(IF(AND(booking!AB51&gt;0,booking!T51&lt;&gt;booking!U51),VLOOKUP(booking!U51,Database!$A$1:'Database'!$L$175,6,FALSE),"-"),"-")</f>
        <v>D</v>
      </c>
    </row>
    <row r="52" spans="1:13" ht="15" customHeight="1" thickBot="1" x14ac:dyDescent="0.4">
      <c r="A52" t="str">
        <f>booking!B52</f>
        <v>tirsdag</v>
      </c>
      <c r="B52" s="24">
        <f>booking!C52</f>
        <v>46189</v>
      </c>
      <c r="C52" s="2" t="str">
        <f>IF(booking!AC52&gt;0,"Y","-")</f>
        <v>-</v>
      </c>
      <c r="D52" s="53" t="str">
        <f>IF(AND(booking!D52&lt;&gt;booking!E52,booking!D52&gt;0),"udc","-")</f>
        <v>-</v>
      </c>
      <c r="E52" s="49" t="str">
        <f>IFERROR(IF(AND(booking!AB52&gt;0,booking!D52&lt;&gt;booking!E52),VLOOKUP(booking!E52,Database!$A$1:'Database'!$L$175,6,FALSE),"-"),"-")</f>
        <v>-</v>
      </c>
      <c r="F52" s="53" t="str">
        <f>IF(AND(booking!H52&lt;&gt;booking!I52,booking!H52&gt;0),"udc","-")</f>
        <v>-</v>
      </c>
      <c r="G52" s="49" t="str">
        <f>IFERROR(IF(AND(booking!AB52&gt;0,booking!H52&lt;&gt;booking!I52),VLOOKUP(booking!I52,Database!$A$1:'Database'!$L$175,6,FALSE),"-"),"-")</f>
        <v>-</v>
      </c>
      <c r="H52" s="53" t="str">
        <f>IF(AND(booking!L52&lt;&gt;booking!M52,booking!L52&gt;0),"udc","-")</f>
        <v>-</v>
      </c>
      <c r="I52" s="49" t="str">
        <f>IFERROR(IF(AND(booking!AB52&gt;0,booking!L52&lt;&gt;booking!M52),VLOOKUP(booking!M52,Database!$A$1:'Database'!$L$175,6,FALSE),"-"),"-")</f>
        <v>-</v>
      </c>
      <c r="J52" s="53" t="str">
        <f>IF(AND(booking!P52&lt;&gt;booking!Q52,booking!P52&gt;0),"udc","-")</f>
        <v>-</v>
      </c>
      <c r="K52" s="49" t="str">
        <f>IFERROR(IF(AND(booking!AB52&gt;0,booking!P52&lt;&gt;booking!Q52),VLOOKUP(booking!Q52,Database!$A$1:'Database'!$L$175,6,FALSE),"-"),"-")</f>
        <v>-</v>
      </c>
      <c r="L52" s="53" t="str">
        <f>IF(AND(booking!T52&lt;&gt;booking!U52,booking!T52&gt;0),"udc","-")</f>
        <v>-</v>
      </c>
      <c r="M52" s="49" t="str">
        <f>IFERROR(IF(AND(booking!AB52&gt;0,booking!T52&lt;&gt;booking!U52),VLOOKUP(booking!U52,Database!$A$1:'Database'!$L$175,6,FALSE),"-"),"-")</f>
        <v>-</v>
      </c>
    </row>
    <row r="53" spans="1:13" ht="15" customHeight="1" thickBot="1" x14ac:dyDescent="0.4">
      <c r="A53" t="str">
        <f>booking!B53</f>
        <v>onsdag</v>
      </c>
      <c r="B53" s="24">
        <f>booking!C53</f>
        <v>46190</v>
      </c>
      <c r="C53" s="2" t="str">
        <f>IF(booking!AC53&gt;0,"Y","-")</f>
        <v>-</v>
      </c>
      <c r="D53" s="53" t="str">
        <f>IF(AND(booking!D53&lt;&gt;booking!E53,booking!D53&gt;0),"udc","-")</f>
        <v>-</v>
      </c>
      <c r="E53" s="49" t="str">
        <f>IFERROR(IF(AND(booking!AB53&gt;0,booking!D53&lt;&gt;booking!E53),VLOOKUP(booking!E53,Database!$A$1:'Database'!$L$175,6,FALSE),"-"),"-")</f>
        <v>DK</v>
      </c>
      <c r="F53" s="53" t="str">
        <f>IF(AND(booking!H53&lt;&gt;booking!I53,booking!H53&gt;0),"udc","-")</f>
        <v>-</v>
      </c>
      <c r="G53" s="49" t="str">
        <f>IFERROR(IF(AND(booking!AB53&gt;0,booking!H53&lt;&gt;booking!I53),VLOOKUP(booking!I53,Database!$A$1:'Database'!$L$175,6,FALSE),"-"),"-")</f>
        <v>-</v>
      </c>
      <c r="H53" s="53" t="str">
        <f>IF(AND(booking!L53&lt;&gt;booking!M53,booking!L53&gt;0),"udc","-")</f>
        <v>-</v>
      </c>
      <c r="I53" s="49" t="str">
        <f>IFERROR(IF(AND(booking!AB53&gt;0,booking!L53&lt;&gt;booking!M53),VLOOKUP(booking!M53,Database!$A$1:'Database'!$L$175,6,FALSE),"-"),"-")</f>
        <v>-</v>
      </c>
      <c r="J53" s="53" t="str">
        <f>IF(AND(booking!P53&lt;&gt;booking!Q53,booking!P53&gt;0),"udc","-")</f>
        <v>-</v>
      </c>
      <c r="K53" s="49" t="str">
        <f>IFERROR(IF(AND(booking!AB53&gt;0,booking!P53&lt;&gt;booking!Q53),VLOOKUP(booking!Q53,Database!$A$1:'Database'!$L$175,6,FALSE),"-"),"-")</f>
        <v>-</v>
      </c>
      <c r="L53" s="53" t="str">
        <f>IF(AND(booking!T53&lt;&gt;booking!U53,booking!T53&gt;0),"udc","-")</f>
        <v>-</v>
      </c>
      <c r="M53" s="49" t="str">
        <f>IFERROR(IF(AND(booking!AB53&gt;0,booking!T53&lt;&gt;booking!U53),VLOOKUP(booking!U53,Database!$A$1:'Database'!$L$175,6,FALSE),"-"),"-")</f>
        <v>-</v>
      </c>
    </row>
    <row r="54" spans="1:13" ht="15" customHeight="1" thickBot="1" x14ac:dyDescent="0.4">
      <c r="A54" t="str">
        <f>booking!B54</f>
        <v>torsdag</v>
      </c>
      <c r="B54" s="24">
        <f>booking!C54</f>
        <v>46191</v>
      </c>
      <c r="C54" s="2" t="str">
        <f>IF(booking!AC54&gt;0,"Y","-")</f>
        <v>Y</v>
      </c>
      <c r="D54" s="53" t="str">
        <f>IF(AND(booking!D54&lt;&gt;booking!E54,booking!D54&gt;0),"udc","-")</f>
        <v>-</v>
      </c>
      <c r="E54" s="49" t="str">
        <f>IFERROR(IF(AND(booking!AB54&gt;0,booking!D54&lt;&gt;booking!E54),VLOOKUP(booking!E54,Database!$A$1:'Database'!$L$175,6,FALSE),"-"),"-")</f>
        <v>-</v>
      </c>
      <c r="F54" s="53" t="str">
        <f>IF(AND(booking!H54&lt;&gt;booking!I54,booking!H54&gt;0),"udc","-")</f>
        <v>-</v>
      </c>
      <c r="G54" s="49" t="str">
        <f>IFERROR(IF(AND(booking!AB54&gt;0,booking!H54&lt;&gt;booking!I54),VLOOKUP(booking!I54,Database!$A$1:'Database'!$L$175,6,FALSE),"-"),"-")</f>
        <v>-</v>
      </c>
      <c r="H54" s="53" t="str">
        <f>IF(AND(booking!L54&lt;&gt;booking!M54,booking!L54&gt;0),"udc","-")</f>
        <v>udc</v>
      </c>
      <c r="I54" s="49" t="str">
        <f>IFERROR(IF(AND(booking!AB54&gt;0,booking!L54&lt;&gt;booking!M54),VLOOKUP(booking!M54,Database!$A$1:'Database'!$L$175,6,FALSE),"-"),"-")</f>
        <v>-</v>
      </c>
      <c r="J54" s="53" t="str">
        <f>IF(AND(booking!P54&lt;&gt;booking!Q54,booking!P54&gt;0),"udc","-")</f>
        <v>-</v>
      </c>
      <c r="K54" s="49" t="str">
        <f>IFERROR(IF(AND(booking!AB54&gt;0,booking!P54&lt;&gt;booking!Q54),VLOOKUP(booking!Q54,Database!$A$1:'Database'!$L$175,6,FALSE),"-"),"-")</f>
        <v>-</v>
      </c>
      <c r="L54" s="53" t="str">
        <f>IF(AND(booking!T54&lt;&gt;booking!U54,booking!T54&gt;0),"udc","-")</f>
        <v>-</v>
      </c>
      <c r="M54" s="49" t="str">
        <f>IFERROR(IF(AND(booking!AB54&gt;0,booking!T54&lt;&gt;booking!U54),VLOOKUP(booking!U54,Database!$A$1:'Database'!$L$175,6,FALSE),"-"),"-")</f>
        <v>-</v>
      </c>
    </row>
    <row r="55" spans="1:13" ht="15" customHeight="1" thickBot="1" x14ac:dyDescent="0.4">
      <c r="A55" t="str">
        <f>booking!B55</f>
        <v>fredag</v>
      </c>
      <c r="B55" s="24">
        <f>booking!C55</f>
        <v>46192</v>
      </c>
      <c r="C55" s="2" t="str">
        <f>IF(booking!AC55&gt;0,"Y","-")</f>
        <v>-</v>
      </c>
      <c r="D55" s="53" t="str">
        <f>IF(AND(booking!D55&lt;&gt;booking!E55,booking!D55&gt;0),"udc","-")</f>
        <v>-</v>
      </c>
      <c r="E55" s="49" t="str">
        <f>IFERROR(IF(AND(booking!AB55&gt;0,booking!D55&lt;&gt;booking!E55),VLOOKUP(booking!E55,Database!$A$1:'Database'!$L$175,6,FALSE),"-"),"-")</f>
        <v>-</v>
      </c>
      <c r="F55" s="53" t="str">
        <f>IF(AND(booking!H55&lt;&gt;booking!I55,booking!H55&gt;0),"udc","-")</f>
        <v>-</v>
      </c>
      <c r="G55" s="49" t="str">
        <f>IFERROR(IF(AND(booking!AB55&gt;0,booking!H55&lt;&gt;booking!I55),VLOOKUP(booking!I55,Database!$A$1:'Database'!$L$175,6,FALSE),"-"),"-")</f>
        <v>D</v>
      </c>
      <c r="H55" s="53" t="str">
        <f>IF(AND(booking!L55&lt;&gt;booking!M55,booking!L55&gt;0),"udc","-")</f>
        <v>-</v>
      </c>
      <c r="I55" s="49" t="str">
        <f>IFERROR(IF(AND(booking!AB55&gt;0,booking!L55&lt;&gt;booking!M55),VLOOKUP(booking!M55,Database!$A$1:'Database'!$L$175,6,FALSE),"-"),"-")</f>
        <v>DK</v>
      </c>
      <c r="J55" s="53" t="str">
        <f>IF(AND(booking!P55&lt;&gt;booking!Q55,booking!P55&gt;0),"udc","-")</f>
        <v>-</v>
      </c>
      <c r="K55" s="49" t="str">
        <f>IFERROR(IF(AND(booking!AB55&gt;0,booking!P55&lt;&gt;booking!Q55),VLOOKUP(booking!Q55,Database!$A$1:'Database'!$L$175,6,FALSE),"-"),"-")</f>
        <v>-</v>
      </c>
      <c r="L55" s="53" t="str">
        <f>IF(AND(booking!T55&lt;&gt;booking!U55,booking!T55&gt;0),"udc","-")</f>
        <v>-</v>
      </c>
      <c r="M55" s="49" t="str">
        <f>IFERROR(IF(AND(booking!AB55&gt;0,booking!T55&lt;&gt;booking!U55),VLOOKUP(booking!U55,Database!$A$1:'Database'!$L$175,6,FALSE),"-"),"-")</f>
        <v>-</v>
      </c>
    </row>
    <row r="56" spans="1:13" ht="15" customHeight="1" thickBot="1" x14ac:dyDescent="0.4">
      <c r="A56" t="str">
        <f>booking!B56</f>
        <v>lørdag</v>
      </c>
      <c r="B56" s="24">
        <f>booking!C56</f>
        <v>46193</v>
      </c>
      <c r="C56" s="2" t="str">
        <f>IF(booking!AC56&gt;0,"Y","-")</f>
        <v>Y</v>
      </c>
      <c r="D56" s="53" t="str">
        <f>IF(AND(booking!D56&lt;&gt;booking!E56,booking!D56&gt;0),"udc","-")</f>
        <v>-</v>
      </c>
      <c r="E56" s="49" t="str">
        <f>IFERROR(IF(AND(booking!AB56&gt;0,booking!D56&lt;&gt;booking!E56),VLOOKUP(booking!E56,Database!$A$1:'Database'!$L$175,6,FALSE),"-"),"-")</f>
        <v>-</v>
      </c>
      <c r="F56" s="53" t="str">
        <f>IF(AND(booking!H56&lt;&gt;booking!I56,booking!H56&gt;0),"udc","-")</f>
        <v>-</v>
      </c>
      <c r="G56" s="49" t="str">
        <f>IFERROR(IF(AND(booking!AB56&gt;0,booking!H56&lt;&gt;booking!I56),VLOOKUP(booking!I56,Database!$A$1:'Database'!$L$175,6,FALSE),"-"),"-")</f>
        <v>-</v>
      </c>
      <c r="H56" s="53" t="str">
        <f>IF(AND(booking!L56&lt;&gt;booking!M56,booking!L56&gt;0),"udc","-")</f>
        <v>-</v>
      </c>
      <c r="I56" s="49" t="str">
        <f>IFERROR(IF(AND(booking!AB56&gt;0,booking!L56&lt;&gt;booking!M56),VLOOKUP(booking!M56,Database!$A$1:'Database'!$L$175,6,FALSE),"-"),"-")</f>
        <v>-</v>
      </c>
      <c r="J56" s="53" t="str">
        <f>IF(AND(booking!P56&lt;&gt;booking!Q56,booking!P56&gt;0),"udc","-")</f>
        <v>udc</v>
      </c>
      <c r="K56" s="49" t="str">
        <f>IFERROR(IF(AND(booking!AB56&gt;0,booking!P56&lt;&gt;booking!Q56),VLOOKUP(booking!Q56,Database!$A$1:'Database'!$L$175,6,FALSE),"-"),"-")</f>
        <v>-</v>
      </c>
      <c r="L56" s="53" t="str">
        <f>IF(AND(booking!T56&lt;&gt;booking!U56,booking!T56&gt;0),"udc","-")</f>
        <v>-</v>
      </c>
      <c r="M56" s="49" t="str">
        <f>IFERROR(IF(AND(booking!AB56&gt;0,booking!T56&lt;&gt;booking!U56),VLOOKUP(booking!U56,Database!$A$1:'Database'!$L$175,6,FALSE),"-"),"-")</f>
        <v>-</v>
      </c>
    </row>
    <row r="57" spans="1:13" ht="15" customHeight="1" thickBot="1" x14ac:dyDescent="0.4">
      <c r="A57" s="46" t="str">
        <f>booking!B57</f>
        <v>søndag</v>
      </c>
      <c r="B57" s="47">
        <f>booking!C57</f>
        <v>46194</v>
      </c>
      <c r="C57" s="48" t="str">
        <f>IF(booking!AC57&gt;0,"Y","-")</f>
        <v>Y</v>
      </c>
      <c r="D57" s="53" t="str">
        <f>IF(AND(booking!D57&lt;&gt;booking!E57,booking!D57&gt;0),"udc","-")</f>
        <v>-</v>
      </c>
      <c r="E57" s="49" t="str">
        <f>IFERROR(IF(AND(booking!AB57&gt;0,booking!D57&lt;&gt;booking!E57),VLOOKUP(booking!E57,Database!$A$1:'Database'!$L$175,6,FALSE),"-"),"-")</f>
        <v>-</v>
      </c>
      <c r="F57" s="53" t="str">
        <f>IF(AND(booking!H57&lt;&gt;booking!I57,booking!H57&gt;0),"udc","-")</f>
        <v>-</v>
      </c>
      <c r="G57" s="49" t="str">
        <f>IFERROR(IF(AND(booking!AB57&gt;0,booking!H57&lt;&gt;booking!I57),VLOOKUP(booking!I57,Database!$A$1:'Database'!$L$175,6,FALSE),"-"),"-")</f>
        <v>-</v>
      </c>
      <c r="H57" s="53" t="str">
        <f>IF(AND(booking!L57&lt;&gt;booking!M57,booking!L57&gt;0),"udc","-")</f>
        <v>udc</v>
      </c>
      <c r="I57" s="49" t="str">
        <f>IFERROR(IF(AND(booking!AB57&gt;0,booking!L57&lt;&gt;booking!M57),VLOOKUP(booking!M57,Database!$A$1:'Database'!$L$175,6,FALSE),"-"),"-")</f>
        <v>-</v>
      </c>
      <c r="J57" s="53" t="str">
        <f>IF(AND(booking!P57&lt;&gt;booking!Q57,booking!P57&gt;0),"udc","-")</f>
        <v>-</v>
      </c>
      <c r="K57" s="49" t="str">
        <f>IFERROR(IF(AND(booking!AB57&gt;0,booking!P57&lt;&gt;booking!Q57),VLOOKUP(booking!Q57,Database!$A$1:'Database'!$L$175,6,FALSE),"-"),"-")</f>
        <v>-</v>
      </c>
      <c r="L57" s="53" t="str">
        <f>IF(AND(booking!T57&lt;&gt;booking!U57,booking!T57&gt;0),"udc","-")</f>
        <v>-</v>
      </c>
      <c r="M57" s="49" t="str">
        <f>IFERROR(IF(AND(booking!AB57&gt;0,booking!T57&lt;&gt;booking!U57),VLOOKUP(booking!U57,Database!$A$1:'Database'!$L$175,6,FALSE),"-"),"-")</f>
        <v>-</v>
      </c>
    </row>
    <row r="58" spans="1:13" ht="15" customHeight="1" thickBot="1" x14ac:dyDescent="0.4">
      <c r="A58" t="str">
        <f>booking!B58</f>
        <v>mandag</v>
      </c>
      <c r="B58" s="24">
        <f>booking!C58</f>
        <v>46195</v>
      </c>
      <c r="C58" s="2" t="str">
        <f>IF(booking!AC58&gt;0,"Y","-")</f>
        <v>Y</v>
      </c>
      <c r="D58" s="53" t="str">
        <f>IF(AND(booking!D58&lt;&gt;booking!E58,booking!D58&gt;0),"udc","-")</f>
        <v>udc</v>
      </c>
      <c r="E58" s="49" t="str">
        <f>IFERROR(IF(AND(booking!AB58&gt;0,booking!D58&lt;&gt;booking!E58),VLOOKUP(booking!E58,Database!$A$1:'Database'!$L$175,6,FALSE),"-"),"-")</f>
        <v>-</v>
      </c>
      <c r="F58" s="53" t="str">
        <f>IF(AND(booking!H58&lt;&gt;booking!I58,booking!H58&gt;0),"udc","-")</f>
        <v>udc</v>
      </c>
      <c r="G58" s="49" t="str">
        <f>IFERROR(IF(AND(booking!AB58&gt;0,booking!H58&lt;&gt;booking!I58),VLOOKUP(booking!I58,Database!$A$1:'Database'!$L$175,6,FALSE),"-"),"-")</f>
        <v>DK</v>
      </c>
      <c r="H58" s="53" t="str">
        <f>IF(AND(booking!L58&lt;&gt;booking!M58,booking!L58&gt;0),"udc","-")</f>
        <v>-</v>
      </c>
      <c r="I58" s="49" t="str">
        <f>IFERROR(IF(AND(booking!AB58&gt;0,booking!L58&lt;&gt;booking!M58),VLOOKUP(booking!M58,Database!$A$1:'Database'!$L$175,6,FALSE),"-"),"-")</f>
        <v>-</v>
      </c>
      <c r="J58" s="53" t="str">
        <f>IF(AND(booking!P58&lt;&gt;booking!Q58,booking!P58&gt;0),"udc","-")</f>
        <v>-</v>
      </c>
      <c r="K58" s="49" t="str">
        <f>IFERROR(IF(AND(booking!AB58&gt;0,booking!P58&lt;&gt;booking!Q58),VLOOKUP(booking!Q58,Database!$A$1:'Database'!$L$175,6,FALSE),"-"),"-")</f>
        <v>DK</v>
      </c>
      <c r="L58" s="53" t="str">
        <f>IF(AND(booking!T58&lt;&gt;booking!U58,booking!T58&gt;0),"udc","-")</f>
        <v>udc</v>
      </c>
      <c r="M58" s="49" t="str">
        <f>IFERROR(IF(AND(booking!AB58&gt;0,booking!T58&lt;&gt;booking!U58),VLOOKUP(booking!U58,Database!$A$1:'Database'!$L$175,6,FALSE),"-"),"-")</f>
        <v>-</v>
      </c>
    </row>
    <row r="59" spans="1:13" ht="15" customHeight="1" thickBot="1" x14ac:dyDescent="0.4">
      <c r="A59" t="str">
        <f>booking!B59</f>
        <v>tirsdag</v>
      </c>
      <c r="B59" s="24">
        <f>booking!C59</f>
        <v>46196</v>
      </c>
      <c r="C59" s="2" t="str">
        <f>IF(booking!AC59&gt;0,"Y","-")</f>
        <v>-</v>
      </c>
      <c r="D59" s="53" t="str">
        <f>IF(AND(booking!D59&lt;&gt;booking!E59,booking!D59&gt;0),"udc","-")</f>
        <v>-</v>
      </c>
      <c r="E59" s="49" t="str">
        <f>IFERROR(IF(AND(booking!AB59&gt;0,booking!D59&lt;&gt;booking!E59),VLOOKUP(booking!E59,Database!$A$1:'Database'!$L$175,6,FALSE),"-"),"-")</f>
        <v>-</v>
      </c>
      <c r="F59" s="53" t="str">
        <f>IF(AND(booking!H59&lt;&gt;booking!I59,booking!H59&gt;0),"udc","-")</f>
        <v>-</v>
      </c>
      <c r="G59" s="49" t="str">
        <f>IFERROR(IF(AND(booking!AB59&gt;0,booking!H59&lt;&gt;booking!I59),VLOOKUP(booking!I59,Database!$A$1:'Database'!$L$175,6,FALSE),"-"),"-")</f>
        <v>-</v>
      </c>
      <c r="H59" s="53" t="str">
        <f>IF(AND(booking!L59&lt;&gt;booking!M59,booking!L59&gt;0),"udc","-")</f>
        <v>-</v>
      </c>
      <c r="I59" s="49" t="str">
        <f>IFERROR(IF(AND(booking!AB59&gt;0,booking!L59&lt;&gt;booking!M59),VLOOKUP(booking!M59,Database!$A$1:'Database'!$L$175,6,FALSE),"-"),"-")</f>
        <v>-</v>
      </c>
      <c r="J59" s="53" t="str">
        <f>IF(AND(booking!P59&lt;&gt;booking!Q59,booking!P59&gt;0),"udc","-")</f>
        <v>-</v>
      </c>
      <c r="K59" s="49" t="str">
        <f>IFERROR(IF(AND(booking!AB59&gt;0,booking!P59&lt;&gt;booking!Q59),VLOOKUP(booking!Q59,Database!$A$1:'Database'!$L$175,6,FALSE),"-"),"-")</f>
        <v>-</v>
      </c>
      <c r="L59" s="53" t="str">
        <f>IF(AND(booking!T59&lt;&gt;booking!U59,booking!T59&gt;0),"udc","-")</f>
        <v>-</v>
      </c>
      <c r="M59" s="49" t="str">
        <f>IFERROR(IF(AND(booking!AB59&gt;0,booking!T59&lt;&gt;booking!U59),VLOOKUP(booking!U59,Database!$A$1:'Database'!$L$175,6,FALSE),"-"),"-")</f>
        <v>-</v>
      </c>
    </row>
    <row r="60" spans="1:13" ht="15" customHeight="1" thickBot="1" x14ac:dyDescent="0.4">
      <c r="A60" t="str">
        <f>booking!B60</f>
        <v>onsdag</v>
      </c>
      <c r="B60" s="24">
        <f>booking!C60</f>
        <v>46197</v>
      </c>
      <c r="C60" s="2" t="str">
        <f>IF(booking!AC60&gt;0,"Y","-")</f>
        <v>-</v>
      </c>
      <c r="D60" s="53" t="str">
        <f>IF(AND(booking!D60&lt;&gt;booking!E60,booking!D60&gt;0),"udc","-")</f>
        <v>-</v>
      </c>
      <c r="E60" s="49" t="str">
        <f>IFERROR(IF(AND(booking!AB60&gt;0,booking!D60&lt;&gt;booking!E60),VLOOKUP(booking!E60,Database!$A$1:'Database'!$L$175,6,FALSE),"-"),"-")</f>
        <v>-</v>
      </c>
      <c r="F60" s="53" t="str">
        <f>IF(AND(booking!H60&lt;&gt;booking!I60,booking!H60&gt;0),"udc","-")</f>
        <v>-</v>
      </c>
      <c r="G60" s="49" t="str">
        <f>IFERROR(IF(AND(booking!AB60&gt;0,booking!H60&lt;&gt;booking!I60),VLOOKUP(booking!I60,Database!$A$1:'Database'!$L$175,6,FALSE),"-"),"-")</f>
        <v>-</v>
      </c>
      <c r="H60" s="53" t="str">
        <f>IF(AND(booking!L60&lt;&gt;booking!M60,booking!L60&gt;0),"udc","-")</f>
        <v>-</v>
      </c>
      <c r="I60" s="49" t="str">
        <f>IFERROR(IF(AND(booking!AB60&gt;0,booking!L60&lt;&gt;booking!M60),VLOOKUP(booking!M60,Database!$A$1:'Database'!$L$175,6,FALSE),"-"),"-")</f>
        <v>-</v>
      </c>
      <c r="J60" s="53" t="str">
        <f>IF(AND(booking!P60&lt;&gt;booking!Q60,booking!P60&gt;0),"udc","-")</f>
        <v>-</v>
      </c>
      <c r="K60" s="49" t="str">
        <f>IFERROR(IF(AND(booking!AB60&gt;0,booking!P60&lt;&gt;booking!Q60),VLOOKUP(booking!Q60,Database!$A$1:'Database'!$L$175,6,FALSE),"-"),"-")</f>
        <v>-</v>
      </c>
      <c r="L60" s="53" t="str">
        <f>IF(AND(booking!T60&lt;&gt;booking!U60,booking!T60&gt;0),"udc","-")</f>
        <v>-</v>
      </c>
      <c r="M60" s="49" t="str">
        <f>IFERROR(IF(AND(booking!AB60&gt;0,booking!T60&lt;&gt;booking!U60),VLOOKUP(booking!U60,Database!$A$1:'Database'!$L$175,6,FALSE),"-"),"-")</f>
        <v>-</v>
      </c>
    </row>
    <row r="61" spans="1:13" ht="15" customHeight="1" thickBot="1" x14ac:dyDescent="0.4">
      <c r="A61" t="str">
        <f>booking!B61</f>
        <v>torsdag</v>
      </c>
      <c r="B61" s="24">
        <f>booking!C61</f>
        <v>46198</v>
      </c>
      <c r="C61" s="2" t="str">
        <f>IF(booking!AC61&gt;0,"Y","-")</f>
        <v>Y</v>
      </c>
      <c r="D61" s="53" t="str">
        <f>IF(AND(booking!D61&lt;&gt;booking!E61,booking!D61&gt;0),"udc","-")</f>
        <v>-</v>
      </c>
      <c r="E61" s="49" t="str">
        <f>IFERROR(IF(AND(booking!AB61&gt;0,booking!D61&lt;&gt;booking!E61),VLOOKUP(booking!E61,Database!$A$1:'Database'!$L$175,6,FALSE),"-"),"-")</f>
        <v>-</v>
      </c>
      <c r="F61" s="53" t="str">
        <f>IF(AND(booking!H61&lt;&gt;booking!I61,booking!H61&gt;0),"udc","-")</f>
        <v>-</v>
      </c>
      <c r="G61" s="49" t="str">
        <f>IFERROR(IF(AND(booking!AB61&gt;0,booking!H61&lt;&gt;booking!I61),VLOOKUP(booking!I61,Database!$A$1:'Database'!$L$175,6,FALSE),"-"),"-")</f>
        <v>-</v>
      </c>
      <c r="H61" s="53" t="str">
        <f>IF(AND(booking!L61&lt;&gt;booking!M61,booking!L61&gt;0),"udc","-")</f>
        <v>-</v>
      </c>
      <c r="I61" s="49" t="str">
        <f>IFERROR(IF(AND(booking!AB61&gt;0,booking!L61&lt;&gt;booking!M61),VLOOKUP(booking!M61,Database!$A$1:'Database'!$L$175,6,FALSE),"-"),"-")</f>
        <v>D</v>
      </c>
      <c r="J61" s="53" t="str">
        <f>IF(AND(booking!P61&lt;&gt;booking!Q61,booking!P61&gt;0),"udc","-")</f>
        <v>udc</v>
      </c>
      <c r="K61" s="49" t="str">
        <f>IFERROR(IF(AND(booking!AB61&gt;0,booking!P61&lt;&gt;booking!Q61),VLOOKUP(booking!Q61,Database!$A$1:'Database'!$L$175,6,FALSE),"-"),"-")</f>
        <v>S</v>
      </c>
      <c r="L61" s="53" t="str">
        <f>IF(AND(booking!T61&lt;&gt;booking!U61,booking!T61&gt;0),"udc","-")</f>
        <v>-</v>
      </c>
      <c r="M61" s="49" t="str">
        <f>IFERROR(IF(AND(booking!AB61&gt;0,booking!T61&lt;&gt;booking!U61),VLOOKUP(booking!U61,Database!$A$1:'Database'!$L$175,6,FALSE),"-"),"-")</f>
        <v>-</v>
      </c>
    </row>
    <row r="62" spans="1:13" ht="15" customHeight="1" thickBot="1" x14ac:dyDescent="0.4">
      <c r="A62" t="str">
        <f>booking!B62</f>
        <v>fredag</v>
      </c>
      <c r="B62" s="24">
        <f>booking!C62</f>
        <v>46199</v>
      </c>
      <c r="C62" s="2" t="str">
        <f>IF(booking!AC62&gt;0,"Y","-")</f>
        <v>Y</v>
      </c>
      <c r="D62" s="53" t="str">
        <f>IF(AND(booking!D62&lt;&gt;booking!E62,booking!D62&gt;0),"udc","-")</f>
        <v>-</v>
      </c>
      <c r="E62" s="49" t="str">
        <f>IFERROR(IF(AND(booking!AB62&gt;0,booking!D62&lt;&gt;booking!E62),VLOOKUP(booking!E62,Database!$A$1:'Database'!$L$175,6,FALSE),"-"),"-")</f>
        <v>D</v>
      </c>
      <c r="F62" s="53" t="str">
        <f>IF(AND(booking!H62&lt;&gt;booking!I62,booking!H62&gt;0),"udc","-")</f>
        <v>udc</v>
      </c>
      <c r="G62" s="49" t="str">
        <f>IFERROR(IF(AND(booking!AB62&gt;0,booking!H62&lt;&gt;booking!I62),VLOOKUP(booking!I62,Database!$A$1:'Database'!$L$175,6,FALSE),"-"),"-")</f>
        <v>D</v>
      </c>
      <c r="H62" s="53" t="str">
        <f>IF(AND(booking!L62&lt;&gt;booking!M62,booking!L62&gt;0),"udc","-")</f>
        <v>-</v>
      </c>
      <c r="I62" s="49" t="str">
        <f>IFERROR(IF(AND(booking!AB62&gt;0,booking!L62&lt;&gt;booking!M62),VLOOKUP(booking!M62,Database!$A$1:'Database'!$L$175,6,FALSE),"-"),"-")</f>
        <v>-</v>
      </c>
      <c r="J62" s="53" t="str">
        <f>IF(AND(booking!P62&lt;&gt;booking!Q62,booking!P62&gt;0),"udc","-")</f>
        <v>-</v>
      </c>
      <c r="K62" s="49" t="str">
        <f>IFERROR(IF(AND(booking!AB62&gt;0,booking!P62&lt;&gt;booking!Q62),VLOOKUP(booking!Q62,Database!$A$1:'Database'!$L$175,6,FALSE),"-"),"-")</f>
        <v>-</v>
      </c>
      <c r="L62" s="53" t="str">
        <f>IF(AND(booking!T62&lt;&gt;booking!U62,booking!T62&gt;0),"udc","-")</f>
        <v>-</v>
      </c>
      <c r="M62" s="49" t="str">
        <f>IFERROR(IF(AND(booking!AB62&gt;0,booking!T62&lt;&gt;booking!U62),VLOOKUP(booking!U62,Database!$A$1:'Database'!$L$175,6,FALSE),"-"),"-")</f>
        <v>-</v>
      </c>
    </row>
    <row r="63" spans="1:13" ht="15" customHeight="1" thickBot="1" x14ac:dyDescent="0.4">
      <c r="A63" t="str">
        <f>booking!B63</f>
        <v>lørdag</v>
      </c>
      <c r="B63" s="24">
        <f>booking!C63</f>
        <v>46200</v>
      </c>
      <c r="C63" s="2" t="str">
        <f>IF(booking!AC63&gt;0,"Y","-")</f>
        <v>-</v>
      </c>
      <c r="D63" s="53" t="str">
        <f>IF(AND(booking!D63&lt;&gt;booking!E63,booking!D63&gt;0),"udc","-")</f>
        <v>-</v>
      </c>
      <c r="E63" s="49" t="str">
        <f>IFERROR(IF(AND(booking!AB63&gt;0,booking!D63&lt;&gt;booking!E63),VLOOKUP(booking!E63,Database!$A$1:'Database'!$L$175,6,FALSE),"-"),"-")</f>
        <v>-</v>
      </c>
      <c r="F63" s="53" t="str">
        <f>IF(AND(booking!H63&lt;&gt;booking!I63,booking!H63&gt;0),"udc","-")</f>
        <v>-</v>
      </c>
      <c r="G63" s="49" t="str">
        <f>IFERROR(IF(AND(booking!AB63&gt;0,booking!H63&lt;&gt;booking!I63),VLOOKUP(booking!I63,Database!$A$1:'Database'!$L$175,6,FALSE),"-"),"-")</f>
        <v>-</v>
      </c>
      <c r="H63" s="53" t="str">
        <f>IF(AND(booking!L63&lt;&gt;booking!M63,booking!L63&gt;0),"udc","-")</f>
        <v>-</v>
      </c>
      <c r="I63" s="49" t="str">
        <f>IFERROR(IF(AND(booking!AB63&gt;0,booking!L63&lt;&gt;booking!M63),VLOOKUP(booking!M63,Database!$A$1:'Database'!$L$175,6,FALSE),"-"),"-")</f>
        <v>-</v>
      </c>
      <c r="J63" s="53" t="str">
        <f>IF(AND(booking!P63&lt;&gt;booking!Q63,booking!P63&gt;0),"udc","-")</f>
        <v>-</v>
      </c>
      <c r="K63" s="49" t="str">
        <f>IFERROR(IF(AND(booking!AB63&gt;0,booking!P63&lt;&gt;booking!Q63),VLOOKUP(booking!Q63,Database!$A$1:'Database'!$L$175,6,FALSE),"-"),"-")</f>
        <v>-</v>
      </c>
      <c r="L63" s="53" t="str">
        <f>IF(AND(booking!T63&lt;&gt;booking!U63,booking!T63&gt;0),"udc","-")</f>
        <v>-</v>
      </c>
      <c r="M63" s="49" t="str">
        <f>IFERROR(IF(AND(booking!AB63&gt;0,booking!T63&lt;&gt;booking!U63),VLOOKUP(booking!U63,Database!$A$1:'Database'!$L$175,6,FALSE),"-"),"-")</f>
        <v>DK</v>
      </c>
    </row>
    <row r="64" spans="1:13" ht="15" customHeight="1" thickBot="1" x14ac:dyDescent="0.4">
      <c r="A64" s="46" t="str">
        <f>booking!B64</f>
        <v>søndag</v>
      </c>
      <c r="B64" s="47">
        <f>booking!C64</f>
        <v>46201</v>
      </c>
      <c r="C64" s="48" t="str">
        <f>IF(booking!AC64&gt;0,"Y","-")</f>
        <v>Y</v>
      </c>
      <c r="D64" s="53" t="str">
        <f>IF(AND(booking!D64&lt;&gt;booking!E64,booking!D64&gt;0),"udc","-")</f>
        <v>-</v>
      </c>
      <c r="E64" s="49" t="str">
        <f>IFERROR(IF(AND(booking!AB64&gt;0,booking!D64&lt;&gt;booking!E64),VLOOKUP(booking!E64,Database!$A$1:'Database'!$L$175,6,FALSE),"-"),"-")</f>
        <v>-</v>
      </c>
      <c r="F64" s="53" t="str">
        <f>IF(AND(booking!H64&lt;&gt;booking!I64,booking!H64&gt;0),"udc","-")</f>
        <v>-</v>
      </c>
      <c r="G64" s="49" t="str">
        <f>IFERROR(IF(AND(booking!AB64&gt;0,booking!H64&lt;&gt;booking!I64),VLOOKUP(booking!I64,Database!$A$1:'Database'!$L$175,6,FALSE),"-"),"-")</f>
        <v>-</v>
      </c>
      <c r="H64" s="53" t="str">
        <f>IF(AND(booking!L64&lt;&gt;booking!M64,booking!L64&gt;0),"udc","-")</f>
        <v>-</v>
      </c>
      <c r="I64" s="49" t="str">
        <f>IFERROR(IF(AND(booking!AB64&gt;0,booking!L64&lt;&gt;booking!M64),VLOOKUP(booking!M64,Database!$A$1:'Database'!$L$175,6,FALSE),"-"),"-")</f>
        <v>-</v>
      </c>
      <c r="J64" s="53" t="str">
        <f>IF(AND(booking!P64&lt;&gt;booking!Q64,booking!P64&gt;0),"udc","-")</f>
        <v>udc</v>
      </c>
      <c r="K64" s="49" t="str">
        <f>IFERROR(IF(AND(booking!AB64&gt;0,booking!P64&lt;&gt;booking!Q64),VLOOKUP(booking!Q64,Database!$A$1:'Database'!$L$175,6,FALSE),"-"),"-")</f>
        <v>-</v>
      </c>
      <c r="L64" s="53" t="str">
        <f>IF(AND(booking!T64&lt;&gt;booking!U64,booking!T64&gt;0),"udc","-")</f>
        <v>-</v>
      </c>
      <c r="M64" s="49" t="str">
        <f>IFERROR(IF(AND(booking!AB64&gt;0,booking!T64&lt;&gt;booking!U64),VLOOKUP(booking!U64,Database!$A$1:'Database'!$L$175,6,FALSE),"-"),"-")</f>
        <v>-</v>
      </c>
    </row>
    <row r="65" spans="1:13" ht="15" customHeight="1" thickBot="1" x14ac:dyDescent="0.4">
      <c r="A65" t="str">
        <f>booking!B65</f>
        <v>mandag</v>
      </c>
      <c r="B65" s="24">
        <f>booking!C65</f>
        <v>46202</v>
      </c>
      <c r="C65" s="2" t="str">
        <f>IF(booking!AC65&gt;0,"Y","-")</f>
        <v>Y</v>
      </c>
      <c r="D65" s="53" t="str">
        <f>IF(AND(booking!D65&lt;&gt;booking!E65,booking!D65&gt;0),"udc","-")</f>
        <v>udc</v>
      </c>
      <c r="E65" s="49" t="str">
        <f>IFERROR(IF(AND(booking!AB65&gt;0,booking!D65&lt;&gt;booking!E65),VLOOKUP(booking!E65,Database!$A$1:'Database'!$L$175,6,FALSE),"-"),"-")</f>
        <v>-</v>
      </c>
      <c r="F65" s="53" t="str">
        <f>IF(AND(booking!H65&lt;&gt;booking!I65,booking!H65&gt;0),"udc","-")</f>
        <v>udc</v>
      </c>
      <c r="G65" s="49" t="str">
        <f>IFERROR(IF(AND(booking!AB65&gt;0,booking!H65&lt;&gt;booking!I65),VLOOKUP(booking!I65,Database!$A$1:'Database'!$L$175,6,FALSE),"-"),"-")</f>
        <v>-</v>
      </c>
      <c r="H65" s="53" t="str">
        <f>IF(AND(booking!L65&lt;&gt;booking!M65,booking!L65&gt;0),"udc","-")</f>
        <v>-</v>
      </c>
      <c r="I65" s="49" t="str">
        <f>IFERROR(IF(AND(booking!AB65&gt;0,booking!L65&lt;&gt;booking!M65),VLOOKUP(booking!M65,Database!$A$1:'Database'!$L$175,6,FALSE),"-"),"-")</f>
        <v>-</v>
      </c>
      <c r="J65" s="53" t="str">
        <f>IF(AND(booking!P65&lt;&gt;booking!Q65,booking!P65&gt;0),"udc","-")</f>
        <v>-</v>
      </c>
      <c r="K65" s="49" t="str">
        <f>IFERROR(IF(AND(booking!AB65&gt;0,booking!P65&lt;&gt;booking!Q65),VLOOKUP(booking!Q65,Database!$A$1:'Database'!$L$175,6,FALSE),"-"),"-")</f>
        <v>DK</v>
      </c>
      <c r="L65" s="53" t="str">
        <f>IF(AND(booking!T65&lt;&gt;booking!U65,booking!T65&gt;0),"udc","-")</f>
        <v>-</v>
      </c>
      <c r="M65" s="49" t="str">
        <f>IFERROR(IF(AND(booking!AB65&gt;0,booking!T65&lt;&gt;booking!U65),VLOOKUP(booking!U65,Database!$A$1:'Database'!$L$175,6,FALSE),"-"),"-")</f>
        <v>-</v>
      </c>
    </row>
    <row r="66" spans="1:13" ht="15" customHeight="1" thickBot="1" x14ac:dyDescent="0.4">
      <c r="A66" t="str">
        <f>booking!B66</f>
        <v>tirsdag</v>
      </c>
      <c r="B66" s="24">
        <f>booking!C66</f>
        <v>46203</v>
      </c>
      <c r="C66" s="2" t="str">
        <f>IF(booking!AC66&gt;0,"Y","-")</f>
        <v>-</v>
      </c>
      <c r="D66" s="53" t="str">
        <f>IF(AND(booking!D66&lt;&gt;booking!E66,booking!D66&gt;0),"udc","-")</f>
        <v>-</v>
      </c>
      <c r="E66" s="49" t="str">
        <f>IFERROR(IF(AND(booking!AB66&gt;0,booking!D66&lt;&gt;booking!E66),VLOOKUP(booking!E66,Database!$A$1:'Database'!$L$175,6,FALSE),"-"),"-")</f>
        <v>-</v>
      </c>
      <c r="F66" s="53" t="str">
        <f>IF(AND(booking!H66&lt;&gt;booking!I66,booking!H66&gt;0),"udc","-")</f>
        <v>-</v>
      </c>
      <c r="G66" s="49" t="str">
        <f>IFERROR(IF(AND(booking!AB66&gt;0,booking!H66&lt;&gt;booking!I66),VLOOKUP(booking!I66,Database!$A$1:'Database'!$L$175,6,FALSE),"-"),"-")</f>
        <v>-</v>
      </c>
      <c r="H66" s="53" t="str">
        <f>IF(AND(booking!L66&lt;&gt;booking!M66,booking!L66&gt;0),"udc","-")</f>
        <v>-</v>
      </c>
      <c r="I66" s="49" t="str">
        <f>IFERROR(IF(AND(booking!AB66&gt;0,booking!L66&lt;&gt;booking!M66),VLOOKUP(booking!M66,Database!$A$1:'Database'!$L$175,6,FALSE),"-"),"-")</f>
        <v>-</v>
      </c>
      <c r="J66" s="53" t="str">
        <f>IF(AND(booking!P66&lt;&gt;booking!Q66,booking!P66&gt;0),"udc","-")</f>
        <v>-</v>
      </c>
      <c r="K66" s="49" t="str">
        <f>IFERROR(IF(AND(booking!AB66&gt;0,booking!P66&lt;&gt;booking!Q66),VLOOKUP(booking!Q66,Database!$A$1:'Database'!$L$175,6,FALSE),"-"),"-")</f>
        <v>-</v>
      </c>
      <c r="L66" s="53" t="str">
        <f>IF(AND(booking!T66&lt;&gt;booking!U66,booking!T66&gt;0),"udc","-")</f>
        <v>-</v>
      </c>
      <c r="M66" s="49" t="str">
        <f>IFERROR(IF(AND(booking!AB66&gt;0,booking!T66&lt;&gt;booking!U66),VLOOKUP(booking!U66,Database!$A$1:'Database'!$L$175,6,FALSE),"-"),"-")</f>
        <v>-</v>
      </c>
    </row>
    <row r="67" spans="1:13" ht="15" customHeight="1" thickBot="1" x14ac:dyDescent="0.4">
      <c r="A67" t="str">
        <f>booking!B67</f>
        <v>onsdag</v>
      </c>
      <c r="B67" s="24">
        <f>booking!C67</f>
        <v>46204</v>
      </c>
      <c r="C67" s="2" t="str">
        <f>IF(booking!AC67&gt;0,"Y","-")</f>
        <v>-</v>
      </c>
      <c r="D67" s="53" t="str">
        <f>IF(AND(booking!D67&lt;&gt;booking!E67,booking!D67&gt;0),"udc","-")</f>
        <v>-</v>
      </c>
      <c r="E67" s="49" t="str">
        <f>IFERROR(IF(AND(booking!AB67&gt;0,booking!D67&lt;&gt;booking!E67),VLOOKUP(booking!E67,Database!$A$1:'Database'!$L$175,6,FALSE),"-"),"-")</f>
        <v>-</v>
      </c>
      <c r="F67" s="53" t="str">
        <f>IF(AND(booking!H67&lt;&gt;booking!I67,booking!H67&gt;0),"udc","-")</f>
        <v>-</v>
      </c>
      <c r="G67" s="49" t="str">
        <f>IFERROR(IF(AND(booking!AB67&gt;0,booking!H67&lt;&gt;booking!I67),VLOOKUP(booking!I67,Database!$A$1:'Database'!$L$175,6,FALSE),"-"),"-")</f>
        <v>DK</v>
      </c>
      <c r="H67" s="53" t="str">
        <f>IF(AND(booking!L67&lt;&gt;booking!M67,booking!L67&gt;0),"udc","-")</f>
        <v>-</v>
      </c>
      <c r="I67" s="49" t="str">
        <f>IFERROR(IF(AND(booking!AB67&gt;0,booking!L67&lt;&gt;booking!M67),VLOOKUP(booking!M67,Database!$A$1:'Database'!$L$175,6,FALSE),"-"),"-")</f>
        <v>-</v>
      </c>
      <c r="J67" s="53" t="str">
        <f>IF(AND(booking!P67&lt;&gt;booking!Q67,booking!P67&gt;0),"udc","-")</f>
        <v>-</v>
      </c>
      <c r="K67" s="49" t="str">
        <f>IFERROR(IF(AND(booking!AB67&gt;0,booking!P67&lt;&gt;booking!Q67),VLOOKUP(booking!Q67,Database!$A$1:'Database'!$L$175,6,FALSE),"-"),"-")</f>
        <v>-</v>
      </c>
      <c r="L67" s="53" t="str">
        <f>IF(AND(booking!T67&lt;&gt;booking!U67,booking!T67&gt;0),"udc","-")</f>
        <v>-</v>
      </c>
      <c r="M67" s="49" t="str">
        <f>IFERROR(IF(AND(booking!AB67&gt;0,booking!T67&lt;&gt;booking!U67),VLOOKUP(booking!U67,Database!$A$1:'Database'!$L$175,6,FALSE),"-"),"-")</f>
        <v>-</v>
      </c>
    </row>
    <row r="68" spans="1:13" ht="15" customHeight="1" thickBot="1" x14ac:dyDescent="0.4">
      <c r="A68" t="str">
        <f>booking!B68</f>
        <v>torsdag</v>
      </c>
      <c r="B68" s="24">
        <f>booking!C68</f>
        <v>46205</v>
      </c>
      <c r="C68" s="2" t="str">
        <f>IF(booking!AC68&gt;0,"Y","-")</f>
        <v>-</v>
      </c>
      <c r="D68" s="53" t="str">
        <f>IF(AND(booking!D68&lt;&gt;booking!E68,booking!D68&gt;0),"udc","-")</f>
        <v>-</v>
      </c>
      <c r="E68" s="49" t="str">
        <f>IFERROR(IF(AND(booking!AB68&gt;0,booking!D68&lt;&gt;booking!E68),VLOOKUP(booking!E68,Database!$A$1:'Database'!$L$175,6,FALSE),"-"),"-")</f>
        <v>S</v>
      </c>
      <c r="F68" s="53" t="str">
        <f>IF(AND(booking!H68&lt;&gt;booking!I68,booking!H68&gt;0),"udc","-")</f>
        <v>-</v>
      </c>
      <c r="G68" s="49" t="str">
        <f>IFERROR(IF(AND(booking!AB68&gt;0,booking!H68&lt;&gt;booking!I68),VLOOKUP(booking!I68,Database!$A$1:'Database'!$L$175,6,FALSE),"-"),"-")</f>
        <v>-</v>
      </c>
      <c r="H68" s="53" t="str">
        <f>IF(AND(booking!L68&lt;&gt;booking!M68,booking!L68&gt;0),"udc","-")</f>
        <v>-</v>
      </c>
      <c r="I68" s="49" t="str">
        <f>IFERROR(IF(AND(booking!AB68&gt;0,booking!L68&lt;&gt;booking!M68),VLOOKUP(booking!M68,Database!$A$1:'Database'!$L$175,6,FALSE),"-"),"-")</f>
        <v>-</v>
      </c>
      <c r="J68" s="53" t="str">
        <f>IF(AND(booking!P68&lt;&gt;booking!Q68,booking!P68&gt;0),"udc","-")</f>
        <v>-</v>
      </c>
      <c r="K68" s="49" t="str">
        <f>IFERROR(IF(AND(booking!AB68&gt;0,booking!P68&lt;&gt;booking!Q68),VLOOKUP(booking!Q68,Database!$A$1:'Database'!$L$175,6,FALSE),"-"),"-")</f>
        <v>-</v>
      </c>
      <c r="L68" s="53" t="str">
        <f>IF(AND(booking!T68&lt;&gt;booking!U68,booking!T68&gt;0),"udc","-")</f>
        <v>-</v>
      </c>
      <c r="M68" s="49" t="str">
        <f>IFERROR(IF(AND(booking!AB68&gt;0,booking!T68&lt;&gt;booking!U68),VLOOKUP(booking!U68,Database!$A$1:'Database'!$L$175,6,FALSE),"-"),"-")</f>
        <v>-</v>
      </c>
    </row>
    <row r="69" spans="1:13" ht="15" customHeight="1" thickBot="1" x14ac:dyDescent="0.4">
      <c r="A69" t="str">
        <f>booking!B69</f>
        <v>fredag</v>
      </c>
      <c r="B69" s="24">
        <f>booking!C69</f>
        <v>46206</v>
      </c>
      <c r="C69" s="2" t="str">
        <f>IF(booking!AC69&gt;0,"Y","-")</f>
        <v>Y</v>
      </c>
      <c r="D69" s="53" t="str">
        <f>IF(AND(booking!D69&lt;&gt;booking!E69,booking!D69&gt;0),"udc","-")</f>
        <v>-</v>
      </c>
      <c r="E69" s="49" t="str">
        <f>IFERROR(IF(AND(booking!AB69&gt;0,booking!D69&lt;&gt;booking!E69),VLOOKUP(booking!E69,Database!$A$1:'Database'!$L$175,6,FALSE),"-"),"-")</f>
        <v>-</v>
      </c>
      <c r="F69" s="53" t="str">
        <f>IF(AND(booking!H69&lt;&gt;booking!I69,booking!H69&gt;0),"udc","-")</f>
        <v>-</v>
      </c>
      <c r="G69" s="49" t="str">
        <f>IFERROR(IF(AND(booking!AB69&gt;0,booking!H69&lt;&gt;booking!I69),VLOOKUP(booking!I69,Database!$A$1:'Database'!$L$175,6,FALSE),"-"),"-")</f>
        <v>-</v>
      </c>
      <c r="H69" s="53" t="str">
        <f>IF(AND(booking!L69&lt;&gt;booking!M69,booking!L69&gt;0),"udc","-")</f>
        <v>-</v>
      </c>
      <c r="I69" s="49" t="str">
        <f>IFERROR(IF(AND(booking!AB69&gt;0,booking!L69&lt;&gt;booking!M69),VLOOKUP(booking!M69,Database!$A$1:'Database'!$L$175,6,FALSE),"-"),"-")</f>
        <v>-</v>
      </c>
      <c r="J69" s="53" t="str">
        <f>IF(AND(booking!P69&lt;&gt;booking!Q69,booking!P69&gt;0),"udc","-")</f>
        <v>udc</v>
      </c>
      <c r="K69" s="49" t="str">
        <f>IFERROR(IF(AND(booking!AB69&gt;0,booking!P69&lt;&gt;booking!Q69),VLOOKUP(booking!Q69,Database!$A$1:'Database'!$L$175,6,FALSE),"-"),"-")</f>
        <v>DK</v>
      </c>
      <c r="L69" s="53" t="str">
        <f>IF(AND(booking!T69&lt;&gt;booking!U69,booking!T69&gt;0),"udc","-")</f>
        <v>-</v>
      </c>
      <c r="M69" s="49" t="str">
        <f>IFERROR(IF(AND(booking!AB69&gt;0,booking!T69&lt;&gt;booking!U69),VLOOKUP(booking!U69,Database!$A$1:'Database'!$L$175,6,FALSE),"-"),"-")</f>
        <v>-</v>
      </c>
    </row>
    <row r="70" spans="1:13" ht="15" customHeight="1" thickBot="1" x14ac:dyDescent="0.4">
      <c r="A70" t="str">
        <f>booking!B70</f>
        <v>lørdag</v>
      </c>
      <c r="B70" s="24">
        <f>booking!C70</f>
        <v>46207</v>
      </c>
      <c r="C70" s="2" t="str">
        <f>IF(booking!AC70&gt;0,"Y","-")</f>
        <v>Y</v>
      </c>
      <c r="D70" s="53" t="str">
        <f>IF(AND(booking!D70&lt;&gt;booking!E70,booking!D70&gt;0),"udc","-")</f>
        <v>-</v>
      </c>
      <c r="E70" s="49" t="str">
        <f>IFERROR(IF(AND(booking!AB70&gt;0,booking!D70&lt;&gt;booking!E70),VLOOKUP(booking!E70,Database!$A$1:'Database'!$L$175,6,FALSE),"-"),"-")</f>
        <v>-</v>
      </c>
      <c r="F70" s="53" t="str">
        <f>IF(AND(booking!H70&lt;&gt;booking!I70,booking!H70&gt;0),"udc","-")</f>
        <v>udc</v>
      </c>
      <c r="G70" s="49" t="str">
        <f>IFERROR(IF(AND(booking!AB70&gt;0,booking!H70&lt;&gt;booking!I70),VLOOKUP(booking!I70,Database!$A$1:'Database'!$L$175,6,FALSE),"-"),"-")</f>
        <v>DK</v>
      </c>
      <c r="H70" s="53" t="str">
        <f>IF(AND(booking!L70&lt;&gt;booking!M70,booking!L70&gt;0),"udc","-")</f>
        <v>-</v>
      </c>
      <c r="I70" s="49" t="str">
        <f>IFERROR(IF(AND(booking!AB70&gt;0,booking!L70&lt;&gt;booking!M70),VLOOKUP(booking!M70,Database!$A$1:'Database'!$L$175,6,FALSE),"-"),"-")</f>
        <v>-</v>
      </c>
      <c r="J70" s="53" t="str">
        <f>IF(AND(booking!P70&lt;&gt;booking!Q70,booking!P70&gt;0),"udc","-")</f>
        <v>-</v>
      </c>
      <c r="K70" s="49" t="str">
        <f>IFERROR(IF(AND(booking!AB70&gt;0,booking!P70&lt;&gt;booking!Q70),VLOOKUP(booking!Q70,Database!$A$1:'Database'!$L$175,6,FALSE),"-"),"-")</f>
        <v>-</v>
      </c>
      <c r="L70" s="53" t="str">
        <f>IF(AND(booking!T70&lt;&gt;booking!U70,booking!T70&gt;0),"udc","-")</f>
        <v>udc</v>
      </c>
      <c r="M70" s="49" t="str">
        <f>IFERROR(IF(AND(booking!AB70&gt;0,booking!T70&lt;&gt;booking!U70),VLOOKUP(booking!U70,Database!$A$1:'Database'!$L$175,6,FALSE),"-"),"-")</f>
        <v>DK</v>
      </c>
    </row>
    <row r="71" spans="1:13" ht="15" customHeight="1" thickBot="1" x14ac:dyDescent="0.4">
      <c r="A71" s="46" t="str">
        <f>booking!B71</f>
        <v>søndag</v>
      </c>
      <c r="B71" s="47">
        <f>booking!C71</f>
        <v>46208</v>
      </c>
      <c r="C71" s="48" t="str">
        <f>IF(booking!AC71&gt;0,"Y","-")</f>
        <v>Y</v>
      </c>
      <c r="D71" s="53" t="str">
        <f>IF(AND(booking!D71&lt;&gt;booking!E71,booking!D71&gt;0),"udc","-")</f>
        <v>udc</v>
      </c>
      <c r="E71" s="49" t="str">
        <f>IFERROR(IF(AND(booking!AB71&gt;0,booking!D71&lt;&gt;booking!E71),VLOOKUP(booking!E71,Database!$A$1:'Database'!$L$175,6,FALSE),"-"),"-")</f>
        <v>-</v>
      </c>
      <c r="F71" s="53" t="str">
        <f>IF(AND(booking!H71&lt;&gt;booking!I71,booking!H71&gt;0),"udc","-")</f>
        <v>-</v>
      </c>
      <c r="G71" s="49" t="str">
        <f>IFERROR(IF(AND(booking!AB71&gt;0,booking!H71&lt;&gt;booking!I71),VLOOKUP(booking!I71,Database!$A$1:'Database'!$L$175,6,FALSE),"-"),"-")</f>
        <v>-</v>
      </c>
      <c r="H71" s="53" t="str">
        <f>IF(AND(booking!L71&lt;&gt;booking!M71,booking!L71&gt;0),"udc","-")</f>
        <v>udc</v>
      </c>
      <c r="I71" s="49" t="str">
        <f>IFERROR(IF(AND(booking!AB71&gt;0,booking!L71&lt;&gt;booking!M71),VLOOKUP(booking!M71,Database!$A$1:'Database'!$L$175,6,FALSE),"-"),"-")</f>
        <v>-</v>
      </c>
      <c r="J71" s="53" t="str">
        <f>IF(AND(booking!P71&lt;&gt;booking!Q71,booking!P71&gt;0),"udc","-")</f>
        <v>-</v>
      </c>
      <c r="K71" s="49" t="str">
        <f>IFERROR(IF(AND(booking!AB71&gt;0,booking!P71&lt;&gt;booking!Q71),VLOOKUP(booking!Q71,Database!$A$1:'Database'!$L$175,6,FALSE),"-"),"-")</f>
        <v>-</v>
      </c>
      <c r="L71" s="53" t="str">
        <f>IF(AND(booking!T71&lt;&gt;booking!U71,booking!T71&gt;0),"udc","-")</f>
        <v>-</v>
      </c>
      <c r="M71" s="49" t="str">
        <f>IFERROR(IF(AND(booking!AB71&gt;0,booking!T71&lt;&gt;booking!U71),VLOOKUP(booking!U71,Database!$A$1:'Database'!$L$175,6,FALSE),"-"),"-")</f>
        <v>-</v>
      </c>
    </row>
    <row r="72" spans="1:13" ht="15" customHeight="1" thickBot="1" x14ac:dyDescent="0.4">
      <c r="A72" t="str">
        <f>booking!B72</f>
        <v>mandag</v>
      </c>
      <c r="B72" s="24">
        <f>booking!C72</f>
        <v>46209</v>
      </c>
      <c r="C72" s="2" t="str">
        <f>IF(booking!AC72&gt;0,"Y","-")</f>
        <v>-</v>
      </c>
      <c r="D72" s="53" t="str">
        <f>IF(AND(booking!D72&lt;&gt;booking!E72,booking!D72&gt;0),"udc","-")</f>
        <v>-</v>
      </c>
      <c r="E72" s="49" t="str">
        <f>IFERROR(IF(AND(booking!AB72&gt;0,booking!D72&lt;&gt;booking!E72),VLOOKUP(booking!E72,Database!$A$1:'Database'!$L$175,6,FALSE),"-"),"-")</f>
        <v>DK</v>
      </c>
      <c r="F72" s="53" t="str">
        <f>IF(AND(booking!H72&lt;&gt;booking!I72,booking!H72&gt;0),"udc","-")</f>
        <v>-</v>
      </c>
      <c r="G72" s="49" t="str">
        <f>IFERROR(IF(AND(booking!AB72&gt;0,booking!H72&lt;&gt;booking!I72),VLOOKUP(booking!I72,Database!$A$1:'Database'!$L$175,6,FALSE),"-"),"-")</f>
        <v>-</v>
      </c>
      <c r="H72" s="53" t="str">
        <f>IF(AND(booking!L72&lt;&gt;booking!M72,booking!L72&gt;0),"udc","-")</f>
        <v>-</v>
      </c>
      <c r="I72" s="49" t="str">
        <f>IFERROR(IF(AND(booking!AB72&gt;0,booking!L72&lt;&gt;booking!M72),VLOOKUP(booking!M72,Database!$A$1:'Database'!$L$175,6,FALSE),"-"),"-")</f>
        <v>DK</v>
      </c>
      <c r="J72" s="53" t="str">
        <f>IF(AND(booking!P72&lt;&gt;booking!Q72,booking!P72&gt;0),"udc","-")</f>
        <v>-</v>
      </c>
      <c r="K72" s="49" t="str">
        <f>IFERROR(IF(AND(booking!AB72&gt;0,booking!P72&lt;&gt;booking!Q72),VLOOKUP(booking!Q72,Database!$A$1:'Database'!$L$175,6,FALSE),"-"),"-")</f>
        <v>-</v>
      </c>
      <c r="L72" s="53" t="str">
        <f>IF(AND(booking!T72&lt;&gt;booking!U72,booking!T72&gt;0),"udc","-")</f>
        <v>-</v>
      </c>
      <c r="M72" s="49" t="str">
        <f>IFERROR(IF(AND(booking!AB72&gt;0,booking!T72&lt;&gt;booking!U72),VLOOKUP(booking!U72,Database!$A$1:'Database'!$L$175,6,FALSE),"-"),"-")</f>
        <v>-</v>
      </c>
    </row>
    <row r="73" spans="1:13" ht="15" customHeight="1" thickBot="1" x14ac:dyDescent="0.4">
      <c r="A73" t="str">
        <f>booking!B73</f>
        <v>tirsdag</v>
      </c>
      <c r="B73" s="24">
        <f>booking!C73</f>
        <v>46210</v>
      </c>
      <c r="C73" s="2" t="str">
        <f>IF(booking!AC73&gt;0,"Y","-")</f>
        <v>Y</v>
      </c>
      <c r="D73" s="53" t="str">
        <f>IF(AND(booking!D73&lt;&gt;booking!E73,booking!D73&gt;0),"udc","-")</f>
        <v>-</v>
      </c>
      <c r="E73" s="49" t="str">
        <f>IFERROR(IF(AND(booking!AB73&gt;0,booking!D73&lt;&gt;booking!E73),VLOOKUP(booking!E73,Database!$A$1:'Database'!$L$175,6,FALSE),"-"),"-")</f>
        <v>-</v>
      </c>
      <c r="F73" s="53" t="str">
        <f>IF(AND(booking!H73&lt;&gt;booking!I73,booking!H73&gt;0),"udc","-")</f>
        <v>udc</v>
      </c>
      <c r="G73" s="49" t="str">
        <f>IFERROR(IF(AND(booking!AB73&gt;0,booking!H73&lt;&gt;booking!I73),VLOOKUP(booking!I73,Database!$A$1:'Database'!$L$175,6,FALSE),"-"),"-")</f>
        <v>-</v>
      </c>
      <c r="H73" s="53" t="str">
        <f>IF(AND(booking!L73&lt;&gt;booking!M73,booking!L73&gt;0),"udc","-")</f>
        <v>-</v>
      </c>
      <c r="I73" s="49" t="str">
        <f>IFERROR(IF(AND(booking!AB73&gt;0,booking!L73&lt;&gt;booking!M73),VLOOKUP(booking!M73,Database!$A$1:'Database'!$L$175,6,FALSE),"-"),"-")</f>
        <v>-</v>
      </c>
      <c r="J73" s="53" t="str">
        <f>IF(AND(booking!P73&lt;&gt;booking!Q73,booking!P73&gt;0),"udc","-")</f>
        <v>-</v>
      </c>
      <c r="K73" s="49" t="str">
        <f>IFERROR(IF(AND(booking!AB73&gt;0,booking!P73&lt;&gt;booking!Q73),VLOOKUP(booking!Q73,Database!$A$1:'Database'!$L$175,6,FALSE),"-"),"-")</f>
        <v>-</v>
      </c>
      <c r="L73" s="53" t="str">
        <f>IF(AND(booking!T73&lt;&gt;booking!U73,booking!T73&gt;0),"udc","-")</f>
        <v>-</v>
      </c>
      <c r="M73" s="49" t="str">
        <f>IFERROR(IF(AND(booking!AB73&gt;0,booking!T73&lt;&gt;booking!U73),VLOOKUP(booking!U73,Database!$A$1:'Database'!$L$175,6,FALSE),"-"),"-")</f>
        <v>-</v>
      </c>
    </row>
    <row r="74" spans="1:13" ht="15" customHeight="1" thickBot="1" x14ac:dyDescent="0.4">
      <c r="A74" t="str">
        <f>booking!B74</f>
        <v>onsdag</v>
      </c>
      <c r="B74" s="24">
        <f>booking!C74</f>
        <v>46211</v>
      </c>
      <c r="C74" s="2" t="str">
        <f>IF(booking!AC74&gt;0,"Y","-")</f>
        <v>-</v>
      </c>
      <c r="D74" s="53" t="str">
        <f>IF(AND(booking!D74&lt;&gt;booking!E74,booking!D74&gt;0),"udc","-")</f>
        <v>-</v>
      </c>
      <c r="E74" s="49" t="str">
        <f>IFERROR(IF(AND(booking!AB74&gt;0,booking!D74&lt;&gt;booking!E74),VLOOKUP(booking!E74,Database!$A$1:'Database'!$L$175,6,FALSE),"-"),"-")</f>
        <v>-</v>
      </c>
      <c r="F74" s="53" t="str">
        <f>IF(AND(booking!H74&lt;&gt;booking!I74,booking!H74&gt;0),"udc","-")</f>
        <v>-</v>
      </c>
      <c r="G74" s="49" t="str">
        <f>IFERROR(IF(AND(booking!AB74&gt;0,booking!H74&lt;&gt;booking!I74),VLOOKUP(booking!I74,Database!$A$1:'Database'!$L$175,6,FALSE),"-"),"-")</f>
        <v>DK</v>
      </c>
      <c r="H74" s="53" t="str">
        <f>IF(AND(booking!L74&lt;&gt;booking!M74,booking!L74&gt;0),"udc","-")</f>
        <v>-</v>
      </c>
      <c r="I74" s="49" t="str">
        <f>IFERROR(IF(AND(booking!AB74&gt;0,booking!L74&lt;&gt;booking!M74),VLOOKUP(booking!M74,Database!$A$1:'Database'!$L$175,6,FALSE),"-"),"-")</f>
        <v>-</v>
      </c>
      <c r="J74" s="53" t="str">
        <f>IF(AND(booking!P74&lt;&gt;booking!Q74,booking!P74&gt;0),"udc","-")</f>
        <v>-</v>
      </c>
      <c r="K74" s="49" t="str">
        <f>IFERROR(IF(AND(booking!AB74&gt;0,booking!P74&lt;&gt;booking!Q74),VLOOKUP(booking!Q74,Database!$A$1:'Database'!$L$175,6,FALSE),"-"),"-")</f>
        <v>-</v>
      </c>
      <c r="L74" s="53" t="str">
        <f>IF(AND(booking!T74&lt;&gt;booking!U74,booking!T74&gt;0),"udc","-")</f>
        <v>-</v>
      </c>
      <c r="M74" s="49" t="str">
        <f>IFERROR(IF(AND(booking!AB74&gt;0,booking!T74&lt;&gt;booking!U74),VLOOKUP(booking!U74,Database!$A$1:'Database'!$L$175,6,FALSE),"-"),"-")</f>
        <v>-</v>
      </c>
    </row>
    <row r="75" spans="1:13" ht="15" customHeight="1" thickBot="1" x14ac:dyDescent="0.4">
      <c r="A75" t="str">
        <f>booking!B75</f>
        <v>torsdag</v>
      </c>
      <c r="B75" s="24">
        <f>booking!C75</f>
        <v>46212</v>
      </c>
      <c r="C75" s="2" t="str">
        <f>IF(booking!AC75&gt;0,"Y","-")</f>
        <v>Y</v>
      </c>
      <c r="D75" s="53" t="str">
        <f>IF(AND(booking!D75&lt;&gt;booking!E75,booking!D75&gt;0),"udc","-")</f>
        <v>udc</v>
      </c>
      <c r="E75" s="49" t="str">
        <f>IFERROR(IF(AND(booking!AB75&gt;0,booking!D75&lt;&gt;booking!E75),VLOOKUP(booking!E75,Database!$A$1:'Database'!$L$175,6,FALSE),"-"),"-")</f>
        <v>DK</v>
      </c>
      <c r="F75" s="53" t="str">
        <f>IF(AND(booking!H75&lt;&gt;booking!I75,booking!H75&gt;0),"udc","-")</f>
        <v>-</v>
      </c>
      <c r="G75" s="49" t="str">
        <f>IFERROR(IF(AND(booking!AB75&gt;0,booking!H75&lt;&gt;booking!I75),VLOOKUP(booking!I75,Database!$A$1:'Database'!$L$175,6,FALSE),"-"),"-")</f>
        <v>-</v>
      </c>
      <c r="H75" s="53" t="str">
        <f>IF(AND(booking!L75&lt;&gt;booking!M75,booking!L75&gt;0),"udc","-")</f>
        <v>udc</v>
      </c>
      <c r="I75" s="49" t="str">
        <f>IFERROR(IF(AND(booking!AB75&gt;0,booking!L75&lt;&gt;booking!M75),VLOOKUP(booking!M75,Database!$A$1:'Database'!$L$175,6,FALSE),"-"),"-")</f>
        <v>DK</v>
      </c>
      <c r="J75" s="53" t="str">
        <f>IF(AND(booking!P75&lt;&gt;booking!Q75,booking!P75&gt;0),"udc","-")</f>
        <v>-</v>
      </c>
      <c r="K75" s="49" t="str">
        <f>IFERROR(IF(AND(booking!AB75&gt;0,booking!P75&lt;&gt;booking!Q75),VLOOKUP(booking!Q75,Database!$A$1:'Database'!$L$175,6,FALSE),"-"),"-")</f>
        <v>-</v>
      </c>
      <c r="L75" s="53" t="str">
        <f>IF(AND(booking!T75&lt;&gt;booking!U75,booking!T75&gt;0),"udc","-")</f>
        <v>-</v>
      </c>
      <c r="M75" s="49" t="str">
        <f>IFERROR(IF(AND(booking!AB75&gt;0,booking!T75&lt;&gt;booking!U75),VLOOKUP(booking!U75,Database!$A$1:'Database'!$L$175,6,FALSE),"-"),"-")</f>
        <v>-</v>
      </c>
    </row>
    <row r="76" spans="1:13" ht="15" customHeight="1" thickBot="1" x14ac:dyDescent="0.4">
      <c r="A76" t="str">
        <f>booking!B76</f>
        <v>fredag</v>
      </c>
      <c r="B76" s="24">
        <f>booking!C76</f>
        <v>46213</v>
      </c>
      <c r="C76" s="2" t="str">
        <f>IF(booking!AC76&gt;0,"Y","-")</f>
        <v>Y</v>
      </c>
      <c r="D76" s="53" t="str">
        <f>IF(AND(booking!D76&lt;&gt;booking!E76,booking!D76&gt;0),"udc","-")</f>
        <v>-</v>
      </c>
      <c r="E76" s="49" t="str">
        <f>IFERROR(IF(AND(booking!AB76&gt;0,booking!D76&lt;&gt;booking!E76),VLOOKUP(booking!E76,Database!$A$1:'Database'!$L$175,6,FALSE),"-"),"-")</f>
        <v>-</v>
      </c>
      <c r="F76" s="53" t="str">
        <f>IF(AND(booking!H76&lt;&gt;booking!I76,booking!H76&gt;0),"udc","-")</f>
        <v>-</v>
      </c>
      <c r="G76" s="49" t="str">
        <f>IFERROR(IF(AND(booking!AB76&gt;0,booking!H76&lt;&gt;booking!I76),VLOOKUP(booking!I76,Database!$A$1:'Database'!$L$175,6,FALSE),"-"),"-")</f>
        <v>-</v>
      </c>
      <c r="H76" s="53" t="str">
        <f>IF(AND(booking!L76&lt;&gt;booking!M76,booking!L76&gt;0),"udc","-")</f>
        <v>-</v>
      </c>
      <c r="I76" s="49" t="str">
        <f>IFERROR(IF(AND(booking!AB76&gt;0,booking!L76&lt;&gt;booking!M76),VLOOKUP(booking!M76,Database!$A$1:'Database'!$L$175,6,FALSE),"-"),"-")</f>
        <v>-</v>
      </c>
      <c r="J76" s="53" t="str">
        <f>IF(AND(booking!P76&lt;&gt;booking!Q76,booking!P76&gt;0),"udc","-")</f>
        <v>udc</v>
      </c>
      <c r="K76" s="49" t="str">
        <f>IFERROR(IF(AND(booking!AB76&gt;0,booking!P76&lt;&gt;booking!Q76),VLOOKUP(booking!Q76,Database!$A$1:'Database'!$L$175,6,FALSE),"-"),"-")</f>
        <v>-</v>
      </c>
      <c r="L76" s="53" t="str">
        <f>IF(AND(booking!T76&lt;&gt;booking!U76,booking!T76&gt;0),"udc","-")</f>
        <v>-</v>
      </c>
      <c r="M76" s="49" t="str">
        <f>IFERROR(IF(AND(booking!AB76&gt;0,booking!T76&lt;&gt;booking!U76),VLOOKUP(booking!U76,Database!$A$1:'Database'!$L$175,6,FALSE),"-"),"-")</f>
        <v>-</v>
      </c>
    </row>
    <row r="77" spans="1:13" ht="15" customHeight="1" thickBot="1" x14ac:dyDescent="0.4">
      <c r="A77" t="str">
        <f>booking!B77</f>
        <v>lørdag</v>
      </c>
      <c r="B77" s="24">
        <f>booking!C77</f>
        <v>46214</v>
      </c>
      <c r="C77" s="2" t="str">
        <f>IF(booking!AC77&gt;0,"Y","-")</f>
        <v>Y</v>
      </c>
      <c r="D77" s="53" t="str">
        <f>IF(AND(booking!D77&lt;&gt;booking!E77,booking!D77&gt;0),"udc","-")</f>
        <v>-</v>
      </c>
      <c r="E77" s="49" t="str">
        <f>IFERROR(IF(AND(booking!AB77&gt;0,booking!D77&lt;&gt;booking!E77),VLOOKUP(booking!E77,Database!$A$1:'Database'!$L$175,6,FALSE),"-"),"-")</f>
        <v>-</v>
      </c>
      <c r="F77" s="53" t="str">
        <f>IF(AND(booking!H77&lt;&gt;booking!I77,booking!H77&gt;0),"udc","-")</f>
        <v>-</v>
      </c>
      <c r="G77" s="49" t="str">
        <f>IFERROR(IF(AND(booking!AB77&gt;0,booking!H77&lt;&gt;booking!I77),VLOOKUP(booking!I77,Database!$A$1:'Database'!$L$175,6,FALSE),"-"),"-")</f>
        <v>-</v>
      </c>
      <c r="H77" s="53" t="str">
        <f>IF(AND(booking!L77&lt;&gt;booking!M77,booking!L77&gt;0),"udc","-")</f>
        <v>-</v>
      </c>
      <c r="I77" s="49" t="str">
        <f>IFERROR(IF(AND(booking!AB77&gt;0,booking!L77&lt;&gt;booking!M77),VLOOKUP(booking!M77,Database!$A$1:'Database'!$L$175,6,FALSE),"-"),"-")</f>
        <v>-</v>
      </c>
      <c r="J77" s="53" t="str">
        <f>IF(AND(booking!P77&lt;&gt;booking!Q77,booking!P77&gt;0),"udc","-")</f>
        <v>-</v>
      </c>
      <c r="K77" s="49" t="str">
        <f>IFERROR(IF(AND(booking!AB77&gt;0,booking!P77&lt;&gt;booking!Q77),VLOOKUP(booking!Q77,Database!$A$1:'Database'!$L$175,6,FALSE),"-"),"-")</f>
        <v>DK</v>
      </c>
      <c r="L77" s="53" t="str">
        <f>IF(AND(booking!T77&lt;&gt;booking!U77,booking!T77&gt;0),"udc","-")</f>
        <v>udc</v>
      </c>
      <c r="M77" s="49" t="str">
        <f>IFERROR(IF(AND(booking!AB77&gt;0,booking!T77&lt;&gt;booking!U77),VLOOKUP(booking!U77,Database!$A$1:'Database'!$L$175,6,FALSE),"-"),"-")</f>
        <v>DK</v>
      </c>
    </row>
    <row r="78" spans="1:13" ht="15" customHeight="1" thickBot="1" x14ac:dyDescent="0.4">
      <c r="A78" t="str">
        <f>booking!B78</f>
        <v>søndag</v>
      </c>
      <c r="B78" s="24">
        <f>booking!C78</f>
        <v>46215</v>
      </c>
      <c r="C78" s="2" t="str">
        <f>IF(booking!AC78&gt;0,"Y","-")</f>
        <v>Y</v>
      </c>
      <c r="D78" s="53" t="str">
        <f>IF(AND(booking!D78&lt;&gt;booking!E78,booking!D78&gt;0),"udc","-")</f>
        <v>udc</v>
      </c>
      <c r="E78" s="49" t="str">
        <f>IFERROR(IF(AND(booking!AB78&gt;0,booking!D78&lt;&gt;booking!E78),VLOOKUP(booking!E78,Database!$A$1:'Database'!$L$175,6,FALSE),"-"),"-")</f>
        <v>DK</v>
      </c>
      <c r="F78" s="53" t="str">
        <f>IF(AND(booking!H78&lt;&gt;booking!I78,booking!H78&gt;0),"udc","-")</f>
        <v>-</v>
      </c>
      <c r="G78" s="49" t="str">
        <f>IFERROR(IF(AND(booking!AB78&gt;0,booking!H78&lt;&gt;booking!I78),VLOOKUP(booking!I78,Database!$A$1:'Database'!$L$175,6,FALSE),"-"),"-")</f>
        <v>-</v>
      </c>
      <c r="H78" s="53" t="str">
        <f>IF(AND(booking!L78&lt;&gt;booking!M78,booking!L78&gt;0),"udc","-")</f>
        <v>-</v>
      </c>
      <c r="I78" s="49" t="str">
        <f>IFERROR(IF(AND(booking!AB78&gt;0,booking!L78&lt;&gt;booking!M78),VLOOKUP(booking!M78,Database!$A$1:'Database'!$L$175,6,FALSE),"-"),"-")</f>
        <v>-</v>
      </c>
      <c r="J78" s="53" t="str">
        <f>IF(AND(booking!P78&lt;&gt;booking!Q78,booking!P78&gt;0),"udc","-")</f>
        <v>-</v>
      </c>
      <c r="K78" s="49" t="str">
        <f>IFERROR(IF(AND(booking!AB78&gt;0,booking!P78&lt;&gt;booking!Q78),VLOOKUP(booking!Q78,Database!$A$1:'Database'!$L$175,6,FALSE),"-"),"-")</f>
        <v>-</v>
      </c>
      <c r="L78" s="53" t="str">
        <f>IF(AND(booking!T78&lt;&gt;booking!U78,booking!T78&gt;0),"udc","-")</f>
        <v>-</v>
      </c>
      <c r="M78" s="49" t="str">
        <f>IFERROR(IF(AND(booking!AB78&gt;0,booking!T78&lt;&gt;booking!U78),VLOOKUP(booking!U78,Database!$A$1:'Database'!$L$175,6,FALSE),"-"),"-")</f>
        <v>-</v>
      </c>
    </row>
    <row r="79" spans="1:13" ht="15" customHeight="1" thickBot="1" x14ac:dyDescent="0.4">
      <c r="A79" t="str">
        <f>booking!B79</f>
        <v>mandag</v>
      </c>
      <c r="B79" s="24">
        <f>booking!C79</f>
        <v>46216</v>
      </c>
      <c r="C79" s="2" t="str">
        <f>IF(booking!AC79&gt;0,"Y","-")</f>
        <v>Y</v>
      </c>
      <c r="D79" s="53" t="str">
        <f>IF(AND(booking!D79&lt;&gt;booking!E79,booking!D79&gt;0),"udc","-")</f>
        <v>-</v>
      </c>
      <c r="E79" s="49" t="str">
        <f>IFERROR(IF(AND(booking!AB79&gt;0,booking!D79&lt;&gt;booking!E79),VLOOKUP(booking!E79,Database!$A$1:'Database'!$L$175,6,FALSE),"-"),"-")</f>
        <v>-</v>
      </c>
      <c r="F79" s="53" t="str">
        <f>IF(AND(booking!H79&lt;&gt;booking!I79,booking!H79&gt;0),"udc","-")</f>
        <v>-</v>
      </c>
      <c r="G79" s="49" t="str">
        <f>IFERROR(IF(AND(booking!AB79&gt;0,booking!H79&lt;&gt;booking!I79),VLOOKUP(booking!I79,Database!$A$1:'Database'!$L$175,6,FALSE),"-"),"-")</f>
        <v>-</v>
      </c>
      <c r="H79" s="53" t="str">
        <f>IF(AND(booking!L79&lt;&gt;booking!M79,booking!L79&gt;0),"udc","-")</f>
        <v>udc</v>
      </c>
      <c r="I79" s="49" t="str">
        <f>IFERROR(IF(AND(booking!AB79&gt;0,booking!L79&lt;&gt;booking!M79),VLOOKUP(booking!M79,Database!$A$1:'Database'!$L$175,6,FALSE),"-"),"-")</f>
        <v>DK</v>
      </c>
      <c r="J79" s="53" t="str">
        <f>IF(AND(booking!P79&lt;&gt;booking!Q79,booking!P79&gt;0),"udc","-")</f>
        <v>-</v>
      </c>
      <c r="K79" s="49" t="str">
        <f>IFERROR(IF(AND(booking!AB79&gt;0,booking!P79&lt;&gt;booking!Q79),VLOOKUP(booking!Q79,Database!$A$1:'Database'!$L$175,6,FALSE),"-"),"-")</f>
        <v>-</v>
      </c>
      <c r="L79" s="53" t="str">
        <f>IF(AND(booking!T79&lt;&gt;booking!U79,booking!T79&gt;0),"udc","-")</f>
        <v>-</v>
      </c>
      <c r="M79" s="49" t="str">
        <f>IFERROR(IF(AND(booking!AB79&gt;0,booking!T79&lt;&gt;booking!U79),VLOOKUP(booking!U79,Database!$A$1:'Database'!$L$175,6,FALSE),"-"),"-")</f>
        <v>-</v>
      </c>
    </row>
    <row r="80" spans="1:13" ht="15" customHeight="1" thickBot="1" x14ac:dyDescent="0.4">
      <c r="A80" t="str">
        <f>booking!B80</f>
        <v>tirsdag</v>
      </c>
      <c r="B80" s="24">
        <f>booking!C80</f>
        <v>46217</v>
      </c>
      <c r="C80" s="2" t="str">
        <f>IF(booking!AC80&gt;0,"Y","-")</f>
        <v>-</v>
      </c>
      <c r="D80" s="53" t="str">
        <f>IF(AND(booking!D80&lt;&gt;booking!E80,booking!D80&gt;0),"udc","-")</f>
        <v>-</v>
      </c>
      <c r="E80" s="49" t="str">
        <f>IFERROR(IF(AND(booking!AB80&gt;0,booking!D80&lt;&gt;booking!E80),VLOOKUP(booking!E80,Database!$A$1:'Database'!$L$175,6,FALSE),"-"),"-")</f>
        <v>-</v>
      </c>
      <c r="F80" s="53" t="str">
        <f>IF(AND(booking!H80&lt;&gt;booking!I80,booking!H80&gt;0),"udc","-")</f>
        <v>-</v>
      </c>
      <c r="G80" s="49" t="str">
        <f>IFERROR(IF(AND(booking!AB80&gt;0,booking!H80&lt;&gt;booking!I80),VLOOKUP(booking!I80,Database!$A$1:'Database'!$L$175,6,FALSE),"-"),"-")</f>
        <v>-</v>
      </c>
      <c r="H80" s="53" t="str">
        <f>IF(AND(booking!L80&lt;&gt;booking!M80,booking!L80&gt;0),"udc","-")</f>
        <v>-</v>
      </c>
      <c r="I80" s="49" t="str">
        <f>IFERROR(IF(AND(booking!AB80&gt;0,booking!L80&lt;&gt;booking!M80),VLOOKUP(booking!M80,Database!$A$1:'Database'!$L$175,6,FALSE),"-"),"-")</f>
        <v>-</v>
      </c>
      <c r="J80" s="53" t="str">
        <f>IF(AND(booking!P80&lt;&gt;booking!Q80,booking!P80&gt;0),"udc","-")</f>
        <v>-</v>
      </c>
      <c r="K80" s="49" t="str">
        <f>IFERROR(IF(AND(booking!AB80&gt;0,booking!P80&lt;&gt;booking!Q80),VLOOKUP(booking!Q80,Database!$A$1:'Database'!$L$175,6,FALSE),"-"),"-")</f>
        <v>-</v>
      </c>
      <c r="L80" s="53" t="str">
        <f>IF(AND(booking!T80&lt;&gt;booking!U80,booking!T80&gt;0),"udc","-")</f>
        <v>-</v>
      </c>
      <c r="M80" s="49" t="str">
        <f>IFERROR(IF(AND(booking!AB80&gt;0,booking!T80&lt;&gt;booking!U80),VLOOKUP(booking!U80,Database!$A$1:'Database'!$L$175,6,FALSE),"-"),"-")</f>
        <v>-</v>
      </c>
    </row>
    <row r="81" spans="1:13" ht="15" customHeight="1" thickBot="1" x14ac:dyDescent="0.4">
      <c r="A81" t="str">
        <f>booking!B81</f>
        <v>onsdag</v>
      </c>
      <c r="B81" s="24">
        <f>booking!C81</f>
        <v>46218</v>
      </c>
      <c r="C81" s="2" t="str">
        <f>IF(booking!AC81&gt;0,"Y","-")</f>
        <v>Y</v>
      </c>
      <c r="D81" s="53" t="str">
        <f>IF(AND(booking!D81&lt;&gt;booking!E81,booking!D81&gt;0),"udc","-")</f>
        <v>-</v>
      </c>
      <c r="E81" s="49" t="str">
        <f>IFERROR(IF(AND(booking!AB81&gt;0,booking!D81&lt;&gt;booking!E81),VLOOKUP(booking!E81,Database!$A$1:'Database'!$L$175,6,FALSE),"-"),"-")</f>
        <v>-</v>
      </c>
      <c r="F81" s="53" t="str">
        <f>IF(AND(booking!H81&lt;&gt;booking!I81,booking!H81&gt;0),"udc","-")</f>
        <v>udc</v>
      </c>
      <c r="G81" s="49" t="str">
        <f>IFERROR(IF(AND(booking!AB81&gt;0,booking!H81&lt;&gt;booking!I81),VLOOKUP(booking!I81,Database!$A$1:'Database'!$L$175,6,FALSE),"-"),"-")</f>
        <v>DK</v>
      </c>
      <c r="H81" s="53" t="str">
        <f>IF(AND(booking!L81&lt;&gt;booking!M81,booking!L81&gt;0),"udc","-")</f>
        <v>-</v>
      </c>
      <c r="I81" s="49" t="str">
        <f>IFERROR(IF(AND(booking!AB81&gt;0,booking!L81&lt;&gt;booking!M81),VLOOKUP(booking!M81,Database!$A$1:'Database'!$L$175,6,FALSE),"-"),"-")</f>
        <v>-</v>
      </c>
      <c r="J81" s="53" t="str">
        <f>IF(AND(booking!P81&lt;&gt;booking!Q81,booking!P81&gt;0),"udc","-")</f>
        <v>-</v>
      </c>
      <c r="K81" s="49" t="str">
        <f>IFERROR(IF(AND(booking!AB81&gt;0,booking!P81&lt;&gt;booking!Q81),VLOOKUP(booking!Q81,Database!$A$1:'Database'!$L$175,6,FALSE),"-"),"-")</f>
        <v>-</v>
      </c>
      <c r="L81" s="53" t="str">
        <f>IF(AND(booking!T81&lt;&gt;booking!U81,booking!T81&gt;0),"udc","-")</f>
        <v>-</v>
      </c>
      <c r="M81" s="49" t="str">
        <f>IFERROR(IF(AND(booking!AB81&gt;0,booking!T81&lt;&gt;booking!U81),VLOOKUP(booking!U81,Database!$A$1:'Database'!$L$175,6,FALSE),"-"),"-")</f>
        <v>-</v>
      </c>
    </row>
    <row r="82" spans="1:13" ht="15" customHeight="1" thickBot="1" x14ac:dyDescent="0.4">
      <c r="A82" t="str">
        <f>booking!B82</f>
        <v>torsdag</v>
      </c>
      <c r="B82" s="24">
        <f>booking!C82</f>
        <v>46219</v>
      </c>
      <c r="C82" s="2" t="str">
        <f>IF(booking!AC82&gt;0,"Y","-")</f>
        <v>Y</v>
      </c>
      <c r="D82" s="53" t="str">
        <f>IF(AND(booking!D82&lt;&gt;booking!E82,booking!D82&gt;0),"udc","-")</f>
        <v>-</v>
      </c>
      <c r="E82" s="49" t="str">
        <f>IFERROR(IF(AND(booking!AB82&gt;0,booking!D82&lt;&gt;booking!E82),VLOOKUP(booking!E82,Database!$A$1:'Database'!$L$175,6,FALSE),"-"),"-")</f>
        <v>-</v>
      </c>
      <c r="F82" s="53" t="str">
        <f>IF(AND(booking!H82&lt;&gt;booking!I82,booking!H82&gt;0),"udc","-")</f>
        <v>-</v>
      </c>
      <c r="G82" s="49" t="str">
        <f>IFERROR(IF(AND(booking!AB82&gt;0,booking!H82&lt;&gt;booking!I82),VLOOKUP(booking!I82,Database!$A$1:'Database'!$L$175,6,FALSE),"-"),"-")</f>
        <v>-</v>
      </c>
      <c r="H82" s="53" t="str">
        <f>IF(AND(booking!L82&lt;&gt;booking!M82,booking!L82&gt;0),"udc","-")</f>
        <v>udc</v>
      </c>
      <c r="I82" s="49" t="str">
        <f>IFERROR(IF(AND(booking!AB82&gt;0,booking!L82&lt;&gt;booking!M82),VLOOKUP(booking!M82,Database!$A$1:'Database'!$L$175,6,FALSE),"-"),"-")</f>
        <v>-</v>
      </c>
      <c r="J82" s="53" t="str">
        <f>IF(AND(booking!P82&lt;&gt;booking!Q82,booking!P82&gt;0),"udc","-")</f>
        <v>-</v>
      </c>
      <c r="K82" s="49" t="str">
        <f>IFERROR(IF(AND(booking!AB82&gt;0,booking!P82&lt;&gt;booking!Q82),VLOOKUP(booking!Q82,Database!$A$1:'Database'!$L$175,6,FALSE),"-"),"-")</f>
        <v>-</v>
      </c>
      <c r="L82" s="53" t="str">
        <f>IF(AND(booking!T82&lt;&gt;booking!U82,booking!T82&gt;0),"udc","-")</f>
        <v>-</v>
      </c>
      <c r="M82" s="49" t="str">
        <f>IFERROR(IF(AND(booking!AB82&gt;0,booking!T82&lt;&gt;booking!U82),VLOOKUP(booking!U82,Database!$A$1:'Database'!$L$175,6,FALSE),"-"),"-")</f>
        <v>-</v>
      </c>
    </row>
    <row r="83" spans="1:13" ht="15" customHeight="1" thickBot="1" x14ac:dyDescent="0.4">
      <c r="A83" t="str">
        <f>booking!B83</f>
        <v>fredag</v>
      </c>
      <c r="B83" s="24">
        <f>booking!C83</f>
        <v>46220</v>
      </c>
      <c r="C83" s="2" t="str">
        <f>IF(booking!AC83&gt;0,"Y","-")</f>
        <v>-</v>
      </c>
      <c r="D83" s="53" t="str">
        <f>IF(AND(booking!D83&lt;&gt;booking!E83,booking!D83&gt;0),"udc","-")</f>
        <v>-</v>
      </c>
      <c r="E83" s="49" t="str">
        <f>IFERROR(IF(AND(booking!AB83&gt;0,booking!D83&lt;&gt;booking!E83),VLOOKUP(booking!E83,Database!$A$1:'Database'!$L$175,6,FALSE),"-"),"-")</f>
        <v>-</v>
      </c>
      <c r="F83" s="53" t="str">
        <f>IF(AND(booking!H83&lt;&gt;booking!I83,booking!H83&gt;0),"udc","-")</f>
        <v>-</v>
      </c>
      <c r="G83" s="49" t="str">
        <f>IFERROR(IF(AND(booking!AB83&gt;0,booking!H83&lt;&gt;booking!I83),VLOOKUP(booking!I83,Database!$A$1:'Database'!$L$175,6,FALSE),"-"),"-")</f>
        <v>-</v>
      </c>
      <c r="H83" s="53" t="str">
        <f>IF(AND(booking!L83&lt;&gt;booking!M83,booking!L83&gt;0),"udc","-")</f>
        <v>-</v>
      </c>
      <c r="I83" s="49" t="str">
        <f>IFERROR(IF(AND(booking!AB83&gt;0,booking!L83&lt;&gt;booking!M83),VLOOKUP(booking!M83,Database!$A$1:'Database'!$L$175,6,FALSE),"-"),"-")</f>
        <v>-</v>
      </c>
      <c r="J83" s="53" t="str">
        <f>IF(AND(booking!P83&lt;&gt;booking!Q83,booking!P83&gt;0),"udc","-")</f>
        <v>-</v>
      </c>
      <c r="K83" s="49" t="str">
        <f>IFERROR(IF(AND(booking!AB83&gt;0,booking!P83&lt;&gt;booking!Q83),VLOOKUP(booking!Q83,Database!$A$1:'Database'!$L$175,6,FALSE),"-"),"-")</f>
        <v>-</v>
      </c>
      <c r="L83" s="53" t="str">
        <f>IF(AND(booking!T83&lt;&gt;booking!U83,booking!T83&gt;0),"udc","-")</f>
        <v>-</v>
      </c>
      <c r="M83" s="49" t="str">
        <f>IFERROR(IF(AND(booking!AB83&gt;0,booking!T83&lt;&gt;booking!U83),VLOOKUP(booking!U83,Database!$A$1:'Database'!$L$175,6,FALSE),"-"),"-")</f>
        <v>-</v>
      </c>
    </row>
    <row r="84" spans="1:13" ht="15" customHeight="1" thickBot="1" x14ac:dyDescent="0.4">
      <c r="A84" t="str">
        <f>booking!B84</f>
        <v>lørdag</v>
      </c>
      <c r="B84" s="24">
        <f>booking!C84</f>
        <v>46221</v>
      </c>
      <c r="C84" s="2" t="str">
        <f>IF(booking!AC84&gt;0,"Y","-")</f>
        <v>Y</v>
      </c>
      <c r="D84" s="53" t="str">
        <f>IF(AND(booking!D84&lt;&gt;booking!E84,booking!D84&gt;0),"udc","-")</f>
        <v>-</v>
      </c>
      <c r="E84" s="49" t="str">
        <f>IFERROR(IF(AND(booking!AB84&gt;0,booking!D84&lt;&gt;booking!E84),VLOOKUP(booking!E84,Database!$A$1:'Database'!$L$175,6,FALSE),"-"),"-")</f>
        <v>-</v>
      </c>
      <c r="F84" s="53" t="str">
        <f>IF(AND(booking!H84&lt;&gt;booking!I84,booking!H84&gt;0),"udc","-")</f>
        <v>udc</v>
      </c>
      <c r="G84" s="49" t="str">
        <f>IFERROR(IF(AND(booking!AB84&gt;0,booking!H84&lt;&gt;booking!I84),VLOOKUP(booking!I84,Database!$A$1:'Database'!$L$175,6,FALSE),"-"),"-")</f>
        <v>-</v>
      </c>
      <c r="H84" s="53" t="str">
        <f>IF(AND(booking!L84&lt;&gt;booking!M84,booking!L84&gt;0),"udc","-")</f>
        <v>-</v>
      </c>
      <c r="I84" s="49" t="str">
        <f>IFERROR(IF(AND(booking!AB84&gt;0,booking!L84&lt;&gt;booking!M84),VLOOKUP(booking!M84,Database!$A$1:'Database'!$L$175,6,FALSE),"-"),"-")</f>
        <v>CH</v>
      </c>
      <c r="J84" s="53" t="str">
        <f>IF(AND(booking!P84&lt;&gt;booking!Q84,booking!P84&gt;0),"udc","-")</f>
        <v>-</v>
      </c>
      <c r="K84" s="49" t="str">
        <f>IFERROR(IF(AND(booking!AB84&gt;0,booking!P84&lt;&gt;booking!Q84),VLOOKUP(booking!Q84,Database!$A$1:'Database'!$L$175,6,FALSE),"-"),"-")</f>
        <v>-</v>
      </c>
      <c r="L84" s="53" t="str">
        <f>IF(AND(booking!T84&lt;&gt;booking!U84,booking!T84&gt;0),"udc","-")</f>
        <v>-</v>
      </c>
      <c r="M84" s="49" t="str">
        <f>IFERROR(IF(AND(booking!AB84&gt;0,booking!T84&lt;&gt;booking!U84),VLOOKUP(booking!U84,Database!$A$1:'Database'!$L$175,6,FALSE),"-"),"-")</f>
        <v>-</v>
      </c>
    </row>
    <row r="85" spans="1:13" ht="15" customHeight="1" thickBot="1" x14ac:dyDescent="0.4">
      <c r="A85" t="str">
        <f>booking!B85</f>
        <v>søndag</v>
      </c>
      <c r="B85" s="24">
        <f>booking!C85</f>
        <v>46222</v>
      </c>
      <c r="C85" s="2" t="str">
        <f>IF(booking!AC85&gt;0,"Y","-")</f>
        <v>Y</v>
      </c>
      <c r="D85" s="53" t="str">
        <f>IF(AND(booking!D85&lt;&gt;booking!E85,booking!D85&gt;0),"udc","-")</f>
        <v>-</v>
      </c>
      <c r="E85" s="49" t="str">
        <f>IFERROR(IF(AND(booking!AB85&gt;0,booking!D85&lt;&gt;booking!E85),VLOOKUP(booking!E85,Database!$A$1:'Database'!$L$175,6,FALSE),"-"),"-")</f>
        <v>-</v>
      </c>
      <c r="F85" s="53" t="str">
        <f>IF(AND(booking!H85&lt;&gt;booking!I85,booking!H85&gt;0),"udc","-")</f>
        <v>-</v>
      </c>
      <c r="G85" s="49" t="str">
        <f>IFERROR(IF(AND(booking!AB85&gt;0,booking!H85&lt;&gt;booking!I85),VLOOKUP(booking!I85,Database!$A$1:'Database'!$L$175,6,FALSE),"-"),"-")</f>
        <v>CZ</v>
      </c>
      <c r="H85" s="53" t="str">
        <f>IF(AND(booking!L85&lt;&gt;booking!M85,booking!L85&gt;0),"udc","-")</f>
        <v>-</v>
      </c>
      <c r="I85" s="49" t="str">
        <f>IFERROR(IF(AND(booking!AB85&gt;0,booking!L85&lt;&gt;booking!M85),VLOOKUP(booking!M85,Database!$A$1:'Database'!$L$175,6,FALSE),"-"),"-")</f>
        <v>-</v>
      </c>
      <c r="J85" s="53" t="str">
        <f>IF(AND(booking!P85&lt;&gt;booking!Q85,booking!P85&gt;0),"udc","-")</f>
        <v>udc</v>
      </c>
      <c r="K85" s="49" t="str">
        <f>IFERROR(IF(AND(booking!AB85&gt;0,booking!P85&lt;&gt;booking!Q85),VLOOKUP(booking!Q85,Database!$A$1:'Database'!$L$175,6,FALSE),"-"),"-")</f>
        <v>DK</v>
      </c>
      <c r="L85" s="53" t="str">
        <f>IF(AND(booking!T85&lt;&gt;booking!U85,booking!T85&gt;0),"udc","-")</f>
        <v>-</v>
      </c>
      <c r="M85" s="49" t="str">
        <f>IFERROR(IF(AND(booking!AB85&gt;0,booking!T85&lt;&gt;booking!U85),VLOOKUP(booking!U85,Database!$A$1:'Database'!$L$175,6,FALSE),"-"),"-")</f>
        <v>-</v>
      </c>
    </row>
    <row r="86" spans="1:13" ht="15" customHeight="1" thickBot="1" x14ac:dyDescent="0.4">
      <c r="A86" t="str">
        <f>booking!B86</f>
        <v>mandag</v>
      </c>
      <c r="B86" s="24">
        <f>booking!C86</f>
        <v>46223</v>
      </c>
      <c r="C86" s="2" t="str">
        <f>IF(booking!AC86&gt;0,"Y","-")</f>
        <v>-</v>
      </c>
      <c r="D86" s="53" t="str">
        <f>IF(AND(booking!D86&lt;&gt;booking!E86,booking!D86&gt;0),"udc","-")</f>
        <v>-</v>
      </c>
      <c r="E86" s="49" t="str">
        <f>IFERROR(IF(AND(booking!AB86&gt;0,booking!D86&lt;&gt;booking!E86),VLOOKUP(booking!E86,Database!$A$1:'Database'!$L$175,6,FALSE),"-"),"-")</f>
        <v>-</v>
      </c>
      <c r="F86" s="53" t="str">
        <f>IF(AND(booking!H86&lt;&gt;booking!I86,booking!H86&gt;0),"udc","-")</f>
        <v>-</v>
      </c>
      <c r="G86" s="49" t="str">
        <f>IFERROR(IF(AND(booking!AB86&gt;0,booking!H86&lt;&gt;booking!I86),VLOOKUP(booking!I86,Database!$A$1:'Database'!$L$175,6,FALSE),"-"),"-")</f>
        <v>-</v>
      </c>
      <c r="H86" s="53" t="str">
        <f>IF(AND(booking!L86&lt;&gt;booking!M86,booking!L86&gt;0),"udc","-")</f>
        <v>-</v>
      </c>
      <c r="I86" s="49" t="str">
        <f>IFERROR(IF(AND(booking!AB86&gt;0,booking!L86&lt;&gt;booking!M86),VLOOKUP(booking!M86,Database!$A$1:'Database'!$L$175,6,FALSE),"-"),"-")</f>
        <v>-</v>
      </c>
      <c r="J86" s="53" t="str">
        <f>IF(AND(booking!P86&lt;&gt;booking!Q86,booking!P86&gt;0),"udc","-")</f>
        <v>-</v>
      </c>
      <c r="K86" s="49" t="str">
        <f>IFERROR(IF(AND(booking!AB86&gt;0,booking!P86&lt;&gt;booking!Q86),VLOOKUP(booking!Q86,Database!$A$1:'Database'!$L$175,6,FALSE),"-"),"-")</f>
        <v>-</v>
      </c>
      <c r="L86" s="53" t="str">
        <f>IF(AND(booking!T86&lt;&gt;booking!U86,booking!T86&gt;0),"udc","-")</f>
        <v>-</v>
      </c>
      <c r="M86" s="49" t="str">
        <f>IFERROR(IF(AND(booking!AB86&gt;0,booking!T86&lt;&gt;booking!U86),VLOOKUP(booking!U86,Database!$A$1:'Database'!$L$175,6,FALSE),"-"),"-")</f>
        <v>-</v>
      </c>
    </row>
    <row r="87" spans="1:13" ht="15" customHeight="1" thickBot="1" x14ac:dyDescent="0.4">
      <c r="A87" t="str">
        <f>booking!B87</f>
        <v>tirsdag</v>
      </c>
      <c r="B87" s="24">
        <f>booking!C87</f>
        <v>46224</v>
      </c>
      <c r="C87" s="2" t="str">
        <f>IF(booking!AC87&gt;0,"Y","-")</f>
        <v>-</v>
      </c>
      <c r="D87" s="53" t="str">
        <f>IF(AND(booking!D87&lt;&gt;booking!E87,booking!D87&gt;0),"udc","-")</f>
        <v>-</v>
      </c>
      <c r="E87" s="49" t="str">
        <f>IFERROR(IF(AND(booking!AB87&gt;0,booking!D87&lt;&gt;booking!E87),VLOOKUP(booking!E87,Database!$A$1:'Database'!$L$175,6,FALSE),"-"),"-")</f>
        <v>-</v>
      </c>
      <c r="F87" s="53" t="str">
        <f>IF(AND(booking!H87&lt;&gt;booking!I87,booking!H87&gt;0),"udc","-")</f>
        <v>-</v>
      </c>
      <c r="G87" s="49" t="str">
        <f>IFERROR(IF(AND(booking!AB87&gt;0,booking!H87&lt;&gt;booking!I87),VLOOKUP(booking!I87,Database!$A$1:'Database'!$L$175,6,FALSE),"-"),"-")</f>
        <v>-</v>
      </c>
      <c r="H87" s="53" t="str">
        <f>IF(AND(booking!L87&lt;&gt;booking!M87,booking!L87&gt;0),"udc","-")</f>
        <v>-</v>
      </c>
      <c r="I87" s="49" t="str">
        <f>IFERROR(IF(AND(booking!AB87&gt;0,booking!L87&lt;&gt;booking!M87),VLOOKUP(booking!M87,Database!$A$1:'Database'!$L$175,6,FALSE),"-"),"-")</f>
        <v>-</v>
      </c>
      <c r="J87" s="53" t="str">
        <f>IF(AND(booking!P87&lt;&gt;booking!Q87,booking!P87&gt;0),"udc","-")</f>
        <v>-</v>
      </c>
      <c r="K87" s="49" t="str">
        <f>IFERROR(IF(AND(booking!AB87&gt;0,booking!P87&lt;&gt;booking!Q87),VLOOKUP(booking!Q87,Database!$A$1:'Database'!$L$175,6,FALSE),"-"),"-")</f>
        <v>-</v>
      </c>
      <c r="L87" s="53" t="str">
        <f>IF(AND(booking!T87&lt;&gt;booking!U87,booking!T87&gt;0),"udc","-")</f>
        <v>-</v>
      </c>
      <c r="M87" s="49" t="str">
        <f>IFERROR(IF(AND(booking!AB87&gt;0,booking!T87&lt;&gt;booking!U87),VLOOKUP(booking!U87,Database!$A$1:'Database'!$L$175,6,FALSE),"-"),"-")</f>
        <v>-</v>
      </c>
    </row>
    <row r="88" spans="1:13" ht="15" customHeight="1" thickBot="1" x14ac:dyDescent="0.4">
      <c r="A88" t="str">
        <f>booking!B88</f>
        <v>onsdag</v>
      </c>
      <c r="B88" s="24">
        <f>booking!C88</f>
        <v>46225</v>
      </c>
      <c r="C88" s="2" t="str">
        <f>IF(booking!AC88&gt;0,"Y","-")</f>
        <v>Y</v>
      </c>
      <c r="D88" s="53" t="str">
        <f>IF(AND(booking!D88&lt;&gt;booking!E88,booking!D88&gt;0),"udc","-")</f>
        <v>-</v>
      </c>
      <c r="E88" s="49" t="str">
        <f>IFERROR(IF(AND(booking!AB88&gt;0,booking!D88&lt;&gt;booking!E88),VLOOKUP(booking!E88,Database!$A$1:'Database'!$L$175,6,FALSE),"-"),"-")</f>
        <v>-</v>
      </c>
      <c r="F88" s="53" t="str">
        <f>IF(AND(booking!H88&lt;&gt;booking!I88,booking!H88&gt;0),"udc","-")</f>
        <v>-</v>
      </c>
      <c r="G88" s="49" t="str">
        <f>IFERROR(IF(AND(booking!AB88&gt;0,booking!H88&lt;&gt;booking!I88),VLOOKUP(booking!I88,Database!$A$1:'Database'!$L$175,6,FALSE),"-"),"-")</f>
        <v>-</v>
      </c>
      <c r="H88" s="53" t="str">
        <f>IF(AND(booking!L88&lt;&gt;booking!M88,booking!L88&gt;0),"udc","-")</f>
        <v>-</v>
      </c>
      <c r="I88" s="49" t="str">
        <f>IFERROR(IF(AND(booking!AB88&gt;0,booking!L88&lt;&gt;booking!M88),VLOOKUP(booking!M88,Database!$A$1:'Database'!$L$175,6,FALSE),"-"),"-")</f>
        <v>-</v>
      </c>
      <c r="J88" s="53" t="str">
        <f>IF(AND(booking!P88&lt;&gt;booking!Q88,booking!P88&gt;0),"udc","-")</f>
        <v>-</v>
      </c>
      <c r="K88" s="49" t="str">
        <f>IFERROR(IF(AND(booking!AB88&gt;0,booking!P88&lt;&gt;booking!Q88),VLOOKUP(booking!Q88,Database!$A$1:'Database'!$L$175,6,FALSE),"-"),"-")</f>
        <v>-</v>
      </c>
      <c r="L88" s="53" t="str">
        <f>IF(AND(booking!T88&lt;&gt;booking!U88,booking!T88&gt;0),"udc","-")</f>
        <v>udc</v>
      </c>
      <c r="M88" s="49" t="str">
        <f>IFERROR(IF(AND(booking!AB88&gt;0,booking!T88&lt;&gt;booking!U88),VLOOKUP(booking!U88,Database!$A$1:'Database'!$L$175,6,FALSE),"-"),"-")</f>
        <v>DK</v>
      </c>
    </row>
    <row r="89" spans="1:13" ht="15" customHeight="1" thickBot="1" x14ac:dyDescent="0.4">
      <c r="A89" t="str">
        <f>booking!B89</f>
        <v>torsdag</v>
      </c>
      <c r="B89" s="24">
        <f>booking!C89</f>
        <v>46226</v>
      </c>
      <c r="C89" s="2" t="str">
        <f>IF(booking!AC89&gt;0,"Y","-")</f>
        <v>-</v>
      </c>
      <c r="D89" s="53" t="str">
        <f>IF(AND(booking!D89&lt;&gt;booking!E89,booking!D89&gt;0),"udc","-")</f>
        <v>-</v>
      </c>
      <c r="E89" s="49" t="str">
        <f>IFERROR(IF(AND(booking!AB89&gt;0,booking!D89&lt;&gt;booking!E89),VLOOKUP(booking!E89,Database!$A$1:'Database'!$L$175,6,FALSE),"-"),"-")</f>
        <v>-</v>
      </c>
      <c r="F89" s="53" t="str">
        <f>IF(AND(booking!H89&lt;&gt;booking!I89,booking!H89&gt;0),"udc","-")</f>
        <v>-</v>
      </c>
      <c r="G89" s="49" t="str">
        <f>IFERROR(IF(AND(booking!AB89&gt;0,booking!H89&lt;&gt;booking!I89),VLOOKUP(booking!I89,Database!$A$1:'Database'!$L$175,6,FALSE),"-"),"-")</f>
        <v>-</v>
      </c>
      <c r="H89" s="53" t="str">
        <f>IF(AND(booking!L89&lt;&gt;booking!M89,booking!L89&gt;0),"udc","-")</f>
        <v>-</v>
      </c>
      <c r="I89" s="49" t="str">
        <f>IFERROR(IF(AND(booking!AB89&gt;0,booking!L89&lt;&gt;booking!M89),VLOOKUP(booking!M89,Database!$A$1:'Database'!$L$175,6,FALSE),"-"),"-")</f>
        <v>-</v>
      </c>
      <c r="J89" s="53" t="str">
        <f>IF(AND(booking!P89&lt;&gt;booking!Q89,booking!P89&gt;0),"udc","-")</f>
        <v>-</v>
      </c>
      <c r="K89" s="49" t="str">
        <f>IFERROR(IF(AND(booking!AB89&gt;0,booking!P89&lt;&gt;booking!Q89),VLOOKUP(booking!Q89,Database!$A$1:'Database'!$L$175,6,FALSE),"-"),"-")</f>
        <v>-</v>
      </c>
      <c r="L89" s="53" t="str">
        <f>IF(AND(booking!T89&lt;&gt;booking!U89,booking!T89&gt;0),"udc","-")</f>
        <v>-</v>
      </c>
      <c r="M89" s="49" t="str">
        <f>IFERROR(IF(AND(booking!AB89&gt;0,booking!T89&lt;&gt;booking!U89),VLOOKUP(booking!U89,Database!$A$1:'Database'!$L$175,6,FALSE),"-"),"-")</f>
        <v>-</v>
      </c>
    </row>
    <row r="90" spans="1:13" ht="15" customHeight="1" thickBot="1" x14ac:dyDescent="0.4">
      <c r="A90" t="str">
        <f>booking!B90</f>
        <v>fredag</v>
      </c>
      <c r="B90" s="24">
        <f>booking!C90</f>
        <v>46227</v>
      </c>
      <c r="C90" s="2" t="str">
        <f>IF(booking!AC90&gt;0,"Y","-")</f>
        <v>Y</v>
      </c>
      <c r="D90" s="53" t="str">
        <f>IF(AND(booking!D90&lt;&gt;booking!E90,booking!D90&gt;0),"udc","-")</f>
        <v>-</v>
      </c>
      <c r="E90" s="49" t="str">
        <f>IFERROR(IF(AND(booking!AB90&gt;0,booking!D90&lt;&gt;booking!E90),VLOOKUP(booking!E90,Database!$A$1:'Database'!$L$175,6,FALSE),"-"),"-")</f>
        <v>-</v>
      </c>
      <c r="F90" s="53" t="str">
        <f>IF(AND(booking!H90&lt;&gt;booking!I90,booking!H90&gt;0),"udc","-")</f>
        <v>udc</v>
      </c>
      <c r="G90" s="49" t="str">
        <f>IFERROR(IF(AND(booking!AB90&gt;0,booking!H90&lt;&gt;booking!I90),VLOOKUP(booking!I90,Database!$A$1:'Database'!$L$175,6,FALSE),"-"),"-")</f>
        <v>-</v>
      </c>
      <c r="H90" s="53" t="str">
        <f>IF(AND(booking!L90&lt;&gt;booking!M90,booking!L90&gt;0),"udc","-")</f>
        <v>-</v>
      </c>
      <c r="I90" s="49" t="str">
        <f>IFERROR(IF(AND(booking!AB90&gt;0,booking!L90&lt;&gt;booking!M90),VLOOKUP(booking!M90,Database!$A$1:'Database'!$L$175,6,FALSE),"-"),"-")</f>
        <v>-</v>
      </c>
      <c r="J90" s="53" t="str">
        <f>IF(AND(booking!P90&lt;&gt;booking!Q90,booking!P90&gt;0),"udc","-")</f>
        <v>-</v>
      </c>
      <c r="K90" s="49" t="str">
        <f>IFERROR(IF(AND(booking!AB90&gt;0,booking!P90&lt;&gt;booking!Q90),VLOOKUP(booking!Q90,Database!$A$1:'Database'!$L$175,6,FALSE),"-"),"-")</f>
        <v>-</v>
      </c>
      <c r="L90" s="53" t="str">
        <f>IF(AND(booking!T90&lt;&gt;booking!U90,booking!T90&gt;0),"udc","-")</f>
        <v>-</v>
      </c>
      <c r="M90" s="49" t="str">
        <f>IFERROR(IF(AND(booking!AB90&gt;0,booking!T90&lt;&gt;booking!U90),VLOOKUP(booking!U90,Database!$A$1:'Database'!$L$175,6,FALSE),"-"),"-")</f>
        <v>-</v>
      </c>
    </row>
    <row r="91" spans="1:13" ht="15" customHeight="1" thickBot="1" x14ac:dyDescent="0.4">
      <c r="A91" t="str">
        <f>booking!B91</f>
        <v>lørdag</v>
      </c>
      <c r="B91" s="24">
        <f>booking!C91</f>
        <v>46228</v>
      </c>
      <c r="C91" s="2" t="str">
        <f>IF(booking!AC91&gt;0,"Y","-")</f>
        <v>Y</v>
      </c>
      <c r="D91" s="53" t="str">
        <f>IF(AND(booking!D91&lt;&gt;booking!E91,booking!D91&gt;0),"udc","-")</f>
        <v>-</v>
      </c>
      <c r="E91" s="49" t="str">
        <f>IFERROR(IF(AND(booking!AB91&gt;0,booking!D91&lt;&gt;booking!E91),VLOOKUP(booking!E91,Database!$A$1:'Database'!$L$175,6,FALSE),"-"),"-")</f>
        <v>-</v>
      </c>
      <c r="F91" s="53" t="str">
        <f>IF(AND(booking!H91&lt;&gt;booking!I91,booking!H91&gt;0),"udc","-")</f>
        <v>-</v>
      </c>
      <c r="G91" s="49" t="str">
        <f>IFERROR(IF(AND(booking!AB91&gt;0,booking!H91&lt;&gt;booking!I91),VLOOKUP(booking!I91,Database!$A$1:'Database'!$L$175,6,FALSE),"-"),"-")</f>
        <v>-</v>
      </c>
      <c r="H91" s="53" t="str">
        <f>IF(AND(booking!L91&lt;&gt;booking!M91,booking!L91&gt;0),"udc","-")</f>
        <v>udc</v>
      </c>
      <c r="I91" s="49" t="str">
        <f>IFERROR(IF(AND(booking!AB91&gt;0,booking!L91&lt;&gt;booking!M91),VLOOKUP(booking!M91,Database!$A$1:'Database'!$L$175,6,FALSE),"-"),"-")</f>
        <v>-</v>
      </c>
      <c r="J91" s="53" t="str">
        <f>IF(AND(booking!P91&lt;&gt;booking!Q91,booking!P91&gt;0),"udc","-")</f>
        <v>udc</v>
      </c>
      <c r="K91" s="49" t="str">
        <f>IFERROR(IF(AND(booking!AB91&gt;0,booking!P91&lt;&gt;booking!Q91),VLOOKUP(booking!Q91,Database!$A$1:'Database'!$L$175,6,FALSE),"-"),"-")</f>
        <v>-</v>
      </c>
      <c r="L91" s="53" t="str">
        <f>IF(AND(booking!T91&lt;&gt;booking!U91,booking!T91&gt;0),"udc","-")</f>
        <v>udc</v>
      </c>
      <c r="M91" s="49" t="str">
        <f>IFERROR(IF(AND(booking!AB91&gt;0,booking!T91&lt;&gt;booking!U91),VLOOKUP(booking!U91,Database!$A$1:'Database'!$L$175,6,FALSE),"-"),"-")</f>
        <v>DK</v>
      </c>
    </row>
    <row r="92" spans="1:13" ht="15" customHeight="1" thickBot="1" x14ac:dyDescent="0.4">
      <c r="A92" t="str">
        <f>booking!B92</f>
        <v>søndag</v>
      </c>
      <c r="B92" s="24">
        <f>booking!C92</f>
        <v>46229</v>
      </c>
      <c r="C92" s="2" t="str">
        <f>IF(booking!AC92&gt;0,"Y","-")</f>
        <v>Y</v>
      </c>
      <c r="D92" s="53" t="str">
        <f>IF(AND(booking!D92&lt;&gt;booking!E92,booking!D92&gt;0),"udc","-")</f>
        <v>udc</v>
      </c>
      <c r="E92" s="49" t="str">
        <f>IFERROR(IF(AND(booking!AB92&gt;0,booking!D92&lt;&gt;booking!E92),VLOOKUP(booking!E92,Database!$A$1:'Database'!$L$175,6,FALSE),"-"),"-")</f>
        <v>-</v>
      </c>
      <c r="F92" s="53" t="str">
        <f>IF(AND(booking!H92&lt;&gt;booking!I92,booking!H92&gt;0),"udc","-")</f>
        <v>-</v>
      </c>
      <c r="G92" s="49" t="str">
        <f>IFERROR(IF(AND(booking!AB92&gt;0,booking!H92&lt;&gt;booking!I92),VLOOKUP(booking!I92,Database!$A$1:'Database'!$L$175,6,FALSE),"-"),"-")</f>
        <v>-</v>
      </c>
      <c r="H92" s="53" t="str">
        <f>IF(AND(booking!L92&lt;&gt;booking!M92,booking!L92&gt;0),"udc","-")</f>
        <v>-</v>
      </c>
      <c r="I92" s="49" t="str">
        <f>IFERROR(IF(AND(booking!AB92&gt;0,booking!L92&lt;&gt;booking!M92),VLOOKUP(booking!M92,Database!$A$1:'Database'!$L$175,6,FALSE),"-"),"-")</f>
        <v>DK</v>
      </c>
      <c r="J92" s="53" t="str">
        <f>IF(AND(booking!P92&lt;&gt;booking!Q92,booking!P92&gt;0),"udc","-")</f>
        <v>-</v>
      </c>
      <c r="K92" s="49" t="str">
        <f>IFERROR(IF(AND(booking!AB92&gt;0,booking!P92&lt;&gt;booking!Q92),VLOOKUP(booking!Q92,Database!$A$1:'Database'!$L$175,6,FALSE),"-"),"-")</f>
        <v>DK</v>
      </c>
      <c r="L92" s="53" t="str">
        <f>IF(AND(booking!T92&lt;&gt;booking!U92,booking!T92&gt;0),"udc","-")</f>
        <v>-</v>
      </c>
      <c r="M92" s="49" t="str">
        <f>IFERROR(IF(AND(booking!AB92&gt;0,booking!T92&lt;&gt;booking!U92),VLOOKUP(booking!U92,Database!$A$1:'Database'!$L$175,6,FALSE),"-"),"-")</f>
        <v>-</v>
      </c>
    </row>
    <row r="93" spans="1:13" ht="15" customHeight="1" thickBot="1" x14ac:dyDescent="0.4">
      <c r="A93" t="str">
        <f>booking!B93</f>
        <v>mandag</v>
      </c>
      <c r="B93" s="24">
        <f>booking!C93</f>
        <v>46230</v>
      </c>
      <c r="C93" s="2" t="str">
        <f>IF(booking!AC93&gt;0,"Y","-")</f>
        <v>-</v>
      </c>
      <c r="D93" s="53" t="str">
        <f>IF(AND(booking!D93&lt;&gt;booking!E93,booking!D93&gt;0),"udc","-")</f>
        <v>-</v>
      </c>
      <c r="E93" s="49" t="str">
        <f>IFERROR(IF(AND(booking!AB93&gt;0,booking!D93&lt;&gt;booking!E93),VLOOKUP(booking!E93,Database!$A$1:'Database'!$L$175,6,FALSE),"-"),"-")</f>
        <v>DK</v>
      </c>
      <c r="F93" s="53" t="str">
        <f>IF(AND(booking!H93&lt;&gt;booking!I93,booking!H93&gt;0),"udc","-")</f>
        <v>-</v>
      </c>
      <c r="G93" s="49" t="str">
        <f>IFERROR(IF(AND(booking!AB93&gt;0,booking!H93&lt;&gt;booking!I93),VLOOKUP(booking!I93,Database!$A$1:'Database'!$L$175,6,FALSE),"-"),"-")</f>
        <v>DK</v>
      </c>
      <c r="H93" s="53" t="str">
        <f>IF(AND(booking!L93&lt;&gt;booking!M93,booking!L93&gt;0),"udc","-")</f>
        <v>-</v>
      </c>
      <c r="I93" s="49" t="str">
        <f>IFERROR(IF(AND(booking!AB93&gt;0,booking!L93&lt;&gt;booking!M93),VLOOKUP(booking!M93,Database!$A$1:'Database'!$L$175,6,FALSE),"-"),"-")</f>
        <v>-</v>
      </c>
      <c r="J93" s="53" t="str">
        <f>IF(AND(booking!P93&lt;&gt;booking!Q93,booking!P93&gt;0),"udc","-")</f>
        <v>-</v>
      </c>
      <c r="K93" s="49" t="str">
        <f>IFERROR(IF(AND(booking!AB93&gt;0,booking!P93&lt;&gt;booking!Q93),VLOOKUP(booking!Q93,Database!$A$1:'Database'!$L$175,6,FALSE),"-"),"-")</f>
        <v>-</v>
      </c>
      <c r="L93" s="53" t="str">
        <f>IF(AND(booking!T93&lt;&gt;booking!U93,booking!T93&gt;0),"udc","-")</f>
        <v>-</v>
      </c>
      <c r="M93" s="49" t="str">
        <f>IFERROR(IF(AND(booking!AB93&gt;0,booking!T93&lt;&gt;booking!U93),VLOOKUP(booking!U93,Database!$A$1:'Database'!$L$175,6,FALSE),"-"),"-")</f>
        <v>-</v>
      </c>
    </row>
    <row r="94" spans="1:13" ht="15" customHeight="1" thickBot="1" x14ac:dyDescent="0.4">
      <c r="A94" t="str">
        <f>booking!B94</f>
        <v>tirsdag</v>
      </c>
      <c r="B94" s="24">
        <f>booking!C94</f>
        <v>46231</v>
      </c>
      <c r="C94" s="2" t="str">
        <f>IF(booking!AC94&gt;0,"Y","-")</f>
        <v>-</v>
      </c>
      <c r="D94" s="53" t="str">
        <f>IF(AND(booking!D94&lt;&gt;booking!E94,booking!D94&gt;0),"udc","-")</f>
        <v>-</v>
      </c>
      <c r="E94" s="49" t="str">
        <f>IFERROR(IF(AND(booking!AB94&gt;0,booking!D94&lt;&gt;booking!E94),VLOOKUP(booking!E94,Database!$A$1:'Database'!$L$175,6,FALSE),"-"),"-")</f>
        <v>-</v>
      </c>
      <c r="F94" s="53" t="str">
        <f>IF(AND(booking!H94&lt;&gt;booking!I94,booking!H94&gt;0),"udc","-")</f>
        <v>-</v>
      </c>
      <c r="G94" s="49" t="str">
        <f>IFERROR(IF(AND(booking!AB94&gt;0,booking!H94&lt;&gt;booking!I94),VLOOKUP(booking!I94,Database!$A$1:'Database'!$L$175,6,FALSE),"-"),"-")</f>
        <v>-</v>
      </c>
      <c r="H94" s="53" t="str">
        <f>IF(AND(booking!L94&lt;&gt;booking!M94,booking!L94&gt;0),"udc","-")</f>
        <v>-</v>
      </c>
      <c r="I94" s="49" t="str">
        <f>IFERROR(IF(AND(booking!AB94&gt;0,booking!L94&lt;&gt;booking!M94),VLOOKUP(booking!M94,Database!$A$1:'Database'!$L$175,6,FALSE),"-"),"-")</f>
        <v>-</v>
      </c>
      <c r="J94" s="53" t="str">
        <f>IF(AND(booking!P94&lt;&gt;booking!Q94,booking!P94&gt;0),"udc","-")</f>
        <v>-</v>
      </c>
      <c r="K94" s="49" t="str">
        <f>IFERROR(IF(AND(booking!AB94&gt;0,booking!P94&lt;&gt;booking!Q94),VLOOKUP(booking!Q94,Database!$A$1:'Database'!$L$175,6,FALSE),"-"),"-")</f>
        <v>-</v>
      </c>
      <c r="L94" s="53" t="str">
        <f>IF(AND(booking!T94&lt;&gt;booking!U94,booking!T94&gt;0),"udc","-")</f>
        <v>-</v>
      </c>
      <c r="M94" s="49" t="str">
        <f>IFERROR(IF(AND(booking!AB94&gt;0,booking!T94&lt;&gt;booking!U94),VLOOKUP(booking!U94,Database!$A$1:'Database'!$L$175,6,FALSE),"-"),"-")</f>
        <v>-</v>
      </c>
    </row>
    <row r="95" spans="1:13" ht="15" customHeight="1" thickBot="1" x14ac:dyDescent="0.4">
      <c r="A95" t="str">
        <f>booking!B95</f>
        <v>onsdag</v>
      </c>
      <c r="B95" s="24">
        <f>booking!C95</f>
        <v>46232</v>
      </c>
      <c r="C95" s="2" t="str">
        <f>IF(booking!AC95&gt;0,"Y","-")</f>
        <v>Y</v>
      </c>
      <c r="D95" s="53" t="str">
        <f>IF(AND(booking!D95&lt;&gt;booking!E95,booking!D95&gt;0),"udc","-")</f>
        <v>-</v>
      </c>
      <c r="E95" s="49" t="str">
        <f>IFERROR(IF(AND(booking!AB95&gt;0,booking!D95&lt;&gt;booking!E95),VLOOKUP(booking!E95,Database!$A$1:'Database'!$L$175,6,FALSE),"-"),"-")</f>
        <v>-</v>
      </c>
      <c r="F95" s="53" t="str">
        <f>IF(AND(booking!H95&lt;&gt;booking!I95,booking!H95&gt;0),"udc","-")</f>
        <v>-</v>
      </c>
      <c r="G95" s="49" t="str">
        <f>IFERROR(IF(AND(booking!AB95&gt;0,booking!H95&lt;&gt;booking!I95),VLOOKUP(booking!I95,Database!$A$1:'Database'!$L$175,6,FALSE),"-"),"-")</f>
        <v>-</v>
      </c>
      <c r="H95" s="53" t="str">
        <f>IF(AND(booking!L95&lt;&gt;booking!M95,booking!L95&gt;0),"udc","-")</f>
        <v>-</v>
      </c>
      <c r="I95" s="49" t="str">
        <f>IFERROR(IF(AND(booking!AB95&gt;0,booking!L95&lt;&gt;booking!M95),VLOOKUP(booking!M95,Database!$A$1:'Database'!$L$175,6,FALSE),"-"),"-")</f>
        <v>-</v>
      </c>
      <c r="J95" s="53" t="str">
        <f>IF(AND(booking!P95&lt;&gt;booking!Q95,booking!P95&gt;0),"udc","-")</f>
        <v>udc</v>
      </c>
      <c r="K95" s="49" t="str">
        <f>IFERROR(IF(AND(booking!AB95&gt;0,booking!P95&lt;&gt;booking!Q95),VLOOKUP(booking!Q95,Database!$A$1:'Database'!$L$175,6,FALSE),"-"),"-")</f>
        <v>S</v>
      </c>
      <c r="L95" s="53" t="str">
        <f>IF(AND(booking!T95&lt;&gt;booking!U95,booking!T95&gt;0),"udc","-")</f>
        <v>-</v>
      </c>
      <c r="M95" s="49" t="str">
        <f>IFERROR(IF(AND(booking!AB95&gt;0,booking!T95&lt;&gt;booking!U95),VLOOKUP(booking!U95,Database!$A$1:'Database'!$L$175,6,FALSE),"-"),"-")</f>
        <v>-</v>
      </c>
    </row>
    <row r="96" spans="1:13" ht="15" customHeight="1" thickBot="1" x14ac:dyDescent="0.4">
      <c r="A96" t="str">
        <f>booking!B96</f>
        <v>torsdag</v>
      </c>
      <c r="B96" s="24">
        <f>booking!C96</f>
        <v>46233</v>
      </c>
      <c r="C96" s="2" t="str">
        <f>IF(booking!AC96&gt;0,"Y","-")</f>
        <v>Y</v>
      </c>
      <c r="D96" s="53" t="str">
        <f>IF(AND(booking!D96&lt;&gt;booking!E96,booking!D96&gt;0),"udc","-")</f>
        <v>-</v>
      </c>
      <c r="E96" s="49" t="str">
        <f>IFERROR(IF(AND(booking!AB96&gt;0,booking!D96&lt;&gt;booking!E96),VLOOKUP(booking!E96,Database!$A$1:'Database'!$L$175,6,FALSE),"-"),"-")</f>
        <v>-</v>
      </c>
      <c r="F96" s="53" t="str">
        <f>IF(AND(booking!H96&lt;&gt;booking!I96,booking!H96&gt;0),"udc","-")</f>
        <v>-</v>
      </c>
      <c r="G96" s="49" t="str">
        <f>IFERROR(IF(AND(booking!AB96&gt;0,booking!H96&lt;&gt;booking!I96),VLOOKUP(booking!I96,Database!$A$1:'Database'!$L$175,6,FALSE),"-"),"-")</f>
        <v>-</v>
      </c>
      <c r="H96" s="53" t="str">
        <f>IF(AND(booking!L96&lt;&gt;booking!M96,booking!L96&gt;0),"udc","-")</f>
        <v>udc</v>
      </c>
      <c r="I96" s="49" t="str">
        <f>IFERROR(IF(AND(booking!AB96&gt;0,booking!L96&lt;&gt;booking!M96),VLOOKUP(booking!M96,Database!$A$1:'Database'!$L$175,6,FALSE),"-"),"-")</f>
        <v>DK</v>
      </c>
      <c r="J96" s="53" t="str">
        <f>IF(AND(booking!P96&lt;&gt;booking!Q96,booking!P96&gt;0),"udc","-")</f>
        <v>-</v>
      </c>
      <c r="K96" s="49" t="str">
        <f>IFERROR(IF(AND(booking!AB96&gt;0,booking!P96&lt;&gt;booking!Q96),VLOOKUP(booking!Q96,Database!$A$1:'Database'!$L$175,6,FALSE),"-"),"-")</f>
        <v>-</v>
      </c>
      <c r="L96" s="53" t="str">
        <f>IF(AND(booking!T96&lt;&gt;booking!U96,booking!T96&gt;0),"udc","-")</f>
        <v>-</v>
      </c>
      <c r="M96" s="49" t="str">
        <f>IFERROR(IF(AND(booking!AB96&gt;0,booking!T96&lt;&gt;booking!U96),VLOOKUP(booking!U96,Database!$A$1:'Database'!$L$175,6,FALSE),"-"),"-")</f>
        <v>-</v>
      </c>
    </row>
    <row r="97" spans="1:13" ht="15" customHeight="1" thickBot="1" x14ac:dyDescent="0.4">
      <c r="A97" t="str">
        <f>booking!B97</f>
        <v>fredag</v>
      </c>
      <c r="B97" s="24">
        <f>booking!C97</f>
        <v>46234</v>
      </c>
      <c r="C97" s="2" t="str">
        <f>IF(booking!AC97&gt;0,"Y","-")</f>
        <v>Y</v>
      </c>
      <c r="D97" s="53" t="str">
        <f>IF(AND(booking!D97&lt;&gt;booking!E97,booking!D97&gt;0),"udc","-")</f>
        <v>udc</v>
      </c>
      <c r="E97" s="49" t="str">
        <f>IFERROR(IF(AND(booking!AB97&gt;0,booking!D97&lt;&gt;booking!E97),VLOOKUP(booking!E97,Database!$A$1:'Database'!$L$175,6,FALSE),"-"),"-")</f>
        <v>D</v>
      </c>
      <c r="F97" s="53" t="str">
        <f>IF(AND(booking!H97&lt;&gt;booking!I97,booking!H97&gt;0),"udc","-")</f>
        <v>udc</v>
      </c>
      <c r="G97" s="49" t="str">
        <f>IFERROR(IF(AND(booking!AB97&gt;0,booking!H97&lt;&gt;booking!I97),VLOOKUP(booking!I97,Database!$A$1:'Database'!$L$175,6,FALSE),"-"),"-")</f>
        <v>-</v>
      </c>
      <c r="H97" s="53" t="str">
        <f>IF(AND(booking!L97&lt;&gt;booking!M97,booking!L97&gt;0),"udc","-")</f>
        <v>-</v>
      </c>
      <c r="I97" s="49" t="str">
        <f>IFERROR(IF(AND(booking!AB97&gt;0,booking!L97&lt;&gt;booking!M97),VLOOKUP(booking!M97,Database!$A$1:'Database'!$L$175,6,FALSE),"-"),"-")</f>
        <v>-</v>
      </c>
      <c r="J97" s="53" t="str">
        <f>IF(AND(booking!P97&lt;&gt;booking!Q97,booking!P97&gt;0),"udc","-")</f>
        <v>-</v>
      </c>
      <c r="K97" s="49" t="str">
        <f>IFERROR(IF(AND(booking!AB97&gt;0,booking!P97&lt;&gt;booking!Q97),VLOOKUP(booking!Q97,Database!$A$1:'Database'!$L$175,6,FALSE),"-"),"-")</f>
        <v>-</v>
      </c>
      <c r="L97" s="53" t="str">
        <f>IF(AND(booking!T97&lt;&gt;booking!U97,booking!T97&gt;0),"udc","-")</f>
        <v>-</v>
      </c>
      <c r="M97" s="49" t="str">
        <f>IFERROR(IF(AND(booking!AB97&gt;0,booking!T97&lt;&gt;booking!U97),VLOOKUP(booking!U97,Database!$A$1:'Database'!$L$175,6,FALSE),"-"),"-")</f>
        <v>-</v>
      </c>
    </row>
    <row r="98" spans="1:13" ht="15" customHeight="1" thickBot="1" x14ac:dyDescent="0.4">
      <c r="A98" t="str">
        <f>booking!B98</f>
        <v>lørdag</v>
      </c>
      <c r="B98" s="24">
        <f>booking!C98</f>
        <v>46235</v>
      </c>
      <c r="C98" s="2" t="str">
        <f>IF(booking!AC98&gt;0,"Y","-")</f>
        <v>Y</v>
      </c>
      <c r="D98" s="53" t="str">
        <f>IF(AND(booking!D98&lt;&gt;booking!E98,booking!D98&gt;0),"udc","-")</f>
        <v>-</v>
      </c>
      <c r="E98" s="49" t="str">
        <f>IFERROR(IF(AND(booking!AB98&gt;0,booking!D98&lt;&gt;booking!E98),VLOOKUP(booking!E98,Database!$A$1:'Database'!$L$175,6,FALSE),"-"),"-")</f>
        <v>-</v>
      </c>
      <c r="F98" s="53" t="str">
        <f>IF(AND(booking!H98&lt;&gt;booking!I98,booking!H98&gt;0),"udc","-")</f>
        <v>-</v>
      </c>
      <c r="G98" s="49" t="str">
        <f>IFERROR(IF(AND(booking!AB98&gt;0,booking!H98&lt;&gt;booking!I98),VLOOKUP(booking!I98,Database!$A$1:'Database'!$L$175,6,FALSE),"-"),"-")</f>
        <v>-</v>
      </c>
      <c r="H98" s="53" t="str">
        <f>IF(AND(booking!L98&lt;&gt;booking!M98,booking!L98&gt;0),"udc","-")</f>
        <v>-</v>
      </c>
      <c r="I98" s="49" t="str">
        <f>IFERROR(IF(AND(booking!AB98&gt;0,booking!L98&lt;&gt;booking!M98),VLOOKUP(booking!M98,Database!$A$1:'Database'!$L$175,6,FALSE),"-"),"-")</f>
        <v>-</v>
      </c>
      <c r="J98" s="53" t="str">
        <f>IF(AND(booking!P98&lt;&gt;booking!Q98,booking!P98&gt;0),"udc","-")</f>
        <v>-</v>
      </c>
      <c r="K98" s="49" t="str">
        <f>IFERROR(IF(AND(booking!AB98&gt;0,booking!P98&lt;&gt;booking!Q98),VLOOKUP(booking!Q98,Database!$A$1:'Database'!$L$175,6,FALSE),"-"),"-")</f>
        <v>-</v>
      </c>
      <c r="L98" s="53" t="str">
        <f>IF(AND(booking!T98&lt;&gt;booking!U98,booking!T98&gt;0),"udc","-")</f>
        <v>udc</v>
      </c>
      <c r="M98" s="49" t="str">
        <f>IFERROR(IF(AND(booking!AB98&gt;0,booking!T98&lt;&gt;booking!U98),VLOOKUP(booking!U98,Database!$A$1:'Database'!$L$175,6,FALSE),"-"),"-")</f>
        <v>-</v>
      </c>
    </row>
    <row r="99" spans="1:13" ht="15" customHeight="1" thickBot="1" x14ac:dyDescent="0.4">
      <c r="A99" t="str">
        <f>booking!B99</f>
        <v>søndag</v>
      </c>
      <c r="B99" s="24">
        <f>booking!C99</f>
        <v>46236</v>
      </c>
      <c r="C99" s="2" t="str">
        <f>IF(booking!AC99&gt;0,"Y","-")</f>
        <v>Y</v>
      </c>
      <c r="D99" s="53" t="str">
        <f>IF(AND(booking!D99&lt;&gt;booking!E99,booking!D99&gt;0),"udc","-")</f>
        <v>-</v>
      </c>
      <c r="E99" s="49" t="str">
        <f>IFERROR(IF(AND(booking!AB99&gt;0,booking!D99&lt;&gt;booking!E99),VLOOKUP(booking!E99,Database!$A$1:'Database'!$L$175,6,FALSE),"-"),"-")</f>
        <v>-</v>
      </c>
      <c r="F99" s="53" t="str">
        <f>IF(AND(booking!H99&lt;&gt;booking!I99,booking!H99&gt;0),"udc","-")</f>
        <v>-</v>
      </c>
      <c r="G99" s="49" t="str">
        <f>IFERROR(IF(AND(booking!AB99&gt;0,booking!H99&lt;&gt;booking!I99),VLOOKUP(booking!I99,Database!$A$1:'Database'!$L$175,6,FALSE),"-"),"-")</f>
        <v>DK</v>
      </c>
      <c r="H99" s="53" t="str">
        <f>IF(AND(booking!L99&lt;&gt;booking!M99,booking!L99&gt;0),"udc","-")</f>
        <v>udc</v>
      </c>
      <c r="I99" s="49" t="str">
        <f>IFERROR(IF(AND(booking!AB99&gt;0,booking!L99&lt;&gt;booking!M99),VLOOKUP(booking!M99,Database!$A$1:'Database'!$L$175,6,FALSE),"-"),"-")</f>
        <v>DK</v>
      </c>
      <c r="J99" s="53" t="str">
        <f>IF(AND(booking!P99&lt;&gt;booking!Q99,booking!P99&gt;0),"udc","-")</f>
        <v>-</v>
      </c>
      <c r="K99" s="49" t="str">
        <f>IFERROR(IF(AND(booking!AB99&gt;0,booking!P99&lt;&gt;booking!Q99),VLOOKUP(booking!Q99,Database!$A$1:'Database'!$L$175,6,FALSE),"-"),"-")</f>
        <v>-</v>
      </c>
      <c r="L99" s="53" t="str">
        <f>IF(AND(booking!T99&lt;&gt;booking!U99,booking!T99&gt;0),"udc","-")</f>
        <v>-</v>
      </c>
      <c r="M99" s="49" t="str">
        <f>IFERROR(IF(AND(booking!AB99&gt;0,booking!T99&lt;&gt;booking!U99),VLOOKUP(booking!U99,Database!$A$1:'Database'!$L$175,6,FALSE),"-"),"-")</f>
        <v>-</v>
      </c>
    </row>
    <row r="100" spans="1:13" ht="15" customHeight="1" thickBot="1" x14ac:dyDescent="0.4">
      <c r="A100" t="str">
        <f>booking!B100</f>
        <v>mandag</v>
      </c>
      <c r="B100" s="24">
        <f>booking!C100</f>
        <v>46237</v>
      </c>
      <c r="C100" s="2" t="str">
        <f>IF(booking!AC100&gt;0,"Y","-")</f>
        <v>Y</v>
      </c>
      <c r="D100" s="53" t="str">
        <f>IF(AND(booking!D100&lt;&gt;booking!E100,booking!D100&gt;0),"udc","-")</f>
        <v>udc</v>
      </c>
      <c r="E100" s="49" t="str">
        <f>IFERROR(IF(AND(booking!AB100&gt;0,booking!D100&lt;&gt;booking!E100),VLOOKUP(booking!E100,Database!$A$1:'Database'!$L$175,6,FALSE),"-"),"-")</f>
        <v>D</v>
      </c>
      <c r="F100" s="53" t="str">
        <f>IF(AND(booking!H100&lt;&gt;booking!I100,booking!H100&gt;0),"udc","-")</f>
        <v>-</v>
      </c>
      <c r="G100" s="49" t="str">
        <f>IFERROR(IF(AND(booking!AB100&gt;0,booking!H100&lt;&gt;booking!I100),VLOOKUP(booking!I100,Database!$A$1:'Database'!$L$175,6,FALSE),"-"),"-")</f>
        <v>-</v>
      </c>
      <c r="H100" s="53" t="str">
        <f>IF(AND(booking!L100&lt;&gt;booking!M100,booking!L100&gt;0),"udc","-")</f>
        <v>-</v>
      </c>
      <c r="I100" s="49" t="str">
        <f>IFERROR(IF(AND(booking!AB100&gt;0,booking!L100&lt;&gt;booking!M100),VLOOKUP(booking!M100,Database!$A$1:'Database'!$L$175,6,FALSE),"-"),"-")</f>
        <v>-</v>
      </c>
      <c r="J100" s="53" t="str">
        <f>IF(AND(booking!P100&lt;&gt;booking!Q100,booking!P100&gt;0),"udc","-")</f>
        <v>-</v>
      </c>
      <c r="K100" s="49" t="str">
        <f>IFERROR(IF(AND(booking!AB100&gt;0,booking!P100&lt;&gt;booking!Q100),VLOOKUP(booking!Q100,Database!$A$1:'Database'!$L$175,6,FALSE),"-"),"-")</f>
        <v>-</v>
      </c>
      <c r="L100" s="53" t="str">
        <f>IF(AND(booking!T100&lt;&gt;booking!U100,booking!T100&gt;0),"udc","-")</f>
        <v>-</v>
      </c>
      <c r="M100" s="49" t="str">
        <f>IFERROR(IF(AND(booking!AB100&gt;0,booking!T100&lt;&gt;booking!U100),VLOOKUP(booking!U100,Database!$A$1:'Database'!$L$175,6,FALSE),"-"),"-")</f>
        <v>DK</v>
      </c>
    </row>
    <row r="101" spans="1:13" ht="15" customHeight="1" thickBot="1" x14ac:dyDescent="0.4">
      <c r="A101" t="str">
        <f>booking!B101</f>
        <v>tirsdag</v>
      </c>
      <c r="B101" s="24">
        <f>booking!C101</f>
        <v>46238</v>
      </c>
      <c r="C101" s="2" t="str">
        <f>IF(booking!AC101&gt;0,"Y","-")</f>
        <v>Y</v>
      </c>
      <c r="D101" s="53" t="str">
        <f>IF(AND(booking!D101&lt;&gt;booking!E101,booking!D101&gt;0),"udc","-")</f>
        <v>-</v>
      </c>
      <c r="E101" s="49" t="str">
        <f>IFERROR(IF(AND(booking!AB101&gt;0,booking!D101&lt;&gt;booking!E101),VLOOKUP(booking!E101,Database!$A$1:'Database'!$L$175,6,FALSE),"-"),"-")</f>
        <v>-</v>
      </c>
      <c r="F101" s="53" t="str">
        <f>IF(AND(booking!H101&lt;&gt;booking!I101,booking!H101&gt;0),"udc","-")</f>
        <v>-</v>
      </c>
      <c r="G101" s="49" t="str">
        <f>IFERROR(IF(AND(booking!AB101&gt;0,booking!H101&lt;&gt;booking!I101),VLOOKUP(booking!I101,Database!$A$1:'Database'!$L$175,6,FALSE),"-"),"-")</f>
        <v>-</v>
      </c>
      <c r="H101" s="53" t="str">
        <f>IF(AND(booking!L101&lt;&gt;booking!M101,booking!L101&gt;0),"udc","-")</f>
        <v>-</v>
      </c>
      <c r="I101" s="49" t="str">
        <f>IFERROR(IF(AND(booking!AB101&gt;0,booking!L101&lt;&gt;booking!M101),VLOOKUP(booking!M101,Database!$A$1:'Database'!$L$175,6,FALSE),"-"),"-")</f>
        <v>-</v>
      </c>
      <c r="J101" s="53" t="str">
        <f>IF(AND(booking!P101&lt;&gt;booking!Q101,booking!P101&gt;0),"udc","-")</f>
        <v>udc</v>
      </c>
      <c r="K101" s="49" t="str">
        <f>IFERROR(IF(AND(booking!AB101&gt;0,booking!P101&lt;&gt;booking!Q101),VLOOKUP(booking!Q101,Database!$A$1:'Database'!$L$175,6,FALSE),"-"),"-")</f>
        <v>-</v>
      </c>
      <c r="L101" s="53" t="str">
        <f>IF(AND(booking!T101&lt;&gt;booking!U101,booking!T101&gt;0),"udc","-")</f>
        <v>-</v>
      </c>
      <c r="M101" s="49" t="str">
        <f>IFERROR(IF(AND(booking!AB101&gt;0,booking!T101&lt;&gt;booking!U101),VLOOKUP(booking!U101,Database!$A$1:'Database'!$L$175,6,FALSE),"-"),"-")</f>
        <v>-</v>
      </c>
    </row>
    <row r="102" spans="1:13" ht="15" customHeight="1" thickBot="1" x14ac:dyDescent="0.4">
      <c r="A102" t="str">
        <f>booking!B102</f>
        <v>onsdag</v>
      </c>
      <c r="B102" s="24">
        <f>booking!C102</f>
        <v>46239</v>
      </c>
      <c r="C102" s="2" t="str">
        <f>IF(booking!AC102&gt;0,"Y","-")</f>
        <v>-</v>
      </c>
      <c r="D102" s="53" t="str">
        <f>IF(AND(booking!D102&lt;&gt;booking!E102,booking!D102&gt;0),"udc","-")</f>
        <v>-</v>
      </c>
      <c r="E102" s="49" t="str">
        <f>IFERROR(IF(AND(booking!AB102&gt;0,booking!D102&lt;&gt;booking!E102),VLOOKUP(booking!E102,Database!$A$1:'Database'!$L$175,6,FALSE),"-"),"-")</f>
        <v>-</v>
      </c>
      <c r="F102" s="53" t="str">
        <f>IF(AND(booking!H102&lt;&gt;booking!I102,booking!H102&gt;0),"udc","-")</f>
        <v>-</v>
      </c>
      <c r="G102" s="49" t="str">
        <f>IFERROR(IF(AND(booking!AB102&gt;0,booking!H102&lt;&gt;booking!I102),VLOOKUP(booking!I102,Database!$A$1:'Database'!$L$175,6,FALSE),"-"),"-")</f>
        <v>-</v>
      </c>
      <c r="H102" s="53" t="str">
        <f>IF(AND(booking!L102&lt;&gt;booking!M102,booking!L102&gt;0),"udc","-")</f>
        <v>-</v>
      </c>
      <c r="I102" s="49" t="str">
        <f>IFERROR(IF(AND(booking!AB102&gt;0,booking!L102&lt;&gt;booking!M102),VLOOKUP(booking!M102,Database!$A$1:'Database'!$L$175,6,FALSE),"-"),"-")</f>
        <v>-</v>
      </c>
      <c r="J102" s="53" t="str">
        <f>IF(AND(booking!P102&lt;&gt;booking!Q102,booking!P102&gt;0),"udc","-")</f>
        <v>-</v>
      </c>
      <c r="K102" s="49" t="str">
        <f>IFERROR(IF(AND(booking!AB102&gt;0,booking!P102&lt;&gt;booking!Q102),VLOOKUP(booking!Q102,Database!$A$1:'Database'!$L$175,6,FALSE),"-"),"-")</f>
        <v>-</v>
      </c>
      <c r="L102" s="53" t="str">
        <f>IF(AND(booking!T102&lt;&gt;booking!U102,booking!T102&gt;0),"udc","-")</f>
        <v>-</v>
      </c>
      <c r="M102" s="49" t="str">
        <f>IFERROR(IF(AND(booking!AB102&gt;0,booking!T102&lt;&gt;booking!U102),VLOOKUP(booking!U102,Database!$A$1:'Database'!$L$175,6,FALSE),"-"),"-")</f>
        <v>-</v>
      </c>
    </row>
    <row r="103" spans="1:13" ht="15" customHeight="1" thickBot="1" x14ac:dyDescent="0.4">
      <c r="A103" t="str">
        <f>booking!B103</f>
        <v>torsdag</v>
      </c>
      <c r="B103" s="24">
        <f>booking!C103</f>
        <v>46240</v>
      </c>
      <c r="C103" s="2" t="str">
        <f>IF(booking!AC103&gt;0,"Y","-")</f>
        <v>Y</v>
      </c>
      <c r="D103" s="53" t="str">
        <f>IF(AND(booking!D103&lt;&gt;booking!E103,booking!D103&gt;0),"udc","-")</f>
        <v>-</v>
      </c>
      <c r="E103" s="49" t="str">
        <f>IFERROR(IF(AND(booking!AB103&gt;0,booking!D103&lt;&gt;booking!E103),VLOOKUP(booking!E103,Database!$A$1:'Database'!$L$175,6,FALSE),"-"),"-")</f>
        <v>-</v>
      </c>
      <c r="F103" s="53" t="str">
        <f>IF(AND(booking!H103&lt;&gt;booking!I103,booking!H103&gt;0),"udc","-")</f>
        <v>udc</v>
      </c>
      <c r="G103" s="49" t="str">
        <f>IFERROR(IF(AND(booking!AB103&gt;0,booking!H103&lt;&gt;booking!I103),VLOOKUP(booking!I103,Database!$A$1:'Database'!$L$175,6,FALSE),"-"),"-")</f>
        <v>D</v>
      </c>
      <c r="H103" s="53" t="str">
        <f>IF(AND(booking!L103&lt;&gt;booking!M103,booking!L103&gt;0),"udc","-")</f>
        <v>udc</v>
      </c>
      <c r="I103" s="49" t="str">
        <f>IFERROR(IF(AND(booking!AB103&gt;0,booking!L103&lt;&gt;booking!M103),VLOOKUP(booking!M103,Database!$A$1:'Database'!$L$175,6,FALSE),"-"),"-")</f>
        <v>D</v>
      </c>
      <c r="J103" s="53" t="str">
        <f>IF(AND(booking!P103&lt;&gt;booking!Q103,booking!P103&gt;0),"udc","-")</f>
        <v>-</v>
      </c>
      <c r="K103" s="49" t="str">
        <f>IFERROR(IF(AND(booking!AB103&gt;0,booking!P103&lt;&gt;booking!Q103),VLOOKUP(booking!Q103,Database!$A$1:'Database'!$L$175,6,FALSE),"-"),"-")</f>
        <v>S</v>
      </c>
      <c r="L103" s="53" t="str">
        <f>IF(AND(booking!T103&lt;&gt;booking!U103,booking!T103&gt;0),"udc","-")</f>
        <v>-</v>
      </c>
      <c r="M103" s="49" t="str">
        <f>IFERROR(IF(AND(booking!AB103&gt;0,booking!T103&lt;&gt;booking!U103),VLOOKUP(booking!U103,Database!$A$1:'Database'!$L$175,6,FALSE),"-"),"-")</f>
        <v>-</v>
      </c>
    </row>
    <row r="104" spans="1:13" ht="15" customHeight="1" thickBot="1" x14ac:dyDescent="0.4">
      <c r="A104" t="str">
        <f>booking!B104</f>
        <v>fredag</v>
      </c>
      <c r="B104" s="24">
        <f>booking!C104</f>
        <v>46241</v>
      </c>
      <c r="C104" s="2" t="str">
        <f>IF(booking!AC104&gt;0,"Y","-")</f>
        <v>Y</v>
      </c>
      <c r="D104" s="53" t="str">
        <f>IF(AND(booking!D104&lt;&gt;booking!E104,booking!D104&gt;0),"udc","-")</f>
        <v>-</v>
      </c>
      <c r="E104" s="49" t="str">
        <f>IFERROR(IF(AND(booking!AB104&gt;0,booking!D104&lt;&gt;booking!E104),VLOOKUP(booking!E104,Database!$A$1:'Database'!$L$175,6,FALSE),"-"),"-")</f>
        <v>-</v>
      </c>
      <c r="F104" s="53" t="str">
        <f>IF(AND(booking!H104&lt;&gt;booking!I104,booking!H104&gt;0),"udc","-")</f>
        <v>-</v>
      </c>
      <c r="G104" s="49" t="str">
        <f>IFERROR(IF(AND(booking!AB104&gt;0,booking!H104&lt;&gt;booking!I104),VLOOKUP(booking!I104,Database!$A$1:'Database'!$L$175,6,FALSE),"-"),"-")</f>
        <v>-</v>
      </c>
      <c r="H104" s="53" t="str">
        <f>IF(AND(booking!L104&lt;&gt;booking!M104,booking!L104&gt;0),"udc","-")</f>
        <v>-</v>
      </c>
      <c r="I104" s="49" t="str">
        <f>IFERROR(IF(AND(booking!AB104&gt;0,booking!L104&lt;&gt;booking!M104),VLOOKUP(booking!M104,Database!$A$1:'Database'!$L$175,6,FALSE),"-"),"-")</f>
        <v>-</v>
      </c>
      <c r="J104" s="53" t="str">
        <f>IF(AND(booking!P104&lt;&gt;booking!Q104,booking!P104&gt;0),"udc","-")</f>
        <v>-</v>
      </c>
      <c r="K104" s="49" t="str">
        <f>IFERROR(IF(AND(booking!AB104&gt;0,booking!P104&lt;&gt;booking!Q104),VLOOKUP(booking!Q104,Database!$A$1:'Database'!$L$175,6,FALSE),"-"),"-")</f>
        <v>-</v>
      </c>
      <c r="L104" s="53" t="str">
        <f>IF(AND(booking!T104&lt;&gt;booking!U104,booking!T104&gt;0),"udc","-")</f>
        <v>udc</v>
      </c>
      <c r="M104" s="49" t="str">
        <f>IFERROR(IF(AND(booking!AB104&gt;0,booking!T104&lt;&gt;booking!U104),VLOOKUP(booking!U104,Database!$A$1:'Database'!$L$175,6,FALSE),"-"),"-")</f>
        <v>DK</v>
      </c>
    </row>
    <row r="105" spans="1:13" ht="15" customHeight="1" thickBot="1" x14ac:dyDescent="0.4">
      <c r="A105" t="str">
        <f>booking!B105</f>
        <v>lørdag</v>
      </c>
      <c r="B105" s="24">
        <f>booking!C105</f>
        <v>46242</v>
      </c>
      <c r="C105" s="2" t="str">
        <f>IF(booking!AC105&gt;0,"Y","-")</f>
        <v>Y</v>
      </c>
      <c r="D105" s="53" t="str">
        <f>IF(AND(booking!D105&lt;&gt;booking!E105,booking!D105&gt;0),"udc","-")</f>
        <v>udc</v>
      </c>
      <c r="E105" s="49" t="str">
        <f>IFERROR(IF(AND(booking!AB105&gt;0,booking!D105&lt;&gt;booking!E105),VLOOKUP(booking!E105,Database!$A$1:'Database'!$L$175,6,FALSE),"-"),"-")</f>
        <v>-</v>
      </c>
      <c r="F105" s="53" t="str">
        <f>IF(AND(booking!H105&lt;&gt;booking!I105,booking!H105&gt;0),"udc","-")</f>
        <v>-</v>
      </c>
      <c r="G105" s="49" t="str">
        <f>IFERROR(IF(AND(booking!AB105&gt;0,booking!H105&lt;&gt;booking!I105),VLOOKUP(booking!I105,Database!$A$1:'Database'!$L$175,6,FALSE),"-"),"-")</f>
        <v>-</v>
      </c>
      <c r="H105" s="53" t="str">
        <f>IF(AND(booking!L105&lt;&gt;booking!M105,booking!L105&gt;0),"udc","-")</f>
        <v>-</v>
      </c>
      <c r="I105" s="49" t="str">
        <f>IFERROR(IF(AND(booking!AB105&gt;0,booking!L105&lt;&gt;booking!M105),VLOOKUP(booking!M105,Database!$A$1:'Database'!$L$175,6,FALSE),"-"),"-")</f>
        <v>-</v>
      </c>
      <c r="J105" s="53" t="str">
        <f>IF(AND(booking!P105&lt;&gt;booking!Q105,booking!P105&gt;0),"udc","-")</f>
        <v>-</v>
      </c>
      <c r="K105" s="49" t="str">
        <f>IFERROR(IF(AND(booking!AB105&gt;0,booking!P105&lt;&gt;booking!Q105),VLOOKUP(booking!Q105,Database!$A$1:'Database'!$L$175,6,FALSE),"-"),"-")</f>
        <v>-</v>
      </c>
      <c r="L105" s="53" t="str">
        <f>IF(AND(booking!T105&lt;&gt;booking!U105,booking!T105&gt;0),"udc","-")</f>
        <v>-</v>
      </c>
      <c r="M105" s="49" t="str">
        <f>IFERROR(IF(AND(booking!AB105&gt;0,booking!T105&lt;&gt;booking!U105),VLOOKUP(booking!U105,Database!$A$1:'Database'!$L$175,6,FALSE),"-"),"-")</f>
        <v>-</v>
      </c>
    </row>
    <row r="106" spans="1:13" ht="15" customHeight="1" thickBot="1" x14ac:dyDescent="0.4">
      <c r="A106" t="str">
        <f>booking!B106</f>
        <v>søndag</v>
      </c>
      <c r="B106" s="24">
        <f>booking!C106</f>
        <v>46243</v>
      </c>
      <c r="C106" s="2" t="str">
        <f>IF(booking!AC106&gt;0,"Y","-")</f>
        <v>Y</v>
      </c>
      <c r="D106" s="53" t="str">
        <f>IF(AND(booking!D106&lt;&gt;booking!E106,booking!D106&gt;0),"udc","-")</f>
        <v>-</v>
      </c>
      <c r="E106" s="49" t="str">
        <f>IFERROR(IF(AND(booking!AB106&gt;0,booking!D106&lt;&gt;booking!E106),VLOOKUP(booking!E106,Database!$A$1:'Database'!$L$175,6,FALSE),"-"),"-")</f>
        <v>-</v>
      </c>
      <c r="F106" s="53" t="str">
        <f>IF(AND(booking!H106&lt;&gt;booking!I106,booking!H106&gt;0),"udc","-")</f>
        <v>-</v>
      </c>
      <c r="G106" s="49" t="str">
        <f>IFERROR(IF(AND(booking!AB106&gt;0,booking!H106&lt;&gt;booking!I106),VLOOKUP(booking!I106,Database!$A$1:'Database'!$L$175,6,FALSE),"-"),"-")</f>
        <v>-</v>
      </c>
      <c r="H106" s="53" t="str">
        <f>IF(AND(booking!L106&lt;&gt;booking!M106,booking!L106&gt;0),"udc","-")</f>
        <v>-</v>
      </c>
      <c r="I106" s="49" t="str">
        <f>IFERROR(IF(AND(booking!AB106&gt;0,booking!L106&lt;&gt;booking!M106),VLOOKUP(booking!M106,Database!$A$1:'Database'!$L$175,6,FALSE),"-"),"-")</f>
        <v>-</v>
      </c>
      <c r="J106" s="53" t="str">
        <f>IF(AND(booking!P106&lt;&gt;booking!Q106,booking!P106&gt;0),"udc","-")</f>
        <v>udc</v>
      </c>
      <c r="K106" s="49" t="str">
        <f>IFERROR(IF(AND(booking!AB106&gt;0,booking!P106&lt;&gt;booking!Q106),VLOOKUP(booking!Q106,Database!$A$1:'Database'!$L$175,6,FALSE),"-"),"-")</f>
        <v>DK</v>
      </c>
      <c r="L106" s="53" t="str">
        <f>IF(AND(booking!T106&lt;&gt;booking!U106,booking!T106&gt;0),"udc","-")</f>
        <v>-</v>
      </c>
      <c r="M106" s="49" t="str">
        <f>IFERROR(IF(AND(booking!AB106&gt;0,booking!T106&lt;&gt;booking!U106),VLOOKUP(booking!U106,Database!$A$1:'Database'!$L$175,6,FALSE),"-"),"-")</f>
        <v>-</v>
      </c>
    </row>
    <row r="107" spans="1:13" ht="15" customHeight="1" thickBot="1" x14ac:dyDescent="0.4">
      <c r="A107" t="str">
        <f>booking!B107</f>
        <v>mandag</v>
      </c>
      <c r="B107" s="24">
        <f>booking!C107</f>
        <v>46244</v>
      </c>
      <c r="C107" s="2" t="str">
        <f>IF(booking!AC107&gt;0,"Y","-")</f>
        <v>-</v>
      </c>
      <c r="D107" s="53" t="str">
        <f>IF(AND(booking!D107&lt;&gt;booking!E107,booking!D107&gt;0),"udc","-")</f>
        <v>-</v>
      </c>
      <c r="E107" s="49" t="str">
        <f>IFERROR(IF(AND(booking!AB107&gt;0,booking!D107&lt;&gt;booking!E107),VLOOKUP(booking!E107,Database!$A$1:'Database'!$L$175,6,FALSE),"-"),"-")</f>
        <v>DK</v>
      </c>
      <c r="F107" s="53" t="str">
        <f>IF(AND(booking!H107&lt;&gt;booking!I107,booking!H107&gt;0),"udc","-")</f>
        <v>-</v>
      </c>
      <c r="G107" s="49" t="str">
        <f>IFERROR(IF(AND(booking!AB107&gt;0,booking!H107&lt;&gt;booking!I107),VLOOKUP(booking!I107,Database!$A$1:'Database'!$L$175,6,FALSE),"-"),"-")</f>
        <v>-</v>
      </c>
      <c r="H107" s="53" t="str">
        <f>IF(AND(booking!L107&lt;&gt;booking!M107,booking!L107&gt;0),"udc","-")</f>
        <v>-</v>
      </c>
      <c r="I107" s="49" t="str">
        <f>IFERROR(IF(AND(booking!AB107&gt;0,booking!L107&lt;&gt;booking!M107),VLOOKUP(booking!M107,Database!$A$1:'Database'!$L$175,6,FALSE),"-"),"-")</f>
        <v>-</v>
      </c>
      <c r="J107" s="53" t="str">
        <f>IF(AND(booking!P107&lt;&gt;booking!Q107,booking!P107&gt;0),"udc","-")</f>
        <v>-</v>
      </c>
      <c r="K107" s="49" t="str">
        <f>IFERROR(IF(AND(booking!AB107&gt;0,booking!P107&lt;&gt;booking!Q107),VLOOKUP(booking!Q107,Database!$A$1:'Database'!$L$175,6,FALSE),"-"),"-")</f>
        <v>-</v>
      </c>
      <c r="L107" s="53" t="str">
        <f>IF(AND(booking!T107&lt;&gt;booking!U107,booking!T107&gt;0),"udc","-")</f>
        <v>-</v>
      </c>
      <c r="M107" s="49" t="str">
        <f>IFERROR(IF(AND(booking!AB107&gt;0,booking!T107&lt;&gt;booking!U107),VLOOKUP(booking!U107,Database!$A$1:'Database'!$L$175,6,FALSE),"-"),"-")</f>
        <v>-</v>
      </c>
    </row>
    <row r="108" spans="1:13" ht="15" customHeight="1" thickBot="1" x14ac:dyDescent="0.4">
      <c r="A108" t="str">
        <f>booking!B108</f>
        <v>tirsdag</v>
      </c>
      <c r="B108" s="24">
        <f>booking!C108</f>
        <v>46245</v>
      </c>
      <c r="C108" s="2" t="str">
        <f>IF(booking!AC108&gt;0,"Y","-")</f>
        <v>-</v>
      </c>
      <c r="D108" s="53" t="str">
        <f>IF(AND(booking!D108&lt;&gt;booking!E108,booking!D108&gt;0),"udc","-")</f>
        <v>-</v>
      </c>
      <c r="E108" s="49" t="str">
        <f>IFERROR(IF(AND(booking!AB108&gt;0,booking!D108&lt;&gt;booking!E108),VLOOKUP(booking!E108,Database!$A$1:'Database'!$L$175,6,FALSE),"-"),"-")</f>
        <v>-</v>
      </c>
      <c r="F108" s="53" t="str">
        <f>IF(AND(booking!H108&lt;&gt;booking!I108,booking!H108&gt;0),"udc","-")</f>
        <v>-</v>
      </c>
      <c r="G108" s="49" t="str">
        <f>IFERROR(IF(AND(booking!AB108&gt;0,booking!H108&lt;&gt;booking!I108),VLOOKUP(booking!I108,Database!$A$1:'Database'!$L$175,6,FALSE),"-"),"-")</f>
        <v>-</v>
      </c>
      <c r="H108" s="53" t="str">
        <f>IF(AND(booking!L108&lt;&gt;booking!M108,booking!L108&gt;0),"udc","-")</f>
        <v>-</v>
      </c>
      <c r="I108" s="49" t="str">
        <f>IFERROR(IF(AND(booking!AB108&gt;0,booking!L108&lt;&gt;booking!M108),VLOOKUP(booking!M108,Database!$A$1:'Database'!$L$175,6,FALSE),"-"),"-")</f>
        <v>-</v>
      </c>
      <c r="J108" s="53" t="str">
        <f>IF(AND(booking!P108&lt;&gt;booking!Q108,booking!P108&gt;0),"udc","-")</f>
        <v>-</v>
      </c>
      <c r="K108" s="49" t="str">
        <f>IFERROR(IF(AND(booking!AB108&gt;0,booking!P108&lt;&gt;booking!Q108),VLOOKUP(booking!Q108,Database!$A$1:'Database'!$L$175,6,FALSE),"-"),"-")</f>
        <v>-</v>
      </c>
      <c r="L108" s="53" t="str">
        <f>IF(AND(booking!T108&lt;&gt;booking!U108,booking!T108&gt;0),"udc","-")</f>
        <v>-</v>
      </c>
      <c r="M108" s="49" t="str">
        <f>IFERROR(IF(AND(booking!AB108&gt;0,booking!T108&lt;&gt;booking!U108),VLOOKUP(booking!U108,Database!$A$1:'Database'!$L$175,6,FALSE),"-"),"-")</f>
        <v>-</v>
      </c>
    </row>
    <row r="109" spans="1:13" ht="15" customHeight="1" thickBot="1" x14ac:dyDescent="0.4">
      <c r="A109" t="str">
        <f>booking!B109</f>
        <v>onsdag</v>
      </c>
      <c r="B109" s="24">
        <f>booking!C109</f>
        <v>46246</v>
      </c>
      <c r="C109" s="2" t="str">
        <f>IF(booking!AC109&gt;0,"Y","-")</f>
        <v>Y</v>
      </c>
      <c r="D109" s="53" t="str">
        <f>IF(AND(booking!D109&lt;&gt;booking!E109,booking!D109&gt;0),"udc","-")</f>
        <v>-</v>
      </c>
      <c r="E109" s="49" t="str">
        <f>IFERROR(IF(AND(booking!AB109&gt;0,booking!D109&lt;&gt;booking!E109),VLOOKUP(booking!E109,Database!$A$1:'Database'!$L$175,6,FALSE),"-"),"-")</f>
        <v>-</v>
      </c>
      <c r="F109" s="53" t="str">
        <f>IF(AND(booking!H109&lt;&gt;booking!I109,booking!H109&gt;0),"udc","-")</f>
        <v>-</v>
      </c>
      <c r="G109" s="49" t="str">
        <f>IFERROR(IF(AND(booking!AB109&gt;0,booking!H109&lt;&gt;booking!I109),VLOOKUP(booking!I109,Database!$A$1:'Database'!$L$175,6,FALSE),"-"),"-")</f>
        <v>-</v>
      </c>
      <c r="H109" s="53" t="str">
        <f>IF(AND(booking!L109&lt;&gt;booking!M109,booking!L109&gt;0),"udc","-")</f>
        <v>-</v>
      </c>
      <c r="I109" s="49" t="str">
        <f>IFERROR(IF(AND(booking!AB109&gt;0,booking!L109&lt;&gt;booking!M109),VLOOKUP(booking!M109,Database!$A$1:'Database'!$L$175,6,FALSE),"-"),"-")</f>
        <v>-</v>
      </c>
      <c r="J109" s="53" t="str">
        <f>IF(AND(booking!P109&lt;&gt;booking!Q109,booking!P109&gt;0),"udc","-")</f>
        <v>udc</v>
      </c>
      <c r="K109" s="49" t="str">
        <f>IFERROR(IF(AND(booking!AB109&gt;0,booking!P109&lt;&gt;booking!Q109),VLOOKUP(booking!Q109,Database!$A$1:'Database'!$L$175,6,FALSE),"-"),"-")</f>
        <v>DK</v>
      </c>
      <c r="L109" s="53" t="str">
        <f>IF(AND(booking!T109&lt;&gt;booking!U109,booking!T109&gt;0),"udc","-")</f>
        <v>udc</v>
      </c>
      <c r="M109" s="49" t="str">
        <f>IFERROR(IF(AND(booking!AB109&gt;0,booking!T109&lt;&gt;booking!U109),VLOOKUP(booking!U109,Database!$A$1:'Database'!$L$175,6,FALSE),"-"),"-")</f>
        <v>DK</v>
      </c>
    </row>
    <row r="110" spans="1:13" ht="15" customHeight="1" thickBot="1" x14ac:dyDescent="0.4">
      <c r="A110" t="str">
        <f>booking!B110</f>
        <v>torsdag</v>
      </c>
      <c r="B110" s="24">
        <f>booking!C110</f>
        <v>46247</v>
      </c>
      <c r="C110" s="2" t="str">
        <f>IF(booking!AC110&gt;0,"Y","-")</f>
        <v>Y</v>
      </c>
      <c r="D110" s="53" t="str">
        <f>IF(AND(booking!D110&lt;&gt;booking!E110,booking!D110&gt;0),"udc","-")</f>
        <v>-</v>
      </c>
      <c r="E110" s="49" t="str">
        <f>IFERROR(IF(AND(booking!AB110&gt;0,booking!D110&lt;&gt;booking!E110),VLOOKUP(booking!E110,Database!$A$1:'Database'!$L$175,6,FALSE),"-"),"-")</f>
        <v>-</v>
      </c>
      <c r="F110" s="53" t="str">
        <f>IF(AND(booking!H110&lt;&gt;booking!I110,booking!H110&gt;0),"udc","-")</f>
        <v>udc</v>
      </c>
      <c r="G110" s="49" t="str">
        <f>IFERROR(IF(AND(booking!AB110&gt;0,booking!H110&lt;&gt;booking!I110),VLOOKUP(booking!I110,Database!$A$1:'Database'!$L$175,6,FALSE),"-"),"-")</f>
        <v>DK</v>
      </c>
      <c r="H110" s="53" t="str">
        <f>IF(AND(booking!L110&lt;&gt;booking!M110,booking!L110&gt;0),"udc","-")</f>
        <v>udc</v>
      </c>
      <c r="I110" s="49" t="str">
        <f>IFERROR(IF(AND(booking!AB110&gt;0,booking!L110&lt;&gt;booking!M110),VLOOKUP(booking!M110,Database!$A$1:'Database'!$L$175,6,FALSE),"-"),"-")</f>
        <v>DK</v>
      </c>
      <c r="J110" s="53" t="str">
        <f>IF(AND(booking!P110&lt;&gt;booking!Q110,booking!P110&gt;0),"udc","-")</f>
        <v>-</v>
      </c>
      <c r="K110" s="49" t="str">
        <f>IFERROR(IF(AND(booking!AB110&gt;0,booking!P110&lt;&gt;booking!Q110),VLOOKUP(booking!Q110,Database!$A$1:'Database'!$L$175,6,FALSE),"-"),"-")</f>
        <v>-</v>
      </c>
      <c r="L110" s="53" t="str">
        <f>IF(AND(booking!T110&lt;&gt;booking!U110,booking!T110&gt;0),"udc","-")</f>
        <v>-</v>
      </c>
      <c r="M110" s="49" t="str">
        <f>IFERROR(IF(AND(booking!AB110&gt;0,booking!T110&lt;&gt;booking!U110),VLOOKUP(booking!U110,Database!$A$1:'Database'!$L$175,6,FALSE),"-"),"-")</f>
        <v>-</v>
      </c>
    </row>
    <row r="111" spans="1:13" ht="15" customHeight="1" thickBot="1" x14ac:dyDescent="0.4">
      <c r="A111" t="str">
        <f>booking!B111</f>
        <v>fredag</v>
      </c>
      <c r="B111" s="24">
        <f>booking!C111</f>
        <v>46248</v>
      </c>
      <c r="C111" s="2" t="str">
        <f>IF(booking!AC111&gt;0,"Y","-")</f>
        <v>Y</v>
      </c>
      <c r="D111" s="53" t="str">
        <f>IF(AND(booking!D111&lt;&gt;booking!E111,booking!D111&gt;0),"udc","-")</f>
        <v>udc</v>
      </c>
      <c r="E111" s="49" t="str">
        <f>IFERROR(IF(AND(booking!AB111&gt;0,booking!D111&lt;&gt;booking!E111),VLOOKUP(booking!E111,Database!$A$1:'Database'!$L$175,6,FALSE),"-"),"-")</f>
        <v>DK</v>
      </c>
      <c r="F111" s="53" t="str">
        <f>IF(AND(booking!H111&lt;&gt;booking!I111,booking!H111&gt;0),"udc","-")</f>
        <v>-</v>
      </c>
      <c r="G111" s="49" t="str">
        <f>IFERROR(IF(AND(booking!AB111&gt;0,booking!H111&lt;&gt;booking!I111),VLOOKUP(booking!I111,Database!$A$1:'Database'!$L$175,6,FALSE),"-"),"-")</f>
        <v>-</v>
      </c>
      <c r="H111" s="53" t="str">
        <f>IF(AND(booking!L111&lt;&gt;booking!M111,booking!L111&gt;0),"udc","-")</f>
        <v>-</v>
      </c>
      <c r="I111" s="49" t="str">
        <f>IFERROR(IF(AND(booking!AB111&gt;0,booking!L111&lt;&gt;booking!M111),VLOOKUP(booking!M111,Database!$A$1:'Database'!$L$175,6,FALSE),"-"),"-")</f>
        <v>-</v>
      </c>
      <c r="J111" s="53" t="str">
        <f>IF(AND(booking!P111&lt;&gt;booking!Q111,booking!P111&gt;0),"udc","-")</f>
        <v>-</v>
      </c>
      <c r="K111" s="49" t="str">
        <f>IFERROR(IF(AND(booking!AB111&gt;0,booking!P111&lt;&gt;booking!Q111),VLOOKUP(booking!Q111,Database!$A$1:'Database'!$L$175,6,FALSE),"-"),"-")</f>
        <v>-</v>
      </c>
      <c r="L111" s="53" t="str">
        <f>IF(AND(booking!T111&lt;&gt;booking!U111,booking!T111&gt;0),"udc","-")</f>
        <v>-</v>
      </c>
      <c r="M111" s="49" t="str">
        <f>IFERROR(IF(AND(booking!AB111&gt;0,booking!T111&lt;&gt;booking!U111),VLOOKUP(booking!U111,Database!$A$1:'Database'!$L$175,6,FALSE),"-"),"-")</f>
        <v>-</v>
      </c>
    </row>
    <row r="112" spans="1:13" ht="15" customHeight="1" thickBot="1" x14ac:dyDescent="0.4">
      <c r="A112" t="str">
        <f>booking!B112</f>
        <v>lørdag</v>
      </c>
      <c r="B112" s="24">
        <f>booking!C112</f>
        <v>46249</v>
      </c>
      <c r="C112" s="2" t="str">
        <f>IF(booking!AC112&gt;0,"Y","-")</f>
        <v>-</v>
      </c>
      <c r="D112" s="53" t="str">
        <f>IF(AND(booking!D112&lt;&gt;booking!E112,booking!D112&gt;0),"udc","-")</f>
        <v>-</v>
      </c>
      <c r="E112" s="49" t="str">
        <f>IFERROR(IF(AND(booking!AB112&gt;0,booking!D112&lt;&gt;booking!E112),VLOOKUP(booking!E112,Database!$A$1:'Database'!$L$175,6,FALSE),"-"),"-")</f>
        <v>-</v>
      </c>
      <c r="F112" s="53" t="str">
        <f>IF(AND(booking!H112&lt;&gt;booking!I112,booking!H112&gt;0),"udc","-")</f>
        <v>-</v>
      </c>
      <c r="G112" s="49" t="str">
        <f>IFERROR(IF(AND(booking!AB112&gt;0,booking!H112&lt;&gt;booking!I112),VLOOKUP(booking!I112,Database!$A$1:'Database'!$L$175,6,FALSE),"-"),"-")</f>
        <v>-</v>
      </c>
      <c r="H112" s="53" t="str">
        <f>IF(AND(booking!L112&lt;&gt;booking!M112,booking!L112&gt;0),"udc","-")</f>
        <v>-</v>
      </c>
      <c r="I112" s="49" t="str">
        <f>IFERROR(IF(AND(booking!AB112&gt;0,booking!L112&lt;&gt;booking!M112),VLOOKUP(booking!M112,Database!$A$1:'Database'!$L$175,6,FALSE),"-"),"-")</f>
        <v>-</v>
      </c>
      <c r="J112" s="53" t="str">
        <f>IF(AND(booking!P112&lt;&gt;booking!Q112,booking!P112&gt;0),"udc","-")</f>
        <v>-</v>
      </c>
      <c r="K112" s="49" t="str">
        <f>IFERROR(IF(AND(booking!AB112&gt;0,booking!P112&lt;&gt;booking!Q112),VLOOKUP(booking!Q112,Database!$A$1:'Database'!$L$175,6,FALSE),"-"),"-")</f>
        <v>-</v>
      </c>
      <c r="L112" s="53" t="str">
        <f>IF(AND(booking!T112&lt;&gt;booking!U112,booking!T112&gt;0),"udc","-")</f>
        <v>-</v>
      </c>
      <c r="M112" s="49" t="str">
        <f>IFERROR(IF(AND(booking!AB112&gt;0,booking!T112&lt;&gt;booking!U112),VLOOKUP(booking!U112,Database!$A$1:'Database'!$L$175,6,FALSE),"-"),"-")</f>
        <v>-</v>
      </c>
    </row>
    <row r="113" spans="1:13" ht="15" customHeight="1" thickBot="1" x14ac:dyDescent="0.4">
      <c r="A113" t="str">
        <f>booking!B113</f>
        <v>søndag</v>
      </c>
      <c r="B113" s="24">
        <f>booking!C113</f>
        <v>46250</v>
      </c>
      <c r="C113" s="2" t="str">
        <f>IF(booking!AC113&gt;0,"Y","-")</f>
        <v>Y</v>
      </c>
      <c r="D113" s="53" t="str">
        <f>IF(AND(booking!D113&lt;&gt;booking!E113,booking!D113&gt;0),"udc","-")</f>
        <v>udc</v>
      </c>
      <c r="E113" s="49" t="str">
        <f>IFERROR(IF(AND(booking!AB113&gt;0,booking!D113&lt;&gt;booking!E113),VLOOKUP(booking!E113,Database!$A$1:'Database'!$L$175,6,FALSE),"-"),"-")</f>
        <v>-</v>
      </c>
      <c r="F113" s="53" t="str">
        <f>IF(AND(booking!H113&lt;&gt;booking!I113,booking!H113&gt;0),"udc","-")</f>
        <v>-</v>
      </c>
      <c r="G113" s="49" t="str">
        <f>IFERROR(IF(AND(booking!AB113&gt;0,booking!H113&lt;&gt;booking!I113),VLOOKUP(booking!I113,Database!$A$1:'Database'!$L$175,6,FALSE),"-"),"-")</f>
        <v>-</v>
      </c>
      <c r="H113" s="53" t="str">
        <f>IF(AND(booking!L113&lt;&gt;booking!M113,booking!L113&gt;0),"udc","-")</f>
        <v>udc</v>
      </c>
      <c r="I113" s="49" t="str">
        <f>IFERROR(IF(AND(booking!AB113&gt;0,booking!L113&lt;&gt;booking!M113),VLOOKUP(booking!M113,Database!$A$1:'Database'!$L$175,6,FALSE),"-"),"-")</f>
        <v>-</v>
      </c>
      <c r="J113" s="53" t="str">
        <f>IF(AND(booking!P113&lt;&gt;booking!Q113,booking!P113&gt;0),"udc","-")</f>
        <v>udc</v>
      </c>
      <c r="K113" s="49" t="str">
        <f>IFERROR(IF(AND(booking!AB113&gt;0,booking!P113&lt;&gt;booking!Q113),VLOOKUP(booking!Q113,Database!$A$1:'Database'!$L$175,6,FALSE),"-"),"-")</f>
        <v>DK</v>
      </c>
      <c r="L113" s="53" t="str">
        <f>IF(AND(booking!T113&lt;&gt;booking!U113,booking!T113&gt;0),"udc","-")</f>
        <v>udc</v>
      </c>
      <c r="M113" s="49" t="str">
        <f>IFERROR(IF(AND(booking!AB113&gt;0,booking!T113&lt;&gt;booking!U113),VLOOKUP(booking!U113,Database!$A$1:'Database'!$L$175,6,FALSE),"-"),"-")</f>
        <v>-</v>
      </c>
    </row>
    <row r="114" spans="1:13" ht="15" customHeight="1" thickBot="1" x14ac:dyDescent="0.4">
      <c r="A114" t="str">
        <f>booking!B114</f>
        <v>mandag</v>
      </c>
      <c r="B114" s="24">
        <f>booking!C114</f>
        <v>46251</v>
      </c>
      <c r="C114" s="2" t="str">
        <f>IF(booking!AC114&gt;0,"Y","-")</f>
        <v>-</v>
      </c>
      <c r="D114" s="53" t="str">
        <f>IF(AND(booking!D114&lt;&gt;booking!E114,booking!D114&gt;0),"udc","-")</f>
        <v>-</v>
      </c>
      <c r="E114" s="49" t="str">
        <f>IFERROR(IF(AND(booking!AB114&gt;0,booking!D114&lt;&gt;booking!E114),VLOOKUP(booking!E114,Database!$A$1:'Database'!$L$175,6,FALSE),"-"),"-")</f>
        <v>DK</v>
      </c>
      <c r="F114" s="53" t="str">
        <f>IF(AND(booking!H114&lt;&gt;booking!I114,booking!H114&gt;0),"udc","-")</f>
        <v>-</v>
      </c>
      <c r="G114" s="49" t="str">
        <f>IFERROR(IF(AND(booking!AB114&gt;0,booking!H114&lt;&gt;booking!I114),VLOOKUP(booking!I114,Database!$A$1:'Database'!$L$175,6,FALSE),"-"),"-")</f>
        <v>-</v>
      </c>
      <c r="H114" s="53" t="str">
        <f>IF(AND(booking!L114&lt;&gt;booking!M114,booking!L114&gt;0),"udc","-")</f>
        <v>-</v>
      </c>
      <c r="I114" s="49" t="str">
        <f>IFERROR(IF(AND(booking!AB114&gt;0,booking!L114&lt;&gt;booking!M114),VLOOKUP(booking!M114,Database!$A$1:'Database'!$L$175,6,FALSE),"-"),"-")</f>
        <v>DK</v>
      </c>
      <c r="J114" s="53" t="str">
        <f>IF(AND(booking!P114&lt;&gt;booking!Q114,booking!P114&gt;0),"udc","-")</f>
        <v>-</v>
      </c>
      <c r="K114" s="49" t="str">
        <f>IFERROR(IF(AND(booking!AB114&gt;0,booking!P114&lt;&gt;booking!Q114),VLOOKUP(booking!Q114,Database!$A$1:'Database'!$L$175,6,FALSE),"-"),"-")</f>
        <v>-</v>
      </c>
      <c r="L114" s="53" t="str">
        <f>IF(AND(booking!T114&lt;&gt;booking!U114,booking!T114&gt;0),"udc","-")</f>
        <v>-</v>
      </c>
      <c r="M114" s="49" t="str">
        <f>IFERROR(IF(AND(booking!AB114&gt;0,booking!T114&lt;&gt;booking!U114),VLOOKUP(booking!U114,Database!$A$1:'Database'!$L$175,6,FALSE),"-"),"-")</f>
        <v>S</v>
      </c>
    </row>
    <row r="115" spans="1:13" ht="15" customHeight="1" thickBot="1" x14ac:dyDescent="0.4">
      <c r="A115" t="str">
        <f>booking!B115</f>
        <v>tirsdag</v>
      </c>
      <c r="B115" s="24">
        <f>booking!C115</f>
        <v>46252</v>
      </c>
      <c r="C115" s="2" t="str">
        <f>IF(booking!AC115&gt;0,"Y","-")</f>
        <v>Y</v>
      </c>
      <c r="D115" s="53" t="str">
        <f>IF(AND(booking!D115&lt;&gt;booking!E115,booking!D115&gt;0),"udc","-")</f>
        <v>-</v>
      </c>
      <c r="E115" s="49" t="str">
        <f>IFERROR(IF(AND(booking!AB115&gt;0,booking!D115&lt;&gt;booking!E115),VLOOKUP(booking!E115,Database!$A$1:'Database'!$L$175,6,FALSE),"-"),"-")</f>
        <v>-</v>
      </c>
      <c r="F115" s="53" t="str">
        <f>IF(AND(booking!H115&lt;&gt;booking!I115,booking!H115&gt;0),"udc","-")</f>
        <v>udc</v>
      </c>
      <c r="G115" s="49" t="str">
        <f>IFERROR(IF(AND(booking!AB115&gt;0,booking!H115&lt;&gt;booking!I115),VLOOKUP(booking!I115,Database!$A$1:'Database'!$L$175,6,FALSE),"-"),"-")</f>
        <v>-</v>
      </c>
      <c r="H115" s="53" t="str">
        <f>IF(AND(booking!L115&lt;&gt;booking!M115,booking!L115&gt;0),"udc","-")</f>
        <v>-</v>
      </c>
      <c r="I115" s="49" t="str">
        <f>IFERROR(IF(AND(booking!AB115&gt;0,booking!L115&lt;&gt;booking!M115),VLOOKUP(booking!M115,Database!$A$1:'Database'!$L$175,6,FALSE),"-"),"-")</f>
        <v>-</v>
      </c>
      <c r="J115" s="53" t="str">
        <f>IF(AND(booking!P115&lt;&gt;booking!Q115,booking!P115&gt;0),"udc","-")</f>
        <v>-</v>
      </c>
      <c r="K115" s="49" t="str">
        <f>IFERROR(IF(AND(booking!AB115&gt;0,booking!P115&lt;&gt;booking!Q115),VLOOKUP(booking!Q115,Database!$A$1:'Database'!$L$175,6,FALSE),"-"),"-")</f>
        <v>-</v>
      </c>
      <c r="L115" s="53" t="str">
        <f>IF(AND(booking!T115&lt;&gt;booking!U115,booking!T115&gt;0),"udc","-")</f>
        <v>-</v>
      </c>
      <c r="M115" s="49" t="str">
        <f>IFERROR(IF(AND(booking!AB115&gt;0,booking!T115&lt;&gt;booking!U115),VLOOKUP(booking!U115,Database!$A$1:'Database'!$L$175,6,FALSE),"-"),"-")</f>
        <v>-</v>
      </c>
    </row>
    <row r="116" spans="1:13" ht="15" customHeight="1" thickBot="1" x14ac:dyDescent="0.4">
      <c r="A116" t="str">
        <f>booking!B116</f>
        <v>onsdag</v>
      </c>
      <c r="B116" s="24">
        <f>booking!C116</f>
        <v>46253</v>
      </c>
      <c r="C116" s="2" t="str">
        <f>IF(booking!AC116&gt;0,"Y","-")</f>
        <v>-</v>
      </c>
      <c r="D116" s="53" t="str">
        <f>IF(AND(booking!D116&lt;&gt;booking!E116,booking!D116&gt;0),"udc","-")</f>
        <v>-</v>
      </c>
      <c r="E116" s="49" t="str">
        <f>IFERROR(IF(AND(booking!AB116&gt;0,booking!D116&lt;&gt;booking!E116),VLOOKUP(booking!E116,Database!$A$1:'Database'!$L$175,6,FALSE),"-"),"-")</f>
        <v>-</v>
      </c>
      <c r="F116" s="53" t="str">
        <f>IF(AND(booking!H116&lt;&gt;booking!I116,booking!H116&gt;0),"udc","-")</f>
        <v>-</v>
      </c>
      <c r="G116" s="49" t="str">
        <f>IFERROR(IF(AND(booking!AB116&gt;0,booking!H116&lt;&gt;booking!I116),VLOOKUP(booking!I116,Database!$A$1:'Database'!$L$175,6,FALSE),"-"),"-")</f>
        <v>-</v>
      </c>
      <c r="H116" s="53" t="str">
        <f>IF(AND(booking!L116&lt;&gt;booking!M116,booking!L116&gt;0),"udc","-")</f>
        <v>-</v>
      </c>
      <c r="I116" s="49" t="str">
        <f>IFERROR(IF(AND(booking!AB116&gt;0,booking!L116&lt;&gt;booking!M116),VLOOKUP(booking!M116,Database!$A$1:'Database'!$L$175,6,FALSE),"-"),"-")</f>
        <v>-</v>
      </c>
      <c r="J116" s="53" t="str">
        <f>IF(AND(booking!P116&lt;&gt;booking!Q116,booking!P116&gt;0),"udc","-")</f>
        <v>-</v>
      </c>
      <c r="K116" s="49" t="str">
        <f>IFERROR(IF(AND(booking!AB116&gt;0,booking!P116&lt;&gt;booking!Q116),VLOOKUP(booking!Q116,Database!$A$1:'Database'!$L$175,6,FALSE),"-"),"-")</f>
        <v>-</v>
      </c>
      <c r="L116" s="53" t="str">
        <f>IF(AND(booking!T116&lt;&gt;booking!U116,booking!T116&gt;0),"udc","-")</f>
        <v>-</v>
      </c>
      <c r="M116" s="49" t="str">
        <f>IFERROR(IF(AND(booking!AB116&gt;0,booking!T116&lt;&gt;booking!U116),VLOOKUP(booking!U116,Database!$A$1:'Database'!$L$175,6,FALSE),"-"),"-")</f>
        <v>-</v>
      </c>
    </row>
    <row r="117" spans="1:13" ht="15" customHeight="1" thickBot="1" x14ac:dyDescent="0.4">
      <c r="A117" t="str">
        <f>booking!B117</f>
        <v>torsdag</v>
      </c>
      <c r="B117" s="24">
        <f>booking!C117</f>
        <v>46254</v>
      </c>
      <c r="C117" s="2" t="str">
        <f>IF(booking!AC117&gt;0,"Y","-")</f>
        <v>-</v>
      </c>
      <c r="D117" s="53" t="str">
        <f>IF(AND(booking!D117&lt;&gt;booking!E117,booking!D117&gt;0),"udc","-")</f>
        <v>-</v>
      </c>
      <c r="E117" s="49" t="str">
        <f>IFERROR(IF(AND(booking!AB117&gt;0,booking!D117&lt;&gt;booking!E117),VLOOKUP(booking!E117,Database!$A$1:'Database'!$L$175,6,FALSE),"-"),"-")</f>
        <v>-</v>
      </c>
      <c r="F117" s="53" t="str">
        <f>IF(AND(booking!H117&lt;&gt;booking!I117,booking!H117&gt;0),"udc","-")</f>
        <v>-</v>
      </c>
      <c r="G117" s="49" t="str">
        <f>IFERROR(IF(AND(booking!AB117&gt;0,booking!H117&lt;&gt;booking!I117),VLOOKUP(booking!I117,Database!$A$1:'Database'!$L$175,6,FALSE),"-"),"-")</f>
        <v>DK</v>
      </c>
      <c r="H117" s="53" t="str">
        <f>IF(AND(booking!L117&lt;&gt;booking!M117,booking!L117&gt;0),"udc","-")</f>
        <v>-</v>
      </c>
      <c r="I117" s="49" t="str">
        <f>IFERROR(IF(AND(booking!AB117&gt;0,booking!L117&lt;&gt;booking!M117),VLOOKUP(booking!M117,Database!$A$1:'Database'!$L$175,6,FALSE),"-"),"-")</f>
        <v>-</v>
      </c>
      <c r="J117" s="53" t="str">
        <f>IF(AND(booking!P117&lt;&gt;booking!Q117,booking!P117&gt;0),"udc","-")</f>
        <v>-</v>
      </c>
      <c r="K117" s="49" t="str">
        <f>IFERROR(IF(AND(booking!AB117&gt;0,booking!P117&lt;&gt;booking!Q117),VLOOKUP(booking!Q117,Database!$A$1:'Database'!$L$175,6,FALSE),"-"),"-")</f>
        <v>-</v>
      </c>
      <c r="L117" s="53" t="str">
        <f>IF(AND(booking!T117&lt;&gt;booking!U117,booking!T117&gt;0),"udc","-")</f>
        <v>-</v>
      </c>
      <c r="M117" s="49" t="str">
        <f>IFERROR(IF(AND(booking!AB117&gt;0,booking!T117&lt;&gt;booking!U117),VLOOKUP(booking!U117,Database!$A$1:'Database'!$L$175,6,FALSE),"-"),"-")</f>
        <v>-</v>
      </c>
    </row>
    <row r="118" spans="1:13" ht="15" customHeight="1" thickBot="1" x14ac:dyDescent="0.4">
      <c r="A118" t="str">
        <f>booking!B118</f>
        <v>fredag</v>
      </c>
      <c r="B118" s="24">
        <f>booking!C118</f>
        <v>46255</v>
      </c>
      <c r="C118" s="2" t="str">
        <f>IF(booking!AC118&gt;0,"Y","-")</f>
        <v>Y</v>
      </c>
      <c r="D118" s="53" t="str">
        <f>IF(AND(booking!D118&lt;&gt;booking!E118,booking!D118&gt;0),"udc","-")</f>
        <v>udc</v>
      </c>
      <c r="E118" s="49" t="str">
        <f>IFERROR(IF(AND(booking!AB118&gt;0,booking!D118&lt;&gt;booking!E118),VLOOKUP(booking!E118,Database!$A$1:'Database'!$L$175,6,FALSE),"-"),"-")</f>
        <v>-</v>
      </c>
      <c r="F118" s="53" t="str">
        <f>IF(AND(booking!H118&lt;&gt;booking!I118,booking!H118&gt;0),"udc","-")</f>
        <v>-</v>
      </c>
      <c r="G118" s="49" t="str">
        <f>IFERROR(IF(AND(booking!AB118&gt;0,booking!H118&lt;&gt;booking!I118),VLOOKUP(booking!I118,Database!$A$1:'Database'!$L$175,6,FALSE),"-"),"-")</f>
        <v>-</v>
      </c>
      <c r="H118" s="53" t="str">
        <f>IF(AND(booking!L118&lt;&gt;booking!M118,booking!L118&gt;0),"udc","-")</f>
        <v>udc</v>
      </c>
      <c r="I118" s="49" t="str">
        <f>IFERROR(IF(AND(booking!AB118&gt;0,booking!L118&lt;&gt;booking!M118),VLOOKUP(booking!M118,Database!$A$1:'Database'!$L$175,6,FALSE),"-"),"-")</f>
        <v>DK</v>
      </c>
      <c r="J118" s="53" t="str">
        <f>IF(AND(booking!P118&lt;&gt;booking!Q118,booking!P118&gt;0),"udc","-")</f>
        <v>udc</v>
      </c>
      <c r="K118" s="49" t="str">
        <f>IFERROR(IF(AND(booking!AB118&gt;0,booking!P118&lt;&gt;booking!Q118),VLOOKUP(booking!Q118,Database!$A$1:'Database'!$L$175,6,FALSE),"-"),"-")</f>
        <v>D</v>
      </c>
      <c r="L118" s="53" t="str">
        <f>IF(AND(booking!T118&lt;&gt;booking!U118,booking!T118&gt;0),"udc","-")</f>
        <v>-</v>
      </c>
      <c r="M118" s="49" t="str">
        <f>IFERROR(IF(AND(booking!AB118&gt;0,booking!T118&lt;&gt;booking!U118),VLOOKUP(booking!U118,Database!$A$1:'Database'!$L$175,6,FALSE),"-"),"-")</f>
        <v>-</v>
      </c>
    </row>
    <row r="119" spans="1:13" ht="15" customHeight="1" thickBot="1" x14ac:dyDescent="0.4">
      <c r="A119" t="str">
        <f>booking!B119</f>
        <v>lørdag</v>
      </c>
      <c r="B119" s="24">
        <f>booking!C119</f>
        <v>46256</v>
      </c>
      <c r="C119" s="2" t="str">
        <f>IF(booking!AC119&gt;0,"Y","-")</f>
        <v>Y</v>
      </c>
      <c r="D119" s="53" t="str">
        <f>IF(AND(booking!D119&lt;&gt;booking!E119,booking!D119&gt;0),"udc","-")</f>
        <v>-</v>
      </c>
      <c r="E119" s="49" t="str">
        <f>IFERROR(IF(AND(booking!AB119&gt;0,booking!D119&lt;&gt;booking!E119),VLOOKUP(booking!E119,Database!$A$1:'Database'!$L$175,6,FALSE),"-"),"-")</f>
        <v>DK</v>
      </c>
      <c r="F119" s="53" t="str">
        <f>IF(AND(booking!H119&lt;&gt;booking!I119,booking!H119&gt;0),"udc","-")</f>
        <v>-</v>
      </c>
      <c r="G119" s="49" t="str">
        <f>IFERROR(IF(AND(booking!AB119&gt;0,booking!H119&lt;&gt;booking!I119),VLOOKUP(booking!I119,Database!$A$1:'Database'!$L$175,6,FALSE),"-"),"-")</f>
        <v>-</v>
      </c>
      <c r="H119" s="53" t="str">
        <f>IF(AND(booking!L119&lt;&gt;booking!M119,booking!L119&gt;0),"udc","-")</f>
        <v>-</v>
      </c>
      <c r="I119" s="49" t="str">
        <f>IFERROR(IF(AND(booking!AB119&gt;0,booking!L119&lt;&gt;booking!M119),VLOOKUP(booking!M119,Database!$A$1:'Database'!$L$175,6,FALSE),"-"),"-")</f>
        <v>-</v>
      </c>
      <c r="J119" s="53" t="str">
        <f>IF(AND(booking!P119&lt;&gt;booking!Q119,booking!P119&gt;0),"udc","-")</f>
        <v>-</v>
      </c>
      <c r="K119" s="49" t="str">
        <f>IFERROR(IF(AND(booking!AB119&gt;0,booking!P119&lt;&gt;booking!Q119),VLOOKUP(booking!Q119,Database!$A$1:'Database'!$L$175,6,FALSE),"-"),"-")</f>
        <v>-</v>
      </c>
      <c r="L119" s="53" t="str">
        <f>IF(AND(booking!T119&lt;&gt;booking!U119,booking!T119&gt;0),"udc","-")</f>
        <v>udc</v>
      </c>
      <c r="M119" s="49" t="str">
        <f>IFERROR(IF(AND(booking!AB119&gt;0,booking!T119&lt;&gt;booking!U119),VLOOKUP(booking!U119,Database!$A$1:'Database'!$L$175,6,FALSE),"-"),"-")</f>
        <v>CH</v>
      </c>
    </row>
    <row r="120" spans="1:13" ht="15" customHeight="1" thickBot="1" x14ac:dyDescent="0.4">
      <c r="A120" t="str">
        <f>booking!B120</f>
        <v>søndag</v>
      </c>
      <c r="B120" s="24">
        <f>booking!C120</f>
        <v>46257</v>
      </c>
      <c r="C120" s="2" t="str">
        <f>IF(booking!AC120&gt;0,"Y","-")</f>
        <v>Y</v>
      </c>
      <c r="D120" s="53" t="str">
        <f>IF(AND(booking!D120&lt;&gt;booking!E120,booking!D120&gt;0),"udc","-")</f>
        <v>-</v>
      </c>
      <c r="E120" s="49" t="str">
        <f>IFERROR(IF(AND(booking!AB120&gt;0,booking!D120&lt;&gt;booking!E120),VLOOKUP(booking!E120,Database!$A$1:'Database'!$L$175,6,FALSE),"-"),"-")</f>
        <v>-</v>
      </c>
      <c r="F120" s="53" t="str">
        <f>IF(AND(booking!H120&lt;&gt;booking!I120,booking!H120&gt;0),"udc","-")</f>
        <v>udc</v>
      </c>
      <c r="G120" s="49" t="str">
        <f>IFERROR(IF(AND(booking!AB120&gt;0,booking!H120&lt;&gt;booking!I120),VLOOKUP(booking!I120,Database!$A$1:'Database'!$L$175,6,FALSE),"-"),"-")</f>
        <v>DK</v>
      </c>
      <c r="H120" s="53" t="str">
        <f>IF(AND(booking!L120&lt;&gt;booking!M120,booking!L120&gt;0),"udc","-")</f>
        <v>udc</v>
      </c>
      <c r="I120" s="49" t="str">
        <f>IFERROR(IF(AND(booking!AB120&gt;0,booking!L120&lt;&gt;booking!M120),VLOOKUP(booking!M120,Database!$A$1:'Database'!$L$175,6,FALSE),"-"),"-")</f>
        <v>DK</v>
      </c>
      <c r="J120" s="53" t="str">
        <f>IF(AND(booking!P120&lt;&gt;booking!Q120,booking!P120&gt;0),"udc","-")</f>
        <v>-</v>
      </c>
      <c r="K120" s="49" t="str">
        <f>IFERROR(IF(AND(booking!AB120&gt;0,booking!P120&lt;&gt;booking!Q120),VLOOKUP(booking!Q120,Database!$A$1:'Database'!$L$175,6,FALSE),"-"),"-")</f>
        <v>-</v>
      </c>
      <c r="L120" s="53" t="str">
        <f>IF(AND(booking!T120&lt;&gt;booking!U120,booking!T120&gt;0),"udc","-")</f>
        <v>-</v>
      </c>
      <c r="M120" s="49" t="str">
        <f>IFERROR(IF(AND(booking!AB120&gt;0,booking!T120&lt;&gt;booking!U120),VLOOKUP(booking!U120,Database!$A$1:'Database'!$L$175,6,FALSE),"-"),"-")</f>
        <v>-</v>
      </c>
    </row>
    <row r="121" spans="1:13" ht="15" customHeight="1" thickBot="1" x14ac:dyDescent="0.4">
      <c r="A121" t="str">
        <f>booking!B121</f>
        <v>mandag</v>
      </c>
      <c r="B121" s="24">
        <f>booking!C121</f>
        <v>46258</v>
      </c>
      <c r="C121" s="2" t="str">
        <f>IF(booking!AC121&gt;0,"Y","-")</f>
        <v>Y</v>
      </c>
      <c r="D121" s="53" t="str">
        <f>IF(AND(booking!D121&lt;&gt;booking!E121,booking!D121&gt;0),"udc","-")</f>
        <v>-</v>
      </c>
      <c r="E121" s="49" t="str">
        <f>IFERROR(IF(AND(booking!AB121&gt;0,booking!D121&lt;&gt;booking!E121),VLOOKUP(booking!E121,Database!$A$1:'Database'!$L$175,6,FALSE),"-"),"-")</f>
        <v>-</v>
      </c>
      <c r="F121" s="53" t="str">
        <f>IF(AND(booking!H121&lt;&gt;booking!I121,booking!H121&gt;0),"udc","-")</f>
        <v>-</v>
      </c>
      <c r="G121" s="49" t="str">
        <f>IFERROR(IF(AND(booking!AB121&gt;0,booking!H121&lt;&gt;booking!I121),VLOOKUP(booking!I121,Database!$A$1:'Database'!$L$175,6,FALSE),"-"),"-")</f>
        <v>-</v>
      </c>
      <c r="H121" s="53" t="str">
        <f>IF(AND(booking!L121&lt;&gt;booking!M121,booking!L121&gt;0),"udc","-")</f>
        <v>-</v>
      </c>
      <c r="I121" s="49" t="str">
        <f>IFERROR(IF(AND(booking!AB121&gt;0,booking!L121&lt;&gt;booking!M121),VLOOKUP(booking!M121,Database!$A$1:'Database'!$L$175,6,FALSE),"-"),"-")</f>
        <v>-</v>
      </c>
      <c r="J121" s="53" t="str">
        <f>IF(AND(booking!P121&lt;&gt;booking!Q121,booking!P121&gt;0),"udc","-")</f>
        <v>udc</v>
      </c>
      <c r="K121" s="49" t="str">
        <f>IFERROR(IF(AND(booking!AB121&gt;0,booking!P121&lt;&gt;booking!Q121),VLOOKUP(booking!Q121,Database!$A$1:'Database'!$L$175,6,FALSE),"-"),"-")</f>
        <v>DK</v>
      </c>
      <c r="L121" s="53" t="str">
        <f>IF(AND(booking!T121&lt;&gt;booking!U121,booking!T121&gt;0),"udc","-")</f>
        <v>-</v>
      </c>
      <c r="M121" s="49" t="str">
        <f>IFERROR(IF(AND(booking!AB121&gt;0,booking!T121&lt;&gt;booking!U121),VLOOKUP(booking!U121,Database!$A$1:'Database'!$L$175,6,FALSE),"-"),"-")</f>
        <v>-</v>
      </c>
    </row>
    <row r="122" spans="1:13" ht="15" customHeight="1" thickBot="1" x14ac:dyDescent="0.4">
      <c r="A122" t="str">
        <f>booking!B122</f>
        <v>tirsdag</v>
      </c>
      <c r="B122" s="24">
        <f>booking!C122</f>
        <v>46259</v>
      </c>
      <c r="C122" s="2" t="str">
        <f>IF(booking!AC122&gt;0,"Y","-")</f>
        <v>Y</v>
      </c>
      <c r="D122" s="53" t="str">
        <f>IF(AND(booking!D122&lt;&gt;booking!E122,booking!D122&gt;0),"udc","-")</f>
        <v>udc</v>
      </c>
      <c r="E122" s="49" t="str">
        <f>IFERROR(IF(AND(booking!AB122&gt;0,booking!D122&lt;&gt;booking!E122),VLOOKUP(booking!E122,Database!$A$1:'Database'!$L$175,6,FALSE),"-"),"-")</f>
        <v>-</v>
      </c>
      <c r="F122" s="53" t="str">
        <f>IF(AND(booking!H122&lt;&gt;booking!I122,booking!H122&gt;0),"udc","-")</f>
        <v>-</v>
      </c>
      <c r="G122" s="49" t="str">
        <f>IFERROR(IF(AND(booking!AB122&gt;0,booking!H122&lt;&gt;booking!I122),VLOOKUP(booking!I122,Database!$A$1:'Database'!$L$175,6,FALSE),"-"),"-")</f>
        <v>-</v>
      </c>
      <c r="H122" s="53" t="str">
        <f>IF(AND(booking!L122&lt;&gt;booking!M122,booking!L122&gt;0),"udc","-")</f>
        <v>udc</v>
      </c>
      <c r="I122" s="49" t="str">
        <f>IFERROR(IF(AND(booking!AB122&gt;0,booking!L122&lt;&gt;booking!M122),VLOOKUP(booking!M122,Database!$A$1:'Database'!$L$175,6,FALSE),"-"),"-")</f>
        <v>-</v>
      </c>
      <c r="J122" s="53" t="str">
        <f>IF(AND(booking!P122&lt;&gt;booking!Q122,booking!P122&gt;0),"udc","-")</f>
        <v>-</v>
      </c>
      <c r="K122" s="49" t="str">
        <f>IFERROR(IF(AND(booking!AB122&gt;0,booking!P122&lt;&gt;booking!Q122),VLOOKUP(booking!Q122,Database!$A$1:'Database'!$L$175,6,FALSE),"-"),"-")</f>
        <v>-</v>
      </c>
      <c r="L122" s="53" t="str">
        <f>IF(AND(booking!T122&lt;&gt;booking!U122,booking!T122&gt;0),"udc","-")</f>
        <v>-</v>
      </c>
      <c r="M122" s="49" t="str">
        <f>IFERROR(IF(AND(booking!AB122&gt;0,booking!T122&lt;&gt;booking!U122),VLOOKUP(booking!U122,Database!$A$1:'Database'!$L$175,6,FALSE),"-"),"-")</f>
        <v>-</v>
      </c>
    </row>
    <row r="123" spans="1:13" ht="15" customHeight="1" thickBot="1" x14ac:dyDescent="0.4">
      <c r="A123" t="str">
        <f>booking!B123</f>
        <v>onsdag</v>
      </c>
      <c r="B123" s="24">
        <f>booking!C123</f>
        <v>46260</v>
      </c>
      <c r="C123" s="2" t="str">
        <f>IF(booking!AC123&gt;0,"Y","-")</f>
        <v>Y</v>
      </c>
      <c r="D123" s="53" t="str">
        <f>IF(AND(booking!D123&lt;&gt;booking!E123,booking!D123&gt;0),"udc","-")</f>
        <v>-</v>
      </c>
      <c r="E123" s="49" t="str">
        <f>IFERROR(IF(AND(booking!AB123&gt;0,booking!D123&lt;&gt;booking!E123),VLOOKUP(booking!E123,Database!$A$1:'Database'!$L$175,6,FALSE),"-"),"-")</f>
        <v>D</v>
      </c>
      <c r="F123" s="53" t="str">
        <f>IF(AND(booking!H123&lt;&gt;booking!I123,booking!H123&gt;0),"udc","-")</f>
        <v>udc</v>
      </c>
      <c r="G123" s="49" t="str">
        <f>IFERROR(IF(AND(booking!AB123&gt;0,booking!H123&lt;&gt;booking!I123),VLOOKUP(booking!I123,Database!$A$1:'Database'!$L$175,6,FALSE),"-"),"-")</f>
        <v>DK</v>
      </c>
      <c r="H123" s="53" t="str">
        <f>IF(AND(booking!L123&lt;&gt;booking!M123,booking!L123&gt;0),"udc","-")</f>
        <v>-</v>
      </c>
      <c r="I123" s="49" t="str">
        <f>IFERROR(IF(AND(booking!AB123&gt;0,booking!L123&lt;&gt;booking!M123),VLOOKUP(booking!M123,Database!$A$1:'Database'!$L$175,6,FALSE),"-"),"-")</f>
        <v>D</v>
      </c>
      <c r="J123" s="53" t="str">
        <f>IF(AND(booking!P123&lt;&gt;booking!Q123,booking!P123&gt;0),"udc","-")</f>
        <v>-</v>
      </c>
      <c r="K123" s="49" t="str">
        <f>IFERROR(IF(AND(booking!AB123&gt;0,booking!P123&lt;&gt;booking!Q123),VLOOKUP(booking!Q123,Database!$A$1:'Database'!$L$175,6,FALSE),"-"),"-")</f>
        <v>-</v>
      </c>
      <c r="L123" s="53" t="str">
        <f>IF(AND(booking!T123&lt;&gt;booking!U123,booking!T123&gt;0),"udc","-")</f>
        <v>-</v>
      </c>
      <c r="M123" s="49" t="str">
        <f>IFERROR(IF(AND(booking!AB123&gt;0,booking!T123&lt;&gt;booking!U123),VLOOKUP(booking!U123,Database!$A$1:'Database'!$L$175,6,FALSE),"-"),"-")</f>
        <v>-</v>
      </c>
    </row>
    <row r="124" spans="1:13" ht="15" customHeight="1" thickBot="1" x14ac:dyDescent="0.4">
      <c r="A124" t="str">
        <f>booking!B124</f>
        <v>torsdag</v>
      </c>
      <c r="B124" s="24">
        <f>booking!C124</f>
        <v>46261</v>
      </c>
      <c r="C124" s="2" t="str">
        <f>IF(booking!AC124&gt;0,"Y","-")</f>
        <v>Y</v>
      </c>
      <c r="D124" s="53" t="str">
        <f>IF(AND(booking!D124&lt;&gt;booking!E124,booking!D124&gt;0),"udc","-")</f>
        <v>-</v>
      </c>
      <c r="E124" s="49" t="str">
        <f>IFERROR(IF(AND(booking!AB124&gt;0,booking!D124&lt;&gt;booking!E124),VLOOKUP(booking!E124,Database!$A$1:'Database'!$L$175,6,FALSE),"-"),"-")</f>
        <v>-</v>
      </c>
      <c r="F124" s="53" t="str">
        <f>IF(AND(booking!H124&lt;&gt;booking!I124,booking!H124&gt;0),"udc","-")</f>
        <v>-</v>
      </c>
      <c r="G124" s="49" t="str">
        <f>IFERROR(IF(AND(booking!AB124&gt;0,booking!H124&lt;&gt;booking!I124),VLOOKUP(booking!I124,Database!$A$1:'Database'!$L$175,6,FALSE),"-"),"-")</f>
        <v>-</v>
      </c>
      <c r="H124" s="53" t="str">
        <f>IF(AND(booking!L124&lt;&gt;booking!M124,booking!L124&gt;0),"udc","-")</f>
        <v>-</v>
      </c>
      <c r="I124" s="49" t="str">
        <f>IFERROR(IF(AND(booking!AB124&gt;0,booking!L124&lt;&gt;booking!M124),VLOOKUP(booking!M124,Database!$A$1:'Database'!$L$175,6,FALSE),"-"),"-")</f>
        <v>-</v>
      </c>
      <c r="J124" s="53" t="str">
        <f>IF(AND(booking!P124&lt;&gt;booking!Q124,booking!P124&gt;0),"udc","-")</f>
        <v>-</v>
      </c>
      <c r="K124" s="49" t="str">
        <f>IFERROR(IF(AND(booking!AB124&gt;0,booking!P124&lt;&gt;booking!Q124),VLOOKUP(booking!Q124,Database!$A$1:'Database'!$L$175,6,FALSE),"-"),"-")</f>
        <v>-</v>
      </c>
      <c r="L124" s="53" t="str">
        <f>IF(AND(booking!T124&lt;&gt;booking!U124,booking!T124&gt;0),"udc","-")</f>
        <v>udc</v>
      </c>
      <c r="M124" s="49" t="str">
        <f>IFERROR(IF(AND(booking!AB124&gt;0,booking!T124&lt;&gt;booking!U124),VLOOKUP(booking!U124,Database!$A$1:'Database'!$L$175,6,FALSE),"-"),"-")</f>
        <v>S</v>
      </c>
    </row>
    <row r="125" spans="1:13" ht="15" customHeight="1" thickBot="1" x14ac:dyDescent="0.4">
      <c r="A125" t="str">
        <f>booking!B125</f>
        <v>fredag</v>
      </c>
      <c r="B125" s="24">
        <f>booking!C125</f>
        <v>46262</v>
      </c>
      <c r="C125" s="2" t="str">
        <f>IF(booking!AC125&gt;0,"Y","-")</f>
        <v>Y</v>
      </c>
      <c r="D125" s="53" t="str">
        <f>IF(AND(booking!D125&lt;&gt;booking!E125,booking!D125&gt;0),"udc","-")</f>
        <v>-</v>
      </c>
      <c r="E125" s="49" t="str">
        <f>IFERROR(IF(AND(booking!AB125&gt;0,booking!D125&lt;&gt;booking!E125),VLOOKUP(booking!E125,Database!$A$1:'Database'!$L$175,6,FALSE),"-"),"-")</f>
        <v>-</v>
      </c>
      <c r="F125" s="53" t="str">
        <f>IF(AND(booking!H125&lt;&gt;booking!I125,booking!H125&gt;0),"udc","-")</f>
        <v>-</v>
      </c>
      <c r="G125" s="49" t="str">
        <f>IFERROR(IF(AND(booking!AB125&gt;0,booking!H125&lt;&gt;booking!I125),VLOOKUP(booking!I125,Database!$A$1:'Database'!$L$175,6,FALSE),"-"),"-")</f>
        <v>-</v>
      </c>
      <c r="H125" s="53" t="str">
        <f>IF(AND(booking!L125&lt;&gt;booking!M125,booking!L125&gt;0),"udc","-")</f>
        <v>-</v>
      </c>
      <c r="I125" s="49" t="str">
        <f>IFERROR(IF(AND(booking!AB125&gt;0,booking!L125&lt;&gt;booking!M125),VLOOKUP(booking!M125,Database!$A$1:'Database'!$L$175,6,FALSE),"-"),"-")</f>
        <v>-</v>
      </c>
      <c r="J125" s="53" t="str">
        <f>IF(AND(booking!P125&lt;&gt;booking!Q125,booking!P125&gt;0),"udc","-")</f>
        <v>udc</v>
      </c>
      <c r="K125" s="49" t="str">
        <f>IFERROR(IF(AND(booking!AB125&gt;0,booking!P125&lt;&gt;booking!Q125),VLOOKUP(booking!Q125,Database!$A$1:'Database'!$L$175,6,FALSE),"-"),"-")</f>
        <v>-</v>
      </c>
      <c r="L125" s="53" t="str">
        <f>IF(AND(booking!T125&lt;&gt;booking!U125,booking!T125&gt;0),"udc","-")</f>
        <v>-</v>
      </c>
      <c r="M125" s="49" t="str">
        <f>IFERROR(IF(AND(booking!AB125&gt;0,booking!T125&lt;&gt;booking!U125),VLOOKUP(booking!U125,Database!$A$1:'Database'!$L$175,6,FALSE),"-"),"-")</f>
        <v>-</v>
      </c>
    </row>
    <row r="126" spans="1:13" ht="15" customHeight="1" thickBot="1" x14ac:dyDescent="0.4">
      <c r="A126" t="str">
        <f>booking!B126</f>
        <v>lørdag</v>
      </c>
      <c r="B126" s="24">
        <f>booking!C126</f>
        <v>46263</v>
      </c>
      <c r="C126" s="2" t="str">
        <f>IF(booking!AC126&gt;0,"Y","-")</f>
        <v>-</v>
      </c>
      <c r="D126" s="53" t="str">
        <f>IF(AND(booking!D126&lt;&gt;booking!E126,booking!D126&gt;0),"udc","-")</f>
        <v>-</v>
      </c>
      <c r="E126" s="49" t="str">
        <f>IFERROR(IF(AND(booking!AB126&gt;0,booking!D126&lt;&gt;booking!E126),VLOOKUP(booking!E126,Database!$A$1:'Database'!$L$175,6,FALSE),"-"),"-")</f>
        <v>-</v>
      </c>
      <c r="F126" s="53" t="str">
        <f>IF(AND(booking!H126&lt;&gt;booking!I126,booking!H126&gt;0),"udc","-")</f>
        <v>-</v>
      </c>
      <c r="G126" s="49" t="str">
        <f>IFERROR(IF(AND(booking!AB126&gt;0,booking!H126&lt;&gt;booking!I126),VLOOKUP(booking!I126,Database!$A$1:'Database'!$L$175,6,FALSE),"-"),"-")</f>
        <v>-</v>
      </c>
      <c r="H126" s="53" t="str">
        <f>IF(AND(booking!L126&lt;&gt;booking!M126,booking!L126&gt;0),"udc","-")</f>
        <v>-</v>
      </c>
      <c r="I126" s="49" t="str">
        <f>IFERROR(IF(AND(booking!AB126&gt;0,booking!L126&lt;&gt;booking!M126),VLOOKUP(booking!M126,Database!$A$1:'Database'!$L$175,6,FALSE),"-"),"-")</f>
        <v>-</v>
      </c>
      <c r="J126" s="53" t="str">
        <f>IF(AND(booking!P126&lt;&gt;booking!Q126,booking!P126&gt;0),"udc","-")</f>
        <v>-</v>
      </c>
      <c r="K126" s="49" t="str">
        <f>IFERROR(IF(AND(booking!AB126&gt;0,booking!P126&lt;&gt;booking!Q126),VLOOKUP(booking!Q126,Database!$A$1:'Database'!$L$175,6,FALSE),"-"),"-")</f>
        <v>-</v>
      </c>
      <c r="L126" s="53" t="str">
        <f>IF(AND(booking!T126&lt;&gt;booking!U126,booking!T126&gt;0),"udc","-")</f>
        <v>-</v>
      </c>
      <c r="M126" s="49" t="str">
        <f>IFERROR(IF(AND(booking!AB126&gt;0,booking!T126&lt;&gt;booking!U126),VLOOKUP(booking!U126,Database!$A$1:'Database'!$L$175,6,FALSE),"-"),"-")</f>
        <v>-</v>
      </c>
    </row>
    <row r="127" spans="1:13" ht="15" customHeight="1" thickBot="1" x14ac:dyDescent="0.4">
      <c r="A127" t="str">
        <f>booking!B127</f>
        <v>søndag</v>
      </c>
      <c r="B127" s="24">
        <f>booking!C127</f>
        <v>46264</v>
      </c>
      <c r="C127" s="2" t="str">
        <f>IF(booking!AC127&gt;0,"Y","-")</f>
        <v>Y</v>
      </c>
      <c r="D127" s="53" t="str">
        <f>IF(AND(booking!D127&lt;&gt;booking!E127,booking!D127&gt;0),"udc","-")</f>
        <v>-</v>
      </c>
      <c r="E127" s="49" t="str">
        <f>IFERROR(IF(AND(booking!AB127&gt;0,booking!D127&lt;&gt;booking!E127),VLOOKUP(booking!E127,Database!$A$1:'Database'!$L$175,6,FALSE),"-"),"-")</f>
        <v>-</v>
      </c>
      <c r="F127" s="53" t="str">
        <f>IF(AND(booking!H127&lt;&gt;booking!I127,booking!H127&gt;0),"udc","-")</f>
        <v>udc</v>
      </c>
      <c r="G127" s="49" t="str">
        <f>IFERROR(IF(AND(booking!AB127&gt;0,booking!H127&lt;&gt;booking!I127),VLOOKUP(booking!I127,Database!$A$1:'Database'!$L$175,6,FALSE),"-"),"-")</f>
        <v>-</v>
      </c>
      <c r="H127" s="53" t="str">
        <f>IF(AND(booking!L127&lt;&gt;booking!M127,booking!L127&gt;0),"udc","-")</f>
        <v>-</v>
      </c>
      <c r="I127" s="49" t="str">
        <f>IFERROR(IF(AND(booking!AB127&gt;0,booking!L127&lt;&gt;booking!M127),VLOOKUP(booking!M127,Database!$A$1:'Database'!$L$175,6,FALSE),"-"),"-")</f>
        <v>-</v>
      </c>
      <c r="J127" s="53" t="str">
        <f>IF(AND(booking!P127&lt;&gt;booking!Q127,booking!P127&gt;0),"udc","-")</f>
        <v>-</v>
      </c>
      <c r="K127" s="49" t="str">
        <f>IFERROR(IF(AND(booking!AB127&gt;0,booking!P127&lt;&gt;booking!Q127),VLOOKUP(booking!Q127,Database!$A$1:'Database'!$L$175,6,FALSE),"-"),"-")</f>
        <v>-</v>
      </c>
      <c r="L127" s="53" t="str">
        <f>IF(AND(booking!T127&lt;&gt;booking!U127,booking!T127&gt;0),"udc","-")</f>
        <v>-</v>
      </c>
      <c r="M127" s="49" t="str">
        <f>IFERROR(IF(AND(booking!AB127&gt;0,booking!T127&lt;&gt;booking!U127),VLOOKUP(booking!U127,Database!$A$1:'Database'!$L$175,6,FALSE),"-"),"-")</f>
        <v>-</v>
      </c>
    </row>
    <row r="128" spans="1:13" ht="15" customHeight="1" thickBot="1" x14ac:dyDescent="0.4">
      <c r="A128" t="str">
        <f>booking!B128</f>
        <v>mandag</v>
      </c>
      <c r="B128" s="24">
        <f>booking!C128</f>
        <v>46265</v>
      </c>
      <c r="C128" s="2" t="str">
        <f>IF(booking!AC128&gt;0,"Y","-")</f>
        <v>Y</v>
      </c>
      <c r="D128" s="53" t="str">
        <f>IF(AND(booking!D128&lt;&gt;booking!E128,booking!D128&gt;0),"udc","-")</f>
        <v>udc</v>
      </c>
      <c r="E128" s="49" t="str">
        <f>IFERROR(IF(AND(booking!AB128&gt;0,booking!D128&lt;&gt;booking!E128),VLOOKUP(booking!E128,Database!$A$1:'Database'!$L$175,6,FALSE),"-"),"-")</f>
        <v>-</v>
      </c>
      <c r="F128" s="53" t="str">
        <f>IF(AND(booking!H128&lt;&gt;booking!I128,booking!H128&gt;0),"udc","-")</f>
        <v>-</v>
      </c>
      <c r="G128" s="49" t="str">
        <f>IFERROR(IF(AND(booking!AB128&gt;0,booking!H128&lt;&gt;booking!I128),VLOOKUP(booking!I128,Database!$A$1:'Database'!$L$175,6,FALSE),"-"),"-")</f>
        <v>-</v>
      </c>
      <c r="H128" s="53" t="str">
        <f>IF(AND(booking!L128&lt;&gt;booking!M128,booking!L128&gt;0),"udc","-")</f>
        <v>-</v>
      </c>
      <c r="I128" s="49" t="str">
        <f>IFERROR(IF(AND(booking!AB128&gt;0,booking!L128&lt;&gt;booking!M128),VLOOKUP(booking!M128,Database!$A$1:'Database'!$L$175,6,FALSE),"-"),"-")</f>
        <v>-</v>
      </c>
      <c r="J128" s="53" t="str">
        <f>IF(AND(booking!P128&lt;&gt;booking!Q128,booking!P128&gt;0),"udc","-")</f>
        <v>-</v>
      </c>
      <c r="K128" s="49" t="str">
        <f>IFERROR(IF(AND(booking!AB128&gt;0,booking!P128&lt;&gt;booking!Q128),VLOOKUP(booking!Q128,Database!$A$1:'Database'!$L$175,6,FALSE),"-"),"-")</f>
        <v>-</v>
      </c>
      <c r="L128" s="53" t="str">
        <f>IF(AND(booking!T128&lt;&gt;booking!U128,booking!T128&gt;0),"udc","-")</f>
        <v>udc</v>
      </c>
      <c r="M128" s="49" t="str">
        <f>IFERROR(IF(AND(booking!AB128&gt;0,booking!T128&lt;&gt;booking!U128),VLOOKUP(booking!U128,Database!$A$1:'Database'!$L$175,6,FALSE),"-"),"-")</f>
        <v>-</v>
      </c>
    </row>
    <row r="129" spans="1:13" ht="15" customHeight="1" thickBot="1" x14ac:dyDescent="0.4">
      <c r="A129" t="str">
        <f>booking!B129</f>
        <v>tirsdag</v>
      </c>
      <c r="B129" s="24">
        <f>booking!C129</f>
        <v>46266</v>
      </c>
      <c r="C129" s="2" t="str">
        <f>IF(booking!AC129&gt;0,"Y","-")</f>
        <v>-</v>
      </c>
      <c r="D129" s="53" t="str">
        <f>IF(AND(booking!D129&lt;&gt;booking!E129,booking!D129&gt;0),"udc","-")</f>
        <v>-</v>
      </c>
      <c r="E129" s="49" t="str">
        <f>IFERROR(IF(AND(booking!AB129&gt;0,booking!D129&lt;&gt;booking!E129),VLOOKUP(booking!E129,Database!$A$1:'Database'!$L$175,6,FALSE),"-"),"-")</f>
        <v>-</v>
      </c>
      <c r="F129" s="53" t="str">
        <f>IF(AND(booking!H129&lt;&gt;booking!I129,booking!H129&gt;0),"udc","-")</f>
        <v>-</v>
      </c>
      <c r="G129" s="49" t="str">
        <f>IFERROR(IF(AND(booking!AB129&gt;0,booking!H129&lt;&gt;booking!I129),VLOOKUP(booking!I129,Database!$A$1:'Database'!$L$175,6,FALSE),"-"),"-")</f>
        <v>-</v>
      </c>
      <c r="H129" s="53" t="str">
        <f>IF(AND(booking!L129&lt;&gt;booking!M129,booking!L129&gt;0),"udc","-")</f>
        <v>-</v>
      </c>
      <c r="I129" s="49" t="str">
        <f>IFERROR(IF(AND(booking!AB129&gt;0,booking!L129&lt;&gt;booking!M129),VLOOKUP(booking!M129,Database!$A$1:'Database'!$L$175,6,FALSE),"-"),"-")</f>
        <v>-</v>
      </c>
      <c r="J129" s="53" t="str">
        <f>IF(AND(booking!P129&lt;&gt;booking!Q129,booking!P129&gt;0),"udc","-")</f>
        <v>-</v>
      </c>
      <c r="K129" s="49" t="str">
        <f>IFERROR(IF(AND(booking!AB129&gt;0,booking!P129&lt;&gt;booking!Q129),VLOOKUP(booking!Q129,Database!$A$1:'Database'!$L$175,6,FALSE),"-"),"-")</f>
        <v>-</v>
      </c>
      <c r="L129" s="53" t="str">
        <f>IF(AND(booking!T129&lt;&gt;booking!U129,booking!T129&gt;0),"udc","-")</f>
        <v>-</v>
      </c>
      <c r="M129" s="49" t="str">
        <f>IFERROR(IF(AND(booking!AB129&gt;0,booking!T129&lt;&gt;booking!U129),VLOOKUP(booking!U129,Database!$A$1:'Database'!$L$175,6,FALSE),"-"),"-")</f>
        <v>-</v>
      </c>
    </row>
    <row r="130" spans="1:13" ht="15" customHeight="1" thickBot="1" x14ac:dyDescent="0.4">
      <c r="A130" t="str">
        <f>booking!B130</f>
        <v>onsdag</v>
      </c>
      <c r="B130" s="24">
        <f>booking!C130</f>
        <v>46267</v>
      </c>
      <c r="C130" s="2" t="str">
        <f>IF(booking!AC130&gt;0,"Y","-")</f>
        <v>-</v>
      </c>
      <c r="D130" s="53" t="str">
        <f>IF(AND(booking!D130&lt;&gt;booking!E130,booking!D130&gt;0),"udc","-")</f>
        <v>-</v>
      </c>
      <c r="E130" s="49" t="str">
        <f>IFERROR(IF(AND(booking!AB130&gt;0,booking!D130&lt;&gt;booking!E130),VLOOKUP(booking!E130,Database!$A$1:'Database'!$L$175,6,FALSE),"-"),"-")</f>
        <v>-</v>
      </c>
      <c r="F130" s="53" t="str">
        <f>IF(AND(booking!H130&lt;&gt;booking!I130,booking!H130&gt;0),"udc","-")</f>
        <v>-</v>
      </c>
      <c r="G130" s="49" t="str">
        <f>IFERROR(IF(AND(booking!AB130&gt;0,booking!H130&lt;&gt;booking!I130),VLOOKUP(booking!I130,Database!$A$1:'Database'!$L$175,6,FALSE),"-"),"-")</f>
        <v>-</v>
      </c>
      <c r="H130" s="53" t="str">
        <f>IF(AND(booking!L130&lt;&gt;booking!M130,booking!L130&gt;0),"udc","-")</f>
        <v>-</v>
      </c>
      <c r="I130" s="49" t="str">
        <f>IFERROR(IF(AND(booking!AB130&gt;0,booking!L130&lt;&gt;booking!M130),VLOOKUP(booking!M130,Database!$A$1:'Database'!$L$175,6,FALSE),"-"),"-")</f>
        <v>-</v>
      </c>
      <c r="J130" s="53" t="str">
        <f>IF(AND(booking!P130&lt;&gt;booking!Q130,booking!P130&gt;0),"udc","-")</f>
        <v>-</v>
      </c>
      <c r="K130" s="49" t="str">
        <f>IFERROR(IF(AND(booking!AB130&gt;0,booking!P130&lt;&gt;booking!Q130),VLOOKUP(booking!Q130,Database!$A$1:'Database'!$L$175,6,FALSE),"-"),"-")</f>
        <v>-</v>
      </c>
      <c r="L130" s="53" t="str">
        <f>IF(AND(booking!T130&lt;&gt;booking!U130,booking!T130&gt;0),"udc","-")</f>
        <v>-</v>
      </c>
      <c r="M130" s="49" t="str">
        <f>IFERROR(IF(AND(booking!AB130&gt;0,booking!T130&lt;&gt;booking!U130),VLOOKUP(booking!U130,Database!$A$1:'Database'!$L$175,6,FALSE),"-"),"-")</f>
        <v>-</v>
      </c>
    </row>
    <row r="131" spans="1:13" ht="15" customHeight="1" thickBot="1" x14ac:dyDescent="0.4">
      <c r="A131" t="str">
        <f>booking!B131</f>
        <v>torsdag</v>
      </c>
      <c r="B131" s="24">
        <f>booking!C131</f>
        <v>46268</v>
      </c>
      <c r="C131" s="2" t="str">
        <f>IF(booking!AC131&gt;0,"Y","-")</f>
        <v>Y</v>
      </c>
      <c r="D131" s="53" t="str">
        <f>IF(AND(booking!D131&lt;&gt;booking!E131,booking!D131&gt;0),"udc","-")</f>
        <v>-</v>
      </c>
      <c r="E131" s="49" t="str">
        <f>IFERROR(IF(AND(booking!AB131&gt;0,booking!D131&lt;&gt;booking!E131),VLOOKUP(booking!E131,Database!$A$1:'Database'!$L$175,6,FALSE),"-"),"-")</f>
        <v>-</v>
      </c>
      <c r="F131" s="53" t="str">
        <f>IF(AND(booking!H131&lt;&gt;booking!I131,booking!H131&gt;0),"udc","-")</f>
        <v>-</v>
      </c>
      <c r="G131" s="49" t="str">
        <f>IFERROR(IF(AND(booking!AB131&gt;0,booking!H131&lt;&gt;booking!I131),VLOOKUP(booking!I131,Database!$A$1:'Database'!$L$175,6,FALSE),"-"),"-")</f>
        <v>-</v>
      </c>
      <c r="H131" s="53" t="str">
        <f>IF(AND(booking!L131&lt;&gt;booking!M131,booking!L131&gt;0),"udc","-")</f>
        <v>udc</v>
      </c>
      <c r="I131" s="49" t="str">
        <f>IFERROR(IF(AND(booking!AB131&gt;0,booking!L131&lt;&gt;booking!M131),VLOOKUP(booking!M131,Database!$A$1:'Database'!$L$175,6,FALSE),"-"),"-")</f>
        <v>-</v>
      </c>
      <c r="J131" s="53" t="str">
        <f>IF(AND(booking!P131&lt;&gt;booking!Q131,booking!P131&gt;0),"udc","-")</f>
        <v>-</v>
      </c>
      <c r="K131" s="49" t="str">
        <f>IFERROR(IF(AND(booking!AB131&gt;0,booking!P131&lt;&gt;booking!Q131),VLOOKUP(booking!Q131,Database!$A$1:'Database'!$L$175,6,FALSE),"-"),"-")</f>
        <v>-</v>
      </c>
      <c r="L131" s="53" t="str">
        <f>IF(AND(booking!T131&lt;&gt;booking!U131,booking!T131&gt;0),"udc","-")</f>
        <v>-</v>
      </c>
      <c r="M131" s="49" t="str">
        <f>IFERROR(IF(AND(booking!AB131&gt;0,booking!T131&lt;&gt;booking!U131),VLOOKUP(booking!U131,Database!$A$1:'Database'!$L$175,6,FALSE),"-"),"-")</f>
        <v>-</v>
      </c>
    </row>
    <row r="132" spans="1:13" ht="15" customHeight="1" thickBot="1" x14ac:dyDescent="0.4">
      <c r="A132" t="str">
        <f>booking!B132</f>
        <v>fredag</v>
      </c>
      <c r="B132" s="24">
        <f>booking!C132</f>
        <v>46269</v>
      </c>
      <c r="C132" s="2" t="str">
        <f>IF(booking!AC132&gt;0,"Y","-")</f>
        <v>Y</v>
      </c>
      <c r="D132" s="53" t="str">
        <f>IF(AND(booking!D132&lt;&gt;booking!E132,booking!D132&gt;0),"udc","-")</f>
        <v>-</v>
      </c>
      <c r="E132" s="49" t="str">
        <f>IFERROR(IF(AND(booking!AB132&gt;0,booking!D132&lt;&gt;booking!E132),VLOOKUP(booking!E132,Database!$A$1:'Database'!$L$175,6,FALSE),"-"),"-")</f>
        <v>-</v>
      </c>
      <c r="F132" s="53" t="str">
        <f>IF(AND(booking!H132&lt;&gt;booking!I132,booking!H132&gt;0),"udc","-")</f>
        <v>-</v>
      </c>
      <c r="G132" s="49" t="str">
        <f>IFERROR(IF(AND(booking!AB132&gt;0,booking!H132&lt;&gt;booking!I132),VLOOKUP(booking!I132,Database!$A$1:'Database'!$L$175,6,FALSE),"-"),"-")</f>
        <v>-</v>
      </c>
      <c r="H132" s="53" t="str">
        <f>IF(AND(booking!L132&lt;&gt;booking!M132,booking!L132&gt;0),"udc","-")</f>
        <v>-</v>
      </c>
      <c r="I132" s="49" t="str">
        <f>IFERROR(IF(AND(booking!AB132&gt;0,booking!L132&lt;&gt;booking!M132),VLOOKUP(booking!M132,Database!$A$1:'Database'!$L$175,6,FALSE),"-"),"-")</f>
        <v>-</v>
      </c>
      <c r="J132" s="53" t="str">
        <f>IF(AND(booking!P132&lt;&gt;booking!Q132,booking!P132&gt;0),"udc","-")</f>
        <v>udc</v>
      </c>
      <c r="K132" s="49" t="str">
        <f>IFERROR(IF(AND(booking!AB132&gt;0,booking!P132&lt;&gt;booking!Q132),VLOOKUP(booking!Q132,Database!$A$1:'Database'!$L$175,6,FALSE),"-"),"-")</f>
        <v>DK</v>
      </c>
      <c r="L132" s="53" t="str">
        <f>IF(AND(booking!T132&lt;&gt;booking!U132,booking!T132&gt;0),"udc","-")</f>
        <v>-</v>
      </c>
      <c r="M132" s="49" t="str">
        <f>IFERROR(IF(AND(booking!AB132&gt;0,booking!T132&lt;&gt;booking!U132),VLOOKUP(booking!U132,Database!$A$1:'Database'!$L$175,6,FALSE),"-"),"-")</f>
        <v>-</v>
      </c>
    </row>
    <row r="133" spans="1:13" ht="15" customHeight="1" thickBot="1" x14ac:dyDescent="0.4">
      <c r="A133" t="str">
        <f>booking!B133</f>
        <v>lørdag</v>
      </c>
      <c r="B133" s="24">
        <f>booking!C133</f>
        <v>46270</v>
      </c>
      <c r="C133" s="2" t="str">
        <f>IF(booking!AC133&gt;0,"Y","-")</f>
        <v>-</v>
      </c>
      <c r="D133" s="53" t="str">
        <f>IF(AND(booking!D133&lt;&gt;booking!E133,booking!D133&gt;0),"udc","-")</f>
        <v>-</v>
      </c>
      <c r="E133" s="49" t="str">
        <f>IFERROR(IF(AND(booking!AB133&gt;0,booking!D133&lt;&gt;booking!E133),VLOOKUP(booking!E133,Database!$A$1:'Database'!$L$175,6,FALSE),"-"),"-")</f>
        <v>-</v>
      </c>
      <c r="F133" s="53" t="str">
        <f>IF(AND(booking!H133&lt;&gt;booking!I133,booking!H133&gt;0),"udc","-")</f>
        <v>-</v>
      </c>
      <c r="G133" s="49" t="str">
        <f>IFERROR(IF(AND(booking!AB133&gt;0,booking!H133&lt;&gt;booking!I133),VLOOKUP(booking!I133,Database!$A$1:'Database'!$L$175,6,FALSE),"-"),"-")</f>
        <v>-</v>
      </c>
      <c r="H133" s="53" t="str">
        <f>IF(AND(booking!L133&lt;&gt;booking!M133,booking!L133&gt;0),"udc","-")</f>
        <v>-</v>
      </c>
      <c r="I133" s="49" t="str">
        <f>IFERROR(IF(AND(booking!AB133&gt;0,booking!L133&lt;&gt;booking!M133),VLOOKUP(booking!M133,Database!$A$1:'Database'!$L$175,6,FALSE),"-"),"-")</f>
        <v>-</v>
      </c>
      <c r="J133" s="53" t="str">
        <f>IF(AND(booking!P133&lt;&gt;booking!Q133,booking!P133&gt;0),"udc","-")</f>
        <v>-</v>
      </c>
      <c r="K133" s="49" t="str">
        <f>IFERROR(IF(AND(booking!AB133&gt;0,booking!P133&lt;&gt;booking!Q133),VLOOKUP(booking!Q133,Database!$A$1:'Database'!$L$175,6,FALSE),"-"),"-")</f>
        <v>-</v>
      </c>
      <c r="L133" s="53" t="str">
        <f>IF(AND(booking!T133&lt;&gt;booking!U133,booking!T133&gt;0),"udc","-")</f>
        <v>-</v>
      </c>
      <c r="M133" s="49" t="str">
        <f>IFERROR(IF(AND(booking!AB133&gt;0,booking!T133&lt;&gt;booking!U133),VLOOKUP(booking!U133,Database!$A$1:'Database'!$L$175,6,FALSE),"-"),"-")</f>
        <v>-</v>
      </c>
    </row>
    <row r="134" spans="1:13" ht="15" customHeight="1" thickBot="1" x14ac:dyDescent="0.4">
      <c r="A134" t="str">
        <f>booking!B134</f>
        <v>søndag</v>
      </c>
      <c r="B134" s="24">
        <f>booking!C134</f>
        <v>46271</v>
      </c>
      <c r="C134" s="2" t="str">
        <f>IF(booking!AC134&gt;0,"Y","-")</f>
        <v>Y</v>
      </c>
      <c r="D134" s="53" t="str">
        <f>IF(AND(booking!D134&lt;&gt;booking!E134,booking!D134&gt;0),"udc","-")</f>
        <v>-</v>
      </c>
      <c r="E134" s="49" t="str">
        <f>IFERROR(IF(AND(booking!AB134&gt;0,booking!D134&lt;&gt;booking!E134),VLOOKUP(booking!E134,Database!$A$1:'Database'!$L$175,6,FALSE),"-"),"-")</f>
        <v>-</v>
      </c>
      <c r="F134" s="53" t="str">
        <f>IF(AND(booking!H134&lt;&gt;booking!I134,booking!H134&gt;0),"udc","-")</f>
        <v>-</v>
      </c>
      <c r="G134" s="49" t="str">
        <f>IFERROR(IF(AND(booking!AB134&gt;0,booking!H134&lt;&gt;booking!I134),VLOOKUP(booking!I134,Database!$A$1:'Database'!$L$175,6,FALSE),"-"),"-")</f>
        <v>-</v>
      </c>
      <c r="H134" s="53" t="str">
        <f>IF(AND(booking!L134&lt;&gt;booking!M134,booking!L134&gt;0),"udc","-")</f>
        <v>-</v>
      </c>
      <c r="I134" s="49" t="str">
        <f>IFERROR(IF(AND(booking!AB134&gt;0,booking!L134&lt;&gt;booking!M134),VLOOKUP(booking!M134,Database!$A$1:'Database'!$L$175,6,FALSE),"-"),"-")</f>
        <v>-</v>
      </c>
      <c r="J134" s="53" t="str">
        <f>IF(AND(booking!P134&lt;&gt;booking!Q134,booking!P134&gt;0),"udc","-")</f>
        <v>udc</v>
      </c>
      <c r="K134" s="49" t="str">
        <f>IFERROR(IF(AND(booking!AB134&gt;0,booking!P134&lt;&gt;booking!Q134),VLOOKUP(booking!Q134,Database!$A$1:'Database'!$L$175,6,FALSE),"-"),"-")</f>
        <v>-</v>
      </c>
      <c r="L134" s="53" t="str">
        <f>IF(AND(booking!T134&lt;&gt;booking!U134,booking!T134&gt;0),"udc","-")</f>
        <v>-</v>
      </c>
      <c r="M134" s="49" t="str">
        <f>IFERROR(IF(AND(booking!AB134&gt;0,booking!T134&lt;&gt;booking!U134),VLOOKUP(booking!U134,Database!$A$1:'Database'!$L$175,6,FALSE),"-"),"-")</f>
        <v>D</v>
      </c>
    </row>
    <row r="135" spans="1:13" ht="15" customHeight="1" thickBot="1" x14ac:dyDescent="0.4">
      <c r="A135" t="str">
        <f>booking!B135</f>
        <v>mandag</v>
      </c>
      <c r="B135" s="24">
        <f>booking!C135</f>
        <v>46272</v>
      </c>
      <c r="C135" s="2" t="str">
        <f>IF(booking!AC135&gt;0,"Y","-")</f>
        <v>-</v>
      </c>
      <c r="D135" s="53" t="str">
        <f>IF(AND(booking!D135&lt;&gt;booking!E135,booking!D135&gt;0),"udc","-")</f>
        <v>-</v>
      </c>
      <c r="E135" s="49" t="str">
        <f>IFERROR(IF(AND(booking!AB135&gt;0,booking!D135&lt;&gt;booking!E135),VLOOKUP(booking!E135,Database!$A$1:'Database'!$L$175,6,FALSE),"-"),"-")</f>
        <v>-</v>
      </c>
      <c r="F135" s="53" t="str">
        <f>IF(AND(booking!H135&lt;&gt;booking!I135,booking!H135&gt;0),"udc","-")</f>
        <v>-</v>
      </c>
      <c r="G135" s="49" t="str">
        <f>IFERROR(IF(AND(booking!AB135&gt;0,booking!H135&lt;&gt;booking!I135),VLOOKUP(booking!I135,Database!$A$1:'Database'!$L$175,6,FALSE),"-"),"-")</f>
        <v>-</v>
      </c>
      <c r="H135" s="53" t="str">
        <f>IF(AND(booking!L135&lt;&gt;booking!M135,booking!L135&gt;0),"udc","-")</f>
        <v>-</v>
      </c>
      <c r="I135" s="49" t="str">
        <f>IFERROR(IF(AND(booking!AB135&gt;0,booking!L135&lt;&gt;booking!M135),VLOOKUP(booking!M135,Database!$A$1:'Database'!$L$175,6,FALSE),"-"),"-")</f>
        <v>-</v>
      </c>
      <c r="J135" s="53" t="str">
        <f>IF(AND(booking!P135&lt;&gt;booking!Q135,booking!P135&gt;0),"udc","-")</f>
        <v>-</v>
      </c>
      <c r="K135" s="49" t="str">
        <f>IFERROR(IF(AND(booking!AB135&gt;0,booking!P135&lt;&gt;booking!Q135),VLOOKUP(booking!Q135,Database!$A$1:'Database'!$L$175,6,FALSE),"-"),"-")</f>
        <v>DK</v>
      </c>
      <c r="L135" s="53" t="str">
        <f>IF(AND(booking!T135&lt;&gt;booking!U135,booking!T135&gt;0),"udc","-")</f>
        <v>-</v>
      </c>
      <c r="M135" s="49" t="str">
        <f>IFERROR(IF(AND(booking!AB135&gt;0,booking!T135&lt;&gt;booking!U135),VLOOKUP(booking!U135,Database!$A$1:'Database'!$L$175,6,FALSE),"-"),"-")</f>
        <v>-</v>
      </c>
    </row>
    <row r="136" spans="1:13" ht="15" customHeight="1" thickBot="1" x14ac:dyDescent="0.4">
      <c r="A136" t="str">
        <f>booking!B136</f>
        <v>tirsdag</v>
      </c>
      <c r="B136" s="24">
        <f>booking!C136</f>
        <v>46273</v>
      </c>
      <c r="C136" s="2" t="str">
        <f>IF(booking!AC136&gt;0,"Y","-")</f>
        <v>-</v>
      </c>
      <c r="D136" s="53" t="str">
        <f>IF(AND(booking!D136&lt;&gt;booking!E136,booking!D136&gt;0),"udc","-")</f>
        <v>-</v>
      </c>
      <c r="E136" s="49" t="str">
        <f>IFERROR(IF(AND(booking!AB136&gt;0,booking!D136&lt;&gt;booking!E136),VLOOKUP(booking!E136,Database!$A$1:'Database'!$L$175,6,FALSE),"-"),"-")</f>
        <v>-</v>
      </c>
      <c r="F136" s="53" t="str">
        <f>IF(AND(booking!H136&lt;&gt;booking!I136,booking!H136&gt;0),"udc","-")</f>
        <v>-</v>
      </c>
      <c r="G136" s="49" t="str">
        <f>IFERROR(IF(AND(booking!AB136&gt;0,booking!H136&lt;&gt;booking!I136),VLOOKUP(booking!I136,Database!$A$1:'Database'!$L$175,6,FALSE),"-"),"-")</f>
        <v>-</v>
      </c>
      <c r="H136" s="53" t="str">
        <f>IF(AND(booking!L136&lt;&gt;booking!M136,booking!L136&gt;0),"udc","-")</f>
        <v>-</v>
      </c>
      <c r="I136" s="49" t="str">
        <f>IFERROR(IF(AND(booking!AB136&gt;0,booking!L136&lt;&gt;booking!M136),VLOOKUP(booking!M136,Database!$A$1:'Database'!$L$175,6,FALSE),"-"),"-")</f>
        <v>-</v>
      </c>
      <c r="J136" s="53" t="str">
        <f>IF(AND(booking!P136&lt;&gt;booking!Q136,booking!P136&gt;0),"udc","-")</f>
        <v>-</v>
      </c>
      <c r="K136" s="49" t="str">
        <f>IFERROR(IF(AND(booking!AB136&gt;0,booking!P136&lt;&gt;booking!Q136),VLOOKUP(booking!Q136,Database!$A$1:'Database'!$L$175,6,FALSE),"-"),"-")</f>
        <v>-</v>
      </c>
      <c r="L136" s="53" t="str">
        <f>IF(AND(booking!T136&lt;&gt;booking!U136,booking!T136&gt;0),"udc","-")</f>
        <v>-</v>
      </c>
      <c r="M136" s="49" t="str">
        <f>IFERROR(IF(AND(booking!AB136&gt;0,booking!T136&lt;&gt;booking!U136),VLOOKUP(booking!U136,Database!$A$1:'Database'!$L$175,6,FALSE),"-"),"-")</f>
        <v>-</v>
      </c>
    </row>
    <row r="137" spans="1:13" ht="15" customHeight="1" thickBot="1" x14ac:dyDescent="0.4">
      <c r="A137" t="str">
        <f>booking!B137</f>
        <v>onsdag</v>
      </c>
      <c r="B137" s="24">
        <f>booking!C137</f>
        <v>46274</v>
      </c>
      <c r="C137" s="2" t="str">
        <f>IF(booking!AC137&gt;0,"Y","-")</f>
        <v>-</v>
      </c>
      <c r="D137" s="53" t="str">
        <f>IF(AND(booking!D137&lt;&gt;booking!E137,booking!D137&gt;0),"udc","-")</f>
        <v>-</v>
      </c>
      <c r="E137" s="49" t="str">
        <f>IFERROR(IF(AND(booking!AB137&gt;0,booking!D137&lt;&gt;booking!E137),VLOOKUP(booking!E137,Database!$A$1:'Database'!$L$175,6,FALSE),"-"),"-")</f>
        <v>-</v>
      </c>
      <c r="F137" s="53" t="str">
        <f>IF(AND(booking!H137&lt;&gt;booking!I137,booking!H137&gt;0),"udc","-")</f>
        <v>-</v>
      </c>
      <c r="G137" s="49" t="str">
        <f>IFERROR(IF(AND(booking!AB137&gt;0,booking!H137&lt;&gt;booking!I137),VLOOKUP(booking!I137,Database!$A$1:'Database'!$L$175,6,FALSE),"-"),"-")</f>
        <v>-</v>
      </c>
      <c r="H137" s="53" t="str">
        <f>IF(AND(booking!L137&lt;&gt;booking!M137,booking!L137&gt;0),"udc","-")</f>
        <v>-</v>
      </c>
      <c r="I137" s="49" t="str">
        <f>IFERROR(IF(AND(booking!AB137&gt;0,booking!L137&lt;&gt;booking!M137),VLOOKUP(booking!M137,Database!$A$1:'Database'!$L$175,6,FALSE),"-"),"-")</f>
        <v>-</v>
      </c>
      <c r="J137" s="53" t="str">
        <f>IF(AND(booking!P137&lt;&gt;booking!Q137,booking!P137&gt;0),"udc","-")</f>
        <v>-</v>
      </c>
      <c r="K137" s="49" t="str">
        <f>IFERROR(IF(AND(booking!AB137&gt;0,booking!P137&lt;&gt;booking!Q137),VLOOKUP(booking!Q137,Database!$A$1:'Database'!$L$175,6,FALSE),"-"),"-")</f>
        <v>-</v>
      </c>
      <c r="L137" s="53" t="str">
        <f>IF(AND(booking!T137&lt;&gt;booking!U137,booking!T137&gt;0),"udc","-")</f>
        <v>-</v>
      </c>
      <c r="M137" s="49" t="str">
        <f>IFERROR(IF(AND(booking!AB137&gt;0,booking!T137&lt;&gt;booking!U137),VLOOKUP(booking!U137,Database!$A$1:'Database'!$L$175,6,FALSE),"-"),"-")</f>
        <v>-</v>
      </c>
    </row>
    <row r="138" spans="1:13" ht="15" customHeight="1" thickBot="1" x14ac:dyDescent="0.4">
      <c r="A138" t="str">
        <f>booking!B138</f>
        <v>torsdag</v>
      </c>
      <c r="B138" s="24">
        <f>booking!C138</f>
        <v>46275</v>
      </c>
      <c r="C138" s="2" t="str">
        <f>IF(booking!AC138&gt;0,"Y","-")</f>
        <v>Y</v>
      </c>
      <c r="D138" s="53" t="str">
        <f>IF(AND(booking!D138&lt;&gt;booking!E138,booking!D138&gt;0),"udc","-")</f>
        <v>-</v>
      </c>
      <c r="E138" s="49" t="str">
        <f>IFERROR(IF(AND(booking!AB138&gt;0,booking!D138&lt;&gt;booking!E138),VLOOKUP(booking!E138,Database!$A$1:'Database'!$L$175,6,FALSE),"-"),"-")</f>
        <v>-</v>
      </c>
      <c r="F138" s="53" t="str">
        <f>IF(AND(booking!H138&lt;&gt;booking!I138,booking!H138&gt;0),"udc","-")</f>
        <v>-</v>
      </c>
      <c r="G138" s="49" t="str">
        <f>IFERROR(IF(AND(booking!AB138&gt;0,booking!H138&lt;&gt;booking!I138),VLOOKUP(booking!I138,Database!$A$1:'Database'!$L$175,6,FALSE),"-"),"-")</f>
        <v>-</v>
      </c>
      <c r="H138" s="53" t="str">
        <f>IF(AND(booking!L138&lt;&gt;booking!M138,booking!L138&gt;0),"udc","-")</f>
        <v>-</v>
      </c>
      <c r="I138" s="49" t="str">
        <f>IFERROR(IF(AND(booking!AB138&gt;0,booking!L138&lt;&gt;booking!M138),VLOOKUP(booking!M138,Database!$A$1:'Database'!$L$175,6,FALSE),"-"),"-")</f>
        <v>-</v>
      </c>
      <c r="J138" s="53" t="str">
        <f>IF(AND(booking!P138&lt;&gt;booking!Q138,booking!P138&gt;0),"udc","-")</f>
        <v>udc</v>
      </c>
      <c r="K138" s="49" t="str">
        <f>IFERROR(IF(AND(booking!AB138&gt;0,booking!P138&lt;&gt;booking!Q138),VLOOKUP(booking!Q138,Database!$A$1:'Database'!$L$175,6,FALSE),"-"),"-")</f>
        <v>-</v>
      </c>
      <c r="L138" s="53" t="str">
        <f>IF(AND(booking!T138&lt;&gt;booking!U138,booking!T138&gt;0),"udc","-")</f>
        <v>-</v>
      </c>
      <c r="M138" s="49" t="str">
        <f>IFERROR(IF(AND(booking!AB138&gt;0,booking!T138&lt;&gt;booking!U138),VLOOKUP(booking!U138,Database!$A$1:'Database'!$L$175,6,FALSE),"-"),"-")</f>
        <v>-</v>
      </c>
    </row>
    <row r="139" spans="1:13" ht="15" customHeight="1" thickBot="1" x14ac:dyDescent="0.4">
      <c r="A139" t="str">
        <f>booking!B139</f>
        <v>fredag</v>
      </c>
      <c r="B139" s="24">
        <f>booking!C139</f>
        <v>46276</v>
      </c>
      <c r="C139" s="2" t="str">
        <f>IF(booking!AC139&gt;0,"Y","-")</f>
        <v>-</v>
      </c>
      <c r="D139" s="53" t="str">
        <f>IF(AND(booking!D139&lt;&gt;booking!E139,booking!D139&gt;0),"udc","-")</f>
        <v>-</v>
      </c>
      <c r="E139" s="49" t="str">
        <f>IFERROR(IF(AND(booking!AB139&gt;0,booking!D139&lt;&gt;booking!E139),VLOOKUP(booking!E139,Database!$A$1:'Database'!$L$175,6,FALSE),"-"),"-")</f>
        <v>DK</v>
      </c>
      <c r="F139" s="53" t="str">
        <f>IF(AND(booking!H139&lt;&gt;booking!I139,booking!H139&gt;0),"udc","-")</f>
        <v>-</v>
      </c>
      <c r="G139" s="49" t="str">
        <f>IFERROR(IF(AND(booking!AB139&gt;0,booking!H139&lt;&gt;booking!I139),VLOOKUP(booking!I139,Database!$A$1:'Database'!$L$175,6,FALSE),"-"),"-")</f>
        <v>DK</v>
      </c>
      <c r="H139" s="53" t="str">
        <f>IF(AND(booking!L139&lt;&gt;booking!M139,booking!L139&gt;0),"udc","-")</f>
        <v>-</v>
      </c>
      <c r="I139" s="49" t="str">
        <f>IFERROR(IF(AND(booking!AB139&gt;0,booking!L139&lt;&gt;booking!M139),VLOOKUP(booking!M139,Database!$A$1:'Database'!$L$175,6,FALSE),"-"),"-")</f>
        <v>-</v>
      </c>
      <c r="J139" s="53" t="str">
        <f>IF(AND(booking!P139&lt;&gt;booking!Q139,booking!P139&gt;0),"udc","-")</f>
        <v>-</v>
      </c>
      <c r="K139" s="49" t="str">
        <f>IFERROR(IF(AND(booking!AB139&gt;0,booking!P139&lt;&gt;booking!Q139),VLOOKUP(booking!Q139,Database!$A$1:'Database'!$L$175,6,FALSE),"-"),"-")</f>
        <v>-</v>
      </c>
      <c r="L139" s="53" t="str">
        <f>IF(AND(booking!T139&lt;&gt;booking!U139,booking!T139&gt;0),"udc","-")</f>
        <v>-</v>
      </c>
      <c r="M139" s="49" t="str">
        <f>IFERROR(IF(AND(booking!AB139&gt;0,booking!T139&lt;&gt;booking!U139),VLOOKUP(booking!U139,Database!$A$1:'Database'!$L$175,6,FALSE),"-"),"-")</f>
        <v>-</v>
      </c>
    </row>
    <row r="140" spans="1:13" ht="15" customHeight="1" thickBot="1" x14ac:dyDescent="0.4">
      <c r="A140" t="str">
        <f>booking!B140</f>
        <v>lørdag</v>
      </c>
      <c r="B140" s="24">
        <f>booking!C140</f>
        <v>46277</v>
      </c>
      <c r="C140" s="2" t="str">
        <f>IF(booking!AC140&gt;0,"Y","-")</f>
        <v>-</v>
      </c>
      <c r="D140" s="53" t="str">
        <f>IF(AND(booking!D140&lt;&gt;booking!E140,booking!D140&gt;0),"udc","-")</f>
        <v>-</v>
      </c>
      <c r="E140" s="49" t="str">
        <f>IFERROR(IF(AND(booking!AB140&gt;0,booking!D140&lt;&gt;booking!E140),VLOOKUP(booking!E140,Database!$A$1:'Database'!$L$175,6,FALSE),"-"),"-")</f>
        <v>-</v>
      </c>
      <c r="F140" s="53" t="str">
        <f>IF(AND(booking!H140&lt;&gt;booking!I140,booking!H140&gt;0),"udc","-")</f>
        <v>-</v>
      </c>
      <c r="G140" s="49" t="str">
        <f>IFERROR(IF(AND(booking!AB140&gt;0,booking!H140&lt;&gt;booking!I140),VLOOKUP(booking!I140,Database!$A$1:'Database'!$L$175,6,FALSE),"-"),"-")</f>
        <v>-</v>
      </c>
      <c r="H140" s="53" t="str">
        <f>IF(AND(booking!L140&lt;&gt;booking!M140,booking!L140&gt;0),"udc","-")</f>
        <v>-</v>
      </c>
      <c r="I140" s="49" t="str">
        <f>IFERROR(IF(AND(booking!AB140&gt;0,booking!L140&lt;&gt;booking!M140),VLOOKUP(booking!M140,Database!$A$1:'Database'!$L$175,6,FALSE),"-"),"-")</f>
        <v>DK</v>
      </c>
      <c r="J140" s="53" t="str">
        <f>IF(AND(booking!P140&lt;&gt;booking!Q140,booking!P140&gt;0),"udc","-")</f>
        <v>-</v>
      </c>
      <c r="K140" s="49" t="str">
        <f>IFERROR(IF(AND(booking!AB140&gt;0,booking!P140&lt;&gt;booking!Q140),VLOOKUP(booking!Q140,Database!$A$1:'Database'!$L$175,6,FALSE),"-"),"-")</f>
        <v>-</v>
      </c>
      <c r="L140" s="53" t="str">
        <f>IF(AND(booking!T140&lt;&gt;booking!U140,booking!T140&gt;0),"udc","-")</f>
        <v>-</v>
      </c>
      <c r="M140" s="49" t="str">
        <f>IFERROR(IF(AND(booking!AB140&gt;0,booking!T140&lt;&gt;booking!U140),VLOOKUP(booking!U140,Database!$A$1:'Database'!$L$175,6,FALSE),"-"),"-")</f>
        <v>-</v>
      </c>
    </row>
    <row r="141" spans="1:13" ht="15" customHeight="1" thickBot="1" x14ac:dyDescent="0.4">
      <c r="A141" t="str">
        <f>booking!B141</f>
        <v>søndag</v>
      </c>
      <c r="B141" s="24">
        <f>booking!C141</f>
        <v>46278</v>
      </c>
      <c r="C141" s="2" t="str">
        <f>IF(booking!AC141&gt;0,"Y","-")</f>
        <v>Y</v>
      </c>
      <c r="D141" s="53" t="str">
        <f>IF(AND(booking!D141&lt;&gt;booking!E141,booking!D141&gt;0),"udc","-")</f>
        <v>udc</v>
      </c>
      <c r="E141" s="49" t="str">
        <f>IFERROR(IF(AND(booking!AB141&gt;0,booking!D141&lt;&gt;booking!E141),VLOOKUP(booking!E141,Database!$A$1:'Database'!$L$175,6,FALSE),"-"),"-")</f>
        <v>-</v>
      </c>
      <c r="F141" s="53" t="str">
        <f>IF(AND(booking!H141&lt;&gt;booking!I141,booking!H141&gt;0),"udc","-")</f>
        <v>udc</v>
      </c>
      <c r="G141" s="49" t="str">
        <f>IFERROR(IF(AND(booking!AB141&gt;0,booking!H141&lt;&gt;booking!I141),VLOOKUP(booking!I141,Database!$A$1:'Database'!$L$175,6,FALSE),"-"),"-")</f>
        <v>-</v>
      </c>
      <c r="H141" s="53" t="str">
        <f>IF(AND(booking!L141&lt;&gt;booking!M141,booking!L141&gt;0),"udc","-")</f>
        <v>-</v>
      </c>
      <c r="I141" s="49" t="str">
        <f>IFERROR(IF(AND(booking!AB141&gt;0,booking!L141&lt;&gt;booking!M141),VLOOKUP(booking!M141,Database!$A$1:'Database'!$L$175,6,FALSE),"-"),"-")</f>
        <v>-</v>
      </c>
      <c r="J141" s="53" t="str">
        <f>IF(AND(booking!P141&lt;&gt;booking!Q141,booking!P141&gt;0),"udc","-")</f>
        <v>-</v>
      </c>
      <c r="K141" s="49" t="str">
        <f>IFERROR(IF(AND(booking!AB141&gt;0,booking!P141&lt;&gt;booking!Q141),VLOOKUP(booking!Q141,Database!$A$1:'Database'!$L$175,6,FALSE),"-"),"-")</f>
        <v>-</v>
      </c>
      <c r="L141" s="53" t="str">
        <f>IF(AND(booking!T141&lt;&gt;booking!U141,booking!T141&gt;0),"udc","-")</f>
        <v>-</v>
      </c>
      <c r="M141" s="49" t="str">
        <f>IFERROR(IF(AND(booking!AB141&gt;0,booking!T141&lt;&gt;booking!U141),VLOOKUP(booking!U141,Database!$A$1:'Database'!$L$175,6,FALSE),"-"),"-")</f>
        <v>-</v>
      </c>
    </row>
    <row r="142" spans="1:13" ht="15" customHeight="1" thickBot="1" x14ac:dyDescent="0.4">
      <c r="A142" t="str">
        <f>booking!B142</f>
        <v>mandag</v>
      </c>
      <c r="B142" s="24">
        <f>booking!C142</f>
        <v>46279</v>
      </c>
      <c r="C142" s="2" t="str">
        <f>IF(booking!AC142&gt;0,"Y","-")</f>
        <v>-</v>
      </c>
      <c r="D142" s="53" t="str">
        <f>IF(AND(booking!D142&lt;&gt;booking!E142,booking!D142&gt;0),"udc","-")</f>
        <v>-</v>
      </c>
      <c r="E142" s="49" t="str">
        <f>IFERROR(IF(AND(booking!AB142&gt;0,booking!D142&lt;&gt;booking!E142),VLOOKUP(booking!E142,Database!$A$1:'Database'!$L$175,6,FALSE),"-"),"-")</f>
        <v>DK</v>
      </c>
      <c r="F142" s="53" t="str">
        <f>IF(AND(booking!H142&lt;&gt;booking!I142,booking!H142&gt;0),"udc","-")</f>
        <v>-</v>
      </c>
      <c r="G142" s="49" t="str">
        <f>IFERROR(IF(AND(booking!AB142&gt;0,booking!H142&lt;&gt;booking!I142),VLOOKUP(booking!I142,Database!$A$1:'Database'!$L$175,6,FALSE),"-"),"-")</f>
        <v>-</v>
      </c>
      <c r="H142" s="53" t="str">
        <f>IF(AND(booking!L142&lt;&gt;booking!M142,booking!L142&gt;0),"udc","-")</f>
        <v>-</v>
      </c>
      <c r="I142" s="49" t="str">
        <f>IFERROR(IF(AND(booking!AB142&gt;0,booking!L142&lt;&gt;booking!M142),VLOOKUP(booking!M142,Database!$A$1:'Database'!$L$175,6,FALSE),"-"),"-")</f>
        <v>-</v>
      </c>
      <c r="J142" s="53" t="str">
        <f>IF(AND(booking!P142&lt;&gt;booking!Q142,booking!P142&gt;0),"udc","-")</f>
        <v>-</v>
      </c>
      <c r="K142" s="49" t="str">
        <f>IFERROR(IF(AND(booking!AB142&gt;0,booking!P142&lt;&gt;booking!Q142),VLOOKUP(booking!Q142,Database!$A$1:'Database'!$L$175,6,FALSE),"-"),"-")</f>
        <v>DK</v>
      </c>
      <c r="L142" s="53" t="str">
        <f>IF(AND(booking!T142&lt;&gt;booking!U142,booking!T142&gt;0),"udc","-")</f>
        <v>-</v>
      </c>
      <c r="M142" s="49" t="str">
        <f>IFERROR(IF(AND(booking!AB142&gt;0,booking!T142&lt;&gt;booking!U142),VLOOKUP(booking!U142,Database!$A$1:'Database'!$L$175,6,FALSE),"-"),"-")</f>
        <v>-</v>
      </c>
    </row>
    <row r="143" spans="1:13" ht="15" customHeight="1" thickBot="1" x14ac:dyDescent="0.4">
      <c r="A143" t="str">
        <f>booking!B143</f>
        <v>tirsdag</v>
      </c>
      <c r="B143" s="24">
        <f>booking!C143</f>
        <v>46280</v>
      </c>
      <c r="C143" s="2" t="str">
        <f>IF(booking!AC143&gt;0,"Y","-")</f>
        <v>-</v>
      </c>
      <c r="D143" s="53" t="str">
        <f>IF(AND(booking!D143&lt;&gt;booking!E143,booking!D143&gt;0),"udc","-")</f>
        <v>-</v>
      </c>
      <c r="E143" s="49" t="str">
        <f>IFERROR(IF(AND(booking!AB143&gt;0,booking!D143&lt;&gt;booking!E143),VLOOKUP(booking!E143,Database!$A$1:'Database'!$L$175,6,FALSE),"-"),"-")</f>
        <v>-</v>
      </c>
      <c r="F143" s="53" t="str">
        <f>IF(AND(booking!H143&lt;&gt;booking!I143,booking!H143&gt;0),"udc","-")</f>
        <v>-</v>
      </c>
      <c r="G143" s="49" t="str">
        <f>IFERROR(IF(AND(booking!AB143&gt;0,booking!H143&lt;&gt;booking!I143),VLOOKUP(booking!I143,Database!$A$1:'Database'!$L$175,6,FALSE),"-"),"-")</f>
        <v>-</v>
      </c>
      <c r="H143" s="53" t="str">
        <f>IF(AND(booking!L143&lt;&gt;booking!M143,booking!L143&gt;0),"udc","-")</f>
        <v>-</v>
      </c>
      <c r="I143" s="49" t="str">
        <f>IFERROR(IF(AND(booking!AB143&gt;0,booking!L143&lt;&gt;booking!M143),VLOOKUP(booking!M143,Database!$A$1:'Database'!$L$175,6,FALSE),"-"),"-")</f>
        <v>-</v>
      </c>
      <c r="J143" s="53" t="str">
        <f>IF(AND(booking!P143&lt;&gt;booking!Q143,booking!P143&gt;0),"udc","-")</f>
        <v>-</v>
      </c>
      <c r="K143" s="49" t="str">
        <f>IFERROR(IF(AND(booking!AB143&gt;0,booking!P143&lt;&gt;booking!Q143),VLOOKUP(booking!Q143,Database!$A$1:'Database'!$L$175,6,FALSE),"-"),"-")</f>
        <v>-</v>
      </c>
      <c r="L143" s="53" t="str">
        <f>IF(AND(booking!T143&lt;&gt;booking!U143,booking!T143&gt;0),"udc","-")</f>
        <v>-</v>
      </c>
      <c r="M143" s="49" t="str">
        <f>IFERROR(IF(AND(booking!AB143&gt;0,booking!T143&lt;&gt;booking!U143),VLOOKUP(booking!U143,Database!$A$1:'Database'!$L$175,6,FALSE),"-"),"-")</f>
        <v>-</v>
      </c>
    </row>
    <row r="144" spans="1:13" ht="15" customHeight="1" thickBot="1" x14ac:dyDescent="0.4">
      <c r="A144" t="str">
        <f>booking!B144</f>
        <v>onsdag</v>
      </c>
      <c r="B144" s="24">
        <f>booking!C144</f>
        <v>46281</v>
      </c>
      <c r="C144" s="2" t="str">
        <f>IF(booking!AC144&gt;0,"Y","-")</f>
        <v>Y</v>
      </c>
      <c r="D144" s="53" t="str">
        <f>IF(AND(booking!D144&lt;&gt;booking!E144,booking!D144&gt;0),"udc","-")</f>
        <v>udc</v>
      </c>
      <c r="E144" s="49" t="str">
        <f>IFERROR(IF(AND(booking!AB144&gt;0,booking!D144&lt;&gt;booking!E144),VLOOKUP(booking!E144,Database!$A$1:'Database'!$L$175,6,FALSE),"-"),"-")</f>
        <v>-</v>
      </c>
      <c r="F144" s="53" t="str">
        <f>IF(AND(booking!H144&lt;&gt;booking!I144,booking!H144&gt;0),"udc","-")</f>
        <v>-</v>
      </c>
      <c r="G144" s="49" t="str">
        <f>IFERROR(IF(AND(booking!AB144&gt;0,booking!H144&lt;&gt;booking!I144),VLOOKUP(booking!I144,Database!$A$1:'Database'!$L$175,6,FALSE),"-"),"-")</f>
        <v>DK</v>
      </c>
      <c r="H144" s="53" t="str">
        <f>IF(AND(booking!L144&lt;&gt;booking!M144,booking!L144&gt;0),"udc","-")</f>
        <v>-</v>
      </c>
      <c r="I144" s="49" t="str">
        <f>IFERROR(IF(AND(booking!AB144&gt;0,booking!L144&lt;&gt;booking!M144),VLOOKUP(booking!M144,Database!$A$1:'Database'!$L$175,6,FALSE),"-"),"-")</f>
        <v>-</v>
      </c>
      <c r="J144" s="53" t="str">
        <f>IF(AND(booking!P144&lt;&gt;booking!Q144,booking!P144&gt;0),"udc","-")</f>
        <v>udc</v>
      </c>
      <c r="K144" s="49" t="str">
        <f>IFERROR(IF(AND(booking!AB144&gt;0,booking!P144&lt;&gt;booking!Q144),VLOOKUP(booking!Q144,Database!$A$1:'Database'!$L$175,6,FALSE),"-"),"-")</f>
        <v>-</v>
      </c>
      <c r="L144" s="53" t="str">
        <f>IF(AND(booking!T144&lt;&gt;booking!U144,booking!T144&gt;0),"udc","-")</f>
        <v>-</v>
      </c>
      <c r="M144" s="49" t="str">
        <f>IFERROR(IF(AND(booking!AB144&gt;0,booking!T144&lt;&gt;booking!U144),VLOOKUP(booking!U144,Database!$A$1:'Database'!$L$175,6,FALSE),"-"),"-")</f>
        <v>-</v>
      </c>
    </row>
    <row r="145" spans="1:13" ht="15" customHeight="1" thickBot="1" x14ac:dyDescent="0.4">
      <c r="A145" t="str">
        <f>booking!B145</f>
        <v>torsdag</v>
      </c>
      <c r="B145" s="24">
        <f>booking!C145</f>
        <v>46282</v>
      </c>
      <c r="C145" s="2" t="str">
        <f>IF(booking!AC145&gt;0,"Y","-")</f>
        <v>Y</v>
      </c>
      <c r="D145" s="53" t="str">
        <f>IF(AND(booking!D145&lt;&gt;booking!E145,booking!D145&gt;0),"udc","-")</f>
        <v>-</v>
      </c>
      <c r="E145" s="49" t="str">
        <f>IFERROR(IF(AND(booking!AB145&gt;0,booking!D145&lt;&gt;booking!E145),VLOOKUP(booking!E145,Database!$A$1:'Database'!$L$175,6,FALSE),"-"),"-")</f>
        <v>DK</v>
      </c>
      <c r="F145" s="53" t="str">
        <f>IF(AND(booking!H145&lt;&gt;booking!I145,booking!H145&gt;0),"udc","-")</f>
        <v>-</v>
      </c>
      <c r="G145" s="49" t="str">
        <f>IFERROR(IF(AND(booking!AB145&gt;0,booking!H145&lt;&gt;booking!I145),VLOOKUP(booking!I145,Database!$A$1:'Database'!$L$175,6,FALSE),"-"),"-")</f>
        <v>-</v>
      </c>
      <c r="H145" s="53" t="str">
        <f>IF(AND(booking!L145&lt;&gt;booking!M145,booking!L145&gt;0),"udc","-")</f>
        <v>-</v>
      </c>
      <c r="I145" s="49" t="str">
        <f>IFERROR(IF(AND(booking!AB145&gt;0,booking!L145&lt;&gt;booking!M145),VLOOKUP(booking!M145,Database!$A$1:'Database'!$L$175,6,FALSE),"-"),"-")</f>
        <v>-</v>
      </c>
      <c r="J145" s="53" t="str">
        <f>IF(AND(booking!P145&lt;&gt;booking!Q145,booking!P145&gt;0),"udc","-")</f>
        <v>-</v>
      </c>
      <c r="K145" s="49" t="str">
        <f>IFERROR(IF(AND(booking!AB145&gt;0,booking!P145&lt;&gt;booking!Q145),VLOOKUP(booking!Q145,Database!$A$1:'Database'!$L$175,6,FALSE),"-"),"-")</f>
        <v>S</v>
      </c>
      <c r="L145" s="53" t="str">
        <f>IF(AND(booking!T145&lt;&gt;booking!U145,booking!T145&gt;0),"udc","-")</f>
        <v>udc</v>
      </c>
      <c r="M145" s="49" t="str">
        <f>IFERROR(IF(AND(booking!AB145&gt;0,booking!T145&lt;&gt;booking!U145),VLOOKUP(booking!U145,Database!$A$1:'Database'!$L$175,6,FALSE),"-"),"-")</f>
        <v>-</v>
      </c>
    </row>
    <row r="146" spans="1:13" ht="15" customHeight="1" thickBot="1" x14ac:dyDescent="0.4">
      <c r="A146" t="str">
        <f>booking!B146</f>
        <v>fredag</v>
      </c>
      <c r="B146" s="24">
        <f>booking!C146</f>
        <v>46283</v>
      </c>
      <c r="C146" s="2" t="str">
        <f>IF(booking!AC146&gt;0,"Y","-")</f>
        <v>-</v>
      </c>
      <c r="D146" s="53" t="str">
        <f>IF(AND(booking!D146&lt;&gt;booking!E146,booking!D146&gt;0),"udc","-")</f>
        <v>-</v>
      </c>
      <c r="E146" s="49" t="str">
        <f>IFERROR(IF(AND(booking!AB146&gt;0,booking!D146&lt;&gt;booking!E146),VLOOKUP(booking!E146,Database!$A$1:'Database'!$L$175,6,FALSE),"-"),"-")</f>
        <v>-</v>
      </c>
      <c r="F146" s="53" t="str">
        <f>IF(AND(booking!H146&lt;&gt;booking!I146,booking!H146&gt;0),"udc","-")</f>
        <v>-</v>
      </c>
      <c r="G146" s="49" t="str">
        <f>IFERROR(IF(AND(booking!AB146&gt;0,booking!H146&lt;&gt;booking!I146),VLOOKUP(booking!I146,Database!$A$1:'Database'!$L$175,6,FALSE),"-"),"-")</f>
        <v>-</v>
      </c>
      <c r="H146" s="53" t="str">
        <f>IF(AND(booking!L146&lt;&gt;booking!M146,booking!L146&gt;0),"udc","-")</f>
        <v>-</v>
      </c>
      <c r="I146" s="49" t="str">
        <f>IFERROR(IF(AND(booking!AB146&gt;0,booking!L146&lt;&gt;booking!M146),VLOOKUP(booking!M146,Database!$A$1:'Database'!$L$175,6,FALSE),"-"),"-")</f>
        <v>-</v>
      </c>
      <c r="J146" s="53" t="str">
        <f>IF(AND(booking!P146&lt;&gt;booking!Q146,booking!P146&gt;0),"udc","-")</f>
        <v>-</v>
      </c>
      <c r="K146" s="49" t="str">
        <f>IFERROR(IF(AND(booking!AB146&gt;0,booking!P146&lt;&gt;booking!Q146),VLOOKUP(booking!Q146,Database!$A$1:'Database'!$L$175,6,FALSE),"-"),"-")</f>
        <v>-</v>
      </c>
      <c r="L146" s="53" t="str">
        <f>IF(AND(booking!T146&lt;&gt;booking!U146,booking!T146&gt;0),"udc","-")</f>
        <v>-</v>
      </c>
      <c r="M146" s="49" t="str">
        <f>IFERROR(IF(AND(booking!AB146&gt;0,booking!T146&lt;&gt;booking!U146),VLOOKUP(booking!U146,Database!$A$1:'Database'!$L$175,6,FALSE),"-"),"-")</f>
        <v>DK</v>
      </c>
    </row>
    <row r="147" spans="1:13" ht="15" customHeight="1" thickBot="1" x14ac:dyDescent="0.4">
      <c r="A147" t="str">
        <f>booking!B147</f>
        <v>lørdag</v>
      </c>
      <c r="B147" s="24">
        <f>booking!C147</f>
        <v>46284</v>
      </c>
      <c r="C147" s="2" t="str">
        <f>IF(booking!AC147&gt;0,"Y","-")</f>
        <v>Y</v>
      </c>
      <c r="D147" s="53" t="str">
        <f>IF(AND(booking!D147&lt;&gt;booking!E147,booking!D147&gt;0),"udc","-")</f>
        <v>-</v>
      </c>
      <c r="E147" s="49" t="str">
        <f>IFERROR(IF(AND(booking!AB147&gt;0,booking!D147&lt;&gt;booking!E147),VLOOKUP(booking!E147,Database!$A$1:'Database'!$L$175,6,FALSE),"-"),"-")</f>
        <v>-</v>
      </c>
      <c r="F147" s="53" t="str">
        <f>IF(AND(booking!H147&lt;&gt;booking!I147,booking!H147&gt;0),"udc","-")</f>
        <v>-</v>
      </c>
      <c r="G147" s="49" t="str">
        <f>IFERROR(IF(AND(booking!AB147&gt;0,booking!H147&lt;&gt;booking!I147),VLOOKUP(booking!I147,Database!$A$1:'Database'!$L$175,6,FALSE),"-"),"-")</f>
        <v>-</v>
      </c>
      <c r="H147" s="53" t="str">
        <f>IF(AND(booking!L147&lt;&gt;booking!M147,booking!L147&gt;0),"udc","-")</f>
        <v>udc</v>
      </c>
      <c r="I147" s="49" t="str">
        <f>IFERROR(IF(AND(booking!AB147&gt;0,booking!L147&lt;&gt;booking!M147),VLOOKUP(booking!M147,Database!$A$1:'Database'!$L$175,6,FALSE),"-"),"-")</f>
        <v>-</v>
      </c>
      <c r="J147" s="53" t="str">
        <f>IF(AND(booking!P147&lt;&gt;booking!Q147,booking!P147&gt;0),"udc","-")</f>
        <v>-</v>
      </c>
      <c r="K147" s="49" t="str">
        <f>IFERROR(IF(AND(booking!AB147&gt;0,booking!P147&lt;&gt;booking!Q147),VLOOKUP(booking!Q147,Database!$A$1:'Database'!$L$175,6,FALSE),"-"),"-")</f>
        <v>-</v>
      </c>
      <c r="L147" s="53" t="str">
        <f>IF(AND(booking!T147&lt;&gt;booking!U147,booking!T147&gt;0),"udc","-")</f>
        <v>-</v>
      </c>
      <c r="M147" s="49" t="str">
        <f>IFERROR(IF(AND(booking!AB147&gt;0,booking!T147&lt;&gt;booking!U147),VLOOKUP(booking!U147,Database!$A$1:'Database'!$L$175,6,FALSE),"-"),"-")</f>
        <v>-</v>
      </c>
    </row>
    <row r="148" spans="1:13" ht="15" customHeight="1" thickBot="1" x14ac:dyDescent="0.4">
      <c r="A148" t="str">
        <f>booking!B148</f>
        <v>søndag</v>
      </c>
      <c r="B148" s="24">
        <f>booking!C148</f>
        <v>46285</v>
      </c>
      <c r="C148" s="2" t="str">
        <f>IF(booking!AC148&gt;0,"Y","-")</f>
        <v>Y</v>
      </c>
      <c r="D148" s="53" t="str">
        <f>IF(AND(booking!D148&lt;&gt;booking!E148,booking!D148&gt;0),"udc","-")</f>
        <v>udc</v>
      </c>
      <c r="E148" s="49" t="str">
        <f>IFERROR(IF(AND(booking!AB148&gt;0,booking!D148&lt;&gt;booking!E148),VLOOKUP(booking!E148,Database!$A$1:'Database'!$L$175,6,FALSE),"-"),"-")</f>
        <v>-</v>
      </c>
      <c r="F148" s="53" t="str">
        <f>IF(AND(booking!H148&lt;&gt;booking!I148,booking!H148&gt;0),"udc","-")</f>
        <v>-</v>
      </c>
      <c r="G148" s="49" t="str">
        <f>IFERROR(IF(AND(booking!AB148&gt;0,booking!H148&lt;&gt;booking!I148),VLOOKUP(booking!I148,Database!$A$1:'Database'!$L$175,6,FALSE),"-"),"-")</f>
        <v>-</v>
      </c>
      <c r="H148" s="53" t="str">
        <f>IF(AND(booking!L148&lt;&gt;booking!M148,booking!L148&gt;0),"udc","-")</f>
        <v>-</v>
      </c>
      <c r="I148" s="49" t="str">
        <f>IFERROR(IF(AND(booking!AB148&gt;0,booking!L148&lt;&gt;booking!M148),VLOOKUP(booking!M148,Database!$A$1:'Database'!$L$175,6,FALSE),"-"),"-")</f>
        <v>-</v>
      </c>
      <c r="J148" s="53" t="str">
        <f>IF(AND(booking!P148&lt;&gt;booking!Q148,booking!P148&gt;0),"udc","-")</f>
        <v>udc</v>
      </c>
      <c r="K148" s="49" t="str">
        <f>IFERROR(IF(AND(booking!AB148&gt;0,booking!P148&lt;&gt;booking!Q148),VLOOKUP(booking!Q148,Database!$A$1:'Database'!$L$175,6,FALSE),"-"),"-")</f>
        <v>-</v>
      </c>
      <c r="L148" s="53" t="str">
        <f>IF(AND(booking!T148&lt;&gt;booking!U148,booking!T148&gt;0),"udc","-")</f>
        <v>udc</v>
      </c>
      <c r="M148" s="49" t="str">
        <f>IFERROR(IF(AND(booking!AB148&gt;0,booking!T148&lt;&gt;booking!U148),VLOOKUP(booking!U148,Database!$A$1:'Database'!$L$175,6,FALSE),"-"),"-")</f>
        <v>-</v>
      </c>
    </row>
    <row r="149" spans="1:13" ht="15" customHeight="1" thickBot="1" x14ac:dyDescent="0.4">
      <c r="A149" t="str">
        <f>booking!B149</f>
        <v>mandag</v>
      </c>
      <c r="B149" s="24">
        <f>booking!C149</f>
        <v>46286</v>
      </c>
      <c r="C149" s="2" t="str">
        <f>IF(booking!AC149&gt;0,"Y","-")</f>
        <v>Y</v>
      </c>
      <c r="D149" s="53" t="str">
        <f>IF(AND(booking!D149&lt;&gt;booking!E149,booking!D149&gt;0),"udc","-")</f>
        <v>-</v>
      </c>
      <c r="E149" s="49" t="str">
        <f>IFERROR(IF(AND(booking!AB149&gt;0,booking!D149&lt;&gt;booking!E149),VLOOKUP(booking!E149,Database!$A$1:'Database'!$L$175,6,FALSE),"-"),"-")</f>
        <v>-</v>
      </c>
      <c r="F149" s="53" t="str">
        <f>IF(AND(booking!H149&lt;&gt;booking!I149,booking!H149&gt;0),"udc","-")</f>
        <v>udc</v>
      </c>
      <c r="G149" s="49" t="str">
        <f>IFERROR(IF(AND(booking!AB149&gt;0,booking!H149&lt;&gt;booking!I149),VLOOKUP(booking!I149,Database!$A$1:'Database'!$L$175,6,FALSE),"-"),"-")</f>
        <v>-</v>
      </c>
      <c r="H149" s="53" t="str">
        <f>IF(AND(booking!L149&lt;&gt;booking!M149,booking!L149&gt;0),"udc","-")</f>
        <v>-</v>
      </c>
      <c r="I149" s="49" t="str">
        <f>IFERROR(IF(AND(booking!AB149&gt;0,booking!L149&lt;&gt;booking!M149),VLOOKUP(booking!M149,Database!$A$1:'Database'!$L$175,6,FALSE),"-"),"-")</f>
        <v>-</v>
      </c>
      <c r="J149" s="53" t="str">
        <f>IF(AND(booking!P149&lt;&gt;booking!Q149,booking!P149&gt;0),"udc","-")</f>
        <v>-</v>
      </c>
      <c r="K149" s="49" t="str">
        <f>IFERROR(IF(AND(booking!AB149&gt;0,booking!P149&lt;&gt;booking!Q149),VLOOKUP(booking!Q149,Database!$A$1:'Database'!$L$175,6,FALSE),"-"),"-")</f>
        <v>-</v>
      </c>
      <c r="L149" s="53" t="str">
        <f>IF(AND(booking!T149&lt;&gt;booking!U149,booking!T149&gt;0),"udc","-")</f>
        <v>-</v>
      </c>
      <c r="M149" s="49" t="str">
        <f>IFERROR(IF(AND(booking!AB149&gt;0,booking!T149&lt;&gt;booking!U149),VLOOKUP(booking!U149,Database!$A$1:'Database'!$L$175,6,FALSE),"-"),"-")</f>
        <v>-</v>
      </c>
    </row>
    <row r="150" spans="1:13" ht="15" customHeight="1" thickBot="1" x14ac:dyDescent="0.4">
      <c r="A150" t="str">
        <f>booking!B150</f>
        <v>tirsdag</v>
      </c>
      <c r="B150" s="24">
        <f>booking!C150</f>
        <v>46287</v>
      </c>
      <c r="C150" s="2" t="str">
        <f>IF(booking!AC150&gt;0,"Y","-")</f>
        <v>-</v>
      </c>
      <c r="D150" s="53" t="str">
        <f>IF(AND(booking!D150&lt;&gt;booking!E150,booking!D150&gt;0),"udc","-")</f>
        <v>-</v>
      </c>
      <c r="E150" s="49" t="str">
        <f>IFERROR(IF(AND(booking!AB150&gt;0,booking!D150&lt;&gt;booking!E150),VLOOKUP(booking!E150,Database!$A$1:'Database'!$L$175,6,FALSE),"-"),"-")</f>
        <v>-</v>
      </c>
      <c r="F150" s="53" t="str">
        <f>IF(AND(booking!H150&lt;&gt;booking!I150,booking!H150&gt;0),"udc","-")</f>
        <v>-</v>
      </c>
      <c r="G150" s="49" t="str">
        <f>IFERROR(IF(AND(booking!AB150&gt;0,booking!H150&lt;&gt;booking!I150),VLOOKUP(booking!I150,Database!$A$1:'Database'!$L$175,6,FALSE),"-"),"-")</f>
        <v>-</v>
      </c>
      <c r="H150" s="53" t="str">
        <f>IF(AND(booking!L150&lt;&gt;booking!M150,booking!L150&gt;0),"udc","-")</f>
        <v>-</v>
      </c>
      <c r="I150" s="49" t="str">
        <f>IFERROR(IF(AND(booking!AB150&gt;0,booking!L150&lt;&gt;booking!M150),VLOOKUP(booking!M150,Database!$A$1:'Database'!$L$175,6,FALSE),"-"),"-")</f>
        <v>-</v>
      </c>
      <c r="J150" s="53" t="str">
        <f>IF(AND(booking!P150&lt;&gt;booking!Q150,booking!P150&gt;0),"udc","-")</f>
        <v>-</v>
      </c>
      <c r="K150" s="49" t="str">
        <f>IFERROR(IF(AND(booking!AB150&gt;0,booking!P150&lt;&gt;booking!Q150),VLOOKUP(booking!Q150,Database!$A$1:'Database'!$L$175,6,FALSE),"-"),"-")</f>
        <v>-</v>
      </c>
      <c r="L150" s="53" t="str">
        <f>IF(AND(booking!T150&lt;&gt;booking!U150,booking!T150&gt;0),"udc","-")</f>
        <v>-</v>
      </c>
      <c r="M150" s="49" t="str">
        <f>IFERROR(IF(AND(booking!AB150&gt;0,booking!T150&lt;&gt;booking!U150),VLOOKUP(booking!U150,Database!$A$1:'Database'!$L$175,6,FALSE),"-"),"-")</f>
        <v>-</v>
      </c>
    </row>
    <row r="151" spans="1:13" ht="15" customHeight="1" thickBot="1" x14ac:dyDescent="0.4">
      <c r="A151" t="str">
        <f>booking!B151</f>
        <v>onsdag</v>
      </c>
      <c r="B151" s="24">
        <f>booking!C151</f>
        <v>46288</v>
      </c>
      <c r="C151" s="2" t="str">
        <f>IF(booking!AC151&gt;0,"Y","-")</f>
        <v>-</v>
      </c>
      <c r="D151" s="53" t="str">
        <f>IF(AND(booking!D151&lt;&gt;booking!E151,booking!D151&gt;0),"udc","-")</f>
        <v>-</v>
      </c>
      <c r="E151" s="49" t="str">
        <f>IFERROR(IF(AND(booking!AB151&gt;0,booking!D151&lt;&gt;booking!E151),VLOOKUP(booking!E151,Database!$A$1:'Database'!$L$175,6,FALSE),"-"),"-")</f>
        <v>-</v>
      </c>
      <c r="F151" s="53" t="str">
        <f>IF(AND(booking!H151&lt;&gt;booking!I151,booking!H151&gt;0),"udc","-")</f>
        <v>-</v>
      </c>
      <c r="G151" s="49" t="str">
        <f>IFERROR(IF(AND(booking!AB151&gt;0,booking!H151&lt;&gt;booking!I151),VLOOKUP(booking!I151,Database!$A$1:'Database'!$L$175,6,FALSE),"-"),"-")</f>
        <v>-</v>
      </c>
      <c r="H151" s="53" t="str">
        <f>IF(AND(booking!L151&lt;&gt;booking!M151,booking!L151&gt;0),"udc","-")</f>
        <v>-</v>
      </c>
      <c r="I151" s="49" t="str">
        <f>IFERROR(IF(AND(booking!AB151&gt;0,booking!L151&lt;&gt;booking!M151),VLOOKUP(booking!M151,Database!$A$1:'Database'!$L$175,6,FALSE),"-"),"-")</f>
        <v>-</v>
      </c>
      <c r="J151" s="53" t="str">
        <f>IF(AND(booking!P151&lt;&gt;booking!Q151,booking!P151&gt;0),"udc","-")</f>
        <v>-</v>
      </c>
      <c r="K151" s="49" t="str">
        <f>IFERROR(IF(AND(booking!AB151&gt;0,booking!P151&lt;&gt;booking!Q151),VLOOKUP(booking!Q151,Database!$A$1:'Database'!$L$175,6,FALSE),"-"),"-")</f>
        <v>-</v>
      </c>
      <c r="L151" s="53" t="str">
        <f>IF(AND(booking!T151&lt;&gt;booking!U151,booking!T151&gt;0),"udc","-")</f>
        <v>-</v>
      </c>
      <c r="M151" s="49" t="str">
        <f>IFERROR(IF(AND(booking!AB151&gt;0,booking!T151&lt;&gt;booking!U151),VLOOKUP(booking!U151,Database!$A$1:'Database'!$L$175,6,FALSE),"-"),"-")</f>
        <v>-</v>
      </c>
    </row>
    <row r="152" spans="1:13" ht="15" customHeight="1" thickBot="1" x14ac:dyDescent="0.4">
      <c r="A152" t="str">
        <f>booking!B152</f>
        <v>torsdag</v>
      </c>
      <c r="B152" s="24">
        <f>booking!C152</f>
        <v>46289</v>
      </c>
      <c r="C152" s="2" t="str">
        <f>IF(booking!AC152&gt;0,"Y","-")</f>
        <v>-</v>
      </c>
      <c r="D152" s="53" t="str">
        <f>IF(AND(booking!D152&lt;&gt;booking!E152,booking!D152&gt;0),"udc","-")</f>
        <v>-</v>
      </c>
      <c r="E152" s="49" t="str">
        <f>IFERROR(IF(AND(booking!AB152&gt;0,booking!D152&lt;&gt;booking!E152),VLOOKUP(booking!E152,Database!$A$1:'Database'!$L$175,6,FALSE),"-"),"-")</f>
        <v>-</v>
      </c>
      <c r="F152" s="53" t="str">
        <f>IF(AND(booking!H152&lt;&gt;booking!I152,booking!H152&gt;0),"udc","-")</f>
        <v>-</v>
      </c>
      <c r="G152" s="49" t="str">
        <f>IFERROR(IF(AND(booking!AB152&gt;0,booking!H152&lt;&gt;booking!I152),VLOOKUP(booking!I152,Database!$A$1:'Database'!$L$175,6,FALSE),"-"),"-")</f>
        <v>-</v>
      </c>
      <c r="H152" s="53" t="str">
        <f>IF(AND(booking!L152&lt;&gt;booking!M152,booking!L152&gt;0),"udc","-")</f>
        <v>-</v>
      </c>
      <c r="I152" s="49" t="str">
        <f>IFERROR(IF(AND(booking!AB152&gt;0,booking!L152&lt;&gt;booking!M152),VLOOKUP(booking!M152,Database!$A$1:'Database'!$L$175,6,FALSE),"-"),"-")</f>
        <v>-</v>
      </c>
      <c r="J152" s="53" t="str">
        <f>IF(AND(booking!P152&lt;&gt;booking!Q152,booking!P152&gt;0),"udc","-")</f>
        <v>-</v>
      </c>
      <c r="K152" s="49" t="str">
        <f>IFERROR(IF(AND(booking!AB152&gt;0,booking!P152&lt;&gt;booking!Q152),VLOOKUP(booking!Q152,Database!$A$1:'Database'!$L$175,6,FALSE),"-"),"-")</f>
        <v>-</v>
      </c>
      <c r="L152" s="53" t="str">
        <f>IF(AND(booking!T152&lt;&gt;booking!U152,booking!T152&gt;0),"udc","-")</f>
        <v>-</v>
      </c>
      <c r="M152" s="49" t="str">
        <f>IFERROR(IF(AND(booking!AB152&gt;0,booking!T152&lt;&gt;booking!U152),VLOOKUP(booking!U152,Database!$A$1:'Database'!$L$175,6,FALSE),"-"),"-")</f>
        <v>-</v>
      </c>
    </row>
    <row r="153" spans="1:13" ht="15" customHeight="1" thickBot="1" x14ac:dyDescent="0.4">
      <c r="A153" t="str">
        <f>booking!B153</f>
        <v>fredag</v>
      </c>
      <c r="B153" s="24">
        <f>booking!C153</f>
        <v>46290</v>
      </c>
      <c r="C153" s="2" t="str">
        <f>IF(booking!AC153&gt;0,"Y","-")</f>
        <v>-</v>
      </c>
      <c r="D153" s="53" t="str">
        <f>IF(AND(booking!D153&lt;&gt;booking!E153,booking!D153&gt;0),"udc","-")</f>
        <v>-</v>
      </c>
      <c r="E153" s="49" t="str">
        <f>IFERROR(IF(AND(booking!AB153&gt;0,booking!D153&lt;&gt;booking!E153),VLOOKUP(booking!E153,Database!$A$1:'Database'!$L$175,6,FALSE),"-"),"-")</f>
        <v>-</v>
      </c>
      <c r="F153" s="53" t="str">
        <f>IF(AND(booking!H153&lt;&gt;booking!I153,booking!H153&gt;0),"udc","-")</f>
        <v>-</v>
      </c>
      <c r="G153" s="49" t="str">
        <f>IFERROR(IF(AND(booking!AB153&gt;0,booking!H153&lt;&gt;booking!I153),VLOOKUP(booking!I153,Database!$A$1:'Database'!$L$175,6,FALSE),"-"),"-")</f>
        <v>-</v>
      </c>
      <c r="H153" s="53" t="str">
        <f>IF(AND(booking!L153&lt;&gt;booking!M153,booking!L153&gt;0),"udc","-")</f>
        <v>-</v>
      </c>
      <c r="I153" s="49" t="str">
        <f>IFERROR(IF(AND(booking!AB153&gt;0,booking!L153&lt;&gt;booking!M153),VLOOKUP(booking!M153,Database!$A$1:'Database'!$L$175,6,FALSE),"-"),"-")</f>
        <v>-</v>
      </c>
      <c r="J153" s="53" t="str">
        <f>IF(AND(booking!P153&lt;&gt;booking!Q153,booking!P153&gt;0),"udc","-")</f>
        <v>-</v>
      </c>
      <c r="K153" s="49" t="str">
        <f>IFERROR(IF(AND(booking!AB153&gt;0,booking!P153&lt;&gt;booking!Q153),VLOOKUP(booking!Q153,Database!$A$1:'Database'!$L$175,6,FALSE),"-"),"-")</f>
        <v>-</v>
      </c>
      <c r="L153" s="53" t="str">
        <f>IF(AND(booking!T153&lt;&gt;booking!U153,booking!T153&gt;0),"udc","-")</f>
        <v>-</v>
      </c>
      <c r="M153" s="49" t="str">
        <f>IFERROR(IF(AND(booking!AB153&gt;0,booking!T153&lt;&gt;booking!U153),VLOOKUP(booking!U153,Database!$A$1:'Database'!$L$175,6,FALSE),"-"),"-")</f>
        <v>-</v>
      </c>
    </row>
    <row r="154" spans="1:13" ht="15" customHeight="1" thickBot="1" x14ac:dyDescent="0.4">
      <c r="A154" t="str">
        <f>booking!B154</f>
        <v>lørdag</v>
      </c>
      <c r="B154" s="24">
        <f>booking!C154</f>
        <v>46291</v>
      </c>
      <c r="C154" s="2" t="str">
        <f>IF(booking!AC154&gt;0,"Y","-")</f>
        <v>-</v>
      </c>
      <c r="D154" s="53" t="str">
        <f>IF(AND(booking!D154&lt;&gt;booking!E154,booking!D154&gt;0),"udc","-")</f>
        <v>-</v>
      </c>
      <c r="E154" s="49" t="str">
        <f>IFERROR(IF(AND(booking!AB154&gt;0,booking!D154&lt;&gt;booking!E154),VLOOKUP(booking!E154,Database!$A$1:'Database'!$L$175,6,FALSE),"-"),"-")</f>
        <v>-</v>
      </c>
      <c r="F154" s="53" t="str">
        <f>IF(AND(booking!H154&lt;&gt;booking!I154,booking!H154&gt;0),"udc","-")</f>
        <v>-</v>
      </c>
      <c r="G154" s="49" t="str">
        <f>IFERROR(IF(AND(booking!AB154&gt;0,booking!H154&lt;&gt;booking!I154),VLOOKUP(booking!I154,Database!$A$1:'Database'!$L$175,6,FALSE),"-"),"-")</f>
        <v>-</v>
      </c>
      <c r="H154" s="53" t="str">
        <f>IF(AND(booking!L154&lt;&gt;booking!M154,booking!L154&gt;0),"udc","-")</f>
        <v>-</v>
      </c>
      <c r="I154" s="49" t="str">
        <f>IFERROR(IF(AND(booking!AB154&gt;0,booking!L154&lt;&gt;booking!M154),VLOOKUP(booking!M154,Database!$A$1:'Database'!$L$175,6,FALSE),"-"),"-")</f>
        <v>-</v>
      </c>
      <c r="J154" s="53" t="str">
        <f>IF(AND(booking!P154&lt;&gt;booking!Q154,booking!P154&gt;0),"udc","-")</f>
        <v>-</v>
      </c>
      <c r="K154" s="49" t="str">
        <f>IFERROR(IF(AND(booking!AB154&gt;0,booking!P154&lt;&gt;booking!Q154),VLOOKUP(booking!Q154,Database!$A$1:'Database'!$L$175,6,FALSE),"-"),"-")</f>
        <v>-</v>
      </c>
      <c r="L154" s="53" t="str">
        <f>IF(AND(booking!T154&lt;&gt;booking!U154,booking!T154&gt;0),"udc","-")</f>
        <v>-</v>
      </c>
      <c r="M154" s="49" t="str">
        <f>IFERROR(IF(AND(booking!AB154&gt;0,booking!T154&lt;&gt;booking!U154),VLOOKUP(booking!U154,Database!$A$1:'Database'!$L$175,6,FALSE),"-"),"-")</f>
        <v>-</v>
      </c>
    </row>
    <row r="155" spans="1:13" ht="15" customHeight="1" thickBot="1" x14ac:dyDescent="0.4">
      <c r="A155" t="str">
        <f>booking!B155</f>
        <v>søndag</v>
      </c>
      <c r="B155" s="24">
        <f>booking!C155</f>
        <v>46292</v>
      </c>
      <c r="C155" s="2" t="str">
        <f>IF(booking!AC155&gt;0,"Y","-")</f>
        <v>-</v>
      </c>
      <c r="D155" s="53" t="str">
        <f>IF(AND(booking!D155&lt;&gt;booking!E155,booking!D155&gt;0),"udc","-")</f>
        <v>-</v>
      </c>
      <c r="E155" s="49" t="str">
        <f>IFERROR(IF(AND(booking!AB155&gt;0,booking!D155&lt;&gt;booking!E155),VLOOKUP(booking!E155,Database!$A$1:'Database'!$L$175,6,FALSE),"-"),"-")</f>
        <v>-</v>
      </c>
      <c r="F155" s="53" t="str">
        <f>IF(AND(booking!H155&lt;&gt;booking!I155,booking!H155&gt;0),"udc","-")</f>
        <v>-</v>
      </c>
      <c r="G155" s="49" t="str">
        <f>IFERROR(IF(AND(booking!AB155&gt;0,booking!H155&lt;&gt;booking!I155),VLOOKUP(booking!I155,Database!$A$1:'Database'!$L$175,6,FALSE),"-"),"-")</f>
        <v>-</v>
      </c>
      <c r="H155" s="53" t="str">
        <f>IF(AND(booking!L155&lt;&gt;booking!M155,booking!L155&gt;0),"udc","-")</f>
        <v>-</v>
      </c>
      <c r="I155" s="49" t="str">
        <f>IFERROR(IF(AND(booking!AB155&gt;0,booking!L155&lt;&gt;booking!M155),VLOOKUP(booking!M155,Database!$A$1:'Database'!$L$175,6,FALSE),"-"),"-")</f>
        <v>-</v>
      </c>
      <c r="J155" s="53" t="str">
        <f>IF(AND(booking!P155&lt;&gt;booking!Q155,booking!P155&gt;0),"udc","-")</f>
        <v>-</v>
      </c>
      <c r="K155" s="49" t="str">
        <f>IFERROR(IF(AND(booking!AB155&gt;0,booking!P155&lt;&gt;booking!Q155),VLOOKUP(booking!Q155,Database!$A$1:'Database'!$L$175,6,FALSE),"-"),"-")</f>
        <v>-</v>
      </c>
      <c r="L155" s="53" t="str">
        <f>IF(AND(booking!T155&lt;&gt;booking!U155,booking!T155&gt;0),"udc","-")</f>
        <v>-</v>
      </c>
      <c r="M155" s="49" t="str">
        <f>IFERROR(IF(AND(booking!AB155&gt;0,booking!T155&lt;&gt;booking!U155),VLOOKUP(booking!U155,Database!$A$1:'Database'!$L$175,6,FALSE),"-"),"-")</f>
        <v>-</v>
      </c>
    </row>
    <row r="156" spans="1:13" ht="15" customHeight="1" thickBot="1" x14ac:dyDescent="0.4">
      <c r="A156" t="str">
        <f>booking!B156</f>
        <v>mandag</v>
      </c>
      <c r="B156" s="24">
        <f>booking!C156</f>
        <v>46293</v>
      </c>
      <c r="C156" s="2" t="str">
        <f>IF(booking!AC156&gt;0,"Y","-")</f>
        <v>-</v>
      </c>
      <c r="D156" s="53" t="str">
        <f>IF(AND(booking!D156&lt;&gt;booking!E156,booking!D156&gt;0),"udc","-")</f>
        <v>-</v>
      </c>
      <c r="E156" s="49" t="str">
        <f>IFERROR(IF(AND(booking!AB156&gt;0,booking!D156&lt;&gt;booking!E156),VLOOKUP(booking!E156,Database!$A$1:'Database'!$L$175,6,FALSE),"-"),"-")</f>
        <v>-</v>
      </c>
      <c r="F156" s="53" t="str">
        <f>IF(AND(booking!H156&lt;&gt;booking!I156,booking!H156&gt;0),"udc","-")</f>
        <v>-</v>
      </c>
      <c r="G156" s="49" t="str">
        <f>IFERROR(IF(AND(booking!AB156&gt;0,booking!H156&lt;&gt;booking!I156),VLOOKUP(booking!I156,Database!$A$1:'Database'!$L$175,6,FALSE),"-"),"-")</f>
        <v>-</v>
      </c>
      <c r="H156" s="53" t="str">
        <f>IF(AND(booking!L156&lt;&gt;booking!M156,booking!L156&gt;0),"udc","-")</f>
        <v>-</v>
      </c>
      <c r="I156" s="49" t="str">
        <f>IFERROR(IF(AND(booking!AB156&gt;0,booking!L156&lt;&gt;booking!M156),VLOOKUP(booking!M156,Database!$A$1:'Database'!$L$175,6,FALSE),"-"),"-")</f>
        <v>-</v>
      </c>
      <c r="J156" s="53" t="str">
        <f>IF(AND(booking!P156&lt;&gt;booking!Q156,booking!P156&gt;0),"udc","-")</f>
        <v>-</v>
      </c>
      <c r="K156" s="49" t="str">
        <f>IFERROR(IF(AND(booking!AB156&gt;0,booking!P156&lt;&gt;booking!Q156),VLOOKUP(booking!Q156,Database!$A$1:'Database'!$L$175,6,FALSE),"-"),"-")</f>
        <v>-</v>
      </c>
      <c r="L156" s="53" t="str">
        <f>IF(AND(booking!T156&lt;&gt;booking!U156,booking!T156&gt;0),"udc","-")</f>
        <v>-</v>
      </c>
      <c r="M156" s="49" t="str">
        <f>IFERROR(IF(AND(booking!AB156&gt;0,booking!T156&lt;&gt;booking!U156),VLOOKUP(booking!U156,Database!$A$1:'Database'!$L$175,6,FALSE),"-"),"-")</f>
        <v>-</v>
      </c>
    </row>
    <row r="157" spans="1:13" ht="15" customHeight="1" thickBot="1" x14ac:dyDescent="0.4">
      <c r="A157" t="str">
        <f>booking!B157</f>
        <v>tirsdag</v>
      </c>
      <c r="B157" s="24">
        <f>booking!C157</f>
        <v>46294</v>
      </c>
      <c r="C157" s="2" t="str">
        <f>IF(booking!AC157&gt;0,"Y","-")</f>
        <v>-</v>
      </c>
      <c r="D157" s="53" t="str">
        <f>IF(AND(booking!D157&lt;&gt;booking!E157,booking!D157&gt;0),"udc","-")</f>
        <v>-</v>
      </c>
      <c r="E157" s="49" t="str">
        <f>IFERROR(IF(AND(booking!AB157&gt;0,booking!D157&lt;&gt;booking!E157),VLOOKUP(booking!E157,Database!$A$1:'Database'!$L$175,6,FALSE),"-"),"-")</f>
        <v>-</v>
      </c>
      <c r="F157" s="53" t="str">
        <f>IF(AND(booking!H157&lt;&gt;booking!I157,booking!H157&gt;0),"udc","-")</f>
        <v>-</v>
      </c>
      <c r="G157" s="49" t="str">
        <f>IFERROR(IF(AND(booking!AB157&gt;0,booking!H157&lt;&gt;booking!I157),VLOOKUP(booking!I157,Database!$A$1:'Database'!$L$175,6,FALSE),"-"),"-")</f>
        <v>-</v>
      </c>
      <c r="H157" s="53" t="str">
        <f>IF(AND(booking!L157&lt;&gt;booking!M157,booking!L157&gt;0),"udc","-")</f>
        <v>-</v>
      </c>
      <c r="I157" s="49" t="str">
        <f>IFERROR(IF(AND(booking!AB157&gt;0,booking!L157&lt;&gt;booking!M157),VLOOKUP(booking!M157,Database!$A$1:'Database'!$L$175,6,FALSE),"-"),"-")</f>
        <v>-</v>
      </c>
      <c r="J157" s="53" t="str">
        <f>IF(AND(booking!P157&lt;&gt;booking!Q157,booking!P157&gt;0),"udc","-")</f>
        <v>-</v>
      </c>
      <c r="K157" s="49" t="str">
        <f>IFERROR(IF(AND(booking!AB157&gt;0,booking!P157&lt;&gt;booking!Q157),VLOOKUP(booking!Q157,Database!$A$1:'Database'!$L$175,6,FALSE),"-"),"-")</f>
        <v>-</v>
      </c>
      <c r="L157" s="53" t="str">
        <f>IF(AND(booking!T157&lt;&gt;booking!U157,booking!T157&gt;0),"udc","-")</f>
        <v>-</v>
      </c>
      <c r="M157" s="49" t="str">
        <f>IFERROR(IF(AND(booking!AB157&gt;0,booking!T157&lt;&gt;booking!U157),VLOOKUP(booking!U157,Database!$A$1:'Database'!$L$175,6,FALSE),"-"),"-")</f>
        <v>-</v>
      </c>
    </row>
    <row r="158" spans="1:13" ht="15" customHeight="1" thickBot="1" x14ac:dyDescent="0.4">
      <c r="A158" t="str">
        <f>booking!B158</f>
        <v>onsdag</v>
      </c>
      <c r="B158" s="24">
        <f>booking!C158</f>
        <v>46295</v>
      </c>
      <c r="C158" s="2" t="str">
        <f>IF(booking!AC158&gt;0,"Y","-")</f>
        <v>-</v>
      </c>
      <c r="D158" s="53" t="str">
        <f>IF(AND(booking!D158&lt;&gt;booking!E158,booking!D158&gt;0),"udc","-")</f>
        <v>-</v>
      </c>
      <c r="E158" s="49" t="str">
        <f>IFERROR(IF(AND(booking!AB158&gt;0,booking!D158&lt;&gt;booking!E158),VLOOKUP(booking!E158,Database!$A$1:'Database'!$L$175,6,FALSE),"-"),"-")</f>
        <v>-</v>
      </c>
      <c r="F158" s="53" t="str">
        <f>IF(AND(booking!H158&lt;&gt;booking!I158,booking!H158&gt;0),"udc","-")</f>
        <v>-</v>
      </c>
      <c r="G158" s="49" t="str">
        <f>IFERROR(IF(AND(booking!AB158&gt;0,booking!H158&lt;&gt;booking!I158),VLOOKUP(booking!I158,Database!$A$1:'Database'!$L$175,6,FALSE),"-"),"-")</f>
        <v>-</v>
      </c>
      <c r="H158" s="53" t="str">
        <f>IF(AND(booking!L158&lt;&gt;booking!M158,booking!L158&gt;0),"udc","-")</f>
        <v>-</v>
      </c>
      <c r="I158" s="49" t="str">
        <f>IFERROR(IF(AND(booking!AB158&gt;0,booking!L158&lt;&gt;booking!M158),VLOOKUP(booking!M158,Database!$A$1:'Database'!$L$175,6,FALSE),"-"),"-")</f>
        <v>-</v>
      </c>
      <c r="J158" s="53" t="str">
        <f>IF(AND(booking!P158&lt;&gt;booking!Q158,booking!P158&gt;0),"udc","-")</f>
        <v>-</v>
      </c>
      <c r="K158" s="49" t="str">
        <f>IFERROR(IF(AND(booking!AB158&gt;0,booking!P158&lt;&gt;booking!Q158),VLOOKUP(booking!Q158,Database!$A$1:'Database'!$L$175,6,FALSE),"-"),"-")</f>
        <v>-</v>
      </c>
      <c r="L158" s="53" t="str">
        <f>IF(AND(booking!T158&lt;&gt;booking!U158,booking!T158&gt;0),"udc","-")</f>
        <v>-</v>
      </c>
      <c r="M158" s="49" t="str">
        <f>IFERROR(IF(AND(booking!AB158&gt;0,booking!T158&lt;&gt;booking!U158),VLOOKUP(booking!U158,Database!$A$1:'Database'!$L$175,6,FALSE),"-"),"-")</f>
        <v>-</v>
      </c>
    </row>
    <row r="159" spans="1:13" ht="15" customHeight="1" thickBot="1" x14ac:dyDescent="0.4">
      <c r="A159" t="str">
        <f>booking!B159</f>
        <v>torsdag</v>
      </c>
      <c r="B159" s="24">
        <f>booking!C159</f>
        <v>46296</v>
      </c>
      <c r="C159" s="2" t="str">
        <f>IF(booking!AC159&gt;0,"Y","-")</f>
        <v>-</v>
      </c>
      <c r="D159" s="53" t="str">
        <f>IF(AND(booking!D159&lt;&gt;booking!E159,booking!D159&gt;0),"udc","-")</f>
        <v>-</v>
      </c>
      <c r="E159" s="49" t="str">
        <f>IFERROR(IF(AND(booking!AB159&gt;0,booking!D159&lt;&gt;booking!E159),VLOOKUP(booking!E159,Database!$A$1:'Database'!$L$175,6,FALSE),"-"),"-")</f>
        <v>-</v>
      </c>
      <c r="F159" s="53" t="str">
        <f>IF(AND(booking!H159&lt;&gt;booking!I159,booking!H159&gt;0),"udc","-")</f>
        <v>-</v>
      </c>
      <c r="G159" s="49" t="str">
        <f>IFERROR(IF(AND(booking!AB159&gt;0,booking!H159&lt;&gt;booking!I159),VLOOKUP(booking!I159,Database!$A$1:'Database'!$L$175,6,FALSE),"-"),"-")</f>
        <v>-</v>
      </c>
      <c r="H159" s="53" t="str">
        <f>IF(AND(booking!L159&lt;&gt;booking!M159,booking!L159&gt;0),"udc","-")</f>
        <v>-</v>
      </c>
      <c r="I159" s="49" t="str">
        <f>IFERROR(IF(AND(booking!AB159&gt;0,booking!L159&lt;&gt;booking!M159),VLOOKUP(booking!M159,Database!$A$1:'Database'!$L$175,6,FALSE),"-"),"-")</f>
        <v>-</v>
      </c>
      <c r="J159" s="53" t="str">
        <f>IF(AND(booking!P159&lt;&gt;booking!Q159,booking!P159&gt;0),"udc","-")</f>
        <v>-</v>
      </c>
      <c r="K159" s="49" t="str">
        <f>IFERROR(IF(AND(booking!AB159&gt;0,booking!P159&lt;&gt;booking!Q159),VLOOKUP(booking!Q159,Database!$A$1:'Database'!$L$175,6,FALSE),"-"),"-")</f>
        <v>-</v>
      </c>
      <c r="L159" s="53" t="str">
        <f>IF(AND(booking!T159&lt;&gt;booking!U159,booking!T159&gt;0),"udc","-")</f>
        <v>-</v>
      </c>
      <c r="M159" s="49" t="str">
        <f>IFERROR(IF(AND(booking!AB159&gt;0,booking!T159&lt;&gt;booking!U159),VLOOKUP(booking!U159,Database!$A$1:'Database'!$L$175,6,FALSE),"-"),"-")</f>
        <v>-</v>
      </c>
    </row>
    <row r="160" spans="1:13" ht="15" customHeight="1" thickBot="1" x14ac:dyDescent="0.4">
      <c r="A160" t="str">
        <f>booking!B160</f>
        <v>fredag</v>
      </c>
      <c r="B160" s="24">
        <f>booking!C160</f>
        <v>46297</v>
      </c>
      <c r="C160" s="2" t="str">
        <f>IF(booking!AC160&gt;0,"Y","-")</f>
        <v>-</v>
      </c>
      <c r="D160" s="53" t="str">
        <f>IF(AND(booking!D160&lt;&gt;booking!E160,booking!D160&gt;0),"udc","-")</f>
        <v>-</v>
      </c>
      <c r="E160" s="49" t="str">
        <f>IFERROR(IF(AND(booking!AB160&gt;0,booking!D160&lt;&gt;booking!E160),VLOOKUP(booking!E160,Database!$A$1:'Database'!$L$175,6,FALSE),"-"),"-")</f>
        <v>-</v>
      </c>
      <c r="F160" s="53" t="str">
        <f>IF(AND(booking!H160&lt;&gt;booking!I160,booking!H160&gt;0),"udc","-")</f>
        <v>-</v>
      </c>
      <c r="G160" s="49" t="str">
        <f>IFERROR(IF(AND(booking!AB160&gt;0,booking!H160&lt;&gt;booking!I160),VLOOKUP(booking!I160,Database!$A$1:'Database'!$L$175,6,FALSE),"-"),"-")</f>
        <v>-</v>
      </c>
      <c r="H160" s="53" t="str">
        <f>IF(AND(booking!L160&lt;&gt;booking!M160,booking!L160&gt;0),"udc","-")</f>
        <v>-</v>
      </c>
      <c r="I160" s="49" t="str">
        <f>IFERROR(IF(AND(booking!AB160&gt;0,booking!L160&lt;&gt;booking!M160),VLOOKUP(booking!M160,Database!$A$1:'Database'!$L$175,6,FALSE),"-"),"-")</f>
        <v>-</v>
      </c>
      <c r="J160" s="53" t="str">
        <f>IF(AND(booking!P160&lt;&gt;booking!Q160,booking!P160&gt;0),"udc","-")</f>
        <v>-</v>
      </c>
      <c r="K160" s="49" t="str">
        <f>IFERROR(IF(AND(booking!AB160&gt;0,booking!P160&lt;&gt;booking!Q160),VLOOKUP(booking!Q160,Database!$A$1:'Database'!$L$175,6,FALSE),"-"),"-")</f>
        <v>-</v>
      </c>
      <c r="L160" s="53" t="str">
        <f>IF(AND(booking!T160&lt;&gt;booking!U160,booking!T160&gt;0),"udc","-")</f>
        <v>-</v>
      </c>
      <c r="M160" s="49" t="str">
        <f>IFERROR(IF(AND(booking!AB160&gt;0,booking!T160&lt;&gt;booking!U160),VLOOKUP(booking!U160,Database!$A$1:'Database'!$L$175,6,FALSE),"-"),"-")</f>
        <v>-</v>
      </c>
    </row>
    <row r="161" spans="1:13" ht="15" customHeight="1" thickBot="1" x14ac:dyDescent="0.4">
      <c r="A161" t="str">
        <f>booking!B161</f>
        <v>lørdag</v>
      </c>
      <c r="B161" s="24">
        <f>booking!C161</f>
        <v>46298</v>
      </c>
      <c r="C161" s="2" t="str">
        <f>IF(booking!AC161&gt;0,"Y","-")</f>
        <v>-</v>
      </c>
      <c r="D161" s="53" t="str">
        <f>IF(AND(booking!D161&lt;&gt;booking!E161,booking!D161&gt;0),"udc","-")</f>
        <v>-</v>
      </c>
      <c r="E161" s="49" t="str">
        <f>IFERROR(IF(AND(booking!AB161&gt;0,booking!D161&lt;&gt;booking!E161),VLOOKUP(booking!E161,Database!$A$1:'Database'!$L$175,6,FALSE),"-"),"-")</f>
        <v>-</v>
      </c>
      <c r="F161" s="53" t="str">
        <f>IF(AND(booking!H161&lt;&gt;booking!I161,booking!H161&gt;0),"udc","-")</f>
        <v>-</v>
      </c>
      <c r="G161" s="49" t="str">
        <f>IFERROR(IF(AND(booking!AB161&gt;0,booking!H161&lt;&gt;booking!I161),VLOOKUP(booking!I161,Database!$A$1:'Database'!$L$175,6,FALSE),"-"),"-")</f>
        <v>-</v>
      </c>
      <c r="H161" s="53" t="str">
        <f>IF(AND(booking!L161&lt;&gt;booking!M161,booking!L161&gt;0),"udc","-")</f>
        <v>-</v>
      </c>
      <c r="I161" s="49" t="str">
        <f>IFERROR(IF(AND(booking!AB161&gt;0,booking!L161&lt;&gt;booking!M161),VLOOKUP(booking!M161,Database!$A$1:'Database'!$L$175,6,FALSE),"-"),"-")</f>
        <v>-</v>
      </c>
      <c r="J161" s="53" t="str">
        <f>IF(AND(booking!P161&lt;&gt;booking!Q161,booking!P161&gt;0),"udc","-")</f>
        <v>-</v>
      </c>
      <c r="K161" s="49" t="str">
        <f>IFERROR(IF(AND(booking!AB161&gt;0,booking!P161&lt;&gt;booking!Q161),VLOOKUP(booking!Q161,Database!$A$1:'Database'!$L$175,6,FALSE),"-"),"-")</f>
        <v>-</v>
      </c>
      <c r="L161" s="53" t="str">
        <f>IF(AND(booking!T161&lt;&gt;booking!U161,booking!T161&gt;0),"udc","-")</f>
        <v>-</v>
      </c>
      <c r="M161" s="49" t="str">
        <f>IFERROR(IF(AND(booking!AB161&gt;0,booking!T161&lt;&gt;booking!U161),VLOOKUP(booking!U161,Database!$A$1:'Database'!$L$175,6,FALSE),"-"),"-")</f>
        <v>-</v>
      </c>
    </row>
    <row r="162" spans="1:13" ht="15" customHeight="1" thickBot="1" x14ac:dyDescent="0.4">
      <c r="A162" t="str">
        <f>booking!B162</f>
        <v>søndag</v>
      </c>
      <c r="B162" s="24">
        <f>booking!C162</f>
        <v>46299</v>
      </c>
      <c r="C162" s="2" t="str">
        <f>IF(booking!AC162&gt;0,"Y","-")</f>
        <v>-</v>
      </c>
      <c r="D162" s="53" t="str">
        <f>IF(AND(booking!D162&lt;&gt;booking!E162,booking!D162&gt;0),"udc","-")</f>
        <v>-</v>
      </c>
      <c r="E162" s="49" t="str">
        <f>IFERROR(IF(AND(booking!AB162&gt;0,booking!D162&lt;&gt;booking!E162),VLOOKUP(booking!E162,Database!$A$1:'Database'!$L$175,6,FALSE),"-"),"-")</f>
        <v>-</v>
      </c>
      <c r="F162" s="53" t="str">
        <f>IF(AND(booking!H162&lt;&gt;booking!I162,booking!H162&gt;0),"udc","-")</f>
        <v>-</v>
      </c>
      <c r="G162" s="49" t="str">
        <f>IFERROR(IF(AND(booking!AB162&gt;0,booking!H162&lt;&gt;booking!I162),VLOOKUP(booking!I162,Database!$A$1:'Database'!$L$175,6,FALSE),"-"),"-")</f>
        <v>-</v>
      </c>
      <c r="H162" s="53" t="str">
        <f>IF(AND(booking!L162&lt;&gt;booking!M162,booking!L162&gt;0),"udc","-")</f>
        <v>-</v>
      </c>
      <c r="I162" s="49" t="str">
        <f>IFERROR(IF(AND(booking!AB162&gt;0,booking!L162&lt;&gt;booking!M162),VLOOKUP(booking!M162,Database!$A$1:'Database'!$L$175,6,FALSE),"-"),"-")</f>
        <v>-</v>
      </c>
      <c r="J162" s="53" t="str">
        <f>IF(AND(booking!P162&lt;&gt;booking!Q162,booking!P162&gt;0),"udc","-")</f>
        <v>-</v>
      </c>
      <c r="K162" s="49" t="str">
        <f>IFERROR(IF(AND(booking!AB162&gt;0,booking!P162&lt;&gt;booking!Q162),VLOOKUP(booking!Q162,Database!$A$1:'Database'!$L$175,6,FALSE),"-"),"-")</f>
        <v>-</v>
      </c>
      <c r="L162" s="53" t="str">
        <f>IF(AND(booking!T162&lt;&gt;booking!U162,booking!T162&gt;0),"udc","-")</f>
        <v>-</v>
      </c>
      <c r="M162" s="49" t="str">
        <f>IFERROR(IF(AND(booking!AB162&gt;0,booking!T162&lt;&gt;booking!U162),VLOOKUP(booking!U162,Database!$A$1:'Database'!$L$175,6,FALSE),"-"),"-")</f>
        <v>-</v>
      </c>
    </row>
    <row r="163" spans="1:13" ht="15" customHeight="1" thickBot="1" x14ac:dyDescent="0.4">
      <c r="A163" t="str">
        <f>booking!B163</f>
        <v>mandag</v>
      </c>
      <c r="B163" s="24">
        <f>booking!C163</f>
        <v>46300</v>
      </c>
      <c r="C163" s="2" t="str">
        <f>IF(booking!AC163&gt;0,"Y","-")</f>
        <v>-</v>
      </c>
      <c r="D163" s="53" t="str">
        <f>IF(AND(booking!D163&lt;&gt;booking!E163,booking!D163&gt;0),"udc","-")</f>
        <v>-</v>
      </c>
      <c r="E163" s="49" t="str">
        <f>IFERROR(IF(AND(booking!AB163&gt;0,booking!D163&lt;&gt;booking!E163),VLOOKUP(booking!E163,Database!$A$1:'Database'!$L$175,6,FALSE),"-"),"-")</f>
        <v>-</v>
      </c>
      <c r="F163" s="53" t="str">
        <f>IF(AND(booking!H163&lt;&gt;booking!I163,booking!H163&gt;0),"udc","-")</f>
        <v>-</v>
      </c>
      <c r="G163" s="49" t="str">
        <f>IFERROR(IF(AND(booking!AB163&gt;0,booking!H163&lt;&gt;booking!I163),VLOOKUP(booking!I163,Database!$A$1:'Database'!$L$175,6,FALSE),"-"),"-")</f>
        <v>-</v>
      </c>
      <c r="H163" s="53" t="str">
        <f>IF(AND(booking!L163&lt;&gt;booking!M163,booking!L163&gt;0),"udc","-")</f>
        <v>-</v>
      </c>
      <c r="I163" s="49" t="str">
        <f>IFERROR(IF(AND(booking!AB163&gt;0,booking!L163&lt;&gt;booking!M163),VLOOKUP(booking!M163,Database!$A$1:'Database'!$L$175,6,FALSE),"-"),"-")</f>
        <v>-</v>
      </c>
      <c r="J163" s="53" t="str">
        <f>IF(AND(booking!P163&lt;&gt;booking!Q163,booking!P163&gt;0),"udc","-")</f>
        <v>-</v>
      </c>
      <c r="K163" s="49" t="str">
        <f>IFERROR(IF(AND(booking!AB163&gt;0,booking!P163&lt;&gt;booking!Q163),VLOOKUP(booking!Q163,Database!$A$1:'Database'!$L$175,6,FALSE),"-"),"-")</f>
        <v>-</v>
      </c>
      <c r="L163" s="53" t="str">
        <f>IF(AND(booking!T163&lt;&gt;booking!U163,booking!T163&gt;0),"udc","-")</f>
        <v>-</v>
      </c>
      <c r="M163" s="49" t="str">
        <f>IFERROR(IF(AND(booking!AB163&gt;0,booking!T163&lt;&gt;booking!U163),VLOOKUP(booking!U163,Database!$A$1:'Database'!$L$175,6,FALSE),"-"),"-")</f>
        <v>-</v>
      </c>
    </row>
    <row r="164" spans="1:13" ht="15" customHeight="1" thickBot="1" x14ac:dyDescent="0.4">
      <c r="A164" t="str">
        <f>booking!B164</f>
        <v>tirsdag</v>
      </c>
      <c r="B164" s="24">
        <f>booking!C164</f>
        <v>46301</v>
      </c>
      <c r="C164" s="2" t="str">
        <f>IF(booking!AC164&gt;0,"Y","-")</f>
        <v>-</v>
      </c>
      <c r="D164" s="53" t="str">
        <f>IF(AND(booking!D164&lt;&gt;booking!E164,booking!D164&gt;0),"udc","-")</f>
        <v>-</v>
      </c>
      <c r="E164" s="49" t="str">
        <f>IFERROR(IF(AND(booking!AB164&gt;0,booking!D164&lt;&gt;booking!E164),VLOOKUP(booking!E164,Database!$A$1:'Database'!$L$175,6,FALSE),"-"),"-")</f>
        <v>-</v>
      </c>
      <c r="F164" s="53" t="str">
        <f>IF(AND(booking!H164&lt;&gt;booking!I164,booking!H164&gt;0),"udc","-")</f>
        <v>-</v>
      </c>
      <c r="G164" s="49" t="str">
        <f>IFERROR(IF(AND(booking!AB164&gt;0,booking!H164&lt;&gt;booking!I164),VLOOKUP(booking!I164,Database!$A$1:'Database'!$L$175,6,FALSE),"-"),"-")</f>
        <v>-</v>
      </c>
      <c r="H164" s="53" t="str">
        <f>IF(AND(booking!L164&lt;&gt;booking!M164,booking!L164&gt;0),"udc","-")</f>
        <v>-</v>
      </c>
      <c r="I164" s="49" t="str">
        <f>IFERROR(IF(AND(booking!AB164&gt;0,booking!L164&lt;&gt;booking!M164),VLOOKUP(booking!M164,Database!$A$1:'Database'!$L$175,6,FALSE),"-"),"-")</f>
        <v>-</v>
      </c>
      <c r="J164" s="53" t="str">
        <f>IF(AND(booking!P164&lt;&gt;booking!Q164,booking!P164&gt;0),"udc","-")</f>
        <v>-</v>
      </c>
      <c r="K164" s="49" t="str">
        <f>IFERROR(IF(AND(booking!AB164&gt;0,booking!P164&lt;&gt;booking!Q164),VLOOKUP(booking!Q164,Database!$A$1:'Database'!$L$175,6,FALSE),"-"),"-")</f>
        <v>-</v>
      </c>
      <c r="L164" s="53" t="str">
        <f>IF(AND(booking!T164&lt;&gt;booking!U164,booking!T164&gt;0),"udc","-")</f>
        <v>-</v>
      </c>
      <c r="M164" s="49" t="str">
        <f>IFERROR(IF(AND(booking!AB164&gt;0,booking!T164&lt;&gt;booking!U164),VLOOKUP(booking!U164,Database!$A$1:'Database'!$L$175,6,FALSE),"-"),"-")</f>
        <v>-</v>
      </c>
    </row>
    <row r="165" spans="1:13" ht="15" customHeight="1" thickBot="1" x14ac:dyDescent="0.4">
      <c r="A165" t="str">
        <f>booking!B165</f>
        <v>onsdag</v>
      </c>
      <c r="B165" s="24">
        <f>booking!C165</f>
        <v>46302</v>
      </c>
      <c r="C165" s="2" t="str">
        <f>IF(booking!AC165&gt;0,"Y","-")</f>
        <v>-</v>
      </c>
      <c r="D165" s="53" t="str">
        <f>IF(AND(booking!D165&lt;&gt;booking!E165,booking!D165&gt;0),"udc","-")</f>
        <v>-</v>
      </c>
      <c r="E165" s="49" t="str">
        <f>IFERROR(IF(AND(booking!AB165&gt;0,booking!D165&lt;&gt;booking!E165),VLOOKUP(booking!E165,Database!$A$1:'Database'!$L$175,6,FALSE),"-"),"-")</f>
        <v>-</v>
      </c>
      <c r="F165" s="53" t="str">
        <f>IF(AND(booking!H165&lt;&gt;booking!I165,booking!H165&gt;0),"udc","-")</f>
        <v>-</v>
      </c>
      <c r="G165" s="49" t="str">
        <f>IFERROR(IF(AND(booking!AB165&gt;0,booking!H165&lt;&gt;booking!I165),VLOOKUP(booking!I165,Database!$A$1:'Database'!$L$175,6,FALSE),"-"),"-")</f>
        <v>-</v>
      </c>
      <c r="H165" s="53" t="str">
        <f>IF(AND(booking!L165&lt;&gt;booking!M165,booking!L165&gt;0),"udc","-")</f>
        <v>-</v>
      </c>
      <c r="I165" s="49" t="str">
        <f>IFERROR(IF(AND(booking!AB165&gt;0,booking!L165&lt;&gt;booking!M165),VLOOKUP(booking!M165,Database!$A$1:'Database'!$L$175,6,FALSE),"-"),"-")</f>
        <v>-</v>
      </c>
      <c r="J165" s="53" t="str">
        <f>IF(AND(booking!P165&lt;&gt;booking!Q165,booking!P165&gt;0),"udc","-")</f>
        <v>-</v>
      </c>
      <c r="K165" s="49" t="str">
        <f>IFERROR(IF(AND(booking!AB165&gt;0,booking!P165&lt;&gt;booking!Q165),VLOOKUP(booking!Q165,Database!$A$1:'Database'!$L$175,6,FALSE),"-"),"-")</f>
        <v>-</v>
      </c>
      <c r="L165" s="53" t="str">
        <f>IF(AND(booking!T165&lt;&gt;booking!U165,booking!T165&gt;0),"udc","-")</f>
        <v>-</v>
      </c>
      <c r="M165" s="49" t="str">
        <f>IFERROR(IF(AND(booking!AB165&gt;0,booking!T165&lt;&gt;booking!U165),VLOOKUP(booking!U165,Database!$A$1:'Database'!$L$175,6,FALSE),"-"),"-")</f>
        <v>-</v>
      </c>
    </row>
    <row r="166" spans="1:13" ht="15" customHeight="1" thickBot="1" x14ac:dyDescent="0.4">
      <c r="A166" t="str">
        <f>booking!B166</f>
        <v>torsdag</v>
      </c>
      <c r="B166" s="24">
        <f>booking!C166</f>
        <v>46303</v>
      </c>
      <c r="C166" s="2" t="str">
        <f>IF(booking!AC166&gt;0,"Y","-")</f>
        <v>-</v>
      </c>
      <c r="D166" s="53" t="str">
        <f>IF(AND(booking!D166&lt;&gt;booking!E166,booking!D166&gt;0),"udc","-")</f>
        <v>-</v>
      </c>
      <c r="E166" s="49" t="str">
        <f>IFERROR(IF(AND(booking!AB166&gt;0,booking!D166&lt;&gt;booking!E166),VLOOKUP(booking!E166,Database!$A$1:'Database'!$L$175,6,FALSE),"-"),"-")</f>
        <v>-</v>
      </c>
      <c r="F166" s="53" t="str">
        <f>IF(AND(booking!H166&lt;&gt;booking!I166,booking!H166&gt;0),"udc","-")</f>
        <v>-</v>
      </c>
      <c r="G166" s="49" t="str">
        <f>IFERROR(IF(AND(booking!AB166&gt;0,booking!H166&lt;&gt;booking!I166),VLOOKUP(booking!I166,Database!$A$1:'Database'!$L$175,6,FALSE),"-"),"-")</f>
        <v>-</v>
      </c>
      <c r="H166" s="53" t="str">
        <f>IF(AND(booking!L166&lt;&gt;booking!M166,booking!L166&gt;0),"udc","-")</f>
        <v>-</v>
      </c>
      <c r="I166" s="49" t="str">
        <f>IFERROR(IF(AND(booking!AB166&gt;0,booking!L166&lt;&gt;booking!M166),VLOOKUP(booking!M166,Database!$A$1:'Database'!$L$175,6,FALSE),"-"),"-")</f>
        <v>-</v>
      </c>
      <c r="J166" s="53" t="str">
        <f>IF(AND(booking!P166&lt;&gt;booking!Q166,booking!P166&gt;0),"udc","-")</f>
        <v>-</v>
      </c>
      <c r="K166" s="49" t="str">
        <f>IFERROR(IF(AND(booking!AB166&gt;0,booking!P166&lt;&gt;booking!Q166),VLOOKUP(booking!Q166,Database!$A$1:'Database'!$L$175,6,FALSE),"-"),"-")</f>
        <v>-</v>
      </c>
      <c r="L166" s="53" t="str">
        <f>IF(AND(booking!T166&lt;&gt;booking!U166,booking!T166&gt;0),"udc","-")</f>
        <v>-</v>
      </c>
      <c r="M166" s="49" t="str">
        <f>IFERROR(IF(AND(booking!AB166&gt;0,booking!T166&lt;&gt;booking!U166),VLOOKUP(booking!U166,Database!$A$1:'Database'!$L$175,6,FALSE),"-"),"-")</f>
        <v>-</v>
      </c>
    </row>
    <row r="167" spans="1:13" ht="15" customHeight="1" thickBot="1" x14ac:dyDescent="0.4">
      <c r="A167" t="str">
        <f>booking!B167</f>
        <v>fredag</v>
      </c>
      <c r="B167" s="24">
        <f>booking!C167</f>
        <v>46304</v>
      </c>
      <c r="C167" s="2" t="str">
        <f>IF(booking!AC167&gt;0,"Y","-")</f>
        <v>-</v>
      </c>
      <c r="D167" s="53" t="str">
        <f>IF(AND(booking!D167&lt;&gt;booking!E167,booking!D167&gt;0),"udc","-")</f>
        <v>-</v>
      </c>
      <c r="E167" s="49" t="str">
        <f>IFERROR(IF(AND(booking!AB167&gt;0,booking!D167&lt;&gt;booking!E167),VLOOKUP(booking!E167,Database!$A$1:'Database'!$L$175,6,FALSE),"-"),"-")</f>
        <v>-</v>
      </c>
      <c r="F167" s="53" t="str">
        <f>IF(AND(booking!H167&lt;&gt;booking!I167,booking!H167&gt;0),"udc","-")</f>
        <v>-</v>
      </c>
      <c r="G167" s="49" t="str">
        <f>IFERROR(IF(AND(booking!AB167&gt;0,booking!H167&lt;&gt;booking!I167),VLOOKUP(booking!I167,Database!$A$1:'Database'!$L$175,6,FALSE),"-"),"-")</f>
        <v>-</v>
      </c>
      <c r="H167" s="53" t="str">
        <f>IF(AND(booking!L167&lt;&gt;booking!M167,booking!L167&gt;0),"udc","-")</f>
        <v>-</v>
      </c>
      <c r="I167" s="49" t="str">
        <f>IFERROR(IF(AND(booking!AB167&gt;0,booking!L167&lt;&gt;booking!M167),VLOOKUP(booking!M167,Database!$A$1:'Database'!$L$175,6,FALSE),"-"),"-")</f>
        <v>-</v>
      </c>
      <c r="J167" s="53" t="str">
        <f>IF(AND(booking!P167&lt;&gt;booking!Q167,booking!P167&gt;0),"udc","-")</f>
        <v>-</v>
      </c>
      <c r="K167" s="49" t="str">
        <f>IFERROR(IF(AND(booking!AB167&gt;0,booking!P167&lt;&gt;booking!Q167),VLOOKUP(booking!Q167,Database!$A$1:'Database'!$L$175,6,FALSE),"-"),"-")</f>
        <v>-</v>
      </c>
      <c r="L167" s="53" t="str">
        <f>IF(AND(booking!T167&lt;&gt;booking!U167,booking!T167&gt;0),"udc","-")</f>
        <v>-</v>
      </c>
      <c r="M167" s="49" t="str">
        <f>IFERROR(IF(AND(booking!AB167&gt;0,booking!T167&lt;&gt;booking!U167),VLOOKUP(booking!U167,Database!$A$1:'Database'!$L$175,6,FALSE),"-"),"-")</f>
        <v>-</v>
      </c>
    </row>
    <row r="168" spans="1:13" ht="15" customHeight="1" thickBot="1" x14ac:dyDescent="0.4">
      <c r="A168" t="str">
        <f>booking!B168</f>
        <v>lørdag</v>
      </c>
      <c r="B168" s="24">
        <f>booking!C168</f>
        <v>46305</v>
      </c>
      <c r="C168" s="2" t="str">
        <f>IF(booking!AC168&gt;0,"Y","-")</f>
        <v>-</v>
      </c>
      <c r="D168" s="53" t="str">
        <f>IF(AND(booking!D168&lt;&gt;booking!E168,booking!D168&gt;0),"udc","-")</f>
        <v>-</v>
      </c>
      <c r="E168" s="49" t="str">
        <f>IFERROR(IF(AND(booking!AB168&gt;0,booking!D168&lt;&gt;booking!E168),VLOOKUP(booking!E168,Database!$A$1:'Database'!$L$175,6,FALSE),"-"),"-")</f>
        <v>-</v>
      </c>
      <c r="F168" s="53" t="str">
        <f>IF(AND(booking!H168&lt;&gt;booking!I168,booking!H168&gt;0),"udc","-")</f>
        <v>-</v>
      </c>
      <c r="G168" s="49" t="str">
        <f>IFERROR(IF(AND(booking!AB168&gt;0,booking!H168&lt;&gt;booking!I168),VLOOKUP(booking!I168,Database!$A$1:'Database'!$L$175,6,FALSE),"-"),"-")</f>
        <v>-</v>
      </c>
      <c r="H168" s="53" t="str">
        <f>IF(AND(booking!L168&lt;&gt;booking!M168,booking!L168&gt;0),"udc","-")</f>
        <v>-</v>
      </c>
      <c r="I168" s="49" t="str">
        <f>IFERROR(IF(AND(booking!AB168&gt;0,booking!L168&lt;&gt;booking!M168),VLOOKUP(booking!M168,Database!$A$1:'Database'!$L$175,6,FALSE),"-"),"-")</f>
        <v>-</v>
      </c>
      <c r="J168" s="53" t="str">
        <f>IF(AND(booking!P168&lt;&gt;booking!Q168,booking!P168&gt;0),"udc","-")</f>
        <v>-</v>
      </c>
      <c r="K168" s="49" t="str">
        <f>IFERROR(IF(AND(booking!AB168&gt;0,booking!P168&lt;&gt;booking!Q168),VLOOKUP(booking!Q168,Database!$A$1:'Database'!$L$175,6,FALSE),"-"),"-")</f>
        <v>-</v>
      </c>
      <c r="L168" s="53" t="str">
        <f>IF(AND(booking!T168&lt;&gt;booking!U168,booking!T168&gt;0),"udc","-")</f>
        <v>-</v>
      </c>
      <c r="M168" s="49" t="str">
        <f>IFERROR(IF(AND(booking!AB168&gt;0,booking!T168&lt;&gt;booking!U168),VLOOKUP(booking!U168,Database!$A$1:'Database'!$L$175,6,FALSE),"-"),"-")</f>
        <v>-</v>
      </c>
    </row>
    <row r="169" spans="1:13" ht="15" customHeight="1" thickBot="1" x14ac:dyDescent="0.4">
      <c r="A169" t="str">
        <f>booking!B169</f>
        <v>søndag</v>
      </c>
      <c r="B169" s="24">
        <f>booking!C169</f>
        <v>46306</v>
      </c>
      <c r="C169" s="2" t="str">
        <f>IF(booking!AC169&gt;0,"Y","-")</f>
        <v>-</v>
      </c>
      <c r="D169" s="53" t="str">
        <f>IF(AND(booking!D169&lt;&gt;booking!E169,booking!D169&gt;0),"udc","-")</f>
        <v>-</v>
      </c>
      <c r="E169" s="49" t="str">
        <f>IFERROR(IF(AND(booking!AB169&gt;0,booking!D169&lt;&gt;booking!E169),VLOOKUP(booking!E169,Database!$A$1:'Database'!$L$175,6,FALSE),"-"),"-")</f>
        <v>-</v>
      </c>
      <c r="F169" s="53" t="str">
        <f>IF(AND(booking!H169&lt;&gt;booking!I169,booking!H169&gt;0),"udc","-")</f>
        <v>-</v>
      </c>
      <c r="G169" s="49" t="str">
        <f>IFERROR(IF(AND(booking!AB169&gt;0,booking!H169&lt;&gt;booking!I169),VLOOKUP(booking!I169,Database!$A$1:'Database'!$L$175,6,FALSE),"-"),"-")</f>
        <v>-</v>
      </c>
      <c r="H169" s="53" t="str">
        <f>IF(AND(booking!L169&lt;&gt;booking!M169,booking!L169&gt;0),"udc","-")</f>
        <v>-</v>
      </c>
      <c r="I169" s="49" t="str">
        <f>IFERROR(IF(AND(booking!AB169&gt;0,booking!L169&lt;&gt;booking!M169),VLOOKUP(booking!M169,Database!$A$1:'Database'!$L$175,6,FALSE),"-"),"-")</f>
        <v>-</v>
      </c>
      <c r="J169" s="53" t="str">
        <f>IF(AND(booking!P169&lt;&gt;booking!Q169,booking!P169&gt;0),"udc","-")</f>
        <v>-</v>
      </c>
      <c r="K169" s="49" t="str">
        <f>IFERROR(IF(AND(booking!AB169&gt;0,booking!P169&lt;&gt;booking!Q169),VLOOKUP(booking!Q169,Database!$A$1:'Database'!$L$175,6,FALSE),"-"),"-")</f>
        <v>-</v>
      </c>
      <c r="L169" s="53" t="str">
        <f>IF(AND(booking!T169&lt;&gt;booking!U169,booking!T169&gt;0),"udc","-")</f>
        <v>-</v>
      </c>
      <c r="M169" s="49" t="str">
        <f>IFERROR(IF(AND(booking!AB169&gt;0,booking!T169&lt;&gt;booking!U169),VLOOKUP(booking!U169,Database!$A$1:'Database'!$L$175,6,FALSE),"-"),"-")</f>
        <v>-</v>
      </c>
    </row>
    <row r="170" spans="1:13" ht="15" customHeight="1" thickBot="1" x14ac:dyDescent="0.4">
      <c r="A170" t="str">
        <f>booking!B170</f>
        <v>mandag</v>
      </c>
      <c r="B170" s="24">
        <f>booking!C170</f>
        <v>46307</v>
      </c>
      <c r="C170" s="2" t="str">
        <f>IF(booking!AC170&gt;0,"Y","-")</f>
        <v>-</v>
      </c>
      <c r="D170" s="53" t="str">
        <f>IF(AND(booking!D170&lt;&gt;booking!E170,booking!D170&gt;0),"udc","-")</f>
        <v>-</v>
      </c>
      <c r="E170" s="49" t="str">
        <f>IFERROR(IF(AND(booking!AB170&gt;0,booking!D170&lt;&gt;booking!E170),VLOOKUP(booking!E170,Database!$A$1:'Database'!$L$175,6,FALSE),"-"),"-")</f>
        <v>-</v>
      </c>
      <c r="F170" s="53" t="str">
        <f>IF(AND(booking!H170&lt;&gt;booking!I170,booking!H170&gt;0),"udc","-")</f>
        <v>-</v>
      </c>
      <c r="G170" s="49" t="str">
        <f>IFERROR(IF(AND(booking!AB170&gt;0,booking!H170&lt;&gt;booking!I170),VLOOKUP(booking!I170,Database!$A$1:'Database'!$L$175,6,FALSE),"-"),"-")</f>
        <v>-</v>
      </c>
      <c r="H170" s="53" t="str">
        <f>IF(AND(booking!L170&lt;&gt;booking!M170,booking!L170&gt;0),"udc","-")</f>
        <v>-</v>
      </c>
      <c r="I170" s="49" t="str">
        <f>IFERROR(IF(AND(booking!AB170&gt;0,booking!L170&lt;&gt;booking!M170),VLOOKUP(booking!M170,Database!$A$1:'Database'!$L$175,6,FALSE),"-"),"-")</f>
        <v>-</v>
      </c>
      <c r="J170" s="53" t="str">
        <f>IF(AND(booking!P170&lt;&gt;booking!Q170,booking!P170&gt;0),"udc","-")</f>
        <v>-</v>
      </c>
      <c r="K170" s="49" t="str">
        <f>IFERROR(IF(AND(booking!AB170&gt;0,booking!P170&lt;&gt;booking!Q170),VLOOKUP(booking!Q170,Database!$A$1:'Database'!$L$175,6,FALSE),"-"),"-")</f>
        <v>-</v>
      </c>
      <c r="L170" s="53" t="str">
        <f>IF(AND(booking!T170&lt;&gt;booking!U170,booking!T170&gt;0),"udc","-")</f>
        <v>-</v>
      </c>
      <c r="M170" s="49" t="str">
        <f>IFERROR(IF(AND(booking!AB170&gt;0,booking!T170&lt;&gt;booking!U170),VLOOKUP(booking!U170,Database!$A$1:'Database'!$L$175,6,FALSE),"-"),"-")</f>
        <v>-</v>
      </c>
    </row>
    <row r="171" spans="1:13" ht="15" customHeight="1" thickBot="1" x14ac:dyDescent="0.4">
      <c r="A171" t="str">
        <f>booking!B171</f>
        <v>tirsdag</v>
      </c>
      <c r="B171" s="24">
        <f>booking!C171</f>
        <v>46308</v>
      </c>
      <c r="C171" s="2" t="str">
        <f>IF(booking!AC171&gt;0,"Y","-")</f>
        <v>-</v>
      </c>
      <c r="D171" s="53" t="str">
        <f>IF(AND(C171="Y",booking!D171&lt;&gt;booking!E171),"udc","-")</f>
        <v>-</v>
      </c>
      <c r="E171" s="49" t="str">
        <f>IFERROR(IF(AND(booking!AB171&gt;0,booking!D171&lt;&gt;booking!E171),VLOOKUP(booking!E171,Database!$A$1:'Database'!$L$175,6,FALSE),"-"),"-")</f>
        <v>-</v>
      </c>
      <c r="F171" s="53" t="str">
        <f>IF(AND(booking!H171&lt;&gt;booking!I171,booking!H171&gt;0),"udc","-")</f>
        <v>-</v>
      </c>
      <c r="G171" s="49" t="str">
        <f>IFERROR(IF(AND(booking!AB171&gt;0,booking!H171&lt;&gt;booking!I171),VLOOKUP(booking!I171,Database!$A$1:'Database'!$L$175,6,FALSE),"-"),"-")</f>
        <v>-</v>
      </c>
      <c r="H171" s="53" t="str">
        <f>IF(AND(booking!L171&lt;&gt;booking!M171,booking!L171&gt;0),"udc","-")</f>
        <v>-</v>
      </c>
      <c r="I171" s="49" t="str">
        <f>IFERROR(IF(AND(booking!AB171&gt;0,booking!L171&lt;&gt;booking!M171),VLOOKUP(booking!M171,Database!$A$1:'Database'!$L$175,6,FALSE),"-"),"-")</f>
        <v>-</v>
      </c>
      <c r="J171" s="53" t="str">
        <f>IF(AND(booking!P171&lt;&gt;booking!Q171,booking!P171&gt;0),"udc","-")</f>
        <v>-</v>
      </c>
      <c r="K171" s="49" t="str">
        <f>IFERROR(IF(AND(booking!AB171&gt;0,booking!P171&lt;&gt;booking!Q171),VLOOKUP(booking!Q171,Database!$A$1:'Database'!$L$175,6,FALSE),"-"),"-")</f>
        <v>-</v>
      </c>
      <c r="L171" s="53" t="str">
        <f>IF(AND(booking!T171&lt;&gt;booking!U171,booking!T171&gt;0),"udc","-")</f>
        <v>-</v>
      </c>
      <c r="M171" s="49" t="str">
        <f>IFERROR(IF(AND(booking!AB171&gt;0,booking!T171&lt;&gt;booking!U171),VLOOKUP(booking!U171,Database!$A$1:'Database'!$L$175,6,FALSE),"-"),"-")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F4" sqref="F4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2.453125" customWidth="1"/>
    <col min="4" max="5" width="3.81640625" style="2" bestFit="1" customWidth="1"/>
    <col min="6" max="6" width="4.81640625" bestFit="1" customWidth="1"/>
    <col min="7" max="7" width="5" style="77" bestFit="1" customWidth="1"/>
    <col min="8" max="8" width="5.08984375" style="77" bestFit="1" customWidth="1"/>
    <col min="9" max="9" width="4.81640625" bestFit="1" customWidth="1"/>
    <col min="10" max="10" width="3.81640625" bestFit="1" customWidth="1"/>
    <col min="11" max="11" width="4.81640625" style="77" bestFit="1" customWidth="1"/>
    <col min="12" max="12" width="5" style="77" bestFit="1" customWidth="1"/>
    <col min="13" max="13" width="5.08984375" style="77" bestFit="1" customWidth="1"/>
    <col min="14" max="14" width="6.1796875" bestFit="1" customWidth="1"/>
    <col min="15" max="15" width="3.81640625" bestFit="1" customWidth="1"/>
    <col min="16" max="16" width="4.81640625" style="77" bestFit="1" customWidth="1"/>
    <col min="17" max="17" width="5" style="77" bestFit="1" customWidth="1"/>
    <col min="18" max="18" width="7.1796875" style="77" bestFit="1" customWidth="1"/>
    <col min="19" max="19" width="4.81640625" bestFit="1" customWidth="1"/>
    <col min="20" max="20" width="3.81640625" style="76" bestFit="1" customWidth="1"/>
    <col min="21" max="21" width="4.81640625" style="77" bestFit="1" customWidth="1"/>
    <col min="22" max="22" width="5" style="77" bestFit="1" customWidth="1"/>
    <col min="23" max="23" width="4.81640625" style="77" bestFit="1" customWidth="1"/>
    <col min="24" max="24" width="4.81640625" bestFit="1" customWidth="1"/>
    <col min="25" max="25" width="2.90625" bestFit="1" customWidth="1"/>
    <col min="26" max="26" width="4.81640625" style="77" bestFit="1" customWidth="1"/>
    <col min="27" max="27" width="5" style="77" bestFit="1" customWidth="1"/>
    <col min="28" max="28" width="5.08984375" style="77" bestFit="1" customWidth="1"/>
    <col min="29" max="29" width="4.81640625" bestFit="1" customWidth="1"/>
  </cols>
  <sheetData>
    <row r="1" spans="1:29" ht="20.149999999999999" customHeight="1" thickBot="1" x14ac:dyDescent="0.4">
      <c r="A1" s="204" t="str">
        <f>rengoering!A1</f>
        <v>dag</v>
      </c>
      <c r="B1" s="205" t="str">
        <f>rengoering!B1</f>
        <v>dato</v>
      </c>
      <c r="C1" s="204"/>
      <c r="D1" s="206" t="s">
        <v>136</v>
      </c>
      <c r="E1" s="204" t="s">
        <v>130</v>
      </c>
      <c r="F1" s="204" t="s">
        <v>400</v>
      </c>
      <c r="G1" s="207" t="s">
        <v>401</v>
      </c>
      <c r="H1" s="207" t="s">
        <v>402</v>
      </c>
      <c r="I1" s="204" t="s">
        <v>403</v>
      </c>
      <c r="J1" s="204" t="str">
        <f>rengoering!F1</f>
        <v>V2</v>
      </c>
      <c r="K1" s="207" t="s">
        <v>404</v>
      </c>
      <c r="L1" s="207" t="s">
        <v>405</v>
      </c>
      <c r="M1" s="207" t="s">
        <v>406</v>
      </c>
      <c r="N1" s="204" t="s">
        <v>407</v>
      </c>
      <c r="O1" s="204" t="str">
        <f>rengoering!H1</f>
        <v>V3</v>
      </c>
      <c r="P1" s="207" t="s">
        <v>408</v>
      </c>
      <c r="Q1" s="207" t="s">
        <v>409</v>
      </c>
      <c r="R1" s="207" t="s">
        <v>410</v>
      </c>
      <c r="S1" s="204" t="s">
        <v>411</v>
      </c>
      <c r="T1" s="208" t="str">
        <f>rengoering!J1</f>
        <v>V4</v>
      </c>
      <c r="U1" s="207" t="s">
        <v>412</v>
      </c>
      <c r="V1" s="207" t="s">
        <v>413</v>
      </c>
      <c r="W1" s="207" t="s">
        <v>414</v>
      </c>
      <c r="X1" s="204" t="s">
        <v>415</v>
      </c>
      <c r="Y1" s="204" t="str">
        <f>rengoering!L1</f>
        <v>V5</v>
      </c>
      <c r="Z1" s="207" t="s">
        <v>416</v>
      </c>
      <c r="AA1" s="207" t="s">
        <v>417</v>
      </c>
      <c r="AB1" s="207" t="s">
        <v>418</v>
      </c>
      <c r="AC1" s="204" t="s">
        <v>419</v>
      </c>
    </row>
    <row r="2" spans="1:29" ht="15" customHeight="1" thickBot="1" x14ac:dyDescent="0.4">
      <c r="A2" s="85" t="str">
        <f>rengoering!A2</f>
        <v>mandag</v>
      </c>
      <c r="B2" s="86">
        <v>46139</v>
      </c>
      <c r="C2" s="86"/>
      <c r="D2" s="87" t="str">
        <f>IF(booking!AB2&gt;0,"Y","-")</f>
        <v>-</v>
      </c>
      <c r="E2" s="95" t="str">
        <f>IF(AND(D2="Y",booking!D2&lt;&gt;booking!E2,booking!E2&gt;0),booking!E2,"-")</f>
        <v>-</v>
      </c>
      <c r="F2" s="210" t="s">
        <v>431</v>
      </c>
      <c r="G2" s="79" t="str">
        <f>IFERROR(VLOOKUP(E2,Database!$A$2:$L$175,6,FALSE),"-")</f>
        <v>-</v>
      </c>
      <c r="H2" s="92" t="str">
        <f>IFERROR(VLOOKUP(E2,Database!$A$2:$L$175,9,FALSE),"-")</f>
        <v>-</v>
      </c>
      <c r="I2" s="111" t="str">
        <f>IFERROR(VLOOKUP(E2,Database!$A$2:$S$175,19,FALSE),"-")</f>
        <v>-</v>
      </c>
      <c r="J2" s="96" t="str">
        <f>IF(AND(D2="Y",booking!H2&lt;&gt;booking!I2,booking!I2&gt;0),booking!I2,"-")</f>
        <v>-</v>
      </c>
      <c r="K2" s="79" t="str">
        <f>IFERROR(VLOOKUP(J2,Database!$A$2:$L$175,8,FALSE),"-")</f>
        <v>-</v>
      </c>
      <c r="L2" s="79" t="str">
        <f>IFERROR(VLOOKUP(J2,Database!$A$2:$L$175,6,FALSE),"-")</f>
        <v>-</v>
      </c>
      <c r="M2" s="92" t="str">
        <f>IFERROR(VLOOKUP(J2,Database!$A$2:$L$175,9,FALSE),"-")</f>
        <v>-</v>
      </c>
      <c r="N2" s="209" t="str">
        <f>IFERROR(VLOOKUP(J2,Database!$A$2:$S$175,19,FALSE),"-")</f>
        <v>-</v>
      </c>
      <c r="O2" s="96" t="str">
        <f>IF(AND(D2="Y",booking!L2&lt;&gt;booking!M2,booking!M2&gt;0),booking!M2,"-")</f>
        <v>-</v>
      </c>
      <c r="P2" s="79" t="str">
        <f>IFERROR(VLOOKUP(O2,Database!$A$2:$L$175,8,FALSE),"-")</f>
        <v>-</v>
      </c>
      <c r="Q2" s="79" t="str">
        <f>IFERROR(VLOOKUP(O2,Database!$A$2:$L$175,6,FALSE),"-")</f>
        <v>-</v>
      </c>
      <c r="R2" s="81" t="str">
        <f>IFERROR(VLOOKUP(O2,Database!$A$2:$L$175,9,FALSE),"-")</f>
        <v>-</v>
      </c>
      <c r="S2" s="209" t="str">
        <f>IFERROR(VLOOKUP(O2,Database!$A$2:$S$175,19,FALSE),"-")</f>
        <v>-</v>
      </c>
      <c r="T2" s="97" t="str">
        <f>IF(AND(D2="Y",booking!P2&lt;&gt;booking!Q2,booking!Q2&gt;0),booking!Q2,"-")</f>
        <v>-</v>
      </c>
      <c r="U2" s="79" t="str">
        <f>IFERROR(VLOOKUP(T2,Database!$A$2:$L$175,8,FALSE),"-")</f>
        <v>-</v>
      </c>
      <c r="V2" s="79" t="str">
        <f>IFERROR(VLOOKUP(T2,Database!$A$2:$L$175,6,FALSE),"-")</f>
        <v>-</v>
      </c>
      <c r="W2" s="81" t="str">
        <f>IFERROR(VLOOKUP(T2,Database!$A$2:$L$175,9,FALSE),"-")</f>
        <v>-</v>
      </c>
      <c r="X2" s="209" t="str">
        <f>IFERROR(VLOOKUP(T2,Database!$A$2:$S$175,19,FALSE),"-")</f>
        <v>-</v>
      </c>
      <c r="Y2" s="96" t="str">
        <f>IF(AND(D2="Y",booking!T2&lt;&gt;booking!U2,booking!U2&gt;0),booking!U2,"-")</f>
        <v>-</v>
      </c>
      <c r="Z2" s="79" t="str">
        <f>IFERROR(VLOOKUP(Y2,Database!$A$2:$L$175,8,FALSE),"-")</f>
        <v>-</v>
      </c>
      <c r="AA2" s="79" t="str">
        <f>IFERROR(VLOOKUP(Y2,Database!$A$2:$L$175,6,FALSE),"-")</f>
        <v>-</v>
      </c>
      <c r="AB2" s="92" t="str">
        <f>IFERROR(VLOOKUP(Y2,Database!$A$2:$L$175,9,FALSE),"-")</f>
        <v>-</v>
      </c>
      <c r="AC2" s="8" t="str">
        <f>IFERROR(VLOOKUP(Y2,Database!$A$2:$S$175,19,FALSE),"-")</f>
        <v>-</v>
      </c>
    </row>
    <row r="3" spans="1:29" ht="15" customHeight="1" thickBot="1" x14ac:dyDescent="0.4">
      <c r="A3" s="88" t="str">
        <f>rengoering!A3</f>
        <v>tirsdag</v>
      </c>
      <c r="B3" s="84">
        <v>46140</v>
      </c>
      <c r="C3" s="9"/>
      <c r="D3" s="89" t="str">
        <f>IF(booking!AB3&gt;0,"Y","-")</f>
        <v>-</v>
      </c>
      <c r="E3" s="95" t="str">
        <f>IF(AND(D3="Y",booking!D3&lt;&gt;booking!E3,booking!E3&gt;0),booking!E3,"-")</f>
        <v>-</v>
      </c>
      <c r="F3" s="8" t="s">
        <v>431</v>
      </c>
      <c r="G3" s="78" t="str">
        <f>IFERROR(VLOOKUP(E3,Database!$A$2:$L$175,6,FALSE),"-")</f>
        <v>-</v>
      </c>
      <c r="H3" s="93" t="str">
        <f>IFERROR(VLOOKUP(E3,Database!$A$2:$L$175,9,FALSE),"-")</f>
        <v>-</v>
      </c>
      <c r="I3" s="111" t="str">
        <f>IFERROR(VLOOKUP(E3,Database!$A$2:$S$175,19,FALSE),"-")</f>
        <v>-</v>
      </c>
      <c r="J3" s="96" t="str">
        <f>IF(AND(D3="Y",booking!H3&lt;&gt;booking!I3,booking!I3&gt;0),booking!I3,"-")</f>
        <v>-</v>
      </c>
      <c r="K3" s="78" t="str">
        <f>IFERROR(VLOOKUP(J3,Database!$A$2:$L$175,8,FALSE),"-")</f>
        <v>-</v>
      </c>
      <c r="L3" s="78" t="str">
        <f>IFERROR(VLOOKUP(J3,Database!$A$2:$L$175,6,FALSE),"-")</f>
        <v>-</v>
      </c>
      <c r="M3" s="93" t="str">
        <f>IFERROR(VLOOKUP(J3,Database!$A$2:$L$175,9,FALSE),"-")</f>
        <v>-</v>
      </c>
      <c r="N3" s="209" t="str">
        <f>IFERROR(VLOOKUP(J3,Database!$A$2:$S$175,19,FALSE),"-")</f>
        <v>-</v>
      </c>
      <c r="O3" s="96" t="str">
        <f>IF(AND(D3="Y",booking!L3&lt;&gt;booking!M3,booking!M3&gt;0),booking!M3,"-")</f>
        <v>-</v>
      </c>
      <c r="P3" s="78" t="str">
        <f>IFERROR(VLOOKUP(O3,Database!$A$2:$L$175,8,FALSE),"-")</f>
        <v>-</v>
      </c>
      <c r="Q3" s="78" t="str">
        <f>IFERROR(VLOOKUP(O3,Database!$A$2:$L$175,6,FALSE),"-")</f>
        <v>-</v>
      </c>
      <c r="R3" s="82" t="str">
        <f>IFERROR(VLOOKUP(O3,Database!$A$2:$L$175,9,FALSE),"-")</f>
        <v>-</v>
      </c>
      <c r="S3" s="209" t="str">
        <f>IFERROR(VLOOKUP(O3,Database!$A$2:$S$175,19,FALSE),"-")</f>
        <v>-</v>
      </c>
      <c r="T3" s="97" t="str">
        <f>IF(AND(D3="Y",booking!P3&lt;&gt;booking!Q3,booking!Q3&gt;0),booking!Q3,"-")</f>
        <v>-</v>
      </c>
      <c r="U3" s="78" t="str">
        <f>IFERROR(VLOOKUP(T3,Database!$A$2:$L$175,8,FALSE),"-")</f>
        <v>-</v>
      </c>
      <c r="V3" s="78" t="str">
        <f>IFERROR(VLOOKUP(T3,Database!$A$2:$L$175,6,FALSE),"-")</f>
        <v>-</v>
      </c>
      <c r="W3" s="82" t="str">
        <f>IFERROR(VLOOKUP(T3,Database!$A$2:$L$175,9,FALSE),"-")</f>
        <v>-</v>
      </c>
      <c r="X3" s="209" t="str">
        <f>IFERROR(VLOOKUP(T3,Database!$A$2:$S$175,19,FALSE),"-")</f>
        <v>-</v>
      </c>
      <c r="Y3" s="96" t="str">
        <f>IF(AND(D3="Y",booking!T3&lt;&gt;booking!U3,booking!U3&gt;0),booking!U3,"-")</f>
        <v>-</v>
      </c>
      <c r="Z3" s="79" t="str">
        <f>IFERROR(VLOOKUP(Y3,Database!$A$2:$L$175,8,FALSE),"-")</f>
        <v>-</v>
      </c>
      <c r="AA3" s="79" t="str">
        <f>IFERROR(VLOOKUP(Y3,Database!$A$2:$L$175,6,FALSE),"-")</f>
        <v>-</v>
      </c>
      <c r="AB3" s="92" t="str">
        <f>IFERROR(VLOOKUP(Y3,Database!$A$2:$L$175,9,FALSE),"-")</f>
        <v>-</v>
      </c>
      <c r="AC3" s="8" t="str">
        <f>IFERROR(VLOOKUP(Y3,Database!$A$2:$S$175,19,FALSE),"-")</f>
        <v>-</v>
      </c>
    </row>
    <row r="4" spans="1:29" ht="15" customHeight="1" thickBot="1" x14ac:dyDescent="0.4">
      <c r="A4" s="88" t="str">
        <f>rengoering!A4</f>
        <v>onsdag</v>
      </c>
      <c r="B4" s="86">
        <v>46141</v>
      </c>
      <c r="C4" s="9"/>
      <c r="D4" s="89" t="str">
        <f>IF(booking!AB4&gt;0,"Y","-")</f>
        <v>-</v>
      </c>
      <c r="E4" s="95" t="str">
        <f>IF(AND(D4="Y",booking!D4&lt;&gt;booking!E4,booking!E4&gt;0),booking!E4,"-")</f>
        <v>-</v>
      </c>
      <c r="F4" s="8" t="str">
        <f>IFERROR(VLOOKUP(E4,Database!$A$2:$L$175,8,FALSE),"-")</f>
        <v>-</v>
      </c>
      <c r="G4" s="78" t="str">
        <f>IFERROR(VLOOKUP(E4,Database!$A$2:$L$175,6,FALSE),"-")</f>
        <v>-</v>
      </c>
      <c r="H4" s="93" t="str">
        <f>IFERROR(VLOOKUP(E4,Database!$A$2:$L$175,9,FALSE),"-")</f>
        <v>-</v>
      </c>
      <c r="I4" s="112"/>
      <c r="J4" s="96" t="str">
        <f>IF(AND(D4="Y",booking!H4&lt;&gt;booking!I4,booking!I4&gt;0),booking!I4,"-")</f>
        <v>-</v>
      </c>
      <c r="K4" s="78" t="str">
        <f>IFERROR(VLOOKUP(J4,Database!$A$2:$L$175,8,FALSE),"-")</f>
        <v>-</v>
      </c>
      <c r="L4" s="78" t="str">
        <f>IFERROR(VLOOKUP(J4,Database!$A$2:$L$175,6,FALSE),"-")</f>
        <v>-</v>
      </c>
      <c r="M4" s="93" t="str">
        <f>IFERROR(VLOOKUP(J4,Database!$A$2:$L$175,9,FALSE),"-")</f>
        <v>-</v>
      </c>
      <c r="N4" s="209" t="str">
        <f>IFERROR(VLOOKUP(J4,Database!$A$2:$S$175,19,FALSE),"-")</f>
        <v>-</v>
      </c>
      <c r="O4" s="96" t="str">
        <f>IF(AND(D4="Y",booking!L4&lt;&gt;booking!M4,booking!M4&gt;0),booking!M4,"-")</f>
        <v>-</v>
      </c>
      <c r="P4" s="78" t="str">
        <f>IFERROR(VLOOKUP(O4,Database!$A$2:$L$175,8,FALSE),"-")</f>
        <v>-</v>
      </c>
      <c r="Q4" s="78" t="str">
        <f>IFERROR(VLOOKUP(O4,Database!$A$2:$L$175,6,FALSE),"-")</f>
        <v>-</v>
      </c>
      <c r="R4" s="82" t="str">
        <f>IFERROR(VLOOKUP(O4,Database!$A$2:$L$175,9,FALSE),"-")</f>
        <v>-</v>
      </c>
      <c r="S4" s="209" t="str">
        <f>IFERROR(VLOOKUP(O4,Database!$A$2:$S$175,19,FALSE),"-")</f>
        <v>-</v>
      </c>
      <c r="T4" s="97" t="str">
        <f>IF(AND(D4="Y",booking!P4&lt;&gt;booking!Q4,booking!Q4&gt;0),booking!Q4,"-")</f>
        <v>-</v>
      </c>
      <c r="U4" s="78" t="str">
        <f>IFERROR(VLOOKUP(T4,Database!$A$2:$L$175,8,FALSE),"-")</f>
        <v>-</v>
      </c>
      <c r="V4" s="78" t="str">
        <f>IFERROR(VLOOKUP(T4,Database!$A$2:$L$175,6,FALSE),"-")</f>
        <v>-</v>
      </c>
      <c r="W4" s="82" t="str">
        <f>IFERROR(VLOOKUP(T4,Database!$A$2:$L$175,9,FALSE),"-")</f>
        <v>-</v>
      </c>
      <c r="X4" s="209" t="str">
        <f>IFERROR(VLOOKUP(T4,Database!$A$2:$S$175,19,FALSE),"-")</f>
        <v>-</v>
      </c>
      <c r="Y4" s="96" t="str">
        <f>IF(AND(D4="Y",booking!T4&lt;&gt;booking!U4,booking!U4&gt;0),booking!U4,"-")</f>
        <v>-</v>
      </c>
      <c r="Z4" s="79" t="str">
        <f>IFERROR(VLOOKUP(Y4,Database!$A$2:$L$175,8,FALSE),"-")</f>
        <v>-</v>
      </c>
      <c r="AA4" s="79" t="str">
        <f>IFERROR(VLOOKUP(Y4,Database!$A$2:$L$175,6,FALSE),"-")</f>
        <v>-</v>
      </c>
      <c r="AB4" s="92" t="str">
        <f>IFERROR(VLOOKUP(Y4,Database!$A$2:$L$175,9,FALSE),"-")</f>
        <v>-</v>
      </c>
      <c r="AC4" s="8" t="str">
        <f>IFERROR(VLOOKUP(Y4,Database!$A$2:$S$175,19,FALSE),"-")</f>
        <v>-</v>
      </c>
    </row>
    <row r="5" spans="1:29" ht="15" customHeight="1" thickBot="1" x14ac:dyDescent="0.4">
      <c r="A5" s="88" t="str">
        <f>rengoering!A5</f>
        <v>torsdag</v>
      </c>
      <c r="B5" s="84">
        <v>46142</v>
      </c>
      <c r="C5" s="9"/>
      <c r="D5" s="89" t="str">
        <f>IF(booking!AB5&gt;0,"Y","-")</f>
        <v>-</v>
      </c>
      <c r="E5" s="95" t="str">
        <f>IF(AND(D5="Y",booking!D5&lt;&gt;booking!E5,booking!E5&gt;0),booking!E5,"-")</f>
        <v>-</v>
      </c>
      <c r="F5" s="8" t="str">
        <f>IFERROR(VLOOKUP(E5,Database!$A$2:$L$175,8,FALSE),"-")</f>
        <v>-</v>
      </c>
      <c r="G5" s="78" t="str">
        <f>IFERROR(VLOOKUP(E5,Database!$A$2:$L$175,6,FALSE),"-")</f>
        <v>-</v>
      </c>
      <c r="H5" s="93" t="str">
        <f>IFERROR(VLOOKUP(E5,Database!$A$2:$L$175,9,FALSE),"-")</f>
        <v>-</v>
      </c>
      <c r="I5" s="112"/>
      <c r="J5" s="96" t="str">
        <f>IF(AND(D5="Y",booking!H5&lt;&gt;booking!I5,booking!I5&gt;0),booking!I5,"-")</f>
        <v>-</v>
      </c>
      <c r="K5" s="78" t="str">
        <f>IFERROR(VLOOKUP(J5,Database!$A$2:$L$175,8,FALSE),"-")</f>
        <v>-</v>
      </c>
      <c r="L5" s="78" t="str">
        <f>IFERROR(VLOOKUP(J5,Database!$A$2:$L$175,6,FALSE),"-")</f>
        <v>-</v>
      </c>
      <c r="M5" s="93" t="str">
        <f>IFERROR(VLOOKUP(J5,Database!$A$2:$L$175,9,FALSE),"-")</f>
        <v>-</v>
      </c>
      <c r="N5" s="209" t="str">
        <f>IFERROR(VLOOKUP(J5,Database!$A$2:$S$175,19,FALSE),"-")</f>
        <v>-</v>
      </c>
      <c r="O5" s="96" t="str">
        <f>IF(AND(D5="Y",booking!L5&lt;&gt;booking!M5,booking!M5&gt;0),booking!M5,"-")</f>
        <v>-</v>
      </c>
      <c r="P5" s="78" t="str">
        <f>IFERROR(VLOOKUP(O5,Database!$A$2:$L$175,8,FALSE),"-")</f>
        <v>-</v>
      </c>
      <c r="Q5" s="78" t="str">
        <f>IFERROR(VLOOKUP(O5,Database!$A$2:$L$175,6,FALSE),"-")</f>
        <v>-</v>
      </c>
      <c r="R5" s="82" t="str">
        <f>IFERROR(VLOOKUP(O5,Database!$A$2:$L$175,9,FALSE),"-")</f>
        <v>-</v>
      </c>
      <c r="S5" s="209" t="str">
        <f>IFERROR(VLOOKUP(O5,Database!$A$2:$S$175,19,FALSE),"-")</f>
        <v>-</v>
      </c>
      <c r="T5" s="97" t="str">
        <f>IF(AND(D5="Y",booking!P5&lt;&gt;booking!Q5,booking!Q5&gt;0),booking!Q5,"-")</f>
        <v>-</v>
      </c>
      <c r="U5" s="78" t="str">
        <f>IFERROR(VLOOKUP(T5,Database!$A$2:$L$175,8,FALSE),"-")</f>
        <v>-</v>
      </c>
      <c r="V5" s="78" t="str">
        <f>IFERROR(VLOOKUP(T5,Database!$A$2:$L$175,6,FALSE),"-")</f>
        <v>-</v>
      </c>
      <c r="W5" s="82" t="str">
        <f>IFERROR(VLOOKUP(T5,Database!$A$2:$L$175,9,FALSE),"-")</f>
        <v>-</v>
      </c>
      <c r="X5" s="209" t="str">
        <f>IFERROR(VLOOKUP(T5,Database!$A$2:$S$175,19,FALSE),"-")</f>
        <v>-</v>
      </c>
      <c r="Y5" s="96" t="str">
        <f>IF(AND(D5="Y",booking!T5&lt;&gt;booking!U5,booking!U5&gt;0),booking!U5,"-")</f>
        <v>-</v>
      </c>
      <c r="Z5" s="79" t="str">
        <f>IFERROR(VLOOKUP(Y5,Database!$A$2:$L$175,8,FALSE),"-")</f>
        <v>-</v>
      </c>
      <c r="AA5" s="79" t="str">
        <f>IFERROR(VLOOKUP(Y5,Database!$A$2:$L$175,6,FALSE),"-")</f>
        <v>-</v>
      </c>
      <c r="AB5" s="92" t="str">
        <f>IFERROR(VLOOKUP(Y5,Database!$A$2:$L$175,9,FALSE),"-")</f>
        <v>-</v>
      </c>
      <c r="AC5" s="8" t="str">
        <f>IFERROR(VLOOKUP(Y5,Database!$A$2:$S$175,19,FALSE),"-")</f>
        <v>-</v>
      </c>
    </row>
    <row r="6" spans="1:29" ht="15" customHeight="1" thickBot="1" x14ac:dyDescent="0.4">
      <c r="A6" s="88" t="str">
        <f>rengoering!A6</f>
        <v>fredag</v>
      </c>
      <c r="B6" s="86">
        <v>46143</v>
      </c>
      <c r="C6" s="9"/>
      <c r="D6" s="89" t="str">
        <f>IF(booking!AB6&gt;0,"Y","-")</f>
        <v>Y</v>
      </c>
      <c r="E6" s="95">
        <f>IF(AND(D6="Y",booking!D6&lt;&gt;booking!E6,booking!E6&gt;0),booking!E6,"-")</f>
        <v>85</v>
      </c>
      <c r="F6" s="8">
        <f>IFERROR(VLOOKUP(E6,Database!$A$2:$L$175,8,FALSE),"-")</f>
        <v>0</v>
      </c>
      <c r="G6" s="78" t="str">
        <f>IFERROR(VLOOKUP(E6,Database!$A$2:$L$175,6,FALSE),"-")</f>
        <v>DK</v>
      </c>
      <c r="H6" s="93">
        <f>IFERROR(VLOOKUP(E6,Database!$A$2:$L$175,9,FALSE),"-")</f>
        <v>0</v>
      </c>
      <c r="I6" s="112"/>
      <c r="J6" s="96">
        <f>IF(AND(D6="Y",booking!H6&lt;&gt;booking!I6,booking!I6&gt;0),booking!I6,"-")</f>
        <v>110</v>
      </c>
      <c r="K6" s="78">
        <f>IFERROR(VLOOKUP(J6,Database!$A$2:$L$175,8,FALSE),"-")</f>
        <v>0</v>
      </c>
      <c r="L6" s="78" t="str">
        <f>IFERROR(VLOOKUP(J6,Database!$A$2:$L$175,6,FALSE),"-")</f>
        <v>DK</v>
      </c>
      <c r="M6" s="93">
        <f>IFERROR(VLOOKUP(J6,Database!$A$2:$L$175,9,FALSE),"-")</f>
        <v>0</v>
      </c>
      <c r="N6" s="209" t="str">
        <f>IFERROR(VLOOKUP(J6,Database!$A$2:$S$175,19,FALSE),"-")</f>
        <v>N</v>
      </c>
      <c r="O6" s="96">
        <f>IF(AND(D6="Y",booking!L6&lt;&gt;booking!M6,booking!M6&gt;0),booking!M6,"-")</f>
        <v>68</v>
      </c>
      <c r="P6" s="78" t="str">
        <f>IFERROR(VLOOKUP(O6,Database!$A$2:$L$175,8,FALSE),"-")</f>
        <v>1500</v>
      </c>
      <c r="Q6" s="78" t="str">
        <f>IFERROR(VLOOKUP(O6,Database!$A$2:$L$175,6,FALSE),"-")</f>
        <v>DK</v>
      </c>
      <c r="R6" s="82" t="str">
        <f>IFERROR(VLOOKUP(O6,Database!$A$2:$L$175,9,FALSE),"-")</f>
        <v>sing</v>
      </c>
      <c r="S6" s="209" t="str">
        <f>IFERROR(VLOOKUP(O6,Database!$A$2:$S$175,19,FALSE),"-")</f>
        <v>N</v>
      </c>
      <c r="T6" s="97">
        <f>IF(AND(D6="Y",booking!P6&lt;&gt;booking!Q6,booking!Q6&gt;0),booking!Q6,"-")</f>
        <v>28</v>
      </c>
      <c r="U6" s="78">
        <f>IFERROR(VLOOKUP(T6,Database!$A$2:$L$175,8,FALSE),"-")</f>
        <v>0</v>
      </c>
      <c r="V6" s="78" t="str">
        <f>IFERROR(VLOOKUP(T6,Database!$A$2:$L$175,6,FALSE),"-")</f>
        <v>DK</v>
      </c>
      <c r="W6" s="82">
        <f>IFERROR(VLOOKUP(T6,Database!$A$2:$L$175,9,FALSE),"-")</f>
        <v>0</v>
      </c>
      <c r="X6" s="209" t="str">
        <f>IFERROR(VLOOKUP(T6,Database!$A$2:$S$175,19,FALSE),"-")</f>
        <v>N</v>
      </c>
      <c r="Y6" s="96">
        <f>IF(AND(D6="Y",booking!T6&lt;&gt;booking!U6,booking!U6&gt;0),booking!U6,"-")</f>
        <v>28</v>
      </c>
      <c r="Z6" s="79">
        <f>IFERROR(VLOOKUP(Y6,Database!$A$2:$L$175,8,FALSE),"-")</f>
        <v>0</v>
      </c>
      <c r="AA6" s="79" t="str">
        <f>IFERROR(VLOOKUP(Y6,Database!$A$2:$L$175,6,FALSE),"-")</f>
        <v>DK</v>
      </c>
      <c r="AB6" s="92">
        <f>IFERROR(VLOOKUP(Y6,Database!$A$2:$L$175,9,FALSE),"-")</f>
        <v>0</v>
      </c>
      <c r="AC6" s="8" t="str">
        <f>IFERROR(VLOOKUP(Y6,Database!$A$2:$S$175,19,FALSE),"-")</f>
        <v>N</v>
      </c>
    </row>
    <row r="7" spans="1:29" ht="15" customHeight="1" thickBot="1" x14ac:dyDescent="0.4">
      <c r="A7" s="88" t="str">
        <f>rengoering!A7</f>
        <v>lørdag</v>
      </c>
      <c r="B7" s="84">
        <v>46144</v>
      </c>
      <c r="C7" s="9"/>
      <c r="D7" s="89" t="str">
        <f>IF(booking!AB7&gt;0,"Y","-")</f>
        <v>-</v>
      </c>
      <c r="E7" s="95" t="str">
        <f>IF(AND(D7="Y",booking!D7&lt;&gt;booking!E7,booking!E7&gt;0),booking!E7,"-")</f>
        <v>-</v>
      </c>
      <c r="F7" s="8" t="str">
        <f>IFERROR(VLOOKUP(E7,Database!$A$2:$L$175,8,FALSE),"-")</f>
        <v>-</v>
      </c>
      <c r="G7" s="78" t="str">
        <f>IFERROR(VLOOKUP(E7,Database!$A$2:$L$175,6,FALSE),"-")</f>
        <v>-</v>
      </c>
      <c r="H7" s="93" t="str">
        <f>IFERROR(VLOOKUP(E7,Database!$A$2:$L$175,9,FALSE),"-")</f>
        <v>-</v>
      </c>
      <c r="I7" s="112"/>
      <c r="J7" s="96" t="str">
        <f>IF(AND(D7="Y",booking!H7&lt;&gt;booking!I7,booking!I7&gt;0),booking!I7,"-")</f>
        <v>-</v>
      </c>
      <c r="K7" s="78" t="str">
        <f>IFERROR(VLOOKUP(J7,Database!$A$2:$L$175,8,FALSE),"-")</f>
        <v>-</v>
      </c>
      <c r="L7" s="78" t="str">
        <f>IFERROR(VLOOKUP(J7,Database!$A$2:$L$175,6,FALSE),"-")</f>
        <v>-</v>
      </c>
      <c r="M7" s="93" t="str">
        <f>IFERROR(VLOOKUP(J7,Database!$A$2:$L$175,9,FALSE),"-")</f>
        <v>-</v>
      </c>
      <c r="N7" s="209" t="str">
        <f>IFERROR(VLOOKUP(J7,Database!$A$2:$S$175,19,FALSE),"-")</f>
        <v>-</v>
      </c>
      <c r="O7" s="96" t="str">
        <f>IF(AND(D7="Y",booking!L7&lt;&gt;booking!M7,booking!M7&gt;0),booking!M7,"-")</f>
        <v>-</v>
      </c>
      <c r="P7" s="78" t="str">
        <f>IFERROR(VLOOKUP(O7,Database!$A$2:$L$175,8,FALSE),"-")</f>
        <v>-</v>
      </c>
      <c r="Q7" s="78" t="str">
        <f>IFERROR(VLOOKUP(O7,Database!$A$2:$L$175,6,FALSE),"-")</f>
        <v>-</v>
      </c>
      <c r="R7" s="82" t="str">
        <f>IFERROR(VLOOKUP(O7,Database!$A$2:$L$175,9,FALSE),"-")</f>
        <v>-</v>
      </c>
      <c r="S7" s="209" t="str">
        <f>IFERROR(VLOOKUP(O7,Database!$A$2:$S$175,19,FALSE),"-")</f>
        <v>-</v>
      </c>
      <c r="T7" s="97" t="str">
        <f>IF(AND(D7="Y",booking!P7&lt;&gt;booking!Q7,booking!Q7&gt;0),booking!Q7,"-")</f>
        <v>-</v>
      </c>
      <c r="U7" s="78" t="str">
        <f>IFERROR(VLOOKUP(T7,Database!$A$2:$L$175,8,FALSE),"-")</f>
        <v>-</v>
      </c>
      <c r="V7" s="78" t="str">
        <f>IFERROR(VLOOKUP(T7,Database!$A$2:$L$175,6,FALSE),"-")</f>
        <v>-</v>
      </c>
      <c r="W7" s="82" t="str">
        <f>IFERROR(VLOOKUP(T7,Database!$A$2:$L$175,9,FALSE),"-")</f>
        <v>-</v>
      </c>
      <c r="X7" s="209" t="str">
        <f>IFERROR(VLOOKUP(T7,Database!$A$2:$S$175,19,FALSE),"-")</f>
        <v>-</v>
      </c>
      <c r="Y7" s="96" t="str">
        <f>IF(AND(D7="Y",booking!T7&lt;&gt;booking!U7,booking!U7&gt;0),booking!U7,"-")</f>
        <v>-</v>
      </c>
      <c r="Z7" s="79" t="str">
        <f>IFERROR(VLOOKUP(Y7,Database!$A$2:$L$175,8,FALSE),"-")</f>
        <v>-</v>
      </c>
      <c r="AA7" s="79" t="str">
        <f>IFERROR(VLOOKUP(Y7,Database!$A$2:$L$175,6,FALSE),"-")</f>
        <v>-</v>
      </c>
      <c r="AB7" s="92" t="str">
        <f>IFERROR(VLOOKUP(Y7,Database!$A$2:$L$175,9,FALSE),"-")</f>
        <v>-</v>
      </c>
      <c r="AC7" s="8" t="str">
        <f>IFERROR(VLOOKUP(Y7,Database!$A$2:$S$175,19,FALSE),"-")</f>
        <v>-</v>
      </c>
    </row>
    <row r="8" spans="1:29" ht="15" customHeight="1" thickBot="1" x14ac:dyDescent="0.4">
      <c r="A8" s="88" t="str">
        <f>rengoering!A8</f>
        <v>søndag</v>
      </c>
      <c r="B8" s="86">
        <v>46145</v>
      </c>
      <c r="C8" s="9"/>
      <c r="D8" s="89" t="str">
        <f>IF(booking!AB8&gt;0,"Y","-")</f>
        <v>Y</v>
      </c>
      <c r="E8" s="95" t="str">
        <f>IF(AND(D8="Y",booking!D8&lt;&gt;booking!E8,booking!E8&gt;0),booking!E8,"-")</f>
        <v>-</v>
      </c>
      <c r="F8" s="8" t="str">
        <f>IFERROR(VLOOKUP(E8,Database!$A$2:$L$175,8,FALSE),"-")</f>
        <v>-</v>
      </c>
      <c r="G8" s="78" t="str">
        <f>IFERROR(VLOOKUP(E8,Database!$A$2:$L$175,6,FALSE),"-")</f>
        <v>-</v>
      </c>
      <c r="H8" s="93" t="str">
        <f>IFERROR(VLOOKUP(E8,Database!$A$2:$L$175,9,FALSE),"-")</f>
        <v>-</v>
      </c>
      <c r="I8" s="112"/>
      <c r="J8" s="96" t="str">
        <f>IF(AND(D8="Y",booking!H8&lt;&gt;booking!I8,booking!I8&gt;0),booking!I8,"-")</f>
        <v>-</v>
      </c>
      <c r="K8" s="78" t="str">
        <f>IFERROR(VLOOKUP(J8,Database!$A$2:$L$175,8,FALSE),"-")</f>
        <v>-</v>
      </c>
      <c r="L8" s="78" t="str">
        <f>IFERROR(VLOOKUP(J8,Database!$A$2:$L$175,6,FALSE),"-")</f>
        <v>-</v>
      </c>
      <c r="M8" s="93" t="str">
        <f>IFERROR(VLOOKUP(J8,Database!$A$2:$L$175,9,FALSE),"-")</f>
        <v>-</v>
      </c>
      <c r="N8" s="209" t="str">
        <f>IFERROR(VLOOKUP(J8,Database!$A$2:$S$175,19,FALSE),"-")</f>
        <v>-</v>
      </c>
      <c r="O8" s="96" t="str">
        <f>IF(AND(D8="Y",booking!L8&lt;&gt;booking!M8,booking!M8&gt;0),booking!M8,"-")</f>
        <v>-</v>
      </c>
      <c r="P8" s="78" t="str">
        <f>IFERROR(VLOOKUP(O8,Database!$A$2:$L$175,8,FALSE),"-")</f>
        <v>-</v>
      </c>
      <c r="Q8" s="78" t="str">
        <f>IFERROR(VLOOKUP(O8,Database!$A$2:$L$175,6,FALSE),"-")</f>
        <v>-</v>
      </c>
      <c r="R8" s="82" t="str">
        <f>IFERROR(VLOOKUP(O8,Database!$A$2:$L$175,9,FALSE),"-")</f>
        <v>-</v>
      </c>
      <c r="S8" s="209" t="str">
        <f>IFERROR(VLOOKUP(O8,Database!$A$2:$S$175,19,FALSE),"-")</f>
        <v>-</v>
      </c>
      <c r="T8" s="97">
        <f>IF(AND(D8="Y",booking!P8&lt;&gt;booking!Q8,booking!Q8&gt;0),booking!Q8,"-")</f>
        <v>72</v>
      </c>
      <c r="U8" s="78" t="str">
        <f>IFERROR(VLOOKUP(T8,Database!$A$2:$L$175,8,FALSE),"-")</f>
        <v>1430</v>
      </c>
      <c r="V8" s="78" t="str">
        <f>IFERROR(VLOOKUP(T8,Database!$A$2:$L$175,6,FALSE),"-")</f>
        <v>DK</v>
      </c>
      <c r="W8" s="82">
        <f>IFERROR(VLOOKUP(T8,Database!$A$2:$L$175,9,FALSE),"-")</f>
        <v>0</v>
      </c>
      <c r="X8" s="209" t="str">
        <f>IFERROR(VLOOKUP(T8,Database!$A$2:$S$175,19,FALSE),"-")</f>
        <v>Y</v>
      </c>
      <c r="Y8" s="96" t="str">
        <f>IF(AND(D8="Y",booking!T8&lt;&gt;booking!U8,booking!U8&gt;0),booking!U8,"-")</f>
        <v>-</v>
      </c>
      <c r="Z8" s="79" t="str">
        <f>IFERROR(VLOOKUP(Y8,Database!$A$2:$L$175,8,FALSE),"-")</f>
        <v>-</v>
      </c>
      <c r="AA8" s="79" t="str">
        <f>IFERROR(VLOOKUP(Y8,Database!$A$2:$L$175,6,FALSE),"-")</f>
        <v>-</v>
      </c>
      <c r="AB8" s="92" t="str">
        <f>IFERROR(VLOOKUP(Y8,Database!$A$2:$L$175,9,FALSE),"-")</f>
        <v>-</v>
      </c>
      <c r="AC8" s="8" t="str">
        <f>IFERROR(VLOOKUP(Y8,Database!$A$2:$S$175,19,FALSE),"-")</f>
        <v>-</v>
      </c>
    </row>
    <row r="9" spans="1:29" ht="15" customHeight="1" thickBot="1" x14ac:dyDescent="0.4">
      <c r="A9" s="88" t="str">
        <f>rengoering!A9</f>
        <v>mandag</v>
      </c>
      <c r="B9" s="84">
        <v>46146</v>
      </c>
      <c r="C9" s="9"/>
      <c r="D9" s="89" t="str">
        <f>IF(booking!AB9&gt;0,"Y","-")</f>
        <v>-</v>
      </c>
      <c r="E9" s="95" t="str">
        <f>IF(AND(D9="Y",booking!D9&lt;&gt;booking!E9,booking!E9&gt;0),booking!E9,"-")</f>
        <v>-</v>
      </c>
      <c r="F9" s="8" t="str">
        <f>IFERROR(VLOOKUP(E9,Database!$A$2:$L$175,8,FALSE),"-")</f>
        <v>-</v>
      </c>
      <c r="G9" s="78" t="str">
        <f>IFERROR(VLOOKUP(E9,Database!$A$2:$L$175,6,FALSE),"-")</f>
        <v>-</v>
      </c>
      <c r="H9" s="93" t="str">
        <f>IFERROR(VLOOKUP(E9,Database!$A$2:$L$175,9,FALSE),"-")</f>
        <v>-</v>
      </c>
      <c r="I9" s="112"/>
      <c r="J9" s="96" t="str">
        <f>IF(AND(D9="Y",booking!H9&lt;&gt;booking!I9,booking!I9&gt;0),booking!I9,"-")</f>
        <v>-</v>
      </c>
      <c r="K9" s="78" t="str">
        <f>IFERROR(VLOOKUP(J9,Database!$A$2:$L$175,8,FALSE),"-")</f>
        <v>-</v>
      </c>
      <c r="L9" s="78" t="str">
        <f>IFERROR(VLOOKUP(J9,Database!$A$2:$L$175,6,FALSE),"-")</f>
        <v>-</v>
      </c>
      <c r="M9" s="93" t="str">
        <f>IFERROR(VLOOKUP(J9,Database!$A$2:$L$175,9,FALSE),"-")</f>
        <v>-</v>
      </c>
      <c r="N9" s="209" t="str">
        <f>IFERROR(VLOOKUP(J9,Database!$A$2:$S$175,19,FALSE),"-")</f>
        <v>-</v>
      </c>
      <c r="O9" s="96" t="str">
        <f>IF(AND(D9="Y",booking!L9&lt;&gt;booking!M9,booking!M9&gt;0),booking!M9,"-")</f>
        <v>-</v>
      </c>
      <c r="P9" s="78" t="str">
        <f>IFERROR(VLOOKUP(O9,Database!$A$2:$L$175,8,FALSE),"-")</f>
        <v>-</v>
      </c>
      <c r="Q9" s="78" t="str">
        <f>IFERROR(VLOOKUP(O9,Database!$A$2:$L$175,6,FALSE),"-")</f>
        <v>-</v>
      </c>
      <c r="R9" s="82" t="str">
        <f>IFERROR(VLOOKUP(O9,Database!$A$2:$L$175,9,FALSE),"-")</f>
        <v>-</v>
      </c>
      <c r="S9" s="209" t="str">
        <f>IFERROR(VLOOKUP(O9,Database!$A$2:$S$175,19,FALSE),"-")</f>
        <v>-</v>
      </c>
      <c r="T9" s="97" t="str">
        <f>IF(AND(D9="Y",booking!P9&lt;&gt;booking!Q9,booking!Q9&gt;0),booking!Q9,"-")</f>
        <v>-</v>
      </c>
      <c r="U9" s="78" t="str">
        <f>IFERROR(VLOOKUP(T9,Database!$A$2:$L$175,8,FALSE),"-")</f>
        <v>-</v>
      </c>
      <c r="V9" s="78" t="str">
        <f>IFERROR(VLOOKUP(T9,Database!$A$2:$L$175,6,FALSE),"-")</f>
        <v>-</v>
      </c>
      <c r="W9" s="82" t="str">
        <f>IFERROR(VLOOKUP(T9,Database!$A$2:$L$175,9,FALSE),"-")</f>
        <v>-</v>
      </c>
      <c r="X9" s="209" t="str">
        <f>IFERROR(VLOOKUP(T9,Database!$A$2:$S$175,19,FALSE),"-")</f>
        <v>-</v>
      </c>
      <c r="Y9" s="96" t="str">
        <f>IF(AND(D9="Y",booking!T9&lt;&gt;booking!U9,booking!U9&gt;0),booking!U9,"-")</f>
        <v>-</v>
      </c>
      <c r="Z9" s="79" t="str">
        <f>IFERROR(VLOOKUP(Y9,Database!$A$2:$L$175,8,FALSE),"-")</f>
        <v>-</v>
      </c>
      <c r="AA9" s="79" t="str">
        <f>IFERROR(VLOOKUP(Y9,Database!$A$2:$L$175,6,FALSE),"-")</f>
        <v>-</v>
      </c>
      <c r="AB9" s="92" t="str">
        <f>IFERROR(VLOOKUP(Y9,Database!$A$2:$L$175,9,FALSE),"-")</f>
        <v>-</v>
      </c>
      <c r="AC9" s="8" t="str">
        <f>IFERROR(VLOOKUP(Y9,Database!$A$2:$S$175,19,FALSE),"-")</f>
        <v>-</v>
      </c>
    </row>
    <row r="10" spans="1:29" ht="15" customHeight="1" thickBot="1" x14ac:dyDescent="0.4">
      <c r="A10" s="88" t="str">
        <f>rengoering!A10</f>
        <v>tirsdag</v>
      </c>
      <c r="B10" s="86">
        <v>46147</v>
      </c>
      <c r="C10" s="9"/>
      <c r="D10" s="89" t="str">
        <f>IF(booking!AB10&gt;0,"Y","-")</f>
        <v>-</v>
      </c>
      <c r="E10" s="95" t="str">
        <f>IF(AND(D10="Y",booking!D10&lt;&gt;booking!E10,booking!E10&gt;0),booking!E10,"-")</f>
        <v>-</v>
      </c>
      <c r="F10" s="8" t="str">
        <f>IFERROR(VLOOKUP(E10,Database!$A$2:$L$175,8,FALSE),"-")</f>
        <v>-</v>
      </c>
      <c r="G10" s="78" t="str">
        <f>IFERROR(VLOOKUP(E10,Database!$A$2:$L$175,6,FALSE),"-")</f>
        <v>-</v>
      </c>
      <c r="H10" s="93" t="str">
        <f>IFERROR(VLOOKUP(E10,Database!$A$2:$L$175,9,FALSE),"-")</f>
        <v>-</v>
      </c>
      <c r="I10" s="112"/>
      <c r="J10" s="96" t="str">
        <f>IF(AND(D10="Y",booking!H10&lt;&gt;booking!I11,booking!I11&gt;0),booking!I11,"-")</f>
        <v>-</v>
      </c>
      <c r="K10" s="78" t="str">
        <f>IFERROR(VLOOKUP(J10,Database!$A$2:$L$175,8,FALSE),"-")</f>
        <v>-</v>
      </c>
      <c r="L10" s="78" t="str">
        <f>IFERROR(VLOOKUP(J10,Database!$A$2:$L$175,6,FALSE),"-")</f>
        <v>-</v>
      </c>
      <c r="M10" s="93" t="str">
        <f>IFERROR(VLOOKUP(J10,Database!$A$2:$L$175,9,FALSE),"-")</f>
        <v>-</v>
      </c>
      <c r="N10" s="209" t="str">
        <f>IFERROR(VLOOKUP(J10,Database!$A$2:$S$175,19,FALSE),"-")</f>
        <v>-</v>
      </c>
      <c r="O10" s="96" t="str">
        <f>IF(AND(D10="Y",booking!L10&lt;&gt;booking!M10,booking!M10&gt;0),booking!M10,"-")</f>
        <v>-</v>
      </c>
      <c r="P10" s="78" t="str">
        <f>IFERROR(VLOOKUP(O10,Database!$A$2:$L$175,8,FALSE),"-")</f>
        <v>-</v>
      </c>
      <c r="Q10" s="78" t="str">
        <f>IFERROR(VLOOKUP(O10,Database!$A$2:$L$175,6,FALSE),"-")</f>
        <v>-</v>
      </c>
      <c r="R10" s="82" t="str">
        <f>IFERROR(VLOOKUP(O10,Database!$A$2:$L$175,9,FALSE),"-")</f>
        <v>-</v>
      </c>
      <c r="S10" s="209" t="str">
        <f>IFERROR(VLOOKUP(O10,Database!$A$2:$S$175,19,FALSE),"-")</f>
        <v>-</v>
      </c>
      <c r="T10" s="97" t="str">
        <f>IF(AND(D10="Y",booking!P10&lt;&gt;booking!Q10,booking!Q10&gt;0),booking!Q10,"-")</f>
        <v>-</v>
      </c>
      <c r="U10" s="78" t="str">
        <f>IFERROR(VLOOKUP(T10,Database!$A$2:$L$175,8,FALSE),"-")</f>
        <v>-</v>
      </c>
      <c r="V10" s="78" t="str">
        <f>IFERROR(VLOOKUP(T10,Database!$A$2:$L$175,6,FALSE),"-")</f>
        <v>-</v>
      </c>
      <c r="W10" s="82" t="str">
        <f>IFERROR(VLOOKUP(T10,Database!$A$2:$L$175,9,FALSE),"-")</f>
        <v>-</v>
      </c>
      <c r="X10" s="209" t="str">
        <f>IFERROR(VLOOKUP(T10,Database!$A$2:$S$175,19,FALSE),"-")</f>
        <v>-</v>
      </c>
      <c r="Y10" s="96" t="str">
        <f>IF(AND(D10="Y",booking!T10&lt;&gt;booking!U10,booking!U10&gt;0),booking!U10,"-")</f>
        <v>-</v>
      </c>
      <c r="Z10" s="79" t="str">
        <f>IFERROR(VLOOKUP(Y10,Database!$A$2:$L$175,8,FALSE),"-")</f>
        <v>-</v>
      </c>
      <c r="AA10" s="79" t="str">
        <f>IFERROR(VLOOKUP(Y10,Database!$A$2:$L$175,6,FALSE),"-")</f>
        <v>-</v>
      </c>
      <c r="AB10" s="92" t="str">
        <f>IFERROR(VLOOKUP(Y10,Database!$A$2:$L$175,9,FALSE),"-")</f>
        <v>-</v>
      </c>
      <c r="AC10" s="8" t="str">
        <f>IFERROR(VLOOKUP(Y10,Database!$A$2:$S$175,19,FALSE),"-")</f>
        <v>-</v>
      </c>
    </row>
    <row r="11" spans="1:29" ht="15" customHeight="1" thickBot="1" x14ac:dyDescent="0.4">
      <c r="A11" s="88" t="str">
        <f>rengoering!A11</f>
        <v>onsdag</v>
      </c>
      <c r="B11" s="84">
        <v>46148</v>
      </c>
      <c r="C11" s="9"/>
      <c r="D11" s="89" t="str">
        <f>IF(booking!AB11&gt;0,"Y","-")</f>
        <v>-</v>
      </c>
      <c r="E11" s="95" t="str">
        <f>IF(AND(D11="Y",booking!D11&lt;&gt;booking!E11,booking!E11&gt;0),booking!E11,"-")</f>
        <v>-</v>
      </c>
      <c r="F11" s="8" t="str">
        <f>IFERROR(VLOOKUP(E11,Database!$A$2:$L$175,8,FALSE),"-")</f>
        <v>-</v>
      </c>
      <c r="G11" s="78" t="str">
        <f>IFERROR(VLOOKUP(E11,Database!$A$2:$L$175,6,FALSE),"-")</f>
        <v>-</v>
      </c>
      <c r="H11" s="93" t="str">
        <f>IFERROR(VLOOKUP(E11,Database!$A$2:$L$175,9,FALSE),"-")</f>
        <v>-</v>
      </c>
      <c r="I11" s="112"/>
      <c r="J11" s="96" t="str">
        <f>IF(AND(D11="Y",booking!H11&lt;&gt;booking!I12,booking!I12&gt;0),booking!I12,"-")</f>
        <v>-</v>
      </c>
      <c r="K11" s="78" t="str">
        <f>IFERROR(VLOOKUP(J11,Database!$A$2:$L$175,8,FALSE),"-")</f>
        <v>-</v>
      </c>
      <c r="L11" s="78" t="str">
        <f>IFERROR(VLOOKUP(J11,Database!$A$2:$L$175,6,FALSE),"-")</f>
        <v>-</v>
      </c>
      <c r="M11" s="93" t="str">
        <f>IFERROR(VLOOKUP(J11,Database!$A$2:$L$175,9,FALSE),"-")</f>
        <v>-</v>
      </c>
      <c r="N11" s="209" t="str">
        <f>IFERROR(VLOOKUP(J11,Database!$A$2:$S$175,19,FALSE),"-")</f>
        <v>-</v>
      </c>
      <c r="O11" s="96" t="str">
        <f>IF(AND(D11="Y",booking!L11&lt;&gt;booking!M11,booking!M11&gt;0),booking!M11,"-")</f>
        <v>-</v>
      </c>
      <c r="P11" s="78" t="str">
        <f>IFERROR(VLOOKUP(O11,Database!$A$2:$L$175,8,FALSE),"-")</f>
        <v>-</v>
      </c>
      <c r="Q11" s="78" t="str">
        <f>IFERROR(VLOOKUP(O11,Database!$A$2:$L$175,6,FALSE),"-")</f>
        <v>-</v>
      </c>
      <c r="R11" s="82" t="str">
        <f>IFERROR(VLOOKUP(O11,Database!$A$2:$L$175,9,FALSE),"-")</f>
        <v>-</v>
      </c>
      <c r="S11" s="209" t="str">
        <f>IFERROR(VLOOKUP(O11,Database!$A$2:$S$175,19,FALSE),"-")</f>
        <v>-</v>
      </c>
      <c r="T11" s="97" t="str">
        <f>IF(AND(D11="Y",booking!P11&lt;&gt;booking!Q11,booking!Q11&gt;0),booking!Q11,"-")</f>
        <v>-</v>
      </c>
      <c r="U11" s="78" t="str">
        <f>IFERROR(VLOOKUP(T11,Database!$A$2:$L$175,8,FALSE),"-")</f>
        <v>-</v>
      </c>
      <c r="V11" s="78" t="str">
        <f>IFERROR(VLOOKUP(T11,Database!$A$2:$L$175,6,FALSE),"-")</f>
        <v>-</v>
      </c>
      <c r="W11" s="82" t="str">
        <f>IFERROR(VLOOKUP(T11,Database!$A$2:$L$175,9,FALSE),"-")</f>
        <v>-</v>
      </c>
      <c r="X11" s="209" t="str">
        <f>IFERROR(VLOOKUP(T11,Database!$A$2:$S$175,19,FALSE),"-")</f>
        <v>-</v>
      </c>
      <c r="Y11" s="96" t="str">
        <f>IF(AND(D11="Y",booking!T11&lt;&gt;booking!U11,booking!U11&gt;0),booking!U11,"-")</f>
        <v>-</v>
      </c>
      <c r="Z11" s="79" t="str">
        <f>IFERROR(VLOOKUP(Y11,Database!$A$2:$L$175,8,FALSE),"-")</f>
        <v>-</v>
      </c>
      <c r="AA11" s="79" t="str">
        <f>IFERROR(VLOOKUP(Y11,Database!$A$2:$L$175,6,FALSE),"-")</f>
        <v>-</v>
      </c>
      <c r="AB11" s="92" t="str">
        <f>IFERROR(VLOOKUP(Y11,Database!$A$2:$L$175,9,FALSE),"-")</f>
        <v>-</v>
      </c>
      <c r="AC11" s="8" t="str">
        <f>IFERROR(VLOOKUP(Y11,Database!$A$2:$S$175,19,FALSE),"-")</f>
        <v>-</v>
      </c>
    </row>
    <row r="12" spans="1:29" ht="15" customHeight="1" thickBot="1" x14ac:dyDescent="0.4">
      <c r="A12" s="88" t="str">
        <f>rengoering!A12</f>
        <v>torsdag</v>
      </c>
      <c r="B12" s="86">
        <v>46149</v>
      </c>
      <c r="C12" s="9"/>
      <c r="D12" s="89" t="str">
        <f>IF(booking!AB12&gt;0,"Y","-")</f>
        <v>Y</v>
      </c>
      <c r="E12" s="95" t="str">
        <f>IF(AND(D12="Y",booking!D12&lt;&gt;booking!E12,booking!E12&gt;0),booking!E12,"-")</f>
        <v>-</v>
      </c>
      <c r="F12" s="8" t="str">
        <f>IFERROR(VLOOKUP(E12,Database!$A$2:$L$175,8,FALSE),"-")</f>
        <v>-</v>
      </c>
      <c r="G12" s="78" t="str">
        <f>IFERROR(VLOOKUP(E12,Database!$A$2:$L$175,6,FALSE),"-")</f>
        <v>-</v>
      </c>
      <c r="H12" s="93" t="str">
        <f>IFERROR(VLOOKUP(E12,Database!$A$2:$L$175,9,FALSE),"-")</f>
        <v>-</v>
      </c>
      <c r="I12" s="112"/>
      <c r="J12" s="96">
        <f>IF(AND(D12="Y",booking!H12&lt;&gt;booking!I12,booking!I12&gt;0),booking!I12,"-")</f>
        <v>80</v>
      </c>
      <c r="K12" s="78">
        <f>IFERROR(VLOOKUP(J12,Database!$A$2:$L$175,8,FALSE),"-")</f>
        <v>0</v>
      </c>
      <c r="L12" s="78" t="str">
        <f>IFERROR(VLOOKUP(J12,Database!$A$2:$L$175,6,FALSE),"-")</f>
        <v>DK</v>
      </c>
      <c r="M12" s="93" t="str">
        <f>IFERROR(VLOOKUP(J12,Database!$A$2:$L$175,9,FALSE),"-")</f>
        <v>db</v>
      </c>
      <c r="N12" s="209" t="str">
        <f>IFERROR(VLOOKUP(J12,Database!$A$2:$S$175,19,FALSE),"-")</f>
        <v>Y</v>
      </c>
      <c r="O12" s="96">
        <f>IF(AND(D12="Y",booking!L12&lt;&gt;booking!M12,booking!M12&gt;0),booking!M12,"-")</f>
        <v>80</v>
      </c>
      <c r="P12" s="78">
        <f>IFERROR(VLOOKUP(O12,Database!$A$2:$L$175,8,FALSE),"-")</f>
        <v>0</v>
      </c>
      <c r="Q12" s="78" t="str">
        <f>IFERROR(VLOOKUP(O12,Database!$A$2:$L$175,6,FALSE),"-")</f>
        <v>DK</v>
      </c>
      <c r="R12" s="82" t="str">
        <f>IFERROR(VLOOKUP(O12,Database!$A$2:$L$175,9,FALSE),"-")</f>
        <v>db</v>
      </c>
      <c r="S12" s="209" t="str">
        <f>IFERROR(VLOOKUP(O12,Database!$A$2:$S$175,19,FALSE),"-")</f>
        <v>Y</v>
      </c>
      <c r="T12" s="97" t="str">
        <f>IF(AND(D12="Y",booking!P12&lt;&gt;booking!Q12,booking!Q12&gt;0),booking!Q12,"-")</f>
        <v>-</v>
      </c>
      <c r="U12" s="78" t="str">
        <f>IFERROR(VLOOKUP(T12,Database!$A$2:$L$175,8,FALSE),"-")</f>
        <v>-</v>
      </c>
      <c r="V12" s="78" t="str">
        <f>IFERROR(VLOOKUP(T12,Database!$A$2:$L$175,6,FALSE),"-")</f>
        <v>-</v>
      </c>
      <c r="W12" s="82" t="str">
        <f>IFERROR(VLOOKUP(T12,Database!$A$2:$L$175,9,FALSE),"-")</f>
        <v>-</v>
      </c>
      <c r="X12" s="209" t="str">
        <f>IFERROR(VLOOKUP(T12,Database!$A$2:$S$175,19,FALSE),"-")</f>
        <v>-</v>
      </c>
      <c r="Y12" s="96" t="str">
        <f>IF(AND(D12="Y",booking!T12&lt;&gt;booking!U12,booking!U12&gt;0),booking!U12,"-")</f>
        <v>-</v>
      </c>
      <c r="Z12" s="79" t="str">
        <f>IFERROR(VLOOKUP(Y12,Database!$A$2:$L$175,8,FALSE),"-")</f>
        <v>-</v>
      </c>
      <c r="AA12" s="79" t="str">
        <f>IFERROR(VLOOKUP(Y12,Database!$A$2:$L$175,6,FALSE),"-")</f>
        <v>-</v>
      </c>
      <c r="AB12" s="92" t="str">
        <f>IFERROR(VLOOKUP(Y12,Database!$A$2:$L$175,9,FALSE),"-")</f>
        <v>-</v>
      </c>
      <c r="AC12" s="8" t="str">
        <f>IFERROR(VLOOKUP(Y12,Database!$A$2:$S$175,19,FALSE),"-")</f>
        <v>-</v>
      </c>
    </row>
    <row r="13" spans="1:29" ht="15" customHeight="1" thickBot="1" x14ac:dyDescent="0.4">
      <c r="A13" s="88" t="str">
        <f>rengoering!A13</f>
        <v>fredag</v>
      </c>
      <c r="B13" s="84">
        <v>46150</v>
      </c>
      <c r="C13" s="9"/>
      <c r="D13" s="89" t="str">
        <f>IF(booking!AB13&gt;0,"Y","-")</f>
        <v>-</v>
      </c>
      <c r="E13" s="95" t="str">
        <f>IF(AND(D13="Y",booking!D13&lt;&gt;booking!E13,booking!E13&gt;0),booking!E13,"-")</f>
        <v>-</v>
      </c>
      <c r="F13" s="8" t="str">
        <f>IFERROR(VLOOKUP(E13,Database!$A$2:$L$175,8,FALSE),"-")</f>
        <v>-</v>
      </c>
      <c r="G13" s="78" t="str">
        <f>IFERROR(VLOOKUP(E13,Database!$A$2:$L$175,6,FALSE),"-")</f>
        <v>-</v>
      </c>
      <c r="H13" s="93" t="str">
        <f>IFERROR(VLOOKUP(E13,Database!$A$2:$L$175,9,FALSE),"-")</f>
        <v>-</v>
      </c>
      <c r="I13" s="112"/>
      <c r="J13" s="96" t="str">
        <f>IF(AND(D13="Y",booking!H13&lt;&gt;booking!I13,booking!I13&gt;0),booking!I13,"-")</f>
        <v>-</v>
      </c>
      <c r="K13" s="78" t="str">
        <f>IFERROR(VLOOKUP(J13,Database!$A$2:$L$175,8,FALSE),"-")</f>
        <v>-</v>
      </c>
      <c r="L13" s="78" t="str">
        <f>IFERROR(VLOOKUP(J13,Database!$A$2:$L$175,6,FALSE),"-")</f>
        <v>-</v>
      </c>
      <c r="M13" s="93" t="str">
        <f>IFERROR(VLOOKUP(J13,Database!$A$2:$L$175,9,FALSE),"-")</f>
        <v>-</v>
      </c>
      <c r="N13" s="209" t="str">
        <f>IFERROR(VLOOKUP(J13,Database!$A$2:$S$175,19,FALSE),"-")</f>
        <v>-</v>
      </c>
      <c r="O13" s="96" t="str">
        <f>IF(AND(D13="Y",booking!L13&lt;&gt;booking!M13,booking!M13&gt;0),booking!M13,"-")</f>
        <v>-</v>
      </c>
      <c r="P13" s="78" t="str">
        <f>IFERROR(VLOOKUP(O13,Database!$A$2:$L$175,8,FALSE),"-")</f>
        <v>-</v>
      </c>
      <c r="Q13" s="78" t="str">
        <f>IFERROR(VLOOKUP(O13,Database!$A$2:$L$175,6,FALSE),"-")</f>
        <v>-</v>
      </c>
      <c r="R13" s="82" t="str">
        <f>IFERROR(VLOOKUP(O13,Database!$A$2:$L$175,9,FALSE),"-")</f>
        <v>-</v>
      </c>
      <c r="S13" s="209" t="str">
        <f>IFERROR(VLOOKUP(O13,Database!$A$2:$S$175,19,FALSE),"-")</f>
        <v>-</v>
      </c>
      <c r="T13" s="97" t="str">
        <f>IF(AND(D13="Y",booking!P13&lt;&gt;booking!Q13,booking!Q13&gt;0),booking!Q13,"-")</f>
        <v>-</v>
      </c>
      <c r="U13" s="78" t="str">
        <f>IFERROR(VLOOKUP(T13,Database!$A$2:$L$175,8,FALSE),"-")</f>
        <v>-</v>
      </c>
      <c r="V13" s="78" t="str">
        <f>IFERROR(VLOOKUP(T13,Database!$A$2:$L$175,6,FALSE),"-")</f>
        <v>-</v>
      </c>
      <c r="W13" s="82" t="str">
        <f>IFERROR(VLOOKUP(T13,Database!$A$2:$L$175,9,FALSE),"-")</f>
        <v>-</v>
      </c>
      <c r="X13" s="209" t="str">
        <f>IFERROR(VLOOKUP(T13,Database!$A$2:$S$175,19,FALSE),"-")</f>
        <v>-</v>
      </c>
      <c r="Y13" s="96" t="str">
        <f>IF(AND(D13="Y",booking!T13&lt;&gt;booking!U13,booking!U13&gt;0),booking!U13,"-")</f>
        <v>-</v>
      </c>
      <c r="Z13" s="79" t="str">
        <f>IFERROR(VLOOKUP(Y13,Database!$A$2:$L$175,8,FALSE),"-")</f>
        <v>-</v>
      </c>
      <c r="AA13" s="79" t="str">
        <f>IFERROR(VLOOKUP(Y13,Database!$A$2:$L$175,6,FALSE),"-")</f>
        <v>-</v>
      </c>
      <c r="AB13" s="92" t="str">
        <f>IFERROR(VLOOKUP(Y13,Database!$A$2:$L$175,9,FALSE),"-")</f>
        <v>-</v>
      </c>
      <c r="AC13" s="8" t="str">
        <f>IFERROR(VLOOKUP(Y13,Database!$A$2:$S$175,19,FALSE),"-")</f>
        <v>-</v>
      </c>
    </row>
    <row r="14" spans="1:29" ht="15" customHeight="1" thickBot="1" x14ac:dyDescent="0.4">
      <c r="A14" s="88" t="str">
        <f>rengoering!A14</f>
        <v>lørdag</v>
      </c>
      <c r="B14" s="86">
        <v>46151</v>
      </c>
      <c r="C14" s="9"/>
      <c r="D14" s="89" t="str">
        <f>IF(booking!AB14&gt;0,"Y","-")</f>
        <v>-</v>
      </c>
      <c r="E14" s="95" t="str">
        <f>IF(AND(D14="Y",booking!D14&lt;&gt;booking!E14,booking!E14&gt;0),booking!E14,"-")</f>
        <v>-</v>
      </c>
      <c r="F14" s="8" t="str">
        <f>IFERROR(VLOOKUP(E14,Database!$A$2:$L$175,8,FALSE),"-")</f>
        <v>-</v>
      </c>
      <c r="G14" s="78" t="str">
        <f>IFERROR(VLOOKUP(E14,Database!$A$2:$L$175,6,FALSE),"-")</f>
        <v>-</v>
      </c>
      <c r="H14" s="93" t="str">
        <f>IFERROR(VLOOKUP(E14,Database!$A$2:$L$175,9,FALSE),"-")</f>
        <v>-</v>
      </c>
      <c r="I14" s="112"/>
      <c r="J14" s="96" t="str">
        <f>IF(AND(D14="Y",booking!H14&lt;&gt;booking!I14,booking!I14&gt;0),booking!I14,"-")</f>
        <v>-</v>
      </c>
      <c r="K14" s="78" t="str">
        <f>IFERROR(VLOOKUP(J14,Database!$A$2:$L$175,8,FALSE),"-")</f>
        <v>-</v>
      </c>
      <c r="L14" s="78" t="str">
        <f>IFERROR(VLOOKUP(J14,Database!$A$2:$L$175,6,FALSE),"-")</f>
        <v>-</v>
      </c>
      <c r="M14" s="93" t="str">
        <f>IFERROR(VLOOKUP(J14,Database!$A$2:$L$175,9,FALSE),"-")</f>
        <v>-</v>
      </c>
      <c r="N14" s="209" t="str">
        <f>IFERROR(VLOOKUP(J14,Database!$A$2:$S$175,19,FALSE),"-")</f>
        <v>-</v>
      </c>
      <c r="O14" s="96" t="str">
        <f>IF(AND(D14="Y",booking!L14&lt;&gt;booking!M14,booking!M14&gt;0),booking!M14,"-")</f>
        <v>-</v>
      </c>
      <c r="P14" s="78" t="str">
        <f>IFERROR(VLOOKUP(O14,Database!$A$2:$L$175,8,FALSE),"-")</f>
        <v>-</v>
      </c>
      <c r="Q14" s="78" t="str">
        <f>IFERROR(VLOOKUP(O14,Database!$A$2:$L$175,6,FALSE),"-")</f>
        <v>-</v>
      </c>
      <c r="R14" s="82" t="str">
        <f>IFERROR(VLOOKUP(O14,Database!$A$2:$L$175,9,FALSE),"-")</f>
        <v>-</v>
      </c>
      <c r="S14" s="209" t="str">
        <f>IFERROR(VLOOKUP(O14,Database!$A$2:$S$175,19,FALSE),"-")</f>
        <v>-</v>
      </c>
      <c r="T14" s="97" t="str">
        <f>IF(AND(D14="Y",booking!P14&lt;&gt;booking!Q14,booking!Q14&gt;0),booking!Q14,"-")</f>
        <v>-</v>
      </c>
      <c r="U14" s="78" t="str">
        <f>IFERROR(VLOOKUP(T14,Database!$A$2:$L$175,8,FALSE),"-")</f>
        <v>-</v>
      </c>
      <c r="V14" s="78" t="str">
        <f>IFERROR(VLOOKUP(T14,Database!$A$2:$L$175,6,FALSE),"-")</f>
        <v>-</v>
      </c>
      <c r="W14" s="82" t="str">
        <f>IFERROR(VLOOKUP(T14,Database!$A$2:$L$175,9,FALSE),"-")</f>
        <v>-</v>
      </c>
      <c r="X14" s="209" t="str">
        <f>IFERROR(VLOOKUP(T14,Database!$A$2:$S$175,19,FALSE),"-")</f>
        <v>-</v>
      </c>
      <c r="Y14" s="96" t="str">
        <f>IF(AND(D14="Y",booking!T14&lt;&gt;booking!U14,booking!U14&gt;0),booking!U14,"-")</f>
        <v>-</v>
      </c>
      <c r="Z14" s="79" t="str">
        <f>IFERROR(VLOOKUP(Y14,Database!$A$2:$L$175,8,FALSE),"-")</f>
        <v>-</v>
      </c>
      <c r="AA14" s="79" t="str">
        <f>IFERROR(VLOOKUP(Y14,Database!$A$2:$L$175,6,FALSE),"-")</f>
        <v>-</v>
      </c>
      <c r="AB14" s="92" t="str">
        <f>IFERROR(VLOOKUP(Y14,Database!$A$2:$L$175,9,FALSE),"-")</f>
        <v>-</v>
      </c>
      <c r="AC14" s="8" t="str">
        <f>IFERROR(VLOOKUP(Y14,Database!$A$2:$S$175,19,FALSE),"-")</f>
        <v>-</v>
      </c>
    </row>
    <row r="15" spans="1:29" ht="15" customHeight="1" thickBot="1" x14ac:dyDescent="0.4">
      <c r="A15" s="88" t="str">
        <f>rengoering!A15</f>
        <v>søndag</v>
      </c>
      <c r="B15" s="84">
        <v>46152</v>
      </c>
      <c r="C15" s="9"/>
      <c r="D15" s="89" t="str">
        <f>IF(booking!AB15&gt;0,"Y","-")</f>
        <v>-</v>
      </c>
      <c r="E15" s="95" t="str">
        <f>IF(AND(D15="Y",booking!D15&lt;&gt;booking!E15,booking!E15&gt;0),booking!E15,"-")</f>
        <v>-</v>
      </c>
      <c r="F15" s="8" t="str">
        <f>IFERROR(VLOOKUP(E15,Database!$A$2:$L$175,8,FALSE),"-")</f>
        <v>-</v>
      </c>
      <c r="G15" s="78" t="str">
        <f>IFERROR(VLOOKUP(E15,Database!$A$2:$L$175,6,FALSE),"-")</f>
        <v>-</v>
      </c>
      <c r="H15" s="93" t="str">
        <f>IFERROR(VLOOKUP(E15,Database!$A$2:$L$175,9,FALSE),"-")</f>
        <v>-</v>
      </c>
      <c r="I15" s="112"/>
      <c r="J15" s="96" t="str">
        <f>IF(AND(D15="Y",booking!H15&lt;&gt;booking!I15,booking!I15&gt;0),booking!I15,"-")</f>
        <v>-</v>
      </c>
      <c r="K15" s="78" t="str">
        <f>IFERROR(VLOOKUP(J15,Database!$A$2:$L$175,8,FALSE),"-")</f>
        <v>-</v>
      </c>
      <c r="L15" s="78" t="str">
        <f>IFERROR(VLOOKUP(J15,Database!$A$2:$L$175,6,FALSE),"-")</f>
        <v>-</v>
      </c>
      <c r="M15" s="93" t="str">
        <f>IFERROR(VLOOKUP(J15,Database!$A$2:$L$175,9,FALSE),"-")</f>
        <v>-</v>
      </c>
      <c r="N15" s="209" t="str">
        <f>IFERROR(VLOOKUP(J15,Database!$A$2:$S$175,19,FALSE),"-")</f>
        <v>-</v>
      </c>
      <c r="O15" s="96" t="str">
        <f>IF(AND(D15="Y",booking!L15&lt;&gt;booking!M15,booking!M15&gt;0),booking!M15,"-")</f>
        <v>-</v>
      </c>
      <c r="P15" s="78" t="str">
        <f>IFERROR(VLOOKUP(O15,Database!$A$2:$L$175,8,FALSE),"-")</f>
        <v>-</v>
      </c>
      <c r="Q15" s="78" t="str">
        <f>IFERROR(VLOOKUP(O15,Database!$A$2:$L$175,6,FALSE),"-")</f>
        <v>-</v>
      </c>
      <c r="R15" s="82" t="str">
        <f>IFERROR(VLOOKUP(O15,Database!$A$2:$L$175,9,FALSE),"-")</f>
        <v>-</v>
      </c>
      <c r="S15" s="209" t="str">
        <f>IFERROR(VLOOKUP(O15,Database!$A$2:$S$175,19,FALSE),"-")</f>
        <v>-</v>
      </c>
      <c r="T15" s="97" t="str">
        <f>IF(AND(D15="Y",booking!P15&lt;&gt;booking!Q15,booking!Q15&gt;0),booking!Q15,"-")</f>
        <v>-</v>
      </c>
      <c r="U15" s="78" t="str">
        <f>IFERROR(VLOOKUP(T15,Database!$A$2:$L$175,8,FALSE),"-")</f>
        <v>-</v>
      </c>
      <c r="V15" s="78" t="str">
        <f>IFERROR(VLOOKUP(T15,Database!$A$2:$L$175,6,FALSE),"-")</f>
        <v>-</v>
      </c>
      <c r="W15" s="82" t="str">
        <f>IFERROR(VLOOKUP(T15,Database!$A$2:$L$175,9,FALSE),"-")</f>
        <v>-</v>
      </c>
      <c r="X15" s="209" t="str">
        <f>IFERROR(VLOOKUP(T15,Database!$A$2:$S$175,19,FALSE),"-")</f>
        <v>-</v>
      </c>
      <c r="Y15" s="96" t="str">
        <f>IF(AND(D15="Y",booking!T15&lt;&gt;booking!U15,booking!U15&gt;0),booking!U15,"-")</f>
        <v>-</v>
      </c>
      <c r="Z15" s="79" t="str">
        <f>IFERROR(VLOOKUP(Y15,Database!$A$2:$L$175,8,FALSE),"-")</f>
        <v>-</v>
      </c>
      <c r="AA15" s="79" t="str">
        <f>IFERROR(VLOOKUP(Y15,Database!$A$2:$L$175,6,FALSE),"-")</f>
        <v>-</v>
      </c>
      <c r="AB15" s="92" t="str">
        <f>IFERROR(VLOOKUP(Y15,Database!$A$2:$L$175,9,FALSE),"-")</f>
        <v>-</v>
      </c>
      <c r="AC15" s="8" t="str">
        <f>IFERROR(VLOOKUP(Y15,Database!$A$2:$S$175,19,FALSE),"-")</f>
        <v>-</v>
      </c>
    </row>
    <row r="16" spans="1:29" ht="15" customHeight="1" thickBot="1" x14ac:dyDescent="0.4">
      <c r="A16" s="88" t="str">
        <f>rengoering!A16</f>
        <v>mandag</v>
      </c>
      <c r="B16" s="86">
        <v>46153</v>
      </c>
      <c r="C16" s="9"/>
      <c r="D16" s="89" t="str">
        <f>IF(booking!AB16&gt;0,"Y","-")</f>
        <v>Y</v>
      </c>
      <c r="E16" s="95" t="str">
        <f>IF(AND(D16="Y",booking!D16&lt;&gt;booking!E16,booking!E16&gt;0),booking!E16,"-")</f>
        <v>-</v>
      </c>
      <c r="F16" s="8" t="str">
        <f>IFERROR(VLOOKUP(E16,Database!$A$2:$L$175,8,FALSE),"-")</f>
        <v>-</v>
      </c>
      <c r="G16" s="78" t="str">
        <f>IFERROR(VLOOKUP(E16,Database!$A$2:$L$175,6,FALSE),"-")</f>
        <v>-</v>
      </c>
      <c r="H16" s="93" t="str">
        <f>IFERROR(VLOOKUP(E16,Database!$A$2:$L$175,9,FALSE),"-")</f>
        <v>-</v>
      </c>
      <c r="I16" s="112"/>
      <c r="J16" s="96" t="str">
        <f>IF(AND(D16="Y",booking!H16&lt;&gt;booking!I16,booking!I16&gt;0),booking!I16,"-")</f>
        <v>-</v>
      </c>
      <c r="K16" s="78" t="str">
        <f>IFERROR(VLOOKUP(J16,Database!$A$2:$L$175,8,FALSE),"-")</f>
        <v>-</v>
      </c>
      <c r="L16" s="78" t="str">
        <f>IFERROR(VLOOKUP(J16,Database!$A$2:$L$175,6,FALSE),"-")</f>
        <v>-</v>
      </c>
      <c r="M16" s="93" t="str">
        <f>IFERROR(VLOOKUP(J16,Database!$A$2:$L$175,9,FALSE),"-")</f>
        <v>-</v>
      </c>
      <c r="N16" s="209" t="str">
        <f>IFERROR(VLOOKUP(J16,Database!$A$2:$S$175,19,FALSE),"-")</f>
        <v>-</v>
      </c>
      <c r="O16" s="96" t="str">
        <f>IF(AND(D16="Y",booking!L16&lt;&gt;booking!M16,booking!M16&gt;0),booking!M16,"-")</f>
        <v>-</v>
      </c>
      <c r="P16" s="78" t="str">
        <f>IFERROR(VLOOKUP(O16,Database!$A$2:$L$175,8,FALSE),"-")</f>
        <v>-</v>
      </c>
      <c r="Q16" s="78" t="str">
        <f>IFERROR(VLOOKUP(O16,Database!$A$2:$L$175,6,FALSE),"-")</f>
        <v>-</v>
      </c>
      <c r="R16" s="82" t="str">
        <f>IFERROR(VLOOKUP(O16,Database!$A$2:$L$175,9,FALSE),"-")</f>
        <v>-</v>
      </c>
      <c r="S16" s="209" t="str">
        <f>IFERROR(VLOOKUP(O16,Database!$A$2:$S$175,19,FALSE),"-")</f>
        <v>-</v>
      </c>
      <c r="T16" s="97" t="str">
        <f>IF(AND(D16="Y",booking!P16&lt;&gt;booking!Q16,booking!Q16&gt;0),booking!Q16,"-")</f>
        <v>-</v>
      </c>
      <c r="U16" s="78" t="str">
        <f>IFERROR(VLOOKUP(T16,Database!$A$2:$L$175,8,FALSE),"-")</f>
        <v>-</v>
      </c>
      <c r="V16" s="78" t="str">
        <f>IFERROR(VLOOKUP(T16,Database!$A$2:$L$175,6,FALSE),"-")</f>
        <v>-</v>
      </c>
      <c r="W16" s="82" t="str">
        <f>IFERROR(VLOOKUP(T16,Database!$A$2:$L$175,9,FALSE),"-")</f>
        <v>-</v>
      </c>
      <c r="X16" s="209" t="str">
        <f>IFERROR(VLOOKUP(T16,Database!$A$2:$S$175,19,FALSE),"-")</f>
        <v>-</v>
      </c>
      <c r="Y16" s="96">
        <f>IF(AND(D16="Y",booking!T16&lt;&gt;booking!U16,booking!U16&gt;0),booking!U16,"-")</f>
        <v>63</v>
      </c>
      <c r="Z16" s="79">
        <f>IFERROR(VLOOKUP(Y16,Database!$A$2:$L$175,8,FALSE),"-")</f>
        <v>0</v>
      </c>
      <c r="AA16" s="79" t="str">
        <f>IFERROR(VLOOKUP(Y16,Database!$A$2:$L$175,6,FALSE),"-")</f>
        <v>S</v>
      </c>
      <c r="AB16" s="92">
        <f>IFERROR(VLOOKUP(Y16,Database!$A$2:$L$175,9,FALSE),"-")</f>
        <v>0</v>
      </c>
      <c r="AC16" s="8" t="str">
        <f>IFERROR(VLOOKUP(Y16,Database!$A$2:$S$175,19,FALSE),"-")</f>
        <v>N</v>
      </c>
    </row>
    <row r="17" spans="1:29" ht="15" customHeight="1" thickBot="1" x14ac:dyDescent="0.4">
      <c r="A17" s="88" t="str">
        <f>rengoering!A17</f>
        <v>tirsdag</v>
      </c>
      <c r="B17" s="84">
        <v>46154</v>
      </c>
      <c r="C17" s="9"/>
      <c r="D17" s="89" t="str">
        <f>IF(booking!AB17&gt;0,"Y","-")</f>
        <v>-</v>
      </c>
      <c r="E17" s="95" t="str">
        <f>IF(AND(D17="Y",booking!D17&lt;&gt;booking!E17,booking!E17&gt;0),booking!E17,"-")</f>
        <v>-</v>
      </c>
      <c r="F17" s="8" t="str">
        <f>IFERROR(VLOOKUP(E17,Database!$A$2:$L$175,8,FALSE),"-")</f>
        <v>-</v>
      </c>
      <c r="G17" s="78" t="str">
        <f>IFERROR(VLOOKUP(E17,Database!$A$2:$L$175,6,FALSE),"-")</f>
        <v>-</v>
      </c>
      <c r="H17" s="93" t="str">
        <f>IFERROR(VLOOKUP(E17,Database!$A$2:$L$175,9,FALSE),"-")</f>
        <v>-</v>
      </c>
      <c r="I17" s="112"/>
      <c r="J17" s="96" t="str">
        <f>IF(AND(D17="Y",booking!H17&lt;&gt;booking!I17,booking!I17&gt;0),booking!I17,"-")</f>
        <v>-</v>
      </c>
      <c r="K17" s="78" t="str">
        <f>IFERROR(VLOOKUP(J17,Database!$A$2:$L$175,8,FALSE),"-")</f>
        <v>-</v>
      </c>
      <c r="L17" s="78" t="str">
        <f>IFERROR(VLOOKUP(J17,Database!$A$2:$L$175,6,FALSE),"-")</f>
        <v>-</v>
      </c>
      <c r="M17" s="93" t="str">
        <f>IFERROR(VLOOKUP(J17,Database!$A$2:$L$175,9,FALSE),"-")</f>
        <v>-</v>
      </c>
      <c r="N17" s="209" t="str">
        <f>IFERROR(VLOOKUP(J17,Database!$A$2:$S$175,19,FALSE),"-")</f>
        <v>-</v>
      </c>
      <c r="O17" s="96" t="str">
        <f>IF(AND(D17="Y",booking!L17&lt;&gt;booking!M17,booking!M17&gt;0),booking!M17,"-")</f>
        <v>-</v>
      </c>
      <c r="P17" s="78" t="str">
        <f>IFERROR(VLOOKUP(O17,Database!$A$2:$L$175,8,FALSE),"-")</f>
        <v>-</v>
      </c>
      <c r="Q17" s="78" t="str">
        <f>IFERROR(VLOOKUP(O17,Database!$A$2:$L$175,6,FALSE),"-")</f>
        <v>-</v>
      </c>
      <c r="R17" s="82" t="str">
        <f>IFERROR(VLOOKUP(O17,Database!$A$2:$L$175,9,FALSE),"-")</f>
        <v>-</v>
      </c>
      <c r="S17" s="209" t="str">
        <f>IFERROR(VLOOKUP(O17,Database!$A$2:$S$175,19,FALSE),"-")</f>
        <v>-</v>
      </c>
      <c r="T17" s="97" t="str">
        <f>IF(AND(D17="Y",booking!P17&lt;&gt;booking!Q17,booking!Q17&gt;0),booking!Q17,"-")</f>
        <v>-</v>
      </c>
      <c r="U17" s="78" t="str">
        <f>IFERROR(VLOOKUP(T17,Database!$A$2:$L$175,8,FALSE),"-")</f>
        <v>-</v>
      </c>
      <c r="V17" s="78" t="str">
        <f>IFERROR(VLOOKUP(T17,Database!$A$2:$L$175,6,FALSE),"-")</f>
        <v>-</v>
      </c>
      <c r="W17" s="82" t="str">
        <f>IFERROR(VLOOKUP(T17,Database!$A$2:$L$175,9,FALSE),"-")</f>
        <v>-</v>
      </c>
      <c r="X17" s="209" t="str">
        <f>IFERROR(VLOOKUP(T17,Database!$A$2:$S$175,19,FALSE),"-")</f>
        <v>-</v>
      </c>
      <c r="Y17" s="96" t="str">
        <f>IF(AND(D17="Y",booking!T17&lt;&gt;booking!U17,booking!U17&gt;0),booking!U17,"-")</f>
        <v>-</v>
      </c>
      <c r="Z17" s="79" t="str">
        <f>IFERROR(VLOOKUP(Y17,Database!$A$2:$L$175,8,FALSE),"-")</f>
        <v>-</v>
      </c>
      <c r="AA17" s="79" t="str">
        <f>IFERROR(VLOOKUP(Y17,Database!$A$2:$L$175,6,FALSE),"-")</f>
        <v>-</v>
      </c>
      <c r="AB17" s="92" t="str">
        <f>IFERROR(VLOOKUP(Y17,Database!$A$2:$L$175,9,FALSE),"-")</f>
        <v>-</v>
      </c>
      <c r="AC17" s="8" t="str">
        <f>IFERROR(VLOOKUP(Y17,Database!$A$2:$S$175,19,FALSE),"-")</f>
        <v>-</v>
      </c>
    </row>
    <row r="18" spans="1:29" ht="15" customHeight="1" thickBot="1" x14ac:dyDescent="0.4">
      <c r="A18" s="88" t="str">
        <f>rengoering!A18</f>
        <v>onsdag</v>
      </c>
      <c r="B18" s="86">
        <v>46155</v>
      </c>
      <c r="C18" s="9"/>
      <c r="D18" s="89" t="str">
        <f>IF(booking!AB18&gt;0,"Y","-")</f>
        <v>Y</v>
      </c>
      <c r="E18" s="95">
        <f>IF(AND(D18="Y",booking!D18&lt;&gt;booking!E18,booking!E18&gt;0),booking!E18,"-")</f>
        <v>53</v>
      </c>
      <c r="F18" s="8" t="str">
        <f>IFERROR(VLOOKUP(E18,Database!$A$2:$L$175,8,FALSE),"-")</f>
        <v>1400</v>
      </c>
      <c r="G18" s="78" t="str">
        <f>IFERROR(VLOOKUP(E18,Database!$A$2:$L$175,6,FALSE),"-")</f>
        <v>DK</v>
      </c>
      <c r="H18" s="93" t="str">
        <f>IFERROR(VLOOKUP(E18,Database!$A$2:$L$175,9,FALSE),"-")</f>
        <v>dobb</v>
      </c>
      <c r="I18" s="112"/>
      <c r="J18" s="96" t="str">
        <f>IF(AND(D18="Y",booking!H18&lt;&gt;booking!I18,booking!I18&gt;0),booking!I18,"-")</f>
        <v>-</v>
      </c>
      <c r="K18" s="78" t="str">
        <f>IFERROR(VLOOKUP(J18,Database!$A$2:$L$175,8,FALSE),"-")</f>
        <v>-</v>
      </c>
      <c r="L18" s="78" t="str">
        <f>IFERROR(VLOOKUP(J18,Database!$A$2:$L$175,6,FALSE),"-")</f>
        <v>-</v>
      </c>
      <c r="M18" s="93" t="str">
        <f>IFERROR(VLOOKUP(J18,Database!$A$2:$L$175,9,FALSE),"-")</f>
        <v>-</v>
      </c>
      <c r="N18" s="209" t="str">
        <f>IFERROR(VLOOKUP(J18,Database!$A$2:$S$175,19,FALSE),"-")</f>
        <v>-</v>
      </c>
      <c r="O18" s="96" t="str">
        <f>IF(AND(D18="Y",booking!L18&lt;&gt;booking!M18,booking!M18&gt;0),booking!M18,"-")</f>
        <v>-</v>
      </c>
      <c r="P18" s="78" t="str">
        <f>IFERROR(VLOOKUP(O18,Database!$A$2:$L$175,8,FALSE),"-")</f>
        <v>-</v>
      </c>
      <c r="Q18" s="78" t="str">
        <f>IFERROR(VLOOKUP(O18,Database!$A$2:$L$175,6,FALSE),"-")</f>
        <v>-</v>
      </c>
      <c r="R18" s="82" t="str">
        <f>IFERROR(VLOOKUP(O18,Database!$A$2:$L$175,9,FALSE),"-")</f>
        <v>-</v>
      </c>
      <c r="S18" s="209" t="str">
        <f>IFERROR(VLOOKUP(O18,Database!$A$2:$S$175,19,FALSE),"-")</f>
        <v>-</v>
      </c>
      <c r="T18" s="97" t="str">
        <f>IF(AND(D18="Y",booking!P18&lt;&gt;booking!Q18,booking!Q18&gt;0),booking!Q18,"-")</f>
        <v>-</v>
      </c>
      <c r="U18" s="78" t="str">
        <f>IFERROR(VLOOKUP(T18,Database!$A$2:$L$175,8,FALSE),"-")</f>
        <v>-</v>
      </c>
      <c r="V18" s="78" t="str">
        <f>IFERROR(VLOOKUP(T18,Database!$A$2:$L$175,6,FALSE),"-")</f>
        <v>-</v>
      </c>
      <c r="W18" s="82" t="str">
        <f>IFERROR(VLOOKUP(T18,Database!$A$2:$L$175,9,FALSE),"-")</f>
        <v>-</v>
      </c>
      <c r="X18" s="209" t="str">
        <f>IFERROR(VLOOKUP(T18,Database!$A$2:$S$175,19,FALSE),"-")</f>
        <v>-</v>
      </c>
      <c r="Y18" s="96" t="str">
        <f>IF(AND(D18="Y",booking!T18&lt;&gt;booking!U18,booking!U18&gt;0),booking!U18,"-")</f>
        <v>-</v>
      </c>
      <c r="Z18" s="79" t="str">
        <f>IFERROR(VLOOKUP(Y18,Database!$A$2:$L$175,8,FALSE),"-")</f>
        <v>-</v>
      </c>
      <c r="AA18" s="79" t="str">
        <f>IFERROR(VLOOKUP(Y18,Database!$A$2:$L$175,6,FALSE),"-")</f>
        <v>-</v>
      </c>
      <c r="AB18" s="92" t="str">
        <f>IFERROR(VLOOKUP(Y18,Database!$A$2:$L$175,9,FALSE),"-")</f>
        <v>-</v>
      </c>
      <c r="AC18" s="8" t="str">
        <f>IFERROR(VLOOKUP(Y18,Database!$A$2:$S$175,19,FALSE),"-")</f>
        <v>-</v>
      </c>
    </row>
    <row r="19" spans="1:29" ht="15" customHeight="1" thickBot="1" x14ac:dyDescent="0.4">
      <c r="A19" s="88" t="str">
        <f>rengoering!A19</f>
        <v>torsdag</v>
      </c>
      <c r="B19" s="84">
        <v>46156</v>
      </c>
      <c r="C19" s="9"/>
      <c r="D19" s="89" t="str">
        <f>IF(booking!AB19&gt;0,"Y","-")</f>
        <v>Y</v>
      </c>
      <c r="E19" s="95" t="str">
        <f>IF(AND(D19="Y",booking!D19&lt;&gt;booking!E19,booking!E19&gt;0),booking!E19,"-")</f>
        <v>-</v>
      </c>
      <c r="F19" s="8" t="str">
        <f>IFERROR(VLOOKUP(E19,Database!$A$2:$L$175,8,FALSE),"-")</f>
        <v>-</v>
      </c>
      <c r="G19" s="78" t="str">
        <f>IFERROR(VLOOKUP(E19,Database!$A$2:$L$175,6,FALSE),"-")</f>
        <v>-</v>
      </c>
      <c r="H19" s="93" t="str">
        <f>IFERROR(VLOOKUP(E19,Database!$A$2:$L$175,9,FALSE),"-")</f>
        <v>-</v>
      </c>
      <c r="I19" s="112"/>
      <c r="J19" s="96" t="str">
        <f>IF(AND(D19="Y",booking!H19&lt;&gt;booking!I19,booking!I19&gt;0),booking!I19,"-")</f>
        <v>-</v>
      </c>
      <c r="K19" s="78" t="str">
        <f>IFERROR(VLOOKUP(J19,Database!$A$2:$L$175,8,FALSE),"-")</f>
        <v>-</v>
      </c>
      <c r="L19" s="78" t="str">
        <f>IFERROR(VLOOKUP(J19,Database!$A$2:$L$175,6,FALSE),"-")</f>
        <v>-</v>
      </c>
      <c r="M19" s="93" t="str">
        <f>IFERROR(VLOOKUP(J19,Database!$A$2:$L$175,9,FALSE),"-")</f>
        <v>-</v>
      </c>
      <c r="N19" s="209" t="str">
        <f>IFERROR(VLOOKUP(J19,Database!$A$2:$S$175,19,FALSE),"-")</f>
        <v>-</v>
      </c>
      <c r="O19" s="96">
        <f>IF(AND(D19="Y",booking!L19&lt;&gt;booking!M19,booking!M19&gt;0),booking!M19,"-")</f>
        <v>95</v>
      </c>
      <c r="P19" s="78">
        <f>IFERROR(VLOOKUP(O19,Database!$A$2:$L$175,8,FALSE),"-")</f>
        <v>0</v>
      </c>
      <c r="Q19" s="78" t="str">
        <f>IFERROR(VLOOKUP(O19,Database!$A$2:$L$175,6,FALSE),"-")</f>
        <v>S</v>
      </c>
      <c r="R19" s="82">
        <f>IFERROR(VLOOKUP(O19,Database!$A$2:$L$175,9,FALSE),"-")</f>
        <v>0</v>
      </c>
      <c r="S19" s="209" t="str">
        <f>IFERROR(VLOOKUP(O19,Database!$A$2:$S$175,19,FALSE),"-")</f>
        <v>N</v>
      </c>
      <c r="T19" s="97">
        <f>IF(AND(D19="Y",booking!P19&lt;&gt;booking!Q19,booking!Q19&gt;0),booking!Q19,"-")</f>
        <v>97</v>
      </c>
      <c r="U19" s="78">
        <f>IFERROR(VLOOKUP(T19,Database!$A$2:$L$175,8,FALSE),"-")</f>
        <v>0</v>
      </c>
      <c r="V19" s="78" t="str">
        <f>IFERROR(VLOOKUP(T19,Database!$A$2:$L$175,6,FALSE),"-")</f>
        <v>DK</v>
      </c>
      <c r="W19" s="82">
        <f>IFERROR(VLOOKUP(T19,Database!$A$2:$L$175,9,FALSE),"-")</f>
        <v>0</v>
      </c>
      <c r="X19" s="209" t="str">
        <f>IFERROR(VLOOKUP(T19,Database!$A$2:$S$175,19,FALSE),"-")</f>
        <v>N</v>
      </c>
      <c r="Y19" s="96">
        <f>IF(AND(D19="Y",booking!T19&lt;&gt;booking!U19,booking!U19&gt;0),booking!U19,"-")</f>
        <v>90</v>
      </c>
      <c r="Z19" s="79" t="str">
        <f>IFERROR(VLOOKUP(Y19,Database!$A$2:$L$175,8,FALSE),"-")</f>
        <v>1630</v>
      </c>
      <c r="AA19" s="79" t="str">
        <f>IFERROR(VLOOKUP(Y19,Database!$A$2:$L$175,6,FALSE),"-")</f>
        <v>S</v>
      </c>
      <c r="AB19" s="92" t="str">
        <f>IFERROR(VLOOKUP(Y19,Database!$A$2:$L$175,9,FALSE),"-")</f>
        <v>dobb</v>
      </c>
      <c r="AC19" s="8" t="str">
        <f>IFERROR(VLOOKUP(Y19,Database!$A$2:$S$175,19,FALSE),"-")</f>
        <v>N</v>
      </c>
    </row>
    <row r="20" spans="1:29" ht="15" customHeight="1" thickBot="1" x14ac:dyDescent="0.4">
      <c r="A20" s="88" t="str">
        <f>rengoering!A20</f>
        <v>fredag</v>
      </c>
      <c r="B20" s="86">
        <v>46157</v>
      </c>
      <c r="C20" s="9"/>
      <c r="D20" s="89" t="str">
        <f>IF(booking!AB20&gt;0,"Y","-")</f>
        <v>Y</v>
      </c>
      <c r="E20" s="95" t="str">
        <f>IF(AND(D20="Y",booking!D20&lt;&gt;booking!E20,booking!E20&gt;0),booking!E20,"-")</f>
        <v>-</v>
      </c>
      <c r="F20" s="8" t="str">
        <f>IFERROR(VLOOKUP(E20,Database!$A$2:$L$175,8,FALSE),"-")</f>
        <v>-</v>
      </c>
      <c r="G20" s="78" t="str">
        <f>IFERROR(VLOOKUP(E20,Database!$A$2:$L$175,6,FALSE),"-")</f>
        <v>-</v>
      </c>
      <c r="H20" s="93" t="str">
        <f>IFERROR(VLOOKUP(E20,Database!$A$2:$L$175,9,FALSE),"-")</f>
        <v>-</v>
      </c>
      <c r="I20" s="112"/>
      <c r="J20" s="96">
        <f>IF(AND(D20="Y",booking!H20&lt;&gt;booking!I20,booking!I20&gt;0),booking!I20,"-")</f>
        <v>91</v>
      </c>
      <c r="K20" s="78">
        <f>IFERROR(VLOOKUP(J20,Database!$A$2:$L$175,8,FALSE),"-")</f>
        <v>0</v>
      </c>
      <c r="L20" s="78" t="str">
        <f>IFERROR(VLOOKUP(J20,Database!$A$2:$L$175,6,FALSE),"-")</f>
        <v>DK</v>
      </c>
      <c r="M20" s="93">
        <f>IFERROR(VLOOKUP(J20,Database!$A$2:$L$175,9,FALSE),"-")</f>
        <v>0</v>
      </c>
      <c r="N20" s="209" t="str">
        <f>IFERROR(VLOOKUP(J20,Database!$A$2:$S$175,19,FALSE),"-")</f>
        <v>N</v>
      </c>
      <c r="O20" s="96" t="str">
        <f>IF(AND(D20="Y",booking!L20&lt;&gt;booking!M20,booking!M20&gt;0),booking!M20,"-")</f>
        <v>-</v>
      </c>
      <c r="P20" s="78" t="str">
        <f>IFERROR(VLOOKUP(O20,Database!$A$2:$L$175,8,FALSE),"-")</f>
        <v>-</v>
      </c>
      <c r="Q20" s="78" t="str">
        <f>IFERROR(VLOOKUP(O20,Database!$A$2:$L$175,6,FALSE),"-")</f>
        <v>-</v>
      </c>
      <c r="R20" s="82" t="str">
        <f>IFERROR(VLOOKUP(O20,Database!$A$2:$L$175,9,FALSE),"-")</f>
        <v>-</v>
      </c>
      <c r="S20" s="209" t="str">
        <f>IFERROR(VLOOKUP(O20,Database!$A$2:$S$175,19,FALSE),"-")</f>
        <v>-</v>
      </c>
      <c r="T20" s="97" t="str">
        <f>IF(AND(D20="Y",booking!P20&lt;&gt;booking!Q20,booking!Q20&gt;0),booking!Q20,"-")</f>
        <v>-</v>
      </c>
      <c r="U20" s="78" t="str">
        <f>IFERROR(VLOOKUP(T20,Database!$A$2:$L$175,8,FALSE),"-")</f>
        <v>-</v>
      </c>
      <c r="V20" s="78" t="str">
        <f>IFERROR(VLOOKUP(T20,Database!$A$2:$L$175,6,FALSE),"-")</f>
        <v>-</v>
      </c>
      <c r="W20" s="82" t="str">
        <f>IFERROR(VLOOKUP(T20,Database!$A$2:$L$175,9,FALSE),"-")</f>
        <v>-</v>
      </c>
      <c r="X20" s="209" t="str">
        <f>IFERROR(VLOOKUP(T20,Database!$A$2:$S$175,19,FALSE),"-")</f>
        <v>-</v>
      </c>
      <c r="Y20" s="96" t="str">
        <f>IF(AND(D20="Y",booking!T20&lt;&gt;booking!U20,booking!U20&gt;0),booking!U20,"-")</f>
        <v>-</v>
      </c>
      <c r="Z20" s="79" t="str">
        <f>IFERROR(VLOOKUP(Y20,Database!$A$2:$L$175,8,FALSE),"-")</f>
        <v>-</v>
      </c>
      <c r="AA20" s="79" t="str">
        <f>IFERROR(VLOOKUP(Y20,Database!$A$2:$L$175,6,FALSE),"-")</f>
        <v>-</v>
      </c>
      <c r="AB20" s="92" t="str">
        <f>IFERROR(VLOOKUP(Y20,Database!$A$2:$L$175,9,FALSE),"-")</f>
        <v>-</v>
      </c>
      <c r="AC20" s="8" t="str">
        <f>IFERROR(VLOOKUP(Y20,Database!$A$2:$S$175,19,FALSE),"-")</f>
        <v>-</v>
      </c>
    </row>
    <row r="21" spans="1:29" ht="15" customHeight="1" thickBot="1" x14ac:dyDescent="0.4">
      <c r="A21" s="88" t="str">
        <f>rengoering!A21</f>
        <v>lørdag</v>
      </c>
      <c r="B21" s="84">
        <v>46158</v>
      </c>
      <c r="C21" s="9"/>
      <c r="D21" s="89" t="str">
        <f>IF(booking!AB21&gt;0,"Y","-")</f>
        <v>Y</v>
      </c>
      <c r="E21" s="95">
        <f>IF(AND(D21="Y",booking!D21&lt;&gt;booking!E21,booking!E21&gt;0),booking!E21,"-")</f>
        <v>8</v>
      </c>
      <c r="F21" s="8">
        <f>IFERROR(VLOOKUP(E21,Database!$A$2:$L$175,8,FALSE),"-")</f>
        <v>0</v>
      </c>
      <c r="G21" s="78" t="str">
        <f>IFERROR(VLOOKUP(E21,Database!$A$2:$L$175,6,FALSE),"-")</f>
        <v>D</v>
      </c>
      <c r="H21" s="93">
        <f>IFERROR(VLOOKUP(E21,Database!$A$2:$L$175,9,FALSE),"-")</f>
        <v>0</v>
      </c>
      <c r="I21" s="112"/>
      <c r="J21" s="96" t="str">
        <f>IF(AND(D21="Y",booking!H21&lt;&gt;booking!I21,booking!I21&gt;0),booking!I21,"-")</f>
        <v>-</v>
      </c>
      <c r="K21" s="78" t="str">
        <f>IFERROR(VLOOKUP(J21,Database!$A$2:$L$175,8,FALSE),"-")</f>
        <v>-</v>
      </c>
      <c r="L21" s="78" t="str">
        <f>IFERROR(VLOOKUP(J21,Database!$A$2:$L$175,6,FALSE),"-")</f>
        <v>-</v>
      </c>
      <c r="M21" s="93" t="str">
        <f>IFERROR(VLOOKUP(J21,Database!$A$2:$L$175,9,FALSE),"-")</f>
        <v>-</v>
      </c>
      <c r="N21" s="209" t="str">
        <f>IFERROR(VLOOKUP(J21,Database!$A$2:$S$175,19,FALSE),"-")</f>
        <v>-</v>
      </c>
      <c r="O21" s="96" t="str">
        <f>IF(AND(D21="Y",booking!L21&lt;&gt;booking!M21,booking!M21&gt;0),booking!M21,"-")</f>
        <v>-</v>
      </c>
      <c r="P21" s="78" t="str">
        <f>IFERROR(VLOOKUP(O21,Database!$A$2:$L$175,8,FALSE),"-")</f>
        <v>-</v>
      </c>
      <c r="Q21" s="78" t="str">
        <f>IFERROR(VLOOKUP(O21,Database!$A$2:$L$175,6,FALSE),"-")</f>
        <v>-</v>
      </c>
      <c r="R21" s="82" t="str">
        <f>IFERROR(VLOOKUP(O21,Database!$A$2:$L$175,9,FALSE),"-")</f>
        <v>-</v>
      </c>
      <c r="S21" s="209" t="str">
        <f>IFERROR(VLOOKUP(O21,Database!$A$2:$S$175,19,FALSE),"-")</f>
        <v>-</v>
      </c>
      <c r="T21" s="97" t="str">
        <f>IF(AND(D21="Y",booking!P21&lt;&gt;booking!Q21,booking!Q21&gt;0),booking!Q21,"-")</f>
        <v>-</v>
      </c>
      <c r="U21" s="78" t="str">
        <f>IFERROR(VLOOKUP(T21,Database!$A$2:$L$175,8,FALSE),"-")</f>
        <v>-</v>
      </c>
      <c r="V21" s="78" t="str">
        <f>IFERROR(VLOOKUP(T21,Database!$A$2:$L$175,6,FALSE),"-")</f>
        <v>-</v>
      </c>
      <c r="W21" s="82" t="str">
        <f>IFERROR(VLOOKUP(T21,Database!$A$2:$L$175,9,FALSE),"-")</f>
        <v>-</v>
      </c>
      <c r="X21" s="209" t="str">
        <f>IFERROR(VLOOKUP(T21,Database!$A$2:$S$175,19,FALSE),"-")</f>
        <v>-</v>
      </c>
      <c r="Y21" s="96" t="str">
        <f>IF(AND(D21="Y",booking!T21&lt;&gt;booking!U21,booking!U21&gt;0),booking!U21,"-")</f>
        <v>-</v>
      </c>
      <c r="Z21" s="79" t="str">
        <f>IFERROR(VLOOKUP(Y21,Database!$A$2:$L$175,8,FALSE),"-")</f>
        <v>-</v>
      </c>
      <c r="AA21" s="79" t="str">
        <f>IFERROR(VLOOKUP(Y21,Database!$A$2:$L$175,6,FALSE),"-")</f>
        <v>-</v>
      </c>
      <c r="AB21" s="92" t="str">
        <f>IFERROR(VLOOKUP(Y21,Database!$A$2:$L$175,9,FALSE),"-")</f>
        <v>-</v>
      </c>
      <c r="AC21" s="8" t="str">
        <f>IFERROR(VLOOKUP(Y21,Database!$A$2:$S$175,19,FALSE),"-")</f>
        <v>-</v>
      </c>
    </row>
    <row r="22" spans="1:29" ht="15" customHeight="1" thickBot="1" x14ac:dyDescent="0.4">
      <c r="A22" s="88" t="str">
        <f>rengoering!A22</f>
        <v>søndag</v>
      </c>
      <c r="B22" s="86">
        <v>46159</v>
      </c>
      <c r="C22" s="9"/>
      <c r="D22" s="89" t="str">
        <f>IF(booking!AB22&gt;0,"Y","-")</f>
        <v>Y</v>
      </c>
      <c r="E22" s="95" t="str">
        <f>IF(AND(D22="Y",booking!D22&lt;&gt;booking!E22,booking!E22&gt;0),booking!E22,"-")</f>
        <v>-</v>
      </c>
      <c r="F22" s="8" t="str">
        <f>IFERROR(VLOOKUP(E22,Database!$A$2:$L$175,8,FALSE),"-")</f>
        <v>-</v>
      </c>
      <c r="G22" s="78" t="str">
        <f>IFERROR(VLOOKUP(E22,Database!$A$2:$L$175,6,FALSE),"-")</f>
        <v>-</v>
      </c>
      <c r="H22" s="93" t="str">
        <f>IFERROR(VLOOKUP(E22,Database!$A$2:$L$175,9,FALSE),"-")</f>
        <v>-</v>
      </c>
      <c r="I22" s="112"/>
      <c r="J22" s="96">
        <f>IF(AND(D22="Y",booking!H22&lt;&gt;booking!I22,booking!I22&gt;0),booking!I22,"-")</f>
        <v>108</v>
      </c>
      <c r="K22" s="78">
        <f>IFERROR(VLOOKUP(J22,Database!$A$2:$L$175,8,FALSE),"-")</f>
        <v>0</v>
      </c>
      <c r="L22" s="78" t="str">
        <f>IFERROR(VLOOKUP(J22,Database!$A$2:$L$175,6,FALSE),"-")</f>
        <v>DK</v>
      </c>
      <c r="M22" s="93">
        <f>IFERROR(VLOOKUP(J22,Database!$A$2:$L$175,9,FALSE),"-")</f>
        <v>0</v>
      </c>
      <c r="N22" s="209" t="str">
        <f>IFERROR(VLOOKUP(J22,Database!$A$2:$S$175,19,FALSE),"-")</f>
        <v>N</v>
      </c>
      <c r="O22" s="96" t="str">
        <f>IF(AND(D22="Y",booking!L22&lt;&gt;booking!M22,booking!M22&gt;0),booking!M22,"-")</f>
        <v>-</v>
      </c>
      <c r="P22" s="78" t="str">
        <f>IFERROR(VLOOKUP(O22,Database!$A$2:$L$175,8,FALSE),"-")</f>
        <v>-</v>
      </c>
      <c r="Q22" s="78" t="str">
        <f>IFERROR(VLOOKUP(O22,Database!$A$2:$L$175,6,FALSE),"-")</f>
        <v>-</v>
      </c>
      <c r="R22" s="82" t="str">
        <f>IFERROR(VLOOKUP(O22,Database!$A$2:$L$175,9,FALSE),"-")</f>
        <v>-</v>
      </c>
      <c r="S22" s="209" t="str">
        <f>IFERROR(VLOOKUP(O22,Database!$A$2:$S$175,19,FALSE),"-")</f>
        <v>-</v>
      </c>
      <c r="T22" s="97">
        <f>IF(AND(D22="Y",booking!P22&lt;&gt;booking!Q22,booking!Q22&gt;0),booking!Q22,"-")</f>
        <v>96</v>
      </c>
      <c r="U22" s="78" t="str">
        <f>IFERROR(VLOOKUP(T22,Database!$A$2:$L$175,8,FALSE),"-")</f>
        <v>1700</v>
      </c>
      <c r="V22" s="78" t="str">
        <f>IFERROR(VLOOKUP(T22,Database!$A$2:$L$175,6,FALSE),"-")</f>
        <v>D</v>
      </c>
      <c r="W22" s="82" t="str">
        <f>IFERROR(VLOOKUP(T22,Database!$A$2:$L$175,9,FALSE),"-")</f>
        <v>dobb</v>
      </c>
      <c r="X22" s="209" t="str">
        <f>IFERROR(VLOOKUP(T22,Database!$A$2:$S$175,19,FALSE),"-")</f>
        <v>N</v>
      </c>
      <c r="Y22" s="96">
        <f>IF(AND(D22="Y",booking!T22&lt;&gt;booking!U22,booking!U22&gt;0),booking!U22,"-")</f>
        <v>9</v>
      </c>
      <c r="Z22" s="79">
        <f>IFERROR(VLOOKUP(Y22,Database!$A$2:$L$175,8,FALSE),"-")</f>
        <v>1430</v>
      </c>
      <c r="AA22" s="79" t="str">
        <f>IFERROR(VLOOKUP(Y22,Database!$A$2:$L$175,6,FALSE),"-")</f>
        <v>DK</v>
      </c>
      <c r="AB22" s="92" t="str">
        <f>IFERROR(VLOOKUP(Y22,Database!$A$2:$L$175,9,FALSE),"-")</f>
        <v>dobb</v>
      </c>
      <c r="AC22" s="8" t="str">
        <f>IFERROR(VLOOKUP(Y22,Database!$A$2:$S$175,19,FALSE),"-")</f>
        <v>Y</v>
      </c>
    </row>
    <row r="23" spans="1:29" ht="15" customHeight="1" thickBot="1" x14ac:dyDescent="0.4">
      <c r="A23" s="88" t="str">
        <f>rengoering!A23</f>
        <v>mandag</v>
      </c>
      <c r="B23" s="84">
        <v>46160</v>
      </c>
      <c r="C23" s="9"/>
      <c r="D23" s="89" t="str">
        <f>IF(booking!AB23&gt;0,"Y","-")</f>
        <v>Y</v>
      </c>
      <c r="E23" s="95" t="str">
        <f>IF(AND(D23="Y",booking!D23&lt;&gt;booking!E23,booking!E23&gt;0),booking!E23,"-")</f>
        <v>-</v>
      </c>
      <c r="F23" s="8" t="str">
        <f>IFERROR(VLOOKUP(E23,Database!$A$2:$L$175,8,FALSE),"-")</f>
        <v>-</v>
      </c>
      <c r="G23" s="78" t="str">
        <f>IFERROR(VLOOKUP(E23,Database!$A$2:$L$175,6,FALSE),"-")</f>
        <v>-</v>
      </c>
      <c r="H23" s="93" t="str">
        <f>IFERROR(VLOOKUP(E23,Database!$A$2:$L$175,9,FALSE),"-")</f>
        <v>-</v>
      </c>
      <c r="I23" s="112"/>
      <c r="J23" s="96" t="str">
        <f>IF(AND(D23="Y",booking!H23&lt;&gt;booking!I23,booking!I23&gt;0),booking!I23,"-")</f>
        <v>-</v>
      </c>
      <c r="K23" s="78" t="str">
        <f>IFERROR(VLOOKUP(J23,Database!$A$2:$L$175,8,FALSE),"-")</f>
        <v>-</v>
      </c>
      <c r="L23" s="78" t="str">
        <f>IFERROR(VLOOKUP(J23,Database!$A$2:$L$175,6,FALSE),"-")</f>
        <v>-</v>
      </c>
      <c r="M23" s="93" t="str">
        <f>IFERROR(VLOOKUP(J23,Database!$A$2:$L$175,9,FALSE),"-")</f>
        <v>-</v>
      </c>
      <c r="N23" s="209" t="str">
        <f>IFERROR(VLOOKUP(J23,Database!$A$2:$S$175,19,FALSE),"-")</f>
        <v>-</v>
      </c>
      <c r="O23" s="96">
        <f>IF(AND(D23="Y",booking!L23&lt;&gt;booking!M23,booking!M23&gt;0),booking!M23,"-")</f>
        <v>107</v>
      </c>
      <c r="P23" s="78">
        <f>IFERROR(VLOOKUP(O23,Database!$A$2:$L$175,8,FALSE),"-")</f>
        <v>0</v>
      </c>
      <c r="Q23" s="78" t="str">
        <f>IFERROR(VLOOKUP(O23,Database!$A$2:$L$175,6,FALSE),"-")</f>
        <v>USA</v>
      </c>
      <c r="R23" s="82">
        <f>IFERROR(VLOOKUP(O23,Database!$A$2:$L$175,9,FALSE),"-")</f>
        <v>0</v>
      </c>
      <c r="S23" s="209" t="str">
        <f>IFERROR(VLOOKUP(O23,Database!$A$2:$S$175,19,FALSE),"-")</f>
        <v>N</v>
      </c>
      <c r="T23" s="97" t="str">
        <f>IF(AND(D23="Y",booking!P23&lt;&gt;booking!Q23,booking!Q23&gt;0),booking!Q23,"-")</f>
        <v>-</v>
      </c>
      <c r="U23" s="78" t="str">
        <f>IFERROR(VLOOKUP(T23,Database!$A$2:$L$175,8,FALSE),"-")</f>
        <v>-</v>
      </c>
      <c r="V23" s="78" t="str">
        <f>IFERROR(VLOOKUP(T23,Database!$A$2:$L$175,6,FALSE),"-")</f>
        <v>-</v>
      </c>
      <c r="W23" s="82" t="str">
        <f>IFERROR(VLOOKUP(T23,Database!$A$2:$L$175,9,FALSE),"-")</f>
        <v>-</v>
      </c>
      <c r="X23" s="209" t="str">
        <f>IFERROR(VLOOKUP(T23,Database!$A$2:$S$175,19,FALSE),"-")</f>
        <v>-</v>
      </c>
      <c r="Y23" s="96" t="str">
        <f>IF(AND(D23="Y",booking!T23&lt;&gt;booking!U23,booking!U23&gt;0),booking!U23,"-")</f>
        <v>-</v>
      </c>
      <c r="Z23" s="79" t="str">
        <f>IFERROR(VLOOKUP(Y23,Database!$A$2:$L$175,8,FALSE),"-")</f>
        <v>-</v>
      </c>
      <c r="AA23" s="79" t="str">
        <f>IFERROR(VLOOKUP(Y23,Database!$A$2:$L$175,6,FALSE),"-")</f>
        <v>-</v>
      </c>
      <c r="AB23" s="92" t="str">
        <f>IFERROR(VLOOKUP(Y23,Database!$A$2:$L$175,9,FALSE),"-")</f>
        <v>-</v>
      </c>
      <c r="AC23" s="8" t="str">
        <f>IFERROR(VLOOKUP(Y23,Database!$A$2:$S$175,19,FALSE),"-")</f>
        <v>-</v>
      </c>
    </row>
    <row r="24" spans="1:29" ht="15" customHeight="1" thickBot="1" x14ac:dyDescent="0.4">
      <c r="A24" s="88" t="str">
        <f>rengoering!A24</f>
        <v>tirsdag</v>
      </c>
      <c r="B24" s="86">
        <v>46161</v>
      </c>
      <c r="C24" s="9"/>
      <c r="D24" s="89" t="str">
        <f>IF(booking!AB24&gt;0,"Y","-")</f>
        <v>-</v>
      </c>
      <c r="E24" s="95" t="str">
        <f>IF(AND(D24="Y",booking!D24&lt;&gt;booking!E24,booking!E24&gt;0),booking!E24,"-")</f>
        <v>-</v>
      </c>
      <c r="F24" s="8" t="str">
        <f>IFERROR(VLOOKUP(E24,Database!$A$2:$L$175,8,FALSE),"-")</f>
        <v>-</v>
      </c>
      <c r="G24" s="78" t="str">
        <f>IFERROR(VLOOKUP(E24,Database!$A$2:$L$175,6,FALSE),"-")</f>
        <v>-</v>
      </c>
      <c r="H24" s="93" t="str">
        <f>IFERROR(VLOOKUP(E24,Database!$A$2:$L$175,9,FALSE),"-")</f>
        <v>-</v>
      </c>
      <c r="I24" s="112"/>
      <c r="J24" s="96" t="str">
        <f>IF(AND(D24="Y",booking!H24&lt;&gt;booking!I24,booking!I24&gt;0),booking!I24,"-")</f>
        <v>-</v>
      </c>
      <c r="K24" s="78" t="str">
        <f>IFERROR(VLOOKUP(J24,Database!$A$2:$L$175,8,FALSE),"-")</f>
        <v>-</v>
      </c>
      <c r="L24" s="78" t="str">
        <f>IFERROR(VLOOKUP(J24,Database!$A$2:$L$175,6,FALSE),"-")</f>
        <v>-</v>
      </c>
      <c r="M24" s="93" t="str">
        <f>IFERROR(VLOOKUP(J24,Database!$A$2:$L$175,9,FALSE),"-")</f>
        <v>-</v>
      </c>
      <c r="N24" s="209" t="str">
        <f>IFERROR(VLOOKUP(J24,Database!$A$2:$S$175,19,FALSE),"-")</f>
        <v>-</v>
      </c>
      <c r="O24" s="96" t="str">
        <f>IF(AND(D24="Y",booking!L24&lt;&gt;booking!M24,booking!M24&gt;0),booking!M24,"-")</f>
        <v>-</v>
      </c>
      <c r="P24" s="78" t="str">
        <f>IFERROR(VLOOKUP(O24,Database!$A$2:$L$175,8,FALSE),"-")</f>
        <v>-</v>
      </c>
      <c r="Q24" s="78" t="str">
        <f>IFERROR(VLOOKUP(O24,Database!$A$2:$L$175,6,FALSE),"-")</f>
        <v>-</v>
      </c>
      <c r="R24" s="82" t="str">
        <f>IFERROR(VLOOKUP(O24,Database!$A$2:$L$175,9,FALSE),"-")</f>
        <v>-</v>
      </c>
      <c r="S24" s="209" t="str">
        <f>IFERROR(VLOOKUP(O24,Database!$A$2:$S$175,19,FALSE),"-")</f>
        <v>-</v>
      </c>
      <c r="T24" s="97" t="str">
        <f>IF(AND(D24="Y",booking!P24&lt;&gt;booking!Q24,booking!Q24&gt;0),booking!Q24,"-")</f>
        <v>-</v>
      </c>
      <c r="U24" s="78" t="str">
        <f>IFERROR(VLOOKUP(T24,Database!$A$2:$L$175,8,FALSE),"-")</f>
        <v>-</v>
      </c>
      <c r="V24" s="78" t="str">
        <f>IFERROR(VLOOKUP(T24,Database!$A$2:$L$175,6,FALSE),"-")</f>
        <v>-</v>
      </c>
      <c r="W24" s="82" t="str">
        <f>IFERROR(VLOOKUP(T24,Database!$A$2:$L$175,9,FALSE),"-")</f>
        <v>-</v>
      </c>
      <c r="X24" s="209" t="str">
        <f>IFERROR(VLOOKUP(T24,Database!$A$2:$S$175,19,FALSE),"-")</f>
        <v>-</v>
      </c>
      <c r="Y24" s="96" t="str">
        <f>IF(AND(D24="Y",booking!T24&lt;&gt;booking!U24,booking!U24&gt;0),booking!U24,"-")</f>
        <v>-</v>
      </c>
      <c r="Z24" s="79" t="str">
        <f>IFERROR(VLOOKUP(Y24,Database!$A$2:$L$175,8,FALSE),"-")</f>
        <v>-</v>
      </c>
      <c r="AA24" s="79" t="str">
        <f>IFERROR(VLOOKUP(Y24,Database!$A$2:$L$175,6,FALSE),"-")</f>
        <v>-</v>
      </c>
      <c r="AB24" s="92" t="str">
        <f>IFERROR(VLOOKUP(Y24,Database!$A$2:$L$175,9,FALSE),"-")</f>
        <v>-</v>
      </c>
      <c r="AC24" s="8" t="str">
        <f>IFERROR(VLOOKUP(Y24,Database!$A$2:$S$175,19,FALSE),"-")</f>
        <v>-</v>
      </c>
    </row>
    <row r="25" spans="1:29" ht="15" customHeight="1" thickBot="1" x14ac:dyDescent="0.4">
      <c r="A25" s="88" t="str">
        <f>rengoering!A25</f>
        <v>onsdag</v>
      </c>
      <c r="B25" s="84">
        <v>46162</v>
      </c>
      <c r="C25" s="9"/>
      <c r="D25" s="89" t="str">
        <f>IF(booking!AB25&gt;0,"Y","-")</f>
        <v>-</v>
      </c>
      <c r="E25" s="95" t="str">
        <f>IF(AND(D25="Y",booking!D25&lt;&gt;booking!E25,booking!E25&gt;0),booking!E25,"-")</f>
        <v>-</v>
      </c>
      <c r="F25" s="8" t="str">
        <f>IFERROR(VLOOKUP(E25,Database!$A$2:$L$175,8,FALSE),"-")</f>
        <v>-</v>
      </c>
      <c r="G25" s="78" t="str">
        <f>IFERROR(VLOOKUP(E25,Database!$A$2:$L$175,6,FALSE),"-")</f>
        <v>-</v>
      </c>
      <c r="H25" s="93" t="str">
        <f>IFERROR(VLOOKUP(E25,Database!$A$2:$L$175,9,FALSE),"-")</f>
        <v>-</v>
      </c>
      <c r="I25" s="112"/>
      <c r="J25" s="96" t="str">
        <f>IF(AND(D25="Y",booking!H25&lt;&gt;booking!I25,booking!I25&gt;0),booking!I25,"-")</f>
        <v>-</v>
      </c>
      <c r="K25" s="78" t="str">
        <f>IFERROR(VLOOKUP(J25,Database!$A$2:$L$175,8,FALSE),"-")</f>
        <v>-</v>
      </c>
      <c r="L25" s="78" t="str">
        <f>IFERROR(VLOOKUP(J25,Database!$A$2:$L$175,6,FALSE),"-")</f>
        <v>-</v>
      </c>
      <c r="M25" s="93" t="str">
        <f>IFERROR(VLOOKUP(J25,Database!$A$2:$L$175,9,FALSE),"-")</f>
        <v>-</v>
      </c>
      <c r="N25" s="209" t="str">
        <f>IFERROR(VLOOKUP(J25,Database!$A$2:$S$175,19,FALSE),"-")</f>
        <v>-</v>
      </c>
      <c r="O25" s="96" t="str">
        <f>IF(AND(D25="Y",booking!L25&lt;&gt;booking!M25,booking!M25&gt;0),booking!M25,"-")</f>
        <v>-</v>
      </c>
      <c r="P25" s="78" t="str">
        <f>IFERROR(VLOOKUP(O25,Database!$A$2:$L$175,8,FALSE),"-")</f>
        <v>-</v>
      </c>
      <c r="Q25" s="78" t="str">
        <f>IFERROR(VLOOKUP(O25,Database!$A$2:$L$175,6,FALSE),"-")</f>
        <v>-</v>
      </c>
      <c r="R25" s="82" t="str">
        <f>IFERROR(VLOOKUP(O25,Database!$A$2:$L$175,9,FALSE),"-")</f>
        <v>-</v>
      </c>
      <c r="S25" s="209" t="str">
        <f>IFERROR(VLOOKUP(O25,Database!$A$2:$S$175,19,FALSE),"-")</f>
        <v>-</v>
      </c>
      <c r="T25" s="97" t="str">
        <f>IF(AND(D25="Y",booking!P25&lt;&gt;booking!Q25,booking!Q25&gt;0),booking!Q25,"-")</f>
        <v>-</v>
      </c>
      <c r="U25" s="78" t="str">
        <f>IFERROR(VLOOKUP(T25,Database!$A$2:$L$175,8,FALSE),"-")</f>
        <v>-</v>
      </c>
      <c r="V25" s="78" t="str">
        <f>IFERROR(VLOOKUP(T25,Database!$A$2:$L$175,6,FALSE),"-")</f>
        <v>-</v>
      </c>
      <c r="W25" s="82" t="str">
        <f>IFERROR(VLOOKUP(T25,Database!$A$2:$L$175,9,FALSE),"-")</f>
        <v>-</v>
      </c>
      <c r="X25" s="209" t="str">
        <f>IFERROR(VLOOKUP(T25,Database!$A$2:$S$175,19,FALSE),"-")</f>
        <v>-</v>
      </c>
      <c r="Y25" s="96" t="str">
        <f>IF(AND(D25="Y",booking!T25&lt;&gt;booking!U25,booking!U25&gt;0),booking!U25,"-")</f>
        <v>-</v>
      </c>
      <c r="Z25" s="79" t="str">
        <f>IFERROR(VLOOKUP(Y25,Database!$A$2:$L$175,8,FALSE),"-")</f>
        <v>-</v>
      </c>
      <c r="AA25" s="79" t="str">
        <f>IFERROR(VLOOKUP(Y25,Database!$A$2:$L$175,6,FALSE),"-")</f>
        <v>-</v>
      </c>
      <c r="AB25" s="92" t="str">
        <f>IFERROR(VLOOKUP(Y25,Database!$A$2:$L$175,9,FALSE),"-")</f>
        <v>-</v>
      </c>
      <c r="AC25" s="8" t="str">
        <f>IFERROR(VLOOKUP(Y25,Database!$A$2:$S$175,19,FALSE),"-")</f>
        <v>-</v>
      </c>
    </row>
    <row r="26" spans="1:29" ht="15" customHeight="1" thickBot="1" x14ac:dyDescent="0.4">
      <c r="A26" s="88" t="str">
        <f>rengoering!A26</f>
        <v>torsdag</v>
      </c>
      <c r="B26" s="86">
        <v>46163</v>
      </c>
      <c r="C26" s="9"/>
      <c r="D26" s="89" t="str">
        <f>IF(booking!AB26&gt;0,"Y","-")</f>
        <v>Y</v>
      </c>
      <c r="E26" s="95">
        <f>IF(AND(D26="Y",booking!D26&lt;&gt;booking!E26,booking!E26&gt;0),booking!E26,"-")</f>
        <v>20</v>
      </c>
      <c r="F26" s="8">
        <f>IFERROR(VLOOKUP(E26,Database!$A$2:$L$175,8,FALSE),"-")</f>
        <v>0</v>
      </c>
      <c r="G26" s="78" t="str">
        <f>IFERROR(VLOOKUP(E26,Database!$A$2:$L$175,6,FALSE),"-")</f>
        <v>DK</v>
      </c>
      <c r="H26" s="93">
        <f>IFERROR(VLOOKUP(E26,Database!$A$2:$L$175,9,FALSE),"-")</f>
        <v>0</v>
      </c>
      <c r="I26" s="112"/>
      <c r="J26" s="96">
        <f>IF(AND(D26="Y",booking!H26&lt;&gt;booking!I26,booking!I26&gt;0),booking!I26,"-")</f>
        <v>20</v>
      </c>
      <c r="K26" s="78">
        <f>IFERROR(VLOOKUP(J26,Database!$A$2:$L$175,8,FALSE),"-")</f>
        <v>0</v>
      </c>
      <c r="L26" s="78" t="str">
        <f>IFERROR(VLOOKUP(J26,Database!$A$2:$L$175,6,FALSE),"-")</f>
        <v>DK</v>
      </c>
      <c r="M26" s="93">
        <f>IFERROR(VLOOKUP(J26,Database!$A$2:$L$175,9,FALSE),"-")</f>
        <v>0</v>
      </c>
      <c r="N26" s="209" t="str">
        <f>IFERROR(VLOOKUP(J26,Database!$A$2:$S$175,19,FALSE),"-")</f>
        <v>YY</v>
      </c>
      <c r="O26" s="96" t="str">
        <f>IF(AND(D26="Y",booking!L26&lt;&gt;booking!M26,booking!M26&gt;0),booking!M26,"-")</f>
        <v>-</v>
      </c>
      <c r="P26" s="78" t="str">
        <f>IFERROR(VLOOKUP(O26,Database!$A$2:$L$175,8,FALSE),"-")</f>
        <v>-</v>
      </c>
      <c r="Q26" s="78" t="str">
        <f>IFERROR(VLOOKUP(O26,Database!$A$2:$L$175,6,FALSE),"-")</f>
        <v>-</v>
      </c>
      <c r="R26" s="82" t="str">
        <f>IFERROR(VLOOKUP(O26,Database!$A$2:$L$175,9,FALSE),"-")</f>
        <v>-</v>
      </c>
      <c r="S26" s="209" t="str">
        <f>IFERROR(VLOOKUP(O26,Database!$A$2:$S$175,19,FALSE),"-")</f>
        <v>-</v>
      </c>
      <c r="T26" s="97">
        <f>IF(AND(D26="Y",booking!P26&lt;&gt;booking!Q26,booking!Q26&gt;0),booking!Q26,"-")</f>
        <v>20</v>
      </c>
      <c r="U26" s="78">
        <f>IFERROR(VLOOKUP(T26,Database!$A$2:$L$175,8,FALSE),"-")</f>
        <v>0</v>
      </c>
      <c r="V26" s="78" t="str">
        <f>IFERROR(VLOOKUP(T26,Database!$A$2:$L$175,6,FALSE),"-")</f>
        <v>DK</v>
      </c>
      <c r="W26" s="82">
        <f>IFERROR(VLOOKUP(T26,Database!$A$2:$L$175,9,FALSE),"-")</f>
        <v>0</v>
      </c>
      <c r="X26" s="209" t="str">
        <f>IFERROR(VLOOKUP(T26,Database!$A$2:$S$175,19,FALSE),"-")</f>
        <v>YY</v>
      </c>
      <c r="Y26" s="96" t="str">
        <f>IF(AND(D26="Y",booking!T26&lt;&gt;booking!U26,booking!U26&gt;0),booking!U26,"-")</f>
        <v>-</v>
      </c>
      <c r="Z26" s="79" t="str">
        <f>IFERROR(VLOOKUP(Y26,Database!$A$2:$L$175,8,FALSE),"-")</f>
        <v>-</v>
      </c>
      <c r="AA26" s="79" t="str">
        <f>IFERROR(VLOOKUP(Y26,Database!$A$2:$L$175,6,FALSE),"-")</f>
        <v>-</v>
      </c>
      <c r="AB26" s="92" t="str">
        <f>IFERROR(VLOOKUP(Y26,Database!$A$2:$L$175,9,FALSE),"-")</f>
        <v>-</v>
      </c>
      <c r="AC26" s="8" t="str">
        <f>IFERROR(VLOOKUP(Y26,Database!$A$2:$S$175,19,FALSE),"-")</f>
        <v>-</v>
      </c>
    </row>
    <row r="27" spans="1:29" ht="15" customHeight="1" thickBot="1" x14ac:dyDescent="0.4">
      <c r="A27" s="88" t="str">
        <f>rengoering!A27</f>
        <v>fredag</v>
      </c>
      <c r="B27" s="84">
        <v>46164</v>
      </c>
      <c r="C27" s="9"/>
      <c r="D27" s="89" t="str">
        <f>IF(booking!AB27&gt;0,"Y","-")</f>
        <v>-</v>
      </c>
      <c r="E27" s="95" t="str">
        <f>IF(AND(D27="Y",booking!D27&lt;&gt;booking!E27,booking!E27&gt;0),booking!E27,"-")</f>
        <v>-</v>
      </c>
      <c r="F27" s="8" t="str">
        <f>IFERROR(VLOOKUP(E27,Database!$A$2:$L$175,8,FALSE),"-")</f>
        <v>-</v>
      </c>
      <c r="G27" s="78" t="str">
        <f>IFERROR(VLOOKUP(E27,Database!$A$2:$L$175,6,FALSE),"-")</f>
        <v>-</v>
      </c>
      <c r="H27" s="93" t="str">
        <f>IFERROR(VLOOKUP(E27,Database!$A$2:$L$175,9,FALSE),"-")</f>
        <v>-</v>
      </c>
      <c r="I27" s="112"/>
      <c r="J27" s="96" t="str">
        <f>IF(AND(D27="Y",booking!H27&lt;&gt;booking!I27,booking!I27&gt;0),booking!I27,"-")</f>
        <v>-</v>
      </c>
      <c r="K27" s="78" t="str">
        <f>IFERROR(VLOOKUP(J27,Database!$A$2:$L$175,8,FALSE),"-")</f>
        <v>-</v>
      </c>
      <c r="L27" s="78" t="str">
        <f>IFERROR(VLOOKUP(J27,Database!$A$2:$L$175,6,FALSE),"-")</f>
        <v>-</v>
      </c>
      <c r="M27" s="93" t="str">
        <f>IFERROR(VLOOKUP(J27,Database!$A$2:$L$175,9,FALSE),"-")</f>
        <v>-</v>
      </c>
      <c r="N27" s="209" t="str">
        <f>IFERROR(VLOOKUP(J27,Database!$A$2:$S$175,19,FALSE),"-")</f>
        <v>-</v>
      </c>
      <c r="O27" s="96" t="str">
        <f>IF(AND(D27="Y",booking!L27&lt;&gt;booking!M27,booking!M27&gt;0),booking!M27,"-")</f>
        <v>-</v>
      </c>
      <c r="P27" s="78" t="str">
        <f>IFERROR(VLOOKUP(O27,Database!$A$2:$L$175,8,FALSE),"-")</f>
        <v>-</v>
      </c>
      <c r="Q27" s="78" t="str">
        <f>IFERROR(VLOOKUP(O27,Database!$A$2:$L$175,6,FALSE),"-")</f>
        <v>-</v>
      </c>
      <c r="R27" s="82" t="str">
        <f>IFERROR(VLOOKUP(O27,Database!$A$2:$L$175,9,FALSE),"-")</f>
        <v>-</v>
      </c>
      <c r="S27" s="209" t="str">
        <f>IFERROR(VLOOKUP(O27,Database!$A$2:$S$175,19,FALSE),"-")</f>
        <v>-</v>
      </c>
      <c r="T27" s="97" t="str">
        <f>IF(AND(D27="Y",booking!P27&lt;&gt;booking!Q27,booking!Q27&gt;0),booking!Q27,"-")</f>
        <v>-</v>
      </c>
      <c r="U27" s="78" t="str">
        <f>IFERROR(VLOOKUP(T27,Database!$A$2:$L$175,8,FALSE),"-")</f>
        <v>-</v>
      </c>
      <c r="V27" s="78" t="str">
        <f>IFERROR(VLOOKUP(T27,Database!$A$2:$L$175,6,FALSE),"-")</f>
        <v>-</v>
      </c>
      <c r="W27" s="82" t="str">
        <f>IFERROR(VLOOKUP(T27,Database!$A$2:$L$175,9,FALSE),"-")</f>
        <v>-</v>
      </c>
      <c r="X27" s="209" t="str">
        <f>IFERROR(VLOOKUP(T27,Database!$A$2:$S$175,19,FALSE),"-")</f>
        <v>-</v>
      </c>
      <c r="Y27" s="96" t="str">
        <f>IF(AND(D27="Y",booking!T27&lt;&gt;booking!U27,booking!U27&gt;0),booking!U27,"-")</f>
        <v>-</v>
      </c>
      <c r="Z27" s="79" t="str">
        <f>IFERROR(VLOOKUP(Y27,Database!$A$2:$L$175,8,FALSE),"-")</f>
        <v>-</v>
      </c>
      <c r="AA27" s="79" t="str">
        <f>IFERROR(VLOOKUP(Y27,Database!$A$2:$L$175,6,FALSE),"-")</f>
        <v>-</v>
      </c>
      <c r="AB27" s="92" t="str">
        <f>IFERROR(VLOOKUP(Y27,Database!$A$2:$L$175,9,FALSE),"-")</f>
        <v>-</v>
      </c>
      <c r="AC27" s="8" t="str">
        <f>IFERROR(VLOOKUP(Y27,Database!$A$2:$S$175,19,FALSE),"-")</f>
        <v>-</v>
      </c>
    </row>
    <row r="28" spans="1:29" ht="15" customHeight="1" thickBot="1" x14ac:dyDescent="0.4">
      <c r="A28" s="88" t="str">
        <f>rengoering!A28</f>
        <v>lørdag</v>
      </c>
      <c r="B28" s="86">
        <v>46165</v>
      </c>
      <c r="C28" s="9"/>
      <c r="D28" s="89" t="str">
        <f>IF(booking!AB28&gt;0,"Y","-")</f>
        <v>-</v>
      </c>
      <c r="E28" s="95" t="str">
        <f>IF(AND(D28="Y",booking!D28&lt;&gt;booking!E28,booking!E28&gt;0),booking!E28,"-")</f>
        <v>-</v>
      </c>
      <c r="F28" s="8" t="str">
        <f>IFERROR(VLOOKUP(E28,Database!$A$2:$L$175,8,FALSE),"-")</f>
        <v>-</v>
      </c>
      <c r="G28" s="78" t="str">
        <f>IFERROR(VLOOKUP(E28,Database!$A$2:$L$175,6,FALSE),"-")</f>
        <v>-</v>
      </c>
      <c r="H28" s="93" t="str">
        <f>IFERROR(VLOOKUP(E28,Database!$A$2:$L$175,9,FALSE),"-")</f>
        <v>-</v>
      </c>
      <c r="I28" s="112"/>
      <c r="J28" s="96" t="str">
        <f>IF(AND(D28="Y",booking!H28&lt;&gt;booking!I28,booking!I28&gt;0),booking!I28,"-")</f>
        <v>-</v>
      </c>
      <c r="K28" s="78" t="str">
        <f>IFERROR(VLOOKUP(J28,Database!$A$2:$L$175,8,FALSE),"-")</f>
        <v>-</v>
      </c>
      <c r="L28" s="78" t="str">
        <f>IFERROR(VLOOKUP(J28,Database!$A$2:$L$175,6,FALSE),"-")</f>
        <v>-</v>
      </c>
      <c r="M28" s="93" t="str">
        <f>IFERROR(VLOOKUP(J28,Database!$A$2:$L$175,9,FALSE),"-")</f>
        <v>-</v>
      </c>
      <c r="N28" s="209" t="str">
        <f>IFERROR(VLOOKUP(J28,Database!$A$2:$S$175,19,FALSE),"-")</f>
        <v>-</v>
      </c>
      <c r="O28" s="96" t="str">
        <f>IF(AND(D28="Y",booking!L28&lt;&gt;booking!M28,booking!M28&gt;0),booking!M28,"-")</f>
        <v>-</v>
      </c>
      <c r="P28" s="78" t="str">
        <f>IFERROR(VLOOKUP(O28,Database!$A$2:$L$175,8,FALSE),"-")</f>
        <v>-</v>
      </c>
      <c r="Q28" s="78" t="str">
        <f>IFERROR(VLOOKUP(O28,Database!$A$2:$L$175,6,FALSE),"-")</f>
        <v>-</v>
      </c>
      <c r="R28" s="82" t="str">
        <f>IFERROR(VLOOKUP(O28,Database!$A$2:$L$175,9,FALSE),"-")</f>
        <v>-</v>
      </c>
      <c r="S28" s="209" t="str">
        <f>IFERROR(VLOOKUP(O28,Database!$A$2:$S$175,19,FALSE),"-")</f>
        <v>-</v>
      </c>
      <c r="T28" s="97" t="str">
        <f>IF(AND(D28="Y",booking!P28&lt;&gt;booking!Q28,booking!Q28&gt;0),booking!Q28,"-")</f>
        <v>-</v>
      </c>
      <c r="U28" s="78" t="str">
        <f>IFERROR(VLOOKUP(T28,Database!$A$2:$L$175,8,FALSE),"-")</f>
        <v>-</v>
      </c>
      <c r="V28" s="78" t="str">
        <f>IFERROR(VLOOKUP(T28,Database!$A$2:$L$175,6,FALSE),"-")</f>
        <v>-</v>
      </c>
      <c r="W28" s="82" t="str">
        <f>IFERROR(VLOOKUP(T28,Database!$A$2:$L$175,9,FALSE),"-")</f>
        <v>-</v>
      </c>
      <c r="X28" s="209" t="str">
        <f>IFERROR(VLOOKUP(T28,Database!$A$2:$S$175,19,FALSE),"-")</f>
        <v>-</v>
      </c>
      <c r="Y28" s="96" t="str">
        <f>IF(AND(D28="Y",booking!T28&lt;&gt;booking!U28,booking!U28&gt;0),booking!U28,"-")</f>
        <v>-</v>
      </c>
      <c r="Z28" s="79" t="str">
        <f>IFERROR(VLOOKUP(Y28,Database!$A$2:$L$175,8,FALSE),"-")</f>
        <v>-</v>
      </c>
      <c r="AA28" s="79" t="str">
        <f>IFERROR(VLOOKUP(Y28,Database!$A$2:$L$175,6,FALSE),"-")</f>
        <v>-</v>
      </c>
      <c r="AB28" s="92" t="str">
        <f>IFERROR(VLOOKUP(Y28,Database!$A$2:$L$175,9,FALSE),"-")</f>
        <v>-</v>
      </c>
      <c r="AC28" s="8" t="str">
        <f>IFERROR(VLOOKUP(Y28,Database!$A$2:$S$175,19,FALSE),"-")</f>
        <v>-</v>
      </c>
    </row>
    <row r="29" spans="1:29" ht="15" customHeight="1" thickBot="1" x14ac:dyDescent="0.4">
      <c r="A29" s="88" t="str">
        <f>rengoering!A29</f>
        <v>søndag</v>
      </c>
      <c r="B29" s="84">
        <v>46166</v>
      </c>
      <c r="C29" s="9"/>
      <c r="D29" s="89" t="str">
        <f>IF(booking!AB29&gt;0,"Y","-")</f>
        <v>-</v>
      </c>
      <c r="E29" s="95" t="str">
        <f>IF(AND(D29="Y",booking!D29&lt;&gt;booking!E29,booking!E29&gt;0),booking!E29,"-")</f>
        <v>-</v>
      </c>
      <c r="F29" s="8" t="str">
        <f>IFERROR(VLOOKUP(E29,Database!$A$2:$L$175,8,FALSE),"-")</f>
        <v>-</v>
      </c>
      <c r="G29" s="78" t="str">
        <f>IFERROR(VLOOKUP(E29,Database!$A$2:$L$175,6,FALSE),"-")</f>
        <v>-</v>
      </c>
      <c r="H29" s="93" t="str">
        <f>IFERROR(VLOOKUP(E29,Database!$A$2:$L$175,9,FALSE),"-")</f>
        <v>-</v>
      </c>
      <c r="I29" s="112"/>
      <c r="J29" s="96" t="str">
        <f>IF(AND(D29="Y",booking!H29&lt;&gt;booking!I29,booking!I29&gt;0),booking!I29,"-")</f>
        <v>-</v>
      </c>
      <c r="K29" s="78" t="str">
        <f>IFERROR(VLOOKUP(J29,Database!$A$2:$L$175,8,FALSE),"-")</f>
        <v>-</v>
      </c>
      <c r="L29" s="78" t="str">
        <f>IFERROR(VLOOKUP(J29,Database!$A$2:$L$175,6,FALSE),"-")</f>
        <v>-</v>
      </c>
      <c r="M29" s="93" t="str">
        <f>IFERROR(VLOOKUP(J29,Database!$A$2:$L$175,9,FALSE),"-")</f>
        <v>-</v>
      </c>
      <c r="N29" s="209" t="str">
        <f>IFERROR(VLOOKUP(J29,Database!$A$2:$S$175,19,FALSE),"-")</f>
        <v>-</v>
      </c>
      <c r="O29" s="96" t="str">
        <f>IF(AND(D29="Y",booking!L29&lt;&gt;booking!M29,booking!M29&gt;0),booking!M29,"-")</f>
        <v>-</v>
      </c>
      <c r="P29" s="78" t="str">
        <f>IFERROR(VLOOKUP(O29,Database!$A$2:$L$175,8,FALSE),"-")</f>
        <v>-</v>
      </c>
      <c r="Q29" s="78" t="str">
        <f>IFERROR(VLOOKUP(O29,Database!$A$2:$L$175,6,FALSE),"-")</f>
        <v>-</v>
      </c>
      <c r="R29" s="82" t="str">
        <f>IFERROR(VLOOKUP(O29,Database!$A$2:$L$175,9,FALSE),"-")</f>
        <v>-</v>
      </c>
      <c r="S29" s="209" t="str">
        <f>IFERROR(VLOOKUP(O29,Database!$A$2:$S$175,19,FALSE),"-")</f>
        <v>-</v>
      </c>
      <c r="T29" s="97" t="str">
        <f>IF(AND(D29="Y",booking!P29&lt;&gt;booking!Q29,booking!Q29&gt;0),booking!Q29,"-")</f>
        <v>-</v>
      </c>
      <c r="U29" s="78" t="str">
        <f>IFERROR(VLOOKUP(T29,Database!$A$2:$L$175,8,FALSE),"-")</f>
        <v>-</v>
      </c>
      <c r="V29" s="78" t="str">
        <f>IFERROR(VLOOKUP(T29,Database!$A$2:$L$175,6,FALSE),"-")</f>
        <v>-</v>
      </c>
      <c r="W29" s="82" t="str">
        <f>IFERROR(VLOOKUP(T29,Database!$A$2:$L$175,9,FALSE),"-")</f>
        <v>-</v>
      </c>
      <c r="X29" s="209" t="str">
        <f>IFERROR(VLOOKUP(T29,Database!$A$2:$S$175,19,FALSE),"-")</f>
        <v>-</v>
      </c>
      <c r="Y29" s="96" t="str">
        <f>IF(AND(D29="Y",booking!T29&lt;&gt;booking!U29,booking!U29&gt;0),booking!U29,"-")</f>
        <v>-</v>
      </c>
      <c r="Z29" s="79" t="str">
        <f>IFERROR(VLOOKUP(Y29,Database!$A$2:$L$175,8,FALSE),"-")</f>
        <v>-</v>
      </c>
      <c r="AA29" s="79" t="str">
        <f>IFERROR(VLOOKUP(Y29,Database!$A$2:$L$175,6,FALSE),"-")</f>
        <v>-</v>
      </c>
      <c r="AB29" s="92" t="str">
        <f>IFERROR(VLOOKUP(Y29,Database!$A$2:$L$175,9,FALSE),"-")</f>
        <v>-</v>
      </c>
      <c r="AC29" s="8" t="str">
        <f>IFERROR(VLOOKUP(Y29,Database!$A$2:$S$175,19,FALSE),"-")</f>
        <v>-</v>
      </c>
    </row>
    <row r="30" spans="1:29" ht="15" customHeight="1" thickBot="1" x14ac:dyDescent="0.4">
      <c r="A30" s="88" t="str">
        <f>rengoering!A30</f>
        <v>mandag</v>
      </c>
      <c r="B30" s="86">
        <v>46167</v>
      </c>
      <c r="C30" s="9"/>
      <c r="D30" s="89" t="str">
        <f>IF(booking!AB30&gt;0,"Y","-")</f>
        <v>-</v>
      </c>
      <c r="E30" s="95" t="str">
        <f>IF(AND(D30="Y",booking!D30&lt;&gt;booking!E30,booking!E30&gt;0),booking!E30,"-")</f>
        <v>-</v>
      </c>
      <c r="F30" s="8" t="str">
        <f>IFERROR(VLOOKUP(E30,Database!$A$2:$L$175,8,FALSE),"-")</f>
        <v>-</v>
      </c>
      <c r="G30" s="78" t="str">
        <f>IFERROR(VLOOKUP(E30,Database!$A$2:$L$175,6,FALSE),"-")</f>
        <v>-</v>
      </c>
      <c r="H30" s="93" t="str">
        <f>IFERROR(VLOOKUP(E30,Database!$A$2:$L$175,9,FALSE),"-")</f>
        <v>-</v>
      </c>
      <c r="I30" s="112"/>
      <c r="J30" s="96" t="str">
        <f>IF(AND(D30="Y",booking!H30&lt;&gt;booking!I30,booking!I30&gt;0),booking!I30,"-")</f>
        <v>-</v>
      </c>
      <c r="K30" s="78" t="str">
        <f>IFERROR(VLOOKUP(J30,Database!$A$2:$L$175,8,FALSE),"-")</f>
        <v>-</v>
      </c>
      <c r="L30" s="78" t="str">
        <f>IFERROR(VLOOKUP(J30,Database!$A$2:$L$175,6,FALSE),"-")</f>
        <v>-</v>
      </c>
      <c r="M30" s="93" t="str">
        <f>IFERROR(VLOOKUP(J30,Database!$A$2:$L$175,9,FALSE),"-")</f>
        <v>-</v>
      </c>
      <c r="N30" s="209" t="str">
        <f>IFERROR(VLOOKUP(J30,Database!$A$2:$S$175,19,FALSE),"-")</f>
        <v>-</v>
      </c>
      <c r="O30" s="96" t="str">
        <f>IF(AND(D30="Y",booking!L30&lt;&gt;booking!M30,booking!M30&gt;0),booking!M30,"-")</f>
        <v>-</v>
      </c>
      <c r="P30" s="78" t="str">
        <f>IFERROR(VLOOKUP(O30,Database!$A$2:$L$175,8,FALSE),"-")</f>
        <v>-</v>
      </c>
      <c r="Q30" s="78" t="str">
        <f>IFERROR(VLOOKUP(O30,Database!$A$2:$L$175,6,FALSE),"-")</f>
        <v>-</v>
      </c>
      <c r="R30" s="82" t="str">
        <f>IFERROR(VLOOKUP(O30,Database!$A$2:$L$175,9,FALSE),"-")</f>
        <v>-</v>
      </c>
      <c r="S30" s="209" t="str">
        <f>IFERROR(VLOOKUP(O30,Database!$A$2:$S$175,19,FALSE),"-")</f>
        <v>-</v>
      </c>
      <c r="T30" s="97" t="str">
        <f>IF(AND(D30="Y",booking!P30&lt;&gt;booking!Q30,booking!Q30&gt;0),booking!Q30,"-")</f>
        <v>-</v>
      </c>
      <c r="U30" s="78" t="str">
        <f>IFERROR(VLOOKUP(T30,Database!$A$2:$L$175,8,FALSE),"-")</f>
        <v>-</v>
      </c>
      <c r="V30" s="78" t="str">
        <f>IFERROR(VLOOKUP(T30,Database!$A$2:$L$175,6,FALSE),"-")</f>
        <v>-</v>
      </c>
      <c r="W30" s="82" t="str">
        <f>IFERROR(VLOOKUP(T30,Database!$A$2:$L$175,9,FALSE),"-")</f>
        <v>-</v>
      </c>
      <c r="X30" s="209" t="str">
        <f>IFERROR(VLOOKUP(T30,Database!$A$2:$S$175,19,FALSE),"-")</f>
        <v>-</v>
      </c>
      <c r="Y30" s="96" t="str">
        <f>IF(AND(D30="Y",booking!T30&lt;&gt;booking!U30,booking!U30&gt;0),booking!U30,"-")</f>
        <v>-</v>
      </c>
      <c r="Z30" s="79" t="str">
        <f>IFERROR(VLOOKUP(Y30,Database!$A$2:$L$175,8,FALSE),"-")</f>
        <v>-</v>
      </c>
      <c r="AA30" s="79" t="str">
        <f>IFERROR(VLOOKUP(Y30,Database!$A$2:$L$175,6,FALSE),"-")</f>
        <v>-</v>
      </c>
      <c r="AB30" s="92" t="str">
        <f>IFERROR(VLOOKUP(Y30,Database!$A$2:$L$175,9,FALSE),"-")</f>
        <v>-</v>
      </c>
      <c r="AC30" s="8" t="str">
        <f>IFERROR(VLOOKUP(Y30,Database!$A$2:$S$175,19,FALSE),"-")</f>
        <v>-</v>
      </c>
    </row>
    <row r="31" spans="1:29" ht="15" customHeight="1" thickBot="1" x14ac:dyDescent="0.4">
      <c r="A31" s="88" t="str">
        <f>rengoering!A31</f>
        <v>tirsdag</v>
      </c>
      <c r="B31" s="84">
        <v>46168</v>
      </c>
      <c r="C31" s="9"/>
      <c r="D31" s="89" t="str">
        <f>IF(booking!AB31&gt;0,"Y","-")</f>
        <v>-</v>
      </c>
      <c r="E31" s="95" t="str">
        <f>IF(AND(D31="Y",booking!D31&lt;&gt;booking!E31,booking!E31&gt;0),booking!E31,"-")</f>
        <v>-</v>
      </c>
      <c r="F31" s="8" t="str">
        <f>IFERROR(VLOOKUP(E31,Database!$A$2:$L$175,8,FALSE),"-")</f>
        <v>-</v>
      </c>
      <c r="G31" s="78" t="str">
        <f>IFERROR(VLOOKUP(E31,Database!$A$2:$L$175,6,FALSE),"-")</f>
        <v>-</v>
      </c>
      <c r="H31" s="93" t="str">
        <f>IFERROR(VLOOKUP(E31,Database!$A$2:$L$175,9,FALSE),"-")</f>
        <v>-</v>
      </c>
      <c r="I31" s="112"/>
      <c r="J31" s="96" t="str">
        <f>IF(AND(D31="Y",booking!H31&lt;&gt;booking!I31,booking!I31&gt;0),booking!I31,"-")</f>
        <v>-</v>
      </c>
      <c r="K31" s="78" t="str">
        <f>IFERROR(VLOOKUP(J31,Database!$A$2:$L$175,8,FALSE),"-")</f>
        <v>-</v>
      </c>
      <c r="L31" s="78" t="str">
        <f>IFERROR(VLOOKUP(J31,Database!$A$2:$L$175,6,FALSE),"-")</f>
        <v>-</v>
      </c>
      <c r="M31" s="93" t="str">
        <f>IFERROR(VLOOKUP(J31,Database!$A$2:$L$175,9,FALSE),"-")</f>
        <v>-</v>
      </c>
      <c r="N31" s="209" t="str">
        <f>IFERROR(VLOOKUP(J31,Database!$A$2:$S$175,19,FALSE),"-")</f>
        <v>-</v>
      </c>
      <c r="O31" s="96" t="str">
        <f>IF(AND(D31="Y",booking!L31&lt;&gt;booking!M31,booking!M31&gt;0),booking!M31,"-")</f>
        <v>-</v>
      </c>
      <c r="P31" s="78" t="str">
        <f>IFERROR(VLOOKUP(O31,Database!$A$2:$L$175,8,FALSE),"-")</f>
        <v>-</v>
      </c>
      <c r="Q31" s="78" t="str">
        <f>IFERROR(VLOOKUP(O31,Database!$A$2:$L$175,6,FALSE),"-")</f>
        <v>-</v>
      </c>
      <c r="R31" s="82" t="str">
        <f>IFERROR(VLOOKUP(O31,Database!$A$2:$L$175,9,FALSE),"-")</f>
        <v>-</v>
      </c>
      <c r="S31" s="209" t="str">
        <f>IFERROR(VLOOKUP(O31,Database!$A$2:$S$175,19,FALSE),"-")</f>
        <v>-</v>
      </c>
      <c r="T31" s="97" t="str">
        <f>IF(AND(D31="Y",booking!P31&lt;&gt;booking!Q31,booking!Q31&gt;0),booking!Q31,"-")</f>
        <v>-</v>
      </c>
      <c r="U31" s="78" t="str">
        <f>IFERROR(VLOOKUP(T31,Database!$A$2:$L$175,8,FALSE),"-")</f>
        <v>-</v>
      </c>
      <c r="V31" s="78" t="str">
        <f>IFERROR(VLOOKUP(T31,Database!$A$2:$L$175,6,FALSE),"-")</f>
        <v>-</v>
      </c>
      <c r="W31" s="82" t="str">
        <f>IFERROR(VLOOKUP(T31,Database!$A$2:$L$175,9,FALSE),"-")</f>
        <v>-</v>
      </c>
      <c r="X31" s="209" t="str">
        <f>IFERROR(VLOOKUP(T31,Database!$A$2:$S$175,19,FALSE),"-")</f>
        <v>-</v>
      </c>
      <c r="Y31" s="96" t="str">
        <f>IF(AND(D31="Y",booking!T31&lt;&gt;booking!U31,booking!U31&gt;0),booking!U31,"-")</f>
        <v>-</v>
      </c>
      <c r="Z31" s="79" t="str">
        <f>IFERROR(VLOOKUP(Y31,Database!$A$2:$L$175,8,FALSE),"-")</f>
        <v>-</v>
      </c>
      <c r="AA31" s="79" t="str">
        <f>IFERROR(VLOOKUP(Y31,Database!$A$2:$L$175,6,FALSE),"-")</f>
        <v>-</v>
      </c>
      <c r="AB31" s="92" t="str">
        <f>IFERROR(VLOOKUP(Y31,Database!$A$2:$L$175,9,FALSE),"-")</f>
        <v>-</v>
      </c>
      <c r="AC31" s="8" t="str">
        <f>IFERROR(VLOOKUP(Y31,Database!$A$2:$S$175,19,FALSE),"-")</f>
        <v>-</v>
      </c>
    </row>
    <row r="32" spans="1:29" ht="15" customHeight="1" thickBot="1" x14ac:dyDescent="0.4">
      <c r="A32" s="88" t="str">
        <f>rengoering!A32</f>
        <v>onsdag</v>
      </c>
      <c r="B32" s="86">
        <v>46169</v>
      </c>
      <c r="C32" s="9"/>
      <c r="D32" s="89" t="str">
        <f>IF(booking!AB32&gt;0,"Y","-")</f>
        <v>Y</v>
      </c>
      <c r="E32" s="95" t="str">
        <f>IF(AND(D32="Y",booking!D32&lt;&gt;booking!E32,booking!E32&gt;0),booking!E32,"-")</f>
        <v>-</v>
      </c>
      <c r="F32" s="8" t="str">
        <f>IFERROR(VLOOKUP(E32,Database!$A$2:$L$175,8,FALSE),"-")</f>
        <v>-</v>
      </c>
      <c r="G32" s="78" t="str">
        <f>IFERROR(VLOOKUP(E32,Database!$A$2:$L$175,6,FALSE),"-")</f>
        <v>-</v>
      </c>
      <c r="H32" s="93" t="str">
        <f>IFERROR(VLOOKUP(E32,Database!$A$2:$L$175,9,FALSE),"-")</f>
        <v>-</v>
      </c>
      <c r="I32" s="112"/>
      <c r="J32" s="96" t="str">
        <f>IF(AND(D32="Y",booking!H32&lt;&gt;booking!I32,booking!I32&gt;0),booking!I32,"-")</f>
        <v>-</v>
      </c>
      <c r="K32" s="78" t="str">
        <f>IFERROR(VLOOKUP(J32,Database!$A$2:$L$175,8,FALSE),"-")</f>
        <v>-</v>
      </c>
      <c r="L32" s="78" t="str">
        <f>IFERROR(VLOOKUP(J32,Database!$A$2:$L$175,6,FALSE),"-")</f>
        <v>-</v>
      </c>
      <c r="M32" s="93" t="str">
        <f>IFERROR(VLOOKUP(J32,Database!$A$2:$L$175,9,FALSE),"-")</f>
        <v>-</v>
      </c>
      <c r="N32" s="209" t="str">
        <f>IFERROR(VLOOKUP(J32,Database!$A$2:$S$175,19,FALSE),"-")</f>
        <v>-</v>
      </c>
      <c r="O32" s="96">
        <f>IF(AND(D32="Y",booking!L32&lt;&gt;booking!M32,booking!M32&gt;0),booking!M32,"-")</f>
        <v>5</v>
      </c>
      <c r="P32" s="78">
        <f>IFERROR(VLOOKUP(O32,Database!$A$2:$L$175,8,FALSE),"-")</f>
        <v>1430</v>
      </c>
      <c r="Q32" s="78" t="str">
        <f>IFERROR(VLOOKUP(O32,Database!$A$2:$L$175,6,FALSE),"-")</f>
        <v>DK</v>
      </c>
      <c r="R32" s="82" t="str">
        <f>IFERROR(VLOOKUP(O32,Database!$A$2:$L$175,9,FALSE),"-")</f>
        <v>dobb</v>
      </c>
      <c r="S32" s="209" t="str">
        <f>IFERROR(VLOOKUP(O32,Database!$A$2:$S$175,19,FALSE),"-")</f>
        <v>N</v>
      </c>
      <c r="T32" s="97" t="str">
        <f>IF(AND(D32="Y",booking!P32&lt;&gt;booking!Q32,booking!Q32&gt;0),booking!Q32,"-")</f>
        <v>-</v>
      </c>
      <c r="U32" s="78" t="str">
        <f>IFERROR(VLOOKUP(T32,Database!$A$2:$L$175,8,FALSE),"-")</f>
        <v>-</v>
      </c>
      <c r="V32" s="78" t="str">
        <f>IFERROR(VLOOKUP(T32,Database!$A$2:$L$175,6,FALSE),"-")</f>
        <v>-</v>
      </c>
      <c r="W32" s="82" t="str">
        <f>IFERROR(VLOOKUP(T32,Database!$A$2:$L$175,9,FALSE),"-")</f>
        <v>-</v>
      </c>
      <c r="X32" s="209" t="str">
        <f>IFERROR(VLOOKUP(T32,Database!$A$2:$S$175,19,FALSE),"-")</f>
        <v>-</v>
      </c>
      <c r="Y32" s="96" t="str">
        <f>IF(AND(D32="Y",booking!T32&lt;&gt;booking!U32,booking!U32&gt;0),booking!U32,"-")</f>
        <v>-</v>
      </c>
      <c r="Z32" s="79" t="str">
        <f>IFERROR(VLOOKUP(Y32,Database!$A$2:$L$175,8,FALSE),"-")</f>
        <v>-</v>
      </c>
      <c r="AA32" s="79" t="str">
        <f>IFERROR(VLOOKUP(Y32,Database!$A$2:$L$175,6,FALSE),"-")</f>
        <v>-</v>
      </c>
      <c r="AB32" s="92" t="str">
        <f>IFERROR(VLOOKUP(Y32,Database!$A$2:$L$175,9,FALSE),"-")</f>
        <v>-</v>
      </c>
      <c r="AC32" s="8" t="str">
        <f>IFERROR(VLOOKUP(Y32,Database!$A$2:$S$175,19,FALSE),"-")</f>
        <v>-</v>
      </c>
    </row>
    <row r="33" spans="1:29" ht="15" customHeight="1" thickBot="1" x14ac:dyDescent="0.4">
      <c r="A33" s="88" t="str">
        <f>rengoering!A33</f>
        <v>torsdag</v>
      </c>
      <c r="B33" s="84">
        <v>46170</v>
      </c>
      <c r="C33" s="9"/>
      <c r="D33" s="89" t="str">
        <f>IF(booking!AB33&gt;0,"Y","-")</f>
        <v>-</v>
      </c>
      <c r="E33" s="95" t="str">
        <f>IF(AND(D33="Y",booking!D33&lt;&gt;booking!E33,booking!E33&gt;0),booking!E33,"-")</f>
        <v>-</v>
      </c>
      <c r="F33" s="8" t="str">
        <f>IFERROR(VLOOKUP(E33,Database!$A$2:$L$175,8,FALSE),"-")</f>
        <v>-</v>
      </c>
      <c r="G33" s="78" t="str">
        <f>IFERROR(VLOOKUP(E33,Database!$A$2:$L$175,6,FALSE),"-")</f>
        <v>-</v>
      </c>
      <c r="H33" s="93" t="str">
        <f>IFERROR(VLOOKUP(E33,Database!$A$2:$L$175,9,FALSE),"-")</f>
        <v>-</v>
      </c>
      <c r="I33" s="112"/>
      <c r="J33" s="96" t="str">
        <f>IF(AND(D33="Y",booking!H33&lt;&gt;booking!I33,booking!I33&gt;0),booking!I33,"-")</f>
        <v>-</v>
      </c>
      <c r="K33" s="78" t="str">
        <f>IFERROR(VLOOKUP(J33,Database!$A$2:$L$175,8,FALSE),"-")</f>
        <v>-</v>
      </c>
      <c r="L33" s="78" t="str">
        <f>IFERROR(VLOOKUP(J33,Database!$A$2:$L$175,6,FALSE),"-")</f>
        <v>-</v>
      </c>
      <c r="M33" s="93" t="str">
        <f>IFERROR(VLOOKUP(J33,Database!$A$2:$L$175,9,FALSE),"-")</f>
        <v>-</v>
      </c>
      <c r="N33" s="209" t="str">
        <f>IFERROR(VLOOKUP(J33,Database!$A$2:$S$175,19,FALSE),"-")</f>
        <v>-</v>
      </c>
      <c r="O33" s="96" t="str">
        <f>IF(AND(D33="Y",booking!L33&lt;&gt;booking!M33,booking!M33&gt;0),booking!M33,"-")</f>
        <v>-</v>
      </c>
      <c r="P33" s="78" t="str">
        <f>IFERROR(VLOOKUP(O33,Database!$A$2:$L$175,8,FALSE),"-")</f>
        <v>-</v>
      </c>
      <c r="Q33" s="78" t="str">
        <f>IFERROR(VLOOKUP(O33,Database!$A$2:$L$175,6,FALSE),"-")</f>
        <v>-</v>
      </c>
      <c r="R33" s="82" t="str">
        <f>IFERROR(VLOOKUP(O33,Database!$A$2:$L$175,9,FALSE),"-")</f>
        <v>-</v>
      </c>
      <c r="S33" s="209" t="str">
        <f>IFERROR(VLOOKUP(O33,Database!$A$2:$S$175,19,FALSE),"-")</f>
        <v>-</v>
      </c>
      <c r="T33" s="97" t="str">
        <f>IF(AND(D33="Y",booking!P33&lt;&gt;booking!Q33,booking!Q33&gt;0),booking!Q33,"-")</f>
        <v>-</v>
      </c>
      <c r="U33" s="78" t="str">
        <f>IFERROR(VLOOKUP(T33,Database!$A$2:$L$175,8,FALSE),"-")</f>
        <v>-</v>
      </c>
      <c r="V33" s="78" t="str">
        <f>IFERROR(VLOOKUP(T33,Database!$A$2:$L$175,6,FALSE),"-")</f>
        <v>-</v>
      </c>
      <c r="W33" s="82" t="str">
        <f>IFERROR(VLOOKUP(T33,Database!$A$2:$L$175,9,FALSE),"-")</f>
        <v>-</v>
      </c>
      <c r="X33" s="209" t="str">
        <f>IFERROR(VLOOKUP(T33,Database!$A$2:$S$175,19,FALSE),"-")</f>
        <v>-</v>
      </c>
      <c r="Y33" s="96" t="str">
        <f>IF(AND(D33="Y",booking!T33&lt;&gt;booking!U33,booking!U33&gt;0),booking!U33,"-")</f>
        <v>-</v>
      </c>
      <c r="Z33" s="79" t="str">
        <f>IFERROR(VLOOKUP(Y33,Database!$A$2:$L$175,8,FALSE),"-")</f>
        <v>-</v>
      </c>
      <c r="AA33" s="79" t="str">
        <f>IFERROR(VLOOKUP(Y33,Database!$A$2:$L$175,6,FALSE),"-")</f>
        <v>-</v>
      </c>
      <c r="AB33" s="92" t="str">
        <f>IFERROR(VLOOKUP(Y33,Database!$A$2:$L$175,9,FALSE),"-")</f>
        <v>-</v>
      </c>
      <c r="AC33" s="8" t="str">
        <f>IFERROR(VLOOKUP(Y33,Database!$A$2:$S$175,19,FALSE),"-")</f>
        <v>-</v>
      </c>
    </row>
    <row r="34" spans="1:29" ht="15" customHeight="1" thickBot="1" x14ac:dyDescent="0.4">
      <c r="A34" s="88" t="str">
        <f>rengoering!A34</f>
        <v>fredag</v>
      </c>
      <c r="B34" s="86">
        <v>46171</v>
      </c>
      <c r="C34" s="9"/>
      <c r="D34" s="89" t="str">
        <f>IF(booking!AB34&gt;0,"Y","-")</f>
        <v>Y</v>
      </c>
      <c r="E34" s="95" t="str">
        <f>IF(AND(D34="Y",booking!D34&lt;&gt;booking!E34,booking!E34&gt;0),booking!E34,"-")</f>
        <v>-</v>
      </c>
      <c r="F34" s="8" t="str">
        <f>IFERROR(VLOOKUP(E34,Database!$A$2:$L$175,8,FALSE),"-")</f>
        <v>-</v>
      </c>
      <c r="G34" s="78" t="str">
        <f>IFERROR(VLOOKUP(E34,Database!$A$2:$L$175,6,FALSE),"-")</f>
        <v>-</v>
      </c>
      <c r="H34" s="93" t="str">
        <f>IFERROR(VLOOKUP(E34,Database!$A$2:$L$175,9,FALSE),"-")</f>
        <v>-</v>
      </c>
      <c r="I34" s="112"/>
      <c r="J34" s="96" t="str">
        <f>IF(AND(D34="Y",booking!H34&lt;&gt;booking!I34,booking!I34&gt;0),booking!I34,"-")</f>
        <v>-</v>
      </c>
      <c r="K34" s="78" t="str">
        <f>IFERROR(VLOOKUP(J34,Database!$A$2:$L$175,8,FALSE),"-")</f>
        <v>-</v>
      </c>
      <c r="L34" s="78" t="str">
        <f>IFERROR(VLOOKUP(J34,Database!$A$2:$L$175,6,FALSE),"-")</f>
        <v>-</v>
      </c>
      <c r="M34" s="93" t="str">
        <f>IFERROR(VLOOKUP(J34,Database!$A$2:$L$175,9,FALSE),"-")</f>
        <v>-</v>
      </c>
      <c r="N34" s="209" t="str">
        <f>IFERROR(VLOOKUP(J34,Database!$A$2:$S$175,19,FALSE),"-")</f>
        <v>-</v>
      </c>
      <c r="O34" s="96" t="str">
        <f>IF(AND(D34="Y",booking!L34&lt;&gt;booking!M34,booking!M34&gt;0),booking!M34,"-")</f>
        <v>-</v>
      </c>
      <c r="P34" s="78" t="str">
        <f>IFERROR(VLOOKUP(O34,Database!$A$2:$L$175,8,FALSE),"-")</f>
        <v>-</v>
      </c>
      <c r="Q34" s="78" t="str">
        <f>IFERROR(VLOOKUP(O34,Database!$A$2:$L$175,6,FALSE),"-")</f>
        <v>-</v>
      </c>
      <c r="R34" s="82" t="str">
        <f>IFERROR(VLOOKUP(O34,Database!$A$2:$L$175,9,FALSE),"-")</f>
        <v>-</v>
      </c>
      <c r="S34" s="209" t="str">
        <f>IFERROR(VLOOKUP(O34,Database!$A$2:$S$175,19,FALSE),"-")</f>
        <v>-</v>
      </c>
      <c r="T34" s="97" t="str">
        <f>IF(AND(D34="Y",booking!P34&lt;&gt;booking!Q34,booking!Q34&gt;0),booking!Q34,"-")</f>
        <v>-</v>
      </c>
      <c r="U34" s="78" t="str">
        <f>IFERROR(VLOOKUP(T34,Database!$A$2:$L$175,8,FALSE),"-")</f>
        <v>-</v>
      </c>
      <c r="V34" s="78" t="str">
        <f>IFERROR(VLOOKUP(T34,Database!$A$2:$L$175,6,FALSE),"-")</f>
        <v>-</v>
      </c>
      <c r="W34" s="82" t="str">
        <f>IFERROR(VLOOKUP(T34,Database!$A$2:$L$175,9,FALSE),"-")</f>
        <v>-</v>
      </c>
      <c r="X34" s="209" t="str">
        <f>IFERROR(VLOOKUP(T34,Database!$A$2:$S$175,19,FALSE),"-")</f>
        <v>-</v>
      </c>
      <c r="Y34" s="96">
        <f>IF(AND(D34="Y",booking!T34&lt;&gt;booking!U34,booking!U34&gt;0),booking!U34,"-")</f>
        <v>99</v>
      </c>
      <c r="Z34" s="79">
        <f>IFERROR(VLOOKUP(Y34,Database!$A$2:$L$175,8,FALSE),"-")</f>
        <v>0</v>
      </c>
      <c r="AA34" s="79" t="str">
        <f>IFERROR(VLOOKUP(Y34,Database!$A$2:$L$175,6,FALSE),"-")</f>
        <v>DK</v>
      </c>
      <c r="AB34" s="92">
        <f>IFERROR(VLOOKUP(Y34,Database!$A$2:$L$175,9,FALSE),"-")</f>
        <v>0</v>
      </c>
      <c r="AC34" s="8" t="str">
        <f>IFERROR(VLOOKUP(Y34,Database!$A$2:$S$175,19,FALSE),"-")</f>
        <v>Y</v>
      </c>
    </row>
    <row r="35" spans="1:29" ht="15" customHeight="1" thickBot="1" x14ac:dyDescent="0.4">
      <c r="A35" s="88" t="str">
        <f>rengoering!A35</f>
        <v>lørdag</v>
      </c>
      <c r="B35" s="84">
        <v>46172</v>
      </c>
      <c r="C35" s="9"/>
      <c r="D35" s="89" t="str">
        <f>IF(booking!AB35&gt;0,"Y","-")</f>
        <v>-</v>
      </c>
      <c r="E35" s="95" t="str">
        <f>IF(AND(D35="Y",booking!D35&lt;&gt;booking!E35,booking!E35&gt;0),booking!E35,"-")</f>
        <v>-</v>
      </c>
      <c r="F35" s="8" t="str">
        <f>IFERROR(VLOOKUP(E35,Database!$A$2:$L$175,8,FALSE),"-")</f>
        <v>-</v>
      </c>
      <c r="G35" s="78" t="str">
        <f>IFERROR(VLOOKUP(E35,Database!$A$2:$L$175,6,FALSE),"-")</f>
        <v>-</v>
      </c>
      <c r="H35" s="93" t="str">
        <f>IFERROR(VLOOKUP(E35,Database!$A$2:$L$175,9,FALSE),"-")</f>
        <v>-</v>
      </c>
      <c r="I35" s="112"/>
      <c r="J35" s="96" t="str">
        <f>IF(AND(D35="Y",booking!H35&lt;&gt;booking!I35,booking!I35&gt;0),booking!I35,"-")</f>
        <v>-</v>
      </c>
      <c r="K35" s="78" t="str">
        <f>IFERROR(VLOOKUP(J35,Database!$A$2:$L$175,8,FALSE),"-")</f>
        <v>-</v>
      </c>
      <c r="L35" s="78" t="str">
        <f>IFERROR(VLOOKUP(J35,Database!$A$2:$L$175,6,FALSE),"-")</f>
        <v>-</v>
      </c>
      <c r="M35" s="93" t="str">
        <f>IFERROR(VLOOKUP(J35,Database!$A$2:$L$175,9,FALSE),"-")</f>
        <v>-</v>
      </c>
      <c r="N35" s="209" t="str">
        <f>IFERROR(VLOOKUP(J35,Database!$A$2:$S$175,19,FALSE),"-")</f>
        <v>-</v>
      </c>
      <c r="O35" s="96" t="str">
        <f>IF(AND(D35="Y",booking!L35&lt;&gt;booking!M35,booking!M35&gt;0),booking!M35,"-")</f>
        <v>-</v>
      </c>
      <c r="P35" s="78" t="str">
        <f>IFERROR(VLOOKUP(O35,Database!$A$2:$L$175,8,FALSE),"-")</f>
        <v>-</v>
      </c>
      <c r="Q35" s="78" t="str">
        <f>IFERROR(VLOOKUP(O35,Database!$A$2:$L$175,6,FALSE),"-")</f>
        <v>-</v>
      </c>
      <c r="R35" s="82" t="str">
        <f>IFERROR(VLOOKUP(O35,Database!$A$2:$L$175,9,FALSE),"-")</f>
        <v>-</v>
      </c>
      <c r="S35" s="209" t="str">
        <f>IFERROR(VLOOKUP(O35,Database!$A$2:$S$175,19,FALSE),"-")</f>
        <v>-</v>
      </c>
      <c r="T35" s="97" t="str">
        <f>IF(AND(D35="Y",booking!P35&lt;&gt;booking!Q35,booking!Q35&gt;0),booking!Q35,"-")</f>
        <v>-</v>
      </c>
      <c r="U35" s="78" t="str">
        <f>IFERROR(VLOOKUP(T35,Database!$A$2:$L$175,8,FALSE),"-")</f>
        <v>-</v>
      </c>
      <c r="V35" s="78" t="str">
        <f>IFERROR(VLOOKUP(T35,Database!$A$2:$L$175,6,FALSE),"-")</f>
        <v>-</v>
      </c>
      <c r="W35" s="82" t="str">
        <f>IFERROR(VLOOKUP(T35,Database!$A$2:$L$175,9,FALSE),"-")</f>
        <v>-</v>
      </c>
      <c r="X35" s="209" t="str">
        <f>IFERROR(VLOOKUP(T35,Database!$A$2:$S$175,19,FALSE),"-")</f>
        <v>-</v>
      </c>
      <c r="Y35" s="96" t="str">
        <f>IF(AND(D35="Y",booking!T35&lt;&gt;booking!U35,booking!U35&gt;0),booking!U35,"-")</f>
        <v>-</v>
      </c>
      <c r="Z35" s="79" t="str">
        <f>IFERROR(VLOOKUP(Y35,Database!$A$2:$L$175,8,FALSE),"-")</f>
        <v>-</v>
      </c>
      <c r="AA35" s="79" t="str">
        <f>IFERROR(VLOOKUP(Y35,Database!$A$2:$L$175,6,FALSE),"-")</f>
        <v>-</v>
      </c>
      <c r="AB35" s="92" t="str">
        <f>IFERROR(VLOOKUP(Y35,Database!$A$2:$L$175,9,FALSE),"-")</f>
        <v>-</v>
      </c>
      <c r="AC35" s="8" t="str">
        <f>IFERROR(VLOOKUP(Y35,Database!$A$2:$S$175,19,FALSE),"-")</f>
        <v>-</v>
      </c>
    </row>
    <row r="36" spans="1:29" ht="15" customHeight="1" thickBot="1" x14ac:dyDescent="0.4">
      <c r="A36" s="88" t="str">
        <f>rengoering!A36</f>
        <v>søndag</v>
      </c>
      <c r="B36" s="86">
        <v>46173</v>
      </c>
      <c r="C36" s="9"/>
      <c r="D36" s="89" t="str">
        <f>IF(booking!AB36&gt;0,"Y","-")</f>
        <v>Y</v>
      </c>
      <c r="E36" s="95">
        <f>IF(AND(D36="Y",booking!D36&lt;&gt;booking!E36,booking!E36&gt;0),booking!E36,"-")</f>
        <v>117</v>
      </c>
      <c r="F36" s="8" t="str">
        <f>IFERROR(VLOOKUP(E36,Database!$A$2:$L$175,8,FALSE),"-")</f>
        <v>1830</v>
      </c>
      <c r="G36" s="78" t="str">
        <f>IFERROR(VLOOKUP(E36,Database!$A$2:$L$175,6,FALSE),"-")</f>
        <v>DK</v>
      </c>
      <c r="H36" s="93" t="str">
        <f>IFERROR(VLOOKUP(E36,Database!$A$2:$L$175,9,FALSE),"-")</f>
        <v>dobb</v>
      </c>
      <c r="I36" s="112"/>
      <c r="J36" s="96">
        <f>IF(AND(D36="Y",booking!H36&lt;&gt;booking!I36,booking!I36&gt;0),booking!I36,"-")</f>
        <v>79</v>
      </c>
      <c r="K36" s="78">
        <f>IFERROR(VLOOKUP(J36,Database!$A$2:$L$175,8,FALSE),"-")</f>
        <v>0</v>
      </c>
      <c r="L36" s="78" t="str">
        <f>IFERROR(VLOOKUP(J36,Database!$A$2:$L$175,6,FALSE),"-")</f>
        <v>DK</v>
      </c>
      <c r="M36" s="93">
        <f>IFERROR(VLOOKUP(J36,Database!$A$2:$L$175,9,FALSE),"-")</f>
        <v>0</v>
      </c>
      <c r="N36" s="209" t="str">
        <f>IFERROR(VLOOKUP(J36,Database!$A$2:$S$175,19,FALSE),"-")</f>
        <v>YY</v>
      </c>
      <c r="O36" s="96" t="str">
        <f>IF(AND(D36="Y",booking!L36&lt;&gt;booking!M36,booking!M36&gt;0),booking!M36,"-")</f>
        <v>-</v>
      </c>
      <c r="P36" s="78" t="str">
        <f>IFERROR(VLOOKUP(O36,Database!$A$2:$L$175,8,FALSE),"-")</f>
        <v>-</v>
      </c>
      <c r="Q36" s="78" t="str">
        <f>IFERROR(VLOOKUP(O36,Database!$A$2:$L$175,6,FALSE),"-")</f>
        <v>-</v>
      </c>
      <c r="R36" s="82" t="str">
        <f>IFERROR(VLOOKUP(O36,Database!$A$2:$L$175,9,FALSE),"-")</f>
        <v>-</v>
      </c>
      <c r="S36" s="209" t="str">
        <f>IFERROR(VLOOKUP(O36,Database!$A$2:$S$175,19,FALSE),"-")</f>
        <v>-</v>
      </c>
      <c r="T36" s="97" t="str">
        <f>IF(AND(D36="Y",booking!P36&lt;&gt;booking!Q36,booking!Q36&gt;0),booking!Q36,"-")</f>
        <v>-</v>
      </c>
      <c r="U36" s="78" t="str">
        <f>IFERROR(VLOOKUP(T36,Database!$A$2:$L$175,8,FALSE),"-")</f>
        <v>-</v>
      </c>
      <c r="V36" s="78" t="str">
        <f>IFERROR(VLOOKUP(T36,Database!$A$2:$L$175,6,FALSE),"-")</f>
        <v>-</v>
      </c>
      <c r="W36" s="82" t="str">
        <f>IFERROR(VLOOKUP(T36,Database!$A$2:$L$175,9,FALSE),"-")</f>
        <v>-</v>
      </c>
      <c r="X36" s="209" t="str">
        <f>IFERROR(VLOOKUP(T36,Database!$A$2:$S$175,19,FALSE),"-")</f>
        <v>-</v>
      </c>
      <c r="Y36" s="96" t="str">
        <f>IF(AND(D36="Y",booking!T36&lt;&gt;booking!U36,booking!U36&gt;0),booking!U36,"-")</f>
        <v>-</v>
      </c>
      <c r="Z36" s="79" t="str">
        <f>IFERROR(VLOOKUP(Y36,Database!$A$2:$L$175,8,FALSE),"-")</f>
        <v>-</v>
      </c>
      <c r="AA36" s="79" t="str">
        <f>IFERROR(VLOOKUP(Y36,Database!$A$2:$L$175,6,FALSE),"-")</f>
        <v>-</v>
      </c>
      <c r="AB36" s="92" t="str">
        <f>IFERROR(VLOOKUP(Y36,Database!$A$2:$L$175,9,FALSE),"-")</f>
        <v>-</v>
      </c>
      <c r="AC36" s="8" t="str">
        <f>IFERROR(VLOOKUP(Y36,Database!$A$2:$S$175,19,FALSE),"-")</f>
        <v>-</v>
      </c>
    </row>
    <row r="37" spans="1:29" ht="15" customHeight="1" thickBot="1" x14ac:dyDescent="0.4">
      <c r="A37" s="88" t="str">
        <f>rengoering!A37</f>
        <v>mandag</v>
      </c>
      <c r="B37" s="84">
        <v>46174</v>
      </c>
      <c r="C37" s="9"/>
      <c r="D37" s="89" t="str">
        <f>IF(booking!AB37&gt;0,"Y","-")</f>
        <v>-</v>
      </c>
      <c r="E37" s="95" t="str">
        <f>IF(AND(D37="Y",booking!D37&lt;&gt;booking!E37,booking!E37&gt;0),booking!E37,"-")</f>
        <v>-</v>
      </c>
      <c r="F37" s="8" t="str">
        <f>IFERROR(VLOOKUP(E37,Database!$A$2:$L$175,8,FALSE),"-")</f>
        <v>-</v>
      </c>
      <c r="G37" s="78" t="str">
        <f>IFERROR(VLOOKUP(E37,Database!$A$2:$L$175,6,FALSE),"-")</f>
        <v>-</v>
      </c>
      <c r="H37" s="93" t="str">
        <f>IFERROR(VLOOKUP(E37,Database!$A$2:$L$175,9,FALSE),"-")</f>
        <v>-</v>
      </c>
      <c r="I37" s="112"/>
      <c r="J37" s="96" t="str">
        <f>IF(AND(D37="Y",booking!H37&lt;&gt;booking!I37,booking!I37&gt;0),booking!I37,"-")</f>
        <v>-</v>
      </c>
      <c r="K37" s="78" t="str">
        <f>IFERROR(VLOOKUP(J37,Database!$A$2:$L$175,8,FALSE),"-")</f>
        <v>-</v>
      </c>
      <c r="L37" s="78" t="str">
        <f>IFERROR(VLOOKUP(J37,Database!$A$2:$L$175,6,FALSE),"-")</f>
        <v>-</v>
      </c>
      <c r="M37" s="93" t="str">
        <f>IFERROR(VLOOKUP(J37,Database!$A$2:$L$175,9,FALSE),"-")</f>
        <v>-</v>
      </c>
      <c r="N37" s="209" t="str">
        <f>IFERROR(VLOOKUP(J37,Database!$A$2:$S$175,19,FALSE),"-")</f>
        <v>-</v>
      </c>
      <c r="O37" s="96" t="str">
        <f>IF(AND(D37="Y",booking!L37&lt;&gt;booking!M37,booking!M37&gt;0),booking!M37,"-")</f>
        <v>-</v>
      </c>
      <c r="P37" s="78" t="str">
        <f>IFERROR(VLOOKUP(O37,Database!$A$2:$L$175,8,FALSE),"-")</f>
        <v>-</v>
      </c>
      <c r="Q37" s="78" t="str">
        <f>IFERROR(VLOOKUP(O37,Database!$A$2:$L$175,6,FALSE),"-")</f>
        <v>-</v>
      </c>
      <c r="R37" s="82" t="str">
        <f>IFERROR(VLOOKUP(O37,Database!$A$2:$L$175,9,FALSE),"-")</f>
        <v>-</v>
      </c>
      <c r="S37" s="209" t="str">
        <f>IFERROR(VLOOKUP(O37,Database!$A$2:$S$175,19,FALSE),"-")</f>
        <v>-</v>
      </c>
      <c r="T37" s="97" t="str">
        <f>IF(AND(D37="Y",booking!P37&lt;&gt;booking!Q37,booking!Q37&gt;0),booking!Q37,"-")</f>
        <v>-</v>
      </c>
      <c r="U37" s="78" t="str">
        <f>IFERROR(VLOOKUP(T37,Database!$A$2:$L$175,8,FALSE),"-")</f>
        <v>-</v>
      </c>
      <c r="V37" s="78" t="str">
        <f>IFERROR(VLOOKUP(T37,Database!$A$2:$L$175,6,FALSE),"-")</f>
        <v>-</v>
      </c>
      <c r="W37" s="82" t="str">
        <f>IFERROR(VLOOKUP(T37,Database!$A$2:$L$175,9,FALSE),"-")</f>
        <v>-</v>
      </c>
      <c r="X37" s="209" t="str">
        <f>IFERROR(VLOOKUP(T37,Database!$A$2:$S$175,19,FALSE),"-")</f>
        <v>-</v>
      </c>
      <c r="Y37" s="96" t="str">
        <f>IF(AND(D37="Y",booking!T37&lt;&gt;booking!U37,booking!U37&gt;0),booking!U37,"-")</f>
        <v>-</v>
      </c>
      <c r="Z37" s="79" t="str">
        <f>IFERROR(VLOOKUP(Y37,Database!$A$2:$L$175,8,FALSE),"-")</f>
        <v>-</v>
      </c>
      <c r="AA37" s="79" t="str">
        <f>IFERROR(VLOOKUP(Y37,Database!$A$2:$L$175,6,FALSE),"-")</f>
        <v>-</v>
      </c>
      <c r="AB37" s="92" t="str">
        <f>IFERROR(VLOOKUP(Y37,Database!$A$2:$L$175,9,FALSE),"-")</f>
        <v>-</v>
      </c>
      <c r="AC37" s="8" t="str">
        <f>IFERROR(VLOOKUP(Y37,Database!$A$2:$S$175,19,FALSE),"-")</f>
        <v>-</v>
      </c>
    </row>
    <row r="38" spans="1:29" ht="15" customHeight="1" thickBot="1" x14ac:dyDescent="0.4">
      <c r="A38" s="88" t="str">
        <f>rengoering!A38</f>
        <v>tirsdag</v>
      </c>
      <c r="B38" s="86">
        <v>46175</v>
      </c>
      <c r="C38" s="9"/>
      <c r="D38" s="89" t="str">
        <f>IF(booking!AB38&gt;0,"Y","-")</f>
        <v>Y</v>
      </c>
      <c r="E38" s="95" t="str">
        <f>IF(AND(D38="Y",booking!D38&lt;&gt;booking!E38,booking!E38&gt;0),booking!E38,"-")</f>
        <v>-</v>
      </c>
      <c r="F38" s="8" t="str">
        <f>IFERROR(VLOOKUP(E38,Database!$A$2:$L$175,8,FALSE),"-")</f>
        <v>-</v>
      </c>
      <c r="G38" s="78" t="str">
        <f>IFERROR(VLOOKUP(E38,Database!$A$2:$L$175,6,FALSE),"-")</f>
        <v>-</v>
      </c>
      <c r="H38" s="93" t="str">
        <f>IFERROR(VLOOKUP(E38,Database!$A$2:$L$175,9,FALSE),"-")</f>
        <v>-</v>
      </c>
      <c r="I38" s="112"/>
      <c r="J38" s="96" t="str">
        <f>IF(AND(D38="Y",booking!H38&lt;&gt;booking!I38,booking!I38&gt;0),booking!I38,"-")</f>
        <v>-</v>
      </c>
      <c r="K38" s="78" t="str">
        <f>IFERROR(VLOOKUP(J38,Database!$A$2:$L$175,8,FALSE),"-")</f>
        <v>-</v>
      </c>
      <c r="L38" s="78" t="str">
        <f>IFERROR(VLOOKUP(J38,Database!$A$2:$L$175,6,FALSE),"-")</f>
        <v>-</v>
      </c>
      <c r="M38" s="93" t="str">
        <f>IFERROR(VLOOKUP(J38,Database!$A$2:$L$175,9,FALSE),"-")</f>
        <v>-</v>
      </c>
      <c r="N38" s="209" t="str">
        <f>IFERROR(VLOOKUP(J38,Database!$A$2:$S$175,19,FALSE),"-")</f>
        <v>-</v>
      </c>
      <c r="O38" s="96" t="str">
        <f>IF(AND(D38="Y",booking!L38&lt;&gt;booking!M38,booking!M38&gt;0),booking!M38,"-")</f>
        <v>-</v>
      </c>
      <c r="P38" s="78" t="str">
        <f>IFERROR(VLOOKUP(O38,Database!$A$2:$L$175,8,FALSE),"-")</f>
        <v>-</v>
      </c>
      <c r="Q38" s="78" t="str">
        <f>IFERROR(VLOOKUP(O38,Database!$A$2:$L$175,6,FALSE),"-")</f>
        <v>-</v>
      </c>
      <c r="R38" s="82" t="str">
        <f>IFERROR(VLOOKUP(O38,Database!$A$2:$L$175,9,FALSE),"-")</f>
        <v>-</v>
      </c>
      <c r="S38" s="209" t="str">
        <f>IFERROR(VLOOKUP(O38,Database!$A$2:$S$175,19,FALSE),"-")</f>
        <v>-</v>
      </c>
      <c r="T38" s="97" t="str">
        <f>IF(AND(D38="Y",booking!P38&lt;&gt;booking!Q38,booking!Q38&gt;0),booking!Q38,"-")</f>
        <v>-</v>
      </c>
      <c r="U38" s="78" t="str">
        <f>IFERROR(VLOOKUP(T38,Database!$A$2:$L$175,8,FALSE),"-")</f>
        <v>-</v>
      </c>
      <c r="V38" s="78" t="str">
        <f>IFERROR(VLOOKUP(T38,Database!$A$2:$L$175,6,FALSE),"-")</f>
        <v>-</v>
      </c>
      <c r="W38" s="82" t="str">
        <f>IFERROR(VLOOKUP(T38,Database!$A$2:$L$175,9,FALSE),"-")</f>
        <v>-</v>
      </c>
      <c r="X38" s="209" t="str">
        <f>IFERROR(VLOOKUP(T38,Database!$A$2:$S$175,19,FALSE),"-")</f>
        <v>-</v>
      </c>
      <c r="Y38" s="96">
        <f>IF(AND(D38="Y",booking!T38&lt;&gt;booking!U38,booking!U38&gt;0),booking!U38,"-")</f>
        <v>12</v>
      </c>
      <c r="Z38" s="79">
        <f>IFERROR(VLOOKUP(Y38,Database!$A$2:$L$175,8,FALSE),"-")</f>
        <v>0</v>
      </c>
      <c r="AA38" s="79" t="str">
        <f>IFERROR(VLOOKUP(Y38,Database!$A$2:$L$175,6,FALSE),"-")</f>
        <v>DK</v>
      </c>
      <c r="AB38" s="92" t="str">
        <f>IFERROR(VLOOKUP(Y38,Database!$A$2:$L$175,9,FALSE),"-")</f>
        <v>sing</v>
      </c>
      <c r="AC38" s="8" t="str">
        <f>IFERROR(VLOOKUP(Y38,Database!$A$2:$S$175,19,FALSE),"-")</f>
        <v>Y</v>
      </c>
    </row>
    <row r="39" spans="1:29" ht="15" customHeight="1" thickBot="1" x14ac:dyDescent="0.4">
      <c r="A39" s="88" t="str">
        <f>rengoering!A39</f>
        <v>onsdag</v>
      </c>
      <c r="B39" s="84">
        <v>46176</v>
      </c>
      <c r="C39" s="9"/>
      <c r="D39" s="89" t="str">
        <f>IF(booking!AB39&gt;0,"Y","-")</f>
        <v>Y</v>
      </c>
      <c r="E39" s="95" t="str">
        <f>IF(AND(D39="Y",booking!D39&lt;&gt;booking!E39,booking!E39&gt;0),booking!E39,"-")</f>
        <v>-</v>
      </c>
      <c r="F39" s="8" t="str">
        <f>IFERROR(VLOOKUP(E39,Database!$A$2:$L$175,8,FALSE),"-")</f>
        <v>-</v>
      </c>
      <c r="G39" s="78" t="str">
        <f>IFERROR(VLOOKUP(E39,Database!$A$2:$L$175,6,FALSE),"-")</f>
        <v>-</v>
      </c>
      <c r="H39" s="93" t="str">
        <f>IFERROR(VLOOKUP(E39,Database!$A$2:$L$175,9,FALSE),"-")</f>
        <v>-</v>
      </c>
      <c r="I39" s="112"/>
      <c r="J39" s="96" t="str">
        <f>IF(AND(D39="Y",booking!H39&lt;&gt;booking!I39,booking!I39&gt;0),booking!I39,"-")</f>
        <v>-</v>
      </c>
      <c r="K39" s="78" t="str">
        <f>IFERROR(VLOOKUP(J39,Database!$A$2:$L$175,8,FALSE),"-")</f>
        <v>-</v>
      </c>
      <c r="L39" s="78" t="str">
        <f>IFERROR(VLOOKUP(J39,Database!$A$2:$L$175,6,FALSE),"-")</f>
        <v>-</v>
      </c>
      <c r="M39" s="93" t="str">
        <f>IFERROR(VLOOKUP(J39,Database!$A$2:$L$175,9,FALSE),"-")</f>
        <v>-</v>
      </c>
      <c r="N39" s="209" t="str">
        <f>IFERROR(VLOOKUP(J39,Database!$A$2:$S$175,19,FALSE),"-")</f>
        <v>-</v>
      </c>
      <c r="O39" s="96">
        <f>IF(AND(D39="Y",booking!L39&lt;&gt;booking!M39,booking!M39&gt;0),booking!M39,"-")</f>
        <v>27</v>
      </c>
      <c r="P39" s="78">
        <f>IFERROR(VLOOKUP(O39,Database!$A$2:$L$175,8,FALSE),"-")</f>
        <v>0</v>
      </c>
      <c r="Q39" s="78" t="str">
        <f>IFERROR(VLOOKUP(O39,Database!$A$2:$L$175,6,FALSE),"-")</f>
        <v>DK</v>
      </c>
      <c r="R39" s="82" t="str">
        <f>IFERROR(VLOOKUP(O39,Database!$A$2:$L$175,9,FALSE),"-")</f>
        <v>sing/dobb</v>
      </c>
      <c r="S39" s="209" t="str">
        <f>IFERROR(VLOOKUP(O39,Database!$A$2:$S$175,19,FALSE),"-")</f>
        <v>Y</v>
      </c>
      <c r="T39" s="97" t="str">
        <f>IF(AND(D39="Y",booking!P39&lt;&gt;booking!Q39,booking!Q39&gt;0),booking!Q39,"-")</f>
        <v>-</v>
      </c>
      <c r="U39" s="78" t="str">
        <f>IFERROR(VLOOKUP(T39,Database!$A$2:$L$175,8,FALSE),"-")</f>
        <v>-</v>
      </c>
      <c r="V39" s="78" t="str">
        <f>IFERROR(VLOOKUP(T39,Database!$A$2:$L$175,6,FALSE),"-")</f>
        <v>-</v>
      </c>
      <c r="W39" s="82" t="str">
        <f>IFERROR(VLOOKUP(T39,Database!$A$2:$L$175,9,FALSE),"-")</f>
        <v>-</v>
      </c>
      <c r="X39" s="209" t="str">
        <f>IFERROR(VLOOKUP(T39,Database!$A$2:$S$175,19,FALSE),"-")</f>
        <v>-</v>
      </c>
      <c r="Y39" s="96" t="str">
        <f>IF(AND(D39="Y",booking!T39&lt;&gt;booking!U39,booking!U39&gt;0),booking!U39,"-")</f>
        <v>-</v>
      </c>
      <c r="Z39" s="79" t="str">
        <f>IFERROR(VLOOKUP(Y39,Database!$A$2:$L$175,8,FALSE),"-")</f>
        <v>-</v>
      </c>
      <c r="AA39" s="79" t="str">
        <f>IFERROR(VLOOKUP(Y39,Database!$A$2:$L$175,6,FALSE),"-")</f>
        <v>-</v>
      </c>
      <c r="AB39" s="92" t="str">
        <f>IFERROR(VLOOKUP(Y39,Database!$A$2:$L$175,9,FALSE),"-")</f>
        <v>-</v>
      </c>
      <c r="AC39" s="8" t="str">
        <f>IFERROR(VLOOKUP(Y39,Database!$A$2:$S$175,19,FALSE),"-")</f>
        <v>-</v>
      </c>
    </row>
    <row r="40" spans="1:29" ht="15" customHeight="1" thickBot="1" x14ac:dyDescent="0.4">
      <c r="A40" s="88" t="str">
        <f>rengoering!A40</f>
        <v>torsdag</v>
      </c>
      <c r="B40" s="86">
        <v>46177</v>
      </c>
      <c r="C40" s="9"/>
      <c r="D40" s="89" t="str">
        <f>IF(booking!AB40&gt;0,"Y","-")</f>
        <v>Y</v>
      </c>
      <c r="E40" s="95" t="str">
        <f>IF(AND(D40="Y",booking!D40&lt;&gt;booking!E40,booking!E40&gt;0),booking!E40,"-")</f>
        <v>-</v>
      </c>
      <c r="F40" s="8" t="str">
        <f>IFERROR(VLOOKUP(E40,Database!$A$2:$L$175,8,FALSE),"-")</f>
        <v>-</v>
      </c>
      <c r="G40" s="78" t="str">
        <f>IFERROR(VLOOKUP(E40,Database!$A$2:$L$175,6,FALSE),"-")</f>
        <v>-</v>
      </c>
      <c r="H40" s="93" t="str">
        <f>IFERROR(VLOOKUP(E40,Database!$A$2:$L$175,9,FALSE),"-")</f>
        <v>-</v>
      </c>
      <c r="I40" s="112"/>
      <c r="J40" s="96" t="str">
        <f>IF(AND(D40="Y",booking!H40&lt;&gt;booking!I40,booking!I40&gt;0),booking!I40,"-")</f>
        <v>-</v>
      </c>
      <c r="K40" s="78" t="str">
        <f>IFERROR(VLOOKUP(J40,Database!$A$2:$L$175,8,FALSE),"-")</f>
        <v>-</v>
      </c>
      <c r="L40" s="78" t="str">
        <f>IFERROR(VLOOKUP(J40,Database!$A$2:$L$175,6,FALSE),"-")</f>
        <v>-</v>
      </c>
      <c r="M40" s="93" t="str">
        <f>IFERROR(VLOOKUP(J40,Database!$A$2:$L$175,9,FALSE),"-")</f>
        <v>-</v>
      </c>
      <c r="N40" s="209" t="str">
        <f>IFERROR(VLOOKUP(J40,Database!$A$2:$S$175,19,FALSE),"-")</f>
        <v>-</v>
      </c>
      <c r="O40" s="96" t="str">
        <f>IF(AND(D40="Y",booking!L40&lt;&gt;booking!M40,booking!M40&gt;0),booking!M40,"-")</f>
        <v>-</v>
      </c>
      <c r="P40" s="78" t="str">
        <f>IFERROR(VLOOKUP(O40,Database!$A$2:$L$175,8,FALSE),"-")</f>
        <v>-</v>
      </c>
      <c r="Q40" s="78" t="str">
        <f>IFERROR(VLOOKUP(O40,Database!$A$2:$L$175,6,FALSE),"-")</f>
        <v>-</v>
      </c>
      <c r="R40" s="82" t="str">
        <f>IFERROR(VLOOKUP(O40,Database!$A$2:$L$175,9,FALSE),"-")</f>
        <v>-</v>
      </c>
      <c r="S40" s="209" t="str">
        <f>IFERROR(VLOOKUP(O40,Database!$A$2:$S$175,19,FALSE),"-")</f>
        <v>-</v>
      </c>
      <c r="T40" s="97">
        <f>IF(AND(D40="Y",booking!P40&lt;&gt;booking!Q40,booking!Q40&gt;0),booking!Q40,"-")</f>
        <v>116</v>
      </c>
      <c r="U40" s="78">
        <f>IFERROR(VLOOKUP(T40,Database!$A$2:$L$175,8,FALSE),"-")</f>
        <v>0</v>
      </c>
      <c r="V40" s="78" t="str">
        <f>IFERROR(VLOOKUP(T40,Database!$A$2:$L$175,6,FALSE),"-")</f>
        <v>DK</v>
      </c>
      <c r="W40" s="82">
        <f>IFERROR(VLOOKUP(T40,Database!$A$2:$L$175,9,FALSE),"-")</f>
        <v>0</v>
      </c>
      <c r="X40" s="209" t="str">
        <f>IFERROR(VLOOKUP(T40,Database!$A$2:$S$175,19,FALSE),"-")</f>
        <v>N</v>
      </c>
      <c r="Y40" s="96" t="str">
        <f>IF(AND(D40="Y",booking!T40&lt;&gt;booking!U40,booking!U40&gt;0),booking!U40,"-")</f>
        <v>-</v>
      </c>
      <c r="Z40" s="79" t="str">
        <f>IFERROR(VLOOKUP(Y40,Database!$A$2:$L$175,8,FALSE),"-")</f>
        <v>-</v>
      </c>
      <c r="AA40" s="79" t="str">
        <f>IFERROR(VLOOKUP(Y40,Database!$A$2:$L$175,6,FALSE),"-")</f>
        <v>-</v>
      </c>
      <c r="AB40" s="92" t="str">
        <f>IFERROR(VLOOKUP(Y40,Database!$A$2:$L$175,9,FALSE),"-")</f>
        <v>-</v>
      </c>
      <c r="AC40" s="8" t="str">
        <f>IFERROR(VLOOKUP(Y40,Database!$A$2:$S$175,19,FALSE),"-")</f>
        <v>-</v>
      </c>
    </row>
    <row r="41" spans="1:29" ht="15" customHeight="1" thickBot="1" x14ac:dyDescent="0.4">
      <c r="A41" s="88" t="str">
        <f>rengoering!A41</f>
        <v>fredag</v>
      </c>
      <c r="B41" s="84">
        <v>46178</v>
      </c>
      <c r="C41" s="9"/>
      <c r="D41" s="89" t="str">
        <f>IF(booking!AB41&gt;0,"Y","-")</f>
        <v>Y</v>
      </c>
      <c r="E41" s="95">
        <f>IF(AND(D41="Y",booking!D41&lt;&gt;booking!E41,booking!E41&gt;0),booking!E41,"-")</f>
        <v>6</v>
      </c>
      <c r="F41" s="8">
        <f>IFERROR(VLOOKUP(E41,Database!$A$2:$L$175,8,FALSE),"-")</f>
        <v>0</v>
      </c>
      <c r="G41" s="78" t="str">
        <f>IFERROR(VLOOKUP(E41,Database!$A$2:$L$175,6,FALSE),"-")</f>
        <v>DK</v>
      </c>
      <c r="H41" s="93">
        <f>IFERROR(VLOOKUP(E41,Database!$A$2:$L$175,9,FALSE),"-")</f>
        <v>0</v>
      </c>
      <c r="I41" s="112"/>
      <c r="J41" s="96">
        <f>IF(AND(D41="Y",booking!H41&lt;&gt;booking!I41,booking!I41&gt;0),booking!I41,"-")</f>
        <v>6</v>
      </c>
      <c r="K41" s="78">
        <f>IFERROR(VLOOKUP(J41,Database!$A$2:$L$175,8,FALSE),"-")</f>
        <v>0</v>
      </c>
      <c r="L41" s="78" t="str">
        <f>IFERROR(VLOOKUP(J41,Database!$A$2:$L$175,6,FALSE),"-")</f>
        <v>DK</v>
      </c>
      <c r="M41" s="93">
        <f>IFERROR(VLOOKUP(J41,Database!$A$2:$L$175,9,FALSE),"-")</f>
        <v>0</v>
      </c>
      <c r="N41" s="209" t="str">
        <f>IFERROR(VLOOKUP(J41,Database!$A$2:$S$175,19,FALSE),"-")</f>
        <v>YY</v>
      </c>
      <c r="O41" s="96" t="str">
        <f>IF(AND(D41="Y",booking!L41&lt;&gt;booking!M41,booking!M41&gt;0),booking!M41,"-")</f>
        <v>-</v>
      </c>
      <c r="P41" s="78" t="str">
        <f>IFERROR(VLOOKUP(O41,Database!$A$2:$L$175,8,FALSE),"-")</f>
        <v>-</v>
      </c>
      <c r="Q41" s="78" t="str">
        <f>IFERROR(VLOOKUP(O41,Database!$A$2:$L$175,6,FALSE),"-")</f>
        <v>-</v>
      </c>
      <c r="R41" s="82" t="str">
        <f>IFERROR(VLOOKUP(O41,Database!$A$2:$L$175,9,FALSE),"-")</f>
        <v>-</v>
      </c>
      <c r="S41" s="209" t="str">
        <f>IFERROR(VLOOKUP(O41,Database!$A$2:$S$175,19,FALSE),"-")</f>
        <v>-</v>
      </c>
      <c r="T41" s="97" t="str">
        <f>IF(AND(D41="Y",booking!P41&lt;&gt;booking!Q41,booking!Q41&gt;0),booking!Q41,"-")</f>
        <v>-</v>
      </c>
      <c r="U41" s="78" t="str">
        <f>IFERROR(VLOOKUP(T41,Database!$A$2:$L$175,8,FALSE),"-")</f>
        <v>-</v>
      </c>
      <c r="V41" s="78" t="str">
        <f>IFERROR(VLOOKUP(T41,Database!$A$2:$L$175,6,FALSE),"-")</f>
        <v>-</v>
      </c>
      <c r="W41" s="82" t="str">
        <f>IFERROR(VLOOKUP(T41,Database!$A$2:$L$175,9,FALSE),"-")</f>
        <v>-</v>
      </c>
      <c r="X41" s="209" t="str">
        <f>IFERROR(VLOOKUP(T41,Database!$A$2:$S$175,19,FALSE),"-")</f>
        <v>-</v>
      </c>
      <c r="Y41" s="96" t="str">
        <f>IF(AND(D41="Y",booking!T41&lt;&gt;booking!U41,booking!U41&gt;0),booking!U41,"-")</f>
        <v>-</v>
      </c>
      <c r="Z41" s="79" t="str">
        <f>IFERROR(VLOOKUP(Y41,Database!$A$2:$L$175,8,FALSE),"-")</f>
        <v>-</v>
      </c>
      <c r="AA41" s="79" t="str">
        <f>IFERROR(VLOOKUP(Y41,Database!$A$2:$L$175,6,FALSE),"-")</f>
        <v>-</v>
      </c>
      <c r="AB41" s="92" t="str">
        <f>IFERROR(VLOOKUP(Y41,Database!$A$2:$L$175,9,FALSE),"-")</f>
        <v>-</v>
      </c>
      <c r="AC41" s="8" t="str">
        <f>IFERROR(VLOOKUP(Y41,Database!$A$2:$S$175,19,FALSE),"-")</f>
        <v>-</v>
      </c>
    </row>
    <row r="42" spans="1:29" ht="15" customHeight="1" thickBot="1" x14ac:dyDescent="0.4">
      <c r="A42" s="88" t="str">
        <f>rengoering!A42</f>
        <v>lørdag</v>
      </c>
      <c r="B42" s="86">
        <v>46179</v>
      </c>
      <c r="C42" s="9"/>
      <c r="D42" s="89" t="str">
        <f>IF(booking!AB42&gt;0,"Y","-")</f>
        <v>Y</v>
      </c>
      <c r="E42" s="95" t="str">
        <f>IF(AND(D42="Y",booking!D42&lt;&gt;booking!E42,booking!E42&gt;0),booking!E42,"-")</f>
        <v>-</v>
      </c>
      <c r="F42" s="8" t="str">
        <f>IFERROR(VLOOKUP(E42,Database!$A$2:$L$175,8,FALSE),"-")</f>
        <v>-</v>
      </c>
      <c r="G42" s="78" t="str">
        <f>IFERROR(VLOOKUP(E42,Database!$A$2:$L$175,6,FALSE),"-")</f>
        <v>-</v>
      </c>
      <c r="H42" s="93" t="str">
        <f>IFERROR(VLOOKUP(E42,Database!$A$2:$L$175,9,FALSE),"-")</f>
        <v>-</v>
      </c>
      <c r="I42" s="112"/>
      <c r="J42" s="96" t="str">
        <f>IF(AND(D42="Y",booking!H42&lt;&gt;booking!I42,booking!I42&gt;0),booking!I42,"-")</f>
        <v>-</v>
      </c>
      <c r="K42" s="78" t="str">
        <f>IFERROR(VLOOKUP(J42,Database!$A$2:$L$175,8,FALSE),"-")</f>
        <v>-</v>
      </c>
      <c r="L42" s="78" t="str">
        <f>IFERROR(VLOOKUP(J42,Database!$A$2:$L$175,6,FALSE),"-")</f>
        <v>-</v>
      </c>
      <c r="M42" s="93" t="str">
        <f>IFERROR(VLOOKUP(J42,Database!$A$2:$L$175,9,FALSE),"-")</f>
        <v>-</v>
      </c>
      <c r="N42" s="209" t="str">
        <f>IFERROR(VLOOKUP(J42,Database!$A$2:$S$175,19,FALSE),"-")</f>
        <v>-</v>
      </c>
      <c r="O42" s="96" t="str">
        <f>IF(AND(D42="Y",booking!L42&lt;&gt;booking!M42,booking!M42&gt;0),booking!M42,"-")</f>
        <v>-</v>
      </c>
      <c r="P42" s="78" t="str">
        <f>IFERROR(VLOOKUP(O42,Database!$A$2:$L$175,8,FALSE),"-")</f>
        <v>-</v>
      </c>
      <c r="Q42" s="78" t="str">
        <f>IFERROR(VLOOKUP(O42,Database!$A$2:$L$175,6,FALSE),"-")</f>
        <v>-</v>
      </c>
      <c r="R42" s="82" t="str">
        <f>IFERROR(VLOOKUP(O42,Database!$A$2:$L$175,9,FALSE),"-")</f>
        <v>-</v>
      </c>
      <c r="S42" s="209" t="str">
        <f>IFERROR(VLOOKUP(O42,Database!$A$2:$S$175,19,FALSE),"-")</f>
        <v>-</v>
      </c>
      <c r="T42" s="97" t="str">
        <f>IF(AND(D42="Y",booking!P42&lt;&gt;booking!Q42,booking!Q42&gt;0),booking!Q42,"-")</f>
        <v>-</v>
      </c>
      <c r="U42" s="78" t="str">
        <f>IFERROR(VLOOKUP(T42,Database!$A$2:$L$175,8,FALSE),"-")</f>
        <v>-</v>
      </c>
      <c r="V42" s="78" t="str">
        <f>IFERROR(VLOOKUP(T42,Database!$A$2:$L$175,6,FALSE),"-")</f>
        <v>-</v>
      </c>
      <c r="W42" s="82" t="str">
        <f>IFERROR(VLOOKUP(T42,Database!$A$2:$L$175,9,FALSE),"-")</f>
        <v>-</v>
      </c>
      <c r="X42" s="209" t="str">
        <f>IFERROR(VLOOKUP(T42,Database!$A$2:$S$175,19,FALSE),"-")</f>
        <v>-</v>
      </c>
      <c r="Y42" s="96">
        <f>IF(AND(D42="Y",booking!T42&lt;&gt;booking!U42,booking!U42&gt;0),booking!U42,"-")</f>
        <v>119</v>
      </c>
      <c r="Z42" s="79">
        <f>IFERROR(VLOOKUP(Y42,Database!$A$2:$L$175,8,FALSE),"-")</f>
        <v>0</v>
      </c>
      <c r="AA42" s="79" t="str">
        <f>IFERROR(VLOOKUP(Y42,Database!$A$2:$L$175,6,FALSE),"-")</f>
        <v>it</v>
      </c>
      <c r="AB42" s="92">
        <f>IFERROR(VLOOKUP(Y42,Database!$A$2:$L$175,9,FALSE),"-")</f>
        <v>0</v>
      </c>
      <c r="AC42" s="8" t="str">
        <f>IFERROR(VLOOKUP(Y42,Database!$A$2:$S$175,19,FALSE),"-")</f>
        <v>N</v>
      </c>
    </row>
    <row r="43" spans="1:29" ht="15" customHeight="1" thickBot="1" x14ac:dyDescent="0.4">
      <c r="A43" s="88" t="str">
        <f>rengoering!A43</f>
        <v>søndag</v>
      </c>
      <c r="B43" s="84">
        <v>46180</v>
      </c>
      <c r="C43" s="9"/>
      <c r="D43" s="89" t="str">
        <f>IF(booking!AB43&gt;0,"Y","-")</f>
        <v>-</v>
      </c>
      <c r="E43" s="95" t="str">
        <f>IF(AND(D43="Y",booking!D43&lt;&gt;booking!E43,booking!E43&gt;0),booking!E43,"-")</f>
        <v>-</v>
      </c>
      <c r="F43" s="8" t="str">
        <f>IFERROR(VLOOKUP(E43,Database!$A$2:$L$175,8,FALSE),"-")</f>
        <v>-</v>
      </c>
      <c r="G43" s="78" t="str">
        <f>IFERROR(VLOOKUP(E43,Database!$A$2:$L$175,6,FALSE),"-")</f>
        <v>-</v>
      </c>
      <c r="H43" s="93" t="str">
        <f>IFERROR(VLOOKUP(E43,Database!$A$2:$L$175,9,FALSE),"-")</f>
        <v>-</v>
      </c>
      <c r="I43" s="112"/>
      <c r="J43" s="96" t="str">
        <f>IF(AND(D43="Y",booking!H43&lt;&gt;booking!I43,booking!I43&gt;0),booking!I43,"-")</f>
        <v>-</v>
      </c>
      <c r="K43" s="78" t="str">
        <f>IFERROR(VLOOKUP(J43,Database!$A$2:$L$175,8,FALSE),"-")</f>
        <v>-</v>
      </c>
      <c r="L43" s="78" t="str">
        <f>IFERROR(VLOOKUP(J43,Database!$A$2:$L$175,6,FALSE),"-")</f>
        <v>-</v>
      </c>
      <c r="M43" s="93" t="str">
        <f>IFERROR(VLOOKUP(J43,Database!$A$2:$L$175,9,FALSE),"-")</f>
        <v>-</v>
      </c>
      <c r="N43" s="209" t="str">
        <f>IFERROR(VLOOKUP(J43,Database!$A$2:$S$175,19,FALSE),"-")</f>
        <v>-</v>
      </c>
      <c r="O43" s="96" t="str">
        <f>IF(AND(D43="Y",booking!L43&lt;&gt;booking!M43,booking!M43&gt;0),booking!M43,"-")</f>
        <v>-</v>
      </c>
      <c r="P43" s="78" t="str">
        <f>IFERROR(VLOOKUP(O43,Database!$A$2:$L$175,8,FALSE),"-")</f>
        <v>-</v>
      </c>
      <c r="Q43" s="78" t="str">
        <f>IFERROR(VLOOKUP(O43,Database!$A$2:$L$175,6,FALSE),"-")</f>
        <v>-</v>
      </c>
      <c r="R43" s="82" t="str">
        <f>IFERROR(VLOOKUP(O43,Database!$A$2:$L$175,9,FALSE),"-")</f>
        <v>-</v>
      </c>
      <c r="S43" s="209" t="str">
        <f>IFERROR(VLOOKUP(O43,Database!$A$2:$S$175,19,FALSE),"-")</f>
        <v>-</v>
      </c>
      <c r="T43" s="97" t="str">
        <f>IF(AND(D43="Y",booking!P43&lt;&gt;booking!Q43,booking!Q43&gt;0),booking!Q43,"-")</f>
        <v>-</v>
      </c>
      <c r="U43" s="78" t="str">
        <f>IFERROR(VLOOKUP(T43,Database!$A$2:$L$175,8,FALSE),"-")</f>
        <v>-</v>
      </c>
      <c r="V43" s="78" t="str">
        <f>IFERROR(VLOOKUP(T43,Database!$A$2:$L$175,6,FALSE),"-")</f>
        <v>-</v>
      </c>
      <c r="W43" s="82" t="str">
        <f>IFERROR(VLOOKUP(T43,Database!$A$2:$L$175,9,FALSE),"-")</f>
        <v>-</v>
      </c>
      <c r="X43" s="209" t="str">
        <f>IFERROR(VLOOKUP(T43,Database!$A$2:$S$175,19,FALSE),"-")</f>
        <v>-</v>
      </c>
      <c r="Y43" s="96" t="str">
        <f>IF(AND(D43="Y",booking!T43&lt;&gt;booking!U43,booking!U43&gt;0),booking!U43,"-")</f>
        <v>-</v>
      </c>
      <c r="Z43" s="79" t="str">
        <f>IFERROR(VLOOKUP(Y43,Database!$A$2:$L$175,8,FALSE),"-")</f>
        <v>-</v>
      </c>
      <c r="AA43" s="79" t="str">
        <f>IFERROR(VLOOKUP(Y43,Database!$A$2:$L$175,6,FALSE),"-")</f>
        <v>-</v>
      </c>
      <c r="AB43" s="92" t="str">
        <f>IFERROR(VLOOKUP(Y43,Database!$A$2:$L$175,9,FALSE),"-")</f>
        <v>-</v>
      </c>
      <c r="AC43" s="8" t="str">
        <f>IFERROR(VLOOKUP(Y43,Database!$A$2:$S$175,19,FALSE),"-")</f>
        <v>-</v>
      </c>
    </row>
    <row r="44" spans="1:29" ht="15" customHeight="1" thickBot="1" x14ac:dyDescent="0.4">
      <c r="A44" s="88" t="str">
        <f>rengoering!A44</f>
        <v>mandag</v>
      </c>
      <c r="B44" s="86">
        <v>46181</v>
      </c>
      <c r="C44" s="9"/>
      <c r="D44" s="89" t="str">
        <f>IF(booking!AB44&gt;0,"Y","-")</f>
        <v>Y</v>
      </c>
      <c r="E44" s="95" t="str">
        <f>IF(AND(D44="Y",booking!D44&lt;&gt;booking!E44,booking!E44&gt;0),booking!E44,"-")</f>
        <v>-</v>
      </c>
      <c r="F44" s="8" t="str">
        <f>IFERROR(VLOOKUP(E44,Database!$A$2:$L$175,8,FALSE),"-")</f>
        <v>-</v>
      </c>
      <c r="G44" s="78" t="str">
        <f>IFERROR(VLOOKUP(E44,Database!$A$2:$L$175,6,FALSE),"-")</f>
        <v>-</v>
      </c>
      <c r="H44" s="93" t="str">
        <f>IFERROR(VLOOKUP(E44,Database!$A$2:$L$175,9,FALSE),"-")</f>
        <v>-</v>
      </c>
      <c r="I44" s="112"/>
      <c r="J44" s="96">
        <f>IF(AND(D44="Y",booking!H44&lt;&gt;booking!I44,booking!I44&gt;0),booking!I44,"-")</f>
        <v>17</v>
      </c>
      <c r="K44" s="78">
        <f>IFERROR(VLOOKUP(J44,Database!$A$2:$L$175,8,FALSE),"-")</f>
        <v>0</v>
      </c>
      <c r="L44" s="78" t="str">
        <f>IFERROR(VLOOKUP(J44,Database!$A$2:$L$175,6,FALSE),"-")</f>
        <v>DK</v>
      </c>
      <c r="M44" s="93">
        <f>IFERROR(VLOOKUP(J44,Database!$A$2:$L$175,9,FALSE),"-")</f>
        <v>0</v>
      </c>
      <c r="N44" s="209" t="str">
        <f>IFERROR(VLOOKUP(J44,Database!$A$2:$S$175,19,FALSE),"-")</f>
        <v>YY</v>
      </c>
      <c r="O44" s="96" t="str">
        <f>IF(AND(D44="Y",booking!L44&lt;&gt;booking!M44,booking!M44&gt;0),booking!M44,"-")</f>
        <v>-</v>
      </c>
      <c r="P44" s="78" t="str">
        <f>IFERROR(VLOOKUP(O44,Database!$A$2:$L$175,8,FALSE),"-")</f>
        <v>-</v>
      </c>
      <c r="Q44" s="78" t="str">
        <f>IFERROR(VLOOKUP(O44,Database!$A$2:$L$175,6,FALSE),"-")</f>
        <v>-</v>
      </c>
      <c r="R44" s="82" t="str">
        <f>IFERROR(VLOOKUP(O44,Database!$A$2:$L$175,9,FALSE),"-")</f>
        <v>-</v>
      </c>
      <c r="S44" s="209" t="str">
        <f>IFERROR(VLOOKUP(O44,Database!$A$2:$S$175,19,FALSE),"-")</f>
        <v>-</v>
      </c>
      <c r="T44" s="97">
        <f>IF(AND(D44="Y",booking!P44&lt;&gt;booking!Q44,booking!Q44&gt;0),booking!Q44,"-")</f>
        <v>15</v>
      </c>
      <c r="U44" s="78">
        <f>IFERROR(VLOOKUP(T44,Database!$A$2:$L$175,8,FALSE),"-")</f>
        <v>0</v>
      </c>
      <c r="V44" s="78" t="str">
        <f>IFERROR(VLOOKUP(T44,Database!$A$2:$L$175,6,FALSE),"-")</f>
        <v>DK</v>
      </c>
      <c r="W44" s="82">
        <f>IFERROR(VLOOKUP(T44,Database!$A$2:$L$175,9,FALSE),"-")</f>
        <v>0</v>
      </c>
      <c r="X44" s="209" t="str">
        <f>IFERROR(VLOOKUP(T44,Database!$A$2:$S$175,19,FALSE),"-")</f>
        <v>YY</v>
      </c>
      <c r="Y44" s="96" t="str">
        <f>IF(AND(D44="Y",booking!T44&lt;&gt;booking!U44,booking!U44&gt;0),booking!U44,"-")</f>
        <v>-</v>
      </c>
      <c r="Z44" s="79" t="str">
        <f>IFERROR(VLOOKUP(Y44,Database!$A$2:$L$175,8,FALSE),"-")</f>
        <v>-</v>
      </c>
      <c r="AA44" s="79" t="str">
        <f>IFERROR(VLOOKUP(Y44,Database!$A$2:$L$175,6,FALSE),"-")</f>
        <v>-</v>
      </c>
      <c r="AB44" s="92" t="str">
        <f>IFERROR(VLOOKUP(Y44,Database!$A$2:$L$175,9,FALSE),"-")</f>
        <v>-</v>
      </c>
      <c r="AC44" s="8" t="str">
        <f>IFERROR(VLOOKUP(Y44,Database!$A$2:$S$175,19,FALSE),"-")</f>
        <v>-</v>
      </c>
    </row>
    <row r="45" spans="1:29" ht="15" customHeight="1" thickBot="1" x14ac:dyDescent="0.4">
      <c r="A45" s="88" t="str">
        <f>rengoering!A45</f>
        <v>tirsdag</v>
      </c>
      <c r="B45" s="84">
        <v>46182</v>
      </c>
      <c r="C45" s="9"/>
      <c r="D45" s="89" t="str">
        <f>IF(booking!AB45&gt;0,"Y","-")</f>
        <v>Y</v>
      </c>
      <c r="E45" s="95">
        <f>IF(AND(D45="Y",booking!D45&lt;&gt;booking!E45,booking!E45&gt;0),booking!E45,"-")</f>
        <v>16</v>
      </c>
      <c r="F45" s="8" t="str">
        <f>IFERROR(VLOOKUP(E45,Database!$A$2:$L$175,8,FALSE),"-")</f>
        <v>2030</v>
      </c>
      <c r="G45" s="78" t="str">
        <f>IFERROR(VLOOKUP(E45,Database!$A$2:$L$175,6,FALSE),"-")</f>
        <v>DK</v>
      </c>
      <c r="H45" s="93">
        <f>IFERROR(VLOOKUP(E45,Database!$A$2:$L$175,9,FALSE),"-")</f>
        <v>0</v>
      </c>
      <c r="I45" s="112"/>
      <c r="J45" s="96" t="str">
        <f>IF(AND(D45="Y",booking!H45&lt;&gt;booking!I45,booking!I45&gt;0),booking!I45,"-")</f>
        <v>-</v>
      </c>
      <c r="K45" s="78" t="str">
        <f>IFERROR(VLOOKUP(J45,Database!$A$2:$L$175,8,FALSE),"-")</f>
        <v>-</v>
      </c>
      <c r="L45" s="78" t="str">
        <f>IFERROR(VLOOKUP(J45,Database!$A$2:$L$175,6,FALSE),"-")</f>
        <v>-</v>
      </c>
      <c r="M45" s="93" t="str">
        <f>IFERROR(VLOOKUP(J45,Database!$A$2:$L$175,9,FALSE),"-")</f>
        <v>-</v>
      </c>
      <c r="N45" s="209" t="str">
        <f>IFERROR(VLOOKUP(J45,Database!$A$2:$S$175,19,FALSE),"-")</f>
        <v>-</v>
      </c>
      <c r="O45" s="96">
        <f>IF(AND(D45="Y",booking!L45&lt;&gt;booking!M45,booking!M45&gt;0),booking!M45,"-")</f>
        <v>18</v>
      </c>
      <c r="P45" s="78">
        <f>IFERROR(VLOOKUP(O45,Database!$A$2:$L$175,8,FALSE),"-")</f>
        <v>0</v>
      </c>
      <c r="Q45" s="78" t="str">
        <f>IFERROR(VLOOKUP(O45,Database!$A$2:$L$175,6,FALSE),"-")</f>
        <v>DK</v>
      </c>
      <c r="R45" s="82">
        <f>IFERROR(VLOOKUP(O45,Database!$A$2:$L$175,9,FALSE),"-")</f>
        <v>0</v>
      </c>
      <c r="S45" s="209" t="str">
        <f>IFERROR(VLOOKUP(O45,Database!$A$2:$S$175,19,FALSE),"-")</f>
        <v>YY</v>
      </c>
      <c r="T45" s="97" t="str">
        <f>IF(AND(D45="Y",booking!P45&lt;&gt;booking!Q45,booking!Q45&gt;0),booking!Q45,"-")</f>
        <v>-</v>
      </c>
      <c r="U45" s="78" t="str">
        <f>IFERROR(VLOOKUP(T45,Database!$A$2:$L$175,8,FALSE),"-")</f>
        <v>-</v>
      </c>
      <c r="V45" s="78" t="str">
        <f>IFERROR(VLOOKUP(T45,Database!$A$2:$L$175,6,FALSE),"-")</f>
        <v>-</v>
      </c>
      <c r="W45" s="82" t="str">
        <f>IFERROR(VLOOKUP(T45,Database!$A$2:$L$175,9,FALSE),"-")</f>
        <v>-</v>
      </c>
      <c r="X45" s="209" t="str">
        <f>IFERROR(VLOOKUP(T45,Database!$A$2:$S$175,19,FALSE),"-")</f>
        <v>-</v>
      </c>
      <c r="Y45" s="96">
        <f>IF(AND(D45="Y",booking!T45&lt;&gt;booking!U45,booking!U45&gt;0),booking!U45,"-")</f>
        <v>16</v>
      </c>
      <c r="Z45" s="79" t="str">
        <f>IFERROR(VLOOKUP(Y45,Database!$A$2:$L$175,8,FALSE),"-")</f>
        <v>2030</v>
      </c>
      <c r="AA45" s="79" t="str">
        <f>IFERROR(VLOOKUP(Y45,Database!$A$2:$L$175,6,FALSE),"-")</f>
        <v>DK</v>
      </c>
      <c r="AB45" s="92">
        <f>IFERROR(VLOOKUP(Y45,Database!$A$2:$L$175,9,FALSE),"-")</f>
        <v>0</v>
      </c>
      <c r="AC45" s="8" t="str">
        <f>IFERROR(VLOOKUP(Y45,Database!$A$2:$S$175,19,FALSE),"-")</f>
        <v>YY</v>
      </c>
    </row>
    <row r="46" spans="1:29" ht="15" customHeight="1" thickBot="1" x14ac:dyDescent="0.4">
      <c r="A46" s="88" t="str">
        <f>rengoering!A46</f>
        <v>onsdag</v>
      </c>
      <c r="B46" s="86">
        <v>46183</v>
      </c>
      <c r="C46" s="9"/>
      <c r="D46" s="89" t="str">
        <f>IF(booking!AB46&gt;0,"Y","-")</f>
        <v>-</v>
      </c>
      <c r="E46" s="95" t="str">
        <f>IF(AND(D46="Y",booking!D46&lt;&gt;booking!E46,booking!E46&gt;0),booking!E46,"-")</f>
        <v>-</v>
      </c>
      <c r="F46" s="8" t="str">
        <f>IFERROR(VLOOKUP(E46,Database!$A$2:$L$175,8,FALSE),"-")</f>
        <v>-</v>
      </c>
      <c r="G46" s="78" t="str">
        <f>IFERROR(VLOOKUP(E46,Database!$A$2:$L$175,6,FALSE),"-")</f>
        <v>-</v>
      </c>
      <c r="H46" s="93" t="str">
        <f>IFERROR(VLOOKUP(E46,Database!$A$2:$L$175,9,FALSE),"-")</f>
        <v>-</v>
      </c>
      <c r="I46" s="112"/>
      <c r="J46" s="96" t="str">
        <f>IF(AND(D46="Y",booking!H46&lt;&gt;booking!I46,booking!I46&gt;0),booking!I46,"-")</f>
        <v>-</v>
      </c>
      <c r="K46" s="78" t="str">
        <f>IFERROR(VLOOKUP(J46,Database!$A$2:$L$175,8,FALSE),"-")</f>
        <v>-</v>
      </c>
      <c r="L46" s="78" t="str">
        <f>IFERROR(VLOOKUP(J46,Database!$A$2:$L$175,6,FALSE),"-")</f>
        <v>-</v>
      </c>
      <c r="M46" s="93" t="str">
        <f>IFERROR(VLOOKUP(J46,Database!$A$2:$L$175,9,FALSE),"-")</f>
        <v>-</v>
      </c>
      <c r="N46" s="209" t="str">
        <f>IFERROR(VLOOKUP(J46,Database!$A$2:$S$175,19,FALSE),"-")</f>
        <v>-</v>
      </c>
      <c r="O46" s="96" t="str">
        <f>IF(AND(D46="Y",booking!L46&lt;&gt;booking!M45,booking!M45&gt;0),booking!M45,"-")</f>
        <v>-</v>
      </c>
      <c r="P46" s="78" t="str">
        <f>IFERROR(VLOOKUP(O46,Database!$A$2:$L$175,8,FALSE),"-")</f>
        <v>-</v>
      </c>
      <c r="Q46" s="78" t="str">
        <f>IFERROR(VLOOKUP(O46,Database!$A$2:$L$175,6,FALSE),"-")</f>
        <v>-</v>
      </c>
      <c r="R46" s="82" t="str">
        <f>IFERROR(VLOOKUP(O46,Database!$A$2:$L$175,9,FALSE),"-")</f>
        <v>-</v>
      </c>
      <c r="S46" s="209" t="str">
        <f>IFERROR(VLOOKUP(O46,Database!$A$2:$S$175,19,FALSE),"-")</f>
        <v>-</v>
      </c>
      <c r="T46" s="97" t="str">
        <f>IF(AND(D46="Y",booking!P46&lt;&gt;booking!Q46,booking!Q46&gt;0),booking!Q46,"-")</f>
        <v>-</v>
      </c>
      <c r="U46" s="78" t="str">
        <f>IFERROR(VLOOKUP(T46,Database!$A$2:$L$175,8,FALSE),"-")</f>
        <v>-</v>
      </c>
      <c r="V46" s="78" t="str">
        <f>IFERROR(VLOOKUP(T46,Database!$A$2:$L$175,6,FALSE),"-")</f>
        <v>-</v>
      </c>
      <c r="W46" s="82" t="str">
        <f>IFERROR(VLOOKUP(T46,Database!$A$2:$L$175,9,FALSE),"-")</f>
        <v>-</v>
      </c>
      <c r="X46" s="209" t="str">
        <f>IFERROR(VLOOKUP(T46,Database!$A$2:$S$175,19,FALSE),"-")</f>
        <v>-</v>
      </c>
      <c r="Y46" s="96" t="str">
        <f>IF(AND(D46="Y",booking!T46&lt;&gt;booking!U46,booking!U46&gt;0),booking!U46,"-")</f>
        <v>-</v>
      </c>
      <c r="Z46" s="79" t="str">
        <f>IFERROR(VLOOKUP(Y46,Database!$A$2:$L$175,8,FALSE),"-")</f>
        <v>-</v>
      </c>
      <c r="AA46" s="79" t="str">
        <f>IFERROR(VLOOKUP(Y46,Database!$A$2:$L$175,6,FALSE),"-")</f>
        <v>-</v>
      </c>
      <c r="AB46" s="92" t="str">
        <f>IFERROR(VLOOKUP(Y46,Database!$A$2:$L$175,9,FALSE),"-")</f>
        <v>-</v>
      </c>
      <c r="AC46" s="8" t="str">
        <f>IFERROR(VLOOKUP(Y46,Database!$A$2:$S$175,19,FALSE),"-")</f>
        <v>-</v>
      </c>
    </row>
    <row r="47" spans="1:29" ht="15" customHeight="1" thickBot="1" x14ac:dyDescent="0.4">
      <c r="A47" s="88" t="str">
        <f>rengoering!A47</f>
        <v>torsdag</v>
      </c>
      <c r="B47" s="84">
        <v>46184</v>
      </c>
      <c r="C47" s="9"/>
      <c r="D47" s="89" t="str">
        <f>IF(booking!AB47&gt;0,"Y","-")</f>
        <v>-</v>
      </c>
      <c r="E47" s="95" t="str">
        <f>IF(AND(D47="Y",booking!D47&lt;&gt;booking!E47,booking!E47&gt;0),booking!E47,"-")</f>
        <v>-</v>
      </c>
      <c r="F47" s="8" t="str">
        <f>IFERROR(VLOOKUP(E47,Database!$A$2:$L$175,8,FALSE),"-")</f>
        <v>-</v>
      </c>
      <c r="G47" s="78" t="str">
        <f>IFERROR(VLOOKUP(E47,Database!$A$2:$L$175,6,FALSE),"-")</f>
        <v>-</v>
      </c>
      <c r="H47" s="93" t="str">
        <f>IFERROR(VLOOKUP(E47,Database!$A$2:$L$175,9,FALSE),"-")</f>
        <v>-</v>
      </c>
      <c r="I47" s="112"/>
      <c r="J47" s="96" t="str">
        <f>IF(AND(D47="Y",booking!H47&lt;&gt;booking!I47,booking!I47&gt;0),booking!I47,"-")</f>
        <v>-</v>
      </c>
      <c r="K47" s="78" t="str">
        <f>IFERROR(VLOOKUP(J47,Database!$A$2:$L$175,8,FALSE),"-")</f>
        <v>-</v>
      </c>
      <c r="L47" s="78" t="str">
        <f>IFERROR(VLOOKUP(J47,Database!$A$2:$L$175,6,FALSE),"-")</f>
        <v>-</v>
      </c>
      <c r="M47" s="93" t="str">
        <f>IFERROR(VLOOKUP(J47,Database!$A$2:$L$175,9,FALSE),"-")</f>
        <v>-</v>
      </c>
      <c r="N47" s="209" t="str">
        <f>IFERROR(VLOOKUP(J47,Database!$A$2:$S$175,19,FALSE),"-")</f>
        <v>-</v>
      </c>
      <c r="O47" s="96" t="str">
        <f>IF(AND(D47="Y",booking!L47&lt;&gt;booking!M47,booking!M47&gt;0),booking!M47,"-")</f>
        <v>-</v>
      </c>
      <c r="P47" s="78" t="str">
        <f>IFERROR(VLOOKUP(O47,Database!$A$2:$L$175,8,FALSE),"-")</f>
        <v>-</v>
      </c>
      <c r="Q47" s="78" t="str">
        <f>IFERROR(VLOOKUP(O47,Database!$A$2:$L$175,6,FALSE),"-")</f>
        <v>-</v>
      </c>
      <c r="R47" s="82" t="str">
        <f>IFERROR(VLOOKUP(O47,Database!$A$2:$L$175,9,FALSE),"-")</f>
        <v>-</v>
      </c>
      <c r="S47" s="209" t="str">
        <f>IFERROR(VLOOKUP(O47,Database!$A$2:$S$175,19,FALSE),"-")</f>
        <v>-</v>
      </c>
      <c r="T47" s="97" t="str">
        <f>IF(AND(D47="Y",booking!P47&lt;&gt;booking!Q47,booking!Q47&gt;0),booking!Q47,"-")</f>
        <v>-</v>
      </c>
      <c r="U47" s="78" t="str">
        <f>IFERROR(VLOOKUP(T47,Database!$A$2:$L$175,8,FALSE),"-")</f>
        <v>-</v>
      </c>
      <c r="V47" s="78" t="str">
        <f>IFERROR(VLOOKUP(T47,Database!$A$2:$L$175,6,FALSE),"-")</f>
        <v>-</v>
      </c>
      <c r="W47" s="82" t="str">
        <f>IFERROR(VLOOKUP(T47,Database!$A$2:$L$175,9,FALSE),"-")</f>
        <v>-</v>
      </c>
      <c r="X47" s="209" t="str">
        <f>IFERROR(VLOOKUP(T47,Database!$A$2:$S$175,19,FALSE),"-")</f>
        <v>-</v>
      </c>
      <c r="Y47" s="96" t="str">
        <f>IF(AND(D47="Y",booking!T47&lt;&gt;booking!U47,booking!U47&gt;0),booking!U47,"-")</f>
        <v>-</v>
      </c>
      <c r="Z47" s="79" t="str">
        <f>IFERROR(VLOOKUP(Y47,Database!$A$2:$L$175,8,FALSE),"-")</f>
        <v>-</v>
      </c>
      <c r="AA47" s="79" t="str">
        <f>IFERROR(VLOOKUP(Y47,Database!$A$2:$L$175,6,FALSE),"-")</f>
        <v>-</v>
      </c>
      <c r="AB47" s="92" t="str">
        <f>IFERROR(VLOOKUP(Y47,Database!$A$2:$L$175,9,FALSE),"-")</f>
        <v>-</v>
      </c>
      <c r="AC47" s="8" t="str">
        <f>IFERROR(VLOOKUP(Y47,Database!$A$2:$S$175,19,FALSE),"-")</f>
        <v>-</v>
      </c>
    </row>
    <row r="48" spans="1:29" ht="15" customHeight="1" thickBot="1" x14ac:dyDescent="0.4">
      <c r="A48" s="88" t="str">
        <f>rengoering!A48</f>
        <v>fredag</v>
      </c>
      <c r="B48" s="86">
        <v>46185</v>
      </c>
      <c r="C48" s="9"/>
      <c r="D48" s="89" t="str">
        <f>IF(booking!AB48&gt;0,"Y","-")</f>
        <v>-</v>
      </c>
      <c r="E48" s="95" t="str">
        <f>IF(AND(D48="Y",booking!D48&lt;&gt;booking!E48,booking!E48&gt;0),booking!E48,"-")</f>
        <v>-</v>
      </c>
      <c r="F48" s="8" t="str">
        <f>IFERROR(VLOOKUP(E48,Database!$A$2:$L$175,8,FALSE),"-")</f>
        <v>-</v>
      </c>
      <c r="G48" s="78" t="str">
        <f>IFERROR(VLOOKUP(E48,Database!$A$2:$L$175,6,FALSE),"-")</f>
        <v>-</v>
      </c>
      <c r="H48" s="93" t="str">
        <f>IFERROR(VLOOKUP(E48,Database!$A$2:$L$175,9,FALSE),"-")</f>
        <v>-</v>
      </c>
      <c r="I48" s="112"/>
      <c r="J48" s="96" t="str">
        <f>IF(AND(D48="Y",booking!H48&lt;&gt;booking!I48,booking!I48&gt;0),booking!I48,"-")</f>
        <v>-</v>
      </c>
      <c r="K48" s="78" t="str">
        <f>IFERROR(VLOOKUP(J48,Database!$A$2:$L$175,8,FALSE),"-")</f>
        <v>-</v>
      </c>
      <c r="L48" s="78" t="str">
        <f>IFERROR(VLOOKUP(J48,Database!$A$2:$L$175,6,FALSE),"-")</f>
        <v>-</v>
      </c>
      <c r="M48" s="93" t="str">
        <f>IFERROR(VLOOKUP(J48,Database!$A$2:$L$175,9,FALSE),"-")</f>
        <v>-</v>
      </c>
      <c r="N48" s="209" t="str">
        <f>IFERROR(VLOOKUP(J48,Database!$A$2:$S$175,19,FALSE),"-")</f>
        <v>-</v>
      </c>
      <c r="O48" s="96" t="str">
        <f>IF(AND(D48="Y",booking!L48&lt;&gt;booking!M48,booking!M48&gt;0),booking!M48,"-")</f>
        <v>-</v>
      </c>
      <c r="P48" s="78" t="str">
        <f>IFERROR(VLOOKUP(O48,Database!$A$2:$L$175,8,FALSE),"-")</f>
        <v>-</v>
      </c>
      <c r="Q48" s="78" t="str">
        <f>IFERROR(VLOOKUP(O48,Database!$A$2:$L$175,6,FALSE),"-")</f>
        <v>-</v>
      </c>
      <c r="R48" s="82" t="str">
        <f>IFERROR(VLOOKUP(O48,Database!$A$2:$L$175,9,FALSE),"-")</f>
        <v>-</v>
      </c>
      <c r="S48" s="209" t="str">
        <f>IFERROR(VLOOKUP(O48,Database!$A$2:$S$175,19,FALSE),"-")</f>
        <v>-</v>
      </c>
      <c r="T48" s="97" t="str">
        <f>IF(AND(D48="Y",booking!P48&lt;&gt;booking!Q48,booking!Q48&gt;0),booking!Q48,"-")</f>
        <v>-</v>
      </c>
      <c r="U48" s="78" t="str">
        <f>IFERROR(VLOOKUP(T48,Database!$A$2:$L$175,8,FALSE),"-")</f>
        <v>-</v>
      </c>
      <c r="V48" s="78" t="str">
        <f>IFERROR(VLOOKUP(T48,Database!$A$2:$L$175,6,FALSE),"-")</f>
        <v>-</v>
      </c>
      <c r="W48" s="82" t="str">
        <f>IFERROR(VLOOKUP(T48,Database!$A$2:$L$175,9,FALSE),"-")</f>
        <v>-</v>
      </c>
      <c r="X48" s="209" t="str">
        <f>IFERROR(VLOOKUP(T48,Database!$A$2:$S$175,19,FALSE),"-")</f>
        <v>-</v>
      </c>
      <c r="Y48" s="96" t="str">
        <f>IF(AND(D48="Y",booking!T48&lt;&gt;booking!U48,booking!U48&gt;0),booking!U48,"-")</f>
        <v>-</v>
      </c>
      <c r="Z48" s="79" t="str">
        <f>IFERROR(VLOOKUP(Y48,Database!$A$2:$L$175,8,FALSE),"-")</f>
        <v>-</v>
      </c>
      <c r="AA48" s="79" t="str">
        <f>IFERROR(VLOOKUP(Y48,Database!$A$2:$L$175,6,FALSE),"-")</f>
        <v>-</v>
      </c>
      <c r="AB48" s="92" t="str">
        <f>IFERROR(VLOOKUP(Y48,Database!$A$2:$L$175,9,FALSE),"-")</f>
        <v>-</v>
      </c>
      <c r="AC48" s="8" t="str">
        <f>IFERROR(VLOOKUP(Y48,Database!$A$2:$S$175,19,FALSE),"-")</f>
        <v>-</v>
      </c>
    </row>
    <row r="49" spans="1:29" ht="15" customHeight="1" thickBot="1" x14ac:dyDescent="0.4">
      <c r="A49" s="88" t="str">
        <f>rengoering!A49</f>
        <v>lørdag</v>
      </c>
      <c r="B49" s="84">
        <v>46186</v>
      </c>
      <c r="C49" s="9"/>
      <c r="D49" s="89" t="str">
        <f>IF(booking!AB49&gt;0,"Y","-")</f>
        <v>-</v>
      </c>
      <c r="E49" s="95" t="str">
        <f>IF(AND(D49="Y",booking!D49&lt;&gt;booking!E49,booking!E49&gt;0),booking!E49,"-")</f>
        <v>-</v>
      </c>
      <c r="F49" s="8" t="str">
        <f>IFERROR(VLOOKUP(E49,Database!$A$2:$L$175,8,FALSE),"-")</f>
        <v>-</v>
      </c>
      <c r="G49" s="78" t="str">
        <f>IFERROR(VLOOKUP(E49,Database!$A$2:$L$175,6,FALSE),"-")</f>
        <v>-</v>
      </c>
      <c r="H49" s="93" t="str">
        <f>IFERROR(VLOOKUP(E49,Database!$A$2:$L$175,9,FALSE),"-")</f>
        <v>-</v>
      </c>
      <c r="I49" s="112"/>
      <c r="J49" s="96" t="str">
        <f>IF(AND(D49="Y",booking!H49&lt;&gt;booking!I49,booking!I49&gt;0),booking!I49,"-")</f>
        <v>-</v>
      </c>
      <c r="K49" s="78" t="str">
        <f>IFERROR(VLOOKUP(J49,Database!$A$2:$L$175,8,FALSE),"-")</f>
        <v>-</v>
      </c>
      <c r="L49" s="78" t="str">
        <f>IFERROR(VLOOKUP(J49,Database!$A$2:$L$175,6,FALSE),"-")</f>
        <v>-</v>
      </c>
      <c r="M49" s="93" t="str">
        <f>IFERROR(VLOOKUP(J49,Database!$A$2:$L$175,9,FALSE),"-")</f>
        <v>-</v>
      </c>
      <c r="N49" s="209" t="str">
        <f>IFERROR(VLOOKUP(J49,Database!$A$2:$S$175,19,FALSE),"-")</f>
        <v>-</v>
      </c>
      <c r="O49" s="96" t="str">
        <f>IF(AND(D49="Y",booking!L49&lt;&gt;booking!M49,booking!M49&gt;0),booking!M49,"-")</f>
        <v>-</v>
      </c>
      <c r="P49" s="78" t="str">
        <f>IFERROR(VLOOKUP(O49,Database!$A$2:$L$175,8,FALSE),"-")</f>
        <v>-</v>
      </c>
      <c r="Q49" s="78" t="str">
        <f>IFERROR(VLOOKUP(O49,Database!$A$2:$L$175,6,FALSE),"-")</f>
        <v>-</v>
      </c>
      <c r="R49" s="82" t="str">
        <f>IFERROR(VLOOKUP(O49,Database!$A$2:$L$175,9,FALSE),"-")</f>
        <v>-</v>
      </c>
      <c r="S49" s="209" t="str">
        <f>IFERROR(VLOOKUP(O49,Database!$A$2:$S$175,19,FALSE),"-")</f>
        <v>-</v>
      </c>
      <c r="T49" s="97" t="str">
        <f>IF(AND(D49="Y",booking!P49&lt;&gt;booking!Q49,booking!Q49&gt;0),booking!Q49,"-")</f>
        <v>-</v>
      </c>
      <c r="U49" s="78" t="str">
        <f>IFERROR(VLOOKUP(T49,Database!$A$2:$L$175,8,FALSE),"-")</f>
        <v>-</v>
      </c>
      <c r="V49" s="78" t="str">
        <f>IFERROR(VLOOKUP(T49,Database!$A$2:$L$175,6,FALSE),"-")</f>
        <v>-</v>
      </c>
      <c r="W49" s="82" t="str">
        <f>IFERROR(VLOOKUP(T49,Database!$A$2:$L$175,9,FALSE),"-")</f>
        <v>-</v>
      </c>
      <c r="X49" s="209" t="str">
        <f>IFERROR(VLOOKUP(T49,Database!$A$2:$S$175,19,FALSE),"-")</f>
        <v>-</v>
      </c>
      <c r="Y49" s="96" t="str">
        <f>IF(AND(D49="Y",booking!T49&lt;&gt;booking!U49,booking!U49&gt;0),booking!U49,"-")</f>
        <v>-</v>
      </c>
      <c r="Z49" s="79" t="str">
        <f>IFERROR(VLOOKUP(Y49,Database!$A$2:$L$175,8,FALSE),"-")</f>
        <v>-</v>
      </c>
      <c r="AA49" s="79" t="str">
        <f>IFERROR(VLOOKUP(Y49,Database!$A$2:$L$175,6,FALSE),"-")</f>
        <v>-</v>
      </c>
      <c r="AB49" s="92" t="str">
        <f>IFERROR(VLOOKUP(Y49,Database!$A$2:$L$175,9,FALSE),"-")</f>
        <v>-</v>
      </c>
      <c r="AC49" s="8" t="str">
        <f>IFERROR(VLOOKUP(Y49,Database!$A$2:$S$175,19,FALSE),"-")</f>
        <v>-</v>
      </c>
    </row>
    <row r="50" spans="1:29" ht="15" customHeight="1" thickBot="1" x14ac:dyDescent="0.4">
      <c r="A50" s="88" t="str">
        <f>rengoering!A50</f>
        <v>søndag</v>
      </c>
      <c r="B50" s="86">
        <v>46187</v>
      </c>
      <c r="C50" s="9"/>
      <c r="D50" s="89" t="str">
        <f>IF(booking!AB50&gt;0,"Y","-")</f>
        <v>Y</v>
      </c>
      <c r="E50" s="95" t="str">
        <f>IF(AND(D50="Y",booking!D50&lt;&gt;booking!E50,booking!E50&gt;0),booking!E50,"-")</f>
        <v>-</v>
      </c>
      <c r="F50" s="8" t="str">
        <f>IFERROR(VLOOKUP(E50,Database!$A$2:$L$175,8,FALSE),"-")</f>
        <v>-</v>
      </c>
      <c r="G50" s="78" t="str">
        <f>IFERROR(VLOOKUP(E50,Database!$A$2:$L$175,6,FALSE),"-")</f>
        <v>-</v>
      </c>
      <c r="H50" s="93" t="str">
        <f>IFERROR(VLOOKUP(E50,Database!$A$2:$L$175,9,FALSE),"-")</f>
        <v>-</v>
      </c>
      <c r="I50" s="112"/>
      <c r="J50" s="96" t="str">
        <f>IF(AND(D50="Y",booking!H50&lt;&gt;booking!I50,booking!I50&gt;0),booking!I50,"-")</f>
        <v>-</v>
      </c>
      <c r="K50" s="78" t="str">
        <f>IFERROR(VLOOKUP(J50,Database!$A$2:$L$175,8,FALSE),"-")</f>
        <v>-</v>
      </c>
      <c r="L50" s="78" t="str">
        <f>IFERROR(VLOOKUP(J50,Database!$A$2:$L$175,6,FALSE),"-")</f>
        <v>-</v>
      </c>
      <c r="M50" s="93" t="str">
        <f>IFERROR(VLOOKUP(J50,Database!$A$2:$L$175,9,FALSE),"-")</f>
        <v>-</v>
      </c>
      <c r="N50" s="209" t="str">
        <f>IFERROR(VLOOKUP(J50,Database!$A$2:$S$175,19,FALSE),"-")</f>
        <v>-</v>
      </c>
      <c r="O50" s="96">
        <f>IF(AND(D50="Y",booking!L50&lt;&gt;booking!M50,booking!M50&gt;0),booking!M50,"-")</f>
        <v>83</v>
      </c>
      <c r="P50" s="78">
        <f>IFERROR(VLOOKUP(O50,Database!$A$2:$L$175,8,FALSE),"-")</f>
        <v>0</v>
      </c>
      <c r="Q50" s="78" t="str">
        <f>IFERROR(VLOOKUP(O50,Database!$A$2:$L$175,6,FALSE),"-")</f>
        <v>DK</v>
      </c>
      <c r="R50" s="82">
        <f>IFERROR(VLOOKUP(O50,Database!$A$2:$L$175,9,FALSE),"-")</f>
        <v>0</v>
      </c>
      <c r="S50" s="209" t="str">
        <f>IFERROR(VLOOKUP(O50,Database!$A$2:$S$175,19,FALSE),"-")</f>
        <v>N</v>
      </c>
      <c r="T50" s="97" t="str">
        <f>IF(AND(D50="Y",booking!P50&lt;&gt;booking!Q50,booking!Q50&gt;0),booking!Q50,"-")</f>
        <v>-</v>
      </c>
      <c r="U50" s="78" t="str">
        <f>IFERROR(VLOOKUP(T50,Database!$A$2:$L$175,8,FALSE),"-")</f>
        <v>-</v>
      </c>
      <c r="V50" s="78" t="str">
        <f>IFERROR(VLOOKUP(T50,Database!$A$2:$L$175,6,FALSE),"-")</f>
        <v>-</v>
      </c>
      <c r="W50" s="82" t="str">
        <f>IFERROR(VLOOKUP(T50,Database!$A$2:$L$175,9,FALSE),"-")</f>
        <v>-</v>
      </c>
      <c r="X50" s="209" t="str">
        <f>IFERROR(VLOOKUP(T50,Database!$A$2:$S$175,19,FALSE),"-")</f>
        <v>-</v>
      </c>
      <c r="Y50" s="96" t="str">
        <f>IF(AND(D50="Y",booking!T50&lt;&gt;booking!U50,booking!U50&gt;0),booking!U50,"-")</f>
        <v>-</v>
      </c>
      <c r="Z50" s="79" t="str">
        <f>IFERROR(VLOOKUP(Y50,Database!$A$2:$L$175,8,FALSE),"-")</f>
        <v>-</v>
      </c>
      <c r="AA50" s="79" t="str">
        <f>IFERROR(VLOOKUP(Y50,Database!$A$2:$L$175,6,FALSE),"-")</f>
        <v>-</v>
      </c>
      <c r="AB50" s="92" t="str">
        <f>IFERROR(VLOOKUP(Y50,Database!$A$2:$L$175,9,FALSE),"-")</f>
        <v>-</v>
      </c>
      <c r="AC50" s="8" t="str">
        <f>IFERROR(VLOOKUP(Y50,Database!$A$2:$S$175,19,FALSE),"-")</f>
        <v>-</v>
      </c>
    </row>
    <row r="51" spans="1:29" ht="15" customHeight="1" thickBot="1" x14ac:dyDescent="0.4">
      <c r="A51" s="88" t="str">
        <f>rengoering!A51</f>
        <v>mandag</v>
      </c>
      <c r="B51" s="84">
        <v>46188</v>
      </c>
      <c r="C51" s="9"/>
      <c r="D51" s="89" t="str">
        <f>IF(booking!AB51&gt;0,"Y","-")</f>
        <v>Y</v>
      </c>
      <c r="E51" s="95" t="str">
        <f>IF(AND(D51="Y",booking!D51&lt;&gt;booking!E51,booking!E51&gt;0),booking!E51,"-")</f>
        <v>-</v>
      </c>
      <c r="F51" s="8" t="str">
        <f>IFERROR(VLOOKUP(E51,Database!$A$2:$L$175,8,FALSE),"-")</f>
        <v>-</v>
      </c>
      <c r="G51" s="78" t="str">
        <f>IFERROR(VLOOKUP(E51,Database!$A$2:$L$175,6,FALSE),"-")</f>
        <v>-</v>
      </c>
      <c r="H51" s="93" t="str">
        <f>IFERROR(VLOOKUP(E51,Database!$A$2:$L$175,9,FALSE),"-")</f>
        <v>-</v>
      </c>
      <c r="I51" s="112"/>
      <c r="J51" s="96" t="str">
        <f>IF(AND(D51="Y",booking!H51&lt;&gt;booking!I51,booking!I51&gt;0),booking!I51,"-")</f>
        <v>-</v>
      </c>
      <c r="K51" s="78" t="str">
        <f>IFERROR(VLOOKUP(J51,Database!$A$2:$L$175,8,FALSE),"-")</f>
        <v>-</v>
      </c>
      <c r="L51" s="78" t="str">
        <f>IFERROR(VLOOKUP(J51,Database!$A$2:$L$175,6,FALSE),"-")</f>
        <v>-</v>
      </c>
      <c r="M51" s="93" t="str">
        <f>IFERROR(VLOOKUP(J51,Database!$A$2:$L$175,9,FALSE),"-")</f>
        <v>-</v>
      </c>
      <c r="N51" s="209" t="str">
        <f>IFERROR(VLOOKUP(J51,Database!$A$2:$S$175,19,FALSE),"-")</f>
        <v>-</v>
      </c>
      <c r="O51" s="96" t="str">
        <f>IF(AND(D51="Y",booking!L51&lt;&gt;booking!M51,booking!M51&gt;0),booking!M51,"-")</f>
        <v>-</v>
      </c>
      <c r="P51" s="78" t="str">
        <f>IFERROR(VLOOKUP(O51,Database!$A$2:$L$175,8,FALSE),"-")</f>
        <v>-</v>
      </c>
      <c r="Q51" s="78" t="str">
        <f>IFERROR(VLOOKUP(O51,Database!$A$2:$L$175,6,FALSE),"-")</f>
        <v>-</v>
      </c>
      <c r="R51" s="82" t="str">
        <f>IFERROR(VLOOKUP(O51,Database!$A$2:$L$175,9,FALSE),"-")</f>
        <v>-</v>
      </c>
      <c r="S51" s="209" t="str">
        <f>IFERROR(VLOOKUP(O51,Database!$A$2:$S$175,19,FALSE),"-")</f>
        <v>-</v>
      </c>
      <c r="T51" s="97">
        <f>IF(AND(D51="Y",booking!P51&lt;&gt;booking!Q51,booking!Q51&gt;0),booking!Q51,"-")</f>
        <v>70</v>
      </c>
      <c r="U51" s="78">
        <f>IFERROR(VLOOKUP(T51,Database!$A$2:$L$175,8,FALSE),"-")</f>
        <v>0</v>
      </c>
      <c r="V51" s="78" t="str">
        <f>IFERROR(VLOOKUP(T51,Database!$A$2:$L$175,6,FALSE),"-")</f>
        <v>DK</v>
      </c>
      <c r="W51" s="82">
        <f>IFERROR(VLOOKUP(T51,Database!$A$2:$L$175,9,FALSE),"-")</f>
        <v>0</v>
      </c>
      <c r="X51" s="209" t="str">
        <f>IFERROR(VLOOKUP(T51,Database!$A$2:$S$175,19,FALSE),"-")</f>
        <v>Y</v>
      </c>
      <c r="Y51" s="96">
        <f>IF(AND(D51="Y",booking!T51&lt;&gt;booking!U51,booking!U51&gt;0),booking!U51,"-")</f>
        <v>86</v>
      </c>
      <c r="Z51" s="79">
        <f>IFERROR(VLOOKUP(Y51,Database!$A$2:$L$175,8,FALSE),"-")</f>
        <v>0</v>
      </c>
      <c r="AA51" s="79" t="str">
        <f>IFERROR(VLOOKUP(Y51,Database!$A$2:$L$175,6,FALSE),"-")</f>
        <v>D</v>
      </c>
      <c r="AB51" s="92">
        <f>IFERROR(VLOOKUP(Y51,Database!$A$2:$L$175,9,FALSE),"-")</f>
        <v>0</v>
      </c>
      <c r="AC51" s="8" t="str">
        <f>IFERROR(VLOOKUP(Y51,Database!$A$2:$S$175,19,FALSE),"-")</f>
        <v>Y</v>
      </c>
    </row>
    <row r="52" spans="1:29" ht="15" customHeight="1" thickBot="1" x14ac:dyDescent="0.4">
      <c r="A52" s="88" t="str">
        <f>rengoering!A52</f>
        <v>tirsdag</v>
      </c>
      <c r="B52" s="86">
        <v>46189</v>
      </c>
      <c r="C52" s="9"/>
      <c r="D52" s="89" t="str">
        <f>IF(booking!AB52&gt;0,"Y","-")</f>
        <v>-</v>
      </c>
      <c r="E52" s="95" t="str">
        <f>IF(AND(D52="Y",booking!D52&lt;&gt;booking!E52,booking!E52&gt;0),booking!E52,"-")</f>
        <v>-</v>
      </c>
      <c r="F52" s="8" t="str">
        <f>IFERROR(VLOOKUP(E52,Database!$A$2:$L$175,8,FALSE),"-")</f>
        <v>-</v>
      </c>
      <c r="G52" s="78" t="str">
        <f>IFERROR(VLOOKUP(E52,Database!$A$2:$L$175,6,FALSE),"-")</f>
        <v>-</v>
      </c>
      <c r="H52" s="93" t="str">
        <f>IFERROR(VLOOKUP(E52,Database!$A$2:$L$175,9,FALSE),"-")</f>
        <v>-</v>
      </c>
      <c r="I52" s="112"/>
      <c r="J52" s="96" t="str">
        <f>IF(AND(D52="Y",booking!H52&lt;&gt;booking!I52,booking!I52&gt;0),booking!I52,"-")</f>
        <v>-</v>
      </c>
      <c r="K52" s="78" t="str">
        <f>IFERROR(VLOOKUP(J52,Database!$A$2:$L$175,8,FALSE),"-")</f>
        <v>-</v>
      </c>
      <c r="L52" s="78" t="str">
        <f>IFERROR(VLOOKUP(J52,Database!$A$2:$L$175,6,FALSE),"-")</f>
        <v>-</v>
      </c>
      <c r="M52" s="93" t="str">
        <f>IFERROR(VLOOKUP(J52,Database!$A$2:$L$175,9,FALSE),"-")</f>
        <v>-</v>
      </c>
      <c r="N52" s="209" t="str">
        <f>IFERROR(VLOOKUP(J52,Database!$A$2:$S$175,19,FALSE),"-")</f>
        <v>-</v>
      </c>
      <c r="O52" s="96" t="str">
        <f>IF(AND(D52="Y",booking!L52&lt;&gt;booking!M52,booking!M52&gt;0),booking!M52,"-")</f>
        <v>-</v>
      </c>
      <c r="P52" s="78" t="str">
        <f>IFERROR(VLOOKUP(O52,Database!$A$2:$L$175,8,FALSE),"-")</f>
        <v>-</v>
      </c>
      <c r="Q52" s="78" t="str">
        <f>IFERROR(VLOOKUP(O52,Database!$A$2:$L$175,6,FALSE),"-")</f>
        <v>-</v>
      </c>
      <c r="R52" s="82" t="str">
        <f>IFERROR(VLOOKUP(O52,Database!$A$2:$L$175,9,FALSE),"-")</f>
        <v>-</v>
      </c>
      <c r="S52" s="209" t="str">
        <f>IFERROR(VLOOKUP(O52,Database!$A$2:$S$175,19,FALSE),"-")</f>
        <v>-</v>
      </c>
      <c r="T52" s="97" t="str">
        <f>IF(AND(D52="Y",booking!P52&lt;&gt;booking!Q52,booking!Q52&gt;0),booking!Q52,"-")</f>
        <v>-</v>
      </c>
      <c r="U52" s="78" t="str">
        <f>IFERROR(VLOOKUP(T52,Database!$A$2:$L$175,8,FALSE),"-")</f>
        <v>-</v>
      </c>
      <c r="V52" s="78" t="str">
        <f>IFERROR(VLOOKUP(T52,Database!$A$2:$L$175,6,FALSE),"-")</f>
        <v>-</v>
      </c>
      <c r="W52" s="82" t="str">
        <f>IFERROR(VLOOKUP(T52,Database!$A$2:$L$175,9,FALSE),"-")</f>
        <v>-</v>
      </c>
      <c r="X52" s="209" t="str">
        <f>IFERROR(VLOOKUP(T52,Database!$A$2:$S$175,19,FALSE),"-")</f>
        <v>-</v>
      </c>
      <c r="Y52" s="96" t="str">
        <f>IF(AND(D52="Y",booking!T52&lt;&gt;booking!U52,booking!U52&gt;0),booking!U52,"-")</f>
        <v>-</v>
      </c>
      <c r="Z52" s="79" t="str">
        <f>IFERROR(VLOOKUP(Y52,Database!$A$2:$L$175,8,FALSE),"-")</f>
        <v>-</v>
      </c>
      <c r="AA52" s="79" t="str">
        <f>IFERROR(VLOOKUP(Y52,Database!$A$2:$L$175,6,FALSE),"-")</f>
        <v>-</v>
      </c>
      <c r="AB52" s="92" t="str">
        <f>IFERROR(VLOOKUP(Y52,Database!$A$2:$L$175,9,FALSE),"-")</f>
        <v>-</v>
      </c>
      <c r="AC52" s="8" t="str">
        <f>IFERROR(VLOOKUP(Y52,Database!$A$2:$S$175,19,FALSE),"-")</f>
        <v>-</v>
      </c>
    </row>
    <row r="53" spans="1:29" ht="15" customHeight="1" thickBot="1" x14ac:dyDescent="0.4">
      <c r="A53" s="88" t="str">
        <f>rengoering!A53</f>
        <v>onsdag</v>
      </c>
      <c r="B53" s="84">
        <v>46190</v>
      </c>
      <c r="C53" s="9"/>
      <c r="D53" s="89" t="str">
        <f>IF(booking!AB53&gt;0,"Y","-")</f>
        <v>Y</v>
      </c>
      <c r="E53" s="95">
        <f>IF(AND(D53="Y",booking!D53&lt;&gt;booking!E53,booking!E53&gt;0),booking!E53,"-")</f>
        <v>31</v>
      </c>
      <c r="F53" s="8">
        <f>IFERROR(VLOOKUP(E53,Database!$A$2:$L$175,8,FALSE),"-")</f>
        <v>0</v>
      </c>
      <c r="G53" s="78" t="str">
        <f>IFERROR(VLOOKUP(E53,Database!$A$2:$L$175,6,FALSE),"-")</f>
        <v>DK</v>
      </c>
      <c r="H53" s="93">
        <f>IFERROR(VLOOKUP(E53,Database!$A$2:$L$175,9,FALSE),"-")</f>
        <v>0</v>
      </c>
      <c r="I53" s="112"/>
      <c r="J53" s="96" t="str">
        <f>IF(AND(D53="Y",booking!H53&lt;&gt;booking!I53,booking!I53&gt;0),booking!I53,"-")</f>
        <v>-</v>
      </c>
      <c r="K53" s="78" t="str">
        <f>IFERROR(VLOOKUP(J53,Database!$A$2:$L$175,8,FALSE),"-")</f>
        <v>-</v>
      </c>
      <c r="L53" s="78" t="str">
        <f>IFERROR(VLOOKUP(J53,Database!$A$2:$L$175,6,FALSE),"-")</f>
        <v>-</v>
      </c>
      <c r="M53" s="93" t="str">
        <f>IFERROR(VLOOKUP(J53,Database!$A$2:$L$175,9,FALSE),"-")</f>
        <v>-</v>
      </c>
      <c r="N53" s="209" t="str">
        <f>IFERROR(VLOOKUP(J53,Database!$A$2:$S$175,19,FALSE),"-")</f>
        <v>-</v>
      </c>
      <c r="O53" s="96" t="str">
        <f>IF(AND(D53="Y",booking!L53&lt;&gt;booking!M53,booking!M53&gt;0),booking!M53,"-")</f>
        <v>-</v>
      </c>
      <c r="P53" s="78" t="str">
        <f>IFERROR(VLOOKUP(O53,Database!$A$2:$L$175,8,FALSE),"-")</f>
        <v>-</v>
      </c>
      <c r="Q53" s="78" t="str">
        <f>IFERROR(VLOOKUP(O53,Database!$A$2:$L$175,6,FALSE),"-")</f>
        <v>-</v>
      </c>
      <c r="R53" s="82" t="str">
        <f>IFERROR(VLOOKUP(O53,Database!$A$2:$L$175,9,FALSE),"-")</f>
        <v>-</v>
      </c>
      <c r="S53" s="209" t="str">
        <f>IFERROR(VLOOKUP(O53,Database!$A$2:$S$175,19,FALSE),"-")</f>
        <v>-</v>
      </c>
      <c r="T53" s="97" t="str">
        <f>IF(AND(D53="Y",booking!P53&lt;&gt;booking!Q53,booking!Q53&gt;0),booking!Q53,"-")</f>
        <v>-</v>
      </c>
      <c r="U53" s="78" t="str">
        <f>IFERROR(VLOOKUP(T53,Database!$A$2:$L$175,8,FALSE),"-")</f>
        <v>-</v>
      </c>
      <c r="V53" s="78" t="str">
        <f>IFERROR(VLOOKUP(T53,Database!$A$2:$L$175,6,FALSE),"-")</f>
        <v>-</v>
      </c>
      <c r="W53" s="82" t="str">
        <f>IFERROR(VLOOKUP(T53,Database!$A$2:$L$175,9,FALSE),"-")</f>
        <v>-</v>
      </c>
      <c r="X53" s="209" t="str">
        <f>IFERROR(VLOOKUP(T53,Database!$A$2:$S$175,19,FALSE),"-")</f>
        <v>-</v>
      </c>
      <c r="Y53" s="96" t="str">
        <f>IF(AND(D53="Y",booking!T53&lt;&gt;booking!U53,booking!U53&gt;0),booking!U53,"-")</f>
        <v>-</v>
      </c>
      <c r="Z53" s="79" t="str">
        <f>IFERROR(VLOOKUP(Y53,Database!$A$2:$L$175,8,FALSE),"-")</f>
        <v>-</v>
      </c>
      <c r="AA53" s="79" t="str">
        <f>IFERROR(VLOOKUP(Y53,Database!$A$2:$L$175,6,FALSE),"-")</f>
        <v>-</v>
      </c>
      <c r="AB53" s="92" t="str">
        <f>IFERROR(VLOOKUP(Y53,Database!$A$2:$L$175,9,FALSE),"-")</f>
        <v>-</v>
      </c>
      <c r="AC53" s="8" t="str">
        <f>IFERROR(VLOOKUP(Y53,Database!$A$2:$S$175,19,FALSE),"-")</f>
        <v>-</v>
      </c>
    </row>
    <row r="54" spans="1:29" ht="15" customHeight="1" thickBot="1" x14ac:dyDescent="0.4">
      <c r="A54" s="88" t="str">
        <f>rengoering!A54</f>
        <v>torsdag</v>
      </c>
      <c r="B54" s="86">
        <v>46191</v>
      </c>
      <c r="C54" s="9"/>
      <c r="D54" s="89" t="str">
        <f>IF(booking!AB54&gt;0,"Y","-")</f>
        <v>-</v>
      </c>
      <c r="E54" s="95" t="str">
        <f>IF(AND(D54="Y",booking!D54&lt;&gt;booking!E54,booking!E54&gt;0),booking!E54,"-")</f>
        <v>-</v>
      </c>
      <c r="F54" s="8" t="str">
        <f>IFERROR(VLOOKUP(E54,Database!$A$2:$L$175,8,FALSE),"-")</f>
        <v>-</v>
      </c>
      <c r="G54" s="78" t="str">
        <f>IFERROR(VLOOKUP(E54,Database!$A$2:$L$175,6,FALSE),"-")</f>
        <v>-</v>
      </c>
      <c r="H54" s="93" t="str">
        <f>IFERROR(VLOOKUP(E54,Database!$A$2:$L$175,9,FALSE),"-")</f>
        <v>-</v>
      </c>
      <c r="I54" s="112"/>
      <c r="J54" s="96" t="str">
        <f>IF(AND(D54="Y",booking!H54&lt;&gt;booking!I54,booking!I54&gt;0),booking!I54,"-")</f>
        <v>-</v>
      </c>
      <c r="K54" s="78" t="str">
        <f>IFERROR(VLOOKUP(J54,Database!$A$2:$L$175,8,FALSE),"-")</f>
        <v>-</v>
      </c>
      <c r="L54" s="78" t="str">
        <f>IFERROR(VLOOKUP(J54,Database!$A$2:$L$175,6,FALSE),"-")</f>
        <v>-</v>
      </c>
      <c r="M54" s="93" t="str">
        <f>IFERROR(VLOOKUP(J54,Database!$A$2:$L$175,9,FALSE),"-")</f>
        <v>-</v>
      </c>
      <c r="N54" s="209" t="str">
        <f>IFERROR(VLOOKUP(J54,Database!$A$2:$S$175,19,FALSE),"-")</f>
        <v>-</v>
      </c>
      <c r="O54" s="96" t="str">
        <f>IF(AND(D54="Y",booking!L54&lt;&gt;booking!M54,booking!M54&gt;0),booking!M54,"-")</f>
        <v>-</v>
      </c>
      <c r="P54" s="78" t="str">
        <f>IFERROR(VLOOKUP(O54,Database!$A$2:$L$175,8,FALSE),"-")</f>
        <v>-</v>
      </c>
      <c r="Q54" s="78" t="str">
        <f>IFERROR(VLOOKUP(O54,Database!$A$2:$L$175,6,FALSE),"-")</f>
        <v>-</v>
      </c>
      <c r="R54" s="82" t="str">
        <f>IFERROR(VLOOKUP(O54,Database!$A$2:$L$175,9,FALSE),"-")</f>
        <v>-</v>
      </c>
      <c r="S54" s="209" t="str">
        <f>IFERROR(VLOOKUP(O54,Database!$A$2:$S$175,19,FALSE),"-")</f>
        <v>-</v>
      </c>
      <c r="T54" s="97" t="str">
        <f>IF(AND(D54="Y",booking!P54&lt;&gt;booking!Q54,booking!Q54&gt;0),booking!Q54,"-")</f>
        <v>-</v>
      </c>
      <c r="U54" s="78" t="str">
        <f>IFERROR(VLOOKUP(T54,Database!$A$2:$L$175,8,FALSE),"-")</f>
        <v>-</v>
      </c>
      <c r="V54" s="78" t="str">
        <f>IFERROR(VLOOKUP(T54,Database!$A$2:$L$175,6,FALSE),"-")</f>
        <v>-</v>
      </c>
      <c r="W54" s="82" t="str">
        <f>IFERROR(VLOOKUP(T54,Database!$A$2:$L$175,9,FALSE),"-")</f>
        <v>-</v>
      </c>
      <c r="X54" s="209" t="str">
        <f>IFERROR(VLOOKUP(T54,Database!$A$2:$S$175,19,FALSE),"-")</f>
        <v>-</v>
      </c>
      <c r="Y54" s="96" t="str">
        <f>IF(AND(D54="Y",booking!T54&lt;&gt;booking!U54,booking!U54&gt;0),booking!U54,"-")</f>
        <v>-</v>
      </c>
      <c r="Z54" s="79" t="str">
        <f>IFERROR(VLOOKUP(Y54,Database!$A$2:$L$175,8,FALSE),"-")</f>
        <v>-</v>
      </c>
      <c r="AA54" s="79" t="str">
        <f>IFERROR(VLOOKUP(Y54,Database!$A$2:$L$175,6,FALSE),"-")</f>
        <v>-</v>
      </c>
      <c r="AB54" s="92" t="str">
        <f>IFERROR(VLOOKUP(Y54,Database!$A$2:$L$175,9,FALSE),"-")</f>
        <v>-</v>
      </c>
      <c r="AC54" s="8" t="str">
        <f>IFERROR(VLOOKUP(Y54,Database!$A$2:$S$175,19,FALSE),"-")</f>
        <v>-</v>
      </c>
    </row>
    <row r="55" spans="1:29" ht="15" customHeight="1" thickBot="1" x14ac:dyDescent="0.4">
      <c r="A55" s="88" t="str">
        <f>rengoering!A55</f>
        <v>fredag</v>
      </c>
      <c r="B55" s="84">
        <v>46192</v>
      </c>
      <c r="C55" s="9"/>
      <c r="D55" s="89" t="str">
        <f>IF(booking!AB55&gt;0,"Y","-")</f>
        <v>Y</v>
      </c>
      <c r="E55" s="95" t="str">
        <f>IF(AND(D55="Y",booking!D55&lt;&gt;booking!E55,booking!E55&gt;0),booking!E55,"-")</f>
        <v>-</v>
      </c>
      <c r="F55" s="8" t="str">
        <f>IFERROR(VLOOKUP(E55,Database!$A$2:$L$175,8,FALSE),"-")</f>
        <v>-</v>
      </c>
      <c r="G55" s="78" t="str">
        <f>IFERROR(VLOOKUP(E55,Database!$A$2:$L$175,6,FALSE),"-")</f>
        <v>-</v>
      </c>
      <c r="H55" s="93" t="str">
        <f>IFERROR(VLOOKUP(E55,Database!$A$2:$L$175,9,FALSE),"-")</f>
        <v>-</v>
      </c>
      <c r="I55" s="112"/>
      <c r="J55" s="96">
        <f>IF(AND(D55="Y",booking!H55&lt;&gt;booking!I55,booking!I55&gt;0),booking!I55,"-")</f>
        <v>109</v>
      </c>
      <c r="K55" s="78">
        <f>IFERROR(VLOOKUP(J55,Database!$A$2:$L$175,8,FALSE),"-")</f>
        <v>0</v>
      </c>
      <c r="L55" s="78" t="str">
        <f>IFERROR(VLOOKUP(J55,Database!$A$2:$L$175,6,FALSE),"-")</f>
        <v>D</v>
      </c>
      <c r="M55" s="93" t="str">
        <f>IFERROR(VLOOKUP(J55,Database!$A$2:$L$175,9,FALSE),"-")</f>
        <v>sing</v>
      </c>
      <c r="N55" s="209" t="str">
        <f>IFERROR(VLOOKUP(J55,Database!$A$2:$S$175,19,FALSE),"-")</f>
        <v>N</v>
      </c>
      <c r="O55" s="96">
        <f>IF(AND(D55="Y",booking!L55&lt;&gt;booking!M55,booking!M55&gt;0),booking!M55,"-")</f>
        <v>56</v>
      </c>
      <c r="P55" s="78" t="str">
        <f>IFERROR(VLOOKUP(O55,Database!$A$2:$L$175,8,FALSE),"-")</f>
        <v>2000</v>
      </c>
      <c r="Q55" s="78" t="str">
        <f>IFERROR(VLOOKUP(O55,Database!$A$2:$L$175,6,FALSE),"-")</f>
        <v>DK</v>
      </c>
      <c r="R55" s="82" t="str">
        <f>IFERROR(VLOOKUP(O55,Database!$A$2:$L$175,9,FALSE),"-")</f>
        <v>dobb</v>
      </c>
      <c r="S55" s="209" t="str">
        <f>IFERROR(VLOOKUP(O55,Database!$A$2:$S$175,19,FALSE),"-")</f>
        <v>N</v>
      </c>
      <c r="T55" s="97" t="str">
        <f>IF(AND(D55="Y",booking!P55&lt;&gt;booking!Q55,booking!Q55&gt;0),booking!Q55,"-")</f>
        <v>-</v>
      </c>
      <c r="U55" s="78" t="str">
        <f>IFERROR(VLOOKUP(T55,Database!$A$2:$L$175,8,FALSE),"-")</f>
        <v>-</v>
      </c>
      <c r="V55" s="78" t="str">
        <f>IFERROR(VLOOKUP(T55,Database!$A$2:$L$175,6,FALSE),"-")</f>
        <v>-</v>
      </c>
      <c r="W55" s="82" t="str">
        <f>IFERROR(VLOOKUP(T55,Database!$A$2:$L$175,9,FALSE),"-")</f>
        <v>-</v>
      </c>
      <c r="X55" s="209" t="str">
        <f>IFERROR(VLOOKUP(T55,Database!$A$2:$S$175,19,FALSE),"-")</f>
        <v>-</v>
      </c>
      <c r="Y55" s="96" t="str">
        <f>IF(AND(D55="Y",booking!T55&lt;&gt;booking!U55,booking!U55&gt;0),booking!U55,"-")</f>
        <v>-</v>
      </c>
      <c r="Z55" s="79" t="str">
        <f>IFERROR(VLOOKUP(Y55,Database!$A$2:$L$175,8,FALSE),"-")</f>
        <v>-</v>
      </c>
      <c r="AA55" s="79" t="str">
        <f>IFERROR(VLOOKUP(Y55,Database!$A$2:$L$175,6,FALSE),"-")</f>
        <v>-</v>
      </c>
      <c r="AB55" s="92" t="str">
        <f>IFERROR(VLOOKUP(Y55,Database!$A$2:$L$175,9,FALSE),"-")</f>
        <v>-</v>
      </c>
      <c r="AC55" s="8" t="str">
        <f>IFERROR(VLOOKUP(Y55,Database!$A$2:$S$175,19,FALSE),"-")</f>
        <v>-</v>
      </c>
    </row>
    <row r="56" spans="1:29" ht="15" customHeight="1" thickBot="1" x14ac:dyDescent="0.4">
      <c r="A56" s="88" t="str">
        <f>rengoering!A56</f>
        <v>lørdag</v>
      </c>
      <c r="B56" s="86">
        <v>46193</v>
      </c>
      <c r="C56" s="9"/>
      <c r="D56" s="89" t="str">
        <f>IF(booking!AB56&gt;0,"Y","-")</f>
        <v>-</v>
      </c>
      <c r="E56" s="95" t="str">
        <f>IF(AND(D56="Y",booking!D56&lt;&gt;booking!E56,booking!E56&gt;0),booking!E56,"-")</f>
        <v>-</v>
      </c>
      <c r="F56" s="8" t="str">
        <f>IFERROR(VLOOKUP(E56,Database!$A$2:$L$175,8,FALSE),"-")</f>
        <v>-</v>
      </c>
      <c r="G56" s="78" t="str">
        <f>IFERROR(VLOOKUP(E56,Database!$A$2:$L$175,6,FALSE),"-")</f>
        <v>-</v>
      </c>
      <c r="H56" s="93" t="str">
        <f>IFERROR(VLOOKUP(E56,Database!$A$2:$L$175,9,FALSE),"-")</f>
        <v>-</v>
      </c>
      <c r="I56" s="112"/>
      <c r="J56" s="96" t="str">
        <f>IF(AND(D56="Y",booking!H56&lt;&gt;booking!I56,booking!I56&gt;0),booking!I56,"-")</f>
        <v>-</v>
      </c>
      <c r="K56" s="78" t="str">
        <f>IFERROR(VLOOKUP(J56,Database!$A$2:$L$175,8,FALSE),"-")</f>
        <v>-</v>
      </c>
      <c r="L56" s="78" t="str">
        <f>IFERROR(VLOOKUP(J56,Database!$A$2:$L$175,6,FALSE),"-")</f>
        <v>-</v>
      </c>
      <c r="M56" s="93" t="str">
        <f>IFERROR(VLOOKUP(J56,Database!$A$2:$L$175,9,FALSE),"-")</f>
        <v>-</v>
      </c>
      <c r="N56" s="209" t="str">
        <f>IFERROR(VLOOKUP(J56,Database!$A$2:$S$175,19,FALSE),"-")</f>
        <v>-</v>
      </c>
      <c r="O56" s="96" t="str">
        <f>IF(AND(D56="Y",booking!L56&lt;&gt;booking!M56,booking!M56&gt;0),booking!M56,"-")</f>
        <v>-</v>
      </c>
      <c r="P56" s="78" t="str">
        <f>IFERROR(VLOOKUP(O56,Database!$A$2:$L$175,8,FALSE),"-")</f>
        <v>-</v>
      </c>
      <c r="Q56" s="78" t="str">
        <f>IFERROR(VLOOKUP(O56,Database!$A$2:$L$175,6,FALSE),"-")</f>
        <v>-</v>
      </c>
      <c r="R56" s="82" t="str">
        <f>IFERROR(VLOOKUP(O56,Database!$A$2:$L$175,9,FALSE),"-")</f>
        <v>-</v>
      </c>
      <c r="S56" s="209" t="str">
        <f>IFERROR(VLOOKUP(O56,Database!$A$2:$S$175,19,FALSE),"-")</f>
        <v>-</v>
      </c>
      <c r="T56" s="97" t="str">
        <f>IF(AND(D56="Y",booking!P56&lt;&gt;booking!Q56,booking!Q56&gt;0),booking!Q56,"-")</f>
        <v>-</v>
      </c>
      <c r="U56" s="78" t="str">
        <f>IFERROR(VLOOKUP(T56,Database!$A$2:$L$175,8,FALSE),"-")</f>
        <v>-</v>
      </c>
      <c r="V56" s="78" t="str">
        <f>IFERROR(VLOOKUP(T56,Database!$A$2:$L$175,6,FALSE),"-")</f>
        <v>-</v>
      </c>
      <c r="W56" s="82" t="str">
        <f>IFERROR(VLOOKUP(T56,Database!$A$2:$L$175,9,FALSE),"-")</f>
        <v>-</v>
      </c>
      <c r="X56" s="209" t="str">
        <f>IFERROR(VLOOKUP(T56,Database!$A$2:$S$175,19,FALSE),"-")</f>
        <v>-</v>
      </c>
      <c r="Y56" s="96" t="str">
        <f>IF(AND(D56="Y",booking!T56&lt;&gt;booking!U56,booking!U56&gt;0),booking!U56,"-")</f>
        <v>-</v>
      </c>
      <c r="Z56" s="79" t="str">
        <f>IFERROR(VLOOKUP(Y56,Database!$A$2:$L$175,8,FALSE),"-")</f>
        <v>-</v>
      </c>
      <c r="AA56" s="79" t="str">
        <f>IFERROR(VLOOKUP(Y56,Database!$A$2:$L$175,6,FALSE),"-")</f>
        <v>-</v>
      </c>
      <c r="AB56" s="92" t="str">
        <f>IFERROR(VLOOKUP(Y56,Database!$A$2:$L$175,9,FALSE),"-")</f>
        <v>-</v>
      </c>
      <c r="AC56" s="8" t="str">
        <f>IFERROR(VLOOKUP(Y56,Database!$A$2:$S$175,19,FALSE),"-")</f>
        <v>-</v>
      </c>
    </row>
    <row r="57" spans="1:29" ht="15" customHeight="1" thickBot="1" x14ac:dyDescent="0.4">
      <c r="A57" s="88" t="str">
        <f>rengoering!A57</f>
        <v>søndag</v>
      </c>
      <c r="B57" s="84">
        <v>46194</v>
      </c>
      <c r="C57" s="9"/>
      <c r="D57" s="89" t="str">
        <f>IF(booking!AB57&gt;0,"Y","-")</f>
        <v>-</v>
      </c>
      <c r="E57" s="95" t="str">
        <f>IF(AND(D57="Y",booking!D57&lt;&gt;booking!E57,booking!E57&gt;0),booking!E57,"-")</f>
        <v>-</v>
      </c>
      <c r="F57" s="8" t="str">
        <f>IFERROR(VLOOKUP(E57,Database!$A$2:$L$175,8,FALSE),"-")</f>
        <v>-</v>
      </c>
      <c r="G57" s="78" t="str">
        <f>IFERROR(VLOOKUP(E57,Database!$A$2:$L$175,6,FALSE),"-")</f>
        <v>-</v>
      </c>
      <c r="H57" s="93" t="str">
        <f>IFERROR(VLOOKUP(E57,Database!$A$2:$L$175,9,FALSE),"-")</f>
        <v>-</v>
      </c>
      <c r="I57" s="112"/>
      <c r="J57" s="96" t="str">
        <f>IF(AND(D57="Y",booking!H57&lt;&gt;booking!I57,booking!I57&gt;0),booking!I57,"-")</f>
        <v>-</v>
      </c>
      <c r="K57" s="78" t="str">
        <f>IFERROR(VLOOKUP(J57,Database!$A$2:$L$175,8,FALSE),"-")</f>
        <v>-</v>
      </c>
      <c r="L57" s="78" t="str">
        <f>IFERROR(VLOOKUP(J57,Database!$A$2:$L$175,6,FALSE),"-")</f>
        <v>-</v>
      </c>
      <c r="M57" s="93" t="str">
        <f>IFERROR(VLOOKUP(J57,Database!$A$2:$L$175,9,FALSE),"-")</f>
        <v>-</v>
      </c>
      <c r="N57" s="209" t="str">
        <f>IFERROR(VLOOKUP(J57,Database!$A$2:$S$175,19,FALSE),"-")</f>
        <v>-</v>
      </c>
      <c r="O57" s="96" t="str">
        <f>IF(AND(D57="Y",booking!L57&lt;&gt;booking!M57,booking!M57&gt;0),booking!M57,"-")</f>
        <v>-</v>
      </c>
      <c r="P57" s="78" t="str">
        <f>IFERROR(VLOOKUP(O57,Database!$A$2:$L$175,8,FALSE),"-")</f>
        <v>-</v>
      </c>
      <c r="Q57" s="78" t="str">
        <f>IFERROR(VLOOKUP(O57,Database!$A$2:$L$175,6,FALSE),"-")</f>
        <v>-</v>
      </c>
      <c r="R57" s="82" t="str">
        <f>IFERROR(VLOOKUP(O57,Database!$A$2:$L$175,9,FALSE),"-")</f>
        <v>-</v>
      </c>
      <c r="S57" s="209" t="str">
        <f>IFERROR(VLOOKUP(O57,Database!$A$2:$S$175,19,FALSE),"-")</f>
        <v>-</v>
      </c>
      <c r="T57" s="97" t="str">
        <f>IF(AND(D57="Y",booking!P57&lt;&gt;booking!Q57,booking!Q57&gt;0),booking!Q57,"-")</f>
        <v>-</v>
      </c>
      <c r="U57" s="78" t="str">
        <f>IFERROR(VLOOKUP(T57,Database!$A$2:$L$175,8,FALSE),"-")</f>
        <v>-</v>
      </c>
      <c r="V57" s="78" t="str">
        <f>IFERROR(VLOOKUP(T57,Database!$A$2:$L$175,6,FALSE),"-")</f>
        <v>-</v>
      </c>
      <c r="W57" s="82" t="str">
        <f>IFERROR(VLOOKUP(T57,Database!$A$2:$L$175,9,FALSE),"-")</f>
        <v>-</v>
      </c>
      <c r="X57" s="209" t="str">
        <f>IFERROR(VLOOKUP(T57,Database!$A$2:$S$175,19,FALSE),"-")</f>
        <v>-</v>
      </c>
      <c r="Y57" s="96" t="str">
        <f>IF(AND(D57="Y",booking!T57&lt;&gt;booking!U57,booking!U57&gt;0),booking!U57,"-")</f>
        <v>-</v>
      </c>
      <c r="Z57" s="79" t="str">
        <f>IFERROR(VLOOKUP(Y57,Database!$A$2:$L$175,8,FALSE),"-")</f>
        <v>-</v>
      </c>
      <c r="AA57" s="79" t="str">
        <f>IFERROR(VLOOKUP(Y57,Database!$A$2:$L$175,6,FALSE),"-")</f>
        <v>-</v>
      </c>
      <c r="AB57" s="92" t="str">
        <f>IFERROR(VLOOKUP(Y57,Database!$A$2:$L$175,9,FALSE),"-")</f>
        <v>-</v>
      </c>
      <c r="AC57" s="8" t="str">
        <f>IFERROR(VLOOKUP(Y57,Database!$A$2:$S$175,19,FALSE),"-")</f>
        <v>-</v>
      </c>
    </row>
    <row r="58" spans="1:29" ht="15" customHeight="1" thickBot="1" x14ac:dyDescent="0.4">
      <c r="A58" s="88" t="str">
        <f>rengoering!A58</f>
        <v>mandag</v>
      </c>
      <c r="B58" s="86">
        <v>46195</v>
      </c>
      <c r="C58" s="9"/>
      <c r="D58" s="89" t="str">
        <f>IF(booking!AB58&gt;0,"Y","-")</f>
        <v>Y</v>
      </c>
      <c r="E58" s="95" t="str">
        <f>IF(AND(D58="Y",booking!D58&lt;&gt;booking!E58,booking!E58&gt;0),booking!E58,"-")</f>
        <v>-</v>
      </c>
      <c r="F58" s="8" t="str">
        <f>IFERROR(VLOOKUP(E58,Database!$A$2:$L$175,8,FALSE),"-")</f>
        <v>-</v>
      </c>
      <c r="G58" s="78" t="str">
        <f>IFERROR(VLOOKUP(E58,Database!$A$2:$L$175,6,FALSE),"-")</f>
        <v>-</v>
      </c>
      <c r="H58" s="93" t="str">
        <f>IFERROR(VLOOKUP(E58,Database!$A$2:$L$175,9,FALSE),"-")</f>
        <v>-</v>
      </c>
      <c r="I58" s="112"/>
      <c r="J58" s="96">
        <f>IF(AND(D58="Y",booking!H58&lt;&gt;booking!I58,booking!I58&gt;0),booking!I58,"-")</f>
        <v>112</v>
      </c>
      <c r="K58" s="78">
        <f>IFERROR(VLOOKUP(J58,Database!$A$2:$L$175,8,FALSE),"-")</f>
        <v>0</v>
      </c>
      <c r="L58" s="78" t="str">
        <f>IFERROR(VLOOKUP(J58,Database!$A$2:$L$175,6,FALSE),"-")</f>
        <v>DK</v>
      </c>
      <c r="M58" s="93" t="str">
        <f>IFERROR(VLOOKUP(J58,Database!$A$2:$L$175,9,FALSE),"-")</f>
        <v>Sing</v>
      </c>
      <c r="N58" s="209" t="str">
        <f>IFERROR(VLOOKUP(J58,Database!$A$2:$S$175,19,FALSE),"-")</f>
        <v>N</v>
      </c>
      <c r="O58" s="96" t="str">
        <f>IF(AND(D58="Y",booking!L58&lt;&gt;booking!M58,booking!M58&gt;0),booking!M58,"-")</f>
        <v>-</v>
      </c>
      <c r="P58" s="78" t="str">
        <f>IFERROR(VLOOKUP(O58,Database!$A$2:$L$175,8,FALSE),"-")</f>
        <v>-</v>
      </c>
      <c r="Q58" s="78" t="str">
        <f>IFERROR(VLOOKUP(O58,Database!$A$2:$L$175,6,FALSE),"-")</f>
        <v>-</v>
      </c>
      <c r="R58" s="82" t="str">
        <f>IFERROR(VLOOKUP(O58,Database!$A$2:$L$175,9,FALSE),"-")</f>
        <v>-</v>
      </c>
      <c r="S58" s="209" t="str">
        <f>IFERROR(VLOOKUP(O58,Database!$A$2:$S$175,19,FALSE),"-")</f>
        <v>-</v>
      </c>
      <c r="T58" s="97">
        <f>IF(AND(D58="Y",booking!P58&lt;&gt;booking!Q58,booking!Q58&gt;0),booking!Q58,"-")</f>
        <v>37</v>
      </c>
      <c r="U58" s="78" t="str">
        <f>IFERROR(VLOOKUP(T58,Database!$A$2:$L$175,8,FALSE),"-")</f>
        <v>1430</v>
      </c>
      <c r="V58" s="78" t="str">
        <f>IFERROR(VLOOKUP(T58,Database!$A$2:$L$175,6,FALSE),"-")</f>
        <v>DK</v>
      </c>
      <c r="W58" s="82">
        <f>IFERROR(VLOOKUP(T58,Database!$A$2:$L$175,9,FALSE),"-")</f>
        <v>0</v>
      </c>
      <c r="X58" s="209" t="str">
        <f>IFERROR(VLOOKUP(T58,Database!$A$2:$S$175,19,FALSE),"-")</f>
        <v>N</v>
      </c>
      <c r="Y58" s="96" t="str">
        <f>IF(AND(D58="Y",booking!T58&lt;&gt;booking!U58,booking!U58&gt;0),booking!U58,"-")</f>
        <v>-</v>
      </c>
      <c r="Z58" s="79" t="str">
        <f>IFERROR(VLOOKUP(Y58,Database!$A$2:$L$175,8,FALSE),"-")</f>
        <v>-</v>
      </c>
      <c r="AA58" s="79" t="str">
        <f>IFERROR(VLOOKUP(Y58,Database!$A$2:$L$175,6,FALSE),"-")</f>
        <v>-</v>
      </c>
      <c r="AB58" s="92" t="str">
        <f>IFERROR(VLOOKUP(Y58,Database!$A$2:$L$175,9,FALSE),"-")</f>
        <v>-</v>
      </c>
      <c r="AC58" s="8" t="str">
        <f>IFERROR(VLOOKUP(Y58,Database!$A$2:$S$175,19,FALSE),"-")</f>
        <v>-</v>
      </c>
    </row>
    <row r="59" spans="1:29" ht="15" customHeight="1" thickBot="1" x14ac:dyDescent="0.4">
      <c r="A59" s="88" t="str">
        <f>rengoering!A59</f>
        <v>tirsdag</v>
      </c>
      <c r="B59" s="84">
        <v>46196</v>
      </c>
      <c r="C59" s="9"/>
      <c r="D59" s="89" t="str">
        <f>IF(booking!AB59&gt;0,"Y","-")</f>
        <v>-</v>
      </c>
      <c r="E59" s="95" t="str">
        <f>IF(AND(D59="Y",booking!D59&lt;&gt;booking!E59,booking!E59&gt;0),booking!E59,"-")</f>
        <v>-</v>
      </c>
      <c r="F59" s="8" t="str">
        <f>IFERROR(VLOOKUP(E59,Database!$A$2:$L$175,8,FALSE),"-")</f>
        <v>-</v>
      </c>
      <c r="G59" s="78" t="str">
        <f>IFERROR(VLOOKUP(E59,Database!$A$2:$L$175,6,FALSE),"-")</f>
        <v>-</v>
      </c>
      <c r="H59" s="93" t="str">
        <f>IFERROR(VLOOKUP(E59,Database!$A$2:$L$175,9,FALSE),"-")</f>
        <v>-</v>
      </c>
      <c r="I59" s="112"/>
      <c r="J59" s="96" t="str">
        <f>IF(AND(D59="Y",booking!H59&lt;&gt;booking!I59,booking!I59&gt;0),booking!I59,"-")</f>
        <v>-</v>
      </c>
      <c r="K59" s="78" t="str">
        <f>IFERROR(VLOOKUP(J59,Database!$A$2:$L$175,8,FALSE),"-")</f>
        <v>-</v>
      </c>
      <c r="L59" s="78" t="str">
        <f>IFERROR(VLOOKUP(J59,Database!$A$2:$L$175,6,FALSE),"-")</f>
        <v>-</v>
      </c>
      <c r="M59" s="93" t="str">
        <f>IFERROR(VLOOKUP(J59,Database!$A$2:$L$175,9,FALSE),"-")</f>
        <v>-</v>
      </c>
      <c r="N59" s="209" t="str">
        <f>IFERROR(VLOOKUP(J59,Database!$A$2:$S$175,19,FALSE),"-")</f>
        <v>-</v>
      </c>
      <c r="O59" s="96" t="str">
        <f>IF(AND(D59="Y",booking!L59&lt;&gt;booking!M59,booking!M59&gt;0),booking!M59,"-")</f>
        <v>-</v>
      </c>
      <c r="P59" s="78" t="str">
        <f>IFERROR(VLOOKUP(O59,Database!$A$2:$L$175,8,FALSE),"-")</f>
        <v>-</v>
      </c>
      <c r="Q59" s="78" t="str">
        <f>IFERROR(VLOOKUP(O59,Database!$A$2:$L$175,6,FALSE),"-")</f>
        <v>-</v>
      </c>
      <c r="R59" s="82" t="str">
        <f>IFERROR(VLOOKUP(O59,Database!$A$2:$L$175,9,FALSE),"-")</f>
        <v>-</v>
      </c>
      <c r="S59" s="209" t="str">
        <f>IFERROR(VLOOKUP(O59,Database!$A$2:$S$175,19,FALSE),"-")</f>
        <v>-</v>
      </c>
      <c r="T59" s="97" t="str">
        <f>IF(AND(D59="Y",booking!P59&lt;&gt;booking!Q59,booking!Q59&gt;0),booking!Q59,"-")</f>
        <v>-</v>
      </c>
      <c r="U59" s="78" t="str">
        <f>IFERROR(VLOOKUP(T59,Database!$A$2:$L$175,8,FALSE),"-")</f>
        <v>-</v>
      </c>
      <c r="V59" s="78" t="str">
        <f>IFERROR(VLOOKUP(T59,Database!$A$2:$L$175,6,FALSE),"-")</f>
        <v>-</v>
      </c>
      <c r="W59" s="82" t="str">
        <f>IFERROR(VLOOKUP(T59,Database!$A$2:$L$175,9,FALSE),"-")</f>
        <v>-</v>
      </c>
      <c r="X59" s="209" t="str">
        <f>IFERROR(VLOOKUP(T59,Database!$A$2:$S$175,19,FALSE),"-")</f>
        <v>-</v>
      </c>
      <c r="Y59" s="96" t="str">
        <f>IF(AND(D59="Y",booking!T59&lt;&gt;booking!U59,booking!U59&gt;0),booking!U59,"-")</f>
        <v>-</v>
      </c>
      <c r="Z59" s="79" t="str">
        <f>IFERROR(VLOOKUP(Y59,Database!$A$2:$L$175,8,FALSE),"-")</f>
        <v>-</v>
      </c>
      <c r="AA59" s="79" t="str">
        <f>IFERROR(VLOOKUP(Y59,Database!$A$2:$L$175,6,FALSE),"-")</f>
        <v>-</v>
      </c>
      <c r="AB59" s="92" t="str">
        <f>IFERROR(VLOOKUP(Y59,Database!$A$2:$L$175,9,FALSE),"-")</f>
        <v>-</v>
      </c>
      <c r="AC59" s="8" t="str">
        <f>IFERROR(VLOOKUP(Y59,Database!$A$2:$S$175,19,FALSE),"-")</f>
        <v>-</v>
      </c>
    </row>
    <row r="60" spans="1:29" ht="15" customHeight="1" thickBot="1" x14ac:dyDescent="0.4">
      <c r="A60" s="88" t="str">
        <f>rengoering!A60</f>
        <v>onsdag</v>
      </c>
      <c r="B60" s="86">
        <v>46197</v>
      </c>
      <c r="C60" s="9"/>
      <c r="D60" s="89" t="str">
        <f>IF(booking!AB60&gt;0,"Y","-")</f>
        <v>-</v>
      </c>
      <c r="E60" s="95" t="str">
        <f>IF(AND(D60="Y",booking!D60&lt;&gt;booking!E60,booking!E60&gt;0),booking!E60,"-")</f>
        <v>-</v>
      </c>
      <c r="F60" s="8" t="str">
        <f>IFERROR(VLOOKUP(E60,Database!$A$2:$L$175,8,FALSE),"-")</f>
        <v>-</v>
      </c>
      <c r="G60" s="78" t="str">
        <f>IFERROR(VLOOKUP(E60,Database!$A$2:$L$175,6,FALSE),"-")</f>
        <v>-</v>
      </c>
      <c r="H60" s="93" t="str">
        <f>IFERROR(VLOOKUP(E60,Database!$A$2:$L$175,9,FALSE),"-")</f>
        <v>-</v>
      </c>
      <c r="I60" s="112"/>
      <c r="J60" s="96" t="str">
        <f>IF(AND(D60="Y",booking!H60&lt;&gt;booking!I60,booking!I60&gt;0),booking!I60,"-")</f>
        <v>-</v>
      </c>
      <c r="K60" s="78" t="str">
        <f>IFERROR(VLOOKUP(J60,Database!$A$2:$L$175,8,FALSE),"-")</f>
        <v>-</v>
      </c>
      <c r="L60" s="78" t="str">
        <f>IFERROR(VLOOKUP(J60,Database!$A$2:$L$175,6,FALSE),"-")</f>
        <v>-</v>
      </c>
      <c r="M60" s="93" t="str">
        <f>IFERROR(VLOOKUP(J60,Database!$A$2:$L$175,9,FALSE),"-")</f>
        <v>-</v>
      </c>
      <c r="N60" s="209" t="str">
        <f>IFERROR(VLOOKUP(J60,Database!$A$2:$S$175,19,FALSE),"-")</f>
        <v>-</v>
      </c>
      <c r="O60" s="96" t="str">
        <f>IF(AND(D60="Y",booking!L60&lt;&gt;booking!M60,booking!M60&gt;0),booking!M60,"-")</f>
        <v>-</v>
      </c>
      <c r="P60" s="78" t="str">
        <f>IFERROR(VLOOKUP(O60,Database!$A$2:$L$175,8,FALSE),"-")</f>
        <v>-</v>
      </c>
      <c r="Q60" s="78" t="str">
        <f>IFERROR(VLOOKUP(O60,Database!$A$2:$L$175,6,FALSE),"-")</f>
        <v>-</v>
      </c>
      <c r="R60" s="82" t="str">
        <f>IFERROR(VLOOKUP(O60,Database!$A$2:$L$175,9,FALSE),"-")</f>
        <v>-</v>
      </c>
      <c r="S60" s="209" t="str">
        <f>IFERROR(VLOOKUP(O60,Database!$A$2:$S$175,19,FALSE),"-")</f>
        <v>-</v>
      </c>
      <c r="T60" s="97" t="str">
        <f>IF(AND(D60="Y",booking!P60&lt;&gt;booking!Q60,booking!Q60&gt;0),booking!Q60,"-")</f>
        <v>-</v>
      </c>
      <c r="U60" s="78" t="str">
        <f>IFERROR(VLOOKUP(T60,Database!$A$2:$L$175,8,FALSE),"-")</f>
        <v>-</v>
      </c>
      <c r="V60" s="78" t="str">
        <f>IFERROR(VLOOKUP(T60,Database!$A$2:$L$175,6,FALSE),"-")</f>
        <v>-</v>
      </c>
      <c r="W60" s="82" t="str">
        <f>IFERROR(VLOOKUP(T60,Database!$A$2:$L$175,9,FALSE),"-")</f>
        <v>-</v>
      </c>
      <c r="X60" s="209" t="str">
        <f>IFERROR(VLOOKUP(T60,Database!$A$2:$S$175,19,FALSE),"-")</f>
        <v>-</v>
      </c>
      <c r="Y60" s="96" t="str">
        <f>IF(AND(D60="Y",booking!T60&lt;&gt;booking!U60,booking!U60&gt;0),booking!U60,"-")</f>
        <v>-</v>
      </c>
      <c r="Z60" s="79" t="str">
        <f>IFERROR(VLOOKUP(Y60,Database!$A$2:$L$175,8,FALSE),"-")</f>
        <v>-</v>
      </c>
      <c r="AA60" s="79" t="str">
        <f>IFERROR(VLOOKUP(Y60,Database!$A$2:$L$175,6,FALSE),"-")</f>
        <v>-</v>
      </c>
      <c r="AB60" s="92" t="str">
        <f>IFERROR(VLOOKUP(Y60,Database!$A$2:$L$175,9,FALSE),"-")</f>
        <v>-</v>
      </c>
      <c r="AC60" s="8" t="str">
        <f>IFERROR(VLOOKUP(Y60,Database!$A$2:$S$175,19,FALSE),"-")</f>
        <v>-</v>
      </c>
    </row>
    <row r="61" spans="1:29" ht="15" customHeight="1" thickBot="1" x14ac:dyDescent="0.4">
      <c r="A61" s="88" t="str">
        <f>rengoering!A61</f>
        <v>torsdag</v>
      </c>
      <c r="B61" s="84">
        <v>46198</v>
      </c>
      <c r="C61" s="9"/>
      <c r="D61" s="89" t="str">
        <f>IF(booking!AB61&gt;0,"Y","-")</f>
        <v>Y</v>
      </c>
      <c r="E61" s="95" t="str">
        <f>IF(AND(D61="Y",booking!D61&lt;&gt;booking!E61,booking!E61&gt;0),booking!E61,"-")</f>
        <v>-</v>
      </c>
      <c r="F61" s="8" t="str">
        <f>IFERROR(VLOOKUP(E61,Database!$A$2:$L$175,8,FALSE),"-")</f>
        <v>-</v>
      </c>
      <c r="G61" s="78" t="str">
        <f>IFERROR(VLOOKUP(E61,Database!$A$2:$L$175,6,FALSE),"-")</f>
        <v>-</v>
      </c>
      <c r="H61" s="93" t="str">
        <f>IFERROR(VLOOKUP(E61,Database!$A$2:$L$175,9,FALSE),"-")</f>
        <v>-</v>
      </c>
      <c r="I61" s="112"/>
      <c r="J61" s="96" t="str">
        <f>IF(AND(D61="Y",booking!H61&lt;&gt;booking!I61,booking!I61&gt;0),booking!I61,"-")</f>
        <v>-</v>
      </c>
      <c r="K61" s="78" t="str">
        <f>IFERROR(VLOOKUP(J61,Database!$A$2:$L$175,8,FALSE),"-")</f>
        <v>-</v>
      </c>
      <c r="L61" s="78" t="str">
        <f>IFERROR(VLOOKUP(J61,Database!$A$2:$L$175,6,FALSE),"-")</f>
        <v>-</v>
      </c>
      <c r="M61" s="93" t="str">
        <f>IFERROR(VLOOKUP(J61,Database!$A$2:$L$175,9,FALSE),"-")</f>
        <v>-</v>
      </c>
      <c r="N61" s="209" t="str">
        <f>IFERROR(VLOOKUP(J61,Database!$A$2:$S$175,19,FALSE),"-")</f>
        <v>-</v>
      </c>
      <c r="O61" s="96">
        <f>IF(AND(D61="Y",booking!L61&lt;&gt;booking!M61,booking!M61&gt;0),booking!M61,"-")</f>
        <v>34</v>
      </c>
      <c r="P61" s="78" t="str">
        <f>IFERROR(VLOOKUP(O61,Database!$A$2:$L$175,8,FALSE),"-")</f>
        <v>1630</v>
      </c>
      <c r="Q61" s="78" t="str">
        <f>IFERROR(VLOOKUP(O61,Database!$A$2:$L$175,6,FALSE),"-")</f>
        <v>D</v>
      </c>
      <c r="R61" s="82" t="str">
        <f>IFERROR(VLOOKUP(O61,Database!$A$2:$L$175,9,FALSE),"-")</f>
        <v>dobb</v>
      </c>
      <c r="S61" s="209" t="str">
        <f>IFERROR(VLOOKUP(O61,Database!$A$2:$S$175,19,FALSE),"-")</f>
        <v>N</v>
      </c>
      <c r="T61" s="97">
        <f>IF(AND(D61="Y",booking!P61&lt;&gt;booking!Q61,booking!Q61&gt;0),booking!Q61,"-")</f>
        <v>64</v>
      </c>
      <c r="U61" s="78">
        <f>IFERROR(VLOOKUP(T61,Database!$A$2:$L$175,8,FALSE),"-")</f>
        <v>0</v>
      </c>
      <c r="V61" s="78" t="str">
        <f>IFERROR(VLOOKUP(T61,Database!$A$2:$L$175,6,FALSE),"-")</f>
        <v>S</v>
      </c>
      <c r="W61" s="82" t="str">
        <f>IFERROR(VLOOKUP(T61,Database!$A$2:$L$175,9,FALSE),"-")</f>
        <v>sing</v>
      </c>
      <c r="X61" s="209" t="str">
        <f>IFERROR(VLOOKUP(T61,Database!$A$2:$S$175,19,FALSE),"-")</f>
        <v>N</v>
      </c>
      <c r="Y61" s="96" t="str">
        <f>IF(AND(D61="Y",booking!T61&lt;&gt;booking!U61,booking!U61&gt;0),booking!U61,"-")</f>
        <v>-</v>
      </c>
      <c r="Z61" s="79" t="str">
        <f>IFERROR(VLOOKUP(Y61,Database!$A$2:$L$175,8,FALSE),"-")</f>
        <v>-</v>
      </c>
      <c r="AA61" s="79" t="str">
        <f>IFERROR(VLOOKUP(Y61,Database!$A$2:$L$175,6,FALSE),"-")</f>
        <v>-</v>
      </c>
      <c r="AB61" s="92" t="str">
        <f>IFERROR(VLOOKUP(Y61,Database!$A$2:$L$175,9,FALSE),"-")</f>
        <v>-</v>
      </c>
      <c r="AC61" s="8" t="str">
        <f>IFERROR(VLOOKUP(Y61,Database!$A$2:$S$175,19,FALSE),"-")</f>
        <v>-</v>
      </c>
    </row>
    <row r="62" spans="1:29" ht="15" customHeight="1" thickBot="1" x14ac:dyDescent="0.4">
      <c r="A62" s="88" t="str">
        <f>rengoering!A62</f>
        <v>fredag</v>
      </c>
      <c r="B62" s="86">
        <v>46199</v>
      </c>
      <c r="C62" s="9"/>
      <c r="D62" s="89" t="str">
        <f>IF(booking!AB62&gt;0,"Y","-")</f>
        <v>Y</v>
      </c>
      <c r="E62" s="95">
        <f>IF(AND(D62="Y",booking!D62&lt;&gt;booking!E62,booking!E62&gt;0),booking!E62,"-")</f>
        <v>87</v>
      </c>
      <c r="F62" s="8">
        <f>IFERROR(VLOOKUP(E62,Database!$A$2:$L$175,8,FALSE),"-")</f>
        <v>0</v>
      </c>
      <c r="G62" s="78" t="str">
        <f>IFERROR(VLOOKUP(E62,Database!$A$2:$L$175,6,FALSE),"-")</f>
        <v>D</v>
      </c>
      <c r="H62" s="93">
        <f>IFERROR(VLOOKUP(E62,Database!$A$2:$L$175,9,FALSE),"-")</f>
        <v>0</v>
      </c>
      <c r="I62" s="112"/>
      <c r="J62" s="96">
        <f>IF(AND(D62="Y",booking!H62&lt;&gt;booking!I62,booking!I62&gt;0),booking!I62,"-")</f>
        <v>61</v>
      </c>
      <c r="K62" s="78" t="str">
        <f>IFERROR(VLOOKUP(J62,Database!$A$2:$L$175,8,FALSE),"-")</f>
        <v>1230</v>
      </c>
      <c r="L62" s="78" t="str">
        <f>IFERROR(VLOOKUP(J62,Database!$A$2:$L$175,6,FALSE),"-")</f>
        <v>D</v>
      </c>
      <c r="M62" s="93" t="str">
        <f>IFERROR(VLOOKUP(J62,Database!$A$2:$L$175,9,FALSE),"-")</f>
        <v>Dobb</v>
      </c>
      <c r="N62" s="209" t="str">
        <f>IFERROR(VLOOKUP(J62,Database!$A$2:$S$175,19,FALSE),"-")</f>
        <v>N</v>
      </c>
      <c r="O62" s="96" t="str">
        <f>IF(AND(D62="Y",booking!L62&lt;&gt;booking!M62,booking!M62&gt;0),booking!M62,"-")</f>
        <v>-</v>
      </c>
      <c r="P62" s="78" t="str">
        <f>IFERROR(VLOOKUP(O62,Database!$A$2:$L$175,8,FALSE),"-")</f>
        <v>-</v>
      </c>
      <c r="Q62" s="78" t="str">
        <f>IFERROR(VLOOKUP(O62,Database!$A$2:$L$175,6,FALSE),"-")</f>
        <v>-</v>
      </c>
      <c r="R62" s="82" t="str">
        <f>IFERROR(VLOOKUP(O62,Database!$A$2:$L$175,9,FALSE),"-")</f>
        <v>-</v>
      </c>
      <c r="S62" s="209" t="str">
        <f>IFERROR(VLOOKUP(O62,Database!$A$2:$S$175,19,FALSE),"-")</f>
        <v>-</v>
      </c>
      <c r="T62" s="97" t="str">
        <f>IF(AND(D62="Y",booking!P62&lt;&gt;booking!Q62,booking!Q62&gt;0),booking!Q62,"-")</f>
        <v>-</v>
      </c>
      <c r="U62" s="78" t="str">
        <f>IFERROR(VLOOKUP(T62,Database!$A$2:$L$175,8,FALSE),"-")</f>
        <v>-</v>
      </c>
      <c r="V62" s="78" t="str">
        <f>IFERROR(VLOOKUP(T62,Database!$A$2:$L$175,6,FALSE),"-")</f>
        <v>-</v>
      </c>
      <c r="W62" s="82" t="str">
        <f>IFERROR(VLOOKUP(T62,Database!$A$2:$L$175,9,FALSE),"-")</f>
        <v>-</v>
      </c>
      <c r="X62" s="209" t="str">
        <f>IFERROR(VLOOKUP(T62,Database!$A$2:$S$175,19,FALSE),"-")</f>
        <v>-</v>
      </c>
      <c r="Y62" s="96" t="str">
        <f>IF(AND(D62="Y",booking!T62&lt;&gt;booking!U62,booking!U62&gt;0),booking!U62,"-")</f>
        <v>-</v>
      </c>
      <c r="Z62" s="79" t="str">
        <f>IFERROR(VLOOKUP(Y62,Database!$A$2:$L$175,8,FALSE),"-")</f>
        <v>-</v>
      </c>
      <c r="AA62" s="79" t="str">
        <f>IFERROR(VLOOKUP(Y62,Database!$A$2:$L$175,6,FALSE),"-")</f>
        <v>-</v>
      </c>
      <c r="AB62" s="92" t="str">
        <f>IFERROR(VLOOKUP(Y62,Database!$A$2:$L$175,9,FALSE),"-")</f>
        <v>-</v>
      </c>
      <c r="AC62" s="8" t="str">
        <f>IFERROR(VLOOKUP(Y62,Database!$A$2:$S$175,19,FALSE),"-")</f>
        <v>-</v>
      </c>
    </row>
    <row r="63" spans="1:29" ht="15" customHeight="1" thickBot="1" x14ac:dyDescent="0.4">
      <c r="A63" s="88" t="str">
        <f>rengoering!A63</f>
        <v>lørdag</v>
      </c>
      <c r="B63" s="84">
        <v>46200</v>
      </c>
      <c r="C63" s="9"/>
      <c r="D63" s="89" t="str">
        <f>IF(booking!AB63&gt;0,"Y","-")</f>
        <v>Y</v>
      </c>
      <c r="E63" s="95" t="str">
        <f>IF(AND(D63="Y",booking!D63&lt;&gt;booking!E63,booking!E63&gt;0),booking!E63,"-")</f>
        <v>-</v>
      </c>
      <c r="F63" s="8" t="str">
        <f>IFERROR(VLOOKUP(E63,Database!$A$2:$L$175,8,FALSE),"-")</f>
        <v>-</v>
      </c>
      <c r="G63" s="78" t="str">
        <f>IFERROR(VLOOKUP(E63,Database!$A$2:$L$175,6,FALSE),"-")</f>
        <v>-</v>
      </c>
      <c r="H63" s="93" t="str">
        <f>IFERROR(VLOOKUP(E63,Database!$A$2:$L$175,9,FALSE),"-")</f>
        <v>-</v>
      </c>
      <c r="I63" s="112"/>
      <c r="J63" s="96" t="str">
        <f>IF(AND(D63="Y",booking!H63&lt;&gt;booking!I63,booking!I63&gt;0),booking!I63,"-")</f>
        <v>-</v>
      </c>
      <c r="K63" s="78" t="str">
        <f>IFERROR(VLOOKUP(J63,Database!$A$2:$L$175,8,FALSE),"-")</f>
        <v>-</v>
      </c>
      <c r="L63" s="78" t="str">
        <f>IFERROR(VLOOKUP(J63,Database!$A$2:$L$175,6,FALSE),"-")</f>
        <v>-</v>
      </c>
      <c r="M63" s="93" t="str">
        <f>IFERROR(VLOOKUP(J63,Database!$A$2:$L$175,9,FALSE),"-")</f>
        <v>-</v>
      </c>
      <c r="N63" s="209" t="str">
        <f>IFERROR(VLOOKUP(J63,Database!$A$2:$S$175,19,FALSE),"-")</f>
        <v>-</v>
      </c>
      <c r="O63" s="96" t="str">
        <f>IF(AND(D63="Y",booking!L63&lt;&gt;booking!M63,booking!M63&gt;0),booking!M63,"-")</f>
        <v>-</v>
      </c>
      <c r="P63" s="78" t="str">
        <f>IFERROR(VLOOKUP(O63,Database!$A$2:$L$175,8,FALSE),"-")</f>
        <v>-</v>
      </c>
      <c r="Q63" s="78" t="str">
        <f>IFERROR(VLOOKUP(O63,Database!$A$2:$L$175,6,FALSE),"-")</f>
        <v>-</v>
      </c>
      <c r="R63" s="82" t="str">
        <f>IFERROR(VLOOKUP(O63,Database!$A$2:$L$175,9,FALSE),"-")</f>
        <v>-</v>
      </c>
      <c r="S63" s="209" t="str">
        <f>IFERROR(VLOOKUP(O63,Database!$A$2:$S$175,19,FALSE),"-")</f>
        <v>-</v>
      </c>
      <c r="T63" s="97" t="str">
        <f>IF(AND(D63="Y",booking!P63&lt;&gt;booking!Q63,booking!Q63&gt;0),booking!Q63,"-")</f>
        <v>-</v>
      </c>
      <c r="U63" s="78" t="str">
        <f>IFERROR(VLOOKUP(T63,Database!$A$2:$L$175,8,FALSE),"-")</f>
        <v>-</v>
      </c>
      <c r="V63" s="78" t="str">
        <f>IFERROR(VLOOKUP(T63,Database!$A$2:$L$175,6,FALSE),"-")</f>
        <v>-</v>
      </c>
      <c r="W63" s="82" t="str">
        <f>IFERROR(VLOOKUP(T63,Database!$A$2:$L$175,9,FALSE),"-")</f>
        <v>-</v>
      </c>
      <c r="X63" s="209" t="str">
        <f>IFERROR(VLOOKUP(T63,Database!$A$2:$S$175,19,FALSE),"-")</f>
        <v>-</v>
      </c>
      <c r="Y63" s="96">
        <f>IF(AND(D63="Y",booking!T63&lt;&gt;booking!U63,booking!U63&gt;0),booking!U63,"-")</f>
        <v>77</v>
      </c>
      <c r="Z63" s="79">
        <f>IFERROR(VLOOKUP(Y63,Database!$A$2:$L$175,8,FALSE),"-")</f>
        <v>0</v>
      </c>
      <c r="AA63" s="79" t="str">
        <f>IFERROR(VLOOKUP(Y63,Database!$A$2:$L$175,6,FALSE),"-")</f>
        <v>DK</v>
      </c>
      <c r="AB63" s="92">
        <f>IFERROR(VLOOKUP(Y63,Database!$A$2:$L$175,9,FALSE),"-")</f>
        <v>0</v>
      </c>
      <c r="AC63" s="8" t="str">
        <f>IFERROR(VLOOKUP(Y63,Database!$A$2:$S$175,19,FALSE),"-")</f>
        <v>Y</v>
      </c>
    </row>
    <row r="64" spans="1:29" ht="15" customHeight="1" thickBot="1" x14ac:dyDescent="0.4">
      <c r="A64" s="88" t="str">
        <f>rengoering!A64</f>
        <v>søndag</v>
      </c>
      <c r="B64" s="86">
        <v>46201</v>
      </c>
      <c r="C64" s="9"/>
      <c r="D64" s="89" t="str">
        <f>IF(booking!AB64&gt;0,"Y","-")</f>
        <v>-</v>
      </c>
      <c r="E64" s="95" t="str">
        <f>IF(AND(D64="Y",booking!D64&lt;&gt;booking!E64,booking!E64&gt;0),booking!E64,"-")</f>
        <v>-</v>
      </c>
      <c r="F64" s="8" t="str">
        <f>IFERROR(VLOOKUP(E64,Database!$A$2:$L$175,8,FALSE),"-")</f>
        <v>-</v>
      </c>
      <c r="G64" s="78" t="str">
        <f>IFERROR(VLOOKUP(E64,Database!$A$2:$L$175,6,FALSE),"-")</f>
        <v>-</v>
      </c>
      <c r="H64" s="93" t="str">
        <f>IFERROR(VLOOKUP(E64,Database!$A$2:$L$175,9,FALSE),"-")</f>
        <v>-</v>
      </c>
      <c r="I64" s="112"/>
      <c r="J64" s="96" t="str">
        <f>IF(AND(D64="Y",booking!H64&lt;&gt;booking!I64,booking!I64&gt;0),booking!I64,"-")</f>
        <v>-</v>
      </c>
      <c r="K64" s="78" t="str">
        <f>IFERROR(VLOOKUP(J64,Database!$A$2:$L$175,8,FALSE),"-")</f>
        <v>-</v>
      </c>
      <c r="L64" s="78" t="str">
        <f>IFERROR(VLOOKUP(J64,Database!$A$2:$L$175,6,FALSE),"-")</f>
        <v>-</v>
      </c>
      <c r="M64" s="93" t="str">
        <f>IFERROR(VLOOKUP(J64,Database!$A$2:$L$175,9,FALSE),"-")</f>
        <v>-</v>
      </c>
      <c r="N64" s="209" t="str">
        <f>IFERROR(VLOOKUP(J64,Database!$A$2:$S$175,19,FALSE),"-")</f>
        <v>-</v>
      </c>
      <c r="O64" s="96" t="str">
        <f>IF(AND(D64="Y",booking!L64&lt;&gt;booking!M64,booking!M64&gt;0),booking!M64,"-")</f>
        <v>-</v>
      </c>
      <c r="P64" s="78" t="str">
        <f>IFERROR(VLOOKUP(O64,Database!$A$2:$L$175,8,FALSE),"-")</f>
        <v>-</v>
      </c>
      <c r="Q64" s="78" t="str">
        <f>IFERROR(VLOOKUP(O64,Database!$A$2:$L$175,6,FALSE),"-")</f>
        <v>-</v>
      </c>
      <c r="R64" s="82" t="str">
        <f>IFERROR(VLOOKUP(O64,Database!$A$2:$L$175,9,FALSE),"-")</f>
        <v>-</v>
      </c>
      <c r="S64" s="209" t="str">
        <f>IFERROR(VLOOKUP(O64,Database!$A$2:$S$175,19,FALSE),"-")</f>
        <v>-</v>
      </c>
      <c r="T64" s="97" t="str">
        <f>IF(AND(D64="Y",booking!P64&lt;&gt;booking!Q64,booking!Q64&gt;0),booking!Q64,"-")</f>
        <v>-</v>
      </c>
      <c r="U64" s="78" t="str">
        <f>IFERROR(VLOOKUP(T64,Database!$A$2:$L$175,8,FALSE),"-")</f>
        <v>-</v>
      </c>
      <c r="V64" s="78" t="str">
        <f>IFERROR(VLOOKUP(T64,Database!$A$2:$L$175,6,FALSE),"-")</f>
        <v>-</v>
      </c>
      <c r="W64" s="82" t="str">
        <f>IFERROR(VLOOKUP(T64,Database!$A$2:$L$175,9,FALSE),"-")</f>
        <v>-</v>
      </c>
      <c r="X64" s="209" t="str">
        <f>IFERROR(VLOOKUP(T64,Database!$A$2:$S$175,19,FALSE),"-")</f>
        <v>-</v>
      </c>
      <c r="Y64" s="96" t="str">
        <f>IF(AND(D64="Y",booking!T64&lt;&gt;booking!U64,booking!U64&gt;0),booking!U64,"-")</f>
        <v>-</v>
      </c>
      <c r="Z64" s="79" t="str">
        <f>IFERROR(VLOOKUP(Y64,Database!$A$2:$L$175,8,FALSE),"-")</f>
        <v>-</v>
      </c>
      <c r="AA64" s="79" t="str">
        <f>IFERROR(VLOOKUP(Y64,Database!$A$2:$L$175,6,FALSE),"-")</f>
        <v>-</v>
      </c>
      <c r="AB64" s="92" t="str">
        <f>IFERROR(VLOOKUP(Y64,Database!$A$2:$L$175,9,FALSE),"-")</f>
        <v>-</v>
      </c>
      <c r="AC64" s="8" t="str">
        <f>IFERROR(VLOOKUP(Y64,Database!$A$2:$S$175,19,FALSE),"-")</f>
        <v>-</v>
      </c>
    </row>
    <row r="65" spans="1:29" ht="15" customHeight="1" thickBot="1" x14ac:dyDescent="0.4">
      <c r="A65" s="88" t="str">
        <f>rengoering!A65</f>
        <v>mandag</v>
      </c>
      <c r="B65" s="84">
        <v>46202</v>
      </c>
      <c r="C65" s="9"/>
      <c r="D65" s="89" t="str">
        <f>IF(booking!AB65&gt;0,"Y","-")</f>
        <v>Y</v>
      </c>
      <c r="E65" s="95" t="str">
        <f>IF(AND(D65="Y",booking!D65&lt;&gt;booking!E65,booking!E65&gt;0),booking!E65,"-")</f>
        <v>-</v>
      </c>
      <c r="F65" s="8" t="str">
        <f>IFERROR(VLOOKUP(E65,Database!$A$2:$L$175,8,FALSE),"-")</f>
        <v>-</v>
      </c>
      <c r="G65" s="78" t="str">
        <f>IFERROR(VLOOKUP(E65,Database!$A$2:$L$175,6,FALSE),"-")</f>
        <v>-</v>
      </c>
      <c r="H65" s="93" t="str">
        <f>IFERROR(VLOOKUP(E65,Database!$A$2:$L$175,9,FALSE),"-")</f>
        <v>-</v>
      </c>
      <c r="I65" s="112"/>
      <c r="J65" s="96" t="str">
        <f>IF(AND(D65="Y",booking!H65&lt;&gt;booking!I65,booking!I65&gt;0),booking!I65,"-")</f>
        <v>-</v>
      </c>
      <c r="K65" s="78" t="str">
        <f>IFERROR(VLOOKUP(J65,Database!$A$2:$L$175,8,FALSE),"-")</f>
        <v>-</v>
      </c>
      <c r="L65" s="78" t="str">
        <f>IFERROR(VLOOKUP(J65,Database!$A$2:$L$175,6,FALSE),"-")</f>
        <v>-</v>
      </c>
      <c r="M65" s="93" t="str">
        <f>IFERROR(VLOOKUP(J65,Database!$A$2:$L$175,9,FALSE),"-")</f>
        <v>-</v>
      </c>
      <c r="N65" s="209" t="str">
        <f>IFERROR(VLOOKUP(J65,Database!$A$2:$S$175,19,FALSE),"-")</f>
        <v>-</v>
      </c>
      <c r="O65" s="96" t="str">
        <f>IF(AND(D65="Y",booking!L65&lt;&gt;booking!M65,booking!M65&gt;0),booking!M65,"-")</f>
        <v>-</v>
      </c>
      <c r="P65" s="78" t="str">
        <f>IFERROR(VLOOKUP(O65,Database!$A$2:$L$175,8,FALSE),"-")</f>
        <v>-</v>
      </c>
      <c r="Q65" s="78" t="str">
        <f>IFERROR(VLOOKUP(O65,Database!$A$2:$L$175,6,FALSE),"-")</f>
        <v>-</v>
      </c>
      <c r="R65" s="82" t="str">
        <f>IFERROR(VLOOKUP(O65,Database!$A$2:$L$175,9,FALSE),"-")</f>
        <v>-</v>
      </c>
      <c r="S65" s="209" t="str">
        <f>IFERROR(VLOOKUP(O65,Database!$A$2:$S$175,19,FALSE),"-")</f>
        <v>-</v>
      </c>
      <c r="T65" s="97">
        <f>IF(AND(D65="Y",booking!P65&lt;&gt;booking!Q65,booking!Q65&gt;0),booking!Q65,"-")</f>
        <v>76</v>
      </c>
      <c r="U65" s="78">
        <f>IFERROR(VLOOKUP(T65,Database!$A$2:$L$175,8,FALSE),"-")</f>
        <v>0</v>
      </c>
      <c r="V65" s="78" t="str">
        <f>IFERROR(VLOOKUP(T65,Database!$A$2:$L$175,6,FALSE),"-")</f>
        <v>DK</v>
      </c>
      <c r="W65" s="82" t="str">
        <f>IFERROR(VLOOKUP(T65,Database!$A$2:$L$175,9,FALSE),"-")</f>
        <v>sing</v>
      </c>
      <c r="X65" s="209" t="str">
        <f>IFERROR(VLOOKUP(T65,Database!$A$2:$S$175,19,FALSE),"-")</f>
        <v>N</v>
      </c>
      <c r="Y65" s="96" t="str">
        <f>IF(AND(D65="Y",booking!T65&lt;&gt;booking!U65,booking!U65&gt;0),booking!U65,"-")</f>
        <v>-</v>
      </c>
      <c r="Z65" s="79" t="str">
        <f>IFERROR(VLOOKUP(Y65,Database!$A$2:$L$175,8,FALSE),"-")</f>
        <v>-</v>
      </c>
      <c r="AA65" s="79" t="str">
        <f>IFERROR(VLOOKUP(Y65,Database!$A$2:$L$175,6,FALSE),"-")</f>
        <v>-</v>
      </c>
      <c r="AB65" s="92" t="str">
        <f>IFERROR(VLOOKUP(Y65,Database!$A$2:$L$175,9,FALSE),"-")</f>
        <v>-</v>
      </c>
      <c r="AC65" s="8" t="str">
        <f>IFERROR(VLOOKUP(Y65,Database!$A$2:$S$175,19,FALSE),"-")</f>
        <v>-</v>
      </c>
    </row>
    <row r="66" spans="1:29" ht="15" customHeight="1" thickBot="1" x14ac:dyDescent="0.4">
      <c r="A66" s="88" t="str">
        <f>rengoering!A66</f>
        <v>tirsdag</v>
      </c>
      <c r="B66" s="86">
        <v>46203</v>
      </c>
      <c r="C66" s="9"/>
      <c r="D66" s="89" t="str">
        <f>IF(booking!AB66&gt;0,"Y","-")</f>
        <v>-</v>
      </c>
      <c r="E66" s="95" t="str">
        <f>IF(AND(D66="Y",booking!D66&lt;&gt;booking!E66,booking!E66&gt;0),booking!E66,"-")</f>
        <v>-</v>
      </c>
      <c r="F66" s="8" t="str">
        <f>IFERROR(VLOOKUP(E66,Database!$A$2:$L$175,8,FALSE),"-")</f>
        <v>-</v>
      </c>
      <c r="G66" s="78" t="str">
        <f>IFERROR(VLOOKUP(E66,Database!$A$2:$L$175,6,FALSE),"-")</f>
        <v>-</v>
      </c>
      <c r="H66" s="93" t="str">
        <f>IFERROR(VLOOKUP(E66,Database!$A$2:$L$175,9,FALSE),"-")</f>
        <v>-</v>
      </c>
      <c r="I66" s="112"/>
      <c r="J66" s="96" t="str">
        <f>IF(AND(D66="Y",booking!H66&lt;&gt;booking!I66,booking!I66&gt;0),booking!I66,"-")</f>
        <v>-</v>
      </c>
      <c r="K66" s="78" t="str">
        <f>IFERROR(VLOOKUP(J66,Database!$A$2:$L$175,8,FALSE),"-")</f>
        <v>-</v>
      </c>
      <c r="L66" s="78" t="str">
        <f>IFERROR(VLOOKUP(J66,Database!$A$2:$L$175,6,FALSE),"-")</f>
        <v>-</v>
      </c>
      <c r="M66" s="93" t="str">
        <f>IFERROR(VLOOKUP(J66,Database!$A$2:$L$175,9,FALSE),"-")</f>
        <v>-</v>
      </c>
      <c r="N66" s="209" t="str">
        <f>IFERROR(VLOOKUP(J66,Database!$A$2:$S$175,19,FALSE),"-")</f>
        <v>-</v>
      </c>
      <c r="O66" s="96" t="str">
        <f>IF(AND(D66="Y",booking!L66&lt;&gt;booking!M66,booking!M66&gt;0),booking!M66,"-")</f>
        <v>-</v>
      </c>
      <c r="P66" s="78" t="str">
        <f>IFERROR(VLOOKUP(O66,Database!$A$2:$L$175,8,FALSE),"-")</f>
        <v>-</v>
      </c>
      <c r="Q66" s="78" t="str">
        <f>IFERROR(VLOOKUP(O66,Database!$A$2:$L$175,6,FALSE),"-")</f>
        <v>-</v>
      </c>
      <c r="R66" s="82" t="str">
        <f>IFERROR(VLOOKUP(O66,Database!$A$2:$L$175,9,FALSE),"-")</f>
        <v>-</v>
      </c>
      <c r="S66" s="209" t="str">
        <f>IFERROR(VLOOKUP(O66,Database!$A$2:$S$175,19,FALSE),"-")</f>
        <v>-</v>
      </c>
      <c r="T66" s="97" t="str">
        <f>IF(AND(D66="Y",booking!P66&lt;&gt;booking!Q66,booking!Q66&gt;0),booking!Q66,"-")</f>
        <v>-</v>
      </c>
      <c r="U66" s="78" t="str">
        <f>IFERROR(VLOOKUP(T66,Database!$A$2:$L$175,8,FALSE),"-")</f>
        <v>-</v>
      </c>
      <c r="V66" s="78" t="str">
        <f>IFERROR(VLOOKUP(T66,Database!$A$2:$L$175,6,FALSE),"-")</f>
        <v>-</v>
      </c>
      <c r="W66" s="82" t="str">
        <f>IFERROR(VLOOKUP(T66,Database!$A$2:$L$175,9,FALSE),"-")</f>
        <v>-</v>
      </c>
      <c r="X66" s="209" t="str">
        <f>IFERROR(VLOOKUP(T66,Database!$A$2:$S$175,19,FALSE),"-")</f>
        <v>-</v>
      </c>
      <c r="Y66" s="96" t="str">
        <f>IF(AND(D66="Y",booking!T66&lt;&gt;booking!U66,booking!U66&gt;0),booking!U66,"-")</f>
        <v>-</v>
      </c>
      <c r="Z66" s="79" t="str">
        <f>IFERROR(VLOOKUP(Y66,Database!$A$2:$L$175,8,FALSE),"-")</f>
        <v>-</v>
      </c>
      <c r="AA66" s="79" t="str">
        <f>IFERROR(VLOOKUP(Y66,Database!$A$2:$L$175,6,FALSE),"-")</f>
        <v>-</v>
      </c>
      <c r="AB66" s="92" t="str">
        <f>IFERROR(VLOOKUP(Y66,Database!$A$2:$L$175,9,FALSE),"-")</f>
        <v>-</v>
      </c>
      <c r="AC66" s="8" t="str">
        <f>IFERROR(VLOOKUP(Y66,Database!$A$2:$S$175,19,FALSE),"-")</f>
        <v>-</v>
      </c>
    </row>
    <row r="67" spans="1:29" ht="15" customHeight="1" thickBot="1" x14ac:dyDescent="0.4">
      <c r="A67" s="88" t="str">
        <f>rengoering!A67</f>
        <v>onsdag</v>
      </c>
      <c r="B67" s="84">
        <v>46204</v>
      </c>
      <c r="C67" s="9"/>
      <c r="D67" s="89" t="str">
        <f>IF(booking!AB67&gt;0,"Y","-")</f>
        <v>Y</v>
      </c>
      <c r="E67" s="95" t="str">
        <f>IF(AND(D67="Y",booking!D67&lt;&gt;booking!E67,booking!E67&gt;0),booking!E67,"-")</f>
        <v>-</v>
      </c>
      <c r="F67" s="8" t="str">
        <f>IFERROR(VLOOKUP(E67,Database!$A$2:$L$175,8,FALSE),"-")</f>
        <v>-</v>
      </c>
      <c r="G67" s="78" t="str">
        <f>IFERROR(VLOOKUP(E67,Database!$A$2:$L$175,6,FALSE),"-")</f>
        <v>-</v>
      </c>
      <c r="H67" s="93" t="str">
        <f>IFERROR(VLOOKUP(E67,Database!$A$2:$L$175,9,FALSE),"-")</f>
        <v>-</v>
      </c>
      <c r="I67" s="112"/>
      <c r="J67" s="96">
        <f>IF(AND(D67="Y",booking!H67&lt;&gt;booking!I67,booking!I67&gt;0),booking!I67,"-")</f>
        <v>104</v>
      </c>
      <c r="K67" s="78">
        <f>IFERROR(VLOOKUP(J67,Database!$A$2:$L$175,8,FALSE),"-")</f>
        <v>0</v>
      </c>
      <c r="L67" s="78" t="str">
        <f>IFERROR(VLOOKUP(J67,Database!$A$2:$L$175,6,FALSE),"-")</f>
        <v>DK</v>
      </c>
      <c r="M67" s="93">
        <f>IFERROR(VLOOKUP(J67,Database!$A$2:$L$175,9,FALSE),"-")</f>
        <v>0</v>
      </c>
      <c r="N67" s="209" t="str">
        <f>IFERROR(VLOOKUP(J67,Database!$A$2:$S$175,19,FALSE),"-")</f>
        <v>N</v>
      </c>
      <c r="O67" s="96" t="str">
        <f>IF(AND(D67="Y",booking!L67&lt;&gt;booking!M67,booking!M67&gt;0),booking!M67,"-")</f>
        <v>-</v>
      </c>
      <c r="P67" s="78" t="str">
        <f>IFERROR(VLOOKUP(O67,Database!$A$2:$L$175,8,FALSE),"-")</f>
        <v>-</v>
      </c>
      <c r="Q67" s="78" t="str">
        <f>IFERROR(VLOOKUP(O67,Database!$A$2:$L$175,6,FALSE),"-")</f>
        <v>-</v>
      </c>
      <c r="R67" s="82" t="str">
        <f>IFERROR(VLOOKUP(O67,Database!$A$2:$L$175,9,FALSE),"-")</f>
        <v>-</v>
      </c>
      <c r="S67" s="209" t="str">
        <f>IFERROR(VLOOKUP(O67,Database!$A$2:$S$175,19,FALSE),"-")</f>
        <v>-</v>
      </c>
      <c r="T67" s="97" t="str">
        <f>IF(AND(D67="Y",booking!P67&lt;&gt;booking!Q67,booking!Q67&gt;0),booking!Q67,"-")</f>
        <v>-</v>
      </c>
      <c r="U67" s="78" t="str">
        <f>IFERROR(VLOOKUP(T67,Database!$A$2:$L$175,8,FALSE),"-")</f>
        <v>-</v>
      </c>
      <c r="V67" s="78" t="str">
        <f>IFERROR(VLOOKUP(T67,Database!$A$2:$L$175,6,FALSE),"-")</f>
        <v>-</v>
      </c>
      <c r="W67" s="82" t="str">
        <f>IFERROR(VLOOKUP(T67,Database!$A$2:$L$175,9,FALSE),"-")</f>
        <v>-</v>
      </c>
      <c r="X67" s="209" t="str">
        <f>IFERROR(VLOOKUP(T67,Database!$A$2:$S$175,19,FALSE),"-")</f>
        <v>-</v>
      </c>
      <c r="Y67" s="96" t="str">
        <f>IF(AND(D67="Y",booking!T67&lt;&gt;booking!U67,booking!U67&gt;0),booking!U67,"-")</f>
        <v>-</v>
      </c>
      <c r="Z67" s="79" t="str">
        <f>IFERROR(VLOOKUP(Y67,Database!$A$2:$L$175,8,FALSE),"-")</f>
        <v>-</v>
      </c>
      <c r="AA67" s="79" t="str">
        <f>IFERROR(VLOOKUP(Y67,Database!$A$2:$L$175,6,FALSE),"-")</f>
        <v>-</v>
      </c>
      <c r="AB67" s="92" t="str">
        <f>IFERROR(VLOOKUP(Y67,Database!$A$2:$L$175,9,FALSE),"-")</f>
        <v>-</v>
      </c>
      <c r="AC67" s="8" t="str">
        <f>IFERROR(VLOOKUP(Y67,Database!$A$2:$S$175,19,FALSE),"-")</f>
        <v>-</v>
      </c>
    </row>
    <row r="68" spans="1:29" ht="15" customHeight="1" thickBot="1" x14ac:dyDescent="0.4">
      <c r="A68" s="88" t="str">
        <f>rengoering!A68</f>
        <v>torsdag</v>
      </c>
      <c r="B68" s="86">
        <v>46205</v>
      </c>
      <c r="C68" s="9"/>
      <c r="D68" s="89" t="str">
        <f>IF(booking!AB68&gt;0,"Y","-")</f>
        <v>Y</v>
      </c>
      <c r="E68" s="95">
        <f>IF(AND(D68="Y",booking!D68&lt;&gt;booking!E68,booking!E68&gt;0),booking!E68,"-")</f>
        <v>24</v>
      </c>
      <c r="F68" s="8">
        <f>IFERROR(VLOOKUP(E68,Database!$A$2:$L$175,8,FALSE),"-")</f>
        <v>0</v>
      </c>
      <c r="G68" s="78" t="str">
        <f>IFERROR(VLOOKUP(E68,Database!$A$2:$L$175,6,FALSE),"-")</f>
        <v>S</v>
      </c>
      <c r="H68" s="93" t="str">
        <f>IFERROR(VLOOKUP(E68,Database!$A$2:$L$175,9,FALSE),"-")</f>
        <v>dobb</v>
      </c>
      <c r="I68" s="112"/>
      <c r="J68" s="96" t="str">
        <f>IF(AND(D68="Y",booking!H68&lt;&gt;booking!I68,booking!I68&gt;0),booking!I68,"-")</f>
        <v>-</v>
      </c>
      <c r="K68" s="78" t="str">
        <f>IFERROR(VLOOKUP(J68,Database!$A$2:$L$175,8,FALSE),"-")</f>
        <v>-</v>
      </c>
      <c r="L68" s="78" t="str">
        <f>IFERROR(VLOOKUP(J68,Database!$A$2:$L$175,6,FALSE),"-")</f>
        <v>-</v>
      </c>
      <c r="M68" s="93" t="str">
        <f>IFERROR(VLOOKUP(J68,Database!$A$2:$L$175,9,FALSE),"-")</f>
        <v>-</v>
      </c>
      <c r="N68" s="209" t="str">
        <f>IFERROR(VLOOKUP(J68,Database!$A$2:$S$175,19,FALSE),"-")</f>
        <v>-</v>
      </c>
      <c r="O68" s="96" t="str">
        <f>IF(AND(D68="Y",booking!L68&lt;&gt;booking!M68,booking!M68&gt;0),booking!M68,"-")</f>
        <v>-</v>
      </c>
      <c r="P68" s="78" t="str">
        <f>IFERROR(VLOOKUP(O68,Database!$A$2:$L$175,8,FALSE),"-")</f>
        <v>-</v>
      </c>
      <c r="Q68" s="78" t="str">
        <f>IFERROR(VLOOKUP(O68,Database!$A$2:$L$175,6,FALSE),"-")</f>
        <v>-</v>
      </c>
      <c r="R68" s="82" t="str">
        <f>IFERROR(VLOOKUP(O68,Database!$A$2:$L$175,9,FALSE),"-")</f>
        <v>-</v>
      </c>
      <c r="S68" s="209" t="str">
        <f>IFERROR(VLOOKUP(O68,Database!$A$2:$S$175,19,FALSE),"-")</f>
        <v>-</v>
      </c>
      <c r="T68" s="97" t="str">
        <f>IF(AND(D68="Y",booking!P68&lt;&gt;booking!Q68,booking!Q68&gt;0),booking!Q68,"-")</f>
        <v>-</v>
      </c>
      <c r="U68" s="78" t="str">
        <f>IFERROR(VLOOKUP(T68,Database!$A$2:$L$175,8,FALSE),"-")</f>
        <v>-</v>
      </c>
      <c r="V68" s="78" t="str">
        <f>IFERROR(VLOOKUP(T68,Database!$A$2:$L$175,6,FALSE),"-")</f>
        <v>-</v>
      </c>
      <c r="W68" s="82" t="str">
        <f>IFERROR(VLOOKUP(T68,Database!$A$2:$L$175,9,FALSE),"-")</f>
        <v>-</v>
      </c>
      <c r="X68" s="209" t="str">
        <f>IFERROR(VLOOKUP(T68,Database!$A$2:$S$175,19,FALSE),"-")</f>
        <v>-</v>
      </c>
      <c r="Y68" s="96" t="str">
        <f>IF(AND(D68="Y",booking!T68&lt;&gt;booking!U68,booking!U68&gt;0),booking!U68,"-")</f>
        <v>-</v>
      </c>
      <c r="Z68" s="79" t="str">
        <f>IFERROR(VLOOKUP(Y68,Database!$A$2:$L$175,8,FALSE),"-")</f>
        <v>-</v>
      </c>
      <c r="AA68" s="79" t="str">
        <f>IFERROR(VLOOKUP(Y68,Database!$A$2:$L$175,6,FALSE),"-")</f>
        <v>-</v>
      </c>
      <c r="AB68" s="92" t="str">
        <f>IFERROR(VLOOKUP(Y68,Database!$A$2:$L$175,9,FALSE),"-")</f>
        <v>-</v>
      </c>
      <c r="AC68" s="8" t="str">
        <f>IFERROR(VLOOKUP(Y68,Database!$A$2:$S$175,19,FALSE),"-")</f>
        <v>-</v>
      </c>
    </row>
    <row r="69" spans="1:29" ht="15" customHeight="1" thickBot="1" x14ac:dyDescent="0.4">
      <c r="A69" s="88" t="str">
        <f>rengoering!A69</f>
        <v>fredag</v>
      </c>
      <c r="B69" s="84">
        <v>46206</v>
      </c>
      <c r="C69" s="9"/>
      <c r="D69" s="89" t="str">
        <f>IF(booking!AB69&gt;0,"Y","-")</f>
        <v>Y</v>
      </c>
      <c r="E69" s="95" t="str">
        <f>IF(AND(D69="Y",booking!D69&lt;&gt;booking!E69,booking!E69&gt;0),booking!E69,"-")</f>
        <v>-</v>
      </c>
      <c r="F69" s="8" t="str">
        <f>IFERROR(VLOOKUP(E69,Database!$A$2:$L$175,8,FALSE),"-")</f>
        <v>-</v>
      </c>
      <c r="G69" s="78" t="str">
        <f>IFERROR(VLOOKUP(E69,Database!$A$2:$L$175,6,FALSE),"-")</f>
        <v>-</v>
      </c>
      <c r="H69" s="93" t="str">
        <f>IFERROR(VLOOKUP(E69,Database!$A$2:$L$175,9,FALSE),"-")</f>
        <v>-</v>
      </c>
      <c r="I69" s="112"/>
      <c r="J69" s="96" t="str">
        <f>IF(AND(D69="Y",booking!H69&lt;&gt;booking!I69,booking!I69&gt;0),booking!I69,"-")</f>
        <v>-</v>
      </c>
      <c r="K69" s="78" t="str">
        <f>IFERROR(VLOOKUP(J69,Database!$A$2:$L$175,8,FALSE),"-")</f>
        <v>-</v>
      </c>
      <c r="L69" s="78" t="str">
        <f>IFERROR(VLOOKUP(J69,Database!$A$2:$L$175,6,FALSE),"-")</f>
        <v>-</v>
      </c>
      <c r="M69" s="93" t="str">
        <f>IFERROR(VLOOKUP(J69,Database!$A$2:$L$175,9,FALSE),"-")</f>
        <v>-</v>
      </c>
      <c r="N69" s="209" t="str">
        <f>IFERROR(VLOOKUP(J69,Database!$A$2:$S$175,19,FALSE),"-")</f>
        <v>-</v>
      </c>
      <c r="O69" s="96" t="str">
        <f>IF(AND(D69="Y",booking!L69&lt;&gt;booking!M69,booking!M69&gt;0),booking!M69,"-")</f>
        <v>-</v>
      </c>
      <c r="P69" s="78" t="str">
        <f>IFERROR(VLOOKUP(O69,Database!$A$2:$L$175,8,FALSE),"-")</f>
        <v>-</v>
      </c>
      <c r="Q69" s="78" t="str">
        <f>IFERROR(VLOOKUP(O69,Database!$A$2:$L$175,6,FALSE),"-")</f>
        <v>-</v>
      </c>
      <c r="R69" s="82" t="str">
        <f>IFERROR(VLOOKUP(O69,Database!$A$2:$L$175,9,FALSE),"-")</f>
        <v>-</v>
      </c>
      <c r="S69" s="209" t="str">
        <f>IFERROR(VLOOKUP(O69,Database!$A$2:$S$175,19,FALSE),"-")</f>
        <v>-</v>
      </c>
      <c r="T69" s="97">
        <f>IF(AND(D69="Y",booking!P69&lt;&gt;booking!Q69,booking!Q69&gt;0),booking!Q69,"-")</f>
        <v>14</v>
      </c>
      <c r="U69" s="78">
        <f>IFERROR(VLOOKUP(T69,Database!$A$2:$L$175,8,FALSE),"-")</f>
        <v>0</v>
      </c>
      <c r="V69" s="78" t="str">
        <f>IFERROR(VLOOKUP(T69,Database!$A$2:$L$175,6,FALSE),"-")</f>
        <v>DK</v>
      </c>
      <c r="W69" s="82">
        <f>IFERROR(VLOOKUP(T69,Database!$A$2:$L$175,9,FALSE),"-")</f>
        <v>0</v>
      </c>
      <c r="X69" s="209" t="str">
        <f>IFERROR(VLOOKUP(T69,Database!$A$2:$S$175,19,FALSE),"-")</f>
        <v>YY</v>
      </c>
      <c r="Y69" s="96" t="str">
        <f>IF(AND(D69="Y",booking!T69&lt;&gt;booking!U69,booking!U69&gt;0),booking!U69,"-")</f>
        <v>-</v>
      </c>
      <c r="Z69" s="79" t="str">
        <f>IFERROR(VLOOKUP(Y69,Database!$A$2:$L$175,8,FALSE),"-")</f>
        <v>-</v>
      </c>
      <c r="AA69" s="79" t="str">
        <f>IFERROR(VLOOKUP(Y69,Database!$A$2:$L$175,6,FALSE),"-")</f>
        <v>-</v>
      </c>
      <c r="AB69" s="92" t="str">
        <f>IFERROR(VLOOKUP(Y69,Database!$A$2:$L$175,9,FALSE),"-")</f>
        <v>-</v>
      </c>
      <c r="AC69" s="8" t="str">
        <f>IFERROR(VLOOKUP(Y69,Database!$A$2:$S$175,19,FALSE),"-")</f>
        <v>-</v>
      </c>
    </row>
    <row r="70" spans="1:29" ht="15" customHeight="1" thickBot="1" x14ac:dyDescent="0.4">
      <c r="A70" s="88" t="str">
        <f>rengoering!A70</f>
        <v>lørdag</v>
      </c>
      <c r="B70" s="86">
        <v>46207</v>
      </c>
      <c r="C70" s="9"/>
      <c r="D70" s="89" t="str">
        <f>IF(booking!AB70&gt;0,"Y","-")</f>
        <v>Y</v>
      </c>
      <c r="E70" s="95" t="str">
        <f>IF(AND(D70="Y",booking!D70&lt;&gt;booking!E70,booking!E70&gt;0),booking!E70,"-")</f>
        <v>-</v>
      </c>
      <c r="F70" s="8" t="str">
        <f>IFERROR(VLOOKUP(E70,Database!$A$2:$L$175,8,FALSE),"-")</f>
        <v>-</v>
      </c>
      <c r="G70" s="78" t="str">
        <f>IFERROR(VLOOKUP(E70,Database!$A$2:$L$175,6,FALSE),"-")</f>
        <v>-</v>
      </c>
      <c r="H70" s="93" t="str">
        <f>IFERROR(VLOOKUP(E70,Database!$A$2:$L$175,9,FALSE),"-")</f>
        <v>-</v>
      </c>
      <c r="I70" s="112"/>
      <c r="J70" s="96">
        <f>IF(AND(D70="Y",booking!H70&lt;&gt;booking!I70,booking!I70&gt;0),booking!I70,"-")</f>
        <v>106</v>
      </c>
      <c r="K70" s="78">
        <f>IFERROR(VLOOKUP(J70,Database!$A$2:$L$175,8,FALSE),"-")</f>
        <v>0</v>
      </c>
      <c r="L70" s="78" t="str">
        <f>IFERROR(VLOOKUP(J70,Database!$A$2:$L$175,6,FALSE),"-")</f>
        <v>DK</v>
      </c>
      <c r="M70" s="93">
        <f>IFERROR(VLOOKUP(J70,Database!$A$2:$L$175,9,FALSE),"-")</f>
        <v>0</v>
      </c>
      <c r="N70" s="209" t="str">
        <f>IFERROR(VLOOKUP(J70,Database!$A$2:$S$175,19,FALSE),"-")</f>
        <v>N</v>
      </c>
      <c r="O70" s="96" t="str">
        <f>IF(AND(D70="Y",booking!L70&lt;&gt;booking!M70,booking!M70&gt;0),booking!M70,"-")</f>
        <v>-</v>
      </c>
      <c r="P70" s="78" t="str">
        <f>IFERROR(VLOOKUP(O70,Database!$A$2:$L$175,8,FALSE),"-")</f>
        <v>-</v>
      </c>
      <c r="Q70" s="78" t="str">
        <f>IFERROR(VLOOKUP(O70,Database!$A$2:$L$175,6,FALSE),"-")</f>
        <v>-</v>
      </c>
      <c r="R70" s="82" t="str">
        <f>IFERROR(VLOOKUP(O70,Database!$A$2:$L$175,9,FALSE),"-")</f>
        <v>-</v>
      </c>
      <c r="S70" s="209" t="str">
        <f>IFERROR(VLOOKUP(O70,Database!$A$2:$S$175,19,FALSE),"-")</f>
        <v>-</v>
      </c>
      <c r="T70" s="97" t="str">
        <f>IF(AND(D70="Y",booking!P70&lt;&gt;booking!Q70,booking!Q70&gt;0),booking!Q70,"-")</f>
        <v>-</v>
      </c>
      <c r="U70" s="78" t="str">
        <f>IFERROR(VLOOKUP(T70,Database!$A$2:$L$175,8,FALSE),"-")</f>
        <v>-</v>
      </c>
      <c r="V70" s="78" t="str">
        <f>IFERROR(VLOOKUP(T70,Database!$A$2:$L$175,6,FALSE),"-")</f>
        <v>-</v>
      </c>
      <c r="W70" s="82" t="str">
        <f>IFERROR(VLOOKUP(T70,Database!$A$2:$L$175,9,FALSE),"-")</f>
        <v>-</v>
      </c>
      <c r="X70" s="209" t="str">
        <f>IFERROR(VLOOKUP(T70,Database!$A$2:$S$175,19,FALSE),"-")</f>
        <v>-</v>
      </c>
      <c r="Y70" s="96">
        <f>IF(AND(D70="Y",booking!T70&lt;&gt;booking!U70,booking!U70&gt;0),booking!U70,"-")</f>
        <v>7</v>
      </c>
      <c r="Z70" s="79">
        <f>IFERROR(VLOOKUP(Y70,Database!$A$2:$L$175,8,FALSE),"-")</f>
        <v>0</v>
      </c>
      <c r="AA70" s="79" t="str">
        <f>IFERROR(VLOOKUP(Y70,Database!$A$2:$L$175,6,FALSE),"-")</f>
        <v>DK</v>
      </c>
      <c r="AB70" s="92">
        <f>IFERROR(VLOOKUP(Y70,Database!$A$2:$L$175,9,FALSE),"-")</f>
        <v>0</v>
      </c>
      <c r="AC70" s="8" t="str">
        <f>IFERROR(VLOOKUP(Y70,Database!$A$2:$S$175,19,FALSE),"-")</f>
        <v>Y</v>
      </c>
    </row>
    <row r="71" spans="1:29" ht="15" customHeight="1" thickBot="1" x14ac:dyDescent="0.4">
      <c r="A71" s="88" t="str">
        <f>rengoering!A71</f>
        <v>søndag</v>
      </c>
      <c r="B71" s="84">
        <v>46208</v>
      </c>
      <c r="C71" s="9"/>
      <c r="D71" s="89" t="str">
        <f>IF(booking!AB71&gt;0,"Y","-")</f>
        <v>-</v>
      </c>
      <c r="E71" s="95" t="str">
        <f>IF(AND(D71="Y",booking!D71&lt;&gt;booking!E71,booking!E71&gt;0),booking!E71,"-")</f>
        <v>-</v>
      </c>
      <c r="F71" s="8" t="str">
        <f>IFERROR(VLOOKUP(E71,Database!$A$2:$L$175,8,FALSE),"-")</f>
        <v>-</v>
      </c>
      <c r="G71" s="78" t="str">
        <f>IFERROR(VLOOKUP(E71,Database!$A$2:$L$175,6,FALSE),"-")</f>
        <v>-</v>
      </c>
      <c r="H71" s="93" t="str">
        <f>IFERROR(VLOOKUP(E71,Database!$A$2:$L$175,9,FALSE),"-")</f>
        <v>-</v>
      </c>
      <c r="I71" s="112"/>
      <c r="J71" s="96" t="str">
        <f>IF(AND(D71="Y",booking!H71&lt;&gt;booking!I71,booking!I71&gt;0),booking!I71,"-")</f>
        <v>-</v>
      </c>
      <c r="K71" s="78" t="str">
        <f>IFERROR(VLOOKUP(J71,Database!$A$2:$L$175,8,FALSE),"-")</f>
        <v>-</v>
      </c>
      <c r="L71" s="78" t="str">
        <f>IFERROR(VLOOKUP(J71,Database!$A$2:$L$175,6,FALSE),"-")</f>
        <v>-</v>
      </c>
      <c r="M71" s="93" t="str">
        <f>IFERROR(VLOOKUP(J71,Database!$A$2:$L$175,9,FALSE),"-")</f>
        <v>-</v>
      </c>
      <c r="N71" s="209" t="str">
        <f>IFERROR(VLOOKUP(J71,Database!$A$2:$S$175,19,FALSE),"-")</f>
        <v>-</v>
      </c>
      <c r="O71" s="96" t="str">
        <f>IF(AND(D71="Y",booking!L71&lt;&gt;booking!M71,booking!M71&gt;0),booking!M71,"-")</f>
        <v>-</v>
      </c>
      <c r="P71" s="78" t="str">
        <f>IFERROR(VLOOKUP(O71,Database!$A$2:$L$175,8,FALSE),"-")</f>
        <v>-</v>
      </c>
      <c r="Q71" s="78" t="str">
        <f>IFERROR(VLOOKUP(O71,Database!$A$2:$L$175,6,FALSE),"-")</f>
        <v>-</v>
      </c>
      <c r="R71" s="82" t="str">
        <f>IFERROR(VLOOKUP(O71,Database!$A$2:$L$175,9,FALSE),"-")</f>
        <v>-</v>
      </c>
      <c r="S71" s="209" t="str">
        <f>IFERROR(VLOOKUP(O71,Database!$A$2:$S$175,19,FALSE),"-")</f>
        <v>-</v>
      </c>
      <c r="T71" s="97" t="str">
        <f>IF(AND(D71="Y",booking!P71&lt;&gt;booking!Q71,booking!Q71&gt;0),booking!Q71,"-")</f>
        <v>-</v>
      </c>
      <c r="U71" s="78" t="str">
        <f>IFERROR(VLOOKUP(T71,Database!$A$2:$L$175,8,FALSE),"-")</f>
        <v>-</v>
      </c>
      <c r="V71" s="78" t="str">
        <f>IFERROR(VLOOKUP(T71,Database!$A$2:$L$175,6,FALSE),"-")</f>
        <v>-</v>
      </c>
      <c r="W71" s="82" t="str">
        <f>IFERROR(VLOOKUP(T71,Database!$A$2:$L$175,9,FALSE),"-")</f>
        <v>-</v>
      </c>
      <c r="X71" s="209" t="str">
        <f>IFERROR(VLOOKUP(T71,Database!$A$2:$S$175,19,FALSE),"-")</f>
        <v>-</v>
      </c>
      <c r="Y71" s="96" t="str">
        <f>IF(AND(D71="Y",booking!T71&lt;&gt;booking!U71,booking!U71&gt;0),booking!U71,"-")</f>
        <v>-</v>
      </c>
      <c r="Z71" s="79" t="str">
        <f>IFERROR(VLOOKUP(Y71,Database!$A$2:$L$175,8,FALSE),"-")</f>
        <v>-</v>
      </c>
      <c r="AA71" s="79" t="str">
        <f>IFERROR(VLOOKUP(Y71,Database!$A$2:$L$175,6,FALSE),"-")</f>
        <v>-</v>
      </c>
      <c r="AB71" s="92" t="str">
        <f>IFERROR(VLOOKUP(Y71,Database!$A$2:$L$175,9,FALSE),"-")</f>
        <v>-</v>
      </c>
      <c r="AC71" s="8" t="str">
        <f>IFERROR(VLOOKUP(Y71,Database!$A$2:$S$175,19,FALSE),"-")</f>
        <v>-</v>
      </c>
    </row>
    <row r="72" spans="1:29" ht="15" customHeight="1" thickBot="1" x14ac:dyDescent="0.4">
      <c r="A72" s="88" t="str">
        <f>rengoering!A72</f>
        <v>mandag</v>
      </c>
      <c r="B72" s="86">
        <v>46209</v>
      </c>
      <c r="C72" s="9"/>
      <c r="D72" s="89" t="str">
        <f>IF(booking!AB72&gt;0,"Y","-")</f>
        <v>Y</v>
      </c>
      <c r="E72" s="95">
        <f>IF(AND(D72="Y",booking!D72&lt;&gt;booking!E72,booking!E72&gt;0),booking!E72,"-")</f>
        <v>36</v>
      </c>
      <c r="F72" s="8">
        <f>IFERROR(VLOOKUP(E72,Database!$A$2:$L$175,8,FALSE),"-")</f>
        <v>0</v>
      </c>
      <c r="G72" s="78" t="str">
        <f>IFERROR(VLOOKUP(E72,Database!$A$2:$L$175,6,FALSE),"-")</f>
        <v>DK</v>
      </c>
      <c r="H72" s="93" t="str">
        <f>IFERROR(VLOOKUP(E72,Database!$A$2:$L$175,9,FALSE),"-")</f>
        <v>sing</v>
      </c>
      <c r="I72" s="112"/>
      <c r="J72" s="96" t="str">
        <f>IF(AND(D72="Y",booking!H72&lt;&gt;booking!I72,booking!I72&gt;0),booking!I72,"-")</f>
        <v>-</v>
      </c>
      <c r="K72" s="78" t="str">
        <f>IFERROR(VLOOKUP(J72,Database!$A$2:$L$175,8,FALSE),"-")</f>
        <v>-</v>
      </c>
      <c r="L72" s="78" t="str">
        <f>IFERROR(VLOOKUP(J72,Database!$A$2:$L$175,6,FALSE),"-")</f>
        <v>-</v>
      </c>
      <c r="M72" s="93" t="str">
        <f>IFERROR(VLOOKUP(J72,Database!$A$2:$L$175,9,FALSE),"-")</f>
        <v>-</v>
      </c>
      <c r="N72" s="209" t="str">
        <f>IFERROR(VLOOKUP(J72,Database!$A$2:$S$175,19,FALSE),"-")</f>
        <v>-</v>
      </c>
      <c r="O72" s="96">
        <f>IF(AND(D72="Y",booking!L72&lt;&gt;booking!M72,booking!M72&gt;0),booking!M72,"-")</f>
        <v>36</v>
      </c>
      <c r="P72" s="78">
        <f>IFERROR(VLOOKUP(O72,Database!$A$2:$L$175,8,FALSE),"-")</f>
        <v>0</v>
      </c>
      <c r="Q72" s="78" t="str">
        <f>IFERROR(VLOOKUP(O72,Database!$A$2:$L$175,6,FALSE),"-")</f>
        <v>DK</v>
      </c>
      <c r="R72" s="82" t="str">
        <f>IFERROR(VLOOKUP(O72,Database!$A$2:$L$175,9,FALSE),"-")</f>
        <v>sing</v>
      </c>
      <c r="S72" s="209" t="str">
        <f>IFERROR(VLOOKUP(O72,Database!$A$2:$S$175,19,FALSE),"-")</f>
        <v>N</v>
      </c>
      <c r="T72" s="97" t="str">
        <f>IF(AND(D72="Y",booking!P72&lt;&gt;booking!Q72,booking!Q72&gt;0),booking!Q72,"-")</f>
        <v>-</v>
      </c>
      <c r="U72" s="78" t="str">
        <f>IFERROR(VLOOKUP(T72,Database!$A$2:$L$175,8,FALSE),"-")</f>
        <v>-</v>
      </c>
      <c r="V72" s="78" t="str">
        <f>IFERROR(VLOOKUP(T72,Database!$A$2:$L$175,6,FALSE),"-")</f>
        <v>-</v>
      </c>
      <c r="W72" s="82" t="str">
        <f>IFERROR(VLOOKUP(T72,Database!$A$2:$L$175,9,FALSE),"-")</f>
        <v>-</v>
      </c>
      <c r="X72" s="209" t="str">
        <f>IFERROR(VLOOKUP(T72,Database!$A$2:$S$175,19,FALSE),"-")</f>
        <v>-</v>
      </c>
      <c r="Y72" s="96" t="str">
        <f>IF(AND(D72="Y",booking!T72&lt;&gt;booking!U72,booking!U72&gt;0),booking!U72,"-")</f>
        <v>-</v>
      </c>
      <c r="Z72" s="79" t="str">
        <f>IFERROR(VLOOKUP(Y72,Database!$A$2:$L$175,8,FALSE),"-")</f>
        <v>-</v>
      </c>
      <c r="AA72" s="79" t="str">
        <f>IFERROR(VLOOKUP(Y72,Database!$A$2:$L$175,6,FALSE),"-")</f>
        <v>-</v>
      </c>
      <c r="AB72" s="92" t="str">
        <f>IFERROR(VLOOKUP(Y72,Database!$A$2:$L$175,9,FALSE),"-")</f>
        <v>-</v>
      </c>
      <c r="AC72" s="8" t="str">
        <f>IFERROR(VLOOKUP(Y72,Database!$A$2:$S$175,19,FALSE),"-")</f>
        <v>-</v>
      </c>
    </row>
    <row r="73" spans="1:29" ht="15" customHeight="1" thickBot="1" x14ac:dyDescent="0.4">
      <c r="A73" s="88" t="str">
        <f>rengoering!A73</f>
        <v>tirsdag</v>
      </c>
      <c r="B73" s="84">
        <v>46210</v>
      </c>
      <c r="C73" s="9"/>
      <c r="D73" s="89" t="str">
        <f>IF(booking!AB73&gt;0,"Y","-")</f>
        <v>-</v>
      </c>
      <c r="E73" s="95" t="str">
        <f>IF(AND(D73="Y",booking!D73&lt;&gt;booking!E73,booking!E73&gt;0),booking!E73,"-")</f>
        <v>-</v>
      </c>
      <c r="F73" s="8" t="str">
        <f>IFERROR(VLOOKUP(E73,Database!$A$2:$L$175,8,FALSE),"-")</f>
        <v>-</v>
      </c>
      <c r="G73" s="78" t="str">
        <f>IFERROR(VLOOKUP(E73,Database!$A$2:$L$175,6,FALSE),"-")</f>
        <v>-</v>
      </c>
      <c r="H73" s="93" t="str">
        <f>IFERROR(VLOOKUP(E73,Database!$A$2:$L$175,9,FALSE),"-")</f>
        <v>-</v>
      </c>
      <c r="I73" s="112"/>
      <c r="J73" s="96" t="str">
        <f>IF(AND(D73="Y",booking!H73&lt;&gt;booking!I73,booking!I73&gt;0),booking!I73,"-")</f>
        <v>-</v>
      </c>
      <c r="K73" s="78" t="str">
        <f>IFERROR(VLOOKUP(J73,Database!$A$2:$L$175,8,FALSE),"-")</f>
        <v>-</v>
      </c>
      <c r="L73" s="78" t="str">
        <f>IFERROR(VLOOKUP(J73,Database!$A$2:$L$175,6,FALSE),"-")</f>
        <v>-</v>
      </c>
      <c r="M73" s="93" t="str">
        <f>IFERROR(VLOOKUP(J73,Database!$A$2:$L$175,9,FALSE),"-")</f>
        <v>-</v>
      </c>
      <c r="N73" s="209" t="str">
        <f>IFERROR(VLOOKUP(J73,Database!$A$2:$S$175,19,FALSE),"-")</f>
        <v>-</v>
      </c>
      <c r="O73" s="96" t="str">
        <f>IF(AND(D73="Y",booking!L73&lt;&gt;booking!M73,booking!M73&gt;0),booking!M73,"-")</f>
        <v>-</v>
      </c>
      <c r="P73" s="78" t="str">
        <f>IFERROR(VLOOKUP(O73,Database!$A$2:$L$175,8,FALSE),"-")</f>
        <v>-</v>
      </c>
      <c r="Q73" s="78" t="str">
        <f>IFERROR(VLOOKUP(O73,Database!$A$2:$L$175,6,FALSE),"-")</f>
        <v>-</v>
      </c>
      <c r="R73" s="82" t="str">
        <f>IFERROR(VLOOKUP(O73,Database!$A$2:$L$175,9,FALSE),"-")</f>
        <v>-</v>
      </c>
      <c r="S73" s="209" t="str">
        <f>IFERROR(VLOOKUP(O73,Database!$A$2:$S$175,19,FALSE),"-")</f>
        <v>-</v>
      </c>
      <c r="T73" s="97" t="str">
        <f>IF(AND(D73="Y",booking!P73&lt;&gt;booking!Q73,booking!Q73&gt;0),booking!Q73,"-")</f>
        <v>-</v>
      </c>
      <c r="U73" s="78" t="str">
        <f>IFERROR(VLOOKUP(T73,Database!$A$2:$L$175,8,FALSE),"-")</f>
        <v>-</v>
      </c>
      <c r="V73" s="78" t="str">
        <f>IFERROR(VLOOKUP(T73,Database!$A$2:$L$175,6,FALSE),"-")</f>
        <v>-</v>
      </c>
      <c r="W73" s="82" t="str">
        <f>IFERROR(VLOOKUP(T73,Database!$A$2:$L$175,9,FALSE),"-")</f>
        <v>-</v>
      </c>
      <c r="X73" s="209" t="str">
        <f>IFERROR(VLOOKUP(T73,Database!$A$2:$S$175,19,FALSE),"-")</f>
        <v>-</v>
      </c>
      <c r="Y73" s="96" t="str">
        <f>IF(AND(D73="Y",booking!T73&lt;&gt;booking!U73,booking!U73&gt;0),booking!U73,"-")</f>
        <v>-</v>
      </c>
      <c r="Z73" s="79" t="str">
        <f>IFERROR(VLOOKUP(Y73,Database!$A$2:$L$175,8,FALSE),"-")</f>
        <v>-</v>
      </c>
      <c r="AA73" s="79" t="str">
        <f>IFERROR(VLOOKUP(Y73,Database!$A$2:$L$175,6,FALSE),"-")</f>
        <v>-</v>
      </c>
      <c r="AB73" s="92" t="str">
        <f>IFERROR(VLOOKUP(Y73,Database!$A$2:$L$175,9,FALSE),"-")</f>
        <v>-</v>
      </c>
      <c r="AC73" s="8" t="str">
        <f>IFERROR(VLOOKUP(Y73,Database!$A$2:$S$175,19,FALSE),"-")</f>
        <v>-</v>
      </c>
    </row>
    <row r="74" spans="1:29" ht="15" customHeight="1" thickBot="1" x14ac:dyDescent="0.4">
      <c r="A74" s="88" t="str">
        <f>rengoering!A74</f>
        <v>onsdag</v>
      </c>
      <c r="B74" s="86">
        <v>46211</v>
      </c>
      <c r="C74" s="9"/>
      <c r="D74" s="89" t="str">
        <f>IF(booking!AB74&gt;0,"Y","-")</f>
        <v>Y</v>
      </c>
      <c r="E74" s="95" t="str">
        <f>IF(AND(D74="Y",booking!D74&lt;&gt;booking!E74,booking!E74&gt;0),booking!E74,"-")</f>
        <v>-</v>
      </c>
      <c r="F74" s="8" t="str">
        <f>IFERROR(VLOOKUP(E74,Database!$A$2:$L$175,8,FALSE),"-")</f>
        <v>-</v>
      </c>
      <c r="G74" s="78" t="str">
        <f>IFERROR(VLOOKUP(E74,Database!$A$2:$L$175,6,FALSE),"-")</f>
        <v>-</v>
      </c>
      <c r="H74" s="93" t="str">
        <f>IFERROR(VLOOKUP(E74,Database!$A$2:$L$175,9,FALSE),"-")</f>
        <v>-</v>
      </c>
      <c r="I74" s="112"/>
      <c r="J74" s="96">
        <f>IF(AND(D74="Y",booking!H74&lt;&gt;booking!I74,booking!I74&gt;0),booking!I74,"-")</f>
        <v>13</v>
      </c>
      <c r="K74" s="78">
        <f>IFERROR(VLOOKUP(J74,Database!$A$2:$L$175,8,FALSE),"-")</f>
        <v>0</v>
      </c>
      <c r="L74" s="78" t="str">
        <f>IFERROR(VLOOKUP(J74,Database!$A$2:$L$175,6,FALSE),"-")</f>
        <v>DK</v>
      </c>
      <c r="M74" s="93">
        <f>IFERROR(VLOOKUP(J74,Database!$A$2:$L$175,9,FALSE),"-")</f>
        <v>0</v>
      </c>
      <c r="N74" s="209" t="str">
        <f>IFERROR(VLOOKUP(J74,Database!$A$2:$S$175,19,FALSE),"-")</f>
        <v>YY</v>
      </c>
      <c r="O74" s="96" t="str">
        <f>IF(AND(D74="Y",booking!L74&lt;&gt;booking!M74,booking!M74&gt;0),booking!M74,"-")</f>
        <v>-</v>
      </c>
      <c r="P74" s="78" t="str">
        <f>IFERROR(VLOOKUP(O74,Database!$A$2:$L$175,8,FALSE),"-")</f>
        <v>-</v>
      </c>
      <c r="Q74" s="78" t="str">
        <f>IFERROR(VLOOKUP(O74,Database!$A$2:$L$175,6,FALSE),"-")</f>
        <v>-</v>
      </c>
      <c r="R74" s="82" t="str">
        <f>IFERROR(VLOOKUP(O74,Database!$A$2:$L$175,9,FALSE),"-")</f>
        <v>-</v>
      </c>
      <c r="S74" s="209" t="str">
        <f>IFERROR(VLOOKUP(O74,Database!$A$2:$S$175,19,FALSE),"-")</f>
        <v>-</v>
      </c>
      <c r="T74" s="97" t="str">
        <f>IF(AND(D74="Y",booking!P74&lt;&gt;booking!Q74,booking!Q74&gt;0),booking!Q74,"-")</f>
        <v>-</v>
      </c>
      <c r="U74" s="78" t="str">
        <f>IFERROR(VLOOKUP(T74,Database!$A$2:$L$175,8,FALSE),"-")</f>
        <v>-</v>
      </c>
      <c r="V74" s="78" t="str">
        <f>IFERROR(VLOOKUP(T74,Database!$A$2:$L$175,6,FALSE),"-")</f>
        <v>-</v>
      </c>
      <c r="W74" s="82" t="str">
        <f>IFERROR(VLOOKUP(T74,Database!$A$2:$L$175,9,FALSE),"-")</f>
        <v>-</v>
      </c>
      <c r="X74" s="209" t="str">
        <f>IFERROR(VLOOKUP(T74,Database!$A$2:$S$175,19,FALSE),"-")</f>
        <v>-</v>
      </c>
      <c r="Y74" s="96" t="str">
        <f>IF(AND(D74="Y",booking!T74&lt;&gt;booking!U74,booking!U74&gt;0),booking!U74,"-")</f>
        <v>-</v>
      </c>
      <c r="Z74" s="79" t="str">
        <f>IFERROR(VLOOKUP(Y74,Database!$A$2:$L$175,8,FALSE),"-")</f>
        <v>-</v>
      </c>
      <c r="AA74" s="79" t="str">
        <f>IFERROR(VLOOKUP(Y74,Database!$A$2:$L$175,6,FALSE),"-")</f>
        <v>-</v>
      </c>
      <c r="AB74" s="92" t="str">
        <f>IFERROR(VLOOKUP(Y74,Database!$A$2:$L$175,9,FALSE),"-")</f>
        <v>-</v>
      </c>
      <c r="AC74" s="8" t="str">
        <f>IFERROR(VLOOKUP(Y74,Database!$A$2:$S$175,19,FALSE),"-")</f>
        <v>-</v>
      </c>
    </row>
    <row r="75" spans="1:29" ht="15" customHeight="1" thickBot="1" x14ac:dyDescent="0.4">
      <c r="A75" s="88" t="str">
        <f>rengoering!A75</f>
        <v>torsdag</v>
      </c>
      <c r="B75" s="84">
        <v>46212</v>
      </c>
      <c r="C75" s="9"/>
      <c r="D75" s="89" t="str">
        <f>IF(booking!AB75&gt;0,"Y","-")</f>
        <v>Y</v>
      </c>
      <c r="E75" s="95">
        <f>IF(AND(D75="Y",booking!D75&lt;&gt;booking!E75,booking!E75&gt;0),booking!E75,"-")</f>
        <v>69</v>
      </c>
      <c r="F75" s="8">
        <f>IFERROR(VLOOKUP(E75,Database!$A$2:$L$175,8,FALSE),"-")</f>
        <v>0</v>
      </c>
      <c r="G75" s="78" t="str">
        <f>IFERROR(VLOOKUP(E75,Database!$A$2:$L$175,6,FALSE),"-")</f>
        <v>DK</v>
      </c>
      <c r="H75" s="93">
        <f>IFERROR(VLOOKUP(E75,Database!$A$2:$L$175,9,FALSE),"-")</f>
        <v>0</v>
      </c>
      <c r="I75" s="112"/>
      <c r="J75" s="96" t="str">
        <f>IF(AND(D75="Y",booking!H75&lt;&gt;booking!I75,booking!I75&gt;0),booking!I75,"-")</f>
        <v>-</v>
      </c>
      <c r="K75" s="78" t="str">
        <f>IFERROR(VLOOKUP(J75,Database!$A$2:$L$175,8,FALSE),"-")</f>
        <v>-</v>
      </c>
      <c r="L75" s="78" t="str">
        <f>IFERROR(VLOOKUP(J75,Database!$A$2:$L$175,6,FALSE),"-")</f>
        <v>-</v>
      </c>
      <c r="M75" s="93" t="str">
        <f>IFERROR(VLOOKUP(J75,Database!$A$2:$L$175,9,FALSE),"-")</f>
        <v>-</v>
      </c>
      <c r="N75" s="209" t="str">
        <f>IFERROR(VLOOKUP(J75,Database!$A$2:$S$175,19,FALSE),"-")</f>
        <v>-</v>
      </c>
      <c r="O75" s="96">
        <f>IF(AND(D75="Y",booking!L75&lt;&gt;booking!M75,booking!M75&gt;0),booking!M75,"-")</f>
        <v>84</v>
      </c>
      <c r="P75" s="78">
        <f>IFERROR(VLOOKUP(O75,Database!$A$2:$L$175,8,FALSE),"-")</f>
        <v>0</v>
      </c>
      <c r="Q75" s="78" t="str">
        <f>IFERROR(VLOOKUP(O75,Database!$A$2:$L$175,6,FALSE),"-")</f>
        <v>DK</v>
      </c>
      <c r="R75" s="82">
        <f>IFERROR(VLOOKUP(O75,Database!$A$2:$L$175,9,FALSE),"-")</f>
        <v>0</v>
      </c>
      <c r="S75" s="209">
        <f>IFERROR(VLOOKUP(O75,Database!$A$2:$S$175,19,FALSE),"-")</f>
        <v>0</v>
      </c>
      <c r="T75" s="97" t="str">
        <f>IF(AND(D75="Y",booking!P75&lt;&gt;booking!Q75,booking!Q75&gt;0),booking!Q75,"-")</f>
        <v>-</v>
      </c>
      <c r="U75" s="78" t="str">
        <f>IFERROR(VLOOKUP(T75,Database!$A$2:$L$175,8,FALSE),"-")</f>
        <v>-</v>
      </c>
      <c r="V75" s="78" t="str">
        <f>IFERROR(VLOOKUP(T75,Database!$A$2:$L$175,6,FALSE),"-")</f>
        <v>-</v>
      </c>
      <c r="W75" s="82" t="str">
        <f>IFERROR(VLOOKUP(T75,Database!$A$2:$L$175,9,FALSE),"-")</f>
        <v>-</v>
      </c>
      <c r="X75" s="209" t="str">
        <f>IFERROR(VLOOKUP(T75,Database!$A$2:$S$175,19,FALSE),"-")</f>
        <v>-</v>
      </c>
      <c r="Y75" s="96" t="str">
        <f>IF(AND(D75="Y",booking!T75&lt;&gt;booking!U75,booking!U75&gt;0),booking!U75,"-")</f>
        <v>-</v>
      </c>
      <c r="Z75" s="79" t="str">
        <f>IFERROR(VLOOKUP(Y75,Database!$A$2:$L$175,8,FALSE),"-")</f>
        <v>-</v>
      </c>
      <c r="AA75" s="79" t="str">
        <f>IFERROR(VLOOKUP(Y75,Database!$A$2:$L$175,6,FALSE),"-")</f>
        <v>-</v>
      </c>
      <c r="AB75" s="92" t="str">
        <f>IFERROR(VLOOKUP(Y75,Database!$A$2:$L$175,9,FALSE),"-")</f>
        <v>-</v>
      </c>
      <c r="AC75" s="8" t="str">
        <f>IFERROR(VLOOKUP(Y75,Database!$A$2:$S$175,19,FALSE),"-")</f>
        <v>-</v>
      </c>
    </row>
    <row r="76" spans="1:29" ht="15" customHeight="1" thickBot="1" x14ac:dyDescent="0.4">
      <c r="A76" s="88" t="str">
        <f>rengoering!A76</f>
        <v>fredag</v>
      </c>
      <c r="B76" s="86">
        <v>46213</v>
      </c>
      <c r="C76" s="9"/>
      <c r="D76" s="89" t="str">
        <f>IF(booking!AB76&gt;0,"Y","-")</f>
        <v>-</v>
      </c>
      <c r="E76" s="95" t="str">
        <f>IF(AND(D76="Y",booking!D76&lt;&gt;booking!E76,booking!E76&gt;0),booking!E76,"-")</f>
        <v>-</v>
      </c>
      <c r="F76" s="8" t="str">
        <f>IFERROR(VLOOKUP(E76,Database!$A$2:$L$175,8,FALSE),"-")</f>
        <v>-</v>
      </c>
      <c r="G76" s="78" t="str">
        <f>IFERROR(VLOOKUP(E76,Database!$A$2:$L$175,6,FALSE),"-")</f>
        <v>-</v>
      </c>
      <c r="H76" s="93" t="str">
        <f>IFERROR(VLOOKUP(E76,Database!$A$2:$L$175,9,FALSE),"-")</f>
        <v>-</v>
      </c>
      <c r="I76" s="112"/>
      <c r="J76" s="96" t="str">
        <f>IF(AND(D76="Y",booking!H76&lt;&gt;booking!I76,booking!I76&gt;0),booking!I76,"-")</f>
        <v>-</v>
      </c>
      <c r="K76" s="78" t="str">
        <f>IFERROR(VLOOKUP(J76,Database!$A$2:$L$175,8,FALSE),"-")</f>
        <v>-</v>
      </c>
      <c r="L76" s="78" t="str">
        <f>IFERROR(VLOOKUP(J76,Database!$A$2:$L$175,6,FALSE),"-")</f>
        <v>-</v>
      </c>
      <c r="M76" s="93" t="str">
        <f>IFERROR(VLOOKUP(J76,Database!$A$2:$L$175,9,FALSE),"-")</f>
        <v>-</v>
      </c>
      <c r="N76" s="209" t="str">
        <f>IFERROR(VLOOKUP(J76,Database!$A$2:$S$175,19,FALSE),"-")</f>
        <v>-</v>
      </c>
      <c r="O76" s="96" t="str">
        <f>IF(AND(D76="Y",booking!L76&lt;&gt;booking!M76,booking!M76&gt;0),booking!M76,"-")</f>
        <v>-</v>
      </c>
      <c r="P76" s="78" t="str">
        <f>IFERROR(VLOOKUP(O76,Database!$A$2:$L$175,8,FALSE),"-")</f>
        <v>-</v>
      </c>
      <c r="Q76" s="78" t="str">
        <f>IFERROR(VLOOKUP(O76,Database!$A$2:$L$175,6,FALSE),"-")</f>
        <v>-</v>
      </c>
      <c r="R76" s="82" t="str">
        <f>IFERROR(VLOOKUP(O76,Database!$A$2:$L$175,9,FALSE),"-")</f>
        <v>-</v>
      </c>
      <c r="S76" s="209" t="str">
        <f>IFERROR(VLOOKUP(O76,Database!$A$2:$S$175,19,FALSE),"-")</f>
        <v>-</v>
      </c>
      <c r="T76" s="97" t="str">
        <f>IF(AND(D76="Y",booking!P76&lt;&gt;booking!Q76,booking!Q76&gt;0),booking!Q76,"-")</f>
        <v>-</v>
      </c>
      <c r="U76" s="78" t="str">
        <f>IFERROR(VLOOKUP(T76,Database!$A$2:$L$175,8,FALSE),"-")</f>
        <v>-</v>
      </c>
      <c r="V76" s="78" t="str">
        <f>IFERROR(VLOOKUP(T76,Database!$A$2:$L$175,6,FALSE),"-")</f>
        <v>-</v>
      </c>
      <c r="W76" s="82" t="str">
        <f>IFERROR(VLOOKUP(T76,Database!$A$2:$L$175,9,FALSE),"-")</f>
        <v>-</v>
      </c>
      <c r="X76" s="209" t="str">
        <f>IFERROR(VLOOKUP(T76,Database!$A$2:$S$175,19,FALSE),"-")</f>
        <v>-</v>
      </c>
      <c r="Y76" s="96" t="str">
        <f>IF(AND(D76="Y",booking!T76&lt;&gt;booking!U76,booking!U76&gt;0),booking!U76,"-")</f>
        <v>-</v>
      </c>
      <c r="Z76" s="79" t="str">
        <f>IFERROR(VLOOKUP(Y76,Database!$A$2:$L$175,8,FALSE),"-")</f>
        <v>-</v>
      </c>
      <c r="AA76" s="79" t="str">
        <f>IFERROR(VLOOKUP(Y76,Database!$A$2:$L$175,6,FALSE),"-")</f>
        <v>-</v>
      </c>
      <c r="AB76" s="92" t="str">
        <f>IFERROR(VLOOKUP(Y76,Database!$A$2:$L$175,9,FALSE),"-")</f>
        <v>-</v>
      </c>
      <c r="AC76" s="8" t="str">
        <f>IFERROR(VLOOKUP(Y76,Database!$A$2:$S$175,19,FALSE),"-")</f>
        <v>-</v>
      </c>
    </row>
    <row r="77" spans="1:29" ht="15" customHeight="1" thickBot="1" x14ac:dyDescent="0.4">
      <c r="A77" s="88" t="str">
        <f>rengoering!A77</f>
        <v>lørdag</v>
      </c>
      <c r="B77" s="84">
        <v>46214</v>
      </c>
      <c r="C77" s="9"/>
      <c r="D77" s="89" t="str">
        <f>IF(booking!AB77&gt;0,"Y","-")</f>
        <v>Y</v>
      </c>
      <c r="E77" s="95" t="str">
        <f>IF(AND(D77="Y",booking!D77&lt;&gt;booking!E77,booking!E77&gt;0),booking!E77,"-")</f>
        <v>-</v>
      </c>
      <c r="F77" s="8" t="str">
        <f>IFERROR(VLOOKUP(E77,Database!$A$2:$L$175,8,FALSE),"-")</f>
        <v>-</v>
      </c>
      <c r="G77" s="78" t="str">
        <f>IFERROR(VLOOKUP(E77,Database!$A$2:$L$175,6,FALSE),"-")</f>
        <v>-</v>
      </c>
      <c r="H77" s="93" t="str">
        <f>IFERROR(VLOOKUP(E77,Database!$A$2:$L$175,9,FALSE),"-")</f>
        <v>-</v>
      </c>
      <c r="I77" s="112"/>
      <c r="J77" s="96" t="str">
        <f>IF(AND(D77="Y",booking!H77&lt;&gt;booking!I77,booking!I77&gt;0),booking!I77,"-")</f>
        <v>-</v>
      </c>
      <c r="K77" s="78" t="str">
        <f>IFERROR(VLOOKUP(J77,Database!$A$2:$L$175,8,FALSE),"-")</f>
        <v>-</v>
      </c>
      <c r="L77" s="78" t="str">
        <f>IFERROR(VLOOKUP(J77,Database!$A$2:$L$175,6,FALSE),"-")</f>
        <v>-</v>
      </c>
      <c r="M77" s="93" t="str">
        <f>IFERROR(VLOOKUP(J77,Database!$A$2:$L$175,9,FALSE),"-")</f>
        <v>-</v>
      </c>
      <c r="N77" s="209" t="str">
        <f>IFERROR(VLOOKUP(J77,Database!$A$2:$S$175,19,FALSE),"-")</f>
        <v>-</v>
      </c>
      <c r="O77" s="96" t="str">
        <f>IF(AND(D77="Y",booking!L77&lt;&gt;booking!M77,booking!M77&gt;0),booking!M77,"-")</f>
        <v>-</v>
      </c>
      <c r="P77" s="78" t="str">
        <f>IFERROR(VLOOKUP(O77,Database!$A$2:$L$175,8,FALSE),"-")</f>
        <v>-</v>
      </c>
      <c r="Q77" s="78" t="str">
        <f>IFERROR(VLOOKUP(O77,Database!$A$2:$L$175,6,FALSE),"-")</f>
        <v>-</v>
      </c>
      <c r="R77" s="82" t="str">
        <f>IFERROR(VLOOKUP(O77,Database!$A$2:$L$175,9,FALSE),"-")</f>
        <v>-</v>
      </c>
      <c r="S77" s="209" t="str">
        <f>IFERROR(VLOOKUP(O77,Database!$A$2:$S$175,19,FALSE),"-")</f>
        <v>-</v>
      </c>
      <c r="T77" s="97">
        <f>IF(AND(D77="Y",booking!P77&lt;&gt;booking!Q77,booking!Q77&gt;0),booking!Q77,"-")</f>
        <v>66</v>
      </c>
      <c r="U77" s="78">
        <f>IFERROR(VLOOKUP(T77,Database!$A$2:$L$175,8,FALSE),"-")</f>
        <v>0</v>
      </c>
      <c r="V77" s="78" t="str">
        <f>IFERROR(VLOOKUP(T77,Database!$A$2:$L$175,6,FALSE),"-")</f>
        <v>DK</v>
      </c>
      <c r="W77" s="82">
        <f>IFERROR(VLOOKUP(T77,Database!$A$2:$L$175,9,FALSE),"-")</f>
        <v>0</v>
      </c>
      <c r="X77" s="209" t="str">
        <f>IFERROR(VLOOKUP(T77,Database!$A$2:$S$175,19,FALSE),"-")</f>
        <v>YY</v>
      </c>
      <c r="Y77" s="96">
        <f>IF(AND(D77="Y",booking!T77&lt;&gt;booking!U77,booking!U77&gt;0),booking!U77,"-")</f>
        <v>62</v>
      </c>
      <c r="Z77" s="79">
        <f>IFERROR(VLOOKUP(Y77,Database!$A$2:$L$175,8,FALSE),"-")</f>
        <v>0</v>
      </c>
      <c r="AA77" s="79" t="str">
        <f>IFERROR(VLOOKUP(Y77,Database!$A$2:$L$175,6,FALSE),"-")</f>
        <v>DK</v>
      </c>
      <c r="AB77" s="92" t="str">
        <f>IFERROR(VLOOKUP(Y77,Database!$A$2:$L$175,9,FALSE),"-")</f>
        <v>Dobb</v>
      </c>
      <c r="AC77" s="8" t="str">
        <f>IFERROR(VLOOKUP(Y77,Database!$A$2:$S$175,19,FALSE),"-")</f>
        <v>N</v>
      </c>
    </row>
    <row r="78" spans="1:29" ht="15" customHeight="1" thickBot="1" x14ac:dyDescent="0.4">
      <c r="A78" s="88" t="str">
        <f>rengoering!A78</f>
        <v>søndag</v>
      </c>
      <c r="B78" s="86">
        <v>46215</v>
      </c>
      <c r="C78" s="9"/>
      <c r="D78" s="89" t="str">
        <f>IF(booking!AB78&gt;0,"Y","-")</f>
        <v>Y</v>
      </c>
      <c r="E78" s="95">
        <f>IF(AND(D78="Y",booking!D78&lt;&gt;booking!E78,booking!E78&gt;0),booking!E78,"-")</f>
        <v>19</v>
      </c>
      <c r="F78" s="8">
        <f>IFERROR(VLOOKUP(E78,Database!$A$2:$L$175,8,FALSE),"-")</f>
        <v>0</v>
      </c>
      <c r="G78" s="78" t="str">
        <f>IFERROR(VLOOKUP(E78,Database!$A$2:$L$175,6,FALSE),"-")</f>
        <v>DK</v>
      </c>
      <c r="H78" s="93" t="str">
        <f>IFERROR(VLOOKUP(E78,Database!$A$2:$L$175,9,FALSE),"-")</f>
        <v>sing</v>
      </c>
      <c r="I78" s="112"/>
      <c r="J78" s="96" t="str">
        <f>IF(AND(D78="Y",booking!H78&lt;&gt;booking!I78,booking!I78&gt;0),booking!I78,"-")</f>
        <v>-</v>
      </c>
      <c r="K78" s="78" t="str">
        <f>IFERROR(VLOOKUP(J78,Database!$A$2:$L$175,8,FALSE),"-")</f>
        <v>-</v>
      </c>
      <c r="L78" s="78" t="str">
        <f>IFERROR(VLOOKUP(J78,Database!$A$2:$L$175,6,FALSE),"-")</f>
        <v>-</v>
      </c>
      <c r="M78" s="93" t="str">
        <f>IFERROR(VLOOKUP(J78,Database!$A$2:$L$175,9,FALSE),"-")</f>
        <v>-</v>
      </c>
      <c r="N78" s="209" t="str">
        <f>IFERROR(VLOOKUP(J78,Database!$A$2:$S$175,19,FALSE),"-")</f>
        <v>-</v>
      </c>
      <c r="O78" s="96" t="str">
        <f>IF(AND(D78="Y",booking!L78&lt;&gt;booking!M78,booking!M78&gt;0),booking!M78,"-")</f>
        <v>-</v>
      </c>
      <c r="P78" s="78" t="str">
        <f>IFERROR(VLOOKUP(O78,Database!$A$2:$L$175,8,FALSE),"-")</f>
        <v>-</v>
      </c>
      <c r="Q78" s="78" t="str">
        <f>IFERROR(VLOOKUP(O78,Database!$A$2:$L$175,6,FALSE),"-")</f>
        <v>-</v>
      </c>
      <c r="R78" s="82" t="str">
        <f>IFERROR(VLOOKUP(O78,Database!$A$2:$L$175,9,FALSE),"-")</f>
        <v>-</v>
      </c>
      <c r="S78" s="209" t="str">
        <f>IFERROR(VLOOKUP(O78,Database!$A$2:$S$175,19,FALSE),"-")</f>
        <v>-</v>
      </c>
      <c r="T78" s="97" t="str">
        <f>IF(AND(D78="Y",booking!P78&lt;&gt;booking!Q78,booking!Q78&gt;0),booking!Q78,"-")</f>
        <v>-</v>
      </c>
      <c r="U78" s="78" t="str">
        <f>IFERROR(VLOOKUP(T78,Database!$A$2:$L$175,8,FALSE),"-")</f>
        <v>-</v>
      </c>
      <c r="V78" s="78" t="str">
        <f>IFERROR(VLOOKUP(T78,Database!$A$2:$L$175,6,FALSE),"-")</f>
        <v>-</v>
      </c>
      <c r="W78" s="82" t="str">
        <f>IFERROR(VLOOKUP(T78,Database!$A$2:$L$175,9,FALSE),"-")</f>
        <v>-</v>
      </c>
      <c r="X78" s="209" t="str">
        <f>IFERROR(VLOOKUP(T78,Database!$A$2:$S$175,19,FALSE),"-")</f>
        <v>-</v>
      </c>
      <c r="Y78" s="96" t="str">
        <f>IF(AND(D78="Y",booking!T78&lt;&gt;booking!U78,booking!U78&gt;0),booking!U78,"-")</f>
        <v>-</v>
      </c>
      <c r="Z78" s="79" t="str">
        <f>IFERROR(VLOOKUP(Y78,Database!$A$2:$L$175,8,FALSE),"-")</f>
        <v>-</v>
      </c>
      <c r="AA78" s="79" t="str">
        <f>IFERROR(VLOOKUP(Y78,Database!$A$2:$L$175,6,FALSE),"-")</f>
        <v>-</v>
      </c>
      <c r="AB78" s="92" t="str">
        <f>IFERROR(VLOOKUP(Y78,Database!$A$2:$L$175,9,FALSE),"-")</f>
        <v>-</v>
      </c>
      <c r="AC78" s="8" t="str">
        <f>IFERROR(VLOOKUP(Y78,Database!$A$2:$S$175,19,FALSE),"-")</f>
        <v>-</v>
      </c>
    </row>
    <row r="79" spans="1:29" ht="15" customHeight="1" thickBot="1" x14ac:dyDescent="0.4">
      <c r="A79" s="88" t="str">
        <f>rengoering!A79</f>
        <v>mandag</v>
      </c>
      <c r="B79" s="84">
        <v>46216</v>
      </c>
      <c r="C79" s="9"/>
      <c r="D79" s="89" t="str">
        <f>IF(booking!AB79&gt;0,"Y","-")</f>
        <v>Y</v>
      </c>
      <c r="E79" s="95" t="str">
        <f>IF(AND(D79="Y",booking!D79&lt;&gt;booking!E79,booking!E79&gt;0),booking!E79,"-")</f>
        <v>-</v>
      </c>
      <c r="F79" s="8" t="str">
        <f>IFERROR(VLOOKUP(E79,Database!$A$2:$L$175,8,FALSE),"-")</f>
        <v>-</v>
      </c>
      <c r="G79" s="78" t="str">
        <f>IFERROR(VLOOKUP(E79,Database!$A$2:$L$175,6,FALSE),"-")</f>
        <v>-</v>
      </c>
      <c r="H79" s="93" t="str">
        <f>IFERROR(VLOOKUP(E79,Database!$A$2:$L$175,9,FALSE),"-")</f>
        <v>-</v>
      </c>
      <c r="I79" s="112"/>
      <c r="J79" s="96" t="str">
        <f>IF(AND(D79="Y",booking!H79&lt;&gt;booking!I79,booking!I79&gt;0),booking!I79,"-")</f>
        <v>-</v>
      </c>
      <c r="K79" s="78" t="str">
        <f>IFERROR(VLOOKUP(J79,Database!$A$2:$L$175,8,FALSE),"-")</f>
        <v>-</v>
      </c>
      <c r="L79" s="78" t="str">
        <f>IFERROR(VLOOKUP(J79,Database!$A$2:$L$175,6,FALSE),"-")</f>
        <v>-</v>
      </c>
      <c r="M79" s="93" t="str">
        <f>IFERROR(VLOOKUP(J79,Database!$A$2:$L$175,9,FALSE),"-")</f>
        <v>-</v>
      </c>
      <c r="N79" s="209" t="str">
        <f>IFERROR(VLOOKUP(J79,Database!$A$2:$S$175,19,FALSE),"-")</f>
        <v>-</v>
      </c>
      <c r="O79" s="96">
        <f>IF(AND(D79="Y",booking!L79&lt;&gt;booking!M79,booking!M79&gt;0),booking!M79,"-")</f>
        <v>43</v>
      </c>
      <c r="P79" s="78" t="str">
        <f>IFERROR(VLOOKUP(O79,Database!$A$2:$L$175,8,FALSE),"-")</f>
        <v>1430</v>
      </c>
      <c r="Q79" s="78" t="str">
        <f>IFERROR(VLOOKUP(O79,Database!$A$2:$L$175,6,FALSE),"-")</f>
        <v>DK</v>
      </c>
      <c r="R79" s="82" t="str">
        <f>IFERROR(VLOOKUP(O79,Database!$A$2:$L$175,9,FALSE),"-")</f>
        <v>db + opr</v>
      </c>
      <c r="S79" s="209" t="str">
        <f>IFERROR(VLOOKUP(O79,Database!$A$2:$S$175,19,FALSE),"-")</f>
        <v>N</v>
      </c>
      <c r="T79" s="97" t="str">
        <f>IF(AND(D79="Y",booking!P79&lt;&gt;booking!Q79,booking!Q79&gt;0),booking!Q79,"-")</f>
        <v>-</v>
      </c>
      <c r="U79" s="78" t="str">
        <f>IFERROR(VLOOKUP(T79,Database!$A$2:$L$175,8,FALSE),"-")</f>
        <v>-</v>
      </c>
      <c r="V79" s="78" t="str">
        <f>IFERROR(VLOOKUP(T79,Database!$A$2:$L$175,6,FALSE),"-")</f>
        <v>-</v>
      </c>
      <c r="W79" s="82" t="str">
        <f>IFERROR(VLOOKUP(T79,Database!$A$2:$L$175,9,FALSE),"-")</f>
        <v>-</v>
      </c>
      <c r="X79" s="209" t="str">
        <f>IFERROR(VLOOKUP(T79,Database!$A$2:$S$175,19,FALSE),"-")</f>
        <v>-</v>
      </c>
      <c r="Y79" s="96" t="str">
        <f>IF(AND(D79="Y",booking!T79&lt;&gt;booking!U79,booking!U79&gt;0),booking!U79,"-")</f>
        <v>-</v>
      </c>
      <c r="Z79" s="79" t="str">
        <f>IFERROR(VLOOKUP(Y79,Database!$A$2:$L$175,8,FALSE),"-")</f>
        <v>-</v>
      </c>
      <c r="AA79" s="79" t="str">
        <f>IFERROR(VLOOKUP(Y79,Database!$A$2:$L$175,6,FALSE),"-")</f>
        <v>-</v>
      </c>
      <c r="AB79" s="92" t="str">
        <f>IFERROR(VLOOKUP(Y79,Database!$A$2:$L$175,9,FALSE),"-")</f>
        <v>-</v>
      </c>
      <c r="AC79" s="8" t="str">
        <f>IFERROR(VLOOKUP(Y79,Database!$A$2:$S$175,19,FALSE),"-")</f>
        <v>-</v>
      </c>
    </row>
    <row r="80" spans="1:29" ht="15" customHeight="1" thickBot="1" x14ac:dyDescent="0.4">
      <c r="A80" s="88" t="str">
        <f>rengoering!A80</f>
        <v>tirsdag</v>
      </c>
      <c r="B80" s="86">
        <v>46217</v>
      </c>
      <c r="C80" s="9"/>
      <c r="D80" s="89" t="str">
        <f>IF(booking!AB80&gt;0,"Y","-")</f>
        <v>-</v>
      </c>
      <c r="E80" s="95" t="str">
        <f>IF(AND(D80="Y",booking!D80&lt;&gt;booking!E80,booking!E80&gt;0),booking!E80,"-")</f>
        <v>-</v>
      </c>
      <c r="F80" s="8" t="str">
        <f>IFERROR(VLOOKUP(E80,Database!$A$2:$L$175,8,FALSE),"-")</f>
        <v>-</v>
      </c>
      <c r="G80" s="78" t="str">
        <f>IFERROR(VLOOKUP(E80,Database!$A$2:$L$175,6,FALSE),"-")</f>
        <v>-</v>
      </c>
      <c r="H80" s="93" t="str">
        <f>IFERROR(VLOOKUP(E80,Database!$A$2:$L$175,9,FALSE),"-")</f>
        <v>-</v>
      </c>
      <c r="I80" s="112"/>
      <c r="J80" s="96" t="str">
        <f>IF(AND(D80="Y",booking!H80&lt;&gt;booking!I80,booking!I80&gt;0),booking!I80,"-")</f>
        <v>-</v>
      </c>
      <c r="K80" s="78" t="str">
        <f>IFERROR(VLOOKUP(J80,Database!$A$2:$L$175,8,FALSE),"-")</f>
        <v>-</v>
      </c>
      <c r="L80" s="78" t="str">
        <f>IFERROR(VLOOKUP(J80,Database!$A$2:$L$175,6,FALSE),"-")</f>
        <v>-</v>
      </c>
      <c r="M80" s="93" t="str">
        <f>IFERROR(VLOOKUP(J80,Database!$A$2:$L$175,9,FALSE),"-")</f>
        <v>-</v>
      </c>
      <c r="N80" s="209" t="str">
        <f>IFERROR(VLOOKUP(J80,Database!$A$2:$S$175,19,FALSE),"-")</f>
        <v>-</v>
      </c>
      <c r="O80" s="96" t="str">
        <f>IF(AND(D80="Y",booking!L80&lt;&gt;booking!M80,booking!M80&gt;0),booking!M80,"-")</f>
        <v>-</v>
      </c>
      <c r="P80" s="78" t="str">
        <f>IFERROR(VLOOKUP(O80,Database!$A$2:$L$175,8,FALSE),"-")</f>
        <v>-</v>
      </c>
      <c r="Q80" s="78" t="str">
        <f>IFERROR(VLOOKUP(O80,Database!$A$2:$L$175,6,FALSE),"-")</f>
        <v>-</v>
      </c>
      <c r="R80" s="82" t="str">
        <f>IFERROR(VLOOKUP(O80,Database!$A$2:$L$175,9,FALSE),"-")</f>
        <v>-</v>
      </c>
      <c r="S80" s="209" t="str">
        <f>IFERROR(VLOOKUP(O80,Database!$A$2:$S$175,19,FALSE),"-")</f>
        <v>-</v>
      </c>
      <c r="T80" s="97" t="str">
        <f>IF(AND(D80="Y",booking!P80&lt;&gt;booking!Q80,booking!Q80&gt;0),booking!Q80,"-")</f>
        <v>-</v>
      </c>
      <c r="U80" s="78" t="str">
        <f>IFERROR(VLOOKUP(T80,Database!$A$2:$L$175,8,FALSE),"-")</f>
        <v>-</v>
      </c>
      <c r="V80" s="78" t="str">
        <f>IFERROR(VLOOKUP(T80,Database!$A$2:$L$175,6,FALSE),"-")</f>
        <v>-</v>
      </c>
      <c r="W80" s="82" t="str">
        <f>IFERROR(VLOOKUP(T80,Database!$A$2:$L$175,9,FALSE),"-")</f>
        <v>-</v>
      </c>
      <c r="X80" s="209" t="str">
        <f>IFERROR(VLOOKUP(T80,Database!$A$2:$S$175,19,FALSE),"-")</f>
        <v>-</v>
      </c>
      <c r="Y80" s="96" t="str">
        <f>IF(AND(D80="Y",booking!T80&lt;&gt;booking!U80,booking!U80&gt;0),booking!U80,"-")</f>
        <v>-</v>
      </c>
      <c r="Z80" s="79" t="str">
        <f>IFERROR(VLOOKUP(Y80,Database!$A$2:$L$175,8,FALSE),"-")</f>
        <v>-</v>
      </c>
      <c r="AA80" s="79" t="str">
        <f>IFERROR(VLOOKUP(Y80,Database!$A$2:$L$175,6,FALSE),"-")</f>
        <v>-</v>
      </c>
      <c r="AB80" s="92" t="str">
        <f>IFERROR(VLOOKUP(Y80,Database!$A$2:$L$175,9,FALSE),"-")</f>
        <v>-</v>
      </c>
      <c r="AC80" s="8" t="str">
        <f>IFERROR(VLOOKUP(Y80,Database!$A$2:$S$175,19,FALSE),"-")</f>
        <v>-</v>
      </c>
    </row>
    <row r="81" spans="1:29" ht="15" customHeight="1" thickBot="1" x14ac:dyDescent="0.4">
      <c r="A81" s="88" t="str">
        <f>rengoering!A81</f>
        <v>onsdag</v>
      </c>
      <c r="B81" s="84">
        <v>46218</v>
      </c>
      <c r="C81" s="9"/>
      <c r="D81" s="89" t="str">
        <f>IF(booking!AB81&gt;0,"Y","-")</f>
        <v>Y</v>
      </c>
      <c r="E81" s="95" t="str">
        <f>IF(AND(D81="Y",booking!D81&lt;&gt;booking!E81,booking!E81&gt;0),booking!E81,"-")</f>
        <v>-</v>
      </c>
      <c r="F81" s="8" t="str">
        <f>IFERROR(VLOOKUP(E81,Database!$A$2:$L$175,8,FALSE),"-")</f>
        <v>-</v>
      </c>
      <c r="G81" s="78" t="str">
        <f>IFERROR(VLOOKUP(E81,Database!$A$2:$L$175,6,FALSE),"-")</f>
        <v>-</v>
      </c>
      <c r="H81" s="93" t="str">
        <f>IFERROR(VLOOKUP(E81,Database!$A$2:$L$175,9,FALSE),"-")</f>
        <v>-</v>
      </c>
      <c r="I81" s="112"/>
      <c r="J81" s="96">
        <f>IF(AND(D81="Y",booking!H81&lt;&gt;booking!I81,booking!I81&gt;0),booking!I81,"-")</f>
        <v>81</v>
      </c>
      <c r="K81" s="78">
        <f>IFERROR(VLOOKUP(J81,Database!$A$2:$L$175,8,FALSE),"-")</f>
        <v>0</v>
      </c>
      <c r="L81" s="78" t="str">
        <f>IFERROR(VLOOKUP(J81,Database!$A$2:$L$175,6,FALSE),"-")</f>
        <v>DK</v>
      </c>
      <c r="M81" s="93">
        <f>IFERROR(VLOOKUP(J81,Database!$A$2:$L$175,9,FALSE),"-")</f>
        <v>0</v>
      </c>
      <c r="N81" s="209" t="str">
        <f>IFERROR(VLOOKUP(J81,Database!$A$2:$S$175,19,FALSE),"-")</f>
        <v>N</v>
      </c>
      <c r="O81" s="96" t="str">
        <f>IF(AND(D81="Y",booking!L81&lt;&gt;booking!M81,booking!M81&gt;0),booking!M81,"-")</f>
        <v>-</v>
      </c>
      <c r="P81" s="78" t="str">
        <f>IFERROR(VLOOKUP(O81,Database!$A$2:$L$175,8,FALSE),"-")</f>
        <v>-</v>
      </c>
      <c r="Q81" s="78" t="str">
        <f>IFERROR(VLOOKUP(O81,Database!$A$2:$L$175,6,FALSE),"-")</f>
        <v>-</v>
      </c>
      <c r="R81" s="82" t="str">
        <f>IFERROR(VLOOKUP(O81,Database!$A$2:$L$175,9,FALSE),"-")</f>
        <v>-</v>
      </c>
      <c r="S81" s="209" t="str">
        <f>IFERROR(VLOOKUP(O81,Database!$A$2:$S$175,19,FALSE),"-")</f>
        <v>-</v>
      </c>
      <c r="T81" s="97" t="str">
        <f>IF(AND(D81="Y",booking!P81&lt;&gt;booking!Q81,booking!Q81&gt;0),booking!Q81,"-")</f>
        <v>-</v>
      </c>
      <c r="U81" s="78" t="str">
        <f>IFERROR(VLOOKUP(T81,Database!$A$2:$L$175,8,FALSE),"-")</f>
        <v>-</v>
      </c>
      <c r="V81" s="78" t="str">
        <f>IFERROR(VLOOKUP(T81,Database!$A$2:$L$175,6,FALSE),"-")</f>
        <v>-</v>
      </c>
      <c r="W81" s="82" t="str">
        <f>IFERROR(VLOOKUP(T81,Database!$A$2:$L$175,9,FALSE),"-")</f>
        <v>-</v>
      </c>
      <c r="X81" s="209" t="str">
        <f>IFERROR(VLOOKUP(T81,Database!$A$2:$S$175,19,FALSE),"-")</f>
        <v>-</v>
      </c>
      <c r="Y81" s="96" t="str">
        <f>IF(AND(D81="Y",booking!T81&lt;&gt;booking!U81,booking!U81&gt;0),booking!U81,"-")</f>
        <v>-</v>
      </c>
      <c r="Z81" s="79" t="str">
        <f>IFERROR(VLOOKUP(Y81,Database!$A$2:$L$175,8,FALSE),"-")</f>
        <v>-</v>
      </c>
      <c r="AA81" s="79" t="str">
        <f>IFERROR(VLOOKUP(Y81,Database!$A$2:$L$175,6,FALSE),"-")</f>
        <v>-</v>
      </c>
      <c r="AB81" s="92" t="str">
        <f>IFERROR(VLOOKUP(Y81,Database!$A$2:$L$175,9,FALSE),"-")</f>
        <v>-</v>
      </c>
      <c r="AC81" s="8" t="str">
        <f>IFERROR(VLOOKUP(Y81,Database!$A$2:$S$175,19,FALSE),"-")</f>
        <v>-</v>
      </c>
    </row>
    <row r="82" spans="1:29" ht="15" customHeight="1" thickBot="1" x14ac:dyDescent="0.4">
      <c r="A82" s="88" t="str">
        <f>rengoering!A82</f>
        <v>torsdag</v>
      </c>
      <c r="B82" s="86">
        <v>46219</v>
      </c>
      <c r="C82" s="9"/>
      <c r="D82" s="89" t="str">
        <f>IF(booking!AB82&gt;0,"Y","-")</f>
        <v>-</v>
      </c>
      <c r="E82" s="95" t="str">
        <f>IF(AND(D82="Y",booking!D82&lt;&gt;booking!E82,booking!E82&gt;0),booking!E82,"-")</f>
        <v>-</v>
      </c>
      <c r="F82" s="8" t="str">
        <f>IFERROR(VLOOKUP(E82,Database!$A$2:$L$175,8,FALSE),"-")</f>
        <v>-</v>
      </c>
      <c r="G82" s="78" t="str">
        <f>IFERROR(VLOOKUP(E82,Database!$A$2:$L$175,6,FALSE),"-")</f>
        <v>-</v>
      </c>
      <c r="H82" s="93" t="str">
        <f>IFERROR(VLOOKUP(E82,Database!$A$2:$L$175,9,FALSE),"-")</f>
        <v>-</v>
      </c>
      <c r="I82" s="112"/>
      <c r="J82" s="96" t="str">
        <f>IF(AND(D82="Y",booking!H82&lt;&gt;booking!I82,booking!I82&gt;0),booking!I82,"-")</f>
        <v>-</v>
      </c>
      <c r="K82" s="78" t="str">
        <f>IFERROR(VLOOKUP(J82,Database!$A$2:$L$175,8,FALSE),"-")</f>
        <v>-</v>
      </c>
      <c r="L82" s="78" t="str">
        <f>IFERROR(VLOOKUP(J82,Database!$A$2:$L$175,6,FALSE),"-")</f>
        <v>-</v>
      </c>
      <c r="M82" s="93" t="str">
        <f>IFERROR(VLOOKUP(J82,Database!$A$2:$L$175,9,FALSE),"-")</f>
        <v>-</v>
      </c>
      <c r="N82" s="209" t="str">
        <f>IFERROR(VLOOKUP(J82,Database!$A$2:$S$175,19,FALSE),"-")</f>
        <v>-</v>
      </c>
      <c r="O82" s="96" t="str">
        <f>IF(AND(D82="Y",booking!L82&lt;&gt;booking!M82,booking!M82&gt;0),booking!M82,"-")</f>
        <v>-</v>
      </c>
      <c r="P82" s="78" t="str">
        <f>IFERROR(VLOOKUP(O82,Database!$A$2:$L$175,8,FALSE),"-")</f>
        <v>-</v>
      </c>
      <c r="Q82" s="78" t="str">
        <f>IFERROR(VLOOKUP(O82,Database!$A$2:$L$175,6,FALSE),"-")</f>
        <v>-</v>
      </c>
      <c r="R82" s="82" t="str">
        <f>IFERROR(VLOOKUP(O82,Database!$A$2:$L$175,9,FALSE),"-")</f>
        <v>-</v>
      </c>
      <c r="S82" s="209" t="str">
        <f>IFERROR(VLOOKUP(O82,Database!$A$2:$S$175,19,FALSE),"-")</f>
        <v>-</v>
      </c>
      <c r="T82" s="97" t="str">
        <f>IF(AND(D82="Y",booking!P82&lt;&gt;booking!Q82,booking!Q82&gt;0),booking!Q82,"-")</f>
        <v>-</v>
      </c>
      <c r="U82" s="78" t="str">
        <f>IFERROR(VLOOKUP(T82,Database!$A$2:$L$175,8,FALSE),"-")</f>
        <v>-</v>
      </c>
      <c r="V82" s="78" t="str">
        <f>IFERROR(VLOOKUP(T82,Database!$A$2:$L$175,6,FALSE),"-")</f>
        <v>-</v>
      </c>
      <c r="W82" s="82" t="str">
        <f>IFERROR(VLOOKUP(T82,Database!$A$2:$L$175,9,FALSE),"-")</f>
        <v>-</v>
      </c>
      <c r="X82" s="209" t="str">
        <f>IFERROR(VLOOKUP(T82,Database!$A$2:$S$175,19,FALSE),"-")</f>
        <v>-</v>
      </c>
      <c r="Y82" s="96" t="str">
        <f>IF(AND(D82="Y",booking!T82&lt;&gt;booking!U82,booking!U82&gt;0),booking!U82,"-")</f>
        <v>-</v>
      </c>
      <c r="Z82" s="79" t="str">
        <f>IFERROR(VLOOKUP(Y82,Database!$A$2:$L$175,8,FALSE),"-")</f>
        <v>-</v>
      </c>
      <c r="AA82" s="79" t="str">
        <f>IFERROR(VLOOKUP(Y82,Database!$A$2:$L$175,6,FALSE),"-")</f>
        <v>-</v>
      </c>
      <c r="AB82" s="92" t="str">
        <f>IFERROR(VLOOKUP(Y82,Database!$A$2:$L$175,9,FALSE),"-")</f>
        <v>-</v>
      </c>
      <c r="AC82" s="8" t="str">
        <f>IFERROR(VLOOKUP(Y82,Database!$A$2:$S$175,19,FALSE),"-")</f>
        <v>-</v>
      </c>
    </row>
    <row r="83" spans="1:29" ht="15" customHeight="1" thickBot="1" x14ac:dyDescent="0.4">
      <c r="A83" s="88" t="str">
        <f>rengoering!A83</f>
        <v>fredag</v>
      </c>
      <c r="B83" s="84">
        <v>46220</v>
      </c>
      <c r="C83" s="9"/>
      <c r="D83" s="89" t="str">
        <f>IF(booking!AB83&gt;0,"Y","-")</f>
        <v>-</v>
      </c>
      <c r="E83" s="95" t="str">
        <f>IF(AND(D83="Y",booking!D83&lt;&gt;booking!E83,booking!E83&gt;0),booking!E83,"-")</f>
        <v>-</v>
      </c>
      <c r="F83" s="8" t="str">
        <f>IFERROR(VLOOKUP(E83,Database!$A$2:$L$175,8,FALSE),"-")</f>
        <v>-</v>
      </c>
      <c r="G83" s="78" t="str">
        <f>IFERROR(VLOOKUP(E83,Database!$A$2:$L$175,6,FALSE),"-")</f>
        <v>-</v>
      </c>
      <c r="H83" s="93" t="str">
        <f>IFERROR(VLOOKUP(E83,Database!$A$2:$L$175,9,FALSE),"-")</f>
        <v>-</v>
      </c>
      <c r="I83" s="112"/>
      <c r="J83" s="96" t="str">
        <f>IF(AND(D83="Y",booking!H83&lt;&gt;booking!I83,booking!I83&gt;0),booking!I83,"-")</f>
        <v>-</v>
      </c>
      <c r="K83" s="78" t="str">
        <f>IFERROR(VLOOKUP(J83,Database!$A$2:$L$175,8,FALSE),"-")</f>
        <v>-</v>
      </c>
      <c r="L83" s="78" t="str">
        <f>IFERROR(VLOOKUP(J83,Database!$A$2:$L$175,6,FALSE),"-")</f>
        <v>-</v>
      </c>
      <c r="M83" s="93" t="str">
        <f>IFERROR(VLOOKUP(J83,Database!$A$2:$L$175,9,FALSE),"-")</f>
        <v>-</v>
      </c>
      <c r="N83" s="209" t="str">
        <f>IFERROR(VLOOKUP(J83,Database!$A$2:$S$175,19,FALSE),"-")</f>
        <v>-</v>
      </c>
      <c r="O83" s="96" t="str">
        <f>IF(AND(D83="Y",booking!L83&lt;&gt;booking!M83,booking!M83&gt;0),booking!M83,"-")</f>
        <v>-</v>
      </c>
      <c r="P83" s="78" t="str">
        <f>IFERROR(VLOOKUP(O83,Database!$A$2:$L$175,8,FALSE),"-")</f>
        <v>-</v>
      </c>
      <c r="Q83" s="78" t="str">
        <f>IFERROR(VLOOKUP(O83,Database!$A$2:$L$175,6,FALSE),"-")</f>
        <v>-</v>
      </c>
      <c r="R83" s="82" t="str">
        <f>IFERROR(VLOOKUP(O83,Database!$A$2:$L$175,9,FALSE),"-")</f>
        <v>-</v>
      </c>
      <c r="S83" s="209" t="str">
        <f>IFERROR(VLOOKUP(O83,Database!$A$2:$S$175,19,FALSE),"-")</f>
        <v>-</v>
      </c>
      <c r="T83" s="97" t="str">
        <f>IF(AND(D83="Y",booking!P83&lt;&gt;booking!Q83,booking!Q83&gt;0),booking!Q83,"-")</f>
        <v>-</v>
      </c>
      <c r="U83" s="78" t="str">
        <f>IFERROR(VLOOKUP(T83,Database!$A$2:$L$175,8,FALSE),"-")</f>
        <v>-</v>
      </c>
      <c r="V83" s="78" t="str">
        <f>IFERROR(VLOOKUP(T83,Database!$A$2:$L$175,6,FALSE),"-")</f>
        <v>-</v>
      </c>
      <c r="W83" s="82" t="str">
        <f>IFERROR(VLOOKUP(T83,Database!$A$2:$L$175,9,FALSE),"-")</f>
        <v>-</v>
      </c>
      <c r="X83" s="209" t="str">
        <f>IFERROR(VLOOKUP(T83,Database!$A$2:$S$175,19,FALSE),"-")</f>
        <v>-</v>
      </c>
      <c r="Y83" s="96" t="str">
        <f>IF(AND(D83="Y",booking!T83&lt;&gt;booking!U83,booking!U83&gt;0),booking!U83,"-")</f>
        <v>-</v>
      </c>
      <c r="Z83" s="79" t="str">
        <f>IFERROR(VLOOKUP(Y83,Database!$A$2:$L$175,8,FALSE),"-")</f>
        <v>-</v>
      </c>
      <c r="AA83" s="79" t="str">
        <f>IFERROR(VLOOKUP(Y83,Database!$A$2:$L$175,6,FALSE),"-")</f>
        <v>-</v>
      </c>
      <c r="AB83" s="92" t="str">
        <f>IFERROR(VLOOKUP(Y83,Database!$A$2:$L$175,9,FALSE),"-")</f>
        <v>-</v>
      </c>
      <c r="AC83" s="8" t="str">
        <f>IFERROR(VLOOKUP(Y83,Database!$A$2:$S$175,19,FALSE),"-")</f>
        <v>-</v>
      </c>
    </row>
    <row r="84" spans="1:29" ht="15" customHeight="1" thickBot="1" x14ac:dyDescent="0.4">
      <c r="A84" s="88" t="str">
        <f>rengoering!A84</f>
        <v>lørdag</v>
      </c>
      <c r="B84" s="86">
        <v>46221</v>
      </c>
      <c r="C84" s="9"/>
      <c r="D84" s="89" t="str">
        <f>IF(booking!AB84&gt;0,"Y","-")</f>
        <v>Y</v>
      </c>
      <c r="E84" s="95" t="str">
        <f>IF(AND(D84="Y",booking!D84&lt;&gt;booking!E84,booking!E84&gt;0),booking!E84,"-")</f>
        <v>-</v>
      </c>
      <c r="F84" s="8" t="str">
        <f>IFERROR(VLOOKUP(E84,Database!$A$2:$L$175,8,FALSE),"-")</f>
        <v>-</v>
      </c>
      <c r="G84" s="78" t="str">
        <f>IFERROR(VLOOKUP(E84,Database!$A$2:$L$175,6,FALSE),"-")</f>
        <v>-</v>
      </c>
      <c r="H84" s="93" t="str">
        <f>IFERROR(VLOOKUP(E84,Database!$A$2:$L$175,9,FALSE),"-")</f>
        <v>-</v>
      </c>
      <c r="I84" s="112"/>
      <c r="J84" s="96" t="str">
        <f>IF(AND(D84="Y",booking!H84&lt;&gt;booking!I84,booking!I84&gt;0),booking!I84,"-")</f>
        <v>-</v>
      </c>
      <c r="K84" s="78" t="str">
        <f>IFERROR(VLOOKUP(J84,Database!$A$2:$L$175,8,FALSE),"-")</f>
        <v>-</v>
      </c>
      <c r="L84" s="78" t="str">
        <f>IFERROR(VLOOKUP(J84,Database!$A$2:$L$175,6,FALSE),"-")</f>
        <v>-</v>
      </c>
      <c r="M84" s="93" t="str">
        <f>IFERROR(VLOOKUP(J84,Database!$A$2:$L$175,9,FALSE),"-")</f>
        <v>-</v>
      </c>
      <c r="N84" s="209" t="str">
        <f>IFERROR(VLOOKUP(J84,Database!$A$2:$S$175,19,FALSE),"-")</f>
        <v>-</v>
      </c>
      <c r="O84" s="96">
        <f>IF(AND(D84="Y",booking!L84&lt;&gt;booking!M84,booking!M84&gt;0),booking!M84,"-")</f>
        <v>38</v>
      </c>
      <c r="P84" s="78">
        <f>IFERROR(VLOOKUP(O84,Database!$A$2:$L$175,8,FALSE),"-")</f>
        <v>0</v>
      </c>
      <c r="Q84" s="78" t="str">
        <f>IFERROR(VLOOKUP(O84,Database!$A$2:$L$175,6,FALSE),"-")</f>
        <v>CH</v>
      </c>
      <c r="R84" s="82" t="str">
        <f>IFERROR(VLOOKUP(O84,Database!$A$2:$L$175,9,FALSE),"-")</f>
        <v>sing</v>
      </c>
      <c r="S84" s="209" t="str">
        <f>IFERROR(VLOOKUP(O84,Database!$A$2:$S$175,19,FALSE),"-")</f>
        <v>N</v>
      </c>
      <c r="T84" s="97" t="str">
        <f>IF(AND(D84="Y",booking!P84&lt;&gt;booking!Q84,booking!Q84&gt;0),booking!Q84,"-")</f>
        <v>-</v>
      </c>
      <c r="U84" s="78" t="str">
        <f>IFERROR(VLOOKUP(T84,Database!$A$2:$L$175,8,FALSE),"-")</f>
        <v>-</v>
      </c>
      <c r="V84" s="78" t="str">
        <f>IFERROR(VLOOKUP(T84,Database!$A$2:$L$175,6,FALSE),"-")</f>
        <v>-</v>
      </c>
      <c r="W84" s="82" t="str">
        <f>IFERROR(VLOOKUP(T84,Database!$A$2:$L$175,9,FALSE),"-")</f>
        <v>-</v>
      </c>
      <c r="X84" s="209" t="str">
        <f>IFERROR(VLOOKUP(T84,Database!$A$2:$S$175,19,FALSE),"-")</f>
        <v>-</v>
      </c>
      <c r="Y84" s="96" t="str">
        <f>IF(AND(D84="Y",booking!T84&lt;&gt;booking!U84,booking!U84&gt;0),booking!U84,"-")</f>
        <v>-</v>
      </c>
      <c r="Z84" s="79" t="str">
        <f>IFERROR(VLOOKUP(Y84,Database!$A$2:$L$175,8,FALSE),"-")</f>
        <v>-</v>
      </c>
      <c r="AA84" s="79" t="str">
        <f>IFERROR(VLOOKUP(Y84,Database!$A$2:$L$175,6,FALSE),"-")</f>
        <v>-</v>
      </c>
      <c r="AB84" s="92" t="str">
        <f>IFERROR(VLOOKUP(Y84,Database!$A$2:$L$175,9,FALSE),"-")</f>
        <v>-</v>
      </c>
      <c r="AC84" s="8" t="str">
        <f>IFERROR(VLOOKUP(Y84,Database!$A$2:$S$175,19,FALSE),"-")</f>
        <v>-</v>
      </c>
    </row>
    <row r="85" spans="1:29" ht="15" customHeight="1" thickBot="1" x14ac:dyDescent="0.4">
      <c r="A85" s="88" t="str">
        <f>rengoering!A85</f>
        <v>søndag</v>
      </c>
      <c r="B85" s="84">
        <v>46222</v>
      </c>
      <c r="C85" s="9"/>
      <c r="D85" s="89" t="str">
        <f>IF(booking!AB85&gt;0,"Y","-")</f>
        <v>Y</v>
      </c>
      <c r="E85" s="95" t="str">
        <f>IF(AND(D85="Y",booking!D85&lt;&gt;booking!E85,booking!E85&gt;0),booking!E85,"-")</f>
        <v>-</v>
      </c>
      <c r="F85" s="8" t="str">
        <f>IFERROR(VLOOKUP(E85,Database!$A$2:$L$175,8,FALSE),"-")</f>
        <v>-</v>
      </c>
      <c r="G85" s="78" t="str">
        <f>IFERROR(VLOOKUP(E85,Database!$A$2:$L$175,6,FALSE),"-")</f>
        <v>-</v>
      </c>
      <c r="H85" s="93" t="str">
        <f>IFERROR(VLOOKUP(E85,Database!$A$2:$L$175,9,FALSE),"-")</f>
        <v>-</v>
      </c>
      <c r="I85" s="112"/>
      <c r="J85" s="96">
        <f>IF(AND(D85="Y",booking!H85&lt;&gt;booking!I85,booking!I85&gt;0),booking!I85,"-")</f>
        <v>44</v>
      </c>
      <c r="K85" s="78">
        <f>IFERROR(VLOOKUP(J85,Database!$A$2:$L$175,8,FALSE),"-")</f>
        <v>0</v>
      </c>
      <c r="L85" s="78" t="str">
        <f>IFERROR(VLOOKUP(J85,Database!$A$2:$L$175,6,FALSE),"-")</f>
        <v>CZ</v>
      </c>
      <c r="M85" s="93" t="str">
        <f>IFERROR(VLOOKUP(J85,Database!$A$2:$L$175,9,FALSE),"-")</f>
        <v>dobb</v>
      </c>
      <c r="N85" s="209" t="str">
        <f>IFERROR(VLOOKUP(J85,Database!$A$2:$S$175,19,FALSE),"-")</f>
        <v>N</v>
      </c>
      <c r="O85" s="96" t="str">
        <f>IF(AND(D85="Y",booking!L85&lt;&gt;booking!M85,booking!M85&gt;0),booking!M85,"-")</f>
        <v>-</v>
      </c>
      <c r="P85" s="78" t="str">
        <f>IFERROR(VLOOKUP(O85,Database!$A$2:$L$175,8,FALSE),"-")</f>
        <v>-</v>
      </c>
      <c r="Q85" s="78" t="str">
        <f>IFERROR(VLOOKUP(O85,Database!$A$2:$L$175,6,FALSE),"-")</f>
        <v>-</v>
      </c>
      <c r="R85" s="82" t="str">
        <f>IFERROR(VLOOKUP(O85,Database!$A$2:$L$175,9,FALSE),"-")</f>
        <v>-</v>
      </c>
      <c r="S85" s="209" t="str">
        <f>IFERROR(VLOOKUP(O85,Database!$A$2:$S$175,19,FALSE),"-")</f>
        <v>-</v>
      </c>
      <c r="T85" s="97">
        <f>IF(AND(D85="Y",booking!P85&lt;&gt;booking!Q85,booking!Q85&gt;0),booking!Q85,"-")</f>
        <v>1</v>
      </c>
      <c r="U85" s="78">
        <f>IFERROR(VLOOKUP(T85,Database!$A$2:$L$175,8,FALSE),"-")</f>
        <v>0</v>
      </c>
      <c r="V85" s="78" t="str">
        <f>IFERROR(VLOOKUP(T85,Database!$A$2:$L$175,6,FALSE),"-")</f>
        <v>DK</v>
      </c>
      <c r="W85" s="82">
        <f>IFERROR(VLOOKUP(T85,Database!$A$2:$L$175,9,FALSE),"-")</f>
        <v>0</v>
      </c>
      <c r="X85" s="209" t="str">
        <f>IFERROR(VLOOKUP(T85,Database!$A$2:$S$175,19,FALSE),"-")</f>
        <v>N</v>
      </c>
      <c r="Y85" s="96" t="str">
        <f>IF(AND(D85="Y",booking!T85&lt;&gt;booking!U85,booking!U85&gt;0),booking!U85,"-")</f>
        <v>-</v>
      </c>
      <c r="Z85" s="79" t="str">
        <f>IFERROR(VLOOKUP(Y85,Database!$A$2:$L$175,8,FALSE),"-")</f>
        <v>-</v>
      </c>
      <c r="AA85" s="79" t="str">
        <f>IFERROR(VLOOKUP(Y85,Database!$A$2:$L$175,6,FALSE),"-")</f>
        <v>-</v>
      </c>
      <c r="AB85" s="92" t="str">
        <f>IFERROR(VLOOKUP(Y85,Database!$A$2:$L$175,9,FALSE),"-")</f>
        <v>-</v>
      </c>
      <c r="AC85" s="8" t="str">
        <f>IFERROR(VLOOKUP(Y85,Database!$A$2:$S$175,19,FALSE),"-")</f>
        <v>-</v>
      </c>
    </row>
    <row r="86" spans="1:29" ht="15" customHeight="1" thickBot="1" x14ac:dyDescent="0.4">
      <c r="A86" s="88" t="str">
        <f>rengoering!A86</f>
        <v>mandag</v>
      </c>
      <c r="B86" s="86">
        <v>46223</v>
      </c>
      <c r="C86" s="9"/>
      <c r="D86" s="89" t="str">
        <f>IF(booking!AB86&gt;0,"Y","-")</f>
        <v>-</v>
      </c>
      <c r="E86" s="95" t="str">
        <f>IF(AND(D86="Y",booking!D86&lt;&gt;booking!E86,booking!E86&gt;0),booking!E86,"-")</f>
        <v>-</v>
      </c>
      <c r="F86" s="8" t="str">
        <f>IFERROR(VLOOKUP(E86,Database!$A$2:$L$175,8,FALSE),"-")</f>
        <v>-</v>
      </c>
      <c r="G86" s="78" t="str">
        <f>IFERROR(VLOOKUP(E86,Database!$A$2:$L$175,6,FALSE),"-")</f>
        <v>-</v>
      </c>
      <c r="H86" s="93" t="str">
        <f>IFERROR(VLOOKUP(E86,Database!$A$2:$L$175,9,FALSE),"-")</f>
        <v>-</v>
      </c>
      <c r="I86" s="112"/>
      <c r="J86" s="96" t="str">
        <f>IF(AND(D86="Y",booking!H86&lt;&gt;booking!I86,booking!I86&gt;0),booking!I86,"-")</f>
        <v>-</v>
      </c>
      <c r="K86" s="78" t="str">
        <f>IFERROR(VLOOKUP(J86,Database!$A$2:$L$175,8,FALSE),"-")</f>
        <v>-</v>
      </c>
      <c r="L86" s="78" t="str">
        <f>IFERROR(VLOOKUP(J86,Database!$A$2:$L$175,6,FALSE),"-")</f>
        <v>-</v>
      </c>
      <c r="M86" s="93" t="str">
        <f>IFERROR(VLOOKUP(J86,Database!$A$2:$L$175,9,FALSE),"-")</f>
        <v>-</v>
      </c>
      <c r="N86" s="209" t="str">
        <f>IFERROR(VLOOKUP(J86,Database!$A$2:$S$175,19,FALSE),"-")</f>
        <v>-</v>
      </c>
      <c r="O86" s="96" t="str">
        <f>IF(AND(D86="Y",booking!L86&lt;&gt;booking!M86,booking!M86&gt;0),booking!M86,"-")</f>
        <v>-</v>
      </c>
      <c r="P86" s="78" t="str">
        <f>IFERROR(VLOOKUP(O86,Database!$A$2:$L$175,8,FALSE),"-")</f>
        <v>-</v>
      </c>
      <c r="Q86" s="78" t="str">
        <f>IFERROR(VLOOKUP(O86,Database!$A$2:$L$175,6,FALSE),"-")</f>
        <v>-</v>
      </c>
      <c r="R86" s="82" t="str">
        <f>IFERROR(VLOOKUP(O86,Database!$A$2:$L$175,9,FALSE),"-")</f>
        <v>-</v>
      </c>
      <c r="S86" s="209" t="str">
        <f>IFERROR(VLOOKUP(O86,Database!$A$2:$S$175,19,FALSE),"-")</f>
        <v>-</v>
      </c>
      <c r="T86" s="97" t="str">
        <f>IF(AND(D86="Y",booking!P86&lt;&gt;booking!Q86,booking!Q86&gt;0),booking!Q86,"-")</f>
        <v>-</v>
      </c>
      <c r="U86" s="78" t="str">
        <f>IFERROR(VLOOKUP(T86,Database!$A$2:$L$175,8,FALSE),"-")</f>
        <v>-</v>
      </c>
      <c r="V86" s="78" t="str">
        <f>IFERROR(VLOOKUP(T86,Database!$A$2:$L$175,6,FALSE),"-")</f>
        <v>-</v>
      </c>
      <c r="W86" s="82" t="str">
        <f>IFERROR(VLOOKUP(T86,Database!$A$2:$L$175,9,FALSE),"-")</f>
        <v>-</v>
      </c>
      <c r="X86" s="209" t="str">
        <f>IFERROR(VLOOKUP(T86,Database!$A$2:$S$175,19,FALSE),"-")</f>
        <v>-</v>
      </c>
      <c r="Y86" s="96" t="str">
        <f>IF(AND(D86="Y",booking!T86&lt;&gt;booking!U86,booking!U86&gt;0),booking!U86,"-")</f>
        <v>-</v>
      </c>
      <c r="Z86" s="79" t="str">
        <f>IFERROR(VLOOKUP(Y86,Database!$A$2:$L$175,8,FALSE),"-")</f>
        <v>-</v>
      </c>
      <c r="AA86" s="79" t="str">
        <f>IFERROR(VLOOKUP(Y86,Database!$A$2:$L$175,6,FALSE),"-")</f>
        <v>-</v>
      </c>
      <c r="AB86" s="92" t="str">
        <f>IFERROR(VLOOKUP(Y86,Database!$A$2:$L$175,9,FALSE),"-")</f>
        <v>-</v>
      </c>
      <c r="AC86" s="8" t="str">
        <f>IFERROR(VLOOKUP(Y86,Database!$A$2:$S$175,19,FALSE),"-")</f>
        <v>-</v>
      </c>
    </row>
    <row r="87" spans="1:29" ht="15" customHeight="1" thickBot="1" x14ac:dyDescent="0.4">
      <c r="A87" s="88" t="str">
        <f>rengoering!A87</f>
        <v>tirsdag</v>
      </c>
      <c r="B87" s="84">
        <v>46224</v>
      </c>
      <c r="C87" s="9"/>
      <c r="D87" s="89" t="str">
        <f>IF(booking!AB87&gt;0,"Y","-")</f>
        <v>-</v>
      </c>
      <c r="E87" s="95" t="str">
        <f>IF(AND(D87="Y",booking!D87&lt;&gt;booking!E87,booking!E87&gt;0),booking!E87,"-")</f>
        <v>-</v>
      </c>
      <c r="F87" s="8" t="str">
        <f>IFERROR(VLOOKUP(E87,Database!$A$2:$L$175,8,FALSE),"-")</f>
        <v>-</v>
      </c>
      <c r="G87" s="78" t="str">
        <f>IFERROR(VLOOKUP(E87,Database!$A$2:$L$175,6,FALSE),"-")</f>
        <v>-</v>
      </c>
      <c r="H87" s="93" t="str">
        <f>IFERROR(VLOOKUP(E87,Database!$A$2:$L$175,9,FALSE),"-")</f>
        <v>-</v>
      </c>
      <c r="I87" s="112"/>
      <c r="J87" s="96" t="str">
        <f>IF(AND(D87="Y",booking!H87&lt;&gt;booking!I87,booking!I87&gt;0),booking!I87,"-")</f>
        <v>-</v>
      </c>
      <c r="K87" s="78" t="str">
        <f>IFERROR(VLOOKUP(J87,Database!$A$2:$L$175,8,FALSE),"-")</f>
        <v>-</v>
      </c>
      <c r="L87" s="78" t="str">
        <f>IFERROR(VLOOKUP(J87,Database!$A$2:$L$175,6,FALSE),"-")</f>
        <v>-</v>
      </c>
      <c r="M87" s="93" t="str">
        <f>IFERROR(VLOOKUP(J87,Database!$A$2:$L$175,9,FALSE),"-")</f>
        <v>-</v>
      </c>
      <c r="N87" s="209" t="str">
        <f>IFERROR(VLOOKUP(J87,Database!$A$2:$S$175,19,FALSE),"-")</f>
        <v>-</v>
      </c>
      <c r="O87" s="96" t="str">
        <f>IF(AND(D87="Y",booking!L87&lt;&gt;booking!M87,booking!M87&gt;0),booking!M87,"-")</f>
        <v>-</v>
      </c>
      <c r="P87" s="78" t="str">
        <f>IFERROR(VLOOKUP(O87,Database!$A$2:$L$175,8,FALSE),"-")</f>
        <v>-</v>
      </c>
      <c r="Q87" s="78" t="str">
        <f>IFERROR(VLOOKUP(O87,Database!$A$2:$L$175,6,FALSE),"-")</f>
        <v>-</v>
      </c>
      <c r="R87" s="82" t="str">
        <f>IFERROR(VLOOKUP(O87,Database!$A$2:$L$175,9,FALSE),"-")</f>
        <v>-</v>
      </c>
      <c r="S87" s="209" t="str">
        <f>IFERROR(VLOOKUP(O87,Database!$A$2:$S$175,19,FALSE),"-")</f>
        <v>-</v>
      </c>
      <c r="T87" s="97" t="str">
        <f>IF(AND(D87="Y",booking!P87&lt;&gt;booking!Q87,booking!Q87&gt;0),booking!Q87,"-")</f>
        <v>-</v>
      </c>
      <c r="U87" s="78" t="str">
        <f>IFERROR(VLOOKUP(T87,Database!$A$2:$L$175,8,FALSE),"-")</f>
        <v>-</v>
      </c>
      <c r="V87" s="78" t="str">
        <f>IFERROR(VLOOKUP(T87,Database!$A$2:$L$175,6,FALSE),"-")</f>
        <v>-</v>
      </c>
      <c r="W87" s="82" t="str">
        <f>IFERROR(VLOOKUP(T87,Database!$A$2:$L$175,9,FALSE),"-")</f>
        <v>-</v>
      </c>
      <c r="X87" s="209" t="str">
        <f>IFERROR(VLOOKUP(T87,Database!$A$2:$S$175,19,FALSE),"-")</f>
        <v>-</v>
      </c>
      <c r="Y87" s="96" t="str">
        <f>IF(AND(D87="Y",booking!T87&lt;&gt;booking!U87,booking!U87&gt;0),booking!U87,"-")</f>
        <v>-</v>
      </c>
      <c r="Z87" s="79" t="str">
        <f>IFERROR(VLOOKUP(Y87,Database!$A$2:$L$175,8,FALSE),"-")</f>
        <v>-</v>
      </c>
      <c r="AA87" s="79" t="str">
        <f>IFERROR(VLOOKUP(Y87,Database!$A$2:$L$175,6,FALSE),"-")</f>
        <v>-</v>
      </c>
      <c r="AB87" s="92" t="str">
        <f>IFERROR(VLOOKUP(Y87,Database!$A$2:$L$175,9,FALSE),"-")</f>
        <v>-</v>
      </c>
      <c r="AC87" s="8" t="str">
        <f>IFERROR(VLOOKUP(Y87,Database!$A$2:$S$175,19,FALSE),"-")</f>
        <v>-</v>
      </c>
    </row>
    <row r="88" spans="1:29" ht="15" customHeight="1" thickBot="1" x14ac:dyDescent="0.4">
      <c r="A88" s="88" t="str">
        <f>rengoering!A88</f>
        <v>onsdag</v>
      </c>
      <c r="B88" s="86">
        <v>46225</v>
      </c>
      <c r="C88" s="9"/>
      <c r="D88" s="89" t="str">
        <f>IF(booking!AB88&gt;0,"Y","-")</f>
        <v>Y</v>
      </c>
      <c r="E88" s="95" t="str">
        <f>IF(AND(D88="Y",booking!D88&lt;&gt;booking!E88,booking!E88&gt;0),booking!E88,"-")</f>
        <v>-</v>
      </c>
      <c r="F88" s="8" t="str">
        <f>IFERROR(VLOOKUP(E88,Database!$A$2:$L$175,8,FALSE),"-")</f>
        <v>-</v>
      </c>
      <c r="G88" s="78" t="str">
        <f>IFERROR(VLOOKUP(E88,Database!$A$2:$L$175,6,FALSE),"-")</f>
        <v>-</v>
      </c>
      <c r="H88" s="93" t="str">
        <f>IFERROR(VLOOKUP(E88,Database!$A$2:$L$175,9,FALSE),"-")</f>
        <v>-</v>
      </c>
      <c r="I88" s="112"/>
      <c r="J88" s="96" t="str">
        <f>IF(AND(D88="Y",booking!H88&lt;&gt;booking!I88,booking!I88&gt;0),booking!I88,"-")</f>
        <v>-</v>
      </c>
      <c r="K88" s="78" t="str">
        <f>IFERROR(VLOOKUP(J88,Database!$A$2:$L$175,8,FALSE),"-")</f>
        <v>-</v>
      </c>
      <c r="L88" s="78" t="str">
        <f>IFERROR(VLOOKUP(J88,Database!$A$2:$L$175,6,FALSE),"-")</f>
        <v>-</v>
      </c>
      <c r="M88" s="93" t="str">
        <f>IFERROR(VLOOKUP(J88,Database!$A$2:$L$175,9,FALSE),"-")</f>
        <v>-</v>
      </c>
      <c r="N88" s="209" t="str">
        <f>IFERROR(VLOOKUP(J88,Database!$A$2:$S$175,19,FALSE),"-")</f>
        <v>-</v>
      </c>
      <c r="O88" s="96" t="str">
        <f>IF(AND(D88="Y",booking!L88&lt;&gt;booking!M88,booking!M88&gt;0),booking!M88,"-")</f>
        <v>-</v>
      </c>
      <c r="P88" s="78" t="str">
        <f>IFERROR(VLOOKUP(O88,Database!$A$2:$L$175,8,FALSE),"-")</f>
        <v>-</v>
      </c>
      <c r="Q88" s="78" t="str">
        <f>IFERROR(VLOOKUP(O88,Database!$A$2:$L$175,6,FALSE),"-")</f>
        <v>-</v>
      </c>
      <c r="R88" s="82" t="str">
        <f>IFERROR(VLOOKUP(O88,Database!$A$2:$L$175,9,FALSE),"-")</f>
        <v>-</v>
      </c>
      <c r="S88" s="209" t="str">
        <f>IFERROR(VLOOKUP(O88,Database!$A$2:$S$175,19,FALSE),"-")</f>
        <v>-</v>
      </c>
      <c r="T88" s="97" t="str">
        <f>IF(AND(D88="Y",booking!P88&lt;&gt;booking!Q88,booking!Q88&gt;0),booking!Q88,"-")</f>
        <v>-</v>
      </c>
      <c r="U88" s="78" t="str">
        <f>IFERROR(VLOOKUP(T88,Database!$A$2:$L$175,8,FALSE),"-")</f>
        <v>-</v>
      </c>
      <c r="V88" s="78" t="str">
        <f>IFERROR(VLOOKUP(T88,Database!$A$2:$L$175,6,FALSE),"-")</f>
        <v>-</v>
      </c>
      <c r="W88" s="82" t="str">
        <f>IFERROR(VLOOKUP(T88,Database!$A$2:$L$175,9,FALSE),"-")</f>
        <v>-</v>
      </c>
      <c r="X88" s="209" t="str">
        <f>IFERROR(VLOOKUP(T88,Database!$A$2:$S$175,19,FALSE),"-")</f>
        <v>-</v>
      </c>
      <c r="Y88" s="96">
        <f>IF(AND(D88="Y",booking!T88&lt;&gt;booking!U88,booking!U88&gt;0),booking!U88,"-")</f>
        <v>10</v>
      </c>
      <c r="Z88" s="79">
        <f>IFERROR(VLOOKUP(Y88,Database!$A$2:$L$175,8,FALSE),"-")</f>
        <v>0</v>
      </c>
      <c r="AA88" s="79" t="str">
        <f>IFERROR(VLOOKUP(Y88,Database!$A$2:$L$175,6,FALSE),"-")</f>
        <v>DK</v>
      </c>
      <c r="AB88" s="92">
        <f>IFERROR(VLOOKUP(Y88,Database!$A$2:$L$175,9,FALSE),"-")</f>
        <v>0</v>
      </c>
      <c r="AC88" s="8" t="str">
        <f>IFERROR(VLOOKUP(Y88,Database!$A$2:$S$175,19,FALSE),"-")</f>
        <v>Y</v>
      </c>
    </row>
    <row r="89" spans="1:29" ht="15" customHeight="1" thickBot="1" x14ac:dyDescent="0.4">
      <c r="A89" s="88" t="str">
        <f>rengoering!A89</f>
        <v>torsdag</v>
      </c>
      <c r="B89" s="84">
        <v>46226</v>
      </c>
      <c r="C89" s="9"/>
      <c r="D89" s="89" t="str">
        <f>IF(booking!AB89&gt;0,"Y","-")</f>
        <v>-</v>
      </c>
      <c r="E89" s="95" t="str">
        <f>IF(AND(D89="Y",booking!D89&lt;&gt;booking!E89,booking!E89&gt;0),booking!E89,"-")</f>
        <v>-</v>
      </c>
      <c r="F89" s="8" t="str">
        <f>IFERROR(VLOOKUP(E89,Database!$A$2:$L$175,8,FALSE),"-")</f>
        <v>-</v>
      </c>
      <c r="G89" s="78" t="str">
        <f>IFERROR(VLOOKUP(E89,Database!$A$2:$L$175,6,FALSE),"-")</f>
        <v>-</v>
      </c>
      <c r="H89" s="93" t="str">
        <f>IFERROR(VLOOKUP(E89,Database!$A$2:$L$175,9,FALSE),"-")</f>
        <v>-</v>
      </c>
      <c r="I89" s="112"/>
      <c r="J89" s="96" t="str">
        <f>IF(AND(D89="Y",booking!H89&lt;&gt;booking!I89,booking!I89&gt;0),booking!I89,"-")</f>
        <v>-</v>
      </c>
      <c r="K89" s="78" t="str">
        <f>IFERROR(VLOOKUP(J89,Database!$A$2:$L$175,8,FALSE),"-")</f>
        <v>-</v>
      </c>
      <c r="L89" s="78" t="str">
        <f>IFERROR(VLOOKUP(J89,Database!$A$2:$L$175,6,FALSE),"-")</f>
        <v>-</v>
      </c>
      <c r="M89" s="93" t="str">
        <f>IFERROR(VLOOKUP(J89,Database!$A$2:$L$175,9,FALSE),"-")</f>
        <v>-</v>
      </c>
      <c r="N89" s="209" t="str">
        <f>IFERROR(VLOOKUP(J89,Database!$A$2:$S$175,19,FALSE),"-")</f>
        <v>-</v>
      </c>
      <c r="O89" s="96" t="str">
        <f>IF(AND(D89="Y",booking!L89&lt;&gt;booking!M89,booking!M89&gt;0),booking!M89,"-")</f>
        <v>-</v>
      </c>
      <c r="P89" s="78" t="str">
        <f>IFERROR(VLOOKUP(O89,Database!$A$2:$L$175,8,FALSE),"-")</f>
        <v>-</v>
      </c>
      <c r="Q89" s="78" t="str">
        <f>IFERROR(VLOOKUP(O89,Database!$A$2:$L$175,6,FALSE),"-")</f>
        <v>-</v>
      </c>
      <c r="R89" s="82" t="str">
        <f>IFERROR(VLOOKUP(O89,Database!$A$2:$L$175,9,FALSE),"-")</f>
        <v>-</v>
      </c>
      <c r="S89" s="209" t="str">
        <f>IFERROR(VLOOKUP(O89,Database!$A$2:$S$175,19,FALSE),"-")</f>
        <v>-</v>
      </c>
      <c r="T89" s="97" t="str">
        <f>IF(AND(D89="Y",booking!P89&lt;&gt;booking!Q89,booking!Q89&gt;0),booking!Q89,"-")</f>
        <v>-</v>
      </c>
      <c r="U89" s="78" t="str">
        <f>IFERROR(VLOOKUP(T89,Database!$A$2:$L$175,8,FALSE),"-")</f>
        <v>-</v>
      </c>
      <c r="V89" s="78" t="str">
        <f>IFERROR(VLOOKUP(T89,Database!$A$2:$L$175,6,FALSE),"-")</f>
        <v>-</v>
      </c>
      <c r="W89" s="82" t="str">
        <f>IFERROR(VLOOKUP(T89,Database!$A$2:$L$175,9,FALSE),"-")</f>
        <v>-</v>
      </c>
      <c r="X89" s="209" t="str">
        <f>IFERROR(VLOOKUP(T89,Database!$A$2:$S$175,19,FALSE),"-")</f>
        <v>-</v>
      </c>
      <c r="Y89" s="96" t="str">
        <f>IF(AND(D89="Y",booking!T89&lt;&gt;booking!U89,booking!U89&gt;0),booking!U89,"-")</f>
        <v>-</v>
      </c>
      <c r="Z89" s="79" t="str">
        <f>IFERROR(VLOOKUP(Y89,Database!$A$2:$L$175,8,FALSE),"-")</f>
        <v>-</v>
      </c>
      <c r="AA89" s="79" t="str">
        <f>IFERROR(VLOOKUP(Y89,Database!$A$2:$L$175,6,FALSE),"-")</f>
        <v>-</v>
      </c>
      <c r="AB89" s="92" t="str">
        <f>IFERROR(VLOOKUP(Y89,Database!$A$2:$L$175,9,FALSE),"-")</f>
        <v>-</v>
      </c>
      <c r="AC89" s="8" t="str">
        <f>IFERROR(VLOOKUP(Y89,Database!$A$2:$S$175,19,FALSE),"-")</f>
        <v>-</v>
      </c>
    </row>
    <row r="90" spans="1:29" ht="15" customHeight="1" thickBot="1" x14ac:dyDescent="0.4">
      <c r="A90" s="88" t="str">
        <f>rengoering!A90</f>
        <v>fredag</v>
      </c>
      <c r="B90" s="86">
        <v>46227</v>
      </c>
      <c r="C90" s="9"/>
      <c r="D90" s="89" t="str">
        <f>IF(booking!AB90&gt;0,"Y","-")</f>
        <v>-</v>
      </c>
      <c r="E90" s="95" t="str">
        <f>IF(AND(D90="Y",booking!D90&lt;&gt;booking!E90,booking!E90&gt;0),booking!E90,"-")</f>
        <v>-</v>
      </c>
      <c r="F90" s="8" t="str">
        <f>IFERROR(VLOOKUP(E90,Database!$A$2:$L$175,8,FALSE),"-")</f>
        <v>-</v>
      </c>
      <c r="G90" s="78" t="str">
        <f>IFERROR(VLOOKUP(E90,Database!$A$2:$L$175,6,FALSE),"-")</f>
        <v>-</v>
      </c>
      <c r="H90" s="93" t="str">
        <f>IFERROR(VLOOKUP(E90,Database!$A$2:$L$175,9,FALSE),"-")</f>
        <v>-</v>
      </c>
      <c r="I90" s="112"/>
      <c r="J90" s="96" t="str">
        <f>IF(AND(D90="Y",booking!H90&lt;&gt;booking!I90,booking!I90&gt;0),booking!I90,"-")</f>
        <v>-</v>
      </c>
      <c r="K90" s="78" t="str">
        <f>IFERROR(VLOOKUP(J90,Database!$A$2:$L$175,8,FALSE),"-")</f>
        <v>-</v>
      </c>
      <c r="L90" s="78" t="str">
        <f>IFERROR(VLOOKUP(J90,Database!$A$2:$L$175,6,FALSE),"-")</f>
        <v>-</v>
      </c>
      <c r="M90" s="93" t="str">
        <f>IFERROR(VLOOKUP(J90,Database!$A$2:$L$175,9,FALSE),"-")</f>
        <v>-</v>
      </c>
      <c r="N90" s="209" t="str">
        <f>IFERROR(VLOOKUP(J90,Database!$A$2:$S$175,19,FALSE),"-")</f>
        <v>-</v>
      </c>
      <c r="O90" s="96" t="str">
        <f>IF(AND(D90="Y",booking!L90&lt;&gt;booking!M90,booking!M90&gt;0),booking!M90,"-")</f>
        <v>-</v>
      </c>
      <c r="P90" s="78" t="str">
        <f>IFERROR(VLOOKUP(O90,Database!$A$2:$L$175,8,FALSE),"-")</f>
        <v>-</v>
      </c>
      <c r="Q90" s="78" t="str">
        <f>IFERROR(VLOOKUP(O90,Database!$A$2:$L$175,6,FALSE),"-")</f>
        <v>-</v>
      </c>
      <c r="R90" s="82" t="str">
        <f>IFERROR(VLOOKUP(O90,Database!$A$2:$L$175,9,FALSE),"-")</f>
        <v>-</v>
      </c>
      <c r="S90" s="209" t="str">
        <f>IFERROR(VLOOKUP(O90,Database!$A$2:$S$175,19,FALSE),"-")</f>
        <v>-</v>
      </c>
      <c r="T90" s="97" t="str">
        <f>IF(AND(D90="Y",booking!P90&lt;&gt;booking!Q90,booking!Q90&gt;0),booking!Q90,"-")</f>
        <v>-</v>
      </c>
      <c r="U90" s="78" t="str">
        <f>IFERROR(VLOOKUP(T90,Database!$A$2:$L$175,8,FALSE),"-")</f>
        <v>-</v>
      </c>
      <c r="V90" s="78" t="str">
        <f>IFERROR(VLOOKUP(T90,Database!$A$2:$L$175,6,FALSE),"-")</f>
        <v>-</v>
      </c>
      <c r="W90" s="82" t="str">
        <f>IFERROR(VLOOKUP(T90,Database!$A$2:$L$175,9,FALSE),"-")</f>
        <v>-</v>
      </c>
      <c r="X90" s="209" t="str">
        <f>IFERROR(VLOOKUP(T90,Database!$A$2:$S$175,19,FALSE),"-")</f>
        <v>-</v>
      </c>
      <c r="Y90" s="96" t="str">
        <f>IF(AND(D90="Y",booking!T90&lt;&gt;booking!U90,booking!U90&gt;0),booking!U90,"-")</f>
        <v>-</v>
      </c>
      <c r="Z90" s="79" t="str">
        <f>IFERROR(VLOOKUP(Y90,Database!$A$2:$L$175,8,FALSE),"-")</f>
        <v>-</v>
      </c>
      <c r="AA90" s="79" t="str">
        <f>IFERROR(VLOOKUP(Y90,Database!$A$2:$L$175,6,FALSE),"-")</f>
        <v>-</v>
      </c>
      <c r="AB90" s="92" t="str">
        <f>IFERROR(VLOOKUP(Y90,Database!$A$2:$L$175,9,FALSE),"-")</f>
        <v>-</v>
      </c>
      <c r="AC90" s="8" t="str">
        <f>IFERROR(VLOOKUP(Y90,Database!$A$2:$S$175,19,FALSE),"-")</f>
        <v>-</v>
      </c>
    </row>
    <row r="91" spans="1:29" ht="15" customHeight="1" thickBot="1" x14ac:dyDescent="0.4">
      <c r="A91" s="88" t="str">
        <f>rengoering!A91</f>
        <v>lørdag</v>
      </c>
      <c r="B91" s="84">
        <v>46228</v>
      </c>
      <c r="C91" s="9"/>
      <c r="D91" s="89" t="str">
        <f>IF(booking!AB91&gt;0,"Y","-")</f>
        <v>Y</v>
      </c>
      <c r="E91" s="95" t="str">
        <f>IF(AND(D91="Y",booking!D91&lt;&gt;booking!E91,booking!E91&gt;0),booking!E91,"-")</f>
        <v>-</v>
      </c>
      <c r="F91" s="8" t="str">
        <f>IFERROR(VLOOKUP(E91,Database!$A$2:$L$175,8,FALSE),"-")</f>
        <v>-</v>
      </c>
      <c r="G91" s="78" t="str">
        <f>IFERROR(VLOOKUP(E91,Database!$A$2:$L$175,6,FALSE),"-")</f>
        <v>-</v>
      </c>
      <c r="H91" s="93" t="str">
        <f>IFERROR(VLOOKUP(E91,Database!$A$2:$L$175,9,FALSE),"-")</f>
        <v>-</v>
      </c>
      <c r="I91" s="112"/>
      <c r="J91" s="96" t="str">
        <f>IF(AND(D91="Y",booking!H91&lt;&gt;booking!I91,booking!I91&gt;0),booking!I91,"-")</f>
        <v>-</v>
      </c>
      <c r="K91" s="78" t="str">
        <f>IFERROR(VLOOKUP(J91,Database!$A$2:$L$175,8,FALSE),"-")</f>
        <v>-</v>
      </c>
      <c r="L91" s="78" t="str">
        <f>IFERROR(VLOOKUP(J91,Database!$A$2:$L$175,6,FALSE),"-")</f>
        <v>-</v>
      </c>
      <c r="M91" s="93" t="str">
        <f>IFERROR(VLOOKUP(J91,Database!$A$2:$L$175,9,FALSE),"-")</f>
        <v>-</v>
      </c>
      <c r="N91" s="209" t="str">
        <f>IFERROR(VLOOKUP(J91,Database!$A$2:$S$175,19,FALSE),"-")</f>
        <v>-</v>
      </c>
      <c r="O91" s="96" t="str">
        <f>IF(AND(D91="Y",booking!L91&lt;&gt;booking!M91,booking!M91&gt;0),booking!M91,"-")</f>
        <v>-</v>
      </c>
      <c r="P91" s="78" t="str">
        <f>IFERROR(VLOOKUP(O91,Database!$A$2:$L$175,8,FALSE),"-")</f>
        <v>-</v>
      </c>
      <c r="Q91" s="78" t="str">
        <f>IFERROR(VLOOKUP(O91,Database!$A$2:$L$175,6,FALSE),"-")</f>
        <v>-</v>
      </c>
      <c r="R91" s="82" t="str">
        <f>IFERROR(VLOOKUP(O91,Database!$A$2:$L$175,9,FALSE),"-")</f>
        <v>-</v>
      </c>
      <c r="S91" s="209" t="str">
        <f>IFERROR(VLOOKUP(O91,Database!$A$2:$S$175,19,FALSE),"-")</f>
        <v>-</v>
      </c>
      <c r="T91" s="97" t="str">
        <f>IF(AND(D91="Y",booking!P91&lt;&gt;booking!Q91,booking!Q91&gt;0),booking!Q91,"-")</f>
        <v>-</v>
      </c>
      <c r="U91" s="78" t="str">
        <f>IFERROR(VLOOKUP(T91,Database!$A$2:$L$175,8,FALSE),"-")</f>
        <v>-</v>
      </c>
      <c r="V91" s="78" t="str">
        <f>IFERROR(VLOOKUP(T91,Database!$A$2:$L$175,6,FALSE),"-")</f>
        <v>-</v>
      </c>
      <c r="W91" s="82" t="str">
        <f>IFERROR(VLOOKUP(T91,Database!$A$2:$L$175,9,FALSE),"-")</f>
        <v>-</v>
      </c>
      <c r="X91" s="209" t="str">
        <f>IFERROR(VLOOKUP(T91,Database!$A$2:$S$175,19,FALSE),"-")</f>
        <v>-</v>
      </c>
      <c r="Y91" s="96">
        <f>IF(AND(D91="Y",booking!T91&lt;&gt;booking!U91,booking!U91&gt;0),booking!U91,"-")</f>
        <v>49</v>
      </c>
      <c r="Z91" s="79">
        <f>IFERROR(VLOOKUP(Y91,Database!$A$2:$L$175,8,FALSE),"-")</f>
        <v>0</v>
      </c>
      <c r="AA91" s="79" t="str">
        <f>IFERROR(VLOOKUP(Y91,Database!$A$2:$L$175,6,FALSE),"-")</f>
        <v>DK</v>
      </c>
      <c r="AB91" s="92" t="str">
        <f>IFERROR(VLOOKUP(Y91,Database!$A$2:$L$175,9,FALSE),"-")</f>
        <v>dobb</v>
      </c>
      <c r="AC91" s="8" t="str">
        <f>IFERROR(VLOOKUP(Y91,Database!$A$2:$S$175,19,FALSE),"-")</f>
        <v>N</v>
      </c>
    </row>
    <row r="92" spans="1:29" ht="15" customHeight="1" thickBot="1" x14ac:dyDescent="0.4">
      <c r="A92" s="88" t="str">
        <f>rengoering!A92</f>
        <v>søndag</v>
      </c>
      <c r="B92" s="86">
        <v>46229</v>
      </c>
      <c r="C92" s="9"/>
      <c r="D92" s="89" t="str">
        <f>IF(booking!AB92&gt;0,"Y","-")</f>
        <v>Y</v>
      </c>
      <c r="E92" s="95" t="str">
        <f>IF(AND(D92="Y",booking!D92&lt;&gt;booking!E92,booking!E92&gt;0),booking!E92,"-")</f>
        <v>-</v>
      </c>
      <c r="F92" s="8" t="str">
        <f>IFERROR(VLOOKUP(E92,Database!$A$2:$L$175,8,FALSE),"-")</f>
        <v>-</v>
      </c>
      <c r="G92" s="78" t="str">
        <f>IFERROR(VLOOKUP(E92,Database!$A$2:$L$175,6,FALSE),"-")</f>
        <v>-</v>
      </c>
      <c r="H92" s="93" t="str">
        <f>IFERROR(VLOOKUP(E92,Database!$A$2:$L$175,9,FALSE),"-")</f>
        <v>-</v>
      </c>
      <c r="I92" s="112"/>
      <c r="J92" s="96" t="str">
        <f>IF(AND(D92="Y",booking!H92&lt;&gt;booking!I92,booking!I92&gt;0),booking!I92,"-")</f>
        <v>-</v>
      </c>
      <c r="K92" s="78" t="str">
        <f>IFERROR(VLOOKUP(J92,Database!$A$2:$L$175,8,FALSE),"-")</f>
        <v>-</v>
      </c>
      <c r="L92" s="78" t="str">
        <f>IFERROR(VLOOKUP(J92,Database!$A$2:$L$175,6,FALSE),"-")</f>
        <v>-</v>
      </c>
      <c r="M92" s="93" t="str">
        <f>IFERROR(VLOOKUP(J92,Database!$A$2:$L$175,9,FALSE),"-")</f>
        <v>-</v>
      </c>
      <c r="N92" s="209" t="str">
        <f>IFERROR(VLOOKUP(J92,Database!$A$2:$S$175,19,FALSE),"-")</f>
        <v>-</v>
      </c>
      <c r="O92" s="96">
        <f>IF(AND(D92="Y",booking!L92&lt;&gt;booking!M92,booking!M92&gt;0),booking!M92,"-")</f>
        <v>58</v>
      </c>
      <c r="P92" s="78">
        <f>IFERROR(VLOOKUP(O92,Database!$A$2:$L$175,8,FALSE),"-")</f>
        <v>0</v>
      </c>
      <c r="Q92" s="78" t="str">
        <f>IFERROR(VLOOKUP(O92,Database!$A$2:$L$175,6,FALSE),"-")</f>
        <v>DK</v>
      </c>
      <c r="R92" s="82" t="str">
        <f>IFERROR(VLOOKUP(O92,Database!$A$2:$L$175,9,FALSE),"-")</f>
        <v>sing</v>
      </c>
      <c r="S92" s="209" t="str">
        <f>IFERROR(VLOOKUP(O92,Database!$A$2:$S$175,19,FALSE),"-")</f>
        <v>YY</v>
      </c>
      <c r="T92" s="97">
        <f>IF(AND(D92="Y",booking!P92&lt;&gt;booking!Q92,booking!Q92&gt;0),booking!Q92,"-")</f>
        <v>58</v>
      </c>
      <c r="U92" s="78">
        <f>IFERROR(VLOOKUP(T92,Database!$A$2:$L$175,8,FALSE),"-")</f>
        <v>0</v>
      </c>
      <c r="V92" s="78" t="str">
        <f>IFERROR(VLOOKUP(T92,Database!$A$2:$L$175,6,FALSE),"-")</f>
        <v>DK</v>
      </c>
      <c r="W92" s="82" t="str">
        <f>IFERROR(VLOOKUP(T92,Database!$A$2:$L$175,9,FALSE),"-")</f>
        <v>sing</v>
      </c>
      <c r="X92" s="209" t="str">
        <f>IFERROR(VLOOKUP(T92,Database!$A$2:$S$175,19,FALSE),"-")</f>
        <v>YY</v>
      </c>
      <c r="Y92" s="96" t="str">
        <f>IF(AND(D92="Y",booking!T92&lt;&gt;booking!U92,booking!U92&gt;0),booking!U92,"-")</f>
        <v>-</v>
      </c>
      <c r="Z92" s="79" t="str">
        <f>IFERROR(VLOOKUP(Y92,Database!$A$2:$L$175,8,FALSE),"-")</f>
        <v>-</v>
      </c>
      <c r="AA92" s="79" t="str">
        <f>IFERROR(VLOOKUP(Y92,Database!$A$2:$L$175,6,FALSE),"-")</f>
        <v>-</v>
      </c>
      <c r="AB92" s="92" t="str">
        <f>IFERROR(VLOOKUP(Y92,Database!$A$2:$L$175,9,FALSE),"-")</f>
        <v>-</v>
      </c>
      <c r="AC92" s="8" t="str">
        <f>IFERROR(VLOOKUP(Y92,Database!$A$2:$S$175,19,FALSE),"-")</f>
        <v>-</v>
      </c>
    </row>
    <row r="93" spans="1:29" ht="15" customHeight="1" thickBot="1" x14ac:dyDescent="0.4">
      <c r="A93" s="88" t="str">
        <f>rengoering!A93</f>
        <v>mandag</v>
      </c>
      <c r="B93" s="84">
        <v>46230</v>
      </c>
      <c r="C93" s="9"/>
      <c r="D93" s="89" t="str">
        <f>IF(booking!AB93&gt;0,"Y","-")</f>
        <v>Y</v>
      </c>
      <c r="E93" s="95">
        <f>IF(AND(D93="Y",booking!D93&lt;&gt;booking!E93,booking!E93&gt;0),booking!E93,"-")</f>
        <v>55</v>
      </c>
      <c r="F93" s="8">
        <f>IFERROR(VLOOKUP(E93,Database!$A$2:$L$175,8,FALSE),"-")</f>
        <v>0</v>
      </c>
      <c r="G93" s="78" t="str">
        <f>IFERROR(VLOOKUP(E93,Database!$A$2:$L$175,6,FALSE),"-")</f>
        <v>DK</v>
      </c>
      <c r="H93" s="93" t="str">
        <f>IFERROR(VLOOKUP(E93,Database!$A$2:$L$175,9,FALSE),"-")</f>
        <v>dobb</v>
      </c>
      <c r="I93" s="112"/>
      <c r="J93" s="96">
        <f>IF(AND(D93="Y",booking!H93&lt;&gt;booking!I93,booking!I93&gt;0),booking!I93,"-")</f>
        <v>30</v>
      </c>
      <c r="K93" s="78">
        <f>IFERROR(VLOOKUP(J93,Database!$A$2:$L$175,8,FALSE),"-")</f>
        <v>0</v>
      </c>
      <c r="L93" s="78" t="str">
        <f>IFERROR(VLOOKUP(J93,Database!$A$2:$L$175,6,FALSE),"-")</f>
        <v>DK</v>
      </c>
      <c r="M93" s="93">
        <f>IFERROR(VLOOKUP(J93,Database!$A$2:$L$175,9,FALSE),"-")</f>
        <v>0</v>
      </c>
      <c r="N93" s="209" t="str">
        <f>IFERROR(VLOOKUP(J93,Database!$A$2:$S$175,19,FALSE),"-")</f>
        <v>Y</v>
      </c>
      <c r="O93" s="96" t="str">
        <f>IF(AND(D93="Y",booking!L93&lt;&gt;booking!M93,booking!M93&gt;0),booking!M93,"-")</f>
        <v>-</v>
      </c>
      <c r="P93" s="78" t="str">
        <f>IFERROR(VLOOKUP(O93,Database!$A$2:$L$175,8,FALSE),"-")</f>
        <v>-</v>
      </c>
      <c r="Q93" s="78" t="str">
        <f>IFERROR(VLOOKUP(O93,Database!$A$2:$L$175,6,FALSE),"-")</f>
        <v>-</v>
      </c>
      <c r="R93" s="82" t="str">
        <f>IFERROR(VLOOKUP(O93,Database!$A$2:$L$175,9,FALSE),"-")</f>
        <v>-</v>
      </c>
      <c r="S93" s="209" t="str">
        <f>IFERROR(VLOOKUP(O93,Database!$A$2:$S$175,19,FALSE),"-")</f>
        <v>-</v>
      </c>
      <c r="T93" s="97" t="str">
        <f>IF(AND(D93="Y",booking!P93&lt;&gt;booking!Q93,booking!Q93&gt;0),booking!Q93,"-")</f>
        <v>-</v>
      </c>
      <c r="U93" s="78" t="str">
        <f>IFERROR(VLOOKUP(T93,Database!$A$2:$L$175,8,FALSE),"-")</f>
        <v>-</v>
      </c>
      <c r="V93" s="78" t="str">
        <f>IFERROR(VLOOKUP(T93,Database!$A$2:$L$175,6,FALSE),"-")</f>
        <v>-</v>
      </c>
      <c r="W93" s="82" t="str">
        <f>IFERROR(VLOOKUP(T93,Database!$A$2:$L$175,9,FALSE),"-")</f>
        <v>-</v>
      </c>
      <c r="X93" s="209" t="str">
        <f>IFERROR(VLOOKUP(T93,Database!$A$2:$S$175,19,FALSE),"-")</f>
        <v>-</v>
      </c>
      <c r="Y93" s="96" t="str">
        <f>IF(AND(D93="Y",booking!T93&lt;&gt;booking!U93,booking!U93&gt;0),booking!U93,"-")</f>
        <v>-</v>
      </c>
      <c r="Z93" s="79" t="str">
        <f>IFERROR(VLOOKUP(Y93,Database!$A$2:$L$175,8,FALSE),"-")</f>
        <v>-</v>
      </c>
      <c r="AA93" s="79" t="str">
        <f>IFERROR(VLOOKUP(Y93,Database!$A$2:$L$175,6,FALSE),"-")</f>
        <v>-</v>
      </c>
      <c r="AB93" s="92" t="str">
        <f>IFERROR(VLOOKUP(Y93,Database!$A$2:$L$175,9,FALSE),"-")</f>
        <v>-</v>
      </c>
      <c r="AC93" s="8" t="str">
        <f>IFERROR(VLOOKUP(Y93,Database!$A$2:$S$175,19,FALSE),"-")</f>
        <v>-</v>
      </c>
    </row>
    <row r="94" spans="1:29" ht="15" customHeight="1" thickBot="1" x14ac:dyDescent="0.4">
      <c r="A94" s="88" t="str">
        <f>rengoering!A94</f>
        <v>tirsdag</v>
      </c>
      <c r="B94" s="86">
        <v>46231</v>
      </c>
      <c r="C94" s="9"/>
      <c r="D94" s="89" t="str">
        <f>IF(booking!AB94&gt;0,"Y","-")</f>
        <v>-</v>
      </c>
      <c r="E94" s="95" t="str">
        <f>IF(AND(D94="Y",booking!D94&lt;&gt;booking!E94,booking!E94&gt;0),booking!E94,"-")</f>
        <v>-</v>
      </c>
      <c r="F94" s="8" t="str">
        <f>IFERROR(VLOOKUP(E94,Database!$A$2:$L$175,8,FALSE),"-")</f>
        <v>-</v>
      </c>
      <c r="G94" s="78" t="str">
        <f>IFERROR(VLOOKUP(E94,Database!$A$2:$L$175,6,FALSE),"-")</f>
        <v>-</v>
      </c>
      <c r="H94" s="93" t="str">
        <f>IFERROR(VLOOKUP(E94,Database!$A$2:$L$175,9,FALSE),"-")</f>
        <v>-</v>
      </c>
      <c r="I94" s="112"/>
      <c r="J94" s="96" t="str">
        <f>IF(AND(D94="Y",booking!H94&lt;&gt;booking!I94,booking!I94&gt;0),booking!I94,"-")</f>
        <v>-</v>
      </c>
      <c r="K94" s="78" t="str">
        <f>IFERROR(VLOOKUP(J94,Database!$A$2:$L$175,8,FALSE),"-")</f>
        <v>-</v>
      </c>
      <c r="L94" s="78" t="str">
        <f>IFERROR(VLOOKUP(J94,Database!$A$2:$L$175,6,FALSE),"-")</f>
        <v>-</v>
      </c>
      <c r="M94" s="93" t="str">
        <f>IFERROR(VLOOKUP(J94,Database!$A$2:$L$175,9,FALSE),"-")</f>
        <v>-</v>
      </c>
      <c r="N94" s="209" t="str">
        <f>IFERROR(VLOOKUP(J94,Database!$A$2:$S$175,19,FALSE),"-")</f>
        <v>-</v>
      </c>
      <c r="O94" s="96" t="str">
        <f>IF(AND(D94="Y",booking!L94&lt;&gt;booking!M94,booking!M94&gt;0),booking!M94,"-")</f>
        <v>-</v>
      </c>
      <c r="P94" s="78" t="str">
        <f>IFERROR(VLOOKUP(O94,Database!$A$2:$L$175,8,FALSE),"-")</f>
        <v>-</v>
      </c>
      <c r="Q94" s="78" t="str">
        <f>IFERROR(VLOOKUP(O94,Database!$A$2:$L$175,6,FALSE),"-")</f>
        <v>-</v>
      </c>
      <c r="R94" s="82" t="str">
        <f>IFERROR(VLOOKUP(O94,Database!$A$2:$L$175,9,FALSE),"-")</f>
        <v>-</v>
      </c>
      <c r="S94" s="209" t="str">
        <f>IFERROR(VLOOKUP(O94,Database!$A$2:$S$175,19,FALSE),"-")</f>
        <v>-</v>
      </c>
      <c r="T94" s="97" t="str">
        <f>IF(AND(D94="Y",booking!P94&lt;&gt;booking!Q94,booking!Q94&gt;0),booking!Q94,"-")</f>
        <v>-</v>
      </c>
      <c r="U94" s="78" t="str">
        <f>IFERROR(VLOOKUP(T94,Database!$A$2:$L$175,8,FALSE),"-")</f>
        <v>-</v>
      </c>
      <c r="V94" s="78" t="str">
        <f>IFERROR(VLOOKUP(T94,Database!$A$2:$L$175,6,FALSE),"-")</f>
        <v>-</v>
      </c>
      <c r="W94" s="82" t="str">
        <f>IFERROR(VLOOKUP(T94,Database!$A$2:$L$175,9,FALSE),"-")</f>
        <v>-</v>
      </c>
      <c r="X94" s="209" t="str">
        <f>IFERROR(VLOOKUP(T94,Database!$A$2:$S$175,19,FALSE),"-")</f>
        <v>-</v>
      </c>
      <c r="Y94" s="96" t="str">
        <f>IF(AND(D94="Y",booking!T94&lt;&gt;booking!U94,booking!U94&gt;0),booking!U94,"-")</f>
        <v>-</v>
      </c>
      <c r="Z94" s="79" t="str">
        <f>IFERROR(VLOOKUP(Y94,Database!$A$2:$L$175,8,FALSE),"-")</f>
        <v>-</v>
      </c>
      <c r="AA94" s="79" t="str">
        <f>IFERROR(VLOOKUP(Y94,Database!$A$2:$L$175,6,FALSE),"-")</f>
        <v>-</v>
      </c>
      <c r="AB94" s="92" t="str">
        <f>IFERROR(VLOOKUP(Y94,Database!$A$2:$L$175,9,FALSE),"-")</f>
        <v>-</v>
      </c>
      <c r="AC94" s="8" t="str">
        <f>IFERROR(VLOOKUP(Y94,Database!$A$2:$S$175,19,FALSE),"-")</f>
        <v>-</v>
      </c>
    </row>
    <row r="95" spans="1:29" ht="15" customHeight="1" thickBot="1" x14ac:dyDescent="0.4">
      <c r="A95" s="88" t="str">
        <f>rengoering!A95</f>
        <v>onsdag</v>
      </c>
      <c r="B95" s="84">
        <v>46232</v>
      </c>
      <c r="C95" s="9"/>
      <c r="D95" s="89" t="str">
        <f>IF(booking!AB95&gt;0,"Y","-")</f>
        <v>Y</v>
      </c>
      <c r="E95" s="95" t="str">
        <f>IF(AND(D95="Y",booking!D95&lt;&gt;booking!E95,booking!E95&gt;0),booking!E95,"-")</f>
        <v>-</v>
      </c>
      <c r="F95" s="8" t="str">
        <f>IFERROR(VLOOKUP(E95,Database!$A$2:$L$175,8,FALSE),"-")</f>
        <v>-</v>
      </c>
      <c r="G95" s="78" t="str">
        <f>IFERROR(VLOOKUP(E95,Database!$A$2:$L$175,6,FALSE),"-")</f>
        <v>-</v>
      </c>
      <c r="H95" s="93" t="str">
        <f>IFERROR(VLOOKUP(E95,Database!$A$2:$L$175,9,FALSE),"-")</f>
        <v>-</v>
      </c>
      <c r="I95" s="112"/>
      <c r="J95" s="96" t="str">
        <f>IF(AND(D95="Y",booking!H95&lt;&gt;booking!I95,booking!I95&gt;0),booking!I95,"-")</f>
        <v>-</v>
      </c>
      <c r="K95" s="78" t="str">
        <f>IFERROR(VLOOKUP(J95,Database!$A$2:$L$175,8,FALSE),"-")</f>
        <v>-</v>
      </c>
      <c r="L95" s="78" t="str">
        <f>IFERROR(VLOOKUP(J95,Database!$A$2:$L$175,6,FALSE),"-")</f>
        <v>-</v>
      </c>
      <c r="M95" s="93" t="str">
        <f>IFERROR(VLOOKUP(J95,Database!$A$2:$L$175,9,FALSE),"-")</f>
        <v>-</v>
      </c>
      <c r="N95" s="209" t="str">
        <f>IFERROR(VLOOKUP(J95,Database!$A$2:$S$175,19,FALSE),"-")</f>
        <v>-</v>
      </c>
      <c r="O95" s="96" t="str">
        <f>IF(AND(D95="Y",booking!L95&lt;&gt;booking!M95,booking!M95&gt;0),booking!M95,"-")</f>
        <v>-</v>
      </c>
      <c r="P95" s="78" t="str">
        <f>IFERROR(VLOOKUP(O95,Database!$A$2:$L$175,8,FALSE),"-")</f>
        <v>-</v>
      </c>
      <c r="Q95" s="78" t="str">
        <f>IFERROR(VLOOKUP(O95,Database!$A$2:$L$175,6,FALSE),"-")</f>
        <v>-</v>
      </c>
      <c r="R95" s="82" t="str">
        <f>IFERROR(VLOOKUP(O95,Database!$A$2:$L$175,9,FALSE),"-")</f>
        <v>-</v>
      </c>
      <c r="S95" s="209" t="str">
        <f>IFERROR(VLOOKUP(O95,Database!$A$2:$S$175,19,FALSE),"-")</f>
        <v>-</v>
      </c>
      <c r="T95" s="97">
        <f>IF(AND(D95="Y",booking!P95&lt;&gt;booking!Q95,booking!Q95&gt;0),booking!Q95,"-")</f>
        <v>57</v>
      </c>
      <c r="U95" s="78">
        <f>IFERROR(VLOOKUP(T95,Database!$A$2:$L$175,8,FALSE),"-")</f>
        <v>0</v>
      </c>
      <c r="V95" s="78" t="str">
        <f>IFERROR(VLOOKUP(T95,Database!$A$2:$L$175,6,FALSE),"-")</f>
        <v>S</v>
      </c>
      <c r="W95" s="82">
        <f>IFERROR(VLOOKUP(T95,Database!$A$2:$L$175,9,FALSE),"-")</f>
        <v>0</v>
      </c>
      <c r="X95" s="209" t="str">
        <f>IFERROR(VLOOKUP(T95,Database!$A$2:$S$175,19,FALSE),"-")</f>
        <v>YY</v>
      </c>
      <c r="Y95" s="96" t="str">
        <f>IF(AND(D95="Y",booking!T95&lt;&gt;booking!U95,booking!U95&gt;0),booking!U95,"-")</f>
        <v>-</v>
      </c>
      <c r="Z95" s="79" t="str">
        <f>IFERROR(VLOOKUP(Y95,Database!$A$2:$L$175,8,FALSE),"-")</f>
        <v>-</v>
      </c>
      <c r="AA95" s="79" t="str">
        <f>IFERROR(VLOOKUP(Y95,Database!$A$2:$L$175,6,FALSE),"-")</f>
        <v>-</v>
      </c>
      <c r="AB95" s="92" t="str">
        <f>IFERROR(VLOOKUP(Y95,Database!$A$2:$L$175,9,FALSE),"-")</f>
        <v>-</v>
      </c>
      <c r="AC95" s="8" t="str">
        <f>IFERROR(VLOOKUP(Y95,Database!$A$2:$S$175,19,FALSE),"-")</f>
        <v>-</v>
      </c>
    </row>
    <row r="96" spans="1:29" ht="15" customHeight="1" thickBot="1" x14ac:dyDescent="0.4">
      <c r="A96" s="88" t="str">
        <f>rengoering!A96</f>
        <v>torsdag</v>
      </c>
      <c r="B96" s="86">
        <v>46233</v>
      </c>
      <c r="C96" s="9"/>
      <c r="D96" s="89" t="str">
        <f>IF(booking!AB96&gt;0,"Y","-")</f>
        <v>Y</v>
      </c>
      <c r="E96" s="95" t="str">
        <f>IF(AND(D96="Y",booking!D96&lt;&gt;booking!E96,booking!E96&gt;0),booking!E96,"-")</f>
        <v>-</v>
      </c>
      <c r="F96" s="8" t="str">
        <f>IFERROR(VLOOKUP(E96,Database!$A$2:$L$175,8,FALSE),"-")</f>
        <v>-</v>
      </c>
      <c r="G96" s="78" t="str">
        <f>IFERROR(VLOOKUP(E96,Database!$A$2:$L$175,6,FALSE),"-")</f>
        <v>-</v>
      </c>
      <c r="H96" s="93" t="str">
        <f>IFERROR(VLOOKUP(E96,Database!$A$2:$L$175,9,FALSE),"-")</f>
        <v>-</v>
      </c>
      <c r="I96" s="112"/>
      <c r="J96" s="96" t="str">
        <f>IF(AND(D96="Y",booking!H96&lt;&gt;booking!I96,booking!I96&gt;0),booking!I96,"-")</f>
        <v>-</v>
      </c>
      <c r="K96" s="78" t="str">
        <f>IFERROR(VLOOKUP(J96,Database!$A$2:$L$175,8,FALSE),"-")</f>
        <v>-</v>
      </c>
      <c r="L96" s="78" t="str">
        <f>IFERROR(VLOOKUP(J96,Database!$A$2:$L$175,6,FALSE),"-")</f>
        <v>-</v>
      </c>
      <c r="M96" s="93" t="str">
        <f>IFERROR(VLOOKUP(J96,Database!$A$2:$L$175,9,FALSE),"-")</f>
        <v>-</v>
      </c>
      <c r="N96" s="209" t="str">
        <f>IFERROR(VLOOKUP(J96,Database!$A$2:$S$175,19,FALSE),"-")</f>
        <v>-</v>
      </c>
      <c r="O96" s="96">
        <f>IF(AND(D96="Y",booking!L96&lt;&gt;booking!M96,booking!M96&gt;0),booking!M96,"-")</f>
        <v>115</v>
      </c>
      <c r="P96" s="78">
        <f>IFERROR(VLOOKUP(O96,Database!$A$2:$L$175,8,FALSE),"-")</f>
        <v>0</v>
      </c>
      <c r="Q96" s="78" t="str">
        <f>IFERROR(VLOOKUP(O96,Database!$A$2:$L$175,6,FALSE),"-")</f>
        <v>DK</v>
      </c>
      <c r="R96" s="82">
        <f>IFERROR(VLOOKUP(O96,Database!$A$2:$L$175,9,FALSE),"-")</f>
        <v>0</v>
      </c>
      <c r="S96" s="209" t="str">
        <f>IFERROR(VLOOKUP(O96,Database!$A$2:$S$175,19,FALSE),"-")</f>
        <v>N??</v>
      </c>
      <c r="T96" s="97" t="str">
        <f>IF(AND(D96="Y",booking!P96&lt;&gt;booking!Q96,booking!Q96&gt;0),booking!Q96,"-")</f>
        <v>-</v>
      </c>
      <c r="U96" s="78" t="str">
        <f>IFERROR(VLOOKUP(T96,Database!$A$2:$L$175,8,FALSE),"-")</f>
        <v>-</v>
      </c>
      <c r="V96" s="78" t="str">
        <f>IFERROR(VLOOKUP(T96,Database!$A$2:$L$175,6,FALSE),"-")</f>
        <v>-</v>
      </c>
      <c r="W96" s="82" t="str">
        <f>IFERROR(VLOOKUP(T96,Database!$A$2:$L$175,9,FALSE),"-")</f>
        <v>-</v>
      </c>
      <c r="X96" s="209" t="str">
        <f>IFERROR(VLOOKUP(T96,Database!$A$2:$S$175,19,FALSE),"-")</f>
        <v>-</v>
      </c>
      <c r="Y96" s="96" t="str">
        <f>IF(AND(D96="Y",booking!T96&lt;&gt;booking!U96,booking!U96&gt;0),booking!U96,"-")</f>
        <v>-</v>
      </c>
      <c r="Z96" s="79" t="str">
        <f>IFERROR(VLOOKUP(Y96,Database!$A$2:$L$175,8,FALSE),"-")</f>
        <v>-</v>
      </c>
      <c r="AA96" s="79" t="str">
        <f>IFERROR(VLOOKUP(Y96,Database!$A$2:$L$175,6,FALSE),"-")</f>
        <v>-</v>
      </c>
      <c r="AB96" s="92" t="str">
        <f>IFERROR(VLOOKUP(Y96,Database!$A$2:$L$175,9,FALSE),"-")</f>
        <v>-</v>
      </c>
      <c r="AC96" s="8" t="str">
        <f>IFERROR(VLOOKUP(Y96,Database!$A$2:$S$175,19,FALSE),"-")</f>
        <v>-</v>
      </c>
    </row>
    <row r="97" spans="1:29" ht="15" customHeight="1" thickBot="1" x14ac:dyDescent="0.4">
      <c r="A97" s="88" t="str">
        <f>rengoering!A97</f>
        <v>fredag</v>
      </c>
      <c r="B97" s="84">
        <v>46234</v>
      </c>
      <c r="C97" s="9"/>
      <c r="D97" s="89" t="str">
        <f>IF(booking!AB97&gt;0,"Y","-")</f>
        <v>Y</v>
      </c>
      <c r="E97" s="95">
        <f>IF(AND(D97="Y",booking!D97&lt;&gt;booking!E97,booking!E97&gt;0),booking!E97,"-")</f>
        <v>94</v>
      </c>
      <c r="F97" s="8">
        <f>IFERROR(VLOOKUP(E97,Database!$A$2:$L$175,8,FALSE),"-")</f>
        <v>0</v>
      </c>
      <c r="G97" s="78" t="str">
        <f>IFERROR(VLOOKUP(E97,Database!$A$2:$L$175,6,FALSE),"-")</f>
        <v>D</v>
      </c>
      <c r="H97" s="93">
        <f>IFERROR(VLOOKUP(E97,Database!$A$2:$L$175,9,FALSE),"-")</f>
        <v>0</v>
      </c>
      <c r="I97" s="112"/>
      <c r="J97" s="96" t="str">
        <f>IF(AND(D97="Y",booking!H97&lt;&gt;booking!I97,booking!I97&gt;0),booking!I97,"-")</f>
        <v>-</v>
      </c>
      <c r="K97" s="78" t="str">
        <f>IFERROR(VLOOKUP(J97,Database!$A$2:$L$175,8,FALSE),"-")</f>
        <v>-</v>
      </c>
      <c r="L97" s="78" t="str">
        <f>IFERROR(VLOOKUP(J97,Database!$A$2:$L$175,6,FALSE),"-")</f>
        <v>-</v>
      </c>
      <c r="M97" s="93" t="str">
        <f>IFERROR(VLOOKUP(J97,Database!$A$2:$L$175,9,FALSE),"-")</f>
        <v>-</v>
      </c>
      <c r="N97" s="209" t="str">
        <f>IFERROR(VLOOKUP(J97,Database!$A$2:$S$175,19,FALSE),"-")</f>
        <v>-</v>
      </c>
      <c r="O97" s="96" t="str">
        <f>IF(AND(D97="Y",booking!L97&lt;&gt;booking!M97,booking!M97&gt;0),booking!M97,"-")</f>
        <v>-</v>
      </c>
      <c r="P97" s="78" t="str">
        <f>IFERROR(VLOOKUP(O97,Database!$A$2:$L$175,8,FALSE),"-")</f>
        <v>-</v>
      </c>
      <c r="Q97" s="78" t="str">
        <f>IFERROR(VLOOKUP(O97,Database!$A$2:$L$175,6,FALSE),"-")</f>
        <v>-</v>
      </c>
      <c r="R97" s="82" t="str">
        <f>IFERROR(VLOOKUP(O97,Database!$A$2:$L$175,9,FALSE),"-")</f>
        <v>-</v>
      </c>
      <c r="S97" s="209" t="str">
        <f>IFERROR(VLOOKUP(O97,Database!$A$2:$S$175,19,FALSE),"-")</f>
        <v>-</v>
      </c>
      <c r="T97" s="97" t="str">
        <f>IF(AND(D97="Y",booking!P97&lt;&gt;booking!Q97,booking!Q97&gt;0),booking!Q97,"-")</f>
        <v>-</v>
      </c>
      <c r="U97" s="78" t="str">
        <f>IFERROR(VLOOKUP(T97,Database!$A$2:$L$175,8,FALSE),"-")</f>
        <v>-</v>
      </c>
      <c r="V97" s="78" t="str">
        <f>IFERROR(VLOOKUP(T97,Database!$A$2:$L$175,6,FALSE),"-")</f>
        <v>-</v>
      </c>
      <c r="W97" s="82" t="str">
        <f>IFERROR(VLOOKUP(T97,Database!$A$2:$L$175,9,FALSE),"-")</f>
        <v>-</v>
      </c>
      <c r="X97" s="209" t="str">
        <f>IFERROR(VLOOKUP(T97,Database!$A$2:$S$175,19,FALSE),"-")</f>
        <v>-</v>
      </c>
      <c r="Y97" s="96" t="str">
        <f>IF(AND(D97="Y",booking!T97&lt;&gt;booking!U97,booking!U97&gt;0),booking!U97,"-")</f>
        <v>-</v>
      </c>
      <c r="Z97" s="79" t="str">
        <f>IFERROR(VLOOKUP(Y97,Database!$A$2:$L$175,8,FALSE),"-")</f>
        <v>-</v>
      </c>
      <c r="AA97" s="79" t="str">
        <f>IFERROR(VLOOKUP(Y97,Database!$A$2:$L$175,6,FALSE),"-")</f>
        <v>-</v>
      </c>
      <c r="AB97" s="92" t="str">
        <f>IFERROR(VLOOKUP(Y97,Database!$A$2:$L$175,9,FALSE),"-")</f>
        <v>-</v>
      </c>
      <c r="AC97" s="8" t="str">
        <f>IFERROR(VLOOKUP(Y97,Database!$A$2:$S$175,19,FALSE),"-")</f>
        <v>-</v>
      </c>
    </row>
    <row r="98" spans="1:29" ht="15" customHeight="1" thickBot="1" x14ac:dyDescent="0.4">
      <c r="A98" s="88" t="str">
        <f>rengoering!A98</f>
        <v>lørdag</v>
      </c>
      <c r="B98" s="86">
        <v>46235</v>
      </c>
      <c r="C98" s="9"/>
      <c r="D98" s="89" t="str">
        <f>IF(booking!AB98&gt;0,"Y","-")</f>
        <v>-</v>
      </c>
      <c r="E98" s="95" t="str">
        <f>IF(AND(D98="Y",booking!D98&lt;&gt;booking!E98,booking!E98&gt;0),booking!E98,"-")</f>
        <v>-</v>
      </c>
      <c r="F98" s="8" t="str">
        <f>IFERROR(VLOOKUP(E98,Database!$A$2:$L$175,8,FALSE),"-")</f>
        <v>-</v>
      </c>
      <c r="G98" s="78" t="str">
        <f>IFERROR(VLOOKUP(E98,Database!$A$2:$L$175,6,FALSE),"-")</f>
        <v>-</v>
      </c>
      <c r="H98" s="93" t="str">
        <f>IFERROR(VLOOKUP(E98,Database!$A$2:$L$175,9,FALSE),"-")</f>
        <v>-</v>
      </c>
      <c r="I98" s="112"/>
      <c r="J98" s="96" t="str">
        <f>IF(AND(D98="Y",booking!H98&lt;&gt;booking!I98,booking!I98&gt;0),booking!I98,"-")</f>
        <v>-</v>
      </c>
      <c r="K98" s="78" t="str">
        <f>IFERROR(VLOOKUP(J98,Database!$A$2:$L$175,8,FALSE),"-")</f>
        <v>-</v>
      </c>
      <c r="L98" s="78" t="str">
        <f>IFERROR(VLOOKUP(J98,Database!$A$2:$L$175,6,FALSE),"-")</f>
        <v>-</v>
      </c>
      <c r="M98" s="93" t="str">
        <f>IFERROR(VLOOKUP(J98,Database!$A$2:$L$175,9,FALSE),"-")</f>
        <v>-</v>
      </c>
      <c r="N98" s="209" t="str">
        <f>IFERROR(VLOOKUP(J98,Database!$A$2:$S$175,19,FALSE),"-")</f>
        <v>-</v>
      </c>
      <c r="O98" s="96" t="str">
        <f>IF(AND(D98="Y",booking!L98&lt;&gt;booking!M98,booking!M98&gt;0),booking!M98,"-")</f>
        <v>-</v>
      </c>
      <c r="P98" s="78" t="str">
        <f>IFERROR(VLOOKUP(O98,Database!$A$2:$L$175,8,FALSE),"-")</f>
        <v>-</v>
      </c>
      <c r="Q98" s="78" t="str">
        <f>IFERROR(VLOOKUP(O98,Database!$A$2:$L$175,6,FALSE),"-")</f>
        <v>-</v>
      </c>
      <c r="R98" s="82" t="str">
        <f>IFERROR(VLOOKUP(O98,Database!$A$2:$L$175,9,FALSE),"-")</f>
        <v>-</v>
      </c>
      <c r="S98" s="209" t="str">
        <f>IFERROR(VLOOKUP(O98,Database!$A$2:$S$175,19,FALSE),"-")</f>
        <v>-</v>
      </c>
      <c r="T98" s="97" t="str">
        <f>IF(AND(D98="Y",booking!P98&lt;&gt;booking!Q98,booking!Q98&gt;0),booking!Q98,"-")</f>
        <v>-</v>
      </c>
      <c r="U98" s="78" t="str">
        <f>IFERROR(VLOOKUP(T98,Database!$A$2:$L$175,8,FALSE),"-")</f>
        <v>-</v>
      </c>
      <c r="V98" s="78" t="str">
        <f>IFERROR(VLOOKUP(T98,Database!$A$2:$L$175,6,FALSE),"-")</f>
        <v>-</v>
      </c>
      <c r="W98" s="82" t="str">
        <f>IFERROR(VLOOKUP(T98,Database!$A$2:$L$175,9,FALSE),"-")</f>
        <v>-</v>
      </c>
      <c r="X98" s="209" t="str">
        <f>IFERROR(VLOOKUP(T98,Database!$A$2:$S$175,19,FALSE),"-")</f>
        <v>-</v>
      </c>
      <c r="Y98" s="96" t="str">
        <f>IF(AND(D98="Y",booking!T98&lt;&gt;booking!U98,booking!U98&gt;0),booking!U98,"-")</f>
        <v>-</v>
      </c>
      <c r="Z98" s="79" t="str">
        <f>IFERROR(VLOOKUP(Y98,Database!$A$2:$L$175,8,FALSE),"-")</f>
        <v>-</v>
      </c>
      <c r="AA98" s="79" t="str">
        <f>IFERROR(VLOOKUP(Y98,Database!$A$2:$L$175,6,FALSE),"-")</f>
        <v>-</v>
      </c>
      <c r="AB98" s="92" t="str">
        <f>IFERROR(VLOOKUP(Y98,Database!$A$2:$L$175,9,FALSE),"-")</f>
        <v>-</v>
      </c>
      <c r="AC98" s="8" t="str">
        <f>IFERROR(VLOOKUP(Y98,Database!$A$2:$S$175,19,FALSE),"-")</f>
        <v>-</v>
      </c>
    </row>
    <row r="99" spans="1:29" ht="15" customHeight="1" thickBot="1" x14ac:dyDescent="0.4">
      <c r="A99" s="88" t="str">
        <f>rengoering!A99</f>
        <v>søndag</v>
      </c>
      <c r="B99" s="84">
        <v>46236</v>
      </c>
      <c r="C99" s="9"/>
      <c r="D99" s="89" t="str">
        <f>IF(booking!AB99&gt;0,"Y","-")</f>
        <v>Y</v>
      </c>
      <c r="E99" s="95" t="str">
        <f>IF(AND(D99="Y",booking!D99&lt;&gt;booking!E99,booking!E99&gt;0),booking!E99,"-")</f>
        <v>-</v>
      </c>
      <c r="F99" s="8" t="str">
        <f>IFERROR(VLOOKUP(E99,Database!$A$2:$L$175,8,FALSE),"-")</f>
        <v>-</v>
      </c>
      <c r="G99" s="78" t="str">
        <f>IFERROR(VLOOKUP(E99,Database!$A$2:$L$175,6,FALSE),"-")</f>
        <v>-</v>
      </c>
      <c r="H99" s="93" t="str">
        <f>IFERROR(VLOOKUP(E99,Database!$A$2:$L$175,9,FALSE),"-")</f>
        <v>-</v>
      </c>
      <c r="I99" s="112"/>
      <c r="J99" s="96">
        <f>IF(AND(D99="Y",booking!H99&lt;&gt;booking!I99,booking!I99&gt;0),booking!I99,"-")</f>
        <v>74</v>
      </c>
      <c r="K99" s="78">
        <f>IFERROR(VLOOKUP(J99,Database!$A$2:$L$175,8,FALSE),"-")</f>
        <v>0</v>
      </c>
      <c r="L99" s="78" t="str">
        <f>IFERROR(VLOOKUP(J99,Database!$A$2:$L$175,6,FALSE),"-")</f>
        <v>DK</v>
      </c>
      <c r="M99" s="93">
        <f>IFERROR(VLOOKUP(J99,Database!$A$2:$L$175,9,FALSE),"-")</f>
        <v>0</v>
      </c>
      <c r="N99" s="209" t="str">
        <f>IFERROR(VLOOKUP(J99,Database!$A$2:$S$175,19,FALSE),"-")</f>
        <v>Y</v>
      </c>
      <c r="O99" s="96">
        <f>IF(AND(D99="Y",booking!L99&lt;&gt;booking!M99,booking!M99&gt;0),booking!M99,"-")</f>
        <v>74</v>
      </c>
      <c r="P99" s="78">
        <f>IFERROR(VLOOKUP(O99,Database!$A$2:$L$175,8,FALSE),"-")</f>
        <v>0</v>
      </c>
      <c r="Q99" s="78" t="str">
        <f>IFERROR(VLOOKUP(O99,Database!$A$2:$L$175,6,FALSE),"-")</f>
        <v>DK</v>
      </c>
      <c r="R99" s="82">
        <f>IFERROR(VLOOKUP(O99,Database!$A$2:$L$175,9,FALSE),"-")</f>
        <v>0</v>
      </c>
      <c r="S99" s="209" t="str">
        <f>IFERROR(VLOOKUP(O99,Database!$A$2:$S$175,19,FALSE),"-")</f>
        <v>Y</v>
      </c>
      <c r="T99" s="97" t="str">
        <f>IF(AND(D99="Y",booking!P99&lt;&gt;booking!Q99,booking!Q99&gt;0),booking!Q99,"-")</f>
        <v>-</v>
      </c>
      <c r="U99" s="78" t="str">
        <f>IFERROR(VLOOKUP(T99,Database!$A$2:$L$175,8,FALSE),"-")</f>
        <v>-</v>
      </c>
      <c r="V99" s="78" t="str">
        <f>IFERROR(VLOOKUP(T99,Database!$A$2:$L$175,6,FALSE),"-")</f>
        <v>-</v>
      </c>
      <c r="W99" s="82" t="str">
        <f>IFERROR(VLOOKUP(T99,Database!$A$2:$L$175,9,FALSE),"-")</f>
        <v>-</v>
      </c>
      <c r="X99" s="209" t="str">
        <f>IFERROR(VLOOKUP(T99,Database!$A$2:$S$175,19,FALSE),"-")</f>
        <v>-</v>
      </c>
      <c r="Y99" s="96" t="str">
        <f>IF(AND(D99="Y",booking!T99&lt;&gt;booking!U99,booking!U99&gt;0),booking!U99,"-")</f>
        <v>-</v>
      </c>
      <c r="Z99" s="79" t="str">
        <f>IFERROR(VLOOKUP(Y99,Database!$A$2:$L$175,8,FALSE),"-")</f>
        <v>-</v>
      </c>
      <c r="AA99" s="79" t="str">
        <f>IFERROR(VLOOKUP(Y99,Database!$A$2:$L$175,6,FALSE),"-")</f>
        <v>-</v>
      </c>
      <c r="AB99" s="92" t="str">
        <f>IFERROR(VLOOKUP(Y99,Database!$A$2:$L$175,9,FALSE),"-")</f>
        <v>-</v>
      </c>
      <c r="AC99" s="8" t="str">
        <f>IFERROR(VLOOKUP(Y99,Database!$A$2:$S$175,19,FALSE),"-")</f>
        <v>-</v>
      </c>
    </row>
    <row r="100" spans="1:29" ht="15" customHeight="1" thickBot="1" x14ac:dyDescent="0.4">
      <c r="A100" s="88" t="str">
        <f>rengoering!A100</f>
        <v>mandag</v>
      </c>
      <c r="B100" s="86">
        <v>46237</v>
      </c>
      <c r="C100" s="9"/>
      <c r="D100" s="89" t="str">
        <f>IF(booking!AB100&gt;0,"Y","-")</f>
        <v>Y</v>
      </c>
      <c r="E100" s="95">
        <f>IF(AND(D100="Y",booking!D100&lt;&gt;booking!E100,booking!E100&gt;0),booking!E100,"-")</f>
        <v>11</v>
      </c>
      <c r="F100" s="8">
        <f>IFERROR(VLOOKUP(E100,Database!$A$2:$L$175,8,FALSE),"-")</f>
        <v>0</v>
      </c>
      <c r="G100" s="78" t="str">
        <f>IFERROR(VLOOKUP(E100,Database!$A$2:$L$175,6,FALSE),"-")</f>
        <v>D</v>
      </c>
      <c r="H100" s="93">
        <f>IFERROR(VLOOKUP(E100,Database!$A$2:$L$175,9,FALSE),"-")</f>
        <v>0</v>
      </c>
      <c r="I100" s="112"/>
      <c r="J100" s="96" t="str">
        <f>IF(AND(D100="Y",booking!H100&lt;&gt;booking!I100,booking!I100&gt;0),booking!I100,"-")</f>
        <v>-</v>
      </c>
      <c r="K100" s="78" t="str">
        <f>IFERROR(VLOOKUP(J100,Database!$A$2:$L$175,8,FALSE),"-")</f>
        <v>-</v>
      </c>
      <c r="L100" s="78" t="str">
        <f>IFERROR(VLOOKUP(J100,Database!$A$2:$L$175,6,FALSE),"-")</f>
        <v>-</v>
      </c>
      <c r="M100" s="93" t="str">
        <f>IFERROR(VLOOKUP(J100,Database!$A$2:$L$175,9,FALSE),"-")</f>
        <v>-</v>
      </c>
      <c r="N100" s="209" t="str">
        <f>IFERROR(VLOOKUP(J100,Database!$A$2:$S$175,19,FALSE),"-")</f>
        <v>-</v>
      </c>
      <c r="O100" s="96" t="str">
        <f>IF(AND(D100="Y",booking!L100&lt;&gt;booking!M100,booking!M100&gt;0),booking!M100,"-")</f>
        <v>-</v>
      </c>
      <c r="P100" s="78" t="str">
        <f>IFERROR(VLOOKUP(O100,Database!$A$2:$L$175,8,FALSE),"-")</f>
        <v>-</v>
      </c>
      <c r="Q100" s="78" t="str">
        <f>IFERROR(VLOOKUP(O100,Database!$A$2:$L$175,6,FALSE),"-")</f>
        <v>-</v>
      </c>
      <c r="R100" s="82" t="str">
        <f>IFERROR(VLOOKUP(O100,Database!$A$2:$L$175,9,FALSE),"-")</f>
        <v>-</v>
      </c>
      <c r="S100" s="209" t="str">
        <f>IFERROR(VLOOKUP(O100,Database!$A$2:$S$175,19,FALSE),"-")</f>
        <v>-</v>
      </c>
      <c r="T100" s="97" t="str">
        <f>IF(AND(D100="Y",booking!P100&lt;&gt;booking!Q100,booking!Q100&gt;0),booking!Q100,"-")</f>
        <v>-</v>
      </c>
      <c r="U100" s="78" t="str">
        <f>IFERROR(VLOOKUP(T100,Database!$A$2:$L$175,8,FALSE),"-")</f>
        <v>-</v>
      </c>
      <c r="V100" s="78" t="str">
        <f>IFERROR(VLOOKUP(T100,Database!$A$2:$L$175,6,FALSE),"-")</f>
        <v>-</v>
      </c>
      <c r="W100" s="82" t="str">
        <f>IFERROR(VLOOKUP(T100,Database!$A$2:$L$175,9,FALSE),"-")</f>
        <v>-</v>
      </c>
      <c r="X100" s="209" t="str">
        <f>IFERROR(VLOOKUP(T100,Database!$A$2:$S$175,19,FALSE),"-")</f>
        <v>-</v>
      </c>
      <c r="Y100" s="96">
        <f>IF(AND(D100="Y",booking!T100&lt;&gt;booking!U100,booking!U100&gt;0),booking!U100,"-")</f>
        <v>50</v>
      </c>
      <c r="Z100" s="79">
        <f>IFERROR(VLOOKUP(Y100,Database!$A$2:$L$175,8,FALSE),"-")</f>
        <v>0</v>
      </c>
      <c r="AA100" s="79" t="str">
        <f>IFERROR(VLOOKUP(Y100,Database!$A$2:$L$175,6,FALSE),"-")</f>
        <v>DK</v>
      </c>
      <c r="AB100" s="92" t="str">
        <f>IFERROR(VLOOKUP(Y100,Database!$A$2:$L$175,9,FALSE),"-")</f>
        <v>dobb</v>
      </c>
      <c r="AC100" s="8" t="str">
        <f>IFERROR(VLOOKUP(Y100,Database!$A$2:$S$175,19,FALSE),"-")</f>
        <v>N</v>
      </c>
    </row>
    <row r="101" spans="1:29" ht="15" customHeight="1" thickBot="1" x14ac:dyDescent="0.4">
      <c r="A101" s="88" t="str">
        <f>rengoering!A101</f>
        <v>tirsdag</v>
      </c>
      <c r="B101" s="84">
        <v>46238</v>
      </c>
      <c r="C101" s="9"/>
      <c r="D101" s="89" t="str">
        <f>IF(booking!AB101&gt;0,"Y","-")</f>
        <v>-</v>
      </c>
      <c r="E101" s="95" t="str">
        <f>IF(AND(D101="Y",booking!D101&lt;&gt;booking!E101,booking!E101&gt;0),booking!E101,"-")</f>
        <v>-</v>
      </c>
      <c r="F101" s="8" t="str">
        <f>IFERROR(VLOOKUP(E101,Database!$A$2:$L$175,8,FALSE),"-")</f>
        <v>-</v>
      </c>
      <c r="G101" s="78" t="str">
        <f>IFERROR(VLOOKUP(E101,Database!$A$2:$L$175,6,FALSE),"-")</f>
        <v>-</v>
      </c>
      <c r="H101" s="93" t="str">
        <f>IFERROR(VLOOKUP(E101,Database!$A$2:$L$175,9,FALSE),"-")</f>
        <v>-</v>
      </c>
      <c r="I101" s="112"/>
      <c r="J101" s="96" t="str">
        <f>IF(AND(D101="Y",booking!H101&lt;&gt;booking!I101,booking!I101&gt;0),booking!I101,"-")</f>
        <v>-</v>
      </c>
      <c r="K101" s="78" t="str">
        <f>IFERROR(VLOOKUP(J101,Database!$A$2:$L$175,8,FALSE),"-")</f>
        <v>-</v>
      </c>
      <c r="L101" s="78" t="str">
        <f>IFERROR(VLOOKUP(J101,Database!$A$2:$L$175,6,FALSE),"-")</f>
        <v>-</v>
      </c>
      <c r="M101" s="93" t="str">
        <f>IFERROR(VLOOKUP(J101,Database!$A$2:$L$175,9,FALSE),"-")</f>
        <v>-</v>
      </c>
      <c r="N101" s="209" t="str">
        <f>IFERROR(VLOOKUP(J101,Database!$A$2:$S$175,19,FALSE),"-")</f>
        <v>-</v>
      </c>
      <c r="O101" s="96" t="str">
        <f>IF(AND(D101="Y",booking!L101&lt;&gt;booking!M101,booking!M101&gt;0),booking!M101,"-")</f>
        <v>-</v>
      </c>
      <c r="P101" s="78" t="str">
        <f>IFERROR(VLOOKUP(O101,Database!$A$2:$L$175,8,FALSE),"-")</f>
        <v>-</v>
      </c>
      <c r="Q101" s="78" t="str">
        <f>IFERROR(VLOOKUP(O101,Database!$A$2:$L$175,6,FALSE),"-")</f>
        <v>-</v>
      </c>
      <c r="R101" s="82" t="str">
        <f>IFERROR(VLOOKUP(O101,Database!$A$2:$L$175,9,FALSE),"-")</f>
        <v>-</v>
      </c>
      <c r="S101" s="209" t="str">
        <f>IFERROR(VLOOKUP(O101,Database!$A$2:$S$175,19,FALSE),"-")</f>
        <v>-</v>
      </c>
      <c r="T101" s="97" t="str">
        <f>IF(AND(D101="Y",booking!P101&lt;&gt;booking!Q101,booking!Q101&gt;0),booking!Q101,"-")</f>
        <v>-</v>
      </c>
      <c r="U101" s="78" t="str">
        <f>IFERROR(VLOOKUP(T101,Database!$A$2:$L$175,8,FALSE),"-")</f>
        <v>-</v>
      </c>
      <c r="V101" s="78" t="str">
        <f>IFERROR(VLOOKUP(T101,Database!$A$2:$L$175,6,FALSE),"-")</f>
        <v>-</v>
      </c>
      <c r="W101" s="82" t="str">
        <f>IFERROR(VLOOKUP(T101,Database!$A$2:$L$175,9,FALSE),"-")</f>
        <v>-</v>
      </c>
      <c r="X101" s="209" t="str">
        <f>IFERROR(VLOOKUP(T101,Database!$A$2:$S$175,19,FALSE),"-")</f>
        <v>-</v>
      </c>
      <c r="Y101" s="96" t="str">
        <f>IF(AND(D101="Y",booking!T101&lt;&gt;booking!U101,booking!U101&gt;0),booking!U101,"-")</f>
        <v>-</v>
      </c>
      <c r="Z101" s="79" t="str">
        <f>IFERROR(VLOOKUP(Y101,Database!$A$2:$L$175,8,FALSE),"-")</f>
        <v>-</v>
      </c>
      <c r="AA101" s="79" t="str">
        <f>IFERROR(VLOOKUP(Y101,Database!$A$2:$L$175,6,FALSE),"-")</f>
        <v>-</v>
      </c>
      <c r="AB101" s="92" t="str">
        <f>IFERROR(VLOOKUP(Y101,Database!$A$2:$L$175,9,FALSE),"-")</f>
        <v>-</v>
      </c>
      <c r="AC101" s="8" t="str">
        <f>IFERROR(VLOOKUP(Y101,Database!$A$2:$S$175,19,FALSE),"-")</f>
        <v>-</v>
      </c>
    </row>
    <row r="102" spans="1:29" ht="15" customHeight="1" thickBot="1" x14ac:dyDescent="0.4">
      <c r="A102" s="88" t="str">
        <f>rengoering!A102</f>
        <v>onsdag</v>
      </c>
      <c r="B102" s="86">
        <v>46239</v>
      </c>
      <c r="C102" s="9"/>
      <c r="D102" s="89" t="str">
        <f>IF(booking!AB102&gt;0,"Y","-")</f>
        <v>-</v>
      </c>
      <c r="E102" s="95" t="str">
        <f>IF(AND(D102="Y",booking!D102&lt;&gt;booking!E102,booking!E102&gt;0),booking!E102,"-")</f>
        <v>-</v>
      </c>
      <c r="F102" s="8" t="str">
        <f>IFERROR(VLOOKUP(E102,Database!$A$2:$L$175,8,FALSE),"-")</f>
        <v>-</v>
      </c>
      <c r="G102" s="78" t="str">
        <f>IFERROR(VLOOKUP(E102,Database!$A$2:$L$175,6,FALSE),"-")</f>
        <v>-</v>
      </c>
      <c r="H102" s="93" t="str">
        <f>IFERROR(VLOOKUP(E102,Database!$A$2:$L$175,9,FALSE),"-")</f>
        <v>-</v>
      </c>
      <c r="I102" s="112"/>
      <c r="J102" s="96" t="str">
        <f>IF(AND(D102="Y",booking!H102&lt;&gt;booking!I102,booking!I102&gt;0),booking!I102,"-")</f>
        <v>-</v>
      </c>
      <c r="K102" s="78" t="str">
        <f>IFERROR(VLOOKUP(J102,Database!$A$2:$L$175,8,FALSE),"-")</f>
        <v>-</v>
      </c>
      <c r="L102" s="78" t="str">
        <f>IFERROR(VLOOKUP(J102,Database!$A$2:$L$175,6,FALSE),"-")</f>
        <v>-</v>
      </c>
      <c r="M102" s="93" t="str">
        <f>IFERROR(VLOOKUP(J102,Database!$A$2:$L$175,9,FALSE),"-")</f>
        <v>-</v>
      </c>
      <c r="N102" s="209" t="str">
        <f>IFERROR(VLOOKUP(J102,Database!$A$2:$S$175,19,FALSE),"-")</f>
        <v>-</v>
      </c>
      <c r="O102" s="96" t="str">
        <f>IF(AND(D102="Y",booking!L102&lt;&gt;booking!M102,booking!M102&gt;0),booking!M102,"-")</f>
        <v>-</v>
      </c>
      <c r="P102" s="78" t="str">
        <f>IFERROR(VLOOKUP(O102,Database!$A$2:$L$175,8,FALSE),"-")</f>
        <v>-</v>
      </c>
      <c r="Q102" s="78" t="str">
        <f>IFERROR(VLOOKUP(O102,Database!$A$2:$L$175,6,FALSE),"-")</f>
        <v>-</v>
      </c>
      <c r="R102" s="82" t="str">
        <f>IFERROR(VLOOKUP(O102,Database!$A$2:$L$175,9,FALSE),"-")</f>
        <v>-</v>
      </c>
      <c r="S102" s="209" t="str">
        <f>IFERROR(VLOOKUP(O102,Database!$A$2:$S$175,19,FALSE),"-")</f>
        <v>-</v>
      </c>
      <c r="T102" s="97" t="str">
        <f>IF(AND(D102="Y",booking!P102&lt;&gt;booking!Q102,booking!Q102&gt;0),booking!Q102,"-")</f>
        <v>-</v>
      </c>
      <c r="U102" s="78" t="str">
        <f>IFERROR(VLOOKUP(T102,Database!$A$2:$L$175,8,FALSE),"-")</f>
        <v>-</v>
      </c>
      <c r="V102" s="78" t="str">
        <f>IFERROR(VLOOKUP(T102,Database!$A$2:$L$175,6,FALSE),"-")</f>
        <v>-</v>
      </c>
      <c r="W102" s="82" t="str">
        <f>IFERROR(VLOOKUP(T102,Database!$A$2:$L$175,9,FALSE),"-")</f>
        <v>-</v>
      </c>
      <c r="X102" s="209" t="str">
        <f>IFERROR(VLOOKUP(T102,Database!$A$2:$S$175,19,FALSE),"-")</f>
        <v>-</v>
      </c>
      <c r="Y102" s="96" t="str">
        <f>IF(AND(D102="Y",booking!T102&lt;&gt;booking!U102,booking!U102&gt;0),booking!U102,"-")</f>
        <v>-</v>
      </c>
      <c r="Z102" s="79" t="str">
        <f>IFERROR(VLOOKUP(Y102,Database!$A$2:$L$175,8,FALSE),"-")</f>
        <v>-</v>
      </c>
      <c r="AA102" s="79" t="str">
        <f>IFERROR(VLOOKUP(Y102,Database!$A$2:$L$175,6,FALSE),"-")</f>
        <v>-</v>
      </c>
      <c r="AB102" s="92" t="str">
        <f>IFERROR(VLOOKUP(Y102,Database!$A$2:$L$175,9,FALSE),"-")</f>
        <v>-</v>
      </c>
      <c r="AC102" s="8" t="str">
        <f>IFERROR(VLOOKUP(Y102,Database!$A$2:$S$175,19,FALSE),"-")</f>
        <v>-</v>
      </c>
    </row>
    <row r="103" spans="1:29" ht="15" customHeight="1" thickBot="1" x14ac:dyDescent="0.4">
      <c r="A103" s="88" t="str">
        <f>rengoering!A103</f>
        <v>torsdag</v>
      </c>
      <c r="B103" s="84">
        <v>46240</v>
      </c>
      <c r="C103" s="9"/>
      <c r="D103" s="89" t="str">
        <f>IF(booking!AB103&gt;0,"Y","-")</f>
        <v>Y</v>
      </c>
      <c r="E103" s="95" t="str">
        <f>IF(AND(D103="Y",booking!D103&lt;&gt;booking!E103,booking!E103&gt;0),booking!E103,"-")</f>
        <v>-</v>
      </c>
      <c r="F103" s="8" t="str">
        <f>IFERROR(VLOOKUP(E103,Database!$A$2:$L$175,8,FALSE),"-")</f>
        <v>-</v>
      </c>
      <c r="G103" s="78" t="str">
        <f>IFERROR(VLOOKUP(E103,Database!$A$2:$L$175,6,FALSE),"-")</f>
        <v>-</v>
      </c>
      <c r="H103" s="93" t="str">
        <f>IFERROR(VLOOKUP(E103,Database!$A$2:$L$175,9,FALSE),"-")</f>
        <v>-</v>
      </c>
      <c r="I103" s="112"/>
      <c r="J103" s="96">
        <f>IF(AND(D103="Y",booking!H103&lt;&gt;booking!I103,booking!I103&gt;0),booking!I103,"-")</f>
        <v>32</v>
      </c>
      <c r="K103" s="78">
        <f>IFERROR(VLOOKUP(J103,Database!$A$2:$L$175,8,FALSE),"-")</f>
        <v>0</v>
      </c>
      <c r="L103" s="78" t="str">
        <f>IFERROR(VLOOKUP(J103,Database!$A$2:$L$175,6,FALSE),"-")</f>
        <v>D</v>
      </c>
      <c r="M103" s="93">
        <f>IFERROR(VLOOKUP(J103,Database!$A$2:$L$175,9,FALSE),"-")</f>
        <v>0</v>
      </c>
      <c r="N103" s="209" t="str">
        <f>IFERROR(VLOOKUP(J103,Database!$A$2:$S$175,19,FALSE),"-")</f>
        <v>N</v>
      </c>
      <c r="O103" s="96">
        <f>IF(AND(D103="Y",booking!L103&lt;&gt;booking!M103,booking!M103&gt;0),booking!M103,"-")</f>
        <v>33</v>
      </c>
      <c r="P103" s="78">
        <f>IFERROR(VLOOKUP(O103,Database!$A$2:$L$175,8,FALSE),"-")</f>
        <v>0</v>
      </c>
      <c r="Q103" s="78" t="str">
        <f>IFERROR(VLOOKUP(O103,Database!$A$2:$L$175,6,FALSE),"-")</f>
        <v>D</v>
      </c>
      <c r="R103" s="82">
        <f>IFERROR(VLOOKUP(O103,Database!$A$2:$L$175,9,FALSE),"-")</f>
        <v>0</v>
      </c>
      <c r="S103" s="209" t="str">
        <f>IFERROR(VLOOKUP(O103,Database!$A$2:$S$175,19,FALSE),"-")</f>
        <v>N</v>
      </c>
      <c r="T103" s="97">
        <f>IF(AND(D103="Y",booking!P103&lt;&gt;booking!Q103,booking!Q103&gt;0),booking!Q103,"-")</f>
        <v>45</v>
      </c>
      <c r="U103" s="78">
        <f>IFERROR(VLOOKUP(T103,Database!$A$2:$L$175,8,FALSE),"-")</f>
        <v>0</v>
      </c>
      <c r="V103" s="78" t="str">
        <f>IFERROR(VLOOKUP(T103,Database!$A$2:$L$175,6,FALSE),"-")</f>
        <v>S</v>
      </c>
      <c r="W103" s="82">
        <f>IFERROR(VLOOKUP(T103,Database!$A$2:$L$175,9,FALSE),"-")</f>
        <v>0</v>
      </c>
      <c r="X103" s="209" t="str">
        <f>IFERROR(VLOOKUP(T103,Database!$A$2:$S$175,19,FALSE),"-")</f>
        <v>N</v>
      </c>
      <c r="Y103" s="96" t="str">
        <f>IF(AND(D103="Y",booking!T103&lt;&gt;booking!U103,booking!U103&gt;0),booking!U103,"-")</f>
        <v>-</v>
      </c>
      <c r="Z103" s="79" t="str">
        <f>IFERROR(VLOOKUP(Y103,Database!$A$2:$L$175,8,FALSE),"-")</f>
        <v>-</v>
      </c>
      <c r="AA103" s="79" t="str">
        <f>IFERROR(VLOOKUP(Y103,Database!$A$2:$L$175,6,FALSE),"-")</f>
        <v>-</v>
      </c>
      <c r="AB103" s="92" t="str">
        <f>IFERROR(VLOOKUP(Y103,Database!$A$2:$L$175,9,FALSE),"-")</f>
        <v>-</v>
      </c>
      <c r="AC103" s="8" t="str">
        <f>IFERROR(VLOOKUP(Y103,Database!$A$2:$S$175,19,FALSE),"-")</f>
        <v>-</v>
      </c>
    </row>
    <row r="104" spans="1:29" ht="15" customHeight="1" thickBot="1" x14ac:dyDescent="0.4">
      <c r="A104" s="88" t="str">
        <f>rengoering!A104</f>
        <v>fredag</v>
      </c>
      <c r="B104" s="86">
        <v>46241</v>
      </c>
      <c r="C104" s="9"/>
      <c r="D104" s="89" t="str">
        <f>IF(booking!AB104&gt;0,"Y","-")</f>
        <v>Y</v>
      </c>
      <c r="E104" s="95" t="str">
        <f>IF(AND(D104="Y",booking!D104&lt;&gt;booking!E104,booking!E104&gt;0),booking!E104,"-")</f>
        <v>-</v>
      </c>
      <c r="F104" s="8" t="str">
        <f>IFERROR(VLOOKUP(E104,Database!$A$2:$L$175,8,FALSE),"-")</f>
        <v>-</v>
      </c>
      <c r="G104" s="78" t="str">
        <f>IFERROR(VLOOKUP(E104,Database!$A$2:$L$175,6,FALSE),"-")</f>
        <v>-</v>
      </c>
      <c r="H104" s="93" t="str">
        <f>IFERROR(VLOOKUP(E104,Database!$A$2:$L$175,9,FALSE),"-")</f>
        <v>-</v>
      </c>
      <c r="I104" s="112"/>
      <c r="J104" s="96" t="str">
        <f>IF(AND(D104="Y",booking!H104&lt;&gt;booking!I104,booking!I104&gt;0),booking!I104,"-")</f>
        <v>-</v>
      </c>
      <c r="K104" s="78" t="str">
        <f>IFERROR(VLOOKUP(J104,Database!$A$2:$L$175,8,FALSE),"-")</f>
        <v>-</v>
      </c>
      <c r="L104" s="78" t="str">
        <f>IFERROR(VLOOKUP(J104,Database!$A$2:$L$175,6,FALSE),"-")</f>
        <v>-</v>
      </c>
      <c r="M104" s="93" t="str">
        <f>IFERROR(VLOOKUP(J104,Database!$A$2:$L$175,9,FALSE),"-")</f>
        <v>-</v>
      </c>
      <c r="N104" s="209" t="str">
        <f>IFERROR(VLOOKUP(J104,Database!$A$2:$S$175,19,FALSE),"-")</f>
        <v>-</v>
      </c>
      <c r="O104" s="96" t="str">
        <f>IF(AND(D104="Y",booking!L104&lt;&gt;booking!M104,booking!M104&gt;0),booking!M104,"-")</f>
        <v>-</v>
      </c>
      <c r="P104" s="78" t="str">
        <f>IFERROR(VLOOKUP(O104,Database!$A$2:$L$175,8,FALSE),"-")</f>
        <v>-</v>
      </c>
      <c r="Q104" s="78" t="str">
        <f>IFERROR(VLOOKUP(O104,Database!$A$2:$L$175,6,FALSE),"-")</f>
        <v>-</v>
      </c>
      <c r="R104" s="82" t="str">
        <f>IFERROR(VLOOKUP(O104,Database!$A$2:$L$175,9,FALSE),"-")</f>
        <v>-</v>
      </c>
      <c r="S104" s="209" t="str">
        <f>IFERROR(VLOOKUP(O104,Database!$A$2:$S$175,19,FALSE),"-")</f>
        <v>-</v>
      </c>
      <c r="T104" s="97" t="str">
        <f>IF(AND(D104="Y",booking!P104&lt;&gt;booking!Q104,booking!Q104&gt;0),booking!Q104,"-")</f>
        <v>-</v>
      </c>
      <c r="U104" s="78" t="str">
        <f>IFERROR(VLOOKUP(T104,Database!$A$2:$L$175,8,FALSE),"-")</f>
        <v>-</v>
      </c>
      <c r="V104" s="78" t="str">
        <f>IFERROR(VLOOKUP(T104,Database!$A$2:$L$175,6,FALSE),"-")</f>
        <v>-</v>
      </c>
      <c r="W104" s="82" t="str">
        <f>IFERROR(VLOOKUP(T104,Database!$A$2:$L$175,9,FALSE),"-")</f>
        <v>-</v>
      </c>
      <c r="X104" s="209" t="str">
        <f>IFERROR(VLOOKUP(T104,Database!$A$2:$S$175,19,FALSE),"-")</f>
        <v>-</v>
      </c>
      <c r="Y104" s="96">
        <f>IF(AND(D104="Y",booking!T104&lt;&gt;booking!U104,booking!U104&gt;0),booking!U104,"-")</f>
        <v>92</v>
      </c>
      <c r="Z104" s="79" t="str">
        <f>IFERROR(VLOOKUP(Y104,Database!$A$2:$L$175,8,FALSE),"-")</f>
        <v>1400</v>
      </c>
      <c r="AA104" s="79" t="str">
        <f>IFERROR(VLOOKUP(Y104,Database!$A$2:$L$175,6,FALSE),"-")</f>
        <v>DK</v>
      </c>
      <c r="AB104" s="92" t="str">
        <f>IFERROR(VLOOKUP(Y104,Database!$A$2:$L$175,9,FALSE),"-")</f>
        <v>sing</v>
      </c>
      <c r="AC104" s="8" t="str">
        <f>IFERROR(VLOOKUP(Y104,Database!$A$2:$S$175,19,FALSE),"-")</f>
        <v>YY</v>
      </c>
    </row>
    <row r="105" spans="1:29" ht="15" customHeight="1" thickBot="1" x14ac:dyDescent="0.4">
      <c r="A105" s="88" t="str">
        <f>rengoering!A105</f>
        <v>lørdag</v>
      </c>
      <c r="B105" s="84">
        <v>46242</v>
      </c>
      <c r="C105" s="9"/>
      <c r="D105" s="89" t="str">
        <f>IF(booking!AB105&gt;0,"Y","-")</f>
        <v>-</v>
      </c>
      <c r="E105" s="95" t="str">
        <f>IF(AND(D105="Y",booking!D105&lt;&gt;booking!E105,booking!E105&gt;0),booking!E105,"-")</f>
        <v>-</v>
      </c>
      <c r="F105" s="8" t="str">
        <f>IFERROR(VLOOKUP(E105,Database!$A$2:$L$175,8,FALSE),"-")</f>
        <v>-</v>
      </c>
      <c r="G105" s="78" t="str">
        <f>IFERROR(VLOOKUP(E105,Database!$A$2:$L$175,6,FALSE),"-")</f>
        <v>-</v>
      </c>
      <c r="H105" s="93" t="str">
        <f>IFERROR(VLOOKUP(E105,Database!$A$2:$L$175,9,FALSE),"-")</f>
        <v>-</v>
      </c>
      <c r="I105" s="112"/>
      <c r="J105" s="96" t="str">
        <f>IF(AND(D105="Y",booking!H105&lt;&gt;booking!I105,booking!I105&gt;0),booking!I105,"-")</f>
        <v>-</v>
      </c>
      <c r="K105" s="78" t="str">
        <f>IFERROR(VLOOKUP(J105,Database!$A$2:$L$175,8,FALSE),"-")</f>
        <v>-</v>
      </c>
      <c r="L105" s="78" t="str">
        <f>IFERROR(VLOOKUP(J105,Database!$A$2:$L$175,6,FALSE),"-")</f>
        <v>-</v>
      </c>
      <c r="M105" s="93" t="str">
        <f>IFERROR(VLOOKUP(J105,Database!$A$2:$L$175,9,FALSE),"-")</f>
        <v>-</v>
      </c>
      <c r="N105" s="209" t="str">
        <f>IFERROR(VLOOKUP(J105,Database!$A$2:$S$175,19,FALSE),"-")</f>
        <v>-</v>
      </c>
      <c r="O105" s="96" t="str">
        <f>IF(AND(D105="Y",booking!L105&lt;&gt;booking!M105,booking!M105&gt;0),booking!M105,"-")</f>
        <v>-</v>
      </c>
      <c r="P105" s="78" t="str">
        <f>IFERROR(VLOOKUP(O105,Database!$A$2:$L$175,8,FALSE),"-")</f>
        <v>-</v>
      </c>
      <c r="Q105" s="78" t="str">
        <f>IFERROR(VLOOKUP(O105,Database!$A$2:$L$175,6,FALSE),"-")</f>
        <v>-</v>
      </c>
      <c r="R105" s="82" t="str">
        <f>IFERROR(VLOOKUP(O105,Database!$A$2:$L$175,9,FALSE),"-")</f>
        <v>-</v>
      </c>
      <c r="S105" s="209" t="str">
        <f>IFERROR(VLOOKUP(O105,Database!$A$2:$S$175,19,FALSE),"-")</f>
        <v>-</v>
      </c>
      <c r="T105" s="97" t="str">
        <f>IF(AND(D105="Y",booking!P105&lt;&gt;booking!Q105,booking!Q105&gt;0),booking!Q105,"-")</f>
        <v>-</v>
      </c>
      <c r="U105" s="78" t="str">
        <f>IFERROR(VLOOKUP(T105,Database!$A$2:$L$175,8,FALSE),"-")</f>
        <v>-</v>
      </c>
      <c r="V105" s="78" t="str">
        <f>IFERROR(VLOOKUP(T105,Database!$A$2:$L$175,6,FALSE),"-")</f>
        <v>-</v>
      </c>
      <c r="W105" s="82" t="str">
        <f>IFERROR(VLOOKUP(T105,Database!$A$2:$L$175,9,FALSE),"-")</f>
        <v>-</v>
      </c>
      <c r="X105" s="209" t="str">
        <f>IFERROR(VLOOKUP(T105,Database!$A$2:$S$175,19,FALSE),"-")</f>
        <v>-</v>
      </c>
      <c r="Y105" s="96" t="str">
        <f>IF(AND(D105="Y",booking!T105&lt;&gt;booking!U105,booking!U105&gt;0),booking!U105,"-")</f>
        <v>-</v>
      </c>
      <c r="Z105" s="79" t="str">
        <f>IFERROR(VLOOKUP(Y105,Database!$A$2:$L$175,8,FALSE),"-")</f>
        <v>-</v>
      </c>
      <c r="AA105" s="79" t="str">
        <f>IFERROR(VLOOKUP(Y105,Database!$A$2:$L$175,6,FALSE),"-")</f>
        <v>-</v>
      </c>
      <c r="AB105" s="92" t="str">
        <f>IFERROR(VLOOKUP(Y105,Database!$A$2:$L$175,9,FALSE),"-")</f>
        <v>-</v>
      </c>
      <c r="AC105" s="8" t="str">
        <f>IFERROR(VLOOKUP(Y105,Database!$A$2:$S$175,19,FALSE),"-")</f>
        <v>-</v>
      </c>
    </row>
    <row r="106" spans="1:29" ht="15" customHeight="1" thickBot="1" x14ac:dyDescent="0.4">
      <c r="A106" s="88" t="str">
        <f>rengoering!A106</f>
        <v>søndag</v>
      </c>
      <c r="B106" s="86">
        <v>46243</v>
      </c>
      <c r="C106" s="9"/>
      <c r="D106" s="89" t="str">
        <f>IF(booking!AB106&gt;0,"Y","-")</f>
        <v>Y</v>
      </c>
      <c r="E106" s="95" t="str">
        <f>IF(AND(D106="Y",booking!D106&lt;&gt;booking!E106,booking!E106&gt;0),booking!E106,"-")</f>
        <v>-</v>
      </c>
      <c r="F106" s="8" t="str">
        <f>IFERROR(VLOOKUP(E106,Database!$A$2:$L$175,8,FALSE),"-")</f>
        <v>-</v>
      </c>
      <c r="G106" s="78" t="str">
        <f>IFERROR(VLOOKUP(E106,Database!$A$2:$L$175,6,FALSE),"-")</f>
        <v>-</v>
      </c>
      <c r="H106" s="93" t="str">
        <f>IFERROR(VLOOKUP(E106,Database!$A$2:$L$175,9,FALSE),"-")</f>
        <v>-</v>
      </c>
      <c r="I106" s="112"/>
      <c r="J106" s="96" t="str">
        <f>IF(AND(D106="Y",booking!H106&lt;&gt;booking!I106,booking!I106&gt;0),booking!I106,"-")</f>
        <v>-</v>
      </c>
      <c r="K106" s="78" t="str">
        <f>IFERROR(VLOOKUP(J106,Database!$A$2:$L$175,8,FALSE),"-")</f>
        <v>-</v>
      </c>
      <c r="L106" s="78" t="str">
        <f>IFERROR(VLOOKUP(J106,Database!$A$2:$L$175,6,FALSE),"-")</f>
        <v>-</v>
      </c>
      <c r="M106" s="93" t="str">
        <f>IFERROR(VLOOKUP(J106,Database!$A$2:$L$175,9,FALSE),"-")</f>
        <v>-</v>
      </c>
      <c r="N106" s="209" t="str">
        <f>IFERROR(VLOOKUP(J106,Database!$A$2:$S$175,19,FALSE),"-")</f>
        <v>-</v>
      </c>
      <c r="O106" s="96" t="str">
        <f>IF(AND(D106="Y",booking!L106&lt;&gt;booking!M106,booking!M106&gt;0),booking!M106,"-")</f>
        <v>-</v>
      </c>
      <c r="P106" s="78" t="str">
        <f>IFERROR(VLOOKUP(O106,Database!$A$2:$L$175,8,FALSE),"-")</f>
        <v>-</v>
      </c>
      <c r="Q106" s="78" t="str">
        <f>IFERROR(VLOOKUP(O106,Database!$A$2:$L$175,6,FALSE),"-")</f>
        <v>-</v>
      </c>
      <c r="R106" s="82" t="str">
        <f>IFERROR(VLOOKUP(O106,Database!$A$2:$L$175,9,FALSE),"-")</f>
        <v>-</v>
      </c>
      <c r="S106" s="209" t="str">
        <f>IFERROR(VLOOKUP(O106,Database!$A$2:$S$175,19,FALSE),"-")</f>
        <v>-</v>
      </c>
      <c r="T106" s="97">
        <f>IF(AND(D106="Y",booking!P106&lt;&gt;booking!Q106,booking!Q106&gt;0),booking!Q106,"-")</f>
        <v>114</v>
      </c>
      <c r="U106" s="78">
        <f>IFERROR(VLOOKUP(T106,Database!$A$2:$L$175,8,FALSE),"-")</f>
        <v>0</v>
      </c>
      <c r="V106" s="78" t="str">
        <f>IFERROR(VLOOKUP(T106,Database!$A$2:$L$175,6,FALSE),"-")</f>
        <v>DK</v>
      </c>
      <c r="W106" s="82">
        <f>IFERROR(VLOOKUP(T106,Database!$A$2:$L$175,9,FALSE),"-")</f>
        <v>0</v>
      </c>
      <c r="X106" s="209" t="str">
        <f>IFERROR(VLOOKUP(T106,Database!$A$2:$S$175,19,FALSE),"-")</f>
        <v>Y</v>
      </c>
      <c r="Y106" s="96" t="str">
        <f>IF(AND(D106="Y",booking!T106&lt;&gt;booking!U106,booking!U106&gt;0),booking!U106,"-")</f>
        <v>-</v>
      </c>
      <c r="Z106" s="79" t="str">
        <f>IFERROR(VLOOKUP(Y106,Database!$A$2:$L$175,8,FALSE),"-")</f>
        <v>-</v>
      </c>
      <c r="AA106" s="79" t="str">
        <f>IFERROR(VLOOKUP(Y106,Database!$A$2:$L$175,6,FALSE),"-")</f>
        <v>-</v>
      </c>
      <c r="AB106" s="92" t="str">
        <f>IFERROR(VLOOKUP(Y106,Database!$A$2:$L$175,9,FALSE),"-")</f>
        <v>-</v>
      </c>
      <c r="AC106" s="8" t="str">
        <f>IFERROR(VLOOKUP(Y106,Database!$A$2:$S$175,19,FALSE),"-")</f>
        <v>-</v>
      </c>
    </row>
    <row r="107" spans="1:29" ht="15" customHeight="1" thickBot="1" x14ac:dyDescent="0.4">
      <c r="A107" s="88" t="str">
        <f>rengoering!A107</f>
        <v>mandag</v>
      </c>
      <c r="B107" s="84">
        <v>46244</v>
      </c>
      <c r="C107" s="9"/>
      <c r="D107" s="89" t="str">
        <f>IF(booking!AB107&gt;0,"Y","-")</f>
        <v>Y</v>
      </c>
      <c r="E107" s="95">
        <f>IF(AND(D107="Y",booking!D107&lt;&gt;booking!E107,booking!E107&gt;0),booking!E107,"-")</f>
        <v>59</v>
      </c>
      <c r="F107" s="8" t="str">
        <f>IFERROR(VLOOKUP(E107,Database!$A$2:$L$175,8,FALSE),"-")</f>
        <v>1200</v>
      </c>
      <c r="G107" s="78" t="str">
        <f>IFERROR(VLOOKUP(E107,Database!$A$2:$L$175,6,FALSE),"-")</f>
        <v>DK</v>
      </c>
      <c r="H107" s="93" t="str">
        <f>IFERROR(VLOOKUP(E107,Database!$A$2:$L$175,9,FALSE),"-")</f>
        <v>dobb</v>
      </c>
      <c r="I107" s="112"/>
      <c r="J107" s="96" t="str">
        <f>IF(AND(D107="Y",booking!H107&lt;&gt;booking!I107,booking!I107&gt;0),booking!I107,"-")</f>
        <v>-</v>
      </c>
      <c r="K107" s="78" t="str">
        <f>IFERROR(VLOOKUP(J107,Database!$A$2:$L$175,8,FALSE),"-")</f>
        <v>-</v>
      </c>
      <c r="L107" s="78" t="str">
        <f>IFERROR(VLOOKUP(J107,Database!$A$2:$L$175,6,FALSE),"-")</f>
        <v>-</v>
      </c>
      <c r="M107" s="93" t="str">
        <f>IFERROR(VLOOKUP(J107,Database!$A$2:$L$175,9,FALSE),"-")</f>
        <v>-</v>
      </c>
      <c r="N107" s="209" t="str">
        <f>IFERROR(VLOOKUP(J107,Database!$A$2:$S$175,19,FALSE),"-")</f>
        <v>-</v>
      </c>
      <c r="O107" s="96" t="str">
        <f>IF(AND(D107="Y",booking!L107&lt;&gt;booking!M107,booking!M107&gt;0),booking!M107,"-")</f>
        <v>-</v>
      </c>
      <c r="P107" s="78" t="str">
        <f>IFERROR(VLOOKUP(O107,Database!$A$2:$L$175,8,FALSE),"-")</f>
        <v>-</v>
      </c>
      <c r="Q107" s="78" t="str">
        <f>IFERROR(VLOOKUP(O107,Database!$A$2:$L$175,6,FALSE),"-")</f>
        <v>-</v>
      </c>
      <c r="R107" s="82" t="str">
        <f>IFERROR(VLOOKUP(O107,Database!$A$2:$L$175,9,FALSE),"-")</f>
        <v>-</v>
      </c>
      <c r="S107" s="209" t="str">
        <f>IFERROR(VLOOKUP(O107,Database!$A$2:$S$175,19,FALSE),"-")</f>
        <v>-</v>
      </c>
      <c r="T107" s="97" t="str">
        <f>IF(AND(D107="Y",booking!P107&lt;&gt;booking!Q107,booking!Q107&gt;0),booking!Q107,"-")</f>
        <v>-</v>
      </c>
      <c r="U107" s="78" t="str">
        <f>IFERROR(VLOOKUP(T107,Database!$A$2:$L$175,8,FALSE),"-")</f>
        <v>-</v>
      </c>
      <c r="V107" s="78" t="str">
        <f>IFERROR(VLOOKUP(T107,Database!$A$2:$L$175,6,FALSE),"-")</f>
        <v>-</v>
      </c>
      <c r="W107" s="82" t="str">
        <f>IFERROR(VLOOKUP(T107,Database!$A$2:$L$175,9,FALSE),"-")</f>
        <v>-</v>
      </c>
      <c r="X107" s="209" t="str">
        <f>IFERROR(VLOOKUP(T107,Database!$A$2:$S$175,19,FALSE),"-")</f>
        <v>-</v>
      </c>
      <c r="Y107" s="96" t="str">
        <f>IF(AND(D107="Y",booking!T107&lt;&gt;booking!U107,booking!U107&gt;0),booking!U107,"-")</f>
        <v>-</v>
      </c>
      <c r="Z107" s="79" t="str">
        <f>IFERROR(VLOOKUP(Y107,Database!$A$2:$L$175,8,FALSE),"-")</f>
        <v>-</v>
      </c>
      <c r="AA107" s="79" t="str">
        <f>IFERROR(VLOOKUP(Y107,Database!$A$2:$L$175,6,FALSE),"-")</f>
        <v>-</v>
      </c>
      <c r="AB107" s="92" t="str">
        <f>IFERROR(VLOOKUP(Y107,Database!$A$2:$L$175,9,FALSE),"-")</f>
        <v>-</v>
      </c>
      <c r="AC107" s="8" t="str">
        <f>IFERROR(VLOOKUP(Y107,Database!$A$2:$S$175,19,FALSE),"-")</f>
        <v>-</v>
      </c>
    </row>
    <row r="108" spans="1:29" ht="15" customHeight="1" thickBot="1" x14ac:dyDescent="0.4">
      <c r="A108" s="88" t="str">
        <f>rengoering!A108</f>
        <v>tirsdag</v>
      </c>
      <c r="B108" s="86">
        <v>46245</v>
      </c>
      <c r="C108" s="9"/>
      <c r="D108" s="89" t="str">
        <f>IF(booking!AB108&gt;0,"Y","-")</f>
        <v>-</v>
      </c>
      <c r="E108" s="95" t="str">
        <f>IF(AND(D108="Y",booking!D108&lt;&gt;booking!E108,booking!E108&gt;0),booking!E108,"-")</f>
        <v>-</v>
      </c>
      <c r="F108" s="8" t="str">
        <f>IFERROR(VLOOKUP(E108,Database!$A$2:$L$175,8,FALSE),"-")</f>
        <v>-</v>
      </c>
      <c r="G108" s="78" t="str">
        <f>IFERROR(VLOOKUP(E108,Database!$A$2:$L$175,6,FALSE),"-")</f>
        <v>-</v>
      </c>
      <c r="H108" s="93" t="str">
        <f>IFERROR(VLOOKUP(E108,Database!$A$2:$L$175,9,FALSE),"-")</f>
        <v>-</v>
      </c>
      <c r="I108" s="112"/>
      <c r="J108" s="96" t="str">
        <f>IF(AND(D108="Y",booking!H108&lt;&gt;booking!I108,booking!I108&gt;0),booking!I108,"-")</f>
        <v>-</v>
      </c>
      <c r="K108" s="78" t="str">
        <f>IFERROR(VLOOKUP(J108,Database!$A$2:$L$175,8,FALSE),"-")</f>
        <v>-</v>
      </c>
      <c r="L108" s="78" t="str">
        <f>IFERROR(VLOOKUP(J108,Database!$A$2:$L$175,6,FALSE),"-")</f>
        <v>-</v>
      </c>
      <c r="M108" s="93" t="str">
        <f>IFERROR(VLOOKUP(J108,Database!$A$2:$L$175,9,FALSE),"-")</f>
        <v>-</v>
      </c>
      <c r="N108" s="209" t="str">
        <f>IFERROR(VLOOKUP(J108,Database!$A$2:$S$175,19,FALSE),"-")</f>
        <v>-</v>
      </c>
      <c r="O108" s="96" t="str">
        <f>IF(AND(D108="Y",booking!L108&lt;&gt;booking!M108,booking!M108&gt;0),booking!M108,"-")</f>
        <v>-</v>
      </c>
      <c r="P108" s="78" t="str">
        <f>IFERROR(VLOOKUP(O108,Database!$A$2:$L$175,8,FALSE),"-")</f>
        <v>-</v>
      </c>
      <c r="Q108" s="78" t="str">
        <f>IFERROR(VLOOKUP(O108,Database!$A$2:$L$175,6,FALSE),"-")</f>
        <v>-</v>
      </c>
      <c r="R108" s="82" t="str">
        <f>IFERROR(VLOOKUP(O108,Database!$A$2:$L$175,9,FALSE),"-")</f>
        <v>-</v>
      </c>
      <c r="S108" s="209" t="str">
        <f>IFERROR(VLOOKUP(O108,Database!$A$2:$S$175,19,FALSE),"-")</f>
        <v>-</v>
      </c>
      <c r="T108" s="97" t="str">
        <f>IF(AND(D108="Y",booking!P108&lt;&gt;booking!Q108,booking!Q108&gt;0),booking!Q108,"-")</f>
        <v>-</v>
      </c>
      <c r="U108" s="78" t="str">
        <f>IFERROR(VLOOKUP(T108,Database!$A$2:$L$175,8,FALSE),"-")</f>
        <v>-</v>
      </c>
      <c r="V108" s="78" t="str">
        <f>IFERROR(VLOOKUP(T108,Database!$A$2:$L$175,6,FALSE),"-")</f>
        <v>-</v>
      </c>
      <c r="W108" s="82" t="str">
        <f>IFERROR(VLOOKUP(T108,Database!$A$2:$L$175,9,FALSE),"-")</f>
        <v>-</v>
      </c>
      <c r="X108" s="209" t="str">
        <f>IFERROR(VLOOKUP(T108,Database!$A$2:$S$175,19,FALSE),"-")</f>
        <v>-</v>
      </c>
      <c r="Y108" s="96" t="str">
        <f>IF(AND(D108="Y",booking!T108&lt;&gt;booking!U108,booking!U108&gt;0),booking!U108,"-")</f>
        <v>-</v>
      </c>
      <c r="Z108" s="79" t="str">
        <f>IFERROR(VLOOKUP(Y108,Database!$A$2:$L$175,8,FALSE),"-")</f>
        <v>-</v>
      </c>
      <c r="AA108" s="79" t="str">
        <f>IFERROR(VLOOKUP(Y108,Database!$A$2:$L$175,6,FALSE),"-")</f>
        <v>-</v>
      </c>
      <c r="AB108" s="92" t="str">
        <f>IFERROR(VLOOKUP(Y108,Database!$A$2:$L$175,9,FALSE),"-")</f>
        <v>-</v>
      </c>
      <c r="AC108" s="8" t="str">
        <f>IFERROR(VLOOKUP(Y108,Database!$A$2:$S$175,19,FALSE),"-")</f>
        <v>-</v>
      </c>
    </row>
    <row r="109" spans="1:29" ht="15" customHeight="1" thickBot="1" x14ac:dyDescent="0.4">
      <c r="A109" s="88" t="str">
        <f>rengoering!A109</f>
        <v>onsdag</v>
      </c>
      <c r="B109" s="84">
        <v>46246</v>
      </c>
      <c r="C109" s="9"/>
      <c r="D109" s="89" t="str">
        <f>IF(booking!AB109&gt;0,"Y","-")</f>
        <v>Y</v>
      </c>
      <c r="E109" s="95" t="str">
        <f>IF(AND(D109="Y",booking!D109&lt;&gt;booking!E109,booking!E109&gt;0),booking!E109,"-")</f>
        <v>-</v>
      </c>
      <c r="F109" s="8" t="str">
        <f>IFERROR(VLOOKUP(E109,Database!$A$2:$L$175,8,FALSE),"-")</f>
        <v>-</v>
      </c>
      <c r="G109" s="78" t="str">
        <f>IFERROR(VLOOKUP(E109,Database!$A$2:$L$175,6,FALSE),"-")</f>
        <v>-</v>
      </c>
      <c r="H109" s="93" t="str">
        <f>IFERROR(VLOOKUP(E109,Database!$A$2:$L$175,9,FALSE),"-")</f>
        <v>-</v>
      </c>
      <c r="I109" s="112"/>
      <c r="J109" s="96" t="str">
        <f>IF(AND(D109="Y",booking!H109&lt;&gt;booking!I109,booking!I109&gt;0),booking!I109,"-")</f>
        <v>-</v>
      </c>
      <c r="K109" s="78" t="str">
        <f>IFERROR(VLOOKUP(J109,Database!$A$2:$L$175,8,FALSE),"-")</f>
        <v>-</v>
      </c>
      <c r="L109" s="78" t="str">
        <f>IFERROR(VLOOKUP(J109,Database!$A$2:$L$175,6,FALSE),"-")</f>
        <v>-</v>
      </c>
      <c r="M109" s="93" t="str">
        <f>IFERROR(VLOOKUP(J109,Database!$A$2:$L$175,9,FALSE),"-")</f>
        <v>-</v>
      </c>
      <c r="N109" s="209" t="str">
        <f>IFERROR(VLOOKUP(J109,Database!$A$2:$S$175,19,FALSE),"-")</f>
        <v>-</v>
      </c>
      <c r="O109" s="96" t="str">
        <f>IF(AND(D109="Y",booking!L109&lt;&gt;booking!M109,booking!M109&gt;0),booking!M109,"-")</f>
        <v>-</v>
      </c>
      <c r="P109" s="78" t="str">
        <f>IFERROR(VLOOKUP(O109,Database!$A$2:$L$175,8,FALSE),"-")</f>
        <v>-</v>
      </c>
      <c r="Q109" s="78" t="str">
        <f>IFERROR(VLOOKUP(O109,Database!$A$2:$L$175,6,FALSE),"-")</f>
        <v>-</v>
      </c>
      <c r="R109" s="82" t="str">
        <f>IFERROR(VLOOKUP(O109,Database!$A$2:$L$175,9,FALSE),"-")</f>
        <v>-</v>
      </c>
      <c r="S109" s="209" t="str">
        <f>IFERROR(VLOOKUP(O109,Database!$A$2:$S$175,19,FALSE),"-")</f>
        <v>-</v>
      </c>
      <c r="T109" s="97">
        <f>IF(AND(D109="Y",booking!P109&lt;&gt;booking!Q109,booking!Q109&gt;0),booking!Q109,"-")</f>
        <v>4</v>
      </c>
      <c r="U109" s="78">
        <f>IFERROR(VLOOKUP(T109,Database!$A$2:$L$175,8,FALSE),"-")</f>
        <v>0</v>
      </c>
      <c r="V109" s="78" t="str">
        <f>IFERROR(VLOOKUP(T109,Database!$A$2:$L$175,6,FALSE),"-")</f>
        <v>DK</v>
      </c>
      <c r="W109" s="82">
        <f>IFERROR(VLOOKUP(T109,Database!$A$2:$L$175,9,FALSE),"-")</f>
        <v>0</v>
      </c>
      <c r="X109" s="209" t="str">
        <f>IFERROR(VLOOKUP(T109,Database!$A$2:$S$175,19,FALSE),"-")</f>
        <v>Y</v>
      </c>
      <c r="Y109" s="96">
        <f>IF(AND(D109="Y",booking!T109&lt;&gt;booking!U109,booking!U109&gt;0),booking!U109,"-")</f>
        <v>4</v>
      </c>
      <c r="Z109" s="79">
        <f>IFERROR(VLOOKUP(Y109,Database!$A$2:$L$175,8,FALSE),"-")</f>
        <v>0</v>
      </c>
      <c r="AA109" s="79" t="str">
        <f>IFERROR(VLOOKUP(Y109,Database!$A$2:$L$175,6,FALSE),"-")</f>
        <v>DK</v>
      </c>
      <c r="AB109" s="92">
        <f>IFERROR(VLOOKUP(Y109,Database!$A$2:$L$175,9,FALSE),"-")</f>
        <v>0</v>
      </c>
      <c r="AC109" s="8" t="str">
        <f>IFERROR(VLOOKUP(Y109,Database!$A$2:$S$175,19,FALSE),"-")</f>
        <v>Y</v>
      </c>
    </row>
    <row r="110" spans="1:29" ht="15" customHeight="1" thickBot="1" x14ac:dyDescent="0.4">
      <c r="A110" s="88" t="str">
        <f>rengoering!A110</f>
        <v>torsdag</v>
      </c>
      <c r="B110" s="86">
        <v>46247</v>
      </c>
      <c r="C110" s="9"/>
      <c r="D110" s="89" t="str">
        <f>IF(booking!AB110&gt;0,"Y","-")</f>
        <v>Y</v>
      </c>
      <c r="E110" s="95" t="str">
        <f>IF(AND(D110="Y",booking!D110&lt;&gt;booking!E110,booking!E110&gt;0),booking!E110,"-")</f>
        <v>-</v>
      </c>
      <c r="F110" s="8" t="str">
        <f>IFERROR(VLOOKUP(E110,Database!$A$2:$L$175,8,FALSE),"-")</f>
        <v>-</v>
      </c>
      <c r="G110" s="78" t="str">
        <f>IFERROR(VLOOKUP(E110,Database!$A$2:$L$175,6,FALSE),"-")</f>
        <v>-</v>
      </c>
      <c r="H110" s="93" t="str">
        <f>IFERROR(VLOOKUP(E110,Database!$A$2:$L$175,9,FALSE),"-")</f>
        <v>-</v>
      </c>
      <c r="I110" s="112"/>
      <c r="J110" s="96">
        <f>IF(AND(D110="Y",booking!H110&lt;&gt;booking!I110,booking!I110&gt;0),booking!I110,"-")</f>
        <v>46</v>
      </c>
      <c r="K110" s="78" t="str">
        <f>IFERROR(VLOOKUP(J110,Database!$A$2:$L$175,8,FALSE),"-")</f>
        <v>1430</v>
      </c>
      <c r="L110" s="78" t="str">
        <f>IFERROR(VLOOKUP(J110,Database!$A$2:$L$175,6,FALSE),"-")</f>
        <v>DK</v>
      </c>
      <c r="M110" s="93" t="str">
        <f>IFERROR(VLOOKUP(J110,Database!$A$2:$L$175,9,FALSE),"-")</f>
        <v>dobb</v>
      </c>
      <c r="N110" s="209" t="str">
        <f>IFERROR(VLOOKUP(J110,Database!$A$2:$S$175,19,FALSE),"-")</f>
        <v>maybe</v>
      </c>
      <c r="O110" s="96">
        <f>IF(AND(D110="Y",booking!L110&lt;&gt;booking!M110,booking!M110&gt;0),booking!M110,"-")</f>
        <v>23</v>
      </c>
      <c r="P110" s="78" t="str">
        <f>IFERROR(VLOOKUP(O110,Database!$A$2:$L$175,8,FALSE),"-")</f>
        <v>1430</v>
      </c>
      <c r="Q110" s="78" t="str">
        <f>IFERROR(VLOOKUP(O110,Database!$A$2:$L$175,6,FALSE),"-")</f>
        <v>DK</v>
      </c>
      <c r="R110" s="82" t="str">
        <f>IFERROR(VLOOKUP(O110,Database!$A$2:$L$175,9,FALSE),"-")</f>
        <v>dobb</v>
      </c>
      <c r="S110" s="209" t="str">
        <f>IFERROR(VLOOKUP(O110,Database!$A$2:$S$175,19,FALSE),"-")</f>
        <v>N</v>
      </c>
      <c r="T110" s="97" t="str">
        <f>IF(AND(D110="Y",booking!P110&lt;&gt;booking!Q110,booking!Q110&gt;0),booking!Q110,"-")</f>
        <v>-</v>
      </c>
      <c r="U110" s="78" t="str">
        <f>IFERROR(VLOOKUP(T110,Database!$A$2:$L$175,8,FALSE),"-")</f>
        <v>-</v>
      </c>
      <c r="V110" s="78" t="str">
        <f>IFERROR(VLOOKUP(T110,Database!$A$2:$L$175,6,FALSE),"-")</f>
        <v>-</v>
      </c>
      <c r="W110" s="82" t="str">
        <f>IFERROR(VLOOKUP(T110,Database!$A$2:$L$175,9,FALSE),"-")</f>
        <v>-</v>
      </c>
      <c r="X110" s="209" t="str">
        <f>IFERROR(VLOOKUP(T110,Database!$A$2:$S$175,19,FALSE),"-")</f>
        <v>-</v>
      </c>
      <c r="Y110" s="96" t="str">
        <f>IF(AND(D110="Y",booking!T110&lt;&gt;booking!U110,booking!U110&gt;0),booking!U110,"-")</f>
        <v>-</v>
      </c>
      <c r="Z110" s="79" t="str">
        <f>IFERROR(VLOOKUP(Y110,Database!$A$2:$L$175,8,FALSE),"-")</f>
        <v>-</v>
      </c>
      <c r="AA110" s="79" t="str">
        <f>IFERROR(VLOOKUP(Y110,Database!$A$2:$L$175,6,FALSE),"-")</f>
        <v>-</v>
      </c>
      <c r="AB110" s="92" t="str">
        <f>IFERROR(VLOOKUP(Y110,Database!$A$2:$L$175,9,FALSE),"-")</f>
        <v>-</v>
      </c>
      <c r="AC110" s="8" t="str">
        <f>IFERROR(VLOOKUP(Y110,Database!$A$2:$S$175,19,FALSE),"-")</f>
        <v>-</v>
      </c>
    </row>
    <row r="111" spans="1:29" ht="15" customHeight="1" thickBot="1" x14ac:dyDescent="0.4">
      <c r="A111" s="88" t="str">
        <f>rengoering!A111</f>
        <v>fredag</v>
      </c>
      <c r="B111" s="84">
        <v>46248</v>
      </c>
      <c r="C111" s="9"/>
      <c r="D111" s="89" t="str">
        <f>IF(booking!AB111&gt;0,"Y","-")</f>
        <v>Y</v>
      </c>
      <c r="E111" s="95">
        <f>IF(AND(D111="Y",booking!D111&lt;&gt;booking!E111,booking!E111&gt;0),booking!E111,"-")</f>
        <v>121</v>
      </c>
      <c r="F111" s="8">
        <f>IFERROR(VLOOKUP(E111,Database!$A$2:$L$175,8,FALSE),"-")</f>
        <v>0</v>
      </c>
      <c r="G111" s="78" t="str">
        <f>IFERROR(VLOOKUP(E111,Database!$A$2:$L$175,6,FALSE),"-")</f>
        <v>DK</v>
      </c>
      <c r="H111" s="93">
        <f>IFERROR(VLOOKUP(E111,Database!$A$2:$L$175,9,FALSE),"-")</f>
        <v>0</v>
      </c>
      <c r="I111" s="112"/>
      <c r="J111" s="96" t="str">
        <f>IF(AND(D111="Y",booking!H111&lt;&gt;booking!I111,booking!I111&gt;0),booking!I111,"-")</f>
        <v>-</v>
      </c>
      <c r="K111" s="78" t="str">
        <f>IFERROR(VLOOKUP(J111,Database!$A$2:$L$175,8,FALSE),"-")</f>
        <v>-</v>
      </c>
      <c r="L111" s="78" t="str">
        <f>IFERROR(VLOOKUP(J111,Database!$A$2:$L$175,6,FALSE),"-")</f>
        <v>-</v>
      </c>
      <c r="M111" s="93" t="str">
        <f>IFERROR(VLOOKUP(J111,Database!$A$2:$L$175,9,FALSE),"-")</f>
        <v>-</v>
      </c>
      <c r="N111" s="209" t="str">
        <f>IFERROR(VLOOKUP(J111,Database!$A$2:$S$175,19,FALSE),"-")</f>
        <v>-</v>
      </c>
      <c r="O111" s="96" t="str">
        <f>IF(AND(D111="Y",booking!L111&lt;&gt;booking!M111,booking!M111&gt;0),booking!M111,"-")</f>
        <v>-</v>
      </c>
      <c r="P111" s="78" t="str">
        <f>IFERROR(VLOOKUP(O111,Database!$A$2:$L$175,8,FALSE),"-")</f>
        <v>-</v>
      </c>
      <c r="Q111" s="78" t="str">
        <f>IFERROR(VLOOKUP(O111,Database!$A$2:$L$175,6,FALSE),"-")</f>
        <v>-</v>
      </c>
      <c r="R111" s="82" t="str">
        <f>IFERROR(VLOOKUP(O111,Database!$A$2:$L$175,9,FALSE),"-")</f>
        <v>-</v>
      </c>
      <c r="S111" s="209" t="str">
        <f>IFERROR(VLOOKUP(O111,Database!$A$2:$S$175,19,FALSE),"-")</f>
        <v>-</v>
      </c>
      <c r="T111" s="97" t="str">
        <f>IF(AND(D111="Y",booking!P111&lt;&gt;booking!Q111,booking!Q111&gt;0),booking!Q111,"-")</f>
        <v>-</v>
      </c>
      <c r="U111" s="78" t="str">
        <f>IFERROR(VLOOKUP(T111,Database!$A$2:$L$175,8,FALSE),"-")</f>
        <v>-</v>
      </c>
      <c r="V111" s="78" t="str">
        <f>IFERROR(VLOOKUP(T111,Database!$A$2:$L$175,6,FALSE),"-")</f>
        <v>-</v>
      </c>
      <c r="W111" s="82" t="str">
        <f>IFERROR(VLOOKUP(T111,Database!$A$2:$L$175,9,FALSE),"-")</f>
        <v>-</v>
      </c>
      <c r="X111" s="209" t="str">
        <f>IFERROR(VLOOKUP(T111,Database!$A$2:$S$175,19,FALSE),"-")</f>
        <v>-</v>
      </c>
      <c r="Y111" s="96" t="str">
        <f>IF(AND(D111="Y",booking!T111&lt;&gt;booking!U111,booking!U111&gt;0),booking!U111,"-")</f>
        <v>-</v>
      </c>
      <c r="Z111" s="79" t="str">
        <f>IFERROR(VLOOKUP(Y111,Database!$A$2:$L$175,8,FALSE),"-")</f>
        <v>-</v>
      </c>
      <c r="AA111" s="79" t="str">
        <f>IFERROR(VLOOKUP(Y111,Database!$A$2:$L$175,6,FALSE),"-")</f>
        <v>-</v>
      </c>
      <c r="AB111" s="92" t="str">
        <f>IFERROR(VLOOKUP(Y111,Database!$A$2:$L$175,9,FALSE),"-")</f>
        <v>-</v>
      </c>
      <c r="AC111" s="8" t="str">
        <f>IFERROR(VLOOKUP(Y111,Database!$A$2:$S$175,19,FALSE),"-")</f>
        <v>-</v>
      </c>
    </row>
    <row r="112" spans="1:29" ht="15" customHeight="1" thickBot="1" x14ac:dyDescent="0.4">
      <c r="A112" s="88" t="str">
        <f>rengoering!A112</f>
        <v>lørdag</v>
      </c>
      <c r="B112" s="86">
        <v>46249</v>
      </c>
      <c r="C112" s="9"/>
      <c r="D112" s="89" t="str">
        <f>IF(booking!AB112&gt;0,"Y","-")</f>
        <v>-</v>
      </c>
      <c r="E112" s="95" t="str">
        <f>IF(AND(D112="Y",booking!D112&lt;&gt;booking!E112,booking!E112&gt;0),booking!E112,"-")</f>
        <v>-</v>
      </c>
      <c r="F112" s="8" t="str">
        <f>IFERROR(VLOOKUP(E112,Database!$A$2:$L$175,8,FALSE),"-")</f>
        <v>-</v>
      </c>
      <c r="G112" s="78" t="str">
        <f>IFERROR(VLOOKUP(E112,Database!$A$2:$L$175,6,FALSE),"-")</f>
        <v>-</v>
      </c>
      <c r="H112" s="93" t="str">
        <f>IFERROR(VLOOKUP(E112,Database!$A$2:$L$175,9,FALSE),"-")</f>
        <v>-</v>
      </c>
      <c r="I112" s="112"/>
      <c r="J112" s="96" t="str">
        <f>IF(AND(D112="Y",booking!H112&lt;&gt;booking!I112,booking!I112&gt;0),booking!I112,"-")</f>
        <v>-</v>
      </c>
      <c r="K112" s="78" t="str">
        <f>IFERROR(VLOOKUP(J112,Database!$A$2:$L$175,8,FALSE),"-")</f>
        <v>-</v>
      </c>
      <c r="L112" s="78" t="str">
        <f>IFERROR(VLOOKUP(J112,Database!$A$2:$L$175,6,FALSE),"-")</f>
        <v>-</v>
      </c>
      <c r="M112" s="93" t="str">
        <f>IFERROR(VLOOKUP(J112,Database!$A$2:$L$175,9,FALSE),"-")</f>
        <v>-</v>
      </c>
      <c r="N112" s="209" t="str">
        <f>IFERROR(VLOOKUP(J112,Database!$A$2:$S$175,19,FALSE),"-")</f>
        <v>-</v>
      </c>
      <c r="O112" s="96" t="str">
        <f>IF(AND(D112="Y",booking!L112&lt;&gt;booking!M112,booking!M112&gt;0),booking!M112,"-")</f>
        <v>-</v>
      </c>
      <c r="P112" s="78" t="str">
        <f>IFERROR(VLOOKUP(O112,Database!$A$2:$L$175,8,FALSE),"-")</f>
        <v>-</v>
      </c>
      <c r="Q112" s="78" t="str">
        <f>IFERROR(VLOOKUP(O112,Database!$A$2:$L$175,6,FALSE),"-")</f>
        <v>-</v>
      </c>
      <c r="R112" s="82" t="str">
        <f>IFERROR(VLOOKUP(O112,Database!$A$2:$L$175,9,FALSE),"-")</f>
        <v>-</v>
      </c>
      <c r="S112" s="209" t="str">
        <f>IFERROR(VLOOKUP(O112,Database!$A$2:$S$175,19,FALSE),"-")</f>
        <v>-</v>
      </c>
      <c r="T112" s="97" t="str">
        <f>IF(AND(D112="Y",booking!P112&lt;&gt;booking!Q112,booking!Q112&gt;0),booking!Q112,"-")</f>
        <v>-</v>
      </c>
      <c r="U112" s="78" t="str">
        <f>IFERROR(VLOOKUP(T112,Database!$A$2:$L$175,8,FALSE),"-")</f>
        <v>-</v>
      </c>
      <c r="V112" s="78" t="str">
        <f>IFERROR(VLOOKUP(T112,Database!$A$2:$L$175,6,FALSE),"-")</f>
        <v>-</v>
      </c>
      <c r="W112" s="82" t="str">
        <f>IFERROR(VLOOKUP(T112,Database!$A$2:$L$175,9,FALSE),"-")</f>
        <v>-</v>
      </c>
      <c r="X112" s="209" t="str">
        <f>IFERROR(VLOOKUP(T112,Database!$A$2:$S$175,19,FALSE),"-")</f>
        <v>-</v>
      </c>
      <c r="Y112" s="96" t="str">
        <f>IF(AND(D112="Y",booking!T112&lt;&gt;booking!U112,booking!U112&gt;0),booking!U112,"-")</f>
        <v>-</v>
      </c>
      <c r="Z112" s="79" t="str">
        <f>IFERROR(VLOOKUP(Y112,Database!$A$2:$L$175,8,FALSE),"-")</f>
        <v>-</v>
      </c>
      <c r="AA112" s="79" t="str">
        <f>IFERROR(VLOOKUP(Y112,Database!$A$2:$L$175,6,FALSE),"-")</f>
        <v>-</v>
      </c>
      <c r="AB112" s="92" t="str">
        <f>IFERROR(VLOOKUP(Y112,Database!$A$2:$L$175,9,FALSE),"-")</f>
        <v>-</v>
      </c>
      <c r="AC112" s="8" t="str">
        <f>IFERROR(VLOOKUP(Y112,Database!$A$2:$S$175,19,FALSE),"-")</f>
        <v>-</v>
      </c>
    </row>
    <row r="113" spans="1:29" ht="15" customHeight="1" thickBot="1" x14ac:dyDescent="0.4">
      <c r="A113" s="88" t="str">
        <f>rengoering!A113</f>
        <v>søndag</v>
      </c>
      <c r="B113" s="84">
        <v>46250</v>
      </c>
      <c r="C113" s="9"/>
      <c r="D113" s="89" t="str">
        <f>IF(booking!AB113&gt;0,"Y","-")</f>
        <v>Y</v>
      </c>
      <c r="E113" s="95" t="str">
        <f>IF(AND(D113="Y",booking!D113&lt;&gt;booking!E113,booking!E113&gt;0),booking!E113,"-")</f>
        <v>-</v>
      </c>
      <c r="F113" s="8" t="str">
        <f>IFERROR(VLOOKUP(E113,Database!$A$2:$L$175,8,FALSE),"-")</f>
        <v>-</v>
      </c>
      <c r="G113" s="78" t="str">
        <f>IFERROR(VLOOKUP(E113,Database!$A$2:$L$175,6,FALSE),"-")</f>
        <v>-</v>
      </c>
      <c r="H113" s="93" t="str">
        <f>IFERROR(VLOOKUP(E113,Database!$A$2:$L$175,9,FALSE),"-")</f>
        <v>-</v>
      </c>
      <c r="I113" s="112"/>
      <c r="J113" s="96" t="str">
        <f>IF(AND(D113="Y",booking!H113&lt;&gt;booking!I113,booking!I113&gt;0),booking!I113,"-")</f>
        <v>-</v>
      </c>
      <c r="K113" s="78" t="str">
        <f>IFERROR(VLOOKUP(J113,Database!$A$2:$L$175,8,FALSE),"-")</f>
        <v>-</v>
      </c>
      <c r="L113" s="78" t="str">
        <f>IFERROR(VLOOKUP(J113,Database!$A$2:$L$175,6,FALSE),"-")</f>
        <v>-</v>
      </c>
      <c r="M113" s="93" t="str">
        <f>IFERROR(VLOOKUP(J113,Database!$A$2:$L$175,9,FALSE),"-")</f>
        <v>-</v>
      </c>
      <c r="N113" s="209" t="str">
        <f>IFERROR(VLOOKUP(J113,Database!$A$2:$S$175,19,FALSE),"-")</f>
        <v>-</v>
      </c>
      <c r="O113" s="96" t="str">
        <f>IF(AND(D113="Y",booking!L113&lt;&gt;booking!M113,booking!M113&gt;0),booking!M113,"-")</f>
        <v>-</v>
      </c>
      <c r="P113" s="78" t="str">
        <f>IFERROR(VLOOKUP(O113,Database!$A$2:$L$175,8,FALSE),"-")</f>
        <v>-</v>
      </c>
      <c r="Q113" s="78" t="str">
        <f>IFERROR(VLOOKUP(O113,Database!$A$2:$L$175,6,FALSE),"-")</f>
        <v>-</v>
      </c>
      <c r="R113" s="82" t="str">
        <f>IFERROR(VLOOKUP(O113,Database!$A$2:$L$175,9,FALSE),"-")</f>
        <v>-</v>
      </c>
      <c r="S113" s="209" t="str">
        <f>IFERROR(VLOOKUP(O113,Database!$A$2:$S$175,19,FALSE),"-")</f>
        <v>-</v>
      </c>
      <c r="T113" s="97">
        <f>IF(AND(D113="Y",booking!P113&lt;&gt;booking!Q113,booking!Q113&gt;0),booking!Q113,"-")</f>
        <v>51</v>
      </c>
      <c r="U113" s="78">
        <f>IFERROR(VLOOKUP(T113,Database!$A$2:$L$175,8,FALSE),"-")</f>
        <v>0</v>
      </c>
      <c r="V113" s="78" t="str">
        <f>IFERROR(VLOOKUP(T113,Database!$A$2:$L$175,6,FALSE),"-")</f>
        <v>DK</v>
      </c>
      <c r="W113" s="82">
        <f>IFERROR(VLOOKUP(T113,Database!$A$2:$L$175,9,FALSE),"-")</f>
        <v>0</v>
      </c>
      <c r="X113" s="209" t="str">
        <f>IFERROR(VLOOKUP(T113,Database!$A$2:$S$175,19,FALSE),"-")</f>
        <v>Y</v>
      </c>
      <c r="Y113" s="96" t="str">
        <f>IF(AND(D113="Y",booking!T113&lt;&gt;booking!U113,booking!U113&gt;0),booking!U113,"-")</f>
        <v>-</v>
      </c>
      <c r="Z113" s="79" t="str">
        <f>IFERROR(VLOOKUP(Y113,Database!$A$2:$L$175,8,FALSE),"-")</f>
        <v>-</v>
      </c>
      <c r="AA113" s="79" t="str">
        <f>IFERROR(VLOOKUP(Y113,Database!$A$2:$L$175,6,FALSE),"-")</f>
        <v>-</v>
      </c>
      <c r="AB113" s="92" t="str">
        <f>IFERROR(VLOOKUP(Y113,Database!$A$2:$L$175,9,FALSE),"-")</f>
        <v>-</v>
      </c>
      <c r="AC113" s="8" t="str">
        <f>IFERROR(VLOOKUP(Y113,Database!$A$2:$S$175,19,FALSE),"-")</f>
        <v>-</v>
      </c>
    </row>
    <row r="114" spans="1:29" ht="15" customHeight="1" thickBot="1" x14ac:dyDescent="0.4">
      <c r="A114" s="88" t="str">
        <f>rengoering!A114</f>
        <v>mandag</v>
      </c>
      <c r="B114" s="86">
        <v>46251</v>
      </c>
      <c r="C114" s="9"/>
      <c r="D114" s="89" t="str">
        <f>IF(booking!AB114&gt;0,"Y","-")</f>
        <v>Y</v>
      </c>
      <c r="E114" s="95">
        <f>IF(AND(D114="Y",booking!D114&lt;&gt;booking!E114,booking!E114&gt;0),booking!E114,"-")</f>
        <v>26</v>
      </c>
      <c r="F114" s="8">
        <f>IFERROR(VLOOKUP(E114,Database!$A$2:$L$175,8,FALSE),"-")</f>
        <v>0</v>
      </c>
      <c r="G114" s="78" t="str">
        <f>IFERROR(VLOOKUP(E114,Database!$A$2:$L$175,6,FALSE),"-")</f>
        <v>DK</v>
      </c>
      <c r="H114" s="93">
        <f>IFERROR(VLOOKUP(E114,Database!$A$2:$L$175,9,FALSE),"-")</f>
        <v>0</v>
      </c>
      <c r="I114" s="112"/>
      <c r="J114" s="96" t="str">
        <f>IF(AND(D114="Y",booking!H114&lt;&gt;booking!I114,booking!I114&gt;0),booking!I114,"-")</f>
        <v>-</v>
      </c>
      <c r="K114" s="78" t="str">
        <f>IFERROR(VLOOKUP(J114,Database!$A$2:$L$175,8,FALSE),"-")</f>
        <v>-</v>
      </c>
      <c r="L114" s="78" t="str">
        <f>IFERROR(VLOOKUP(J114,Database!$A$2:$L$175,6,FALSE),"-")</f>
        <v>-</v>
      </c>
      <c r="M114" s="93" t="str">
        <f>IFERROR(VLOOKUP(J114,Database!$A$2:$L$175,9,FALSE),"-")</f>
        <v>-</v>
      </c>
      <c r="N114" s="209" t="str">
        <f>IFERROR(VLOOKUP(J114,Database!$A$2:$S$175,19,FALSE),"-")</f>
        <v>-</v>
      </c>
      <c r="O114" s="96">
        <f>IF(AND(D114="Y",booking!L114&lt;&gt;booking!M114,booking!M114&gt;0),booking!M114,"-")</f>
        <v>52</v>
      </c>
      <c r="P114" s="78" t="str">
        <f>IFERROR(VLOOKUP(O114,Database!$A$2:$L$175,8,FALSE),"-")</f>
        <v>1300</v>
      </c>
      <c r="Q114" s="78" t="str">
        <f>IFERROR(VLOOKUP(O114,Database!$A$2:$L$175,6,FALSE),"-")</f>
        <v>DK</v>
      </c>
      <c r="R114" s="82">
        <f>IFERROR(VLOOKUP(O114,Database!$A$2:$L$175,9,FALSE),"-")</f>
        <v>0</v>
      </c>
      <c r="S114" s="209" t="str">
        <f>IFERROR(VLOOKUP(O114,Database!$A$2:$S$175,19,FALSE),"-")</f>
        <v>N</v>
      </c>
      <c r="T114" s="97" t="str">
        <f>IF(AND(D114="Y",booking!P114&lt;&gt;booking!Q114,booking!Q114&gt;0),booking!Q114,"-")</f>
        <v>-</v>
      </c>
      <c r="U114" s="78" t="str">
        <f>IFERROR(VLOOKUP(T114,Database!$A$2:$L$175,8,FALSE),"-")</f>
        <v>-</v>
      </c>
      <c r="V114" s="78" t="str">
        <f>IFERROR(VLOOKUP(T114,Database!$A$2:$L$175,6,FALSE),"-")</f>
        <v>-</v>
      </c>
      <c r="W114" s="82" t="str">
        <f>IFERROR(VLOOKUP(T114,Database!$A$2:$L$175,9,FALSE),"-")</f>
        <v>-</v>
      </c>
      <c r="X114" s="209" t="str">
        <f>IFERROR(VLOOKUP(T114,Database!$A$2:$S$175,19,FALSE),"-")</f>
        <v>-</v>
      </c>
      <c r="Y114" s="96">
        <f>IF(AND(D114="Y",booking!T114&lt;&gt;booking!U114,booking!U114&gt;0),booking!U114,"-")</f>
        <v>21</v>
      </c>
      <c r="Z114" s="79">
        <f>IFERROR(VLOOKUP(Y114,Database!$A$2:$L$175,8,FALSE),"-")</f>
        <v>0</v>
      </c>
      <c r="AA114" s="79" t="str">
        <f>IFERROR(VLOOKUP(Y114,Database!$A$2:$L$175,6,FALSE),"-")</f>
        <v>S</v>
      </c>
      <c r="AB114" s="92">
        <f>IFERROR(VLOOKUP(Y114,Database!$A$2:$L$175,9,FALSE),"-")</f>
        <v>0</v>
      </c>
      <c r="AC114" s="8" t="str">
        <f>IFERROR(VLOOKUP(Y114,Database!$A$2:$S$175,19,FALSE),"-")</f>
        <v>YY</v>
      </c>
    </row>
    <row r="115" spans="1:29" ht="15" customHeight="1" thickBot="1" x14ac:dyDescent="0.4">
      <c r="A115" s="88" t="str">
        <f>rengoering!A115</f>
        <v>tirsdag</v>
      </c>
      <c r="B115" s="84">
        <v>46252</v>
      </c>
      <c r="C115" s="9"/>
      <c r="D115" s="89" t="str">
        <f>IF(booking!AB115&gt;0,"Y","-")</f>
        <v>-</v>
      </c>
      <c r="E115" s="95" t="str">
        <f>IF(AND(D115="Y",booking!D115&lt;&gt;booking!E115,booking!E115&gt;0),booking!E115,"-")</f>
        <v>-</v>
      </c>
      <c r="F115" s="8" t="str">
        <f>IFERROR(VLOOKUP(E115,Database!$A$2:$L$175,8,FALSE),"-")</f>
        <v>-</v>
      </c>
      <c r="G115" s="78" t="str">
        <f>IFERROR(VLOOKUP(E115,Database!$A$2:$L$175,6,FALSE),"-")</f>
        <v>-</v>
      </c>
      <c r="H115" s="93" t="str">
        <f>IFERROR(VLOOKUP(E115,Database!$A$2:$L$175,9,FALSE),"-")</f>
        <v>-</v>
      </c>
      <c r="I115" s="112"/>
      <c r="J115" s="96" t="str">
        <f>IF(AND(D115="Y",booking!H115&lt;&gt;booking!I115,booking!I115&gt;0),booking!I115,"-")</f>
        <v>-</v>
      </c>
      <c r="K115" s="78" t="str">
        <f>IFERROR(VLOOKUP(J115,Database!$A$2:$L$175,8,FALSE),"-")</f>
        <v>-</v>
      </c>
      <c r="L115" s="78" t="str">
        <f>IFERROR(VLOOKUP(J115,Database!$A$2:$L$175,6,FALSE),"-")</f>
        <v>-</v>
      </c>
      <c r="M115" s="93" t="str">
        <f>IFERROR(VLOOKUP(J115,Database!$A$2:$L$175,9,FALSE),"-")</f>
        <v>-</v>
      </c>
      <c r="N115" s="209" t="str">
        <f>IFERROR(VLOOKUP(J115,Database!$A$2:$S$175,19,FALSE),"-")</f>
        <v>-</v>
      </c>
      <c r="O115" s="96" t="str">
        <f>IF(AND(D115="Y",booking!L115&lt;&gt;booking!M115,booking!M115&gt;0),booking!M115,"-")</f>
        <v>-</v>
      </c>
      <c r="P115" s="78" t="str">
        <f>IFERROR(VLOOKUP(O115,Database!$A$2:$L$175,8,FALSE),"-")</f>
        <v>-</v>
      </c>
      <c r="Q115" s="78" t="str">
        <f>IFERROR(VLOOKUP(O115,Database!$A$2:$L$175,6,FALSE),"-")</f>
        <v>-</v>
      </c>
      <c r="R115" s="82" t="str">
        <f>IFERROR(VLOOKUP(O115,Database!$A$2:$L$175,9,FALSE),"-")</f>
        <v>-</v>
      </c>
      <c r="S115" s="209" t="str">
        <f>IFERROR(VLOOKUP(O115,Database!$A$2:$S$175,19,FALSE),"-")</f>
        <v>-</v>
      </c>
      <c r="T115" s="97" t="str">
        <f>IF(AND(D115="Y",booking!P115&lt;&gt;booking!Q115,booking!Q115&gt;0),booking!Q115,"-")</f>
        <v>-</v>
      </c>
      <c r="U115" s="78" t="str">
        <f>IFERROR(VLOOKUP(T115,Database!$A$2:$L$175,8,FALSE),"-")</f>
        <v>-</v>
      </c>
      <c r="V115" s="78" t="str">
        <f>IFERROR(VLOOKUP(T115,Database!$A$2:$L$175,6,FALSE),"-")</f>
        <v>-</v>
      </c>
      <c r="W115" s="82" t="str">
        <f>IFERROR(VLOOKUP(T115,Database!$A$2:$L$175,9,FALSE),"-")</f>
        <v>-</v>
      </c>
      <c r="X115" s="209" t="str">
        <f>IFERROR(VLOOKUP(T115,Database!$A$2:$S$175,19,FALSE),"-")</f>
        <v>-</v>
      </c>
      <c r="Y115" s="96" t="str">
        <f>IF(AND(D115="Y",booking!T115&lt;&gt;booking!U115,booking!U115&gt;0),booking!U115,"-")</f>
        <v>-</v>
      </c>
      <c r="Z115" s="79" t="str">
        <f>IFERROR(VLOOKUP(Y115,Database!$A$2:$L$175,8,FALSE),"-")</f>
        <v>-</v>
      </c>
      <c r="AA115" s="79" t="str">
        <f>IFERROR(VLOOKUP(Y115,Database!$A$2:$L$175,6,FALSE),"-")</f>
        <v>-</v>
      </c>
      <c r="AB115" s="92" t="str">
        <f>IFERROR(VLOOKUP(Y115,Database!$A$2:$L$175,9,FALSE),"-")</f>
        <v>-</v>
      </c>
      <c r="AC115" s="8" t="str">
        <f>IFERROR(VLOOKUP(Y115,Database!$A$2:$S$175,19,FALSE),"-")</f>
        <v>-</v>
      </c>
    </row>
    <row r="116" spans="1:29" ht="15" customHeight="1" thickBot="1" x14ac:dyDescent="0.4">
      <c r="A116" s="88" t="str">
        <f>rengoering!A116</f>
        <v>onsdag</v>
      </c>
      <c r="B116" s="86">
        <v>46253</v>
      </c>
      <c r="C116" s="9"/>
      <c r="D116" s="89" t="str">
        <f>IF(booking!AB116&gt;0,"Y","-")</f>
        <v>-</v>
      </c>
      <c r="E116" s="95" t="str">
        <f>IF(AND(D116="Y",booking!D116&lt;&gt;booking!E116,booking!E116&gt;0),booking!E116,"-")</f>
        <v>-</v>
      </c>
      <c r="F116" s="8" t="str">
        <f>IFERROR(VLOOKUP(E116,Database!$A$2:$L$175,8,FALSE),"-")</f>
        <v>-</v>
      </c>
      <c r="G116" s="78" t="str">
        <f>IFERROR(VLOOKUP(E116,Database!$A$2:$L$175,6,FALSE),"-")</f>
        <v>-</v>
      </c>
      <c r="H116" s="93" t="str">
        <f>IFERROR(VLOOKUP(E116,Database!$A$2:$L$175,9,FALSE),"-")</f>
        <v>-</v>
      </c>
      <c r="I116" s="112"/>
      <c r="J116" s="96" t="str">
        <f>IF(AND(D116="Y",booking!H116&lt;&gt;booking!I116,booking!I116&gt;0),booking!I116,"-")</f>
        <v>-</v>
      </c>
      <c r="K116" s="78" t="str">
        <f>IFERROR(VLOOKUP(J116,Database!$A$2:$L$175,8,FALSE),"-")</f>
        <v>-</v>
      </c>
      <c r="L116" s="78" t="str">
        <f>IFERROR(VLOOKUP(J116,Database!$A$2:$L$175,6,FALSE),"-")</f>
        <v>-</v>
      </c>
      <c r="M116" s="93" t="str">
        <f>IFERROR(VLOOKUP(J116,Database!$A$2:$L$175,9,FALSE),"-")</f>
        <v>-</v>
      </c>
      <c r="N116" s="209" t="str">
        <f>IFERROR(VLOOKUP(J116,Database!$A$2:$S$175,19,FALSE),"-")</f>
        <v>-</v>
      </c>
      <c r="O116" s="96" t="str">
        <f>IF(AND(D116="Y",booking!L116&lt;&gt;booking!M116,booking!M116&gt;0),booking!M116,"-")</f>
        <v>-</v>
      </c>
      <c r="P116" s="78" t="str">
        <f>IFERROR(VLOOKUP(O116,Database!$A$2:$L$175,8,FALSE),"-")</f>
        <v>-</v>
      </c>
      <c r="Q116" s="78" t="str">
        <f>IFERROR(VLOOKUP(O116,Database!$A$2:$L$175,6,FALSE),"-")</f>
        <v>-</v>
      </c>
      <c r="R116" s="82" t="str">
        <f>IFERROR(VLOOKUP(O116,Database!$A$2:$L$175,9,FALSE),"-")</f>
        <v>-</v>
      </c>
      <c r="S116" s="209" t="str">
        <f>IFERROR(VLOOKUP(O116,Database!$A$2:$S$175,19,FALSE),"-")</f>
        <v>-</v>
      </c>
      <c r="T116" s="97" t="str">
        <f>IF(AND(D116="Y",booking!P116&lt;&gt;booking!Q116,booking!Q116&gt;0),booking!Q116,"-")</f>
        <v>-</v>
      </c>
      <c r="U116" s="78" t="str">
        <f>IFERROR(VLOOKUP(T116,Database!$A$2:$L$175,8,FALSE),"-")</f>
        <v>-</v>
      </c>
      <c r="V116" s="78" t="str">
        <f>IFERROR(VLOOKUP(T116,Database!$A$2:$L$175,6,FALSE),"-")</f>
        <v>-</v>
      </c>
      <c r="W116" s="82" t="str">
        <f>IFERROR(VLOOKUP(T116,Database!$A$2:$L$175,9,FALSE),"-")</f>
        <v>-</v>
      </c>
      <c r="X116" s="209" t="str">
        <f>IFERROR(VLOOKUP(T116,Database!$A$2:$S$175,19,FALSE),"-")</f>
        <v>-</v>
      </c>
      <c r="Y116" s="96" t="str">
        <f>IF(AND(D116="Y",booking!T116&lt;&gt;booking!U116,booking!U116&gt;0),booking!U116,"-")</f>
        <v>-</v>
      </c>
      <c r="Z116" s="79" t="str">
        <f>IFERROR(VLOOKUP(Y116,Database!$A$2:$L$175,8,FALSE),"-")</f>
        <v>-</v>
      </c>
      <c r="AA116" s="79" t="str">
        <f>IFERROR(VLOOKUP(Y116,Database!$A$2:$L$175,6,FALSE),"-")</f>
        <v>-</v>
      </c>
      <c r="AB116" s="92" t="str">
        <f>IFERROR(VLOOKUP(Y116,Database!$A$2:$L$175,9,FALSE),"-")</f>
        <v>-</v>
      </c>
      <c r="AC116" s="8" t="str">
        <f>IFERROR(VLOOKUP(Y116,Database!$A$2:$S$175,19,FALSE),"-")</f>
        <v>-</v>
      </c>
    </row>
    <row r="117" spans="1:29" ht="15" customHeight="1" thickBot="1" x14ac:dyDescent="0.4">
      <c r="A117" s="88" t="str">
        <f>rengoering!A117</f>
        <v>torsdag</v>
      </c>
      <c r="B117" s="84">
        <v>46254</v>
      </c>
      <c r="C117" s="9"/>
      <c r="D117" s="89" t="str">
        <f>IF(booking!AB117&gt;0,"Y","-")</f>
        <v>Y</v>
      </c>
      <c r="E117" s="95" t="str">
        <f>IF(AND(D117="Y",booking!D117&lt;&gt;booking!E117,booking!E117&gt;0),booking!E117,"-")</f>
        <v>-</v>
      </c>
      <c r="F117" s="8" t="str">
        <f>IFERROR(VLOOKUP(E117,Database!$A$2:$L$175,8,FALSE),"-")</f>
        <v>-</v>
      </c>
      <c r="G117" s="78" t="str">
        <f>IFERROR(VLOOKUP(E117,Database!$A$2:$L$175,6,FALSE),"-")</f>
        <v>-</v>
      </c>
      <c r="H117" s="93" t="str">
        <f>IFERROR(VLOOKUP(E117,Database!$A$2:$L$175,9,FALSE),"-")</f>
        <v>-</v>
      </c>
      <c r="I117" s="112"/>
      <c r="J117" s="96">
        <f>IF(AND(D117="Y",booking!H117&lt;&gt;booking!I117,booking!I117&gt;0),booking!I117,"-")</f>
        <v>54</v>
      </c>
      <c r="K117" s="78" t="str">
        <f>IFERROR(VLOOKUP(J117,Database!$A$2:$L$175,8,FALSE),"-")</f>
        <v>1530</v>
      </c>
      <c r="L117" s="78" t="str">
        <f>IFERROR(VLOOKUP(J117,Database!$A$2:$L$175,6,FALSE),"-")</f>
        <v>DK</v>
      </c>
      <c r="M117" s="93" t="str">
        <f>IFERROR(VLOOKUP(J117,Database!$A$2:$L$175,9,FALSE),"-")</f>
        <v>db/sing</v>
      </c>
      <c r="N117" s="209">
        <f>IFERROR(VLOOKUP(J117,Database!$A$2:$S$175,19,FALSE),"-")</f>
        <v>0</v>
      </c>
      <c r="O117" s="96" t="str">
        <f>IF(AND(D117="Y",booking!L117&lt;&gt;booking!M117,booking!M117&gt;0),booking!M117,"-")</f>
        <v>-</v>
      </c>
      <c r="P117" s="78" t="str">
        <f>IFERROR(VLOOKUP(O117,Database!$A$2:$L$175,8,FALSE),"-")</f>
        <v>-</v>
      </c>
      <c r="Q117" s="78" t="str">
        <f>IFERROR(VLOOKUP(O117,Database!$A$2:$L$175,6,FALSE),"-")</f>
        <v>-</v>
      </c>
      <c r="R117" s="82" t="str">
        <f>IFERROR(VLOOKUP(O117,Database!$A$2:$L$175,9,FALSE),"-")</f>
        <v>-</v>
      </c>
      <c r="S117" s="209" t="str">
        <f>IFERROR(VLOOKUP(O117,Database!$A$2:$S$175,19,FALSE),"-")</f>
        <v>-</v>
      </c>
      <c r="T117" s="97" t="str">
        <f>IF(AND(D117="Y",booking!P117&lt;&gt;booking!Q117,booking!Q117&gt;0),booking!Q117,"-")</f>
        <v>-</v>
      </c>
      <c r="U117" s="78" t="str">
        <f>IFERROR(VLOOKUP(T117,Database!$A$2:$L$175,8,FALSE),"-")</f>
        <v>-</v>
      </c>
      <c r="V117" s="78" t="str">
        <f>IFERROR(VLOOKUP(T117,Database!$A$2:$L$175,6,FALSE),"-")</f>
        <v>-</v>
      </c>
      <c r="W117" s="82" t="str">
        <f>IFERROR(VLOOKUP(T117,Database!$A$2:$L$175,9,FALSE),"-")</f>
        <v>-</v>
      </c>
      <c r="X117" s="209" t="str">
        <f>IFERROR(VLOOKUP(T117,Database!$A$2:$S$175,19,FALSE),"-")</f>
        <v>-</v>
      </c>
      <c r="Y117" s="96" t="str">
        <f>IF(AND(D117="Y",booking!T117&lt;&gt;booking!U117,booking!U117&gt;0),booking!U117,"-")</f>
        <v>-</v>
      </c>
      <c r="Z117" s="79" t="str">
        <f>IFERROR(VLOOKUP(Y117,Database!$A$2:$L$175,8,FALSE),"-")</f>
        <v>-</v>
      </c>
      <c r="AA117" s="79" t="str">
        <f>IFERROR(VLOOKUP(Y117,Database!$A$2:$L$175,6,FALSE),"-")</f>
        <v>-</v>
      </c>
      <c r="AB117" s="92" t="str">
        <f>IFERROR(VLOOKUP(Y117,Database!$A$2:$L$175,9,FALSE),"-")</f>
        <v>-</v>
      </c>
      <c r="AC117" s="8" t="str">
        <f>IFERROR(VLOOKUP(Y117,Database!$A$2:$S$175,19,FALSE),"-")</f>
        <v>-</v>
      </c>
    </row>
    <row r="118" spans="1:29" ht="15" customHeight="1" thickBot="1" x14ac:dyDescent="0.4">
      <c r="A118" s="88" t="str">
        <f>rengoering!A118</f>
        <v>fredag</v>
      </c>
      <c r="B118" s="86">
        <v>46255</v>
      </c>
      <c r="C118" s="9"/>
      <c r="D118" s="89" t="str">
        <f>IF(booking!AB118&gt;0,"Y","-")</f>
        <v>Y</v>
      </c>
      <c r="E118" s="95" t="str">
        <f>IF(AND(D118="Y",booking!D118&lt;&gt;booking!E118,booking!E118&gt;0),booking!E118,"-")</f>
        <v>-</v>
      </c>
      <c r="F118" s="8" t="str">
        <f>IFERROR(VLOOKUP(E118,Database!$A$2:$L$175,8,FALSE),"-")</f>
        <v>-</v>
      </c>
      <c r="G118" s="78" t="str">
        <f>IFERROR(VLOOKUP(E118,Database!$A$2:$L$175,6,FALSE),"-")</f>
        <v>-</v>
      </c>
      <c r="H118" s="93" t="str">
        <f>IFERROR(VLOOKUP(E118,Database!$A$2:$L$175,9,FALSE),"-")</f>
        <v>-</v>
      </c>
      <c r="I118" s="112"/>
      <c r="J118" s="96" t="str">
        <f>IF(AND(D118="Y",booking!H118&lt;&gt;booking!I118,booking!I118&gt;0),booking!I118,"-")</f>
        <v>-</v>
      </c>
      <c r="K118" s="78" t="str">
        <f>IFERROR(VLOOKUP(J118,Database!$A$2:$L$175,8,FALSE),"-")</f>
        <v>-</v>
      </c>
      <c r="L118" s="78" t="str">
        <f>IFERROR(VLOOKUP(J118,Database!$A$2:$L$175,6,FALSE),"-")</f>
        <v>-</v>
      </c>
      <c r="M118" s="93" t="str">
        <f>IFERROR(VLOOKUP(J118,Database!$A$2:$L$175,9,FALSE),"-")</f>
        <v>-</v>
      </c>
      <c r="N118" s="209" t="str">
        <f>IFERROR(VLOOKUP(J118,Database!$A$2:$S$175,19,FALSE),"-")</f>
        <v>-</v>
      </c>
      <c r="O118" s="96">
        <f>IF(AND(D118="Y",booking!L118&lt;&gt;booking!M118,booking!M118&gt;0),booking!M118,"-")</f>
        <v>54</v>
      </c>
      <c r="P118" s="78" t="str">
        <f>IFERROR(VLOOKUP(O118,Database!$A$2:$L$175,8,FALSE),"-")</f>
        <v>1530</v>
      </c>
      <c r="Q118" s="78" t="str">
        <f>IFERROR(VLOOKUP(O118,Database!$A$2:$L$175,6,FALSE),"-")</f>
        <v>DK</v>
      </c>
      <c r="R118" s="82" t="str">
        <f>IFERROR(VLOOKUP(O118,Database!$A$2:$L$175,9,FALSE),"-")</f>
        <v>db/sing</v>
      </c>
      <c r="S118" s="209">
        <f>IFERROR(VLOOKUP(O118,Database!$A$2:$S$175,19,FALSE),"-")</f>
        <v>0</v>
      </c>
      <c r="T118" s="97">
        <f>IF(AND(D118="Y",booking!P118&lt;&gt;booking!Q118,booking!Q118&gt;0),booking!Q118,"-")</f>
        <v>93</v>
      </c>
      <c r="U118" s="78" t="str">
        <f>IFERROR(VLOOKUP(T118,Database!$A$2:$L$175,8,FALSE),"-")</f>
        <v>1530</v>
      </c>
      <c r="V118" s="78" t="str">
        <f>IFERROR(VLOOKUP(T118,Database!$A$2:$L$175,6,FALSE),"-")</f>
        <v>D</v>
      </c>
      <c r="W118" s="82" t="str">
        <f>IFERROR(VLOOKUP(T118,Database!$A$2:$L$175,9,FALSE),"-")</f>
        <v>sing</v>
      </c>
      <c r="X118" s="209" t="str">
        <f>IFERROR(VLOOKUP(T118,Database!$A$2:$S$175,19,FALSE),"-")</f>
        <v>N</v>
      </c>
      <c r="Y118" s="96" t="str">
        <f>IF(AND(D118="Y",booking!T118&lt;&gt;booking!U118,booking!U118&gt;0),booking!U118,"-")</f>
        <v>-</v>
      </c>
      <c r="Z118" s="79" t="str">
        <f>IFERROR(VLOOKUP(Y118,Database!$A$2:$L$175,8,FALSE),"-")</f>
        <v>-</v>
      </c>
      <c r="AA118" s="79" t="str">
        <f>IFERROR(VLOOKUP(Y118,Database!$A$2:$L$175,6,FALSE),"-")</f>
        <v>-</v>
      </c>
      <c r="AB118" s="92" t="str">
        <f>IFERROR(VLOOKUP(Y118,Database!$A$2:$L$175,9,FALSE),"-")</f>
        <v>-</v>
      </c>
      <c r="AC118" s="8" t="str">
        <f>IFERROR(VLOOKUP(Y118,Database!$A$2:$S$175,19,FALSE),"-")</f>
        <v>-</v>
      </c>
    </row>
    <row r="119" spans="1:29" ht="15" customHeight="1" thickBot="1" x14ac:dyDescent="0.4">
      <c r="A119" s="88" t="str">
        <f>rengoering!A119</f>
        <v>lørdag</v>
      </c>
      <c r="B119" s="84">
        <v>46256</v>
      </c>
      <c r="C119" s="9"/>
      <c r="D119" s="89" t="str">
        <f>IF(booking!AB119&gt;0,"Y","-")</f>
        <v>Y</v>
      </c>
      <c r="E119" s="95">
        <f>IF(AND(D119="Y",booking!D119&lt;&gt;booking!E119,booking!E119&gt;0),booking!E119,"-")</f>
        <v>65</v>
      </c>
      <c r="F119" s="8">
        <f>IFERROR(VLOOKUP(E119,Database!$A$2:$L$175,8,FALSE),"-")</f>
        <v>0</v>
      </c>
      <c r="G119" s="78" t="str">
        <f>IFERROR(VLOOKUP(E119,Database!$A$2:$L$175,6,FALSE),"-")</f>
        <v>DK</v>
      </c>
      <c r="H119" s="93" t="str">
        <f>IFERROR(VLOOKUP(E119,Database!$A$2:$L$175,9,FALSE),"-")</f>
        <v>dobb</v>
      </c>
      <c r="I119" s="112"/>
      <c r="J119" s="96" t="str">
        <f>IF(AND(D119="Y",booking!H119&lt;&gt;booking!I119,booking!I119&gt;0),booking!I119,"-")</f>
        <v>-</v>
      </c>
      <c r="K119" s="78" t="str">
        <f>IFERROR(VLOOKUP(J119,Database!$A$2:$L$175,8,FALSE),"-")</f>
        <v>-</v>
      </c>
      <c r="L119" s="78" t="str">
        <f>IFERROR(VLOOKUP(J119,Database!$A$2:$L$175,6,FALSE),"-")</f>
        <v>-</v>
      </c>
      <c r="M119" s="93" t="str">
        <f>IFERROR(VLOOKUP(J119,Database!$A$2:$L$175,9,FALSE),"-")</f>
        <v>-</v>
      </c>
      <c r="N119" s="209" t="str">
        <f>IFERROR(VLOOKUP(J119,Database!$A$2:$S$175,19,FALSE),"-")</f>
        <v>-</v>
      </c>
      <c r="O119" s="96" t="str">
        <f>IF(AND(D119="Y",booking!L119&lt;&gt;booking!M119,booking!M119&gt;0),booking!M119,"-")</f>
        <v>-</v>
      </c>
      <c r="P119" s="78" t="str">
        <f>IFERROR(VLOOKUP(O119,Database!$A$2:$L$175,8,FALSE),"-")</f>
        <v>-</v>
      </c>
      <c r="Q119" s="78" t="str">
        <f>IFERROR(VLOOKUP(O119,Database!$A$2:$L$175,6,FALSE),"-")</f>
        <v>-</v>
      </c>
      <c r="R119" s="82" t="str">
        <f>IFERROR(VLOOKUP(O119,Database!$A$2:$L$175,9,FALSE),"-")</f>
        <v>-</v>
      </c>
      <c r="S119" s="209" t="str">
        <f>IFERROR(VLOOKUP(O119,Database!$A$2:$S$175,19,FALSE),"-")</f>
        <v>-</v>
      </c>
      <c r="T119" s="97" t="str">
        <f>IF(AND(D119="Y",booking!P119&lt;&gt;booking!Q119,booking!Q119&gt;0),booking!Q119,"-")</f>
        <v>-</v>
      </c>
      <c r="U119" s="78" t="str">
        <f>IFERROR(VLOOKUP(T119,Database!$A$2:$L$175,8,FALSE),"-")</f>
        <v>-</v>
      </c>
      <c r="V119" s="78" t="str">
        <f>IFERROR(VLOOKUP(T119,Database!$A$2:$L$175,6,FALSE),"-")</f>
        <v>-</v>
      </c>
      <c r="W119" s="82" t="str">
        <f>IFERROR(VLOOKUP(T119,Database!$A$2:$L$175,9,FALSE),"-")</f>
        <v>-</v>
      </c>
      <c r="X119" s="209" t="str">
        <f>IFERROR(VLOOKUP(T119,Database!$A$2:$S$175,19,FALSE),"-")</f>
        <v>-</v>
      </c>
      <c r="Y119" s="96">
        <f>IF(AND(D119="Y",booking!T119&lt;&gt;booking!U119,booking!U119&gt;0),booking!U119,"-")</f>
        <v>25</v>
      </c>
      <c r="Z119" s="79">
        <f>IFERROR(VLOOKUP(Y119,Database!$A$2:$L$175,8,FALSE),"-")</f>
        <v>0</v>
      </c>
      <c r="AA119" s="79" t="str">
        <f>IFERROR(VLOOKUP(Y119,Database!$A$2:$L$175,6,FALSE),"-")</f>
        <v>CH</v>
      </c>
      <c r="AB119" s="92" t="str">
        <f>IFERROR(VLOOKUP(Y119,Database!$A$2:$L$175,9,FALSE),"-")</f>
        <v>sing</v>
      </c>
      <c r="AC119" s="8" t="str">
        <f>IFERROR(VLOOKUP(Y119,Database!$A$2:$S$175,19,FALSE),"-")</f>
        <v>N</v>
      </c>
    </row>
    <row r="120" spans="1:29" ht="15" customHeight="1" thickBot="1" x14ac:dyDescent="0.4">
      <c r="A120" s="88" t="str">
        <f>rengoering!A120</f>
        <v>søndag</v>
      </c>
      <c r="B120" s="86">
        <v>46257</v>
      </c>
      <c r="C120" s="9"/>
      <c r="D120" s="89" t="str">
        <f>IF(booking!AB120&gt;0,"Y","-")</f>
        <v>Y</v>
      </c>
      <c r="E120" s="95" t="str">
        <f>IF(AND(D120="Y",booking!D120&lt;&gt;booking!E120,booking!E120&gt;0),booking!E120,"-")</f>
        <v>-</v>
      </c>
      <c r="F120" s="8" t="str">
        <f>IFERROR(VLOOKUP(E120,Database!$A$2:$L$175,8,FALSE),"-")</f>
        <v>-</v>
      </c>
      <c r="G120" s="78" t="str">
        <f>IFERROR(VLOOKUP(E120,Database!$A$2:$L$175,6,FALSE),"-")</f>
        <v>-</v>
      </c>
      <c r="H120" s="93" t="str">
        <f>IFERROR(VLOOKUP(E120,Database!$A$2:$L$175,9,FALSE),"-")</f>
        <v>-</v>
      </c>
      <c r="I120" s="112"/>
      <c r="J120" s="96">
        <f>IF(AND(D120="Y",booking!H120&lt;&gt;booking!I120,booking!I120&gt;0),booking!I120,"-")</f>
        <v>120</v>
      </c>
      <c r="K120" s="78">
        <f>IFERROR(VLOOKUP(J120,Database!$A$2:$L$175,8,FALSE),"-")</f>
        <v>0</v>
      </c>
      <c r="L120" s="78" t="str">
        <f>IFERROR(VLOOKUP(J120,Database!$A$2:$L$175,6,FALSE),"-")</f>
        <v>DK</v>
      </c>
      <c r="M120" s="93" t="str">
        <f>IFERROR(VLOOKUP(J120,Database!$A$2:$L$175,9,FALSE),"-")</f>
        <v>Dobb</v>
      </c>
      <c r="N120" s="209" t="str">
        <f>IFERROR(VLOOKUP(J120,Database!$A$2:$S$175,19,FALSE),"-")</f>
        <v>Y</v>
      </c>
      <c r="O120" s="96">
        <f>IF(AND(D120="Y",booking!L120&lt;&gt;booking!M120,booking!M120&gt;0),booking!M120,"-")</f>
        <v>122</v>
      </c>
      <c r="P120" s="78">
        <f>IFERROR(VLOOKUP(O120,Database!$A$2:$L$175,8,FALSE),"-")</f>
        <v>0</v>
      </c>
      <c r="Q120" s="78" t="str">
        <f>IFERROR(VLOOKUP(O120,Database!$A$2:$L$175,6,FALSE),"-")</f>
        <v>DK</v>
      </c>
      <c r="R120" s="82">
        <f>IFERROR(VLOOKUP(O120,Database!$A$2:$L$175,9,FALSE),"-")</f>
        <v>0</v>
      </c>
      <c r="S120" s="209" t="str">
        <f>IFERROR(VLOOKUP(O120,Database!$A$2:$S$175,19,FALSE),"-")</f>
        <v>N</v>
      </c>
      <c r="T120" s="97" t="str">
        <f>IF(AND(D120="Y",booking!P120&lt;&gt;booking!Q120,booking!Q120&gt;0),booking!Q120,"-")</f>
        <v>-</v>
      </c>
      <c r="U120" s="78" t="str">
        <f>IFERROR(VLOOKUP(T120,Database!$A$2:$L$175,8,FALSE),"-")</f>
        <v>-</v>
      </c>
      <c r="V120" s="78" t="str">
        <f>IFERROR(VLOOKUP(T120,Database!$A$2:$L$175,6,FALSE),"-")</f>
        <v>-</v>
      </c>
      <c r="W120" s="82" t="str">
        <f>IFERROR(VLOOKUP(T120,Database!$A$2:$L$175,9,FALSE),"-")</f>
        <v>-</v>
      </c>
      <c r="X120" s="209" t="str">
        <f>IFERROR(VLOOKUP(T120,Database!$A$2:$S$175,19,FALSE),"-")</f>
        <v>-</v>
      </c>
      <c r="Y120" s="96" t="str">
        <f>IF(AND(D120="Y",booking!T120&lt;&gt;booking!U120,booking!U120&gt;0),booking!U120,"-")</f>
        <v>-</v>
      </c>
      <c r="Z120" s="79" t="str">
        <f>IFERROR(VLOOKUP(Y120,Database!$A$2:$L$175,8,FALSE),"-")</f>
        <v>-</v>
      </c>
      <c r="AA120" s="79" t="str">
        <f>IFERROR(VLOOKUP(Y120,Database!$A$2:$L$175,6,FALSE),"-")</f>
        <v>-</v>
      </c>
      <c r="AB120" s="92" t="str">
        <f>IFERROR(VLOOKUP(Y120,Database!$A$2:$L$175,9,FALSE),"-")</f>
        <v>-</v>
      </c>
      <c r="AC120" s="8" t="str">
        <f>IFERROR(VLOOKUP(Y120,Database!$A$2:$S$175,19,FALSE),"-")</f>
        <v>-</v>
      </c>
    </row>
    <row r="121" spans="1:29" ht="15" customHeight="1" thickBot="1" x14ac:dyDescent="0.4">
      <c r="A121" s="88" t="str">
        <f>rengoering!A121</f>
        <v>mandag</v>
      </c>
      <c r="B121" s="84">
        <v>46258</v>
      </c>
      <c r="C121" s="9"/>
      <c r="D121" s="89" t="str">
        <f>IF(booking!AB121&gt;0,"Y","-")</f>
        <v>Y</v>
      </c>
      <c r="E121" s="95" t="str">
        <f>IF(AND(D121="Y",booking!D121&lt;&gt;booking!E121,booking!E121&gt;0),booking!E121,"-")</f>
        <v>-</v>
      </c>
      <c r="F121" s="8" t="str">
        <f>IFERROR(VLOOKUP(E121,Database!$A$2:$L$175,8,FALSE),"-")</f>
        <v>-</v>
      </c>
      <c r="G121" s="78" t="str">
        <f>IFERROR(VLOOKUP(E121,Database!$A$2:$L$175,6,FALSE),"-")</f>
        <v>-</v>
      </c>
      <c r="H121" s="93" t="str">
        <f>IFERROR(VLOOKUP(E121,Database!$A$2:$L$175,9,FALSE),"-")</f>
        <v>-</v>
      </c>
      <c r="I121" s="112"/>
      <c r="J121" s="96" t="str">
        <f>IF(AND(D121="Y",booking!H121&lt;&gt;booking!I121,booking!I121&gt;0),booking!I121,"-")</f>
        <v>-</v>
      </c>
      <c r="K121" s="78" t="str">
        <f>IFERROR(VLOOKUP(J121,Database!$A$2:$L$175,8,FALSE),"-")</f>
        <v>-</v>
      </c>
      <c r="L121" s="78" t="str">
        <f>IFERROR(VLOOKUP(J121,Database!$A$2:$L$175,6,FALSE),"-")</f>
        <v>-</v>
      </c>
      <c r="M121" s="93" t="str">
        <f>IFERROR(VLOOKUP(J121,Database!$A$2:$L$175,9,FALSE),"-")</f>
        <v>-</v>
      </c>
      <c r="N121" s="209" t="str">
        <f>IFERROR(VLOOKUP(J121,Database!$A$2:$S$175,19,FALSE),"-")</f>
        <v>-</v>
      </c>
      <c r="O121" s="96" t="str">
        <f>IF(AND(D121="Y",booking!L121&lt;&gt;booking!M121,booking!M121&gt;0),booking!M121,"-")</f>
        <v>-</v>
      </c>
      <c r="P121" s="78" t="str">
        <f>IFERROR(VLOOKUP(O121,Database!$A$2:$L$175,8,FALSE),"-")</f>
        <v>-</v>
      </c>
      <c r="Q121" s="78" t="str">
        <f>IFERROR(VLOOKUP(O121,Database!$A$2:$L$175,6,FALSE),"-")</f>
        <v>-</v>
      </c>
      <c r="R121" s="82" t="str">
        <f>IFERROR(VLOOKUP(O121,Database!$A$2:$L$175,9,FALSE),"-")</f>
        <v>-</v>
      </c>
      <c r="S121" s="209" t="str">
        <f>IFERROR(VLOOKUP(O121,Database!$A$2:$S$175,19,FALSE),"-")</f>
        <v>-</v>
      </c>
      <c r="T121" s="97">
        <f>IF(AND(D121="Y",booking!P121&lt;&gt;booking!Q121,booking!Q121&gt;0),booking!Q121,"-")</f>
        <v>60</v>
      </c>
      <c r="U121" s="78">
        <f>IFERROR(VLOOKUP(T121,Database!$A$2:$L$175,8,FALSE),"-")</f>
        <v>0</v>
      </c>
      <c r="V121" s="78" t="str">
        <f>IFERROR(VLOOKUP(T121,Database!$A$2:$L$175,6,FALSE),"-")</f>
        <v>DK</v>
      </c>
      <c r="W121" s="82">
        <f>IFERROR(VLOOKUP(T121,Database!$A$2:$L$175,9,FALSE),"-")</f>
        <v>0</v>
      </c>
      <c r="X121" s="209" t="str">
        <f>IFERROR(VLOOKUP(T121,Database!$A$2:$S$175,19,FALSE),"-")</f>
        <v>N</v>
      </c>
      <c r="Y121" s="96" t="str">
        <f>IF(AND(D121="Y",booking!T121&lt;&gt;booking!U121,booking!U121&gt;0),booking!U121,"-")</f>
        <v>-</v>
      </c>
      <c r="Z121" s="79" t="str">
        <f>IFERROR(VLOOKUP(Y121,Database!$A$2:$L$175,8,FALSE),"-")</f>
        <v>-</v>
      </c>
      <c r="AA121" s="79" t="str">
        <f>IFERROR(VLOOKUP(Y121,Database!$A$2:$L$175,6,FALSE),"-")</f>
        <v>-</v>
      </c>
      <c r="AB121" s="92" t="str">
        <f>IFERROR(VLOOKUP(Y121,Database!$A$2:$L$175,9,FALSE),"-")</f>
        <v>-</v>
      </c>
      <c r="AC121" s="8" t="str">
        <f>IFERROR(VLOOKUP(Y121,Database!$A$2:$S$175,19,FALSE),"-")</f>
        <v>-</v>
      </c>
    </row>
    <row r="122" spans="1:29" ht="15" customHeight="1" thickBot="1" x14ac:dyDescent="0.4">
      <c r="A122" s="88" t="str">
        <f>rengoering!A122</f>
        <v>tirsdag</v>
      </c>
      <c r="B122" s="86">
        <v>46259</v>
      </c>
      <c r="C122" s="9"/>
      <c r="D122" s="89" t="str">
        <f>IF(booking!AB122&gt;0,"Y","-")</f>
        <v>-</v>
      </c>
      <c r="E122" s="95" t="str">
        <f>IF(AND(D122="Y",booking!D122&lt;&gt;booking!E122,booking!E122&gt;0),booking!E122,"-")</f>
        <v>-</v>
      </c>
      <c r="F122" s="8" t="str">
        <f>IFERROR(VLOOKUP(E122,Database!$A$2:$L$175,8,FALSE),"-")</f>
        <v>-</v>
      </c>
      <c r="G122" s="78" t="str">
        <f>IFERROR(VLOOKUP(E122,Database!$A$2:$L$175,6,FALSE),"-")</f>
        <v>-</v>
      </c>
      <c r="H122" s="93" t="str">
        <f>IFERROR(VLOOKUP(E122,Database!$A$2:$L$175,9,FALSE),"-")</f>
        <v>-</v>
      </c>
      <c r="I122" s="112"/>
      <c r="J122" s="96" t="str">
        <f>IF(AND(D122="Y",booking!H122&lt;&gt;booking!I122,booking!I122&gt;0),booking!I122,"-")</f>
        <v>-</v>
      </c>
      <c r="K122" s="78" t="str">
        <f>IFERROR(VLOOKUP(J122,Database!$A$2:$L$175,8,FALSE),"-")</f>
        <v>-</v>
      </c>
      <c r="L122" s="78" t="str">
        <f>IFERROR(VLOOKUP(J122,Database!$A$2:$L$175,6,FALSE),"-")</f>
        <v>-</v>
      </c>
      <c r="M122" s="93" t="str">
        <f>IFERROR(VLOOKUP(J122,Database!$A$2:$L$175,9,FALSE),"-")</f>
        <v>-</v>
      </c>
      <c r="N122" s="209" t="str">
        <f>IFERROR(VLOOKUP(J122,Database!$A$2:$S$175,19,FALSE),"-")</f>
        <v>-</v>
      </c>
      <c r="O122" s="96" t="str">
        <f>IF(AND(D122="Y",booking!L122&lt;&gt;booking!M122,booking!M122&gt;0),booking!M122,"-")</f>
        <v>-</v>
      </c>
      <c r="P122" s="78" t="str">
        <f>IFERROR(VLOOKUP(O122,Database!$A$2:$L$175,8,FALSE),"-")</f>
        <v>-</v>
      </c>
      <c r="Q122" s="78" t="str">
        <f>IFERROR(VLOOKUP(O122,Database!$A$2:$L$175,6,FALSE),"-")</f>
        <v>-</v>
      </c>
      <c r="R122" s="82" t="str">
        <f>IFERROR(VLOOKUP(O122,Database!$A$2:$L$175,9,FALSE),"-")</f>
        <v>-</v>
      </c>
      <c r="S122" s="209" t="str">
        <f>IFERROR(VLOOKUP(O122,Database!$A$2:$S$175,19,FALSE),"-")</f>
        <v>-</v>
      </c>
      <c r="T122" s="97" t="str">
        <f>IF(AND(D122="Y",booking!P122&lt;&gt;booking!Q122,booking!Q122&gt;0),booking!Q122,"-")</f>
        <v>-</v>
      </c>
      <c r="U122" s="78" t="str">
        <f>IFERROR(VLOOKUP(T122,Database!$A$2:$L$175,8,FALSE),"-")</f>
        <v>-</v>
      </c>
      <c r="V122" s="78" t="str">
        <f>IFERROR(VLOOKUP(T122,Database!$A$2:$L$175,6,FALSE),"-")</f>
        <v>-</v>
      </c>
      <c r="W122" s="82" t="str">
        <f>IFERROR(VLOOKUP(T122,Database!$A$2:$L$175,9,FALSE),"-")</f>
        <v>-</v>
      </c>
      <c r="X122" s="209" t="str">
        <f>IFERROR(VLOOKUP(T122,Database!$A$2:$S$175,19,FALSE),"-")</f>
        <v>-</v>
      </c>
      <c r="Y122" s="96" t="str">
        <f>IF(AND(D122="Y",booking!T122&lt;&gt;booking!U122,booking!U122&gt;0),booking!U122,"-")</f>
        <v>-</v>
      </c>
      <c r="Z122" s="79" t="str">
        <f>IFERROR(VLOOKUP(Y122,Database!$A$2:$L$175,8,FALSE),"-")</f>
        <v>-</v>
      </c>
      <c r="AA122" s="79" t="str">
        <f>IFERROR(VLOOKUP(Y122,Database!$A$2:$L$175,6,FALSE),"-")</f>
        <v>-</v>
      </c>
      <c r="AB122" s="92" t="str">
        <f>IFERROR(VLOOKUP(Y122,Database!$A$2:$L$175,9,FALSE),"-")</f>
        <v>-</v>
      </c>
      <c r="AC122" s="8" t="str">
        <f>IFERROR(VLOOKUP(Y122,Database!$A$2:$S$175,19,FALSE),"-")</f>
        <v>-</v>
      </c>
    </row>
    <row r="123" spans="1:29" ht="15" customHeight="1" thickBot="1" x14ac:dyDescent="0.4">
      <c r="A123" s="88" t="str">
        <f>rengoering!A123</f>
        <v>onsdag</v>
      </c>
      <c r="B123" s="84">
        <v>46260</v>
      </c>
      <c r="C123" s="9"/>
      <c r="D123" s="89" t="str">
        <f>IF(booking!AB123&gt;0,"Y","-")</f>
        <v>Y</v>
      </c>
      <c r="E123" s="95">
        <f>IF(AND(D123="Y",booking!D123&lt;&gt;booking!E123,booking!E123&gt;0),booking!E123,"-")</f>
        <v>67</v>
      </c>
      <c r="F123" s="8" t="str">
        <f>IFERROR(VLOOKUP(E123,Database!$A$2:$L$175,8,FALSE),"-")</f>
        <v>1430</v>
      </c>
      <c r="G123" s="78" t="str">
        <f>IFERROR(VLOOKUP(E123,Database!$A$2:$L$175,6,FALSE),"-")</f>
        <v>D</v>
      </c>
      <c r="H123" s="93" t="str">
        <f>IFERROR(VLOOKUP(E123,Database!$A$2:$L$175,9,FALSE),"-")</f>
        <v>dobb</v>
      </c>
      <c r="I123" s="112"/>
      <c r="J123" s="96">
        <f>IF(AND(D123="Y",booking!H123&lt;&gt;booking!I123,booking!I123&gt;0),booking!I123,"-")</f>
        <v>105</v>
      </c>
      <c r="K123" s="78">
        <f>IFERROR(VLOOKUP(J123,Database!$A$2:$L$175,8,FALSE),"-")</f>
        <v>0</v>
      </c>
      <c r="L123" s="78" t="str">
        <f>IFERROR(VLOOKUP(J123,Database!$A$2:$L$175,6,FALSE),"-")</f>
        <v>DK</v>
      </c>
      <c r="M123" s="93">
        <f>IFERROR(VLOOKUP(J123,Database!$A$2:$L$175,9,FALSE),"-")</f>
        <v>0</v>
      </c>
      <c r="N123" s="209" t="str">
        <f>IFERROR(VLOOKUP(J123,Database!$A$2:$S$175,19,FALSE),"-")</f>
        <v>N</v>
      </c>
      <c r="O123" s="96">
        <f>IF(AND(D123="Y",booking!L123&lt;&gt;booking!M123,booking!M123&gt;0),booking!M123,"-")</f>
        <v>78</v>
      </c>
      <c r="P123" s="78">
        <f>IFERROR(VLOOKUP(O123,Database!$A$2:$L$175,8,FALSE),"-")</f>
        <v>0</v>
      </c>
      <c r="Q123" s="78" t="str">
        <f>IFERROR(VLOOKUP(O123,Database!$A$2:$L$175,6,FALSE),"-")</f>
        <v>D</v>
      </c>
      <c r="R123" s="82" t="str">
        <f>IFERROR(VLOOKUP(O123,Database!$A$2:$L$175,9,FALSE),"-")</f>
        <v>dobb</v>
      </c>
      <c r="S123" s="209" t="str">
        <f>IFERROR(VLOOKUP(O123,Database!$A$2:$S$175,19,FALSE),"-")</f>
        <v>N</v>
      </c>
      <c r="T123" s="97" t="str">
        <f>IF(AND(D123="Y",booking!P123&lt;&gt;booking!Q123,booking!Q123&gt;0),booking!Q123,"-")</f>
        <v>-</v>
      </c>
      <c r="U123" s="78" t="str">
        <f>IFERROR(VLOOKUP(T123,Database!$A$2:$L$175,8,FALSE),"-")</f>
        <v>-</v>
      </c>
      <c r="V123" s="78" t="str">
        <f>IFERROR(VLOOKUP(T123,Database!$A$2:$L$175,6,FALSE),"-")</f>
        <v>-</v>
      </c>
      <c r="W123" s="82" t="str">
        <f>IFERROR(VLOOKUP(T123,Database!$A$2:$L$175,9,FALSE),"-")</f>
        <v>-</v>
      </c>
      <c r="X123" s="209" t="str">
        <f>IFERROR(VLOOKUP(T123,Database!$A$2:$S$175,19,FALSE),"-")</f>
        <v>-</v>
      </c>
      <c r="Y123" s="96" t="str">
        <f>IF(AND(D123="Y",booking!T123&lt;&gt;booking!U123,booking!U123&gt;0),booking!U123,"-")</f>
        <v>-</v>
      </c>
      <c r="Z123" s="79" t="str">
        <f>IFERROR(VLOOKUP(Y123,Database!$A$2:$L$175,8,FALSE),"-")</f>
        <v>-</v>
      </c>
      <c r="AA123" s="79" t="str">
        <f>IFERROR(VLOOKUP(Y123,Database!$A$2:$L$175,6,FALSE),"-")</f>
        <v>-</v>
      </c>
      <c r="AB123" s="92" t="str">
        <f>IFERROR(VLOOKUP(Y123,Database!$A$2:$L$175,9,FALSE),"-")</f>
        <v>-</v>
      </c>
      <c r="AC123" s="8" t="str">
        <f>IFERROR(VLOOKUP(Y123,Database!$A$2:$S$175,19,FALSE),"-")</f>
        <v>-</v>
      </c>
    </row>
    <row r="124" spans="1:29" ht="15" customHeight="1" thickBot="1" x14ac:dyDescent="0.4">
      <c r="A124" s="88" t="str">
        <f>rengoering!A124</f>
        <v>torsdag</v>
      </c>
      <c r="B124" s="86">
        <v>46261</v>
      </c>
      <c r="C124" s="9"/>
      <c r="D124" s="89" t="str">
        <f>IF(booking!AB124&gt;0,"Y","-")</f>
        <v>Y</v>
      </c>
      <c r="E124" s="95" t="str">
        <f>IF(AND(D124="Y",booking!D124&lt;&gt;booking!E124,booking!E124&gt;0),booking!E124,"-")</f>
        <v>-</v>
      </c>
      <c r="F124" s="8" t="str">
        <f>IFERROR(VLOOKUP(E124,Database!$A$2:$L$175,8,FALSE),"-")</f>
        <v>-</v>
      </c>
      <c r="G124" s="78" t="str">
        <f>IFERROR(VLOOKUP(E124,Database!$A$2:$L$175,6,FALSE),"-")</f>
        <v>-</v>
      </c>
      <c r="H124" s="93" t="str">
        <f>IFERROR(VLOOKUP(E124,Database!$A$2:$L$175,9,FALSE),"-")</f>
        <v>-</v>
      </c>
      <c r="I124" s="112"/>
      <c r="J124" s="96" t="str">
        <f>IF(AND(D124="Y",booking!H124&lt;&gt;booking!I124,booking!I124&gt;0),booking!I124,"-")</f>
        <v>-</v>
      </c>
      <c r="K124" s="78" t="str">
        <f>IFERROR(VLOOKUP(J124,Database!$A$2:$L$175,8,FALSE),"-")</f>
        <v>-</v>
      </c>
      <c r="L124" s="78" t="str">
        <f>IFERROR(VLOOKUP(J124,Database!$A$2:$L$175,6,FALSE),"-")</f>
        <v>-</v>
      </c>
      <c r="M124" s="93" t="str">
        <f>IFERROR(VLOOKUP(J124,Database!$A$2:$L$175,9,FALSE),"-")</f>
        <v>-</v>
      </c>
      <c r="N124" s="209" t="str">
        <f>IFERROR(VLOOKUP(J124,Database!$A$2:$S$175,19,FALSE),"-")</f>
        <v>-</v>
      </c>
      <c r="O124" s="96" t="str">
        <f>IF(AND(D124="Y",booking!L124&lt;&gt;booking!M124,booking!M124&gt;0),booking!M124,"-")</f>
        <v>-</v>
      </c>
      <c r="P124" s="78" t="str">
        <f>IFERROR(VLOOKUP(O124,Database!$A$2:$L$175,8,FALSE),"-")</f>
        <v>-</v>
      </c>
      <c r="Q124" s="78" t="str">
        <f>IFERROR(VLOOKUP(O124,Database!$A$2:$L$175,6,FALSE),"-")</f>
        <v>-</v>
      </c>
      <c r="R124" s="82" t="str">
        <f>IFERROR(VLOOKUP(O124,Database!$A$2:$L$175,9,FALSE),"-")</f>
        <v>-</v>
      </c>
      <c r="S124" s="209" t="str">
        <f>IFERROR(VLOOKUP(O124,Database!$A$2:$S$175,19,FALSE),"-")</f>
        <v>-</v>
      </c>
      <c r="T124" s="97" t="str">
        <f>IF(AND(D124="Y",booking!P124&lt;&gt;booking!Q124,booking!Q124&gt;0),booking!Q124,"-")</f>
        <v>-</v>
      </c>
      <c r="U124" s="78" t="str">
        <f>IFERROR(VLOOKUP(T124,Database!$A$2:$L$175,8,FALSE),"-")</f>
        <v>-</v>
      </c>
      <c r="V124" s="78" t="str">
        <f>IFERROR(VLOOKUP(T124,Database!$A$2:$L$175,6,FALSE),"-")</f>
        <v>-</v>
      </c>
      <c r="W124" s="82" t="str">
        <f>IFERROR(VLOOKUP(T124,Database!$A$2:$L$175,9,FALSE),"-")</f>
        <v>-</v>
      </c>
      <c r="X124" s="209" t="str">
        <f>IFERROR(VLOOKUP(T124,Database!$A$2:$S$175,19,FALSE),"-")</f>
        <v>-</v>
      </c>
      <c r="Y124" s="96">
        <f>IF(AND(D124="Y",booking!T124&lt;&gt;booking!U124,booking!U124&gt;0),booking!U124,"-")</f>
        <v>35</v>
      </c>
      <c r="Z124" s="79">
        <f>IFERROR(VLOOKUP(Y124,Database!$A$2:$L$175,8,FALSE),"-")</f>
        <v>0</v>
      </c>
      <c r="AA124" s="79" t="str">
        <f>IFERROR(VLOOKUP(Y124,Database!$A$2:$L$175,6,FALSE),"-")</f>
        <v>S</v>
      </c>
      <c r="AB124" s="92" t="str">
        <f>IFERROR(VLOOKUP(Y124,Database!$A$2:$L$175,9,FALSE),"-")</f>
        <v>dobb</v>
      </c>
      <c r="AC124" s="8" t="str">
        <f>IFERROR(VLOOKUP(Y124,Database!$A$2:$S$175,19,FALSE),"-")</f>
        <v>YY</v>
      </c>
    </row>
    <row r="125" spans="1:29" ht="15" customHeight="1" thickBot="1" x14ac:dyDescent="0.4">
      <c r="A125" s="88" t="str">
        <f>rengoering!A125</f>
        <v>fredag</v>
      </c>
      <c r="B125" s="84">
        <v>46262</v>
      </c>
      <c r="C125" s="9"/>
      <c r="D125" s="89" t="str">
        <f>IF(booking!AB125&gt;0,"Y","-")</f>
        <v>Y</v>
      </c>
      <c r="E125" s="95" t="str">
        <f>IF(AND(D125="Y",booking!D125&lt;&gt;booking!E125,booking!E125&gt;0),booking!E125,"-")</f>
        <v>-</v>
      </c>
      <c r="F125" s="8" t="str">
        <f>IFERROR(VLOOKUP(E125,Database!$A$2:$L$175,8,FALSE),"-")</f>
        <v>-</v>
      </c>
      <c r="G125" s="78" t="str">
        <f>IFERROR(VLOOKUP(E125,Database!$A$2:$L$175,6,FALSE),"-")</f>
        <v>-</v>
      </c>
      <c r="H125" s="93" t="str">
        <f>IFERROR(VLOOKUP(E125,Database!$A$2:$L$175,9,FALSE),"-")</f>
        <v>-</v>
      </c>
      <c r="I125" s="112"/>
      <c r="J125" s="96" t="str">
        <f>IF(AND(D125="Y",booking!H125&lt;&gt;booking!I125,booking!I125&gt;0),booking!I125,"-")</f>
        <v>-</v>
      </c>
      <c r="K125" s="78" t="str">
        <f>IFERROR(VLOOKUP(J125,Database!$A$2:$L$175,8,FALSE),"-")</f>
        <v>-</v>
      </c>
      <c r="L125" s="78" t="str">
        <f>IFERROR(VLOOKUP(J125,Database!$A$2:$L$175,6,FALSE),"-")</f>
        <v>-</v>
      </c>
      <c r="M125" s="93" t="str">
        <f>IFERROR(VLOOKUP(J125,Database!$A$2:$L$175,9,FALSE),"-")</f>
        <v>-</v>
      </c>
      <c r="N125" s="209" t="str">
        <f>IFERROR(VLOOKUP(J125,Database!$A$2:$S$175,19,FALSE),"-")</f>
        <v>-</v>
      </c>
      <c r="O125" s="96" t="str">
        <f>IF(AND(D125="Y",booking!L125&lt;&gt;booking!M125,booking!M125&gt;0),booking!M125,"-")</f>
        <v>-</v>
      </c>
      <c r="P125" s="78" t="str">
        <f>IFERROR(VLOOKUP(O125,Database!$A$2:$L$175,8,FALSE),"-")</f>
        <v>-</v>
      </c>
      <c r="Q125" s="78" t="str">
        <f>IFERROR(VLOOKUP(O125,Database!$A$2:$L$175,6,FALSE),"-")</f>
        <v>-</v>
      </c>
      <c r="R125" s="82" t="str">
        <f>IFERROR(VLOOKUP(O125,Database!$A$2:$L$175,9,FALSE),"-")</f>
        <v>-</v>
      </c>
      <c r="S125" s="209" t="str">
        <f>IFERROR(VLOOKUP(O125,Database!$A$2:$S$175,19,FALSE),"-")</f>
        <v>-</v>
      </c>
      <c r="T125" s="97">
        <f>IF(AND(D125="Y",booking!P125&lt;&gt;booking!Q125,booking!Q125&gt;0),booking!Q125,"-")</f>
        <v>123</v>
      </c>
      <c r="U125" s="78" t="str">
        <f>IFERROR(VLOOKUP(T125,Database!$A$2:$L$175,8,FALSE),"-")</f>
        <v>-</v>
      </c>
      <c r="V125" s="78" t="str">
        <f>IFERROR(VLOOKUP(T125,Database!$A$2:$L$175,6,FALSE),"-")</f>
        <v>-</v>
      </c>
      <c r="W125" s="82" t="str">
        <f>IFERROR(VLOOKUP(T125,Database!$A$2:$L$175,9,FALSE),"-")</f>
        <v>-</v>
      </c>
      <c r="X125" s="209" t="str">
        <f>IFERROR(VLOOKUP(T125,Database!$A$2:$S$175,19,FALSE),"-")</f>
        <v>-</v>
      </c>
      <c r="Y125" s="96" t="str">
        <f>IF(AND(D125="Y",booking!T125&lt;&gt;booking!U125,booking!U125&gt;0),booking!U125,"-")</f>
        <v>-</v>
      </c>
      <c r="Z125" s="79" t="str">
        <f>IFERROR(VLOOKUP(Y125,Database!$A$2:$L$175,8,FALSE),"-")</f>
        <v>-</v>
      </c>
      <c r="AA125" s="79" t="str">
        <f>IFERROR(VLOOKUP(Y125,Database!$A$2:$L$175,6,FALSE),"-")</f>
        <v>-</v>
      </c>
      <c r="AB125" s="92" t="str">
        <f>IFERROR(VLOOKUP(Y125,Database!$A$2:$L$175,9,FALSE),"-")</f>
        <v>-</v>
      </c>
      <c r="AC125" s="8" t="str">
        <f>IFERROR(VLOOKUP(Y125,Database!$A$2:$S$175,19,FALSE),"-")</f>
        <v>-</v>
      </c>
    </row>
    <row r="126" spans="1:29" ht="15" customHeight="1" thickBot="1" x14ac:dyDescent="0.4">
      <c r="A126" s="88" t="str">
        <f>rengoering!A126</f>
        <v>lørdag</v>
      </c>
      <c r="B126" s="86">
        <v>46263</v>
      </c>
      <c r="C126" s="9"/>
      <c r="D126" s="89" t="str">
        <f>IF(booking!AB126&gt;0,"Y","-")</f>
        <v>-</v>
      </c>
      <c r="E126" s="95" t="str">
        <f>IF(AND(D126="Y",booking!D126&lt;&gt;booking!E126,booking!E126&gt;0),booking!E126,"-")</f>
        <v>-</v>
      </c>
      <c r="F126" s="8" t="str">
        <f>IFERROR(VLOOKUP(E126,Database!$A$2:$L$175,8,FALSE),"-")</f>
        <v>-</v>
      </c>
      <c r="G126" s="78" t="str">
        <f>IFERROR(VLOOKUP(E126,Database!$A$2:$L$175,6,FALSE),"-")</f>
        <v>-</v>
      </c>
      <c r="H126" s="93" t="str">
        <f>IFERROR(VLOOKUP(E126,Database!$A$2:$L$175,9,FALSE),"-")</f>
        <v>-</v>
      </c>
      <c r="I126" s="112"/>
      <c r="J126" s="96" t="str">
        <f>IF(AND(D126="Y",booking!H126&lt;&gt;booking!I126,booking!I126&gt;0),booking!I126,"-")</f>
        <v>-</v>
      </c>
      <c r="K126" s="78" t="str">
        <f>IFERROR(VLOOKUP(J126,Database!$A$2:$L$175,8,FALSE),"-")</f>
        <v>-</v>
      </c>
      <c r="L126" s="78" t="str">
        <f>IFERROR(VLOOKUP(J126,Database!$A$2:$L$175,6,FALSE),"-")</f>
        <v>-</v>
      </c>
      <c r="M126" s="93" t="str">
        <f>IFERROR(VLOOKUP(J126,Database!$A$2:$L$175,9,FALSE),"-")</f>
        <v>-</v>
      </c>
      <c r="N126" s="209" t="str">
        <f>IFERROR(VLOOKUP(J126,Database!$A$2:$S$175,19,FALSE),"-")</f>
        <v>-</v>
      </c>
      <c r="O126" s="96" t="str">
        <f>IF(AND(D126="Y",booking!L126&lt;&gt;booking!M126,booking!M126&gt;0),booking!M126,"-")</f>
        <v>-</v>
      </c>
      <c r="P126" s="78" t="str">
        <f>IFERROR(VLOOKUP(O126,Database!$A$2:$L$175,8,FALSE),"-")</f>
        <v>-</v>
      </c>
      <c r="Q126" s="78" t="str">
        <f>IFERROR(VLOOKUP(O126,Database!$A$2:$L$175,6,FALSE),"-")</f>
        <v>-</v>
      </c>
      <c r="R126" s="82" t="str">
        <f>IFERROR(VLOOKUP(O126,Database!$A$2:$L$175,9,FALSE),"-")</f>
        <v>-</v>
      </c>
      <c r="S126" s="209" t="str">
        <f>IFERROR(VLOOKUP(O126,Database!$A$2:$S$175,19,FALSE),"-")</f>
        <v>-</v>
      </c>
      <c r="T126" s="97" t="str">
        <f>IF(AND(D126="Y",booking!P126&lt;&gt;booking!Q126,booking!Q126&gt;0),booking!Q126,"-")</f>
        <v>-</v>
      </c>
      <c r="U126" s="78" t="str">
        <f>IFERROR(VLOOKUP(T126,Database!$A$2:$L$175,8,FALSE),"-")</f>
        <v>-</v>
      </c>
      <c r="V126" s="78" t="str">
        <f>IFERROR(VLOOKUP(T126,Database!$A$2:$L$175,6,FALSE),"-")</f>
        <v>-</v>
      </c>
      <c r="W126" s="82" t="str">
        <f>IFERROR(VLOOKUP(T126,Database!$A$2:$L$175,9,FALSE),"-")</f>
        <v>-</v>
      </c>
      <c r="X126" s="209" t="str">
        <f>IFERROR(VLOOKUP(T126,Database!$A$2:$S$175,19,FALSE),"-")</f>
        <v>-</v>
      </c>
      <c r="Y126" s="96" t="str">
        <f>IF(AND(D126="Y",booking!T126&lt;&gt;booking!U126,booking!U126&gt;0),booking!U126,"-")</f>
        <v>-</v>
      </c>
      <c r="Z126" s="79" t="str">
        <f>IFERROR(VLOOKUP(Y126,Database!$A$2:$L$175,8,FALSE),"-")</f>
        <v>-</v>
      </c>
      <c r="AA126" s="79" t="str">
        <f>IFERROR(VLOOKUP(Y126,Database!$A$2:$L$175,6,FALSE),"-")</f>
        <v>-</v>
      </c>
      <c r="AB126" s="92" t="str">
        <f>IFERROR(VLOOKUP(Y126,Database!$A$2:$L$175,9,FALSE),"-")</f>
        <v>-</v>
      </c>
      <c r="AC126" s="8" t="str">
        <f>IFERROR(VLOOKUP(Y126,Database!$A$2:$S$175,19,FALSE),"-")</f>
        <v>-</v>
      </c>
    </row>
    <row r="127" spans="1:29" ht="15" customHeight="1" thickBot="1" x14ac:dyDescent="0.4">
      <c r="A127" s="88" t="str">
        <f>rengoering!A127</f>
        <v>søndag</v>
      </c>
      <c r="B127" s="84">
        <v>46264</v>
      </c>
      <c r="C127" s="9"/>
      <c r="D127" s="89" t="str">
        <f>IF(booking!AB127&gt;0,"Y","-")</f>
        <v>-</v>
      </c>
      <c r="E127" s="95" t="str">
        <f>IF(AND(D127="Y",booking!D127&lt;&gt;booking!E127,booking!E127&gt;0),booking!E127,"-")</f>
        <v>-</v>
      </c>
      <c r="F127" s="8" t="str">
        <f>IFERROR(VLOOKUP(E127,Database!$A$2:$L$175,8,FALSE),"-")</f>
        <v>-</v>
      </c>
      <c r="G127" s="78" t="str">
        <f>IFERROR(VLOOKUP(E127,Database!$A$2:$L$175,6,FALSE),"-")</f>
        <v>-</v>
      </c>
      <c r="H127" s="93" t="str">
        <f>IFERROR(VLOOKUP(E127,Database!$A$2:$L$175,9,FALSE),"-")</f>
        <v>-</v>
      </c>
      <c r="I127" s="112"/>
      <c r="J127" s="96" t="str">
        <f>IF(AND(D127="Y",booking!H127&lt;&gt;booking!I127,booking!I127&gt;0),booking!I127,"-")</f>
        <v>-</v>
      </c>
      <c r="K127" s="78" t="str">
        <f>IFERROR(VLOOKUP(J127,Database!$A$2:$L$175,8,FALSE),"-")</f>
        <v>-</v>
      </c>
      <c r="L127" s="78" t="str">
        <f>IFERROR(VLOOKUP(J127,Database!$A$2:$L$175,6,FALSE),"-")</f>
        <v>-</v>
      </c>
      <c r="M127" s="93" t="str">
        <f>IFERROR(VLOOKUP(J127,Database!$A$2:$L$175,9,FALSE),"-")</f>
        <v>-</v>
      </c>
      <c r="N127" s="209" t="str">
        <f>IFERROR(VLOOKUP(J127,Database!$A$2:$S$175,19,FALSE),"-")</f>
        <v>-</v>
      </c>
      <c r="O127" s="96" t="str">
        <f>IF(AND(D127="Y",booking!L127&lt;&gt;booking!M127,booking!M127&gt;0),booking!M127,"-")</f>
        <v>-</v>
      </c>
      <c r="P127" s="78" t="str">
        <f>IFERROR(VLOOKUP(O127,Database!$A$2:$L$175,8,FALSE),"-")</f>
        <v>-</v>
      </c>
      <c r="Q127" s="78" t="str">
        <f>IFERROR(VLOOKUP(O127,Database!$A$2:$L$175,6,FALSE),"-")</f>
        <v>-</v>
      </c>
      <c r="R127" s="82" t="str">
        <f>IFERROR(VLOOKUP(O127,Database!$A$2:$L$175,9,FALSE),"-")</f>
        <v>-</v>
      </c>
      <c r="S127" s="209" t="str">
        <f>IFERROR(VLOOKUP(O127,Database!$A$2:$S$175,19,FALSE),"-")</f>
        <v>-</v>
      </c>
      <c r="T127" s="97" t="str">
        <f>IF(AND(D127="Y",booking!P127&lt;&gt;booking!Q127,booking!Q127&gt;0),booking!Q127,"-")</f>
        <v>-</v>
      </c>
      <c r="U127" s="78" t="str">
        <f>IFERROR(VLOOKUP(T127,Database!$A$2:$L$175,8,FALSE),"-")</f>
        <v>-</v>
      </c>
      <c r="V127" s="78" t="str">
        <f>IFERROR(VLOOKUP(T127,Database!$A$2:$L$175,6,FALSE),"-")</f>
        <v>-</v>
      </c>
      <c r="W127" s="82" t="str">
        <f>IFERROR(VLOOKUP(T127,Database!$A$2:$L$175,9,FALSE),"-")</f>
        <v>-</v>
      </c>
      <c r="X127" s="209" t="str">
        <f>IFERROR(VLOOKUP(T127,Database!$A$2:$S$175,19,FALSE),"-")</f>
        <v>-</v>
      </c>
      <c r="Y127" s="96" t="str">
        <f>IF(AND(D127="Y",booking!T127&lt;&gt;booking!U127,booking!U127&gt;0),booking!U127,"-")</f>
        <v>-</v>
      </c>
      <c r="Z127" s="79" t="str">
        <f>IFERROR(VLOOKUP(Y127,Database!$A$2:$L$175,8,FALSE),"-")</f>
        <v>-</v>
      </c>
      <c r="AA127" s="79" t="str">
        <f>IFERROR(VLOOKUP(Y127,Database!$A$2:$L$175,6,FALSE),"-")</f>
        <v>-</v>
      </c>
      <c r="AB127" s="92" t="str">
        <f>IFERROR(VLOOKUP(Y127,Database!$A$2:$L$175,9,FALSE),"-")</f>
        <v>-</v>
      </c>
      <c r="AC127" s="8" t="str">
        <f>IFERROR(VLOOKUP(Y127,Database!$A$2:$S$175,19,FALSE),"-")</f>
        <v>-</v>
      </c>
    </row>
    <row r="128" spans="1:29" ht="15" customHeight="1" thickBot="1" x14ac:dyDescent="0.4">
      <c r="A128" s="88" t="str">
        <f>rengoering!A128</f>
        <v>mandag</v>
      </c>
      <c r="B128" s="86">
        <v>46265</v>
      </c>
      <c r="C128" s="9"/>
      <c r="D128" s="89" t="str">
        <f>IF(booking!AB128&gt;0,"Y","-")</f>
        <v>-</v>
      </c>
      <c r="E128" s="95" t="str">
        <f>IF(AND(D128="Y",booking!D128&lt;&gt;booking!E128,booking!E128&gt;0),booking!E128,"-")</f>
        <v>-</v>
      </c>
      <c r="F128" s="8" t="str">
        <f>IFERROR(VLOOKUP(E128,Database!$A$2:$L$175,8,FALSE),"-")</f>
        <v>-</v>
      </c>
      <c r="G128" s="78" t="str">
        <f>IFERROR(VLOOKUP(E128,Database!$A$2:$L$175,6,FALSE),"-")</f>
        <v>-</v>
      </c>
      <c r="H128" s="93" t="str">
        <f>IFERROR(VLOOKUP(E128,Database!$A$2:$L$175,9,FALSE),"-")</f>
        <v>-</v>
      </c>
      <c r="I128" s="112"/>
      <c r="J128" s="96" t="str">
        <f>IF(AND(D128="Y",booking!H128&lt;&gt;booking!I128,booking!I128&gt;0),booking!I128,"-")</f>
        <v>-</v>
      </c>
      <c r="K128" s="78" t="str">
        <f>IFERROR(VLOOKUP(J128,Database!$A$2:$L$175,8,FALSE),"-")</f>
        <v>-</v>
      </c>
      <c r="L128" s="78" t="str">
        <f>IFERROR(VLOOKUP(J128,Database!$A$2:$L$175,6,FALSE),"-")</f>
        <v>-</v>
      </c>
      <c r="M128" s="93" t="str">
        <f>IFERROR(VLOOKUP(J128,Database!$A$2:$L$175,9,FALSE),"-")</f>
        <v>-</v>
      </c>
      <c r="N128" s="209" t="str">
        <f>IFERROR(VLOOKUP(J128,Database!$A$2:$S$175,19,FALSE),"-")</f>
        <v>-</v>
      </c>
      <c r="O128" s="96" t="str">
        <f>IF(AND(D128="Y",booking!L128&lt;&gt;booking!M128,booking!M128&gt;0),booking!M128,"-")</f>
        <v>-</v>
      </c>
      <c r="P128" s="78" t="str">
        <f>IFERROR(VLOOKUP(O128,Database!$A$2:$L$175,8,FALSE),"-")</f>
        <v>-</v>
      </c>
      <c r="Q128" s="78" t="str">
        <f>IFERROR(VLOOKUP(O128,Database!$A$2:$L$175,6,FALSE),"-")</f>
        <v>-</v>
      </c>
      <c r="R128" s="82" t="str">
        <f>IFERROR(VLOOKUP(O128,Database!$A$2:$L$175,9,FALSE),"-")</f>
        <v>-</v>
      </c>
      <c r="S128" s="209" t="str">
        <f>IFERROR(VLOOKUP(O128,Database!$A$2:$S$175,19,FALSE),"-")</f>
        <v>-</v>
      </c>
      <c r="T128" s="97" t="str">
        <f>IF(AND(D128="Y",booking!P128&lt;&gt;booking!Q128,booking!Q128&gt;0),booking!Q128,"-")</f>
        <v>-</v>
      </c>
      <c r="U128" s="78" t="str">
        <f>IFERROR(VLOOKUP(T128,Database!$A$2:$L$175,8,FALSE),"-")</f>
        <v>-</v>
      </c>
      <c r="V128" s="78" t="str">
        <f>IFERROR(VLOOKUP(T128,Database!$A$2:$L$175,6,FALSE),"-")</f>
        <v>-</v>
      </c>
      <c r="W128" s="82" t="str">
        <f>IFERROR(VLOOKUP(T128,Database!$A$2:$L$175,9,FALSE),"-")</f>
        <v>-</v>
      </c>
      <c r="X128" s="209" t="str">
        <f>IFERROR(VLOOKUP(T128,Database!$A$2:$S$175,19,FALSE),"-")</f>
        <v>-</v>
      </c>
      <c r="Y128" s="96" t="str">
        <f>IF(AND(D128="Y",booking!T128&lt;&gt;booking!U128,booking!U128&gt;0),booking!U128,"-")</f>
        <v>-</v>
      </c>
      <c r="Z128" s="79" t="str">
        <f>IFERROR(VLOOKUP(Y128,Database!$A$2:$L$175,8,FALSE),"-")</f>
        <v>-</v>
      </c>
      <c r="AA128" s="79" t="str">
        <f>IFERROR(VLOOKUP(Y128,Database!$A$2:$L$175,6,FALSE),"-")</f>
        <v>-</v>
      </c>
      <c r="AB128" s="92" t="str">
        <f>IFERROR(VLOOKUP(Y128,Database!$A$2:$L$175,9,FALSE),"-")</f>
        <v>-</v>
      </c>
      <c r="AC128" s="8" t="str">
        <f>IFERROR(VLOOKUP(Y128,Database!$A$2:$S$175,19,FALSE),"-")</f>
        <v>-</v>
      </c>
    </row>
    <row r="129" spans="1:29" ht="15" customHeight="1" thickBot="1" x14ac:dyDescent="0.4">
      <c r="A129" s="88" t="str">
        <f>rengoering!A129</f>
        <v>tirsdag</v>
      </c>
      <c r="B129" s="84">
        <v>46266</v>
      </c>
      <c r="C129" s="9"/>
      <c r="D129" s="89" t="str">
        <f>IF(booking!AB129&gt;0,"Y","-")</f>
        <v>-</v>
      </c>
      <c r="E129" s="95" t="str">
        <f>IF(AND(D129="Y",booking!D129&lt;&gt;booking!E129,booking!E129&gt;0),booking!E129,"-")</f>
        <v>-</v>
      </c>
      <c r="F129" s="8" t="str">
        <f>IFERROR(VLOOKUP(E129,Database!$A$2:$L$175,8,FALSE),"-")</f>
        <v>-</v>
      </c>
      <c r="G129" s="78" t="str">
        <f>IFERROR(VLOOKUP(E129,Database!$A$2:$L$175,6,FALSE),"-")</f>
        <v>-</v>
      </c>
      <c r="H129" s="93" t="str">
        <f>IFERROR(VLOOKUP(E129,Database!$A$2:$L$175,9,FALSE),"-")</f>
        <v>-</v>
      </c>
      <c r="I129" s="112"/>
      <c r="J129" s="96" t="str">
        <f>IF(AND(D129="Y",booking!H129&lt;&gt;booking!I129,booking!I129&gt;0),booking!I129,"-")</f>
        <v>-</v>
      </c>
      <c r="K129" s="78" t="str">
        <f>IFERROR(VLOOKUP(J129,Database!$A$2:$L$175,8,FALSE),"-")</f>
        <v>-</v>
      </c>
      <c r="L129" s="78" t="str">
        <f>IFERROR(VLOOKUP(J129,Database!$A$2:$L$175,6,FALSE),"-")</f>
        <v>-</v>
      </c>
      <c r="M129" s="93" t="str">
        <f>IFERROR(VLOOKUP(J129,Database!$A$2:$L$175,9,FALSE),"-")</f>
        <v>-</v>
      </c>
      <c r="N129" s="209" t="str">
        <f>IFERROR(VLOOKUP(J129,Database!$A$2:$S$175,19,FALSE),"-")</f>
        <v>-</v>
      </c>
      <c r="O129" s="96" t="str">
        <f>IF(AND(D129="Y",booking!L129&lt;&gt;booking!M129,booking!M129&gt;0),booking!M129,"-")</f>
        <v>-</v>
      </c>
      <c r="P129" s="78" t="str">
        <f>IFERROR(VLOOKUP(O129,Database!$A$2:$L$175,8,FALSE),"-")</f>
        <v>-</v>
      </c>
      <c r="Q129" s="78" t="str">
        <f>IFERROR(VLOOKUP(O129,Database!$A$2:$L$175,6,FALSE),"-")</f>
        <v>-</v>
      </c>
      <c r="R129" s="82" t="str">
        <f>IFERROR(VLOOKUP(O129,Database!$A$2:$L$175,9,FALSE),"-")</f>
        <v>-</v>
      </c>
      <c r="S129" s="209" t="str">
        <f>IFERROR(VLOOKUP(O129,Database!$A$2:$S$175,19,FALSE),"-")</f>
        <v>-</v>
      </c>
      <c r="T129" s="97" t="str">
        <f>IF(AND(D129="Y",booking!P129&lt;&gt;booking!Q129,booking!Q129&gt;0),booking!Q129,"-")</f>
        <v>-</v>
      </c>
      <c r="U129" s="78" t="str">
        <f>IFERROR(VLOOKUP(T129,Database!$A$2:$L$175,8,FALSE),"-")</f>
        <v>-</v>
      </c>
      <c r="V129" s="78" t="str">
        <f>IFERROR(VLOOKUP(T129,Database!$A$2:$L$175,6,FALSE),"-")</f>
        <v>-</v>
      </c>
      <c r="W129" s="82" t="str">
        <f>IFERROR(VLOOKUP(T129,Database!$A$2:$L$175,9,FALSE),"-")</f>
        <v>-</v>
      </c>
      <c r="X129" s="209" t="str">
        <f>IFERROR(VLOOKUP(T129,Database!$A$2:$S$175,19,FALSE),"-")</f>
        <v>-</v>
      </c>
      <c r="Y129" s="96" t="str">
        <f>IF(AND(D129="Y",booking!T129&lt;&gt;booking!U129,booking!U129&gt;0),booking!U129,"-")</f>
        <v>-</v>
      </c>
      <c r="Z129" s="79" t="str">
        <f>IFERROR(VLOOKUP(Y129,Database!$A$2:$L$175,8,FALSE),"-")</f>
        <v>-</v>
      </c>
      <c r="AA129" s="79" t="str">
        <f>IFERROR(VLOOKUP(Y129,Database!$A$2:$L$175,6,FALSE),"-")</f>
        <v>-</v>
      </c>
      <c r="AB129" s="92" t="str">
        <f>IFERROR(VLOOKUP(Y129,Database!$A$2:$L$175,9,FALSE),"-")</f>
        <v>-</v>
      </c>
      <c r="AC129" s="8" t="str">
        <f>IFERROR(VLOOKUP(Y129,Database!$A$2:$S$175,19,FALSE),"-")</f>
        <v>-</v>
      </c>
    </row>
    <row r="130" spans="1:29" ht="15" customHeight="1" thickBot="1" x14ac:dyDescent="0.4">
      <c r="A130" s="88" t="str">
        <f>rengoering!A130</f>
        <v>onsdag</v>
      </c>
      <c r="B130" s="86">
        <v>46267</v>
      </c>
      <c r="C130" s="9"/>
      <c r="D130" s="89" t="str">
        <f>IF(booking!AB130&gt;0,"Y","-")</f>
        <v>-</v>
      </c>
      <c r="E130" s="95" t="str">
        <f>IF(AND(D130="Y",booking!D130&lt;&gt;booking!E130,booking!E130&gt;0),booking!E130,"-")</f>
        <v>-</v>
      </c>
      <c r="F130" s="8" t="str">
        <f>IFERROR(VLOOKUP(E130,Database!$A$2:$L$175,8,FALSE),"-")</f>
        <v>-</v>
      </c>
      <c r="G130" s="78" t="str">
        <f>IFERROR(VLOOKUP(E130,Database!$A$2:$L$175,6,FALSE),"-")</f>
        <v>-</v>
      </c>
      <c r="H130" s="93" t="str">
        <f>IFERROR(VLOOKUP(E130,Database!$A$2:$L$175,9,FALSE),"-")</f>
        <v>-</v>
      </c>
      <c r="I130" s="112"/>
      <c r="J130" s="96" t="str">
        <f>IF(AND(D130="Y",booking!H130&lt;&gt;booking!I130,booking!I130&gt;0),booking!I130,"-")</f>
        <v>-</v>
      </c>
      <c r="K130" s="78" t="str">
        <f>IFERROR(VLOOKUP(J130,Database!$A$2:$L$175,8,FALSE),"-")</f>
        <v>-</v>
      </c>
      <c r="L130" s="78" t="str">
        <f>IFERROR(VLOOKUP(J130,Database!$A$2:$L$175,6,FALSE),"-")</f>
        <v>-</v>
      </c>
      <c r="M130" s="93" t="str">
        <f>IFERROR(VLOOKUP(J130,Database!$A$2:$L$175,9,FALSE),"-")</f>
        <v>-</v>
      </c>
      <c r="N130" s="209" t="str">
        <f>IFERROR(VLOOKUP(J130,Database!$A$2:$S$175,19,FALSE),"-")</f>
        <v>-</v>
      </c>
      <c r="O130" s="96" t="str">
        <f>IF(AND(D130="Y",booking!L130&lt;&gt;booking!M130,booking!M130&gt;0),booking!M130,"-")</f>
        <v>-</v>
      </c>
      <c r="P130" s="78" t="str">
        <f>IFERROR(VLOOKUP(O130,Database!$A$2:$L$175,8,FALSE),"-")</f>
        <v>-</v>
      </c>
      <c r="Q130" s="78" t="str">
        <f>IFERROR(VLOOKUP(O130,Database!$A$2:$L$175,6,FALSE),"-")</f>
        <v>-</v>
      </c>
      <c r="R130" s="82" t="str">
        <f>IFERROR(VLOOKUP(O130,Database!$A$2:$L$175,9,FALSE),"-")</f>
        <v>-</v>
      </c>
      <c r="S130" s="209" t="str">
        <f>IFERROR(VLOOKUP(O130,Database!$A$2:$S$175,19,FALSE),"-")</f>
        <v>-</v>
      </c>
      <c r="T130" s="97" t="str">
        <f>IF(AND(D130="Y",booking!P130&lt;&gt;booking!Q130,booking!Q130&gt;0),booking!Q130,"-")</f>
        <v>-</v>
      </c>
      <c r="U130" s="78" t="str">
        <f>IFERROR(VLOOKUP(T130,Database!$A$2:$L$175,8,FALSE),"-")</f>
        <v>-</v>
      </c>
      <c r="V130" s="78" t="str">
        <f>IFERROR(VLOOKUP(T130,Database!$A$2:$L$175,6,FALSE),"-")</f>
        <v>-</v>
      </c>
      <c r="W130" s="82" t="str">
        <f>IFERROR(VLOOKUP(T130,Database!$A$2:$L$175,9,FALSE),"-")</f>
        <v>-</v>
      </c>
      <c r="X130" s="209" t="str">
        <f>IFERROR(VLOOKUP(T130,Database!$A$2:$S$175,19,FALSE),"-")</f>
        <v>-</v>
      </c>
      <c r="Y130" s="96" t="str">
        <f>IF(AND(D130="Y",booking!T130&lt;&gt;booking!U130,booking!U130&gt;0),booking!U130,"-")</f>
        <v>-</v>
      </c>
      <c r="Z130" s="79" t="str">
        <f>IFERROR(VLOOKUP(Y130,Database!$A$2:$L$175,8,FALSE),"-")</f>
        <v>-</v>
      </c>
      <c r="AA130" s="79" t="str">
        <f>IFERROR(VLOOKUP(Y130,Database!$A$2:$L$175,6,FALSE),"-")</f>
        <v>-</v>
      </c>
      <c r="AB130" s="92" t="str">
        <f>IFERROR(VLOOKUP(Y130,Database!$A$2:$L$175,9,FALSE),"-")</f>
        <v>-</v>
      </c>
      <c r="AC130" s="8" t="str">
        <f>IFERROR(VLOOKUP(Y130,Database!$A$2:$S$175,19,FALSE),"-")</f>
        <v>-</v>
      </c>
    </row>
    <row r="131" spans="1:29" ht="15" customHeight="1" thickBot="1" x14ac:dyDescent="0.4">
      <c r="A131" s="88" t="str">
        <f>rengoering!A131</f>
        <v>torsdag</v>
      </c>
      <c r="B131" s="84">
        <v>46268</v>
      </c>
      <c r="C131" s="9"/>
      <c r="D131" s="89" t="str">
        <f>IF(booking!AB131&gt;0,"Y","-")</f>
        <v>-</v>
      </c>
      <c r="E131" s="95" t="str">
        <f>IF(AND(D131="Y",booking!D131&lt;&gt;booking!E131,booking!E131&gt;0),booking!E131,"-")</f>
        <v>-</v>
      </c>
      <c r="F131" s="8" t="str">
        <f>IFERROR(VLOOKUP(E131,Database!$A$2:$L$175,8,FALSE),"-")</f>
        <v>-</v>
      </c>
      <c r="G131" s="78" t="str">
        <f>IFERROR(VLOOKUP(E131,Database!$A$2:$L$175,6,FALSE),"-")</f>
        <v>-</v>
      </c>
      <c r="H131" s="93" t="str">
        <f>IFERROR(VLOOKUP(E131,Database!$A$2:$L$175,9,FALSE),"-")</f>
        <v>-</v>
      </c>
      <c r="I131" s="112"/>
      <c r="J131" s="96" t="str">
        <f>IF(AND(D131="Y",booking!H131&lt;&gt;booking!I131,booking!I131&gt;0),booking!I131,"-")</f>
        <v>-</v>
      </c>
      <c r="K131" s="78" t="str">
        <f>IFERROR(VLOOKUP(J131,Database!$A$2:$L$175,8,FALSE),"-")</f>
        <v>-</v>
      </c>
      <c r="L131" s="78" t="str">
        <f>IFERROR(VLOOKUP(J131,Database!$A$2:$L$175,6,FALSE),"-")</f>
        <v>-</v>
      </c>
      <c r="M131" s="93" t="str">
        <f>IFERROR(VLOOKUP(J131,Database!$A$2:$L$175,9,FALSE),"-")</f>
        <v>-</v>
      </c>
      <c r="N131" s="209" t="str">
        <f>IFERROR(VLOOKUP(J131,Database!$A$2:$S$175,19,FALSE),"-")</f>
        <v>-</v>
      </c>
      <c r="O131" s="96" t="str">
        <f>IF(AND(D131="Y",booking!L131&lt;&gt;booking!M131,booking!M131&gt;0),booking!M131,"-")</f>
        <v>-</v>
      </c>
      <c r="P131" s="78" t="str">
        <f>IFERROR(VLOOKUP(O131,Database!$A$2:$L$175,8,FALSE),"-")</f>
        <v>-</v>
      </c>
      <c r="Q131" s="78" t="str">
        <f>IFERROR(VLOOKUP(O131,Database!$A$2:$L$175,6,FALSE),"-")</f>
        <v>-</v>
      </c>
      <c r="R131" s="82" t="str">
        <f>IFERROR(VLOOKUP(O131,Database!$A$2:$L$175,9,FALSE),"-")</f>
        <v>-</v>
      </c>
      <c r="S131" s="209" t="str">
        <f>IFERROR(VLOOKUP(O131,Database!$A$2:$S$175,19,FALSE),"-")</f>
        <v>-</v>
      </c>
      <c r="T131" s="97" t="str">
        <f>IF(AND(D131="Y",booking!P131&lt;&gt;booking!Q131,booking!Q131&gt;0),booking!Q131,"-")</f>
        <v>-</v>
      </c>
      <c r="U131" s="78" t="str">
        <f>IFERROR(VLOOKUP(T131,Database!$A$2:$L$175,8,FALSE),"-")</f>
        <v>-</v>
      </c>
      <c r="V131" s="78" t="str">
        <f>IFERROR(VLOOKUP(T131,Database!$A$2:$L$175,6,FALSE),"-")</f>
        <v>-</v>
      </c>
      <c r="W131" s="82" t="str">
        <f>IFERROR(VLOOKUP(T131,Database!$A$2:$L$175,9,FALSE),"-")</f>
        <v>-</v>
      </c>
      <c r="X131" s="209" t="str">
        <f>IFERROR(VLOOKUP(T131,Database!$A$2:$S$175,19,FALSE),"-")</f>
        <v>-</v>
      </c>
      <c r="Y131" s="96" t="str">
        <f>IF(AND(D131="Y",booking!T131&lt;&gt;booking!U131,booking!U131&gt;0),booking!U131,"-")</f>
        <v>-</v>
      </c>
      <c r="Z131" s="79" t="str">
        <f>IFERROR(VLOOKUP(Y131,Database!$A$2:$L$175,8,FALSE),"-")</f>
        <v>-</v>
      </c>
      <c r="AA131" s="79" t="str">
        <f>IFERROR(VLOOKUP(Y131,Database!$A$2:$L$175,6,FALSE),"-")</f>
        <v>-</v>
      </c>
      <c r="AB131" s="92" t="str">
        <f>IFERROR(VLOOKUP(Y131,Database!$A$2:$L$175,9,FALSE),"-")</f>
        <v>-</v>
      </c>
      <c r="AC131" s="8" t="str">
        <f>IFERROR(VLOOKUP(Y131,Database!$A$2:$S$175,19,FALSE),"-")</f>
        <v>-</v>
      </c>
    </row>
    <row r="132" spans="1:29" ht="15" customHeight="1" thickBot="1" x14ac:dyDescent="0.4">
      <c r="A132" s="88" t="str">
        <f>rengoering!A132</f>
        <v>fredag</v>
      </c>
      <c r="B132" s="86">
        <v>46269</v>
      </c>
      <c r="C132" s="9"/>
      <c r="D132" s="89" t="str">
        <f>IF(booking!AB132&gt;0,"Y","-")</f>
        <v>Y</v>
      </c>
      <c r="E132" s="95" t="str">
        <f>IF(AND(D132="Y",booking!D132&lt;&gt;booking!E132,booking!E132&gt;0),booking!E132,"-")</f>
        <v>-</v>
      </c>
      <c r="F132" s="8" t="str">
        <f>IFERROR(VLOOKUP(E132,Database!$A$2:$L$175,8,FALSE),"-")</f>
        <v>-</v>
      </c>
      <c r="G132" s="78" t="str">
        <f>IFERROR(VLOOKUP(E132,Database!$A$2:$L$175,6,FALSE),"-")</f>
        <v>-</v>
      </c>
      <c r="H132" s="93" t="str">
        <f>IFERROR(VLOOKUP(E132,Database!$A$2:$L$175,9,FALSE),"-")</f>
        <v>-</v>
      </c>
      <c r="I132" s="112"/>
      <c r="J132" s="96" t="str">
        <f>IF(AND(D132="Y",booking!H132&lt;&gt;booking!I132,booking!I132&gt;0),booking!I132,"-")</f>
        <v>-</v>
      </c>
      <c r="K132" s="78" t="str">
        <f>IFERROR(VLOOKUP(J132,Database!$A$2:$L$175,8,FALSE),"-")</f>
        <v>-</v>
      </c>
      <c r="L132" s="78" t="str">
        <f>IFERROR(VLOOKUP(J132,Database!$A$2:$L$175,6,FALSE),"-")</f>
        <v>-</v>
      </c>
      <c r="M132" s="93" t="str">
        <f>IFERROR(VLOOKUP(J132,Database!$A$2:$L$175,9,FALSE),"-")</f>
        <v>-</v>
      </c>
      <c r="N132" s="209" t="str">
        <f>IFERROR(VLOOKUP(J132,Database!$A$2:$S$175,19,FALSE),"-")</f>
        <v>-</v>
      </c>
      <c r="O132" s="96" t="str">
        <f>IF(AND(D132="Y",booking!L132&lt;&gt;booking!M132,booking!M132&gt;0),booking!M132,"-")</f>
        <v>-</v>
      </c>
      <c r="P132" s="78" t="str">
        <f>IFERROR(VLOOKUP(O132,Database!$A$2:$L$175,8,FALSE),"-")</f>
        <v>-</v>
      </c>
      <c r="Q132" s="78" t="str">
        <f>IFERROR(VLOOKUP(O132,Database!$A$2:$L$175,6,FALSE),"-")</f>
        <v>-</v>
      </c>
      <c r="R132" s="82" t="str">
        <f>IFERROR(VLOOKUP(O132,Database!$A$2:$L$175,9,FALSE),"-")</f>
        <v>-</v>
      </c>
      <c r="S132" s="209" t="str">
        <f>IFERROR(VLOOKUP(O132,Database!$A$2:$S$175,19,FALSE),"-")</f>
        <v>-</v>
      </c>
      <c r="T132" s="97">
        <f>IF(AND(D132="Y",booking!P132&lt;&gt;booking!Q132,booking!Q132&gt;0),booking!Q132,"-")</f>
        <v>113</v>
      </c>
      <c r="U132" s="78">
        <f>IFERROR(VLOOKUP(T132,Database!$A$2:$L$175,8,FALSE),"-")</f>
        <v>0</v>
      </c>
      <c r="V132" s="78" t="str">
        <f>IFERROR(VLOOKUP(T132,Database!$A$2:$L$175,6,FALSE),"-")</f>
        <v>DK</v>
      </c>
      <c r="W132" s="82">
        <f>IFERROR(VLOOKUP(T132,Database!$A$2:$L$175,9,FALSE),"-")</f>
        <v>0</v>
      </c>
      <c r="X132" s="209" t="str">
        <f>IFERROR(VLOOKUP(T132,Database!$A$2:$S$175,19,FALSE),"-")</f>
        <v>N</v>
      </c>
      <c r="Y132" s="96" t="str">
        <f>IF(AND(D132="Y",booking!T132&lt;&gt;booking!U132,booking!U132&gt;0),booking!U132,"-")</f>
        <v>-</v>
      </c>
      <c r="Z132" s="79" t="str">
        <f>IFERROR(VLOOKUP(Y132,Database!$A$2:$L$175,8,FALSE),"-")</f>
        <v>-</v>
      </c>
      <c r="AA132" s="79" t="str">
        <f>IFERROR(VLOOKUP(Y132,Database!$A$2:$L$175,6,FALSE),"-")</f>
        <v>-</v>
      </c>
      <c r="AB132" s="92" t="str">
        <f>IFERROR(VLOOKUP(Y132,Database!$A$2:$L$175,9,FALSE),"-")</f>
        <v>-</v>
      </c>
      <c r="AC132" s="8" t="str">
        <f>IFERROR(VLOOKUP(Y132,Database!$A$2:$S$175,19,FALSE),"-")</f>
        <v>-</v>
      </c>
    </row>
    <row r="133" spans="1:29" ht="15" customHeight="1" thickBot="1" x14ac:dyDescent="0.4">
      <c r="A133" s="88" t="str">
        <f>rengoering!A133</f>
        <v>lørdag</v>
      </c>
      <c r="B133" s="84">
        <v>46270</v>
      </c>
      <c r="C133" s="9"/>
      <c r="D133" s="89" t="str">
        <f>IF(booking!AB133&gt;0,"Y","-")</f>
        <v>-</v>
      </c>
      <c r="E133" s="95" t="str">
        <f>IF(AND(D133="Y",booking!D133&lt;&gt;booking!E133,booking!E133&gt;0),booking!E133,"-")</f>
        <v>-</v>
      </c>
      <c r="F133" s="8" t="str">
        <f>IFERROR(VLOOKUP(E133,Database!$A$2:$L$175,8,FALSE),"-")</f>
        <v>-</v>
      </c>
      <c r="G133" s="78" t="str">
        <f>IFERROR(VLOOKUP(E133,Database!$A$2:$L$175,6,FALSE),"-")</f>
        <v>-</v>
      </c>
      <c r="H133" s="93" t="str">
        <f>IFERROR(VLOOKUP(E133,Database!$A$2:$L$175,9,FALSE),"-")</f>
        <v>-</v>
      </c>
      <c r="I133" s="112"/>
      <c r="J133" s="96" t="str">
        <f>IF(AND(D133="Y",booking!H133&lt;&gt;booking!I133,booking!I133&gt;0),booking!I133,"-")</f>
        <v>-</v>
      </c>
      <c r="K133" s="78" t="str">
        <f>IFERROR(VLOOKUP(J133,Database!$A$2:$L$175,8,FALSE),"-")</f>
        <v>-</v>
      </c>
      <c r="L133" s="78" t="str">
        <f>IFERROR(VLOOKUP(J133,Database!$A$2:$L$175,6,FALSE),"-")</f>
        <v>-</v>
      </c>
      <c r="M133" s="93" t="str">
        <f>IFERROR(VLOOKUP(J133,Database!$A$2:$L$175,9,FALSE),"-")</f>
        <v>-</v>
      </c>
      <c r="N133" s="209" t="str">
        <f>IFERROR(VLOOKUP(J133,Database!$A$2:$S$175,19,FALSE),"-")</f>
        <v>-</v>
      </c>
      <c r="O133" s="96" t="str">
        <f>IF(AND(D133="Y",booking!L133&lt;&gt;booking!M133,booking!M133&gt;0),booking!M133,"-")</f>
        <v>-</v>
      </c>
      <c r="P133" s="78" t="str">
        <f>IFERROR(VLOOKUP(O133,Database!$A$2:$L$175,8,FALSE),"-")</f>
        <v>-</v>
      </c>
      <c r="Q133" s="78" t="str">
        <f>IFERROR(VLOOKUP(O133,Database!$A$2:$L$175,6,FALSE),"-")</f>
        <v>-</v>
      </c>
      <c r="R133" s="82" t="str">
        <f>IFERROR(VLOOKUP(O133,Database!$A$2:$L$175,9,FALSE),"-")</f>
        <v>-</v>
      </c>
      <c r="S133" s="209" t="str">
        <f>IFERROR(VLOOKUP(O133,Database!$A$2:$S$175,19,FALSE),"-")</f>
        <v>-</v>
      </c>
      <c r="T133" s="97" t="str">
        <f>IF(AND(D133="Y",booking!P133&lt;&gt;booking!Q133,booking!Q133&gt;0),booking!Q133,"-")</f>
        <v>-</v>
      </c>
      <c r="U133" s="78" t="str">
        <f>IFERROR(VLOOKUP(T133,Database!$A$2:$L$175,8,FALSE),"-")</f>
        <v>-</v>
      </c>
      <c r="V133" s="78" t="str">
        <f>IFERROR(VLOOKUP(T133,Database!$A$2:$L$175,6,FALSE),"-")</f>
        <v>-</v>
      </c>
      <c r="W133" s="82" t="str">
        <f>IFERROR(VLOOKUP(T133,Database!$A$2:$L$175,9,FALSE),"-")</f>
        <v>-</v>
      </c>
      <c r="X133" s="209" t="str">
        <f>IFERROR(VLOOKUP(T133,Database!$A$2:$S$175,19,FALSE),"-")</f>
        <v>-</v>
      </c>
      <c r="Y133" s="96" t="str">
        <f>IF(AND(D133="Y",booking!T133&lt;&gt;booking!U133,booking!U133&gt;0),booking!U133,"-")</f>
        <v>-</v>
      </c>
      <c r="Z133" s="79" t="str">
        <f>IFERROR(VLOOKUP(Y133,Database!$A$2:$L$175,8,FALSE),"-")</f>
        <v>-</v>
      </c>
      <c r="AA133" s="79" t="str">
        <f>IFERROR(VLOOKUP(Y133,Database!$A$2:$L$175,6,FALSE),"-")</f>
        <v>-</v>
      </c>
      <c r="AB133" s="92" t="str">
        <f>IFERROR(VLOOKUP(Y133,Database!$A$2:$L$175,9,FALSE),"-")</f>
        <v>-</v>
      </c>
      <c r="AC133" s="8" t="str">
        <f>IFERROR(VLOOKUP(Y133,Database!$A$2:$S$175,19,FALSE),"-")</f>
        <v>-</v>
      </c>
    </row>
    <row r="134" spans="1:29" ht="15" customHeight="1" thickBot="1" x14ac:dyDescent="0.4">
      <c r="A134" s="88" t="str">
        <f>rengoering!A134</f>
        <v>søndag</v>
      </c>
      <c r="B134" s="86">
        <v>46271</v>
      </c>
      <c r="C134" s="9"/>
      <c r="D134" s="89" t="str">
        <f>IF(booking!AB134&gt;0,"Y","-")</f>
        <v>Y</v>
      </c>
      <c r="E134" s="95" t="str">
        <f>IF(AND(D134="Y",booking!D134&lt;&gt;booking!E134,booking!E134&gt;0),booking!E134,"-")</f>
        <v>-</v>
      </c>
      <c r="F134" s="8" t="str">
        <f>IFERROR(VLOOKUP(E134,Database!$A$2:$L$175,8,FALSE),"-")</f>
        <v>-</v>
      </c>
      <c r="G134" s="78" t="str">
        <f>IFERROR(VLOOKUP(E134,Database!$A$2:$L$175,6,FALSE),"-")</f>
        <v>-</v>
      </c>
      <c r="H134" s="93" t="str">
        <f>IFERROR(VLOOKUP(E134,Database!$A$2:$L$175,9,FALSE),"-")</f>
        <v>-</v>
      </c>
      <c r="I134" s="112"/>
      <c r="J134" s="96" t="str">
        <f>IF(AND(D134="Y",booking!H134&lt;&gt;booking!I134,booking!I134&gt;0),booking!I134,"-")</f>
        <v>-</v>
      </c>
      <c r="K134" s="78" t="str">
        <f>IFERROR(VLOOKUP(J134,Database!$A$2:$L$175,8,FALSE),"-")</f>
        <v>-</v>
      </c>
      <c r="L134" s="78" t="str">
        <f>IFERROR(VLOOKUP(J134,Database!$A$2:$L$175,6,FALSE),"-")</f>
        <v>-</v>
      </c>
      <c r="M134" s="93" t="str">
        <f>IFERROR(VLOOKUP(J134,Database!$A$2:$L$175,9,FALSE),"-")</f>
        <v>-</v>
      </c>
      <c r="N134" s="209" t="str">
        <f>IFERROR(VLOOKUP(J134,Database!$A$2:$S$175,19,FALSE),"-")</f>
        <v>-</v>
      </c>
      <c r="O134" s="96" t="str">
        <f>IF(AND(D134="Y",booking!L134&lt;&gt;booking!M134,booking!M134&gt;0),booking!M134,"-")</f>
        <v>-</v>
      </c>
      <c r="P134" s="78" t="str">
        <f>IFERROR(VLOOKUP(O134,Database!$A$2:$L$175,8,FALSE),"-")</f>
        <v>-</v>
      </c>
      <c r="Q134" s="78" t="str">
        <f>IFERROR(VLOOKUP(O134,Database!$A$2:$L$175,6,FALSE),"-")</f>
        <v>-</v>
      </c>
      <c r="R134" s="82" t="str">
        <f>IFERROR(VLOOKUP(O134,Database!$A$2:$L$175,9,FALSE),"-")</f>
        <v>-</v>
      </c>
      <c r="S134" s="209" t="str">
        <f>IFERROR(VLOOKUP(O134,Database!$A$2:$S$175,19,FALSE),"-")</f>
        <v>-</v>
      </c>
      <c r="T134" s="97" t="str">
        <f>IF(AND(D134="Y",booking!P134&lt;&gt;booking!Q134,booking!Q134&gt;0),booking!Q134,"-")</f>
        <v>-</v>
      </c>
      <c r="U134" s="78" t="str">
        <f>IFERROR(VLOOKUP(T134,Database!$A$2:$L$175,8,FALSE),"-")</f>
        <v>-</v>
      </c>
      <c r="V134" s="78" t="str">
        <f>IFERROR(VLOOKUP(T134,Database!$A$2:$L$175,6,FALSE),"-")</f>
        <v>-</v>
      </c>
      <c r="W134" s="82" t="str">
        <f>IFERROR(VLOOKUP(T134,Database!$A$2:$L$175,9,FALSE),"-")</f>
        <v>-</v>
      </c>
      <c r="X134" s="209" t="str">
        <f>IFERROR(VLOOKUP(T134,Database!$A$2:$S$175,19,FALSE),"-")</f>
        <v>-</v>
      </c>
      <c r="Y134" s="96">
        <f>IF(AND(D134="Y",booking!T134&lt;&gt;booking!U134,booking!U134&gt;0),booking!U134,"-")</f>
        <v>22</v>
      </c>
      <c r="Z134" s="79">
        <f>IFERROR(VLOOKUP(Y134,Database!$A$2:$L$175,8,FALSE),"-")</f>
        <v>0</v>
      </c>
      <c r="AA134" s="79" t="str">
        <f>IFERROR(VLOOKUP(Y134,Database!$A$2:$L$175,6,FALSE),"-")</f>
        <v>D</v>
      </c>
      <c r="AB134" s="92">
        <f>IFERROR(VLOOKUP(Y134,Database!$A$2:$L$175,9,FALSE),"-")</f>
        <v>0</v>
      </c>
      <c r="AC134" s="8" t="str">
        <f>IFERROR(VLOOKUP(Y134,Database!$A$2:$S$175,19,FALSE),"-")</f>
        <v>N</v>
      </c>
    </row>
    <row r="135" spans="1:29" ht="15" customHeight="1" thickBot="1" x14ac:dyDescent="0.4">
      <c r="A135" s="88" t="str">
        <f>rengoering!A135</f>
        <v>mandag</v>
      </c>
      <c r="B135" s="84">
        <v>46272</v>
      </c>
      <c r="C135" s="9"/>
      <c r="D135" s="89" t="str">
        <f>IF(booking!AB135&gt;0,"Y","-")</f>
        <v>Y</v>
      </c>
      <c r="E135" s="95" t="str">
        <f>IF(AND(D135="Y",booking!D135&lt;&gt;booking!E135,booking!E135&gt;0),booking!E135,"-")</f>
        <v>-</v>
      </c>
      <c r="F135" s="8" t="str">
        <f>IFERROR(VLOOKUP(E135,Database!$A$2:$L$175,8,FALSE),"-")</f>
        <v>-</v>
      </c>
      <c r="G135" s="78" t="str">
        <f>IFERROR(VLOOKUP(E135,Database!$A$2:$L$175,6,FALSE),"-")</f>
        <v>-</v>
      </c>
      <c r="H135" s="93" t="str">
        <f>IFERROR(VLOOKUP(E135,Database!$A$2:$L$175,9,FALSE),"-")</f>
        <v>-</v>
      </c>
      <c r="I135" s="112"/>
      <c r="J135" s="96" t="str">
        <f>IF(AND(D135="Y",booking!H135&lt;&gt;booking!I135,booking!I135&gt;0),booking!I135,"-")</f>
        <v>-</v>
      </c>
      <c r="K135" s="78" t="str">
        <f>IFERROR(VLOOKUP(J135,Database!$A$2:$L$175,8,FALSE),"-")</f>
        <v>-</v>
      </c>
      <c r="L135" s="78" t="str">
        <f>IFERROR(VLOOKUP(J135,Database!$A$2:$L$175,6,FALSE),"-")</f>
        <v>-</v>
      </c>
      <c r="M135" s="93" t="str">
        <f>IFERROR(VLOOKUP(J135,Database!$A$2:$L$175,9,FALSE),"-")</f>
        <v>-</v>
      </c>
      <c r="N135" s="209" t="str">
        <f>IFERROR(VLOOKUP(J135,Database!$A$2:$S$175,19,FALSE),"-")</f>
        <v>-</v>
      </c>
      <c r="O135" s="96" t="str">
        <f>IF(AND(D135="Y",booking!L135&lt;&gt;booking!M135,booking!M135&gt;0),booking!M135,"-")</f>
        <v>-</v>
      </c>
      <c r="P135" s="78" t="str">
        <f>IFERROR(VLOOKUP(O135,Database!$A$2:$L$175,8,FALSE),"-")</f>
        <v>-</v>
      </c>
      <c r="Q135" s="78" t="str">
        <f>IFERROR(VLOOKUP(O135,Database!$A$2:$L$175,6,FALSE),"-")</f>
        <v>-</v>
      </c>
      <c r="R135" s="82" t="str">
        <f>IFERROR(VLOOKUP(O135,Database!$A$2:$L$175,9,FALSE),"-")</f>
        <v>-</v>
      </c>
      <c r="S135" s="209" t="str">
        <f>IFERROR(VLOOKUP(O135,Database!$A$2:$S$175,19,FALSE),"-")</f>
        <v>-</v>
      </c>
      <c r="T135" s="97">
        <f>IF(AND(D135="Y",booking!P135&lt;&gt;booking!Q135,booking!Q135&gt;0),booking!Q135,"-")</f>
        <v>118</v>
      </c>
      <c r="U135" s="78" t="str">
        <f>IFERROR(VLOOKUP(T135,Database!$A$2:$L$175,8,FALSE),"-")</f>
        <v>1500</v>
      </c>
      <c r="V135" s="78" t="str">
        <f>IFERROR(VLOOKUP(T135,Database!$A$2:$L$175,6,FALSE),"-")</f>
        <v>DK</v>
      </c>
      <c r="W135" s="82">
        <f>IFERROR(VLOOKUP(T135,Database!$A$2:$L$175,9,FALSE),"-")</f>
        <v>0</v>
      </c>
      <c r="X135" s="209" t="str">
        <f>IFERROR(VLOOKUP(T135,Database!$A$2:$S$175,19,FALSE),"-")</f>
        <v>N</v>
      </c>
      <c r="Y135" s="96" t="str">
        <f>IF(AND(D135="Y",booking!T135&lt;&gt;booking!U135,booking!U135&gt;0),booking!U135,"-")</f>
        <v>-</v>
      </c>
      <c r="Z135" s="79" t="str">
        <f>IFERROR(VLOOKUP(Y135,Database!$A$2:$L$175,8,FALSE),"-")</f>
        <v>-</v>
      </c>
      <c r="AA135" s="79" t="str">
        <f>IFERROR(VLOOKUP(Y135,Database!$A$2:$L$175,6,FALSE),"-")</f>
        <v>-</v>
      </c>
      <c r="AB135" s="92" t="str">
        <f>IFERROR(VLOOKUP(Y135,Database!$A$2:$L$175,9,FALSE),"-")</f>
        <v>-</v>
      </c>
      <c r="AC135" s="8" t="str">
        <f>IFERROR(VLOOKUP(Y135,Database!$A$2:$S$175,19,FALSE),"-")</f>
        <v>-</v>
      </c>
    </row>
    <row r="136" spans="1:29" ht="15" customHeight="1" thickBot="1" x14ac:dyDescent="0.4">
      <c r="A136" s="88" t="str">
        <f>rengoering!A136</f>
        <v>tirsdag</v>
      </c>
      <c r="B136" s="86">
        <v>46273</v>
      </c>
      <c r="C136" s="9"/>
      <c r="D136" s="89" t="str">
        <f>IF(booking!AB136&gt;0,"Y","-")</f>
        <v>-</v>
      </c>
      <c r="E136" s="95" t="str">
        <f>IF(AND(D136="Y",booking!D136&lt;&gt;booking!E136,booking!E136&gt;0),booking!E136,"-")</f>
        <v>-</v>
      </c>
      <c r="F136" s="8" t="str">
        <f>IFERROR(VLOOKUP(E136,Database!$A$2:$L$175,8,FALSE),"-")</f>
        <v>-</v>
      </c>
      <c r="G136" s="78" t="str">
        <f>IFERROR(VLOOKUP(E136,Database!$A$2:$L$175,6,FALSE),"-")</f>
        <v>-</v>
      </c>
      <c r="H136" s="93" t="str">
        <f>IFERROR(VLOOKUP(E136,Database!$A$2:$L$175,9,FALSE),"-")</f>
        <v>-</v>
      </c>
      <c r="I136" s="112"/>
      <c r="J136" s="96" t="str">
        <f>IF(AND(D136="Y",booking!H136&lt;&gt;booking!I136,booking!I136&gt;0),booking!I136,"-")</f>
        <v>-</v>
      </c>
      <c r="K136" s="78" t="str">
        <f>IFERROR(VLOOKUP(J136,Database!$A$2:$L$175,8,FALSE),"-")</f>
        <v>-</v>
      </c>
      <c r="L136" s="78" t="str">
        <f>IFERROR(VLOOKUP(J136,Database!$A$2:$L$175,6,FALSE),"-")</f>
        <v>-</v>
      </c>
      <c r="M136" s="93" t="str">
        <f>IFERROR(VLOOKUP(J136,Database!$A$2:$L$175,9,FALSE),"-")</f>
        <v>-</v>
      </c>
      <c r="N136" s="209" t="str">
        <f>IFERROR(VLOOKUP(J136,Database!$A$2:$S$175,19,FALSE),"-")</f>
        <v>-</v>
      </c>
      <c r="O136" s="96" t="str">
        <f>IF(AND(D136="Y",booking!L136&lt;&gt;booking!M136,booking!M136&gt;0),booking!M136,"-")</f>
        <v>-</v>
      </c>
      <c r="P136" s="78" t="str">
        <f>IFERROR(VLOOKUP(O136,Database!$A$2:$L$175,8,FALSE),"-")</f>
        <v>-</v>
      </c>
      <c r="Q136" s="78" t="str">
        <f>IFERROR(VLOOKUP(O136,Database!$A$2:$L$175,6,FALSE),"-")</f>
        <v>-</v>
      </c>
      <c r="R136" s="82" t="str">
        <f>IFERROR(VLOOKUP(O136,Database!$A$2:$L$175,9,FALSE),"-")</f>
        <v>-</v>
      </c>
      <c r="S136" s="209" t="str">
        <f>IFERROR(VLOOKUP(O136,Database!$A$2:$S$175,19,FALSE),"-")</f>
        <v>-</v>
      </c>
      <c r="T136" s="97" t="str">
        <f>IF(AND(D136="Y",booking!P136&lt;&gt;booking!Q136,booking!Q136&gt;0),booking!Q136,"-")</f>
        <v>-</v>
      </c>
      <c r="U136" s="78" t="str">
        <f>IFERROR(VLOOKUP(T136,Database!$A$2:$L$175,8,FALSE),"-")</f>
        <v>-</v>
      </c>
      <c r="V136" s="78" t="str">
        <f>IFERROR(VLOOKUP(T136,Database!$A$2:$L$175,6,FALSE),"-")</f>
        <v>-</v>
      </c>
      <c r="W136" s="82" t="str">
        <f>IFERROR(VLOOKUP(T136,Database!$A$2:$L$175,9,FALSE),"-")</f>
        <v>-</v>
      </c>
      <c r="X136" s="209" t="str">
        <f>IFERROR(VLOOKUP(T136,Database!$A$2:$S$175,19,FALSE),"-")</f>
        <v>-</v>
      </c>
      <c r="Y136" s="96" t="str">
        <f>IF(AND(D136="Y",booking!T136&lt;&gt;booking!U136,booking!U136&gt;0),booking!U136,"-")</f>
        <v>-</v>
      </c>
      <c r="Z136" s="79" t="str">
        <f>IFERROR(VLOOKUP(Y136,Database!$A$2:$L$175,8,FALSE),"-")</f>
        <v>-</v>
      </c>
      <c r="AA136" s="79" t="str">
        <f>IFERROR(VLOOKUP(Y136,Database!$A$2:$L$175,6,FALSE),"-")</f>
        <v>-</v>
      </c>
      <c r="AB136" s="92" t="str">
        <f>IFERROR(VLOOKUP(Y136,Database!$A$2:$L$175,9,FALSE),"-")</f>
        <v>-</v>
      </c>
      <c r="AC136" s="8" t="str">
        <f>IFERROR(VLOOKUP(Y136,Database!$A$2:$S$175,19,FALSE),"-")</f>
        <v>-</v>
      </c>
    </row>
    <row r="137" spans="1:29" ht="15" customHeight="1" thickBot="1" x14ac:dyDescent="0.4">
      <c r="A137" s="88" t="str">
        <f>rengoering!A137</f>
        <v>onsdag</v>
      </c>
      <c r="B137" s="84">
        <v>46274</v>
      </c>
      <c r="C137" s="9"/>
      <c r="D137" s="89" t="str">
        <f>IF(booking!AB137&gt;0,"Y","-")</f>
        <v>-</v>
      </c>
      <c r="E137" s="95" t="str">
        <f>IF(AND(D137="Y",booking!D137&lt;&gt;booking!E137,booking!E137&gt;0),booking!E137,"-")</f>
        <v>-</v>
      </c>
      <c r="F137" s="8" t="str">
        <f>IFERROR(VLOOKUP(E137,Database!$A$2:$L$175,8,FALSE),"-")</f>
        <v>-</v>
      </c>
      <c r="G137" s="78" t="str">
        <f>IFERROR(VLOOKUP(E137,Database!$A$2:$L$175,6,FALSE),"-")</f>
        <v>-</v>
      </c>
      <c r="H137" s="93" t="str">
        <f>IFERROR(VLOOKUP(E137,Database!$A$2:$L$175,9,FALSE),"-")</f>
        <v>-</v>
      </c>
      <c r="I137" s="112"/>
      <c r="J137" s="96" t="str">
        <f>IF(AND(D137="Y",booking!H137&lt;&gt;booking!I137,booking!I137&gt;0),booking!I137,"-")</f>
        <v>-</v>
      </c>
      <c r="K137" s="78" t="str">
        <f>IFERROR(VLOOKUP(J137,Database!$A$2:$L$175,8,FALSE),"-")</f>
        <v>-</v>
      </c>
      <c r="L137" s="78" t="str">
        <f>IFERROR(VLOOKUP(J137,Database!$A$2:$L$175,6,FALSE),"-")</f>
        <v>-</v>
      </c>
      <c r="M137" s="93" t="str">
        <f>IFERROR(VLOOKUP(J137,Database!$A$2:$L$175,9,FALSE),"-")</f>
        <v>-</v>
      </c>
      <c r="N137" s="209" t="str">
        <f>IFERROR(VLOOKUP(J137,Database!$A$2:$S$175,19,FALSE),"-")</f>
        <v>-</v>
      </c>
      <c r="O137" s="96" t="str">
        <f>IF(AND(D137="Y",booking!L137&lt;&gt;booking!M137,booking!M137&gt;0),booking!M137,"-")</f>
        <v>-</v>
      </c>
      <c r="P137" s="78" t="str">
        <f>IFERROR(VLOOKUP(O137,Database!$A$2:$L$175,8,FALSE),"-")</f>
        <v>-</v>
      </c>
      <c r="Q137" s="78" t="str">
        <f>IFERROR(VLOOKUP(O137,Database!$A$2:$L$175,6,FALSE),"-")</f>
        <v>-</v>
      </c>
      <c r="R137" s="82" t="str">
        <f>IFERROR(VLOOKUP(O137,Database!$A$2:$L$175,9,FALSE),"-")</f>
        <v>-</v>
      </c>
      <c r="S137" s="209" t="str">
        <f>IFERROR(VLOOKUP(O137,Database!$A$2:$S$175,19,FALSE),"-")</f>
        <v>-</v>
      </c>
      <c r="T137" s="97" t="str">
        <f>IF(AND(D137="Y",booking!P137&lt;&gt;booking!Q137,booking!Q137&gt;0),booking!Q137,"-")</f>
        <v>-</v>
      </c>
      <c r="U137" s="78" t="str">
        <f>IFERROR(VLOOKUP(T137,Database!$A$2:$L$175,8,FALSE),"-")</f>
        <v>-</v>
      </c>
      <c r="V137" s="78" t="str">
        <f>IFERROR(VLOOKUP(T137,Database!$A$2:$L$175,6,FALSE),"-")</f>
        <v>-</v>
      </c>
      <c r="W137" s="82" t="str">
        <f>IFERROR(VLOOKUP(T137,Database!$A$2:$L$175,9,FALSE),"-")</f>
        <v>-</v>
      </c>
      <c r="X137" s="209" t="str">
        <f>IFERROR(VLOOKUP(T137,Database!$A$2:$S$175,19,FALSE),"-")</f>
        <v>-</v>
      </c>
      <c r="Y137" s="96" t="str">
        <f>IF(AND(D137="Y",booking!T137&lt;&gt;booking!U137,booking!U137&gt;0),booking!U137,"-")</f>
        <v>-</v>
      </c>
      <c r="Z137" s="79" t="str">
        <f>IFERROR(VLOOKUP(Y137,Database!$A$2:$L$175,8,FALSE),"-")</f>
        <v>-</v>
      </c>
      <c r="AA137" s="79" t="str">
        <f>IFERROR(VLOOKUP(Y137,Database!$A$2:$L$175,6,FALSE),"-")</f>
        <v>-</v>
      </c>
      <c r="AB137" s="92" t="str">
        <f>IFERROR(VLOOKUP(Y137,Database!$A$2:$L$175,9,FALSE),"-")</f>
        <v>-</v>
      </c>
      <c r="AC137" s="8" t="str">
        <f>IFERROR(VLOOKUP(Y137,Database!$A$2:$S$175,19,FALSE),"-")</f>
        <v>-</v>
      </c>
    </row>
    <row r="138" spans="1:29" ht="15" customHeight="1" thickBot="1" x14ac:dyDescent="0.4">
      <c r="A138" s="88" t="str">
        <f>rengoering!A138</f>
        <v>torsdag</v>
      </c>
      <c r="B138" s="86">
        <v>46275</v>
      </c>
      <c r="C138" s="9"/>
      <c r="D138" s="89" t="str">
        <f>IF(booking!AB138&gt;0,"Y","-")</f>
        <v>-</v>
      </c>
      <c r="E138" s="95" t="str">
        <f>IF(AND(D138="Y",booking!D138&lt;&gt;booking!E138,booking!E138&gt;0),booking!E138,"-")</f>
        <v>-</v>
      </c>
      <c r="F138" s="8" t="str">
        <f>IFERROR(VLOOKUP(E138,Database!$A$2:$L$175,8,FALSE),"-")</f>
        <v>-</v>
      </c>
      <c r="G138" s="78" t="str">
        <f>IFERROR(VLOOKUP(E138,Database!$A$2:$L$175,6,FALSE),"-")</f>
        <v>-</v>
      </c>
      <c r="H138" s="93" t="str">
        <f>IFERROR(VLOOKUP(E138,Database!$A$2:$L$175,9,FALSE),"-")</f>
        <v>-</v>
      </c>
      <c r="I138" s="112"/>
      <c r="J138" s="96" t="str">
        <f>IF(AND(D138="Y",booking!H138&lt;&gt;booking!I138,booking!I138&gt;0),booking!I138,"-")</f>
        <v>-</v>
      </c>
      <c r="K138" s="78" t="str">
        <f>IFERROR(VLOOKUP(J138,Database!$A$2:$L$175,8,FALSE),"-")</f>
        <v>-</v>
      </c>
      <c r="L138" s="78" t="str">
        <f>IFERROR(VLOOKUP(J138,Database!$A$2:$L$175,6,FALSE),"-")</f>
        <v>-</v>
      </c>
      <c r="M138" s="93" t="str">
        <f>IFERROR(VLOOKUP(J138,Database!$A$2:$L$175,9,FALSE),"-")</f>
        <v>-</v>
      </c>
      <c r="N138" s="209" t="str">
        <f>IFERROR(VLOOKUP(J138,Database!$A$2:$S$175,19,FALSE),"-")</f>
        <v>-</v>
      </c>
      <c r="O138" s="96" t="str">
        <f>IF(AND(D138="Y",booking!L138&lt;&gt;booking!M138,booking!M138&gt;0),booking!M138,"-")</f>
        <v>-</v>
      </c>
      <c r="P138" s="78" t="str">
        <f>IFERROR(VLOOKUP(O138,Database!$A$2:$L$175,8,FALSE),"-")</f>
        <v>-</v>
      </c>
      <c r="Q138" s="78" t="str">
        <f>IFERROR(VLOOKUP(O138,Database!$A$2:$L$175,6,FALSE),"-")</f>
        <v>-</v>
      </c>
      <c r="R138" s="82" t="str">
        <f>IFERROR(VLOOKUP(O138,Database!$A$2:$L$175,9,FALSE),"-")</f>
        <v>-</v>
      </c>
      <c r="S138" s="209" t="str">
        <f>IFERROR(VLOOKUP(O138,Database!$A$2:$S$175,19,FALSE),"-")</f>
        <v>-</v>
      </c>
      <c r="T138" s="97" t="str">
        <f>IF(AND(D138="Y",booking!P138&lt;&gt;booking!Q138,booking!Q138&gt;0),booking!Q138,"-")</f>
        <v>-</v>
      </c>
      <c r="U138" s="78" t="str">
        <f>IFERROR(VLOOKUP(T138,Database!$A$2:$L$175,8,FALSE),"-")</f>
        <v>-</v>
      </c>
      <c r="V138" s="78" t="str">
        <f>IFERROR(VLOOKUP(T138,Database!$A$2:$L$175,6,FALSE),"-")</f>
        <v>-</v>
      </c>
      <c r="W138" s="82" t="str">
        <f>IFERROR(VLOOKUP(T138,Database!$A$2:$L$175,9,FALSE),"-")</f>
        <v>-</v>
      </c>
      <c r="X138" s="209" t="str">
        <f>IFERROR(VLOOKUP(T138,Database!$A$2:$S$175,19,FALSE),"-")</f>
        <v>-</v>
      </c>
      <c r="Y138" s="96" t="str">
        <f>IF(AND(D138="Y",booking!T138&lt;&gt;booking!U138,booking!U138&gt;0),booking!U138,"-")</f>
        <v>-</v>
      </c>
      <c r="Z138" s="79" t="str">
        <f>IFERROR(VLOOKUP(Y138,Database!$A$2:$L$175,8,FALSE),"-")</f>
        <v>-</v>
      </c>
      <c r="AA138" s="79" t="str">
        <f>IFERROR(VLOOKUP(Y138,Database!$A$2:$L$175,6,FALSE),"-")</f>
        <v>-</v>
      </c>
      <c r="AB138" s="92" t="str">
        <f>IFERROR(VLOOKUP(Y138,Database!$A$2:$L$175,9,FALSE),"-")</f>
        <v>-</v>
      </c>
      <c r="AC138" s="8" t="str">
        <f>IFERROR(VLOOKUP(Y138,Database!$A$2:$S$175,19,FALSE),"-")</f>
        <v>-</v>
      </c>
    </row>
    <row r="139" spans="1:29" ht="15" customHeight="1" thickBot="1" x14ac:dyDescent="0.4">
      <c r="A139" s="88" t="str">
        <f>rengoering!A139</f>
        <v>fredag</v>
      </c>
      <c r="B139" s="84">
        <v>46276</v>
      </c>
      <c r="C139" s="9"/>
      <c r="D139" s="89" t="str">
        <f>IF(booking!AB139&gt;0,"Y","-")</f>
        <v>Y</v>
      </c>
      <c r="E139" s="95">
        <f>IF(AND(D139="Y",booking!D139&lt;&gt;booking!E139,booking!E139&gt;0),booking!E139,"-")</f>
        <v>89</v>
      </c>
      <c r="F139" s="8">
        <f>IFERROR(VLOOKUP(E139,Database!$A$2:$L$175,8,FALSE),"-")</f>
        <v>0</v>
      </c>
      <c r="G139" s="78" t="str">
        <f>IFERROR(VLOOKUP(E139,Database!$A$2:$L$175,6,FALSE),"-")</f>
        <v>DK</v>
      </c>
      <c r="H139" s="93" t="str">
        <f>IFERROR(VLOOKUP(E139,Database!$A$2:$L$175,9,FALSE),"-")</f>
        <v>sing</v>
      </c>
      <c r="I139" s="112"/>
      <c r="J139" s="96">
        <f>IF(AND(D139="Y",booking!H139&lt;&gt;booking!I139,booking!I139&gt;0),booking!I139,"-")</f>
        <v>89</v>
      </c>
      <c r="K139" s="78">
        <f>IFERROR(VLOOKUP(J139,Database!$A$2:$L$175,8,FALSE),"-")</f>
        <v>0</v>
      </c>
      <c r="L139" s="78" t="str">
        <f>IFERROR(VLOOKUP(J139,Database!$A$2:$L$175,6,FALSE),"-")</f>
        <v>DK</v>
      </c>
      <c r="M139" s="93" t="str">
        <f>IFERROR(VLOOKUP(J139,Database!$A$2:$L$175,9,FALSE),"-")</f>
        <v>sing</v>
      </c>
      <c r="N139" s="209" t="str">
        <f>IFERROR(VLOOKUP(J139,Database!$A$2:$S$175,19,FALSE),"-")</f>
        <v>N</v>
      </c>
      <c r="O139" s="96" t="str">
        <f>IF(AND(D139="Y",booking!L139&lt;&gt;booking!M139,booking!M139&gt;0),booking!M139,"-")</f>
        <v>-</v>
      </c>
      <c r="P139" s="78" t="str">
        <f>IFERROR(VLOOKUP(O139,Database!$A$2:$L$175,8,FALSE),"-")</f>
        <v>-</v>
      </c>
      <c r="Q139" s="78" t="str">
        <f>IFERROR(VLOOKUP(O139,Database!$A$2:$L$175,6,FALSE),"-")</f>
        <v>-</v>
      </c>
      <c r="R139" s="82" t="str">
        <f>IFERROR(VLOOKUP(O139,Database!$A$2:$L$175,9,FALSE),"-")</f>
        <v>-</v>
      </c>
      <c r="S139" s="209" t="str">
        <f>IFERROR(VLOOKUP(O139,Database!$A$2:$S$175,19,FALSE),"-")</f>
        <v>-</v>
      </c>
      <c r="T139" s="97" t="str">
        <f>IF(AND(D139="Y",booking!P139&lt;&gt;booking!Q139,booking!Q139&gt;0),booking!Q139,"-")</f>
        <v>-</v>
      </c>
      <c r="U139" s="78" t="str">
        <f>IFERROR(VLOOKUP(T139,Database!$A$2:$L$175,8,FALSE),"-")</f>
        <v>-</v>
      </c>
      <c r="V139" s="78" t="str">
        <f>IFERROR(VLOOKUP(T139,Database!$A$2:$L$175,6,FALSE),"-")</f>
        <v>-</v>
      </c>
      <c r="W139" s="82" t="str">
        <f>IFERROR(VLOOKUP(T139,Database!$A$2:$L$175,9,FALSE),"-")</f>
        <v>-</v>
      </c>
      <c r="X139" s="209" t="str">
        <f>IFERROR(VLOOKUP(T139,Database!$A$2:$S$175,19,FALSE),"-")</f>
        <v>-</v>
      </c>
      <c r="Y139" s="96" t="str">
        <f>IF(AND(D139="Y",booking!T139&lt;&gt;booking!U139,booking!U139&gt;0),booking!U139,"-")</f>
        <v>-</v>
      </c>
      <c r="Z139" s="79" t="str">
        <f>IFERROR(VLOOKUP(Y139,Database!$A$2:$L$175,8,FALSE),"-")</f>
        <v>-</v>
      </c>
      <c r="AA139" s="79" t="str">
        <f>IFERROR(VLOOKUP(Y139,Database!$A$2:$L$175,6,FALSE),"-")</f>
        <v>-</v>
      </c>
      <c r="AB139" s="92" t="str">
        <f>IFERROR(VLOOKUP(Y139,Database!$A$2:$L$175,9,FALSE),"-")</f>
        <v>-</v>
      </c>
      <c r="AC139" s="8" t="str">
        <f>IFERROR(VLOOKUP(Y139,Database!$A$2:$S$175,19,FALSE),"-")</f>
        <v>-</v>
      </c>
    </row>
    <row r="140" spans="1:29" ht="15" customHeight="1" thickBot="1" x14ac:dyDescent="0.4">
      <c r="A140" s="88" t="str">
        <f>rengoering!A140</f>
        <v>lørdag</v>
      </c>
      <c r="B140" s="86">
        <v>46277</v>
      </c>
      <c r="C140" s="9"/>
      <c r="D140" s="89" t="str">
        <f>IF(booking!AB140&gt;0,"Y","-")</f>
        <v>Y</v>
      </c>
      <c r="E140" s="95" t="str">
        <f>IF(AND(D140="Y",booking!D140&lt;&gt;booking!E140,booking!E140&gt;0),booking!E140,"-")</f>
        <v>-</v>
      </c>
      <c r="F140" s="8" t="str">
        <f>IFERROR(VLOOKUP(E140,Database!$A$2:$L$175,8,FALSE),"-")</f>
        <v>-</v>
      </c>
      <c r="G140" s="78" t="str">
        <f>IFERROR(VLOOKUP(E140,Database!$A$2:$L$175,6,FALSE),"-")</f>
        <v>-</v>
      </c>
      <c r="H140" s="93" t="str">
        <f>IFERROR(VLOOKUP(E140,Database!$A$2:$L$175,9,FALSE),"-")</f>
        <v>-</v>
      </c>
      <c r="I140" s="112"/>
      <c r="J140" s="96" t="str">
        <f>IF(AND(D140="Y",booking!H140&lt;&gt;booking!I140,booking!I140&gt;0),booking!I140,"-")</f>
        <v>-</v>
      </c>
      <c r="K140" s="78" t="str">
        <f>IFERROR(VLOOKUP(J140,Database!$A$2:$L$175,8,FALSE),"-")</f>
        <v>-</v>
      </c>
      <c r="L140" s="78" t="str">
        <f>IFERROR(VLOOKUP(J140,Database!$A$2:$L$175,6,FALSE),"-")</f>
        <v>-</v>
      </c>
      <c r="M140" s="93" t="str">
        <f>IFERROR(VLOOKUP(J140,Database!$A$2:$L$175,9,FALSE),"-")</f>
        <v>-</v>
      </c>
      <c r="N140" s="209" t="str">
        <f>IFERROR(VLOOKUP(J140,Database!$A$2:$S$175,19,FALSE),"-")</f>
        <v>-</v>
      </c>
      <c r="O140" s="96">
        <f>IF(AND(D140="Y",booking!L140&lt;&gt;booking!M140,booking!M140&gt;0),booking!M140,"-")</f>
        <v>103</v>
      </c>
      <c r="P140" s="78">
        <f>IFERROR(VLOOKUP(O140,Database!$A$2:$L$175,8,FALSE),"-")</f>
        <v>0</v>
      </c>
      <c r="Q140" s="78" t="str">
        <f>IFERROR(VLOOKUP(O140,Database!$A$2:$L$175,6,FALSE),"-")</f>
        <v>DK</v>
      </c>
      <c r="R140" s="82" t="str">
        <f>IFERROR(VLOOKUP(O140,Database!$A$2:$L$175,9,FALSE),"-")</f>
        <v>sing</v>
      </c>
      <c r="S140" s="209" t="str">
        <f>IFERROR(VLOOKUP(O140,Database!$A$2:$S$175,19,FALSE),"-")</f>
        <v>N</v>
      </c>
      <c r="T140" s="97" t="str">
        <f>IF(AND(D140="Y",booking!P140&lt;&gt;booking!Q140,booking!Q140&gt;0),booking!Q140,"-")</f>
        <v>-</v>
      </c>
      <c r="U140" s="78" t="str">
        <f>IFERROR(VLOOKUP(T140,Database!$A$2:$L$175,8,FALSE),"-")</f>
        <v>-</v>
      </c>
      <c r="V140" s="78" t="str">
        <f>IFERROR(VLOOKUP(T140,Database!$A$2:$L$175,6,FALSE),"-")</f>
        <v>-</v>
      </c>
      <c r="W140" s="82" t="str">
        <f>IFERROR(VLOOKUP(T140,Database!$A$2:$L$175,9,FALSE),"-")</f>
        <v>-</v>
      </c>
      <c r="X140" s="209" t="str">
        <f>IFERROR(VLOOKUP(T140,Database!$A$2:$S$175,19,FALSE),"-")</f>
        <v>-</v>
      </c>
      <c r="Y140" s="96" t="str">
        <f>IF(AND(D140="Y",booking!T140&lt;&gt;booking!U140,booking!U140&gt;0),booking!U140,"-")</f>
        <v>-</v>
      </c>
      <c r="Z140" s="79" t="str">
        <f>IFERROR(VLOOKUP(Y140,Database!$A$2:$L$175,8,FALSE),"-")</f>
        <v>-</v>
      </c>
      <c r="AA140" s="79" t="str">
        <f>IFERROR(VLOOKUP(Y140,Database!$A$2:$L$175,6,FALSE),"-")</f>
        <v>-</v>
      </c>
      <c r="AB140" s="92" t="str">
        <f>IFERROR(VLOOKUP(Y140,Database!$A$2:$L$175,9,FALSE),"-")</f>
        <v>-</v>
      </c>
      <c r="AC140" s="8" t="str">
        <f>IFERROR(VLOOKUP(Y140,Database!$A$2:$S$175,19,FALSE),"-")</f>
        <v>-</v>
      </c>
    </row>
    <row r="141" spans="1:29" ht="15" customHeight="1" thickBot="1" x14ac:dyDescent="0.4">
      <c r="A141" s="88" t="str">
        <f>rengoering!A141</f>
        <v>søndag</v>
      </c>
      <c r="B141" s="84">
        <v>46278</v>
      </c>
      <c r="C141" s="9"/>
      <c r="D141" s="89" t="str">
        <f>IF(booking!AB141&gt;0,"Y","-")</f>
        <v>-</v>
      </c>
      <c r="E141" s="95" t="str">
        <f>IF(AND(D141="Y",booking!D141&lt;&gt;booking!E141,booking!E141&gt;0),booking!E141,"-")</f>
        <v>-</v>
      </c>
      <c r="F141" s="8" t="str">
        <f>IFERROR(VLOOKUP(E141,Database!$A$2:$L$175,8,FALSE),"-")</f>
        <v>-</v>
      </c>
      <c r="G141" s="78" t="str">
        <f>IFERROR(VLOOKUP(E141,Database!$A$2:$L$175,6,FALSE),"-")</f>
        <v>-</v>
      </c>
      <c r="H141" s="93" t="str">
        <f>IFERROR(VLOOKUP(E141,Database!$A$2:$L$175,9,FALSE),"-")</f>
        <v>-</v>
      </c>
      <c r="I141" s="112"/>
      <c r="J141" s="96" t="str">
        <f>IF(AND(D141="Y",booking!H141&lt;&gt;booking!I141,booking!I141&gt;0),booking!I141,"-")</f>
        <v>-</v>
      </c>
      <c r="K141" s="78" t="str">
        <f>IFERROR(VLOOKUP(J141,Database!$A$2:$L$175,8,FALSE),"-")</f>
        <v>-</v>
      </c>
      <c r="L141" s="78" t="str">
        <f>IFERROR(VLOOKUP(J141,Database!$A$2:$L$175,6,FALSE),"-")</f>
        <v>-</v>
      </c>
      <c r="M141" s="93" t="str">
        <f>IFERROR(VLOOKUP(J141,Database!$A$2:$L$175,9,FALSE),"-")</f>
        <v>-</v>
      </c>
      <c r="N141" s="209" t="str">
        <f>IFERROR(VLOOKUP(J141,Database!$A$2:$S$175,19,FALSE),"-")</f>
        <v>-</v>
      </c>
      <c r="O141" s="96" t="str">
        <f>IF(AND(D141="Y",booking!L141&lt;&gt;booking!M141,booking!M141&gt;0),booking!M141,"-")</f>
        <v>-</v>
      </c>
      <c r="P141" s="78" t="str">
        <f>IFERROR(VLOOKUP(O141,Database!$A$2:$L$175,8,FALSE),"-")</f>
        <v>-</v>
      </c>
      <c r="Q141" s="78" t="str">
        <f>IFERROR(VLOOKUP(O141,Database!$A$2:$L$175,6,FALSE),"-")</f>
        <v>-</v>
      </c>
      <c r="R141" s="82" t="str">
        <f>IFERROR(VLOOKUP(O141,Database!$A$2:$L$175,9,FALSE),"-")</f>
        <v>-</v>
      </c>
      <c r="S141" s="209" t="str">
        <f>IFERROR(VLOOKUP(O141,Database!$A$2:$S$175,19,FALSE),"-")</f>
        <v>-</v>
      </c>
      <c r="T141" s="97" t="str">
        <f>IF(AND(D141="Y",booking!P141&lt;&gt;booking!Q141,booking!Q141&gt;0),booking!Q141,"-")</f>
        <v>-</v>
      </c>
      <c r="U141" s="78" t="str">
        <f>IFERROR(VLOOKUP(T141,Database!$A$2:$L$175,8,FALSE),"-")</f>
        <v>-</v>
      </c>
      <c r="V141" s="78" t="str">
        <f>IFERROR(VLOOKUP(T141,Database!$A$2:$L$175,6,FALSE),"-")</f>
        <v>-</v>
      </c>
      <c r="W141" s="82" t="str">
        <f>IFERROR(VLOOKUP(T141,Database!$A$2:$L$175,9,FALSE),"-")</f>
        <v>-</v>
      </c>
      <c r="X141" s="209" t="str">
        <f>IFERROR(VLOOKUP(T141,Database!$A$2:$S$175,19,FALSE),"-")</f>
        <v>-</v>
      </c>
      <c r="Y141" s="96" t="str">
        <f>IF(AND(D141="Y",booking!T141&lt;&gt;booking!U141,booking!U141&gt;0),booking!U141,"-")</f>
        <v>-</v>
      </c>
      <c r="Z141" s="79" t="str">
        <f>IFERROR(VLOOKUP(Y141,Database!$A$2:$L$175,8,FALSE),"-")</f>
        <v>-</v>
      </c>
      <c r="AA141" s="79" t="str">
        <f>IFERROR(VLOOKUP(Y141,Database!$A$2:$L$175,6,FALSE),"-")</f>
        <v>-</v>
      </c>
      <c r="AB141" s="92" t="str">
        <f>IFERROR(VLOOKUP(Y141,Database!$A$2:$L$175,9,FALSE),"-")</f>
        <v>-</v>
      </c>
      <c r="AC141" s="8" t="str">
        <f>IFERROR(VLOOKUP(Y141,Database!$A$2:$S$175,19,FALSE),"-")</f>
        <v>-</v>
      </c>
    </row>
    <row r="142" spans="1:29" ht="15" customHeight="1" thickBot="1" x14ac:dyDescent="0.4">
      <c r="A142" s="88" t="str">
        <f>rengoering!A142</f>
        <v>mandag</v>
      </c>
      <c r="B142" s="86">
        <v>46279</v>
      </c>
      <c r="C142" s="9"/>
      <c r="D142" s="89" t="str">
        <f>IF(booking!AB142&gt;0,"Y","-")</f>
        <v>Y</v>
      </c>
      <c r="E142" s="95">
        <f>IF(AND(D142="Y",booking!D142&lt;&gt;booking!E142,booking!E142&gt;0),booking!E142,"-")</f>
        <v>100</v>
      </c>
      <c r="F142" s="8">
        <f>IFERROR(VLOOKUP(E142,Database!$A$2:$L$175,8,FALSE),"-")</f>
        <v>0</v>
      </c>
      <c r="G142" s="78" t="str">
        <f>IFERROR(VLOOKUP(E142,Database!$A$2:$L$175,6,FALSE),"-")</f>
        <v>DK</v>
      </c>
      <c r="H142" s="93">
        <f>IFERROR(VLOOKUP(E142,Database!$A$2:$L$175,9,FALSE),"-")</f>
        <v>0</v>
      </c>
      <c r="I142" s="112"/>
      <c r="J142" s="96" t="str">
        <f>IF(AND(D142="Y",booking!H142&lt;&gt;booking!I142,booking!I142&gt;0),booking!I142,"-")</f>
        <v>-</v>
      </c>
      <c r="K142" s="78" t="str">
        <f>IFERROR(VLOOKUP(J142,Database!$A$2:$L$175,8,FALSE),"-")</f>
        <v>-</v>
      </c>
      <c r="L142" s="78" t="str">
        <f>IFERROR(VLOOKUP(J142,Database!$A$2:$L$175,6,FALSE),"-")</f>
        <v>-</v>
      </c>
      <c r="M142" s="93" t="str">
        <f>IFERROR(VLOOKUP(J142,Database!$A$2:$L$175,9,FALSE),"-")</f>
        <v>-</v>
      </c>
      <c r="N142" s="209" t="str">
        <f>IFERROR(VLOOKUP(J142,Database!$A$2:$S$175,19,FALSE),"-")</f>
        <v>-</v>
      </c>
      <c r="O142" s="96" t="str">
        <f>IF(AND(D142="Y",booking!L142&lt;&gt;booking!M142,booking!M142&gt;0),booking!M142,"-")</f>
        <v>-</v>
      </c>
      <c r="P142" s="78" t="str">
        <f>IFERROR(VLOOKUP(O142,Database!$A$2:$L$175,8,FALSE),"-")</f>
        <v>-</v>
      </c>
      <c r="Q142" s="78" t="str">
        <f>IFERROR(VLOOKUP(O142,Database!$A$2:$L$175,6,FALSE),"-")</f>
        <v>-</v>
      </c>
      <c r="R142" s="82" t="str">
        <f>IFERROR(VLOOKUP(O142,Database!$A$2:$L$175,9,FALSE),"-")</f>
        <v>-</v>
      </c>
      <c r="S142" s="209" t="str">
        <f>IFERROR(VLOOKUP(O142,Database!$A$2:$S$175,19,FALSE),"-")</f>
        <v>-</v>
      </c>
      <c r="T142" s="97">
        <f>IF(AND(D142="Y",booking!P142&lt;&gt;booking!Q142,booking!Q142&gt;0),booking!Q142,"-")</f>
        <v>101</v>
      </c>
      <c r="U142" s="78">
        <f>IFERROR(VLOOKUP(T142,Database!$A$2:$L$175,8,FALSE),"-")</f>
        <v>0</v>
      </c>
      <c r="V142" s="78" t="str">
        <f>IFERROR(VLOOKUP(T142,Database!$A$2:$L$175,6,FALSE),"-")</f>
        <v>DK</v>
      </c>
      <c r="W142" s="82" t="str">
        <f>IFERROR(VLOOKUP(T142,Database!$A$2:$L$175,9,FALSE),"-")</f>
        <v>sing</v>
      </c>
      <c r="X142" s="209" t="str">
        <f>IFERROR(VLOOKUP(T142,Database!$A$2:$S$175,19,FALSE),"-")</f>
        <v>N</v>
      </c>
      <c r="Y142" s="96" t="str">
        <f>IF(AND(D142="Y",booking!T142&lt;&gt;booking!U142,booking!U142&gt;0),booking!U142,"-")</f>
        <v>-</v>
      </c>
      <c r="Z142" s="79" t="str">
        <f>IFERROR(VLOOKUP(Y142,Database!$A$2:$L$175,8,FALSE),"-")</f>
        <v>-</v>
      </c>
      <c r="AA142" s="79" t="str">
        <f>IFERROR(VLOOKUP(Y142,Database!$A$2:$L$175,6,FALSE),"-")</f>
        <v>-</v>
      </c>
      <c r="AB142" s="92" t="str">
        <f>IFERROR(VLOOKUP(Y142,Database!$A$2:$L$175,9,FALSE),"-")</f>
        <v>-</v>
      </c>
      <c r="AC142" s="8" t="str">
        <f>IFERROR(VLOOKUP(Y142,Database!$A$2:$S$175,19,FALSE),"-")</f>
        <v>-</v>
      </c>
    </row>
    <row r="143" spans="1:29" ht="15" customHeight="1" thickBot="1" x14ac:dyDescent="0.4">
      <c r="A143" s="88" t="str">
        <f>rengoering!A143</f>
        <v>tirsdag</v>
      </c>
      <c r="B143" s="84">
        <v>46280</v>
      </c>
      <c r="C143" s="9"/>
      <c r="D143" s="89" t="str">
        <f>IF(booking!AB143&gt;0,"Y","-")</f>
        <v>-</v>
      </c>
      <c r="E143" s="95" t="str">
        <f>IF(AND(D143="Y",booking!D143&lt;&gt;booking!E143,booking!E143&gt;0),booking!E143,"-")</f>
        <v>-</v>
      </c>
      <c r="F143" s="8" t="str">
        <f>IFERROR(VLOOKUP(E143,Database!$A$2:$L$175,8,FALSE),"-")</f>
        <v>-</v>
      </c>
      <c r="G143" s="78" t="str">
        <f>IFERROR(VLOOKUP(E143,Database!$A$2:$L$175,6,FALSE),"-")</f>
        <v>-</v>
      </c>
      <c r="H143" s="93" t="str">
        <f>IFERROR(VLOOKUP(E143,Database!$A$2:$L$175,9,FALSE),"-")</f>
        <v>-</v>
      </c>
      <c r="I143" s="112"/>
      <c r="J143" s="96" t="str">
        <f>IF(AND(D143="Y",booking!H143&lt;&gt;booking!I143,booking!I143&gt;0),booking!I143,"-")</f>
        <v>-</v>
      </c>
      <c r="K143" s="78" t="str">
        <f>IFERROR(VLOOKUP(J143,Database!$A$2:$L$175,8,FALSE),"-")</f>
        <v>-</v>
      </c>
      <c r="L143" s="78" t="str">
        <f>IFERROR(VLOOKUP(J143,Database!$A$2:$L$175,6,FALSE),"-")</f>
        <v>-</v>
      </c>
      <c r="M143" s="93" t="str">
        <f>IFERROR(VLOOKUP(J143,Database!$A$2:$L$175,9,FALSE),"-")</f>
        <v>-</v>
      </c>
      <c r="N143" s="209" t="str">
        <f>IFERROR(VLOOKUP(J143,Database!$A$2:$S$175,19,FALSE),"-")</f>
        <v>-</v>
      </c>
      <c r="O143" s="96" t="str">
        <f>IF(AND(D143="Y",booking!L143&lt;&gt;booking!M143,booking!M143&gt;0),booking!M143,"-")</f>
        <v>-</v>
      </c>
      <c r="P143" s="78" t="str">
        <f>IFERROR(VLOOKUP(O143,Database!$A$2:$L$175,8,FALSE),"-")</f>
        <v>-</v>
      </c>
      <c r="Q143" s="78" t="str">
        <f>IFERROR(VLOOKUP(O143,Database!$A$2:$L$175,6,FALSE),"-")</f>
        <v>-</v>
      </c>
      <c r="R143" s="82" t="str">
        <f>IFERROR(VLOOKUP(O143,Database!$A$2:$L$175,9,FALSE),"-")</f>
        <v>-</v>
      </c>
      <c r="S143" s="209" t="str">
        <f>IFERROR(VLOOKUP(O143,Database!$A$2:$S$175,19,FALSE),"-")</f>
        <v>-</v>
      </c>
      <c r="T143" s="97" t="str">
        <f>IF(AND(D143="Y",booking!P143&lt;&gt;booking!Q143,booking!Q143&gt;0),booking!Q143,"-")</f>
        <v>-</v>
      </c>
      <c r="U143" s="78" t="str">
        <f>IFERROR(VLOOKUP(T143,Database!$A$2:$L$175,8,FALSE),"-")</f>
        <v>-</v>
      </c>
      <c r="V143" s="78" t="str">
        <f>IFERROR(VLOOKUP(T143,Database!$A$2:$L$175,6,FALSE),"-")</f>
        <v>-</v>
      </c>
      <c r="W143" s="82" t="str">
        <f>IFERROR(VLOOKUP(T143,Database!$A$2:$L$175,9,FALSE),"-")</f>
        <v>-</v>
      </c>
      <c r="X143" s="209" t="str">
        <f>IFERROR(VLOOKUP(T143,Database!$A$2:$S$175,19,FALSE),"-")</f>
        <v>-</v>
      </c>
      <c r="Y143" s="96" t="str">
        <f>IF(AND(D143="Y",booking!T143&lt;&gt;booking!U143,booking!U143&gt;0),booking!U143,"-")</f>
        <v>-</v>
      </c>
      <c r="Z143" s="79" t="str">
        <f>IFERROR(VLOOKUP(Y143,Database!$A$2:$L$175,8,FALSE),"-")</f>
        <v>-</v>
      </c>
      <c r="AA143" s="79" t="str">
        <f>IFERROR(VLOOKUP(Y143,Database!$A$2:$L$175,6,FALSE),"-")</f>
        <v>-</v>
      </c>
      <c r="AB143" s="92" t="str">
        <f>IFERROR(VLOOKUP(Y143,Database!$A$2:$L$175,9,FALSE),"-")</f>
        <v>-</v>
      </c>
      <c r="AC143" s="8" t="str">
        <f>IFERROR(VLOOKUP(Y143,Database!$A$2:$S$175,19,FALSE),"-")</f>
        <v>-</v>
      </c>
    </row>
    <row r="144" spans="1:29" ht="15" customHeight="1" thickBot="1" x14ac:dyDescent="0.4">
      <c r="A144" s="88" t="str">
        <f>rengoering!A144</f>
        <v>onsdag</v>
      </c>
      <c r="B144" s="86">
        <v>46281</v>
      </c>
      <c r="C144" s="9"/>
      <c r="D144" s="89" t="str">
        <f>IF(booking!AB144&gt;0,"Y","-")</f>
        <v>Y</v>
      </c>
      <c r="E144" s="95" t="str">
        <f>IF(AND(D144="Y",booking!D144&lt;&gt;booking!E144,booking!E144&gt;0),booking!E144,"-")</f>
        <v>-</v>
      </c>
      <c r="F144" s="8" t="str">
        <f>IFERROR(VLOOKUP(E144,Database!$A$2:$L$175,8,FALSE),"-")</f>
        <v>-</v>
      </c>
      <c r="G144" s="78" t="str">
        <f>IFERROR(VLOOKUP(E144,Database!$A$2:$L$175,6,FALSE),"-")</f>
        <v>-</v>
      </c>
      <c r="H144" s="93" t="str">
        <f>IFERROR(VLOOKUP(E144,Database!$A$2:$L$175,9,FALSE),"-")</f>
        <v>-</v>
      </c>
      <c r="I144" s="112"/>
      <c r="J144" s="96">
        <f>IF(AND(D144="Y",booking!H144&lt;&gt;booking!I144,booking!I144&gt;0),booking!I144,"-")</f>
        <v>47</v>
      </c>
      <c r="K144" s="78">
        <f>IFERROR(VLOOKUP(J144,Database!$A$2:$L$175,8,FALSE),"-")</f>
        <v>0</v>
      </c>
      <c r="L144" s="78" t="str">
        <f>IFERROR(VLOOKUP(J144,Database!$A$2:$L$175,6,FALSE),"-")</f>
        <v>DK</v>
      </c>
      <c r="M144" s="93">
        <f>IFERROR(VLOOKUP(J144,Database!$A$2:$L$175,9,FALSE),"-")</f>
        <v>0</v>
      </c>
      <c r="N144" s="209" t="str">
        <f>IFERROR(VLOOKUP(J144,Database!$A$2:$S$175,19,FALSE),"-")</f>
        <v>Y</v>
      </c>
      <c r="O144" s="96" t="str">
        <f>IF(AND(D144="Y",booking!L144&lt;&gt;booking!M144,booking!M144&gt;0),booking!M144,"-")</f>
        <v>-</v>
      </c>
      <c r="P144" s="78" t="str">
        <f>IFERROR(VLOOKUP(O144,Database!$A$2:$L$175,8,FALSE),"-")</f>
        <v>-</v>
      </c>
      <c r="Q144" s="78" t="str">
        <f>IFERROR(VLOOKUP(O144,Database!$A$2:$L$175,6,FALSE),"-")</f>
        <v>-</v>
      </c>
      <c r="R144" s="82" t="str">
        <f>IFERROR(VLOOKUP(O144,Database!$A$2:$L$175,9,FALSE),"-")</f>
        <v>-</v>
      </c>
      <c r="S144" s="209" t="str">
        <f>IFERROR(VLOOKUP(O144,Database!$A$2:$S$175,19,FALSE),"-")</f>
        <v>-</v>
      </c>
      <c r="T144" s="97" t="str">
        <f>IF(AND(D144="Y",booking!P144&lt;&gt;booking!Q144,booking!Q144&gt;0),booking!Q144,"-")</f>
        <v>-</v>
      </c>
      <c r="U144" s="78" t="str">
        <f>IFERROR(VLOOKUP(T144,Database!$A$2:$L$175,8,FALSE),"-")</f>
        <v>-</v>
      </c>
      <c r="V144" s="78" t="str">
        <f>IFERROR(VLOOKUP(T144,Database!$A$2:$L$175,6,FALSE),"-")</f>
        <v>-</v>
      </c>
      <c r="W144" s="82" t="str">
        <f>IFERROR(VLOOKUP(T144,Database!$A$2:$L$175,9,FALSE),"-")</f>
        <v>-</v>
      </c>
      <c r="X144" s="209" t="str">
        <f>IFERROR(VLOOKUP(T144,Database!$A$2:$S$175,19,FALSE),"-")</f>
        <v>-</v>
      </c>
      <c r="Y144" s="96" t="str">
        <f>IF(AND(D144="Y",booking!T144&lt;&gt;booking!U144,booking!U144&gt;0),booking!U144,"-")</f>
        <v>-</v>
      </c>
      <c r="Z144" s="79" t="str">
        <f>IFERROR(VLOOKUP(Y144,Database!$A$2:$L$175,8,FALSE),"-")</f>
        <v>-</v>
      </c>
      <c r="AA144" s="79" t="str">
        <f>IFERROR(VLOOKUP(Y144,Database!$A$2:$L$175,6,FALSE),"-")</f>
        <v>-</v>
      </c>
      <c r="AB144" s="92" t="str">
        <f>IFERROR(VLOOKUP(Y144,Database!$A$2:$L$175,9,FALSE),"-")</f>
        <v>-</v>
      </c>
      <c r="AC144" s="8" t="str">
        <f>IFERROR(VLOOKUP(Y144,Database!$A$2:$S$175,19,FALSE),"-")</f>
        <v>-</v>
      </c>
    </row>
    <row r="145" spans="1:29" ht="15" customHeight="1" thickBot="1" x14ac:dyDescent="0.4">
      <c r="A145" s="88" t="str">
        <f>rengoering!A145</f>
        <v>torsdag</v>
      </c>
      <c r="B145" s="84">
        <v>46282</v>
      </c>
      <c r="C145" s="9"/>
      <c r="D145" s="89" t="str">
        <f>IF(booking!AB145&gt;0,"Y","-")</f>
        <v>Y</v>
      </c>
      <c r="E145" s="95">
        <f>IF(AND(D145="Y",booking!D145&lt;&gt;booking!E145,booking!E145&gt;0),booking!E145,"-")</f>
        <v>41</v>
      </c>
      <c r="F145" s="8">
        <f>IFERROR(VLOOKUP(E145,Database!$A$2:$L$175,8,FALSE),"-")</f>
        <v>0</v>
      </c>
      <c r="G145" s="78" t="str">
        <f>IFERROR(VLOOKUP(E145,Database!$A$2:$L$175,6,FALSE),"-")</f>
        <v>DK</v>
      </c>
      <c r="H145" s="93" t="str">
        <f>IFERROR(VLOOKUP(E145,Database!$A$2:$L$175,9,FALSE),"-")</f>
        <v>sing</v>
      </c>
      <c r="I145" s="112"/>
      <c r="J145" s="96" t="str">
        <f>IF(AND(D145="Y",booking!H145&lt;&gt;booking!I145,booking!I145&gt;0),booking!I145,"-")</f>
        <v>-</v>
      </c>
      <c r="K145" s="78" t="str">
        <f>IFERROR(VLOOKUP(J145,Database!$A$2:$L$175,8,FALSE),"-")</f>
        <v>-</v>
      </c>
      <c r="L145" s="78" t="str">
        <f>IFERROR(VLOOKUP(J145,Database!$A$2:$L$175,6,FALSE),"-")</f>
        <v>-</v>
      </c>
      <c r="M145" s="93" t="str">
        <f>IFERROR(VLOOKUP(J145,Database!$A$2:$L$175,9,FALSE),"-")</f>
        <v>-</v>
      </c>
      <c r="N145" s="209" t="str">
        <f>IFERROR(VLOOKUP(J145,Database!$A$2:$S$175,19,FALSE),"-")</f>
        <v>-</v>
      </c>
      <c r="O145" s="96" t="str">
        <f>IF(AND(D145="Y",booking!L145&lt;&gt;booking!M145,booking!M145&gt;0),booking!M145,"-")</f>
        <v>-</v>
      </c>
      <c r="P145" s="78" t="str">
        <f>IFERROR(VLOOKUP(O145,Database!$A$2:$L$175,8,FALSE),"-")</f>
        <v>-</v>
      </c>
      <c r="Q145" s="78" t="str">
        <f>IFERROR(VLOOKUP(O145,Database!$A$2:$L$175,6,FALSE),"-")</f>
        <v>-</v>
      </c>
      <c r="R145" s="82" t="str">
        <f>IFERROR(VLOOKUP(O145,Database!$A$2:$L$175,9,FALSE),"-")</f>
        <v>-</v>
      </c>
      <c r="S145" s="209" t="str">
        <f>IFERROR(VLOOKUP(O145,Database!$A$2:$S$175,19,FALSE),"-")</f>
        <v>-</v>
      </c>
      <c r="T145" s="97">
        <f>IF(AND(D145="Y",booking!P145&lt;&gt;booking!Q145,booking!Q145&gt;0),booking!Q145,"-")</f>
        <v>42</v>
      </c>
      <c r="U145" s="78">
        <f>IFERROR(VLOOKUP(T145,Database!$A$2:$L$175,8,FALSE),"-")</f>
        <v>0</v>
      </c>
      <c r="V145" s="78" t="str">
        <f>IFERROR(VLOOKUP(T145,Database!$A$2:$L$175,6,FALSE),"-")</f>
        <v>S</v>
      </c>
      <c r="W145" s="82">
        <f>IFERROR(VLOOKUP(T145,Database!$A$2:$L$175,9,FALSE),"-")</f>
        <v>0</v>
      </c>
      <c r="X145" s="209" t="str">
        <f>IFERROR(VLOOKUP(T145,Database!$A$2:$S$175,19,FALSE),"-")</f>
        <v>N</v>
      </c>
      <c r="Y145" s="96" t="str">
        <f>IF(AND(D145="Y",booking!T145&lt;&gt;booking!U145,booking!U145&gt;0),booking!U145,"-")</f>
        <v>-</v>
      </c>
      <c r="Z145" s="79" t="str">
        <f>IFERROR(VLOOKUP(Y145,Database!$A$2:$L$175,8,FALSE),"-")</f>
        <v>-</v>
      </c>
      <c r="AA145" s="79" t="str">
        <f>IFERROR(VLOOKUP(Y145,Database!$A$2:$L$175,6,FALSE),"-")</f>
        <v>-</v>
      </c>
      <c r="AB145" s="92" t="str">
        <f>IFERROR(VLOOKUP(Y145,Database!$A$2:$L$175,9,FALSE),"-")</f>
        <v>-</v>
      </c>
      <c r="AC145" s="8" t="str">
        <f>IFERROR(VLOOKUP(Y145,Database!$A$2:$S$175,19,FALSE),"-")</f>
        <v>-</v>
      </c>
    </row>
    <row r="146" spans="1:29" ht="15" customHeight="1" thickBot="1" x14ac:dyDescent="0.4">
      <c r="A146" s="88" t="str">
        <f>rengoering!A146</f>
        <v>fredag</v>
      </c>
      <c r="B146" s="86">
        <v>46283</v>
      </c>
      <c r="C146" s="9"/>
      <c r="D146" s="89" t="str">
        <f>IF(booking!AB146&gt;0,"Y","-")</f>
        <v>Y</v>
      </c>
      <c r="E146" s="95" t="str">
        <f>IF(AND(D146="Y",booking!D146&lt;&gt;booking!E146,booking!E146&gt;0),booking!E146,"-")</f>
        <v>-</v>
      </c>
      <c r="F146" s="8" t="str">
        <f>IFERROR(VLOOKUP(E146,Database!$A$2:$L$175,8,FALSE),"-")</f>
        <v>-</v>
      </c>
      <c r="G146" s="78" t="str">
        <f>IFERROR(VLOOKUP(E146,Database!$A$2:$L$175,6,FALSE),"-")</f>
        <v>-</v>
      </c>
      <c r="H146" s="93" t="str">
        <f>IFERROR(VLOOKUP(E146,Database!$A$2:$L$175,9,FALSE),"-")</f>
        <v>-</v>
      </c>
      <c r="I146" s="112"/>
      <c r="J146" s="96" t="str">
        <f>IF(AND(D146="Y",booking!H146&lt;&gt;booking!I146,booking!I146&gt;0),booking!I146,"-")</f>
        <v>-</v>
      </c>
      <c r="K146" s="78" t="str">
        <f>IFERROR(VLOOKUP(J146,Database!$A$2:$L$175,8,FALSE),"-")</f>
        <v>-</v>
      </c>
      <c r="L146" s="78" t="str">
        <f>IFERROR(VLOOKUP(J146,Database!$A$2:$L$175,6,FALSE),"-")</f>
        <v>-</v>
      </c>
      <c r="M146" s="93" t="str">
        <f>IFERROR(VLOOKUP(J146,Database!$A$2:$L$175,9,FALSE),"-")</f>
        <v>-</v>
      </c>
      <c r="N146" s="209" t="str">
        <f>IFERROR(VLOOKUP(J146,Database!$A$2:$S$175,19,FALSE),"-")</f>
        <v>-</v>
      </c>
      <c r="O146" s="96" t="str">
        <f>IF(AND(D146="Y",booking!L146&lt;&gt;booking!M146,booking!M146&gt;0),booking!M146,"-")</f>
        <v>-</v>
      </c>
      <c r="P146" s="78" t="str">
        <f>IFERROR(VLOOKUP(O146,Database!$A$2:$L$175,8,FALSE),"-")</f>
        <v>-</v>
      </c>
      <c r="Q146" s="78" t="str">
        <f>IFERROR(VLOOKUP(O146,Database!$A$2:$L$175,6,FALSE),"-")</f>
        <v>-</v>
      </c>
      <c r="R146" s="82" t="str">
        <f>IFERROR(VLOOKUP(O146,Database!$A$2:$L$175,9,FALSE),"-")</f>
        <v>-</v>
      </c>
      <c r="S146" s="209" t="str">
        <f>IFERROR(VLOOKUP(O146,Database!$A$2:$S$175,19,FALSE),"-")</f>
        <v>-</v>
      </c>
      <c r="T146" s="97" t="str">
        <f>IF(AND(D146="Y",booking!P146&lt;&gt;booking!Q146,booking!Q146&gt;0),booking!Q146,"-")</f>
        <v>-</v>
      </c>
      <c r="U146" s="78" t="str">
        <f>IFERROR(VLOOKUP(T146,Database!$A$2:$L$175,8,FALSE),"-")</f>
        <v>-</v>
      </c>
      <c r="V146" s="78" t="str">
        <f>IFERROR(VLOOKUP(T146,Database!$A$2:$L$175,6,FALSE),"-")</f>
        <v>-</v>
      </c>
      <c r="W146" s="82" t="str">
        <f>IFERROR(VLOOKUP(T146,Database!$A$2:$L$175,9,FALSE),"-")</f>
        <v>-</v>
      </c>
      <c r="X146" s="209" t="str">
        <f>IFERROR(VLOOKUP(T146,Database!$A$2:$S$175,19,FALSE),"-")</f>
        <v>-</v>
      </c>
      <c r="Y146" s="96">
        <f>IF(AND(D146="Y",booking!T146&lt;&gt;booking!U146,booking!U146&gt;0),booking!U146,"-")</f>
        <v>3</v>
      </c>
      <c r="Z146" s="79">
        <f>IFERROR(VLOOKUP(Y146,Database!$A$2:$L$175,8,FALSE),"-")</f>
        <v>0</v>
      </c>
      <c r="AA146" s="79" t="str">
        <f>IFERROR(VLOOKUP(Y146,Database!$A$2:$L$175,6,FALSE),"-")</f>
        <v>DK</v>
      </c>
      <c r="AB146" s="92">
        <f>IFERROR(VLOOKUP(Y146,Database!$A$2:$L$175,9,FALSE),"-")</f>
        <v>0</v>
      </c>
      <c r="AC146" s="8" t="str">
        <f>IFERROR(VLOOKUP(Y146,Database!$A$2:$S$175,19,FALSE),"-")</f>
        <v>N</v>
      </c>
    </row>
    <row r="147" spans="1:29" ht="15" customHeight="1" thickBot="1" x14ac:dyDescent="0.4">
      <c r="A147" s="88" t="str">
        <f>rengoering!A147</f>
        <v>lørdag</v>
      </c>
      <c r="B147" s="84">
        <v>46284</v>
      </c>
      <c r="C147" s="9"/>
      <c r="D147" s="89" t="str">
        <f>IF(booking!AB147&gt;0,"Y","-")</f>
        <v>-</v>
      </c>
      <c r="E147" s="95" t="str">
        <f>IF(AND(D147="Y",booking!D147&lt;&gt;booking!E147,booking!E147&gt;0),booking!E147,"-")</f>
        <v>-</v>
      </c>
      <c r="F147" s="8" t="str">
        <f>IFERROR(VLOOKUP(E147,Database!$A$2:$L$175,8,FALSE),"-")</f>
        <v>-</v>
      </c>
      <c r="G147" s="78" t="str">
        <f>IFERROR(VLOOKUP(E147,Database!$A$2:$L$175,6,FALSE),"-")</f>
        <v>-</v>
      </c>
      <c r="H147" s="93" t="str">
        <f>IFERROR(VLOOKUP(E147,Database!$A$2:$L$175,9,FALSE),"-")</f>
        <v>-</v>
      </c>
      <c r="I147" s="112"/>
      <c r="J147" s="96" t="str">
        <f>IF(AND(D147="Y",booking!H147&lt;&gt;booking!I147,booking!I147&gt;0),booking!I147,"-")</f>
        <v>-</v>
      </c>
      <c r="K147" s="78" t="str">
        <f>IFERROR(VLOOKUP(J147,Database!$A$2:$L$175,8,FALSE),"-")</f>
        <v>-</v>
      </c>
      <c r="L147" s="78" t="str">
        <f>IFERROR(VLOOKUP(J147,Database!$A$2:$L$175,6,FALSE),"-")</f>
        <v>-</v>
      </c>
      <c r="M147" s="93" t="str">
        <f>IFERROR(VLOOKUP(J147,Database!$A$2:$L$175,9,FALSE),"-")</f>
        <v>-</v>
      </c>
      <c r="N147" s="209" t="str">
        <f>IFERROR(VLOOKUP(J147,Database!$A$2:$S$175,19,FALSE),"-")</f>
        <v>-</v>
      </c>
      <c r="O147" s="96" t="str">
        <f>IF(AND(D147="Y",booking!L147&lt;&gt;booking!M147,booking!M147&gt;0),booking!M147,"-")</f>
        <v>-</v>
      </c>
      <c r="P147" s="78" t="str">
        <f>IFERROR(VLOOKUP(O147,Database!$A$2:$L$175,8,FALSE),"-")</f>
        <v>-</v>
      </c>
      <c r="Q147" s="78" t="str">
        <f>IFERROR(VLOOKUP(O147,Database!$A$2:$L$175,6,FALSE),"-")</f>
        <v>-</v>
      </c>
      <c r="R147" s="82" t="str">
        <f>IFERROR(VLOOKUP(O147,Database!$A$2:$L$175,9,FALSE),"-")</f>
        <v>-</v>
      </c>
      <c r="S147" s="209" t="str">
        <f>IFERROR(VLOOKUP(O147,Database!$A$2:$S$175,19,FALSE),"-")</f>
        <v>-</v>
      </c>
      <c r="T147" s="97" t="str">
        <f>IF(AND(D147="Y",booking!P147&lt;&gt;booking!Q147,booking!Q147&gt;0),booking!Q147,"-")</f>
        <v>-</v>
      </c>
      <c r="U147" s="78" t="str">
        <f>IFERROR(VLOOKUP(T147,Database!$A$2:$L$175,8,FALSE),"-")</f>
        <v>-</v>
      </c>
      <c r="V147" s="78" t="str">
        <f>IFERROR(VLOOKUP(T147,Database!$A$2:$L$175,6,FALSE),"-")</f>
        <v>-</v>
      </c>
      <c r="W147" s="82" t="str">
        <f>IFERROR(VLOOKUP(T147,Database!$A$2:$L$175,9,FALSE),"-")</f>
        <v>-</v>
      </c>
      <c r="X147" s="209" t="str">
        <f>IFERROR(VLOOKUP(T147,Database!$A$2:$S$175,19,FALSE),"-")</f>
        <v>-</v>
      </c>
      <c r="Y147" s="96" t="str">
        <f>IF(AND(D147="Y",booking!T147&lt;&gt;booking!U147,booking!U147&gt;0),booking!U147,"-")</f>
        <v>-</v>
      </c>
      <c r="Z147" s="79" t="str">
        <f>IFERROR(VLOOKUP(Y147,Database!$A$2:$L$175,8,FALSE),"-")</f>
        <v>-</v>
      </c>
      <c r="AA147" s="79" t="str">
        <f>IFERROR(VLOOKUP(Y147,Database!$A$2:$L$175,6,FALSE),"-")</f>
        <v>-</v>
      </c>
      <c r="AB147" s="92" t="str">
        <f>IFERROR(VLOOKUP(Y147,Database!$A$2:$L$175,9,FALSE),"-")</f>
        <v>-</v>
      </c>
      <c r="AC147" s="8" t="str">
        <f>IFERROR(VLOOKUP(Y147,Database!$A$2:$S$175,19,FALSE),"-")</f>
        <v>-</v>
      </c>
    </row>
    <row r="148" spans="1:29" ht="15" customHeight="1" thickBot="1" x14ac:dyDescent="0.4">
      <c r="A148" s="88" t="str">
        <f>rengoering!A148</f>
        <v>søndag</v>
      </c>
      <c r="B148" s="86">
        <v>46285</v>
      </c>
      <c r="C148" s="9"/>
      <c r="D148" s="89" t="str">
        <f>IF(booking!AB148&gt;0,"Y","-")</f>
        <v>-</v>
      </c>
      <c r="E148" s="95" t="str">
        <f>IF(AND(D148="Y",booking!D148&lt;&gt;booking!E148,booking!E148&gt;0),booking!E148,"-")</f>
        <v>-</v>
      </c>
      <c r="F148" s="8" t="str">
        <f>IFERROR(VLOOKUP(E148,Database!$A$2:$L$175,8,FALSE),"-")</f>
        <v>-</v>
      </c>
      <c r="G148" s="78" t="str">
        <f>IFERROR(VLOOKUP(E148,Database!$A$2:$L$175,6,FALSE),"-")</f>
        <v>-</v>
      </c>
      <c r="H148" s="93" t="str">
        <f>IFERROR(VLOOKUP(E148,Database!$A$2:$L$175,9,FALSE),"-")</f>
        <v>-</v>
      </c>
      <c r="I148" s="112"/>
      <c r="J148" s="96" t="str">
        <f>IF(AND(D148="Y",booking!H148&lt;&gt;booking!I148,booking!I148&gt;0),booking!I148,"-")</f>
        <v>-</v>
      </c>
      <c r="K148" s="78" t="str">
        <f>IFERROR(VLOOKUP(J148,Database!$A$2:$L$175,8,FALSE),"-")</f>
        <v>-</v>
      </c>
      <c r="L148" s="78" t="str">
        <f>IFERROR(VLOOKUP(J148,Database!$A$2:$L$175,6,FALSE),"-")</f>
        <v>-</v>
      </c>
      <c r="M148" s="93" t="str">
        <f>IFERROR(VLOOKUP(J148,Database!$A$2:$L$175,9,FALSE),"-")</f>
        <v>-</v>
      </c>
      <c r="N148" s="209" t="str">
        <f>IFERROR(VLOOKUP(J148,Database!$A$2:$S$175,19,FALSE),"-")</f>
        <v>-</v>
      </c>
      <c r="O148" s="96" t="str">
        <f>IF(AND(D148="Y",booking!L148&lt;&gt;booking!M148,booking!M148&gt;0),booking!M148,"-")</f>
        <v>-</v>
      </c>
      <c r="P148" s="78" t="str">
        <f>IFERROR(VLOOKUP(O148,Database!$A$2:$L$175,8,FALSE),"-")</f>
        <v>-</v>
      </c>
      <c r="Q148" s="78" t="str">
        <f>IFERROR(VLOOKUP(O148,Database!$A$2:$L$175,6,FALSE),"-")</f>
        <v>-</v>
      </c>
      <c r="R148" s="82" t="str">
        <f>IFERROR(VLOOKUP(O148,Database!$A$2:$L$175,9,FALSE),"-")</f>
        <v>-</v>
      </c>
      <c r="S148" s="209" t="str">
        <f>IFERROR(VLOOKUP(O148,Database!$A$2:$S$175,19,FALSE),"-")</f>
        <v>-</v>
      </c>
      <c r="T148" s="97" t="str">
        <f>IF(AND(D148="Y",booking!P148&lt;&gt;booking!Q148,booking!Q148&gt;0),booking!Q148,"-")</f>
        <v>-</v>
      </c>
      <c r="U148" s="78" t="str">
        <f>IFERROR(VLOOKUP(T148,Database!$A$2:$L$175,8,FALSE),"-")</f>
        <v>-</v>
      </c>
      <c r="V148" s="78" t="str">
        <f>IFERROR(VLOOKUP(T148,Database!$A$2:$L$175,6,FALSE),"-")</f>
        <v>-</v>
      </c>
      <c r="W148" s="82" t="str">
        <f>IFERROR(VLOOKUP(T148,Database!$A$2:$L$175,9,FALSE),"-")</f>
        <v>-</v>
      </c>
      <c r="X148" s="209" t="str">
        <f>IFERROR(VLOOKUP(T148,Database!$A$2:$S$175,19,FALSE),"-")</f>
        <v>-</v>
      </c>
      <c r="Y148" s="96" t="str">
        <f>IF(AND(D148="Y",booking!T148&lt;&gt;booking!U148,booking!U148&gt;0),booking!U148,"-")</f>
        <v>-</v>
      </c>
      <c r="Z148" s="79" t="str">
        <f>IFERROR(VLOOKUP(Y148,Database!$A$2:$L$175,8,FALSE),"-")</f>
        <v>-</v>
      </c>
      <c r="AA148" s="79" t="str">
        <f>IFERROR(VLOOKUP(Y148,Database!$A$2:$L$175,6,FALSE),"-")</f>
        <v>-</v>
      </c>
      <c r="AB148" s="92" t="str">
        <f>IFERROR(VLOOKUP(Y148,Database!$A$2:$L$175,9,FALSE),"-")</f>
        <v>-</v>
      </c>
      <c r="AC148" s="8" t="str">
        <f>IFERROR(VLOOKUP(Y148,Database!$A$2:$S$175,19,FALSE),"-")</f>
        <v>-</v>
      </c>
    </row>
    <row r="149" spans="1:29" ht="15" customHeight="1" thickBot="1" x14ac:dyDescent="0.4">
      <c r="A149" s="88" t="str">
        <f>rengoering!A149</f>
        <v>mandag</v>
      </c>
      <c r="B149" s="84">
        <v>46286</v>
      </c>
      <c r="C149" s="9"/>
      <c r="D149" s="89" t="str">
        <f>IF(booking!AB149&gt;0,"Y","-")</f>
        <v>-</v>
      </c>
      <c r="E149" s="95" t="str">
        <f>IF(AND(D149="Y",booking!D149&lt;&gt;booking!E149,booking!E149&gt;0),booking!E149,"-")</f>
        <v>-</v>
      </c>
      <c r="F149" s="8" t="str">
        <f>IFERROR(VLOOKUP(E149,Database!$A$2:$L$175,8,FALSE),"-")</f>
        <v>-</v>
      </c>
      <c r="G149" s="78" t="str">
        <f>IFERROR(VLOOKUP(E149,Database!$A$2:$L$175,6,FALSE),"-")</f>
        <v>-</v>
      </c>
      <c r="H149" s="93" t="str">
        <f>IFERROR(VLOOKUP(E149,Database!$A$2:$L$175,9,FALSE),"-")</f>
        <v>-</v>
      </c>
      <c r="I149" s="112"/>
      <c r="J149" s="96" t="str">
        <f>IF(AND(D149="Y",booking!H149&lt;&gt;booking!I149,booking!I149&gt;0),booking!I149,"-")</f>
        <v>-</v>
      </c>
      <c r="K149" s="78" t="str">
        <f>IFERROR(VLOOKUP(J149,Database!$A$2:$L$175,8,FALSE),"-")</f>
        <v>-</v>
      </c>
      <c r="L149" s="78" t="str">
        <f>IFERROR(VLOOKUP(J149,Database!$A$2:$L$175,6,FALSE),"-")</f>
        <v>-</v>
      </c>
      <c r="M149" s="93" t="str">
        <f>IFERROR(VLOOKUP(J149,Database!$A$2:$L$175,9,FALSE),"-")</f>
        <v>-</v>
      </c>
      <c r="N149" s="209" t="str">
        <f>IFERROR(VLOOKUP(J149,Database!$A$2:$S$175,19,FALSE),"-")</f>
        <v>-</v>
      </c>
      <c r="O149" s="96" t="str">
        <f>IF(AND(D149="Y",booking!L149&lt;&gt;booking!M149,booking!M149&gt;0),booking!M149,"-")</f>
        <v>-</v>
      </c>
      <c r="P149" s="78" t="str">
        <f>IFERROR(VLOOKUP(O149,Database!$A$2:$L$175,8,FALSE),"-")</f>
        <v>-</v>
      </c>
      <c r="Q149" s="78" t="str">
        <f>IFERROR(VLOOKUP(O149,Database!$A$2:$L$175,6,FALSE),"-")</f>
        <v>-</v>
      </c>
      <c r="R149" s="82" t="str">
        <f>IFERROR(VLOOKUP(O149,Database!$A$2:$L$175,9,FALSE),"-")</f>
        <v>-</v>
      </c>
      <c r="S149" s="209" t="str">
        <f>IFERROR(VLOOKUP(O149,Database!$A$2:$S$175,19,FALSE),"-")</f>
        <v>-</v>
      </c>
      <c r="T149" s="97" t="str">
        <f>IF(AND(D149="Y",booking!P149&lt;&gt;booking!Q149,booking!Q149&gt;0),booking!Q149,"-")</f>
        <v>-</v>
      </c>
      <c r="U149" s="78" t="str">
        <f>IFERROR(VLOOKUP(T149,Database!$A$2:$L$175,8,FALSE),"-")</f>
        <v>-</v>
      </c>
      <c r="V149" s="78" t="str">
        <f>IFERROR(VLOOKUP(T149,Database!$A$2:$L$175,6,FALSE),"-")</f>
        <v>-</v>
      </c>
      <c r="W149" s="82" t="str">
        <f>IFERROR(VLOOKUP(T149,Database!$A$2:$L$175,9,FALSE),"-")</f>
        <v>-</v>
      </c>
      <c r="X149" s="209" t="str">
        <f>IFERROR(VLOOKUP(T149,Database!$A$2:$S$175,19,FALSE),"-")</f>
        <v>-</v>
      </c>
      <c r="Y149" s="96" t="str">
        <f>IF(AND(D149="Y",booking!T149&lt;&gt;booking!U149,booking!U149&gt;0),booking!U149,"-")</f>
        <v>-</v>
      </c>
      <c r="Z149" s="79" t="str">
        <f>IFERROR(VLOOKUP(Y149,Database!$A$2:$L$175,8,FALSE),"-")</f>
        <v>-</v>
      </c>
      <c r="AA149" s="79" t="str">
        <f>IFERROR(VLOOKUP(Y149,Database!$A$2:$L$175,6,FALSE),"-")</f>
        <v>-</v>
      </c>
      <c r="AB149" s="92" t="str">
        <f>IFERROR(VLOOKUP(Y149,Database!$A$2:$L$175,9,FALSE),"-")</f>
        <v>-</v>
      </c>
      <c r="AC149" s="8" t="str">
        <f>IFERROR(VLOOKUP(Y149,Database!$A$2:$S$175,19,FALSE),"-")</f>
        <v>-</v>
      </c>
    </row>
    <row r="150" spans="1:29" ht="15" customHeight="1" thickBot="1" x14ac:dyDescent="0.4">
      <c r="A150" s="88" t="str">
        <f>rengoering!A150</f>
        <v>tirsdag</v>
      </c>
      <c r="B150" s="86">
        <v>46287</v>
      </c>
      <c r="C150" s="9"/>
      <c r="D150" s="89" t="str">
        <f>IF(booking!AB150&gt;0,"Y","-")</f>
        <v>-</v>
      </c>
      <c r="E150" s="95" t="str">
        <f>IF(AND(D150="Y",booking!D150&lt;&gt;booking!E150,booking!E150&gt;0),booking!E150,"-")</f>
        <v>-</v>
      </c>
      <c r="F150" s="8" t="str">
        <f>IFERROR(VLOOKUP(E150,Database!$A$2:$L$175,8,FALSE),"-")</f>
        <v>-</v>
      </c>
      <c r="G150" s="78" t="str">
        <f>IFERROR(VLOOKUP(E150,Database!$A$2:$L$175,6,FALSE),"-")</f>
        <v>-</v>
      </c>
      <c r="H150" s="93" t="str">
        <f>IFERROR(VLOOKUP(E150,Database!$A$2:$L$175,9,FALSE),"-")</f>
        <v>-</v>
      </c>
      <c r="I150" s="112"/>
      <c r="J150" s="96" t="str">
        <f>IF(AND(D150="Y",booking!H150&lt;&gt;booking!I150,booking!I150&gt;0),booking!I150,"-")</f>
        <v>-</v>
      </c>
      <c r="K150" s="78" t="str">
        <f>IFERROR(VLOOKUP(J150,Database!$A$2:$L$175,8,FALSE),"-")</f>
        <v>-</v>
      </c>
      <c r="L150" s="78" t="str">
        <f>IFERROR(VLOOKUP(J150,Database!$A$2:$L$175,6,FALSE),"-")</f>
        <v>-</v>
      </c>
      <c r="M150" s="93" t="str">
        <f>IFERROR(VLOOKUP(J150,Database!$A$2:$L$175,9,FALSE),"-")</f>
        <v>-</v>
      </c>
      <c r="N150" s="209" t="str">
        <f>IFERROR(VLOOKUP(J150,Database!$A$2:$S$175,19,FALSE),"-")</f>
        <v>-</v>
      </c>
      <c r="O150" s="96" t="str">
        <f>IF(AND(D150="Y",booking!L150&lt;&gt;booking!M150,booking!M150&gt;0),booking!M150,"-")</f>
        <v>-</v>
      </c>
      <c r="P150" s="78" t="str">
        <f>IFERROR(VLOOKUP(O150,Database!$A$2:$L$175,8,FALSE),"-")</f>
        <v>-</v>
      </c>
      <c r="Q150" s="78" t="str">
        <f>IFERROR(VLOOKUP(O150,Database!$A$2:$L$175,6,FALSE),"-")</f>
        <v>-</v>
      </c>
      <c r="R150" s="82" t="str">
        <f>IFERROR(VLOOKUP(O150,Database!$A$2:$L$175,9,FALSE),"-")</f>
        <v>-</v>
      </c>
      <c r="S150" s="209" t="str">
        <f>IFERROR(VLOOKUP(O150,Database!$A$2:$S$175,19,FALSE),"-")</f>
        <v>-</v>
      </c>
      <c r="T150" s="97" t="str">
        <f>IF(AND(D150="Y",booking!P150&lt;&gt;booking!Q150,booking!Q150&gt;0),booking!Q150,"-")</f>
        <v>-</v>
      </c>
      <c r="U150" s="78" t="str">
        <f>IFERROR(VLOOKUP(T150,Database!$A$2:$L$175,8,FALSE),"-")</f>
        <v>-</v>
      </c>
      <c r="V150" s="78" t="str">
        <f>IFERROR(VLOOKUP(T150,Database!$A$2:$L$175,6,FALSE),"-")</f>
        <v>-</v>
      </c>
      <c r="W150" s="82" t="str">
        <f>IFERROR(VLOOKUP(T150,Database!$A$2:$L$175,9,FALSE),"-")</f>
        <v>-</v>
      </c>
      <c r="X150" s="209" t="str">
        <f>IFERROR(VLOOKUP(T150,Database!$A$2:$S$175,19,FALSE),"-")</f>
        <v>-</v>
      </c>
      <c r="Y150" s="96" t="str">
        <f>IF(AND(D150="Y",booking!T150&lt;&gt;booking!U150,booking!U150&gt;0),booking!U150,"-")</f>
        <v>-</v>
      </c>
      <c r="Z150" s="79" t="str">
        <f>IFERROR(VLOOKUP(Y150,Database!$A$2:$L$175,8,FALSE),"-")</f>
        <v>-</v>
      </c>
      <c r="AA150" s="79" t="str">
        <f>IFERROR(VLOOKUP(Y150,Database!$A$2:$L$175,6,FALSE),"-")</f>
        <v>-</v>
      </c>
      <c r="AB150" s="92" t="str">
        <f>IFERROR(VLOOKUP(Y150,Database!$A$2:$L$175,9,FALSE),"-")</f>
        <v>-</v>
      </c>
      <c r="AC150" s="8" t="str">
        <f>IFERROR(VLOOKUP(Y150,Database!$A$2:$S$175,19,FALSE),"-")</f>
        <v>-</v>
      </c>
    </row>
    <row r="151" spans="1:29" ht="15" customHeight="1" thickBot="1" x14ac:dyDescent="0.4">
      <c r="A151" s="88" t="str">
        <f>rengoering!A151</f>
        <v>onsdag</v>
      </c>
      <c r="B151" s="84">
        <v>46288</v>
      </c>
      <c r="C151" s="9"/>
      <c r="D151" s="89" t="str">
        <f>IF(booking!AB151&gt;0,"Y","-")</f>
        <v>-</v>
      </c>
      <c r="E151" s="95" t="str">
        <f>IF(AND(D151="Y",booking!D151&lt;&gt;booking!E151,booking!E151&gt;0),booking!E151,"-")</f>
        <v>-</v>
      </c>
      <c r="F151" s="8" t="str">
        <f>IFERROR(VLOOKUP(E151,Database!$A$2:$L$175,8,FALSE),"-")</f>
        <v>-</v>
      </c>
      <c r="G151" s="78" t="str">
        <f>IFERROR(VLOOKUP(E151,Database!$A$2:$L$175,6,FALSE),"-")</f>
        <v>-</v>
      </c>
      <c r="H151" s="93" t="str">
        <f>IFERROR(VLOOKUP(E151,Database!$A$2:$L$175,9,FALSE),"-")</f>
        <v>-</v>
      </c>
      <c r="I151" s="112"/>
      <c r="J151" s="96" t="str">
        <f>IF(AND(D151="Y",booking!H151&lt;&gt;booking!I151,booking!I151&gt;0),booking!I151,"-")</f>
        <v>-</v>
      </c>
      <c r="K151" s="78" t="str">
        <f>IFERROR(VLOOKUP(J151,Database!$A$2:$L$175,8,FALSE),"-")</f>
        <v>-</v>
      </c>
      <c r="L151" s="78" t="str">
        <f>IFERROR(VLOOKUP(J151,Database!$A$2:$L$175,6,FALSE),"-")</f>
        <v>-</v>
      </c>
      <c r="M151" s="93" t="str">
        <f>IFERROR(VLOOKUP(J151,Database!$A$2:$L$175,9,FALSE),"-")</f>
        <v>-</v>
      </c>
      <c r="N151" s="209" t="str">
        <f>IFERROR(VLOOKUP(J151,Database!$A$2:$S$175,19,FALSE),"-")</f>
        <v>-</v>
      </c>
      <c r="O151" s="96" t="str">
        <f>IF(AND(D151="Y",booking!L151&lt;&gt;booking!M151,booking!M151&gt;0),booking!M151,"-")</f>
        <v>-</v>
      </c>
      <c r="P151" s="78" t="str">
        <f>IFERROR(VLOOKUP(O151,Database!$A$2:$L$175,8,FALSE),"-")</f>
        <v>-</v>
      </c>
      <c r="Q151" s="78" t="str">
        <f>IFERROR(VLOOKUP(O151,Database!$A$2:$L$175,6,FALSE),"-")</f>
        <v>-</v>
      </c>
      <c r="R151" s="82" t="str">
        <f>IFERROR(VLOOKUP(O151,Database!$A$2:$L$175,9,FALSE),"-")</f>
        <v>-</v>
      </c>
      <c r="S151" s="209" t="str">
        <f>IFERROR(VLOOKUP(O151,Database!$A$2:$S$175,19,FALSE),"-")</f>
        <v>-</v>
      </c>
      <c r="T151" s="97" t="str">
        <f>IF(AND(D151="Y",booking!P151&lt;&gt;booking!Q151,booking!Q151&gt;0),booking!Q151,"-")</f>
        <v>-</v>
      </c>
      <c r="U151" s="78" t="str">
        <f>IFERROR(VLOOKUP(T151,Database!$A$2:$L$175,8,FALSE),"-")</f>
        <v>-</v>
      </c>
      <c r="V151" s="78" t="str">
        <f>IFERROR(VLOOKUP(T151,Database!$A$2:$L$175,6,FALSE),"-")</f>
        <v>-</v>
      </c>
      <c r="W151" s="82" t="str">
        <f>IFERROR(VLOOKUP(T151,Database!$A$2:$L$175,9,FALSE),"-")</f>
        <v>-</v>
      </c>
      <c r="X151" s="209" t="str">
        <f>IFERROR(VLOOKUP(T151,Database!$A$2:$S$175,19,FALSE),"-")</f>
        <v>-</v>
      </c>
      <c r="Y151" s="96" t="str">
        <f>IF(AND(D151="Y",booking!T151&lt;&gt;booking!U151,booking!U151&gt;0),booking!U151,"-")</f>
        <v>-</v>
      </c>
      <c r="Z151" s="79" t="str">
        <f>IFERROR(VLOOKUP(Y151,Database!$A$2:$L$175,8,FALSE),"-")</f>
        <v>-</v>
      </c>
      <c r="AA151" s="79" t="str">
        <f>IFERROR(VLOOKUP(Y151,Database!$A$2:$L$175,6,FALSE),"-")</f>
        <v>-</v>
      </c>
      <c r="AB151" s="92" t="str">
        <f>IFERROR(VLOOKUP(Y151,Database!$A$2:$L$175,9,FALSE),"-")</f>
        <v>-</v>
      </c>
      <c r="AC151" s="8" t="str">
        <f>IFERROR(VLOOKUP(Y151,Database!$A$2:$S$175,19,FALSE),"-")</f>
        <v>-</v>
      </c>
    </row>
    <row r="152" spans="1:29" ht="15" customHeight="1" thickBot="1" x14ac:dyDescent="0.4">
      <c r="A152" s="88" t="str">
        <f>rengoering!A152</f>
        <v>torsdag</v>
      </c>
      <c r="B152" s="86">
        <v>46289</v>
      </c>
      <c r="C152" s="9"/>
      <c r="D152" s="89" t="str">
        <f>IF(booking!AB152&gt;0,"Y","-")</f>
        <v>-</v>
      </c>
      <c r="E152" s="95" t="str">
        <f>IF(AND(D152="Y",booking!D152&lt;&gt;booking!E152,booking!E152&gt;0),booking!E152,"-")</f>
        <v>-</v>
      </c>
      <c r="F152" s="8" t="str">
        <f>IFERROR(VLOOKUP(E152,Database!$A$2:$L$175,8,FALSE),"-")</f>
        <v>-</v>
      </c>
      <c r="G152" s="78" t="str">
        <f>IFERROR(VLOOKUP(E152,Database!$A$2:$L$175,6,FALSE),"-")</f>
        <v>-</v>
      </c>
      <c r="H152" s="93" t="str">
        <f>IFERROR(VLOOKUP(E152,Database!$A$2:$L$175,9,FALSE),"-")</f>
        <v>-</v>
      </c>
      <c r="I152" s="112"/>
      <c r="J152" s="96" t="str">
        <f>IF(AND(D152="Y",booking!H152&lt;&gt;booking!I152,booking!I152&gt;0),booking!I152,"-")</f>
        <v>-</v>
      </c>
      <c r="K152" s="78" t="str">
        <f>IFERROR(VLOOKUP(J152,Database!$A$2:$L$175,8,FALSE),"-")</f>
        <v>-</v>
      </c>
      <c r="L152" s="78" t="str">
        <f>IFERROR(VLOOKUP(J152,Database!$A$2:$L$175,6,FALSE),"-")</f>
        <v>-</v>
      </c>
      <c r="M152" s="93" t="str">
        <f>IFERROR(VLOOKUP(J152,Database!$A$2:$L$175,9,FALSE),"-")</f>
        <v>-</v>
      </c>
      <c r="N152" s="209" t="str">
        <f>IFERROR(VLOOKUP(J152,Database!$A$2:$S$175,19,FALSE),"-")</f>
        <v>-</v>
      </c>
      <c r="O152" s="96" t="str">
        <f>IF(AND(D152="Y",booking!L152&lt;&gt;booking!M152,booking!M152&gt;0),booking!M152,"-")</f>
        <v>-</v>
      </c>
      <c r="P152" s="78" t="str">
        <f>IFERROR(VLOOKUP(O152,Database!$A$2:$L$175,8,FALSE),"-")</f>
        <v>-</v>
      </c>
      <c r="Q152" s="78" t="str">
        <f>IFERROR(VLOOKUP(O152,Database!$A$2:$L$175,6,FALSE),"-")</f>
        <v>-</v>
      </c>
      <c r="R152" s="82" t="str">
        <f>IFERROR(VLOOKUP(O152,Database!$A$2:$L$175,9,FALSE),"-")</f>
        <v>-</v>
      </c>
      <c r="S152" s="209" t="str">
        <f>IFERROR(VLOOKUP(O152,Database!$A$2:$S$175,19,FALSE),"-")</f>
        <v>-</v>
      </c>
      <c r="T152" s="97" t="str">
        <f>IF(AND(D152="Y",booking!P152&lt;&gt;booking!Q152,booking!Q152&gt;0),booking!Q152,"-")</f>
        <v>-</v>
      </c>
      <c r="U152" s="78" t="str">
        <f>IFERROR(VLOOKUP(T152,Database!$A$2:$L$175,8,FALSE),"-")</f>
        <v>-</v>
      </c>
      <c r="V152" s="78" t="str">
        <f>IFERROR(VLOOKUP(T152,Database!$A$2:$L$175,6,FALSE),"-")</f>
        <v>-</v>
      </c>
      <c r="W152" s="82" t="str">
        <f>IFERROR(VLOOKUP(T152,Database!$A$2:$L$175,9,FALSE),"-")</f>
        <v>-</v>
      </c>
      <c r="X152" s="209" t="str">
        <f>IFERROR(VLOOKUP(T152,Database!$A$2:$S$175,19,FALSE),"-")</f>
        <v>-</v>
      </c>
      <c r="Y152" s="96" t="str">
        <f>IF(AND(D152="Y",booking!T152&lt;&gt;booking!U152,booking!U152&gt;0),booking!U152,"-")</f>
        <v>-</v>
      </c>
      <c r="Z152" s="79" t="str">
        <f>IFERROR(VLOOKUP(Y152,Database!$A$2:$L$175,8,FALSE),"-")</f>
        <v>-</v>
      </c>
      <c r="AA152" s="79" t="str">
        <f>IFERROR(VLOOKUP(Y152,Database!$A$2:$L$175,6,FALSE),"-")</f>
        <v>-</v>
      </c>
      <c r="AB152" s="92" t="str">
        <f>IFERROR(VLOOKUP(Y152,Database!$A$2:$L$175,9,FALSE),"-")</f>
        <v>-</v>
      </c>
      <c r="AC152" s="8" t="str">
        <f>IFERROR(VLOOKUP(Y152,Database!$A$2:$S$175,19,FALSE),"-")</f>
        <v>-</v>
      </c>
    </row>
    <row r="153" spans="1:29" ht="15" customHeight="1" thickBot="1" x14ac:dyDescent="0.4">
      <c r="A153" s="88" t="str">
        <f>rengoering!A153</f>
        <v>fredag</v>
      </c>
      <c r="B153" s="84">
        <v>46290</v>
      </c>
      <c r="C153" s="9"/>
      <c r="D153" s="89" t="str">
        <f>IF(booking!AB153&gt;0,"Y","-")</f>
        <v>-</v>
      </c>
      <c r="E153" s="95" t="str">
        <f>IF(AND(D153="Y",booking!D153&lt;&gt;booking!E153,booking!E153&gt;0),booking!E153,"-")</f>
        <v>-</v>
      </c>
      <c r="F153" s="8" t="str">
        <f>IFERROR(VLOOKUP(E153,Database!$A$2:$L$175,8,FALSE),"-")</f>
        <v>-</v>
      </c>
      <c r="G153" s="78" t="str">
        <f>IFERROR(VLOOKUP(E153,Database!$A$2:$L$175,6,FALSE),"-")</f>
        <v>-</v>
      </c>
      <c r="H153" s="93" t="str">
        <f>IFERROR(VLOOKUP(E153,Database!$A$2:$L$175,9,FALSE),"-")</f>
        <v>-</v>
      </c>
      <c r="I153" s="112"/>
      <c r="J153" s="96" t="str">
        <f>IF(AND(D153="Y",booking!H153&lt;&gt;booking!I153,booking!I153&gt;0),booking!I153,"-")</f>
        <v>-</v>
      </c>
      <c r="K153" s="78" t="str">
        <f>IFERROR(VLOOKUP(J153,Database!$A$2:$L$175,8,FALSE),"-")</f>
        <v>-</v>
      </c>
      <c r="L153" s="78" t="str">
        <f>IFERROR(VLOOKUP(J153,Database!$A$2:$L$175,6,FALSE),"-")</f>
        <v>-</v>
      </c>
      <c r="M153" s="93" t="str">
        <f>IFERROR(VLOOKUP(J153,Database!$A$2:$L$175,9,FALSE),"-")</f>
        <v>-</v>
      </c>
      <c r="N153" s="209" t="str">
        <f>IFERROR(VLOOKUP(J153,Database!$A$2:$S$175,19,FALSE),"-")</f>
        <v>-</v>
      </c>
      <c r="O153" s="96" t="str">
        <f>IF(AND(D153="Y",booking!L153&lt;&gt;booking!M153,booking!M153&gt;0),booking!M153,"-")</f>
        <v>-</v>
      </c>
      <c r="P153" s="78" t="str">
        <f>IFERROR(VLOOKUP(O153,Database!$A$2:$L$175,8,FALSE),"-")</f>
        <v>-</v>
      </c>
      <c r="Q153" s="78" t="str">
        <f>IFERROR(VLOOKUP(O153,Database!$A$2:$L$175,6,FALSE),"-")</f>
        <v>-</v>
      </c>
      <c r="R153" s="82" t="str">
        <f>IFERROR(VLOOKUP(O153,Database!$A$2:$L$175,9,FALSE),"-")</f>
        <v>-</v>
      </c>
      <c r="S153" s="209" t="str">
        <f>IFERROR(VLOOKUP(O153,Database!$A$2:$S$175,19,FALSE),"-")</f>
        <v>-</v>
      </c>
      <c r="T153" s="97" t="str">
        <f>IF(AND(D153="Y",booking!P153&lt;&gt;booking!Q153,booking!Q153&gt;0),booking!Q153,"-")</f>
        <v>-</v>
      </c>
      <c r="U153" s="78" t="str">
        <f>IFERROR(VLOOKUP(T153,Database!$A$2:$L$175,8,FALSE),"-")</f>
        <v>-</v>
      </c>
      <c r="V153" s="78" t="str">
        <f>IFERROR(VLOOKUP(T153,Database!$A$2:$L$175,6,FALSE),"-")</f>
        <v>-</v>
      </c>
      <c r="W153" s="82" t="str">
        <f>IFERROR(VLOOKUP(T153,Database!$A$2:$L$175,9,FALSE),"-")</f>
        <v>-</v>
      </c>
      <c r="X153" s="209" t="str">
        <f>IFERROR(VLOOKUP(T153,Database!$A$2:$S$175,19,FALSE),"-")</f>
        <v>-</v>
      </c>
      <c r="Y153" s="96" t="str">
        <f>IF(AND(D153="Y",booking!T153&lt;&gt;booking!U153,booking!U153&gt;0),booking!U153,"-")</f>
        <v>-</v>
      </c>
      <c r="Z153" s="79" t="str">
        <f>IFERROR(VLOOKUP(Y153,Database!$A$2:$L$175,8,FALSE),"-")</f>
        <v>-</v>
      </c>
      <c r="AA153" s="79" t="str">
        <f>IFERROR(VLOOKUP(Y153,Database!$A$2:$L$175,6,FALSE),"-")</f>
        <v>-</v>
      </c>
      <c r="AB153" s="92" t="str">
        <f>IFERROR(VLOOKUP(Y153,Database!$A$2:$L$175,9,FALSE),"-")</f>
        <v>-</v>
      </c>
      <c r="AC153" s="8" t="str">
        <f>IFERROR(VLOOKUP(Y153,Database!$A$2:$S$175,19,FALSE),"-")</f>
        <v>-</v>
      </c>
    </row>
    <row r="154" spans="1:29" ht="15" customHeight="1" thickBot="1" x14ac:dyDescent="0.4">
      <c r="A154" s="88" t="str">
        <f>rengoering!A154</f>
        <v>lørdag</v>
      </c>
      <c r="B154" s="86">
        <v>46291</v>
      </c>
      <c r="C154" s="9"/>
      <c r="D154" s="89" t="str">
        <f>IF(booking!AB154&gt;0,"Y","-")</f>
        <v>-</v>
      </c>
      <c r="E154" s="95" t="str">
        <f>IF(AND(D154="Y",booking!D154&lt;&gt;booking!E154,booking!E154&gt;0),booking!E154,"-")</f>
        <v>-</v>
      </c>
      <c r="F154" s="8" t="str">
        <f>IFERROR(VLOOKUP(E154,Database!$A$2:$L$175,8,FALSE),"-")</f>
        <v>-</v>
      </c>
      <c r="G154" s="78" t="str">
        <f>IFERROR(VLOOKUP(E154,Database!$A$2:$L$175,6,FALSE),"-")</f>
        <v>-</v>
      </c>
      <c r="H154" s="93" t="str">
        <f>IFERROR(VLOOKUP(E154,Database!$A$2:$L$175,9,FALSE),"-")</f>
        <v>-</v>
      </c>
      <c r="I154" s="112"/>
      <c r="J154" s="96" t="str">
        <f>IF(AND(D154="Y",booking!H154&lt;&gt;booking!I154,booking!I154&gt;0),booking!I154,"-")</f>
        <v>-</v>
      </c>
      <c r="K154" s="78" t="str">
        <f>IFERROR(VLOOKUP(J154,Database!$A$2:$L$175,8,FALSE),"-")</f>
        <v>-</v>
      </c>
      <c r="L154" s="78" t="str">
        <f>IFERROR(VLOOKUP(J154,Database!$A$2:$L$175,6,FALSE),"-")</f>
        <v>-</v>
      </c>
      <c r="M154" s="93" t="str">
        <f>IFERROR(VLOOKUP(J154,Database!$A$2:$L$175,9,FALSE),"-")</f>
        <v>-</v>
      </c>
      <c r="N154" s="209" t="str">
        <f>IFERROR(VLOOKUP(J154,Database!$A$2:$S$175,19,FALSE),"-")</f>
        <v>-</v>
      </c>
      <c r="O154" s="96" t="str">
        <f>IF(AND(D154="Y",booking!L154&lt;&gt;booking!M154,booking!M154&gt;0),booking!M154,"-")</f>
        <v>-</v>
      </c>
      <c r="P154" s="78" t="str">
        <f>IFERROR(VLOOKUP(O154,Database!$A$2:$L$175,8,FALSE),"-")</f>
        <v>-</v>
      </c>
      <c r="Q154" s="78" t="str">
        <f>IFERROR(VLOOKUP(O154,Database!$A$2:$L$175,6,FALSE),"-")</f>
        <v>-</v>
      </c>
      <c r="R154" s="82" t="str">
        <f>IFERROR(VLOOKUP(O154,Database!$A$2:$L$175,9,FALSE),"-")</f>
        <v>-</v>
      </c>
      <c r="S154" s="209" t="str">
        <f>IFERROR(VLOOKUP(O154,Database!$A$2:$S$175,19,FALSE),"-")</f>
        <v>-</v>
      </c>
      <c r="T154" s="97" t="str">
        <f>IF(AND(D154="Y",booking!P154&lt;&gt;booking!Q154,booking!Q154&gt;0),booking!Q154,"-")</f>
        <v>-</v>
      </c>
      <c r="U154" s="78" t="str">
        <f>IFERROR(VLOOKUP(T154,Database!$A$2:$L$175,8,FALSE),"-")</f>
        <v>-</v>
      </c>
      <c r="V154" s="78" t="str">
        <f>IFERROR(VLOOKUP(T154,Database!$A$2:$L$175,6,FALSE),"-")</f>
        <v>-</v>
      </c>
      <c r="W154" s="82" t="str">
        <f>IFERROR(VLOOKUP(T154,Database!$A$2:$L$175,9,FALSE),"-")</f>
        <v>-</v>
      </c>
      <c r="X154" s="209" t="str">
        <f>IFERROR(VLOOKUP(T154,Database!$A$2:$S$175,19,FALSE),"-")</f>
        <v>-</v>
      </c>
      <c r="Y154" s="96" t="str">
        <f>IF(AND(D154="Y",booking!T154&lt;&gt;booking!U154,booking!U154&gt;0),booking!U154,"-")</f>
        <v>-</v>
      </c>
      <c r="Z154" s="79" t="str">
        <f>IFERROR(VLOOKUP(Y154,Database!$A$2:$L$175,8,FALSE),"-")</f>
        <v>-</v>
      </c>
      <c r="AA154" s="79" t="str">
        <f>IFERROR(VLOOKUP(Y154,Database!$A$2:$L$175,6,FALSE),"-")</f>
        <v>-</v>
      </c>
      <c r="AB154" s="92" t="str">
        <f>IFERROR(VLOOKUP(Y154,Database!$A$2:$L$175,9,FALSE),"-")</f>
        <v>-</v>
      </c>
      <c r="AC154" s="8" t="str">
        <f>IFERROR(VLOOKUP(Y154,Database!$A$2:$S$175,19,FALSE),"-")</f>
        <v>-</v>
      </c>
    </row>
    <row r="155" spans="1:29" ht="15" customHeight="1" thickBot="1" x14ac:dyDescent="0.4">
      <c r="A155" s="88" t="str">
        <f>rengoering!A155</f>
        <v>søndag</v>
      </c>
      <c r="B155" s="84">
        <v>46292</v>
      </c>
      <c r="C155" s="9"/>
      <c r="D155" s="89" t="str">
        <f>IF(booking!AB155&gt;0,"Y","-")</f>
        <v>-</v>
      </c>
      <c r="E155" s="95" t="str">
        <f>IF(AND(D155="Y",booking!D155&lt;&gt;booking!E155,booking!E155&gt;0),booking!E155,"-")</f>
        <v>-</v>
      </c>
      <c r="F155" s="8" t="str">
        <f>IFERROR(VLOOKUP(E155,Database!$A$2:$L$175,8,FALSE),"-")</f>
        <v>-</v>
      </c>
      <c r="G155" s="78" t="str">
        <f>IFERROR(VLOOKUP(E155,Database!$A$2:$L$175,6,FALSE),"-")</f>
        <v>-</v>
      </c>
      <c r="H155" s="93" t="str">
        <f>IFERROR(VLOOKUP(E155,Database!$A$2:$L$175,9,FALSE),"-")</f>
        <v>-</v>
      </c>
      <c r="I155" s="112"/>
      <c r="J155" s="96" t="str">
        <f>IF(AND(D155="Y",booking!H155&lt;&gt;booking!I155,booking!I155&gt;0),booking!I155,"-")</f>
        <v>-</v>
      </c>
      <c r="K155" s="78" t="str">
        <f>IFERROR(VLOOKUP(J155,Database!$A$2:$L$175,8,FALSE),"-")</f>
        <v>-</v>
      </c>
      <c r="L155" s="78" t="str">
        <f>IFERROR(VLOOKUP(J155,Database!$A$2:$L$175,6,FALSE),"-")</f>
        <v>-</v>
      </c>
      <c r="M155" s="93" t="str">
        <f>IFERROR(VLOOKUP(J155,Database!$A$2:$L$175,9,FALSE),"-")</f>
        <v>-</v>
      </c>
      <c r="N155" s="209" t="str">
        <f>IFERROR(VLOOKUP(J155,Database!$A$2:$S$175,19,FALSE),"-")</f>
        <v>-</v>
      </c>
      <c r="O155" s="96" t="str">
        <f>IF(AND(D155="Y",booking!L155&lt;&gt;booking!M155,booking!M155&gt;0),booking!M155,"-")</f>
        <v>-</v>
      </c>
      <c r="P155" s="78" t="str">
        <f>IFERROR(VLOOKUP(O155,Database!$A$2:$L$175,8,FALSE),"-")</f>
        <v>-</v>
      </c>
      <c r="Q155" s="78" t="str">
        <f>IFERROR(VLOOKUP(O155,Database!$A$2:$L$175,6,FALSE),"-")</f>
        <v>-</v>
      </c>
      <c r="R155" s="82" t="str">
        <f>IFERROR(VLOOKUP(O155,Database!$A$2:$L$175,9,FALSE),"-")</f>
        <v>-</v>
      </c>
      <c r="S155" s="209" t="str">
        <f>IFERROR(VLOOKUP(O155,Database!$A$2:$S$175,19,FALSE),"-")</f>
        <v>-</v>
      </c>
      <c r="T155" s="97" t="str">
        <f>IF(AND(D155="Y",booking!P155&lt;&gt;booking!Q155,booking!Q155&gt;0),booking!Q155,"-")</f>
        <v>-</v>
      </c>
      <c r="U155" s="78" t="str">
        <f>IFERROR(VLOOKUP(T155,Database!$A$2:$L$175,8,FALSE),"-")</f>
        <v>-</v>
      </c>
      <c r="V155" s="78" t="str">
        <f>IFERROR(VLOOKUP(T155,Database!$A$2:$L$175,6,FALSE),"-")</f>
        <v>-</v>
      </c>
      <c r="W155" s="82" t="str">
        <f>IFERROR(VLOOKUP(T155,Database!$A$2:$L$175,9,FALSE),"-")</f>
        <v>-</v>
      </c>
      <c r="X155" s="209" t="str">
        <f>IFERROR(VLOOKUP(T155,Database!$A$2:$S$175,19,FALSE),"-")</f>
        <v>-</v>
      </c>
      <c r="Y155" s="96" t="str">
        <f>IF(AND(D155="Y",booking!T155&lt;&gt;booking!U155,booking!U155&gt;0),booking!U155,"-")</f>
        <v>-</v>
      </c>
      <c r="Z155" s="79" t="str">
        <f>IFERROR(VLOOKUP(Y155,Database!$A$2:$L$175,8,FALSE),"-")</f>
        <v>-</v>
      </c>
      <c r="AA155" s="79" t="str">
        <f>IFERROR(VLOOKUP(Y155,Database!$A$2:$L$175,6,FALSE),"-")</f>
        <v>-</v>
      </c>
      <c r="AB155" s="92" t="str">
        <f>IFERROR(VLOOKUP(Y155,Database!$A$2:$L$175,9,FALSE),"-")</f>
        <v>-</v>
      </c>
      <c r="AC155" s="8" t="str">
        <f>IFERROR(VLOOKUP(Y155,Database!$A$2:$S$175,19,FALSE),"-")</f>
        <v>-</v>
      </c>
    </row>
    <row r="156" spans="1:29" ht="15" customHeight="1" thickBot="1" x14ac:dyDescent="0.4">
      <c r="A156" s="88" t="str">
        <f>rengoering!A156</f>
        <v>mandag</v>
      </c>
      <c r="B156" s="86">
        <v>46293</v>
      </c>
      <c r="C156" s="9"/>
      <c r="D156" s="89" t="str">
        <f>IF(booking!AB156&gt;0,"Y","-")</f>
        <v>-</v>
      </c>
      <c r="E156" s="95" t="str">
        <f>IF(AND(D156="Y",booking!D156&lt;&gt;booking!E156,booking!E156&gt;0),booking!E156,"-")</f>
        <v>-</v>
      </c>
      <c r="F156" s="8" t="str">
        <f>IFERROR(VLOOKUP(E156,Database!$A$2:$L$175,8,FALSE),"-")</f>
        <v>-</v>
      </c>
      <c r="G156" s="78" t="str">
        <f>IFERROR(VLOOKUP(E156,Database!$A$2:$L$175,6,FALSE),"-")</f>
        <v>-</v>
      </c>
      <c r="H156" s="93" t="str">
        <f>IFERROR(VLOOKUP(E156,Database!$A$2:$L$175,9,FALSE),"-")</f>
        <v>-</v>
      </c>
      <c r="I156" s="112"/>
      <c r="J156" s="96" t="str">
        <f>IF(AND(D156="Y",booking!H156&lt;&gt;booking!I156,booking!I156&gt;0),booking!I156,"-")</f>
        <v>-</v>
      </c>
      <c r="K156" s="78" t="str">
        <f>IFERROR(VLOOKUP(J156,Database!$A$2:$L$175,8,FALSE),"-")</f>
        <v>-</v>
      </c>
      <c r="L156" s="78" t="str">
        <f>IFERROR(VLOOKUP(J156,Database!$A$2:$L$175,6,FALSE),"-")</f>
        <v>-</v>
      </c>
      <c r="M156" s="93" t="str">
        <f>IFERROR(VLOOKUP(J156,Database!$A$2:$L$175,9,FALSE),"-")</f>
        <v>-</v>
      </c>
      <c r="N156" s="209" t="str">
        <f>IFERROR(VLOOKUP(J156,Database!$A$2:$S$175,19,FALSE),"-")</f>
        <v>-</v>
      </c>
      <c r="O156" s="96" t="str">
        <f>IF(AND(D156="Y",booking!L156&lt;&gt;booking!M156,booking!M156&gt;0),booking!M156,"-")</f>
        <v>-</v>
      </c>
      <c r="P156" s="78" t="str">
        <f>IFERROR(VLOOKUP(O156,Database!$A$2:$L$175,8,FALSE),"-")</f>
        <v>-</v>
      </c>
      <c r="Q156" s="78" t="str">
        <f>IFERROR(VLOOKUP(O156,Database!$A$2:$L$175,6,FALSE),"-")</f>
        <v>-</v>
      </c>
      <c r="R156" s="82" t="str">
        <f>IFERROR(VLOOKUP(O156,Database!$A$2:$L$175,9,FALSE),"-")</f>
        <v>-</v>
      </c>
      <c r="S156" s="209" t="str">
        <f>IFERROR(VLOOKUP(O156,Database!$A$2:$S$175,19,FALSE),"-")</f>
        <v>-</v>
      </c>
      <c r="T156" s="97" t="str">
        <f>IF(AND(D156="Y",booking!P156&lt;&gt;booking!Q156,booking!Q156&gt;0),booking!Q156,"-")</f>
        <v>-</v>
      </c>
      <c r="U156" s="78" t="str">
        <f>IFERROR(VLOOKUP(T156,Database!$A$2:$L$175,8,FALSE),"-")</f>
        <v>-</v>
      </c>
      <c r="V156" s="78" t="str">
        <f>IFERROR(VLOOKUP(T156,Database!$A$2:$L$175,6,FALSE),"-")</f>
        <v>-</v>
      </c>
      <c r="W156" s="82" t="str">
        <f>IFERROR(VLOOKUP(T156,Database!$A$2:$L$175,9,FALSE),"-")</f>
        <v>-</v>
      </c>
      <c r="X156" s="209" t="str">
        <f>IFERROR(VLOOKUP(T156,Database!$A$2:$S$175,19,FALSE),"-")</f>
        <v>-</v>
      </c>
      <c r="Y156" s="96" t="str">
        <f>IF(AND(D156="Y",booking!T156&lt;&gt;booking!U156,booking!U156&gt;0),booking!U156,"-")</f>
        <v>-</v>
      </c>
      <c r="Z156" s="79" t="str">
        <f>IFERROR(VLOOKUP(Y156,Database!$A$2:$L$175,8,FALSE),"-")</f>
        <v>-</v>
      </c>
      <c r="AA156" s="79" t="str">
        <f>IFERROR(VLOOKUP(Y156,Database!$A$2:$L$175,6,FALSE),"-")</f>
        <v>-</v>
      </c>
      <c r="AB156" s="92" t="str">
        <f>IFERROR(VLOOKUP(Y156,Database!$A$2:$L$175,9,FALSE),"-")</f>
        <v>-</v>
      </c>
      <c r="AC156" s="8" t="str">
        <f>IFERROR(VLOOKUP(Y156,Database!$A$2:$S$175,19,FALSE),"-")</f>
        <v>-</v>
      </c>
    </row>
    <row r="157" spans="1:29" ht="15" customHeight="1" thickBot="1" x14ac:dyDescent="0.4">
      <c r="A157" s="88" t="str">
        <f>rengoering!A157</f>
        <v>tirsdag</v>
      </c>
      <c r="B157" s="84">
        <v>46294</v>
      </c>
      <c r="C157" s="9"/>
      <c r="D157" s="89" t="str">
        <f>IF(booking!AB157&gt;0,"Y","-")</f>
        <v>-</v>
      </c>
      <c r="E157" s="95" t="str">
        <f>IF(AND(D157="Y",booking!D157&lt;&gt;booking!E157,booking!E157&gt;0),booking!E157,"-")</f>
        <v>-</v>
      </c>
      <c r="F157" s="8" t="str">
        <f>IFERROR(VLOOKUP(E157,Database!$A$2:$L$175,8,FALSE),"-")</f>
        <v>-</v>
      </c>
      <c r="G157" s="78" t="str">
        <f>IFERROR(VLOOKUP(E157,Database!$A$2:$L$175,6,FALSE),"-")</f>
        <v>-</v>
      </c>
      <c r="H157" s="93" t="str">
        <f>IFERROR(VLOOKUP(E157,Database!$A$2:$L$175,9,FALSE),"-")</f>
        <v>-</v>
      </c>
      <c r="I157" s="112"/>
      <c r="J157" s="96" t="str">
        <f>IF(AND(D157="Y",booking!H157&lt;&gt;booking!I157,booking!I157&gt;0),booking!I157,"-")</f>
        <v>-</v>
      </c>
      <c r="K157" s="78" t="str">
        <f>IFERROR(VLOOKUP(J157,Database!$A$2:$L$175,8,FALSE),"-")</f>
        <v>-</v>
      </c>
      <c r="L157" s="78" t="str">
        <f>IFERROR(VLOOKUP(J157,Database!$A$2:$L$175,6,FALSE),"-")</f>
        <v>-</v>
      </c>
      <c r="M157" s="93" t="str">
        <f>IFERROR(VLOOKUP(J157,Database!$A$2:$L$175,9,FALSE),"-")</f>
        <v>-</v>
      </c>
      <c r="N157" s="209" t="str">
        <f>IFERROR(VLOOKUP(J157,Database!$A$2:$S$175,19,FALSE),"-")</f>
        <v>-</v>
      </c>
      <c r="O157" s="96" t="str">
        <f>IF(AND(D157="Y",booking!L157&lt;&gt;booking!M157,booking!M157&gt;0),booking!M157,"-")</f>
        <v>-</v>
      </c>
      <c r="P157" s="78" t="str">
        <f>IFERROR(VLOOKUP(O157,Database!$A$2:$L$175,8,FALSE),"-")</f>
        <v>-</v>
      </c>
      <c r="Q157" s="78" t="str">
        <f>IFERROR(VLOOKUP(O157,Database!$A$2:$L$175,6,FALSE),"-")</f>
        <v>-</v>
      </c>
      <c r="R157" s="82" t="str">
        <f>IFERROR(VLOOKUP(O157,Database!$A$2:$L$175,9,FALSE),"-")</f>
        <v>-</v>
      </c>
      <c r="S157" s="209" t="str">
        <f>IFERROR(VLOOKUP(O157,Database!$A$2:$S$175,19,FALSE),"-")</f>
        <v>-</v>
      </c>
      <c r="T157" s="97" t="str">
        <f>IF(AND(D157="Y",booking!P157&lt;&gt;booking!Q157,booking!Q157&gt;0),booking!Q157,"-")</f>
        <v>-</v>
      </c>
      <c r="U157" s="78" t="str">
        <f>IFERROR(VLOOKUP(T157,Database!$A$2:$L$175,8,FALSE),"-")</f>
        <v>-</v>
      </c>
      <c r="V157" s="78" t="str">
        <f>IFERROR(VLOOKUP(T157,Database!$A$2:$L$175,6,FALSE),"-")</f>
        <v>-</v>
      </c>
      <c r="W157" s="82" t="str">
        <f>IFERROR(VLOOKUP(T157,Database!$A$2:$L$175,9,FALSE),"-")</f>
        <v>-</v>
      </c>
      <c r="X157" s="209" t="str">
        <f>IFERROR(VLOOKUP(T157,Database!$A$2:$S$175,19,FALSE),"-")</f>
        <v>-</v>
      </c>
      <c r="Y157" s="96" t="str">
        <f>IF(AND(D157="Y",booking!T157&lt;&gt;booking!U157,booking!U157&gt;0),booking!U157,"-")</f>
        <v>-</v>
      </c>
      <c r="Z157" s="79" t="str">
        <f>IFERROR(VLOOKUP(Y157,Database!$A$2:$L$175,8,FALSE),"-")</f>
        <v>-</v>
      </c>
      <c r="AA157" s="79" t="str">
        <f>IFERROR(VLOOKUP(Y157,Database!$A$2:$L$175,6,FALSE),"-")</f>
        <v>-</v>
      </c>
      <c r="AB157" s="92" t="str">
        <f>IFERROR(VLOOKUP(Y157,Database!$A$2:$L$175,9,FALSE),"-")</f>
        <v>-</v>
      </c>
      <c r="AC157" s="8" t="str">
        <f>IFERROR(VLOOKUP(Y157,Database!$A$2:$S$175,19,FALSE),"-")</f>
        <v>-</v>
      </c>
    </row>
    <row r="158" spans="1:29" ht="15" customHeight="1" thickBot="1" x14ac:dyDescent="0.4">
      <c r="A158" s="88" t="str">
        <f>rengoering!A158</f>
        <v>onsdag</v>
      </c>
      <c r="B158" s="86">
        <v>46295</v>
      </c>
      <c r="C158" s="9"/>
      <c r="D158" s="89" t="str">
        <f>IF(booking!AB158&gt;0,"Y","-")</f>
        <v>-</v>
      </c>
      <c r="E158" s="95" t="str">
        <f>IF(AND(D158="Y",booking!D158&lt;&gt;booking!E158,booking!E158&gt;0),booking!E158,"-")</f>
        <v>-</v>
      </c>
      <c r="F158" s="8" t="str">
        <f>IFERROR(VLOOKUP(E158,Database!$A$2:$L$175,8,FALSE),"-")</f>
        <v>-</v>
      </c>
      <c r="G158" s="78" t="str">
        <f>IFERROR(VLOOKUP(E158,Database!$A$2:$L$175,6,FALSE),"-")</f>
        <v>-</v>
      </c>
      <c r="H158" s="93" t="str">
        <f>IFERROR(VLOOKUP(E158,Database!$A$2:$L$175,9,FALSE),"-")</f>
        <v>-</v>
      </c>
      <c r="I158" s="112"/>
      <c r="J158" s="96" t="str">
        <f>IF(AND(D158="Y",booking!H158&lt;&gt;booking!I158,booking!I158&gt;0),booking!I158,"-")</f>
        <v>-</v>
      </c>
      <c r="K158" s="78" t="str">
        <f>IFERROR(VLOOKUP(J158,Database!$A$2:$L$175,8,FALSE),"-")</f>
        <v>-</v>
      </c>
      <c r="L158" s="78" t="str">
        <f>IFERROR(VLOOKUP(J158,Database!$A$2:$L$175,6,FALSE),"-")</f>
        <v>-</v>
      </c>
      <c r="M158" s="93" t="str">
        <f>IFERROR(VLOOKUP(J158,Database!$A$2:$L$175,9,FALSE),"-")</f>
        <v>-</v>
      </c>
      <c r="N158" s="209" t="str">
        <f>IFERROR(VLOOKUP(J158,Database!$A$2:$S$175,19,FALSE),"-")</f>
        <v>-</v>
      </c>
      <c r="O158" s="96" t="str">
        <f>IF(AND(D158="Y",booking!L158&lt;&gt;booking!M158,booking!M158&gt;0),booking!M158,"-")</f>
        <v>-</v>
      </c>
      <c r="P158" s="78" t="str">
        <f>IFERROR(VLOOKUP(O158,Database!$A$2:$L$175,8,FALSE),"-")</f>
        <v>-</v>
      </c>
      <c r="Q158" s="78" t="str">
        <f>IFERROR(VLOOKUP(O158,Database!$A$2:$L$175,6,FALSE),"-")</f>
        <v>-</v>
      </c>
      <c r="R158" s="82" t="str">
        <f>IFERROR(VLOOKUP(O158,Database!$A$2:$L$175,9,FALSE),"-")</f>
        <v>-</v>
      </c>
      <c r="S158" s="209" t="str">
        <f>IFERROR(VLOOKUP(O158,Database!$A$2:$S$175,19,FALSE),"-")</f>
        <v>-</v>
      </c>
      <c r="T158" s="97" t="str">
        <f>IF(AND(D158="Y",booking!P158&lt;&gt;booking!Q158,booking!Q158&gt;0),booking!Q158,"-")</f>
        <v>-</v>
      </c>
      <c r="U158" s="78" t="str">
        <f>IFERROR(VLOOKUP(T158,Database!$A$2:$L$175,8,FALSE),"-")</f>
        <v>-</v>
      </c>
      <c r="V158" s="78" t="str">
        <f>IFERROR(VLOOKUP(T158,Database!$A$2:$L$175,6,FALSE),"-")</f>
        <v>-</v>
      </c>
      <c r="W158" s="82" t="str">
        <f>IFERROR(VLOOKUP(T158,Database!$A$2:$L$175,9,FALSE),"-")</f>
        <v>-</v>
      </c>
      <c r="X158" s="209" t="str">
        <f>IFERROR(VLOOKUP(T158,Database!$A$2:$S$175,19,FALSE),"-")</f>
        <v>-</v>
      </c>
      <c r="Y158" s="96" t="str">
        <f>IF(AND(D158="Y",booking!T158&lt;&gt;booking!U158,booking!U158&gt;0),booking!U158,"-")</f>
        <v>-</v>
      </c>
      <c r="Z158" s="79" t="str">
        <f>IFERROR(VLOOKUP(Y158,Database!$A$2:$L$175,8,FALSE),"-")</f>
        <v>-</v>
      </c>
      <c r="AA158" s="79" t="str">
        <f>IFERROR(VLOOKUP(Y158,Database!$A$2:$L$175,6,FALSE),"-")</f>
        <v>-</v>
      </c>
      <c r="AB158" s="92" t="str">
        <f>IFERROR(VLOOKUP(Y158,Database!$A$2:$L$175,9,FALSE),"-")</f>
        <v>-</v>
      </c>
      <c r="AC158" s="8" t="str">
        <f>IFERROR(VLOOKUP(Y158,Database!$A$2:$S$175,19,FALSE),"-")</f>
        <v>-</v>
      </c>
    </row>
    <row r="159" spans="1:29" ht="15" customHeight="1" thickBot="1" x14ac:dyDescent="0.4">
      <c r="A159" s="88" t="str">
        <f>rengoering!A159</f>
        <v>torsdag</v>
      </c>
      <c r="B159" s="84">
        <v>46296</v>
      </c>
      <c r="C159" s="9"/>
      <c r="D159" s="89" t="str">
        <f>IF(booking!AB159&gt;0,"Y","-")</f>
        <v>-</v>
      </c>
      <c r="E159" s="95" t="str">
        <f>IF(AND(D159="Y",booking!D159&lt;&gt;booking!E159,booking!E159&gt;0),booking!E159,"-")</f>
        <v>-</v>
      </c>
      <c r="F159" s="8" t="str">
        <f>IFERROR(VLOOKUP(E159,Database!$A$2:$L$175,8,FALSE),"-")</f>
        <v>-</v>
      </c>
      <c r="G159" s="78" t="str">
        <f>IFERROR(VLOOKUP(E159,Database!$A$2:$L$175,6,FALSE),"-")</f>
        <v>-</v>
      </c>
      <c r="H159" s="93" t="str">
        <f>IFERROR(VLOOKUP(E159,Database!$A$2:$L$175,9,FALSE),"-")</f>
        <v>-</v>
      </c>
      <c r="I159" s="112"/>
      <c r="J159" s="96" t="str">
        <f>IF(AND(D159="Y",booking!H159&lt;&gt;booking!I159,booking!I159&gt;0),booking!I159,"-")</f>
        <v>-</v>
      </c>
      <c r="K159" s="78" t="str">
        <f>IFERROR(VLOOKUP(J159,Database!$A$2:$L$175,8,FALSE),"-")</f>
        <v>-</v>
      </c>
      <c r="L159" s="78" t="str">
        <f>IFERROR(VLOOKUP(J159,Database!$A$2:$L$175,6,FALSE),"-")</f>
        <v>-</v>
      </c>
      <c r="M159" s="93" t="str">
        <f>IFERROR(VLOOKUP(J159,Database!$A$2:$L$175,9,FALSE),"-")</f>
        <v>-</v>
      </c>
      <c r="N159" s="209" t="str">
        <f>IFERROR(VLOOKUP(J159,Database!$A$2:$S$175,19,FALSE),"-")</f>
        <v>-</v>
      </c>
      <c r="O159" s="96" t="str">
        <f>IF(AND(D159="Y",booking!L159&lt;&gt;booking!M159,booking!M159&gt;0),booking!M159,"-")</f>
        <v>-</v>
      </c>
      <c r="P159" s="78" t="str">
        <f>IFERROR(VLOOKUP(O159,Database!$A$2:$L$175,8,FALSE),"-")</f>
        <v>-</v>
      </c>
      <c r="Q159" s="78" t="str">
        <f>IFERROR(VLOOKUP(O159,Database!$A$2:$L$175,6,FALSE),"-")</f>
        <v>-</v>
      </c>
      <c r="R159" s="82" t="str">
        <f>IFERROR(VLOOKUP(O159,Database!$A$2:$L$175,9,FALSE),"-")</f>
        <v>-</v>
      </c>
      <c r="S159" s="209" t="str">
        <f>IFERROR(VLOOKUP(O159,Database!$A$2:$S$175,19,FALSE),"-")</f>
        <v>-</v>
      </c>
      <c r="T159" s="97" t="str">
        <f>IF(AND(D159="Y",booking!P159&lt;&gt;booking!Q159,booking!Q159&gt;0),booking!Q159,"-")</f>
        <v>-</v>
      </c>
      <c r="U159" s="78" t="str">
        <f>IFERROR(VLOOKUP(T159,Database!$A$2:$L$175,8,FALSE),"-")</f>
        <v>-</v>
      </c>
      <c r="V159" s="78" t="str">
        <f>IFERROR(VLOOKUP(T159,Database!$A$2:$L$175,6,FALSE),"-")</f>
        <v>-</v>
      </c>
      <c r="W159" s="82" t="str">
        <f>IFERROR(VLOOKUP(T159,Database!$A$2:$L$175,9,FALSE),"-")</f>
        <v>-</v>
      </c>
      <c r="X159" s="209" t="str">
        <f>IFERROR(VLOOKUP(T159,Database!$A$2:$S$175,19,FALSE),"-")</f>
        <v>-</v>
      </c>
      <c r="Y159" s="96" t="str">
        <f>IF(AND(D159="Y",booking!T159&lt;&gt;booking!U159,booking!U159&gt;0),booking!U159,"-")</f>
        <v>-</v>
      </c>
      <c r="Z159" s="79" t="str">
        <f>IFERROR(VLOOKUP(Y159,Database!$A$2:$L$175,8,FALSE),"-")</f>
        <v>-</v>
      </c>
      <c r="AA159" s="79" t="str">
        <f>IFERROR(VLOOKUP(Y159,Database!$A$2:$L$175,6,FALSE),"-")</f>
        <v>-</v>
      </c>
      <c r="AB159" s="92" t="str">
        <f>IFERROR(VLOOKUP(Y159,Database!$A$2:$L$175,9,FALSE),"-")</f>
        <v>-</v>
      </c>
      <c r="AC159" s="8" t="str">
        <f>IFERROR(VLOOKUP(Y159,Database!$A$2:$S$175,19,FALSE),"-")</f>
        <v>-</v>
      </c>
    </row>
    <row r="160" spans="1:29" ht="15" customHeight="1" thickBot="1" x14ac:dyDescent="0.4">
      <c r="A160" s="88" t="str">
        <f>rengoering!A160</f>
        <v>fredag</v>
      </c>
      <c r="B160" s="86">
        <v>46297</v>
      </c>
      <c r="C160" s="9"/>
      <c r="D160" s="89" t="str">
        <f>IF(booking!AB160&gt;0,"Y","-")</f>
        <v>-</v>
      </c>
      <c r="E160" s="95" t="str">
        <f>IF(AND(D160="Y",booking!D160&lt;&gt;booking!E160,booking!E160&gt;0),booking!E160,"-")</f>
        <v>-</v>
      </c>
      <c r="F160" s="8" t="str">
        <f>IFERROR(VLOOKUP(E160,Database!$A$2:$L$175,8,FALSE),"-")</f>
        <v>-</v>
      </c>
      <c r="G160" s="78" t="str">
        <f>IFERROR(VLOOKUP(E160,Database!$A$2:$L$175,6,FALSE),"-")</f>
        <v>-</v>
      </c>
      <c r="H160" s="93" t="str">
        <f>IFERROR(VLOOKUP(E160,Database!$A$2:$L$175,9,FALSE),"-")</f>
        <v>-</v>
      </c>
      <c r="I160" s="112"/>
      <c r="J160" s="96" t="str">
        <f>IF(AND(D160="Y",booking!H160&lt;&gt;booking!I160,booking!I160&gt;0),booking!I160,"-")</f>
        <v>-</v>
      </c>
      <c r="K160" s="78" t="str">
        <f>IFERROR(VLOOKUP(J160,Database!$A$2:$L$175,8,FALSE),"-")</f>
        <v>-</v>
      </c>
      <c r="L160" s="78" t="str">
        <f>IFERROR(VLOOKUP(J160,Database!$A$2:$L$175,6,FALSE),"-")</f>
        <v>-</v>
      </c>
      <c r="M160" s="93" t="str">
        <f>IFERROR(VLOOKUP(J160,Database!$A$2:$L$175,9,FALSE),"-")</f>
        <v>-</v>
      </c>
      <c r="N160" s="209" t="str">
        <f>IFERROR(VLOOKUP(J160,Database!$A$2:$S$175,19,FALSE),"-")</f>
        <v>-</v>
      </c>
      <c r="O160" s="96" t="str">
        <f>IF(AND(D160="Y",booking!L160&lt;&gt;booking!M160,booking!M160&gt;0),booking!M160,"-")</f>
        <v>-</v>
      </c>
      <c r="P160" s="78" t="str">
        <f>IFERROR(VLOOKUP(O160,Database!$A$2:$L$175,8,FALSE),"-")</f>
        <v>-</v>
      </c>
      <c r="Q160" s="78" t="str">
        <f>IFERROR(VLOOKUP(O160,Database!$A$2:$L$175,6,FALSE),"-")</f>
        <v>-</v>
      </c>
      <c r="R160" s="82" t="str">
        <f>IFERROR(VLOOKUP(O160,Database!$A$2:$L$175,9,FALSE),"-")</f>
        <v>-</v>
      </c>
      <c r="S160" s="209" t="str">
        <f>IFERROR(VLOOKUP(O160,Database!$A$2:$S$175,19,FALSE),"-")</f>
        <v>-</v>
      </c>
      <c r="T160" s="97" t="str">
        <f>IF(AND(D160="Y",booking!P160&lt;&gt;booking!Q160,booking!Q160&gt;0),booking!Q160,"-")</f>
        <v>-</v>
      </c>
      <c r="U160" s="78" t="str">
        <f>IFERROR(VLOOKUP(T160,Database!$A$2:$L$175,8,FALSE),"-")</f>
        <v>-</v>
      </c>
      <c r="V160" s="78" t="str">
        <f>IFERROR(VLOOKUP(T160,Database!$A$2:$L$175,6,FALSE),"-")</f>
        <v>-</v>
      </c>
      <c r="W160" s="82" t="str">
        <f>IFERROR(VLOOKUP(T160,Database!$A$2:$L$175,9,FALSE),"-")</f>
        <v>-</v>
      </c>
      <c r="X160" s="209" t="str">
        <f>IFERROR(VLOOKUP(T160,Database!$A$2:$S$175,19,FALSE),"-")</f>
        <v>-</v>
      </c>
      <c r="Y160" s="96" t="str">
        <f>IF(AND(D160="Y",booking!T160&lt;&gt;booking!U160,booking!U160&gt;0),booking!U160,"-")</f>
        <v>-</v>
      </c>
      <c r="Z160" s="79" t="str">
        <f>IFERROR(VLOOKUP(Y160,Database!$A$2:$L$175,8,FALSE),"-")</f>
        <v>-</v>
      </c>
      <c r="AA160" s="79" t="str">
        <f>IFERROR(VLOOKUP(Y160,Database!$A$2:$L$175,6,FALSE),"-")</f>
        <v>-</v>
      </c>
      <c r="AB160" s="92" t="str">
        <f>IFERROR(VLOOKUP(Y160,Database!$A$2:$L$175,9,FALSE),"-")</f>
        <v>-</v>
      </c>
      <c r="AC160" s="8" t="str">
        <f>IFERROR(VLOOKUP(Y160,Database!$A$2:$S$175,19,FALSE),"-")</f>
        <v>-</v>
      </c>
    </row>
    <row r="161" spans="1:29" ht="15" customHeight="1" thickBot="1" x14ac:dyDescent="0.4">
      <c r="A161" s="88" t="str">
        <f>rengoering!A161</f>
        <v>lørdag</v>
      </c>
      <c r="B161" s="84">
        <v>46298</v>
      </c>
      <c r="C161" s="9"/>
      <c r="D161" s="89" t="str">
        <f>IF(booking!AB161&gt;0,"Y","-")</f>
        <v>-</v>
      </c>
      <c r="E161" s="95" t="str">
        <f>IF(AND(D161="Y",booking!D161&lt;&gt;booking!E161,booking!E161&gt;0),booking!E161,"-")</f>
        <v>-</v>
      </c>
      <c r="F161" s="8" t="str">
        <f>IFERROR(VLOOKUP(E161,Database!$A$2:$L$175,8,FALSE),"-")</f>
        <v>-</v>
      </c>
      <c r="G161" s="78" t="str">
        <f>IFERROR(VLOOKUP(E161,Database!$A$2:$L$175,6,FALSE),"-")</f>
        <v>-</v>
      </c>
      <c r="H161" s="93" t="str">
        <f>IFERROR(VLOOKUP(E161,Database!$A$2:$L$175,9,FALSE),"-")</f>
        <v>-</v>
      </c>
      <c r="I161" s="112"/>
      <c r="J161" s="96" t="str">
        <f>IF(AND(D161="Y",booking!H161&lt;&gt;booking!I161,booking!I161&gt;0),booking!I161,"-")</f>
        <v>-</v>
      </c>
      <c r="K161" s="78" t="str">
        <f>IFERROR(VLOOKUP(J161,Database!$A$2:$L$175,8,FALSE),"-")</f>
        <v>-</v>
      </c>
      <c r="L161" s="78" t="str">
        <f>IFERROR(VLOOKUP(J161,Database!$A$2:$L$175,6,FALSE),"-")</f>
        <v>-</v>
      </c>
      <c r="M161" s="93" t="str">
        <f>IFERROR(VLOOKUP(J161,Database!$A$2:$L$175,9,FALSE),"-")</f>
        <v>-</v>
      </c>
      <c r="N161" s="209" t="str">
        <f>IFERROR(VLOOKUP(J161,Database!$A$2:$S$175,19,FALSE),"-")</f>
        <v>-</v>
      </c>
      <c r="O161" s="96" t="str">
        <f>IF(AND(D161="Y",booking!L161&lt;&gt;booking!M161,booking!M161&gt;0),booking!M161,"-")</f>
        <v>-</v>
      </c>
      <c r="P161" s="78" t="str">
        <f>IFERROR(VLOOKUP(O161,Database!$A$2:$L$175,8,FALSE),"-")</f>
        <v>-</v>
      </c>
      <c r="Q161" s="78" t="str">
        <f>IFERROR(VLOOKUP(O161,Database!$A$2:$L$175,6,FALSE),"-")</f>
        <v>-</v>
      </c>
      <c r="R161" s="82" t="str">
        <f>IFERROR(VLOOKUP(O161,Database!$A$2:$L$175,9,FALSE),"-")</f>
        <v>-</v>
      </c>
      <c r="S161" s="209" t="str">
        <f>IFERROR(VLOOKUP(O161,Database!$A$2:$S$175,19,FALSE),"-")</f>
        <v>-</v>
      </c>
      <c r="T161" s="97" t="str">
        <f>IF(AND(D161="Y",booking!P161&lt;&gt;booking!Q161,booking!Q161&gt;0),booking!Q161,"-")</f>
        <v>-</v>
      </c>
      <c r="U161" s="78" t="str">
        <f>IFERROR(VLOOKUP(T161,Database!$A$2:$L$175,8,FALSE),"-")</f>
        <v>-</v>
      </c>
      <c r="V161" s="78" t="str">
        <f>IFERROR(VLOOKUP(T161,Database!$A$2:$L$175,6,FALSE),"-")</f>
        <v>-</v>
      </c>
      <c r="W161" s="82" t="str">
        <f>IFERROR(VLOOKUP(T161,Database!$A$2:$L$175,9,FALSE),"-")</f>
        <v>-</v>
      </c>
      <c r="X161" s="209" t="str">
        <f>IFERROR(VLOOKUP(T161,Database!$A$2:$S$175,19,FALSE),"-")</f>
        <v>-</v>
      </c>
      <c r="Y161" s="96" t="str">
        <f>IF(AND(D161="Y",booking!T161&lt;&gt;booking!U161,booking!U161&gt;0),booking!U161,"-")</f>
        <v>-</v>
      </c>
      <c r="Z161" s="79" t="str">
        <f>IFERROR(VLOOKUP(Y161,Database!$A$2:$L$175,8,FALSE),"-")</f>
        <v>-</v>
      </c>
      <c r="AA161" s="79" t="str">
        <f>IFERROR(VLOOKUP(Y161,Database!$A$2:$L$175,6,FALSE),"-")</f>
        <v>-</v>
      </c>
      <c r="AB161" s="92" t="str">
        <f>IFERROR(VLOOKUP(Y161,Database!$A$2:$L$175,9,FALSE),"-")</f>
        <v>-</v>
      </c>
      <c r="AC161" s="8" t="str">
        <f>IFERROR(VLOOKUP(Y161,Database!$A$2:$S$175,19,FALSE),"-")</f>
        <v>-</v>
      </c>
    </row>
    <row r="162" spans="1:29" ht="15" customHeight="1" thickBot="1" x14ac:dyDescent="0.4">
      <c r="A162" s="88" t="str">
        <f>rengoering!A162</f>
        <v>søndag</v>
      </c>
      <c r="B162" s="86">
        <v>46299</v>
      </c>
      <c r="C162" s="9"/>
      <c r="D162" s="89" t="str">
        <f>IF(booking!AB162&gt;0,"Y","-")</f>
        <v>-</v>
      </c>
      <c r="E162" s="95" t="str">
        <f>IF(AND(D162="Y",booking!D162&lt;&gt;booking!E162,booking!E162&gt;0),booking!E162,"-")</f>
        <v>-</v>
      </c>
      <c r="F162" s="8" t="str">
        <f>IFERROR(VLOOKUP(E162,Database!$A$2:$L$175,8,FALSE),"-")</f>
        <v>-</v>
      </c>
      <c r="G162" s="78" t="str">
        <f>IFERROR(VLOOKUP(E162,Database!$A$2:$L$175,6,FALSE),"-")</f>
        <v>-</v>
      </c>
      <c r="H162" s="93" t="str">
        <f>IFERROR(VLOOKUP(E162,Database!$A$2:$L$175,9,FALSE),"-")</f>
        <v>-</v>
      </c>
      <c r="I162" s="112"/>
      <c r="J162" s="96" t="str">
        <f>IF(AND(D162="Y",booking!H162&lt;&gt;booking!I162,booking!I162&gt;0),booking!I162,"-")</f>
        <v>-</v>
      </c>
      <c r="K162" s="78" t="str">
        <f>IFERROR(VLOOKUP(J162,Database!$A$2:$L$175,8,FALSE),"-")</f>
        <v>-</v>
      </c>
      <c r="L162" s="78" t="str">
        <f>IFERROR(VLOOKUP(J162,Database!$A$2:$L$175,6,FALSE),"-")</f>
        <v>-</v>
      </c>
      <c r="M162" s="93" t="str">
        <f>IFERROR(VLOOKUP(J162,Database!$A$2:$L$175,9,FALSE),"-")</f>
        <v>-</v>
      </c>
      <c r="N162" s="209" t="str">
        <f>IFERROR(VLOOKUP(J162,Database!$A$2:$S$175,19,FALSE),"-")</f>
        <v>-</v>
      </c>
      <c r="O162" s="96" t="str">
        <f>IF(AND(D162="Y",booking!L162&lt;&gt;booking!M162,booking!M162&gt;0),booking!M162,"-")</f>
        <v>-</v>
      </c>
      <c r="P162" s="78" t="str">
        <f>IFERROR(VLOOKUP(O162,Database!$A$2:$L$175,8,FALSE),"-")</f>
        <v>-</v>
      </c>
      <c r="Q162" s="78" t="str">
        <f>IFERROR(VLOOKUP(O162,Database!$A$2:$L$175,6,FALSE),"-")</f>
        <v>-</v>
      </c>
      <c r="R162" s="82" t="str">
        <f>IFERROR(VLOOKUP(O162,Database!$A$2:$L$175,9,FALSE),"-")</f>
        <v>-</v>
      </c>
      <c r="S162" s="209" t="str">
        <f>IFERROR(VLOOKUP(O162,Database!$A$2:$S$175,19,FALSE),"-")</f>
        <v>-</v>
      </c>
      <c r="T162" s="97" t="str">
        <f>IF(AND(D162="Y",booking!P162&lt;&gt;booking!Q162,booking!Q162&gt;0),booking!Q162,"-")</f>
        <v>-</v>
      </c>
      <c r="U162" s="78" t="str">
        <f>IFERROR(VLOOKUP(T162,Database!$A$2:$L$175,8,FALSE),"-")</f>
        <v>-</v>
      </c>
      <c r="V162" s="78" t="str">
        <f>IFERROR(VLOOKUP(T162,Database!$A$2:$L$175,6,FALSE),"-")</f>
        <v>-</v>
      </c>
      <c r="W162" s="82" t="str">
        <f>IFERROR(VLOOKUP(T162,Database!$A$2:$L$175,9,FALSE),"-")</f>
        <v>-</v>
      </c>
      <c r="X162" s="209" t="str">
        <f>IFERROR(VLOOKUP(T162,Database!$A$2:$S$175,19,FALSE),"-")</f>
        <v>-</v>
      </c>
      <c r="Y162" s="96" t="str">
        <f>IF(AND(D162="Y",booking!T162&lt;&gt;booking!U162,booking!U162&gt;0),booking!U162,"-")</f>
        <v>-</v>
      </c>
      <c r="Z162" s="79" t="str">
        <f>IFERROR(VLOOKUP(Y162,Database!$A$2:$L$175,8,FALSE),"-")</f>
        <v>-</v>
      </c>
      <c r="AA162" s="79" t="str">
        <f>IFERROR(VLOOKUP(Y162,Database!$A$2:$L$175,6,FALSE),"-")</f>
        <v>-</v>
      </c>
      <c r="AB162" s="92" t="str">
        <f>IFERROR(VLOOKUP(Y162,Database!$A$2:$L$175,9,FALSE),"-")</f>
        <v>-</v>
      </c>
      <c r="AC162" s="8" t="str">
        <f>IFERROR(VLOOKUP(Y162,Database!$A$2:$S$175,19,FALSE),"-")</f>
        <v>-</v>
      </c>
    </row>
    <row r="163" spans="1:29" ht="15" customHeight="1" thickBot="1" x14ac:dyDescent="0.4">
      <c r="A163" s="88" t="str">
        <f>rengoering!A163</f>
        <v>mandag</v>
      </c>
      <c r="B163" s="84">
        <v>46300</v>
      </c>
      <c r="C163" s="9"/>
      <c r="D163" s="89" t="str">
        <f>IF(booking!AB163&gt;0,"Y","-")</f>
        <v>-</v>
      </c>
      <c r="E163" s="95" t="str">
        <f>IF(AND(D163="Y",booking!D163&lt;&gt;booking!E163,booking!E163&gt;0),booking!E163,"-")</f>
        <v>-</v>
      </c>
      <c r="F163" s="8" t="str">
        <f>IFERROR(VLOOKUP(E163,Database!$A$2:$L$175,8,FALSE),"-")</f>
        <v>-</v>
      </c>
      <c r="G163" s="78" t="str">
        <f>IFERROR(VLOOKUP(E163,Database!$A$2:$L$175,6,FALSE),"-")</f>
        <v>-</v>
      </c>
      <c r="H163" s="93" t="str">
        <f>IFERROR(VLOOKUP(E163,Database!$A$2:$L$175,9,FALSE),"-")</f>
        <v>-</v>
      </c>
      <c r="I163" s="112"/>
      <c r="J163" s="96" t="str">
        <f>IF(AND(D163="Y",booking!H163&lt;&gt;booking!I163,booking!I163&gt;0),booking!I163,"-")</f>
        <v>-</v>
      </c>
      <c r="K163" s="78" t="str">
        <f>IFERROR(VLOOKUP(J163,Database!$A$2:$L$175,8,FALSE),"-")</f>
        <v>-</v>
      </c>
      <c r="L163" s="78" t="str">
        <f>IFERROR(VLOOKUP(J163,Database!$A$2:$L$175,6,FALSE),"-")</f>
        <v>-</v>
      </c>
      <c r="M163" s="93" t="str">
        <f>IFERROR(VLOOKUP(J163,Database!$A$2:$L$175,9,FALSE),"-")</f>
        <v>-</v>
      </c>
      <c r="N163" s="209" t="str">
        <f>IFERROR(VLOOKUP(J163,Database!$A$2:$S$175,19,FALSE),"-")</f>
        <v>-</v>
      </c>
      <c r="O163" s="96" t="str">
        <f>IF(AND(D163="Y",booking!L163&lt;&gt;booking!M163,booking!M163&gt;0),booking!M163,"-")</f>
        <v>-</v>
      </c>
      <c r="P163" s="78" t="str">
        <f>IFERROR(VLOOKUP(O163,Database!$A$2:$L$175,8,FALSE),"-")</f>
        <v>-</v>
      </c>
      <c r="Q163" s="78" t="str">
        <f>IFERROR(VLOOKUP(O163,Database!$A$2:$L$175,6,FALSE),"-")</f>
        <v>-</v>
      </c>
      <c r="R163" s="82" t="str">
        <f>IFERROR(VLOOKUP(O163,Database!$A$2:$L$175,9,FALSE),"-")</f>
        <v>-</v>
      </c>
      <c r="S163" s="209" t="str">
        <f>IFERROR(VLOOKUP(O163,Database!$A$2:$S$175,19,FALSE),"-")</f>
        <v>-</v>
      </c>
      <c r="T163" s="97" t="str">
        <f>IF(AND(D163="Y",booking!P163&lt;&gt;booking!Q163,booking!Q163&gt;0),booking!Q163,"-")</f>
        <v>-</v>
      </c>
      <c r="U163" s="78" t="str">
        <f>IFERROR(VLOOKUP(T163,Database!$A$2:$L$175,8,FALSE),"-")</f>
        <v>-</v>
      </c>
      <c r="V163" s="78" t="str">
        <f>IFERROR(VLOOKUP(T163,Database!$A$2:$L$175,6,FALSE),"-")</f>
        <v>-</v>
      </c>
      <c r="W163" s="82" t="str">
        <f>IFERROR(VLOOKUP(T163,Database!$A$2:$L$175,9,FALSE),"-")</f>
        <v>-</v>
      </c>
      <c r="X163" s="209" t="str">
        <f>IFERROR(VLOOKUP(T163,Database!$A$2:$S$175,19,FALSE),"-")</f>
        <v>-</v>
      </c>
      <c r="Y163" s="96" t="str">
        <f>IF(AND(D163="Y",booking!T163&lt;&gt;booking!U163,booking!U163&gt;0),booking!U163,"-")</f>
        <v>-</v>
      </c>
      <c r="Z163" s="79" t="str">
        <f>IFERROR(VLOOKUP(Y163,Database!$A$2:$L$175,8,FALSE),"-")</f>
        <v>-</v>
      </c>
      <c r="AA163" s="79" t="str">
        <f>IFERROR(VLOOKUP(Y163,Database!$A$2:$L$175,6,FALSE),"-")</f>
        <v>-</v>
      </c>
      <c r="AB163" s="92" t="str">
        <f>IFERROR(VLOOKUP(Y163,Database!$A$2:$L$175,9,FALSE),"-")</f>
        <v>-</v>
      </c>
      <c r="AC163" s="8" t="str">
        <f>IFERROR(VLOOKUP(Y163,Database!$A$2:$S$175,19,FALSE),"-")</f>
        <v>-</v>
      </c>
    </row>
    <row r="164" spans="1:29" ht="15" customHeight="1" thickBot="1" x14ac:dyDescent="0.4">
      <c r="A164" s="88" t="str">
        <f>rengoering!A164</f>
        <v>tirsdag</v>
      </c>
      <c r="B164" s="86">
        <v>46301</v>
      </c>
      <c r="C164" s="9"/>
      <c r="D164" s="89" t="str">
        <f>IF(booking!AB164&gt;0,"Y","-")</f>
        <v>-</v>
      </c>
      <c r="E164" s="95" t="str">
        <f>IF(AND(D164="Y",booking!D164&lt;&gt;booking!E164,booking!E164&gt;0),booking!E164,"-")</f>
        <v>-</v>
      </c>
      <c r="F164" s="8" t="str">
        <f>IFERROR(VLOOKUP(E164,Database!$A$2:$L$175,8,FALSE),"-")</f>
        <v>-</v>
      </c>
      <c r="G164" s="78" t="str">
        <f>IFERROR(VLOOKUP(E164,Database!$A$2:$L$175,6,FALSE),"-")</f>
        <v>-</v>
      </c>
      <c r="H164" s="93" t="str">
        <f>IFERROR(VLOOKUP(E164,Database!$A$2:$L$175,9,FALSE),"-")</f>
        <v>-</v>
      </c>
      <c r="I164" s="112"/>
      <c r="J164" s="96" t="str">
        <f>IF(AND(D164="Y",booking!H164&lt;&gt;booking!I164,booking!I164&gt;0),booking!I164,"-")</f>
        <v>-</v>
      </c>
      <c r="K164" s="78" t="str">
        <f>IFERROR(VLOOKUP(J164,Database!$A$2:$L$175,8,FALSE),"-")</f>
        <v>-</v>
      </c>
      <c r="L164" s="78" t="str">
        <f>IFERROR(VLOOKUP(J164,Database!$A$2:$L$175,6,FALSE),"-")</f>
        <v>-</v>
      </c>
      <c r="M164" s="93" t="str">
        <f>IFERROR(VLOOKUP(J164,Database!$A$2:$L$175,9,FALSE),"-")</f>
        <v>-</v>
      </c>
      <c r="N164" s="209" t="str">
        <f>IFERROR(VLOOKUP(J164,Database!$A$2:$S$175,19,FALSE),"-")</f>
        <v>-</v>
      </c>
      <c r="O164" s="96" t="str">
        <f>IF(AND(D164="Y",booking!L164&lt;&gt;booking!M164,booking!M164&gt;0),booking!M164,"-")</f>
        <v>-</v>
      </c>
      <c r="P164" s="78" t="str">
        <f>IFERROR(VLOOKUP(O164,Database!$A$2:$L$175,8,FALSE),"-")</f>
        <v>-</v>
      </c>
      <c r="Q164" s="78" t="str">
        <f>IFERROR(VLOOKUP(O164,Database!$A$2:$L$175,6,FALSE),"-")</f>
        <v>-</v>
      </c>
      <c r="R164" s="82" t="str">
        <f>IFERROR(VLOOKUP(O164,Database!$A$2:$L$175,9,FALSE),"-")</f>
        <v>-</v>
      </c>
      <c r="S164" s="209" t="str">
        <f>IFERROR(VLOOKUP(O164,Database!$A$2:$S$175,19,FALSE),"-")</f>
        <v>-</v>
      </c>
      <c r="T164" s="97" t="str">
        <f>IF(AND(D164="Y",booking!P164&lt;&gt;booking!Q164,booking!Q164&gt;0),booking!Q164,"-")</f>
        <v>-</v>
      </c>
      <c r="U164" s="78" t="str">
        <f>IFERROR(VLOOKUP(T164,Database!$A$2:$L$175,8,FALSE),"-")</f>
        <v>-</v>
      </c>
      <c r="V164" s="78" t="str">
        <f>IFERROR(VLOOKUP(T164,Database!$A$2:$L$175,6,FALSE),"-")</f>
        <v>-</v>
      </c>
      <c r="W164" s="82" t="str">
        <f>IFERROR(VLOOKUP(T164,Database!$A$2:$L$175,9,FALSE),"-")</f>
        <v>-</v>
      </c>
      <c r="X164" s="209" t="str">
        <f>IFERROR(VLOOKUP(T164,Database!$A$2:$S$175,19,FALSE),"-")</f>
        <v>-</v>
      </c>
      <c r="Y164" s="96" t="str">
        <f>IF(AND(D164="Y",booking!T164&lt;&gt;booking!U164,booking!U164&gt;0),booking!U164,"-")</f>
        <v>-</v>
      </c>
      <c r="Z164" s="79" t="str">
        <f>IFERROR(VLOOKUP(Y164,Database!$A$2:$L$175,8,FALSE),"-")</f>
        <v>-</v>
      </c>
      <c r="AA164" s="79" t="str">
        <f>IFERROR(VLOOKUP(Y164,Database!$A$2:$L$175,6,FALSE),"-")</f>
        <v>-</v>
      </c>
      <c r="AB164" s="92" t="str">
        <f>IFERROR(VLOOKUP(Y164,Database!$A$2:$L$175,9,FALSE),"-")</f>
        <v>-</v>
      </c>
      <c r="AC164" s="8" t="str">
        <f>IFERROR(VLOOKUP(Y164,Database!$A$2:$S$175,19,FALSE),"-")</f>
        <v>-</v>
      </c>
    </row>
    <row r="165" spans="1:29" ht="15" customHeight="1" thickBot="1" x14ac:dyDescent="0.4">
      <c r="A165" s="88" t="str">
        <f>rengoering!A165</f>
        <v>onsdag</v>
      </c>
      <c r="B165" s="84">
        <v>46302</v>
      </c>
      <c r="C165" s="9"/>
      <c r="D165" s="89" t="str">
        <f>IF(booking!AB165&gt;0,"Y","-")</f>
        <v>-</v>
      </c>
      <c r="E165" s="95" t="str">
        <f>IF(AND(D165="Y",booking!D165&lt;&gt;booking!E165,booking!E165&gt;0),booking!E165,"-")</f>
        <v>-</v>
      </c>
      <c r="F165" s="8" t="str">
        <f>IFERROR(VLOOKUP(E165,Database!$A$2:$L$175,8,FALSE),"-")</f>
        <v>-</v>
      </c>
      <c r="G165" s="78" t="str">
        <f>IFERROR(VLOOKUP(E165,Database!$A$2:$L$175,6,FALSE),"-")</f>
        <v>-</v>
      </c>
      <c r="H165" s="93" t="str">
        <f>IFERROR(VLOOKUP(E165,Database!$A$2:$L$175,9,FALSE),"-")</f>
        <v>-</v>
      </c>
      <c r="I165" s="112"/>
      <c r="J165" s="96" t="str">
        <f>IF(AND(D165="Y",booking!H165&lt;&gt;booking!I165,booking!I165&gt;0),booking!I165,"-")</f>
        <v>-</v>
      </c>
      <c r="K165" s="78" t="str">
        <f>IFERROR(VLOOKUP(J165,Database!$A$2:$L$175,8,FALSE),"-")</f>
        <v>-</v>
      </c>
      <c r="L165" s="78" t="str">
        <f>IFERROR(VLOOKUP(J165,Database!$A$2:$L$175,6,FALSE),"-")</f>
        <v>-</v>
      </c>
      <c r="M165" s="93" t="str">
        <f>IFERROR(VLOOKUP(J165,Database!$A$2:$L$175,9,FALSE),"-")</f>
        <v>-</v>
      </c>
      <c r="N165" s="209" t="str">
        <f>IFERROR(VLOOKUP(J165,Database!$A$2:$S$175,19,FALSE),"-")</f>
        <v>-</v>
      </c>
      <c r="O165" s="96" t="str">
        <f>IF(AND(D165="Y",booking!L165&lt;&gt;booking!M165,booking!M165&gt;0),booking!M165,"-")</f>
        <v>-</v>
      </c>
      <c r="P165" s="78" t="str">
        <f>IFERROR(VLOOKUP(O165,Database!$A$2:$L$175,8,FALSE),"-")</f>
        <v>-</v>
      </c>
      <c r="Q165" s="78" t="str">
        <f>IFERROR(VLOOKUP(O165,Database!$A$2:$L$175,6,FALSE),"-")</f>
        <v>-</v>
      </c>
      <c r="R165" s="82" t="str">
        <f>IFERROR(VLOOKUP(O165,Database!$A$2:$L$175,9,FALSE),"-")</f>
        <v>-</v>
      </c>
      <c r="S165" s="209" t="str">
        <f>IFERROR(VLOOKUP(O165,Database!$A$2:$S$175,19,FALSE),"-")</f>
        <v>-</v>
      </c>
      <c r="T165" s="97" t="str">
        <f>IF(AND(D165="Y",booking!P165&lt;&gt;booking!Q165,booking!Q165&gt;0),booking!Q165,"-")</f>
        <v>-</v>
      </c>
      <c r="U165" s="78" t="str">
        <f>IFERROR(VLOOKUP(T165,Database!$A$2:$L$175,8,FALSE),"-")</f>
        <v>-</v>
      </c>
      <c r="V165" s="78" t="str">
        <f>IFERROR(VLOOKUP(T165,Database!$A$2:$L$175,6,FALSE),"-")</f>
        <v>-</v>
      </c>
      <c r="W165" s="82" t="str">
        <f>IFERROR(VLOOKUP(T165,Database!$A$2:$L$175,9,FALSE),"-")</f>
        <v>-</v>
      </c>
      <c r="X165" s="209" t="str">
        <f>IFERROR(VLOOKUP(T165,Database!$A$2:$S$175,19,FALSE),"-")</f>
        <v>-</v>
      </c>
      <c r="Y165" s="96" t="str">
        <f>IF(AND(D165="Y",booking!T165&lt;&gt;booking!U165,booking!U165&gt;0),booking!U165,"-")</f>
        <v>-</v>
      </c>
      <c r="Z165" s="79" t="str">
        <f>IFERROR(VLOOKUP(Y165,Database!$A$2:$L$175,8,FALSE),"-")</f>
        <v>-</v>
      </c>
      <c r="AA165" s="79" t="str">
        <f>IFERROR(VLOOKUP(Y165,Database!$A$2:$L$175,6,FALSE),"-")</f>
        <v>-</v>
      </c>
      <c r="AB165" s="92" t="str">
        <f>IFERROR(VLOOKUP(Y165,Database!$A$2:$L$175,9,FALSE),"-")</f>
        <v>-</v>
      </c>
      <c r="AC165" s="8" t="str">
        <f>IFERROR(VLOOKUP(Y165,Database!$A$2:$S$175,19,FALSE),"-")</f>
        <v>-</v>
      </c>
    </row>
    <row r="166" spans="1:29" ht="15" customHeight="1" thickBot="1" x14ac:dyDescent="0.4">
      <c r="A166" s="88" t="str">
        <f>rengoering!A166</f>
        <v>torsdag</v>
      </c>
      <c r="B166" s="86">
        <v>46303</v>
      </c>
      <c r="C166" s="9"/>
      <c r="D166" s="89" t="str">
        <f>IF(booking!AB166&gt;0,"Y","-")</f>
        <v>-</v>
      </c>
      <c r="E166" s="95" t="str">
        <f>IF(AND(D166="Y",booking!D166&lt;&gt;booking!E166,booking!E166&gt;0),booking!E166,"-")</f>
        <v>-</v>
      </c>
      <c r="F166" s="8" t="str">
        <f>IFERROR(VLOOKUP(E166,Database!$A$2:$L$175,8,FALSE),"-")</f>
        <v>-</v>
      </c>
      <c r="G166" s="78" t="str">
        <f>IFERROR(VLOOKUP(E166,Database!$A$2:$L$175,6,FALSE),"-")</f>
        <v>-</v>
      </c>
      <c r="H166" s="93" t="str">
        <f>IFERROR(VLOOKUP(E166,Database!$A$2:$L$175,9,FALSE),"-")</f>
        <v>-</v>
      </c>
      <c r="I166" s="112"/>
      <c r="J166" s="96" t="str">
        <f>IF(AND(D166="Y",booking!H166&lt;&gt;booking!I166,booking!I166&gt;0),booking!I166,"-")</f>
        <v>-</v>
      </c>
      <c r="K166" s="78" t="str">
        <f>IFERROR(VLOOKUP(J166,Database!$A$2:$L$175,8,FALSE),"-")</f>
        <v>-</v>
      </c>
      <c r="L166" s="78" t="str">
        <f>IFERROR(VLOOKUP(J166,Database!$A$2:$L$175,6,FALSE),"-")</f>
        <v>-</v>
      </c>
      <c r="M166" s="93" t="str">
        <f>IFERROR(VLOOKUP(J166,Database!$A$2:$L$175,9,FALSE),"-")</f>
        <v>-</v>
      </c>
      <c r="N166" s="209" t="str">
        <f>IFERROR(VLOOKUP(J166,Database!$A$2:$S$175,19,FALSE),"-")</f>
        <v>-</v>
      </c>
      <c r="O166" s="96" t="str">
        <f>IF(AND(D166="Y",booking!L166&lt;&gt;booking!M166,booking!M166&gt;0),booking!M166,"-")</f>
        <v>-</v>
      </c>
      <c r="P166" s="78" t="str">
        <f>IFERROR(VLOOKUP(O166,Database!$A$2:$L$175,8,FALSE),"-")</f>
        <v>-</v>
      </c>
      <c r="Q166" s="78" t="str">
        <f>IFERROR(VLOOKUP(O166,Database!$A$2:$L$175,6,FALSE),"-")</f>
        <v>-</v>
      </c>
      <c r="R166" s="82" t="str">
        <f>IFERROR(VLOOKUP(O166,Database!$A$2:$L$175,9,FALSE),"-")</f>
        <v>-</v>
      </c>
      <c r="S166" s="209" t="str">
        <f>IFERROR(VLOOKUP(O166,Database!$A$2:$S$175,19,FALSE),"-")</f>
        <v>-</v>
      </c>
      <c r="T166" s="97" t="str">
        <f>IF(AND(D166="Y",booking!P166&lt;&gt;booking!Q166,booking!Q166&gt;0),booking!Q166,"-")</f>
        <v>-</v>
      </c>
      <c r="U166" s="78" t="str">
        <f>IFERROR(VLOOKUP(T166,Database!$A$2:$L$175,8,FALSE),"-")</f>
        <v>-</v>
      </c>
      <c r="V166" s="78" t="str">
        <f>IFERROR(VLOOKUP(T166,Database!$A$2:$L$175,6,FALSE),"-")</f>
        <v>-</v>
      </c>
      <c r="W166" s="82" t="str">
        <f>IFERROR(VLOOKUP(T166,Database!$A$2:$L$175,9,FALSE),"-")</f>
        <v>-</v>
      </c>
      <c r="X166" s="209" t="str">
        <f>IFERROR(VLOOKUP(T166,Database!$A$2:$S$175,19,FALSE),"-")</f>
        <v>-</v>
      </c>
      <c r="Y166" s="96" t="str">
        <f>IF(AND(D166="Y",booking!T166&lt;&gt;booking!U166,booking!U166&gt;0),booking!U166,"-")</f>
        <v>-</v>
      </c>
      <c r="Z166" s="79" t="str">
        <f>IFERROR(VLOOKUP(Y166,Database!$A$2:$L$175,8,FALSE),"-")</f>
        <v>-</v>
      </c>
      <c r="AA166" s="79" t="str">
        <f>IFERROR(VLOOKUP(Y166,Database!$A$2:$L$175,6,FALSE),"-")</f>
        <v>-</v>
      </c>
      <c r="AB166" s="92" t="str">
        <f>IFERROR(VLOOKUP(Y166,Database!$A$2:$L$175,9,FALSE),"-")</f>
        <v>-</v>
      </c>
      <c r="AC166" s="8" t="str">
        <f>IFERROR(VLOOKUP(Y166,Database!$A$2:$S$175,19,FALSE),"-")</f>
        <v>-</v>
      </c>
    </row>
    <row r="167" spans="1:29" ht="15" customHeight="1" thickBot="1" x14ac:dyDescent="0.4">
      <c r="A167" s="88" t="str">
        <f>rengoering!A167</f>
        <v>fredag</v>
      </c>
      <c r="B167" s="84">
        <v>46304</v>
      </c>
      <c r="C167" s="9"/>
      <c r="D167" s="89" t="str">
        <f>IF(booking!AB167&gt;0,"Y","-")</f>
        <v>-</v>
      </c>
      <c r="E167" s="95" t="str">
        <f>IF(AND(D167="Y",booking!D167&lt;&gt;booking!E167,booking!E167&gt;0),booking!E167,"-")</f>
        <v>-</v>
      </c>
      <c r="F167" s="8" t="str">
        <f>IFERROR(VLOOKUP(E167,Database!$A$2:$L$175,8,FALSE),"-")</f>
        <v>-</v>
      </c>
      <c r="G167" s="78" t="str">
        <f>IFERROR(VLOOKUP(E167,Database!$A$2:$L$175,6,FALSE),"-")</f>
        <v>-</v>
      </c>
      <c r="H167" s="93" t="str">
        <f>IFERROR(VLOOKUP(E167,Database!$A$2:$L$175,9,FALSE),"-")</f>
        <v>-</v>
      </c>
      <c r="I167" s="112"/>
      <c r="J167" s="96" t="str">
        <f>IF(AND(D167="Y",booking!H167&lt;&gt;booking!I167,booking!I167&gt;0),booking!I167,"-")</f>
        <v>-</v>
      </c>
      <c r="K167" s="78" t="str">
        <f>IFERROR(VLOOKUP(J167,Database!$A$2:$L$175,8,FALSE),"-")</f>
        <v>-</v>
      </c>
      <c r="L167" s="78" t="str">
        <f>IFERROR(VLOOKUP(J167,Database!$A$2:$L$175,6,FALSE),"-")</f>
        <v>-</v>
      </c>
      <c r="M167" s="93" t="str">
        <f>IFERROR(VLOOKUP(J167,Database!$A$2:$L$175,9,FALSE),"-")</f>
        <v>-</v>
      </c>
      <c r="N167" s="209" t="str">
        <f>IFERROR(VLOOKUP(J167,Database!$A$2:$S$175,19,FALSE),"-")</f>
        <v>-</v>
      </c>
      <c r="O167" s="96" t="str">
        <f>IF(AND(D167="Y",booking!L167&lt;&gt;booking!M167,booking!M167&gt;0),booking!M167,"-")</f>
        <v>-</v>
      </c>
      <c r="P167" s="78" t="str">
        <f>IFERROR(VLOOKUP(O167,Database!$A$2:$L$175,8,FALSE),"-")</f>
        <v>-</v>
      </c>
      <c r="Q167" s="78" t="str">
        <f>IFERROR(VLOOKUP(O167,Database!$A$2:$L$175,6,FALSE),"-")</f>
        <v>-</v>
      </c>
      <c r="R167" s="82" t="str">
        <f>IFERROR(VLOOKUP(O167,Database!$A$2:$L$175,9,FALSE),"-")</f>
        <v>-</v>
      </c>
      <c r="S167" s="209" t="str">
        <f>IFERROR(VLOOKUP(O167,Database!$A$2:$S$175,19,FALSE),"-")</f>
        <v>-</v>
      </c>
      <c r="T167" s="97" t="str">
        <f>IF(AND(D167="Y",booking!P167&lt;&gt;booking!Q167,booking!Q167&gt;0),booking!Q167,"-")</f>
        <v>-</v>
      </c>
      <c r="U167" s="78" t="str">
        <f>IFERROR(VLOOKUP(T167,Database!$A$2:$L$175,8,FALSE),"-")</f>
        <v>-</v>
      </c>
      <c r="V167" s="78" t="str">
        <f>IFERROR(VLOOKUP(T167,Database!$A$2:$L$175,6,FALSE),"-")</f>
        <v>-</v>
      </c>
      <c r="W167" s="82" t="str">
        <f>IFERROR(VLOOKUP(T167,Database!$A$2:$L$175,9,FALSE),"-")</f>
        <v>-</v>
      </c>
      <c r="X167" s="209" t="str">
        <f>IFERROR(VLOOKUP(T167,Database!$A$2:$S$175,19,FALSE),"-")</f>
        <v>-</v>
      </c>
      <c r="Y167" s="96" t="str">
        <f>IF(AND(D167="Y",booking!T167&lt;&gt;booking!U167,booking!U167&gt;0),booking!U167,"-")</f>
        <v>-</v>
      </c>
      <c r="Z167" s="79" t="str">
        <f>IFERROR(VLOOKUP(Y167,Database!$A$2:$L$175,8,FALSE),"-")</f>
        <v>-</v>
      </c>
      <c r="AA167" s="79" t="str">
        <f>IFERROR(VLOOKUP(Y167,Database!$A$2:$L$175,6,FALSE),"-")</f>
        <v>-</v>
      </c>
      <c r="AB167" s="92" t="str">
        <f>IFERROR(VLOOKUP(Y167,Database!$A$2:$L$175,9,FALSE),"-")</f>
        <v>-</v>
      </c>
      <c r="AC167" s="8" t="str">
        <f>IFERROR(VLOOKUP(Y167,Database!$A$2:$S$175,19,FALSE),"-")</f>
        <v>-</v>
      </c>
    </row>
    <row r="168" spans="1:29" ht="15" customHeight="1" thickBot="1" x14ac:dyDescent="0.4">
      <c r="A168" s="88" t="str">
        <f>rengoering!A168</f>
        <v>lørdag</v>
      </c>
      <c r="B168" s="86">
        <v>46305</v>
      </c>
      <c r="C168" s="9"/>
      <c r="D168" s="89" t="str">
        <f>IF(booking!AB168&gt;0,"Y","-")</f>
        <v>-</v>
      </c>
      <c r="E168" s="95" t="str">
        <f>IF(AND(D168="Y",booking!D168&lt;&gt;booking!E168,booking!E168&gt;0),booking!E168,"-")</f>
        <v>-</v>
      </c>
      <c r="F168" s="8" t="str">
        <f>IFERROR(VLOOKUP(E168,Database!$A$2:$L$175,8,FALSE),"-")</f>
        <v>-</v>
      </c>
      <c r="G168" s="78" t="str">
        <f>IFERROR(VLOOKUP(E168,Database!$A$2:$L$175,6,FALSE),"-")</f>
        <v>-</v>
      </c>
      <c r="H168" s="93" t="str">
        <f>IFERROR(VLOOKUP(E168,Database!$A$2:$L$175,9,FALSE),"-")</f>
        <v>-</v>
      </c>
      <c r="I168" s="112"/>
      <c r="J168" s="96" t="str">
        <f>IF(AND(D168="Y",booking!H168&lt;&gt;booking!I168,booking!I168&gt;0),booking!I168,"-")</f>
        <v>-</v>
      </c>
      <c r="K168" s="78" t="str">
        <f>IFERROR(VLOOKUP(J168,Database!$A$2:$L$175,8,FALSE),"-")</f>
        <v>-</v>
      </c>
      <c r="L168" s="78" t="str">
        <f>IFERROR(VLOOKUP(J168,Database!$A$2:$L$175,6,FALSE),"-")</f>
        <v>-</v>
      </c>
      <c r="M168" s="93" t="str">
        <f>IFERROR(VLOOKUP(J168,Database!$A$2:$L$175,9,FALSE),"-")</f>
        <v>-</v>
      </c>
      <c r="N168" s="209" t="str">
        <f>IFERROR(VLOOKUP(J168,Database!$A$2:$S$175,19,FALSE),"-")</f>
        <v>-</v>
      </c>
      <c r="O168" s="96" t="str">
        <f>IF(AND(D168="Y",booking!L168&lt;&gt;booking!M168,booking!M168&gt;0),booking!M168,"-")</f>
        <v>-</v>
      </c>
      <c r="P168" s="78" t="str">
        <f>IFERROR(VLOOKUP(O168,Database!$A$2:$L$175,8,FALSE),"-")</f>
        <v>-</v>
      </c>
      <c r="Q168" s="78" t="str">
        <f>IFERROR(VLOOKUP(O168,Database!$A$2:$L$175,6,FALSE),"-")</f>
        <v>-</v>
      </c>
      <c r="R168" s="82" t="str">
        <f>IFERROR(VLOOKUP(O168,Database!$A$2:$L$175,9,FALSE),"-")</f>
        <v>-</v>
      </c>
      <c r="S168" s="209" t="str">
        <f>IFERROR(VLOOKUP(O168,Database!$A$2:$S$175,19,FALSE),"-")</f>
        <v>-</v>
      </c>
      <c r="T168" s="97" t="str">
        <f>IF(AND(D168="Y",booking!P168&lt;&gt;booking!Q168,booking!Q168&gt;0),booking!Q168,"-")</f>
        <v>-</v>
      </c>
      <c r="U168" s="78" t="str">
        <f>IFERROR(VLOOKUP(T168,Database!$A$2:$L$175,8,FALSE),"-")</f>
        <v>-</v>
      </c>
      <c r="V168" s="78" t="str">
        <f>IFERROR(VLOOKUP(T168,Database!$A$2:$L$175,6,FALSE),"-")</f>
        <v>-</v>
      </c>
      <c r="W168" s="82" t="str">
        <f>IFERROR(VLOOKUP(T168,Database!$A$2:$L$175,9,FALSE),"-")</f>
        <v>-</v>
      </c>
      <c r="X168" s="209" t="str">
        <f>IFERROR(VLOOKUP(T168,Database!$A$2:$S$175,19,FALSE),"-")</f>
        <v>-</v>
      </c>
      <c r="Y168" s="96" t="str">
        <f>IF(AND(D168="Y",booking!T168&lt;&gt;booking!U168,booking!U168&gt;0),booking!U168,"-")</f>
        <v>-</v>
      </c>
      <c r="Z168" s="79" t="str">
        <f>IFERROR(VLOOKUP(Y168,Database!$A$2:$L$175,8,FALSE),"-")</f>
        <v>-</v>
      </c>
      <c r="AA168" s="79" t="str">
        <f>IFERROR(VLOOKUP(Y168,Database!$A$2:$L$175,6,FALSE),"-")</f>
        <v>-</v>
      </c>
      <c r="AB168" s="92" t="str">
        <f>IFERROR(VLOOKUP(Y168,Database!$A$2:$L$175,9,FALSE),"-")</f>
        <v>-</v>
      </c>
      <c r="AC168" s="8" t="str">
        <f>IFERROR(VLOOKUP(Y168,Database!$A$2:$S$175,19,FALSE),"-")</f>
        <v>-</v>
      </c>
    </row>
    <row r="169" spans="1:29" ht="15" customHeight="1" thickBot="1" x14ac:dyDescent="0.4">
      <c r="A169" s="88" t="str">
        <f>rengoering!A169</f>
        <v>søndag</v>
      </c>
      <c r="B169" s="84">
        <v>46306</v>
      </c>
      <c r="C169" s="9"/>
      <c r="D169" s="89" t="str">
        <f>IF(booking!AB169&gt;0,"Y","-")</f>
        <v>-</v>
      </c>
      <c r="E169" s="95" t="str">
        <f>IF(AND(D169="Y",booking!D169&lt;&gt;booking!E169,booking!E169&gt;0),booking!E169,"-")</f>
        <v>-</v>
      </c>
      <c r="F169" s="8" t="str">
        <f>IFERROR(VLOOKUP(E169,Database!$A$2:$L$175,8,FALSE),"-")</f>
        <v>-</v>
      </c>
      <c r="G169" s="78" t="str">
        <f>IFERROR(VLOOKUP(E169,Database!$A$2:$L$175,6,FALSE),"-")</f>
        <v>-</v>
      </c>
      <c r="H169" s="93" t="str">
        <f>IFERROR(VLOOKUP(E169,Database!$A$2:$L$175,9,FALSE),"-")</f>
        <v>-</v>
      </c>
      <c r="I169" s="112"/>
      <c r="J169" s="96" t="str">
        <f>IF(AND(D169="Y",booking!H169&lt;&gt;booking!I169,booking!I169&gt;0),booking!I169,"-")</f>
        <v>-</v>
      </c>
      <c r="K169" s="78" t="str">
        <f>IFERROR(VLOOKUP(J169,Database!$A$2:$L$175,8,FALSE),"-")</f>
        <v>-</v>
      </c>
      <c r="L169" s="78" t="str">
        <f>IFERROR(VLOOKUP(J169,Database!$A$2:$L$175,6,FALSE),"-")</f>
        <v>-</v>
      </c>
      <c r="M169" s="93" t="str">
        <f>IFERROR(VLOOKUP(J169,Database!$A$2:$L$175,9,FALSE),"-")</f>
        <v>-</v>
      </c>
      <c r="N169" s="209" t="str">
        <f>IFERROR(VLOOKUP(J169,Database!$A$2:$S$175,19,FALSE),"-")</f>
        <v>-</v>
      </c>
      <c r="O169" s="96" t="str">
        <f>IF(AND(D169="Y",booking!L169&lt;&gt;booking!M169,booking!M169&gt;0),booking!M169,"-")</f>
        <v>-</v>
      </c>
      <c r="P169" s="78" t="str">
        <f>IFERROR(VLOOKUP(O169,Database!$A$2:$L$175,8,FALSE),"-")</f>
        <v>-</v>
      </c>
      <c r="Q169" s="78" t="str">
        <f>IFERROR(VLOOKUP(O169,Database!$A$2:$L$175,6,FALSE),"-")</f>
        <v>-</v>
      </c>
      <c r="R169" s="82" t="str">
        <f>IFERROR(VLOOKUP(O169,Database!$A$2:$L$175,9,FALSE),"-")</f>
        <v>-</v>
      </c>
      <c r="S169" s="209" t="str">
        <f>IFERROR(VLOOKUP(O169,Database!$A$2:$S$175,19,FALSE),"-")</f>
        <v>-</v>
      </c>
      <c r="T169" s="97" t="str">
        <f>IF(AND(D169="Y",booking!P169&lt;&gt;booking!Q169,booking!Q169&gt;0),booking!Q169,"-")</f>
        <v>-</v>
      </c>
      <c r="U169" s="78" t="str">
        <f>IFERROR(VLOOKUP(T169,Database!$A$2:$L$175,8,FALSE),"-")</f>
        <v>-</v>
      </c>
      <c r="V169" s="78" t="str">
        <f>IFERROR(VLOOKUP(T169,Database!$A$2:$L$175,6,FALSE),"-")</f>
        <v>-</v>
      </c>
      <c r="W169" s="82" t="str">
        <f>IFERROR(VLOOKUP(T169,Database!$A$2:$L$175,9,FALSE),"-")</f>
        <v>-</v>
      </c>
      <c r="X169" s="209" t="str">
        <f>IFERROR(VLOOKUP(T169,Database!$A$2:$S$175,19,FALSE),"-")</f>
        <v>-</v>
      </c>
      <c r="Y169" s="96" t="str">
        <f>IF(AND(D169="Y",booking!T169&lt;&gt;booking!U169,booking!U169&gt;0),booking!U169,"-")</f>
        <v>-</v>
      </c>
      <c r="Z169" s="79" t="str">
        <f>IFERROR(VLOOKUP(Y169,Database!$A$2:$L$175,8,FALSE),"-")</f>
        <v>-</v>
      </c>
      <c r="AA169" s="79" t="str">
        <f>IFERROR(VLOOKUP(Y169,Database!$A$2:$L$175,6,FALSE),"-")</f>
        <v>-</v>
      </c>
      <c r="AB169" s="92" t="str">
        <f>IFERROR(VLOOKUP(Y169,Database!$A$2:$L$175,9,FALSE),"-")</f>
        <v>-</v>
      </c>
      <c r="AC169" s="8" t="str">
        <f>IFERROR(VLOOKUP(Y169,Database!$A$2:$S$175,19,FALSE),"-")</f>
        <v>-</v>
      </c>
    </row>
    <row r="170" spans="1:29" ht="15" customHeight="1" thickBot="1" x14ac:dyDescent="0.4">
      <c r="A170" s="88" t="str">
        <f>rengoering!A170</f>
        <v>mandag</v>
      </c>
      <c r="B170" s="86">
        <v>46307</v>
      </c>
      <c r="C170" s="9"/>
      <c r="D170" s="89" t="str">
        <f>IF(booking!AB170&gt;0,"Y","-")</f>
        <v>-</v>
      </c>
      <c r="E170" s="95" t="str">
        <f>IF(AND(D170="Y",booking!D170&lt;&gt;booking!E170,booking!E170&gt;0),booking!E170,"-")</f>
        <v>-</v>
      </c>
      <c r="F170" s="8" t="str">
        <f>IFERROR(VLOOKUP(E170,Database!$A$2:$L$175,8,FALSE),"-")</f>
        <v>-</v>
      </c>
      <c r="G170" s="78" t="str">
        <f>IFERROR(VLOOKUP(E170,Database!$A$2:$L$175,6,FALSE),"-")</f>
        <v>-</v>
      </c>
      <c r="H170" s="93" t="str">
        <f>IFERROR(VLOOKUP(E170,Database!$A$2:$L$175,9,FALSE),"-")</f>
        <v>-</v>
      </c>
      <c r="I170" s="112"/>
      <c r="J170" s="96" t="str">
        <f>IF(AND(D170="Y",booking!H170&lt;&gt;booking!I170,booking!I170&gt;0),booking!I170,"-")</f>
        <v>-</v>
      </c>
      <c r="K170" s="78" t="str">
        <f>IFERROR(VLOOKUP(J170,Database!$A$2:$L$175,8,FALSE),"-")</f>
        <v>-</v>
      </c>
      <c r="L170" s="78" t="str">
        <f>IFERROR(VLOOKUP(J170,Database!$A$2:$L$175,6,FALSE),"-")</f>
        <v>-</v>
      </c>
      <c r="M170" s="93" t="str">
        <f>IFERROR(VLOOKUP(J170,Database!$A$2:$L$175,9,FALSE),"-")</f>
        <v>-</v>
      </c>
      <c r="N170" s="209" t="str">
        <f>IFERROR(VLOOKUP(J170,Database!$A$2:$S$175,19,FALSE),"-")</f>
        <v>-</v>
      </c>
      <c r="O170" s="96" t="str">
        <f>IF(AND(D170="Y",booking!L170&lt;&gt;booking!M170,booking!M170&gt;0),booking!M170,"-")</f>
        <v>-</v>
      </c>
      <c r="P170" s="78" t="str">
        <f>IFERROR(VLOOKUP(O170,Database!$A$2:$L$175,8,FALSE),"-")</f>
        <v>-</v>
      </c>
      <c r="Q170" s="78" t="str">
        <f>IFERROR(VLOOKUP(O170,Database!$A$2:$L$175,6,FALSE),"-")</f>
        <v>-</v>
      </c>
      <c r="R170" s="82" t="str">
        <f>IFERROR(VLOOKUP(O170,Database!$A$2:$L$175,9,FALSE),"-")</f>
        <v>-</v>
      </c>
      <c r="S170" s="209" t="str">
        <f>IFERROR(VLOOKUP(O170,Database!$A$2:$S$175,19,FALSE),"-")</f>
        <v>-</v>
      </c>
      <c r="T170" s="97" t="str">
        <f>IF(AND(D170="Y",booking!P170&lt;&gt;booking!Q170,booking!Q170&gt;0),booking!Q170,"-")</f>
        <v>-</v>
      </c>
      <c r="U170" s="78" t="str">
        <f>IFERROR(VLOOKUP(T170,Database!$A$2:$L$175,8,FALSE),"-")</f>
        <v>-</v>
      </c>
      <c r="V170" s="78" t="str">
        <f>IFERROR(VLOOKUP(T170,Database!$A$2:$L$175,6,FALSE),"-")</f>
        <v>-</v>
      </c>
      <c r="W170" s="82" t="str">
        <f>IFERROR(VLOOKUP(T170,Database!$A$2:$L$175,9,FALSE),"-")</f>
        <v>-</v>
      </c>
      <c r="X170" s="209" t="str">
        <f>IFERROR(VLOOKUP(T170,Database!$A$2:$S$175,19,FALSE),"-")</f>
        <v>-</v>
      </c>
      <c r="Y170" s="96" t="str">
        <f>IF(AND(D170="Y",booking!T170&lt;&gt;booking!U170,booking!U170&gt;0),booking!U170,"-")</f>
        <v>-</v>
      </c>
      <c r="Z170" s="79" t="str">
        <f>IFERROR(VLOOKUP(Y170,Database!$A$2:$L$175,8,FALSE),"-")</f>
        <v>-</v>
      </c>
      <c r="AA170" s="79" t="str">
        <f>IFERROR(VLOOKUP(Y170,Database!$A$2:$L$175,6,FALSE),"-")</f>
        <v>-</v>
      </c>
      <c r="AB170" s="92" t="str">
        <f>IFERROR(VLOOKUP(Y170,Database!$A$2:$L$175,9,FALSE),"-")</f>
        <v>-</v>
      </c>
      <c r="AC170" s="8" t="str">
        <f>IFERROR(VLOOKUP(Y170,Database!$A$2:$S$175,19,FALSE),"-")</f>
        <v>-</v>
      </c>
    </row>
    <row r="171" spans="1:29" ht="15" customHeight="1" thickBot="1" x14ac:dyDescent="0.4">
      <c r="A171" s="90" t="str">
        <f>rengoering!A171</f>
        <v>tirsdag</v>
      </c>
      <c r="B171" s="84">
        <v>46308</v>
      </c>
      <c r="C171" s="13"/>
      <c r="D171" s="91" t="str">
        <f>IF(booking!AB171&gt;0,"Y","-")</f>
        <v>-</v>
      </c>
      <c r="E171" s="95" t="str">
        <f>IF(AND(D171="Y",booking!D171&lt;&gt;booking!E171,booking!E171&gt;0),booking!E171,"-")</f>
        <v>-</v>
      </c>
      <c r="F171" s="12" t="str">
        <f>IFERROR(VLOOKUP(E171,Database!$A$2:$L$175,8,FALSE),"-")</f>
        <v>-</v>
      </c>
      <c r="G171" s="80" t="str">
        <f>IFERROR(VLOOKUP(E171,Database!$A$2:$L$175,6,FALSE),"-")</f>
        <v>-</v>
      </c>
      <c r="H171" s="94" t="str">
        <f>IFERROR(VLOOKUP(E171,Database!$A$2:$L$175,9,FALSE),"-")</f>
        <v>-</v>
      </c>
      <c r="I171" s="2"/>
      <c r="J171" s="96" t="str">
        <f>IF(AND(D171="Y",booking!H171&lt;&gt;booking!I171,booking!I171&gt;0),booking!I171,"-")</f>
        <v>-</v>
      </c>
      <c r="K171" s="80" t="str">
        <f>IFERROR(VLOOKUP(J171,Database!$A$2:$L$175,8,FALSE),"-")</f>
        <v>-</v>
      </c>
      <c r="L171" s="80" t="str">
        <f>IFERROR(VLOOKUP(J171,Database!$A$2:$L$175,6,FALSE),"-")</f>
        <v>-</v>
      </c>
      <c r="M171" s="94" t="str">
        <f>IFERROR(VLOOKUP(J171,Database!$A$2:$L$175,9,FALSE),"-")</f>
        <v>-</v>
      </c>
      <c r="N171" s="209" t="str">
        <f>IFERROR(VLOOKUP(J171,Database!$A$2:$S$175,19,FALSE),"-")</f>
        <v>-</v>
      </c>
      <c r="O171" s="96" t="str">
        <f>IF(AND(D171="Y",booking!L171&lt;&gt;booking!M171,booking!M171&gt;0),booking!M171,"-")</f>
        <v>-</v>
      </c>
      <c r="P171" s="80" t="str">
        <f>IFERROR(VLOOKUP(O171,Database!$A$2:$L$175,8,FALSE),"-")</f>
        <v>-</v>
      </c>
      <c r="Q171" s="80" t="str">
        <f>IFERROR(VLOOKUP(O171,Database!$A$2:$L$175,6,FALSE),"-")</f>
        <v>-</v>
      </c>
      <c r="R171" s="83" t="str">
        <f>IFERROR(VLOOKUP(O171,Database!$A$2:$L$175,9,FALSE),"-")</f>
        <v>-</v>
      </c>
      <c r="S171" s="209" t="str">
        <f>IFERROR(VLOOKUP(O171,Database!$A$2:$S$175,19,FALSE),"-")</f>
        <v>-</v>
      </c>
      <c r="T171" s="97" t="str">
        <f>IF(AND(D171="Y",booking!P171&lt;&gt;booking!Q171,booking!Q171&gt;0),booking!Q171,"-")</f>
        <v>-</v>
      </c>
      <c r="U171" s="80" t="str">
        <f>IFERROR(VLOOKUP(T171,Database!$A$2:$L$175,8,FALSE),"-")</f>
        <v>-</v>
      </c>
      <c r="V171" s="80" t="str">
        <f>IFERROR(VLOOKUP(T171,Database!$A$2:$L$175,6,FALSE),"-")</f>
        <v>-</v>
      </c>
      <c r="W171" s="83" t="str">
        <f>IFERROR(VLOOKUP(T171,Database!$A$2:$L$175,9,FALSE),"-")</f>
        <v>-</v>
      </c>
      <c r="X171" s="209" t="str">
        <f>IFERROR(VLOOKUP(T171,Database!$A$2:$S$175,19,FALSE),"-")</f>
        <v>-</v>
      </c>
      <c r="Y171" s="96" t="str">
        <f>IF(AND(D171="Y",booking!T171&lt;&gt;booking!U171,booking!U171&gt;0),booking!U171,"-")</f>
        <v>-</v>
      </c>
      <c r="Z171" s="79" t="str">
        <f>IFERROR(VLOOKUP(Y171,Database!$A$2:$L$175,8,FALSE),"-")</f>
        <v>-</v>
      </c>
      <c r="AA171" s="79" t="str">
        <f>IFERROR(VLOOKUP(Y171,Database!$A$2:$L$175,6,FALSE),"-")</f>
        <v>-</v>
      </c>
      <c r="AB171" s="92" t="str">
        <f>IFERROR(VLOOKUP(Y171,Database!$A$2:$L$175,9,FALSE),"-")</f>
        <v>-</v>
      </c>
      <c r="AC171" s="8" t="str">
        <f>IFERROR(VLOOKUP(Y171,Database!$A$2:$S$175,19,FALSE),"-")</f>
        <v>-</v>
      </c>
    </row>
    <row r="172" spans="1:29" x14ac:dyDescent="0.35">
      <c r="A172">
        <f>rengoering!A172</f>
        <v>0</v>
      </c>
      <c r="B172" s="24">
        <f>rengoering!B172</f>
        <v>0</v>
      </c>
      <c r="D172" s="75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7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rengoering!A173</f>
        <v>0</v>
      </c>
      <c r="B173" s="24">
        <f>rengoering!B173</f>
        <v>0</v>
      </c>
      <c r="D173" s="75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7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rengoering!A174</f>
        <v>0</v>
      </c>
      <c r="B174" s="24">
        <f>rengoering!B174</f>
        <v>0</v>
      </c>
      <c r="D174" s="75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7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rengoering!A175</f>
        <v>0</v>
      </c>
      <c r="B175" s="24">
        <f>rengoering!B175</f>
        <v>0</v>
      </c>
      <c r="D175" s="75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7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5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7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4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4" t="s">
        <v>116</v>
      </c>
      <c r="B1" t="s">
        <v>131</v>
      </c>
      <c r="C1" t="s">
        <v>420</v>
      </c>
      <c r="D1" t="s">
        <v>421</v>
      </c>
      <c r="E1" t="s">
        <v>422</v>
      </c>
      <c r="F1" t="s">
        <v>423</v>
      </c>
      <c r="G1" t="s">
        <v>424</v>
      </c>
      <c r="H1" t="s">
        <v>425</v>
      </c>
      <c r="I1" t="s">
        <v>426</v>
      </c>
      <c r="J1" t="s">
        <v>427</v>
      </c>
      <c r="K1" t="s">
        <v>428</v>
      </c>
      <c r="L1" t="s">
        <v>429</v>
      </c>
      <c r="M1" t="s">
        <v>430</v>
      </c>
    </row>
    <row r="2" spans="1:13" x14ac:dyDescent="0.35">
      <c r="A2" s="24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IFERROR(VLOOKUP(D2,Database!$A$2:$L$175,2,FALSE),"-")</f>
        <v>-</v>
      </c>
      <c r="F2" t="str">
        <f>ankomster!J2</f>
        <v>-</v>
      </c>
      <c r="G2" t="str">
        <f>IFERROR(VLOOKUP(F2,Database!$A$2:$L$175,2,FALSE),"-")</f>
        <v>-</v>
      </c>
      <c r="H2" t="str">
        <f>ankomster!O2</f>
        <v>-</v>
      </c>
      <c r="I2" t="str">
        <f>IFERROR(VLOOKUP(H2,Database!$A$2:$L$175,2,FALSE),"-")</f>
        <v>-</v>
      </c>
      <c r="J2" s="76" t="str">
        <f>ankomster!T2</f>
        <v>-</v>
      </c>
      <c r="K2" t="str">
        <f>IFERROR(VLOOKUP(J2,Database!$A$2:$L$175,2,FALSE),"-")</f>
        <v>-</v>
      </c>
      <c r="L2" t="str">
        <f>ankomster!Y2</f>
        <v>-</v>
      </c>
      <c r="M2" t="str">
        <f>IFERROR(VLOOKUP(L2,Database!$A$2:$L$175,2,FALSE),"-")</f>
        <v>-</v>
      </c>
    </row>
    <row r="3" spans="1:13" x14ac:dyDescent="0.35">
      <c r="A3" s="24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IFERROR(VLOOKUP(D3,Database!$A$2:$L$175,2,FALSE),"-")</f>
        <v>-</v>
      </c>
      <c r="F3" t="str">
        <f>ankomster!J3</f>
        <v>-</v>
      </c>
      <c r="G3" t="str">
        <f>IFERROR(VLOOKUP(F3,Database!$A$2:$L$175,2,FALSE),"-")</f>
        <v>-</v>
      </c>
      <c r="H3" t="str">
        <f>ankomster!O3</f>
        <v>-</v>
      </c>
      <c r="I3" t="str">
        <f>IFERROR(VLOOKUP(H3,Database!$A$2:$L$175,2,FALSE),"-")</f>
        <v>-</v>
      </c>
      <c r="J3" s="76" t="str">
        <f>ankomster!T3</f>
        <v>-</v>
      </c>
      <c r="K3" t="str">
        <f>IFERROR(VLOOKUP(J3,Database!$A$2:$L$175,2,FALSE),"-")</f>
        <v>-</v>
      </c>
      <c r="L3" t="str">
        <f>ankomster!Y3</f>
        <v>-</v>
      </c>
      <c r="M3" t="str">
        <f>IFERROR(VLOOKUP(L3,Database!$A$2:$L$175,2,FALSE),"-")</f>
        <v>-</v>
      </c>
    </row>
    <row r="4" spans="1:13" x14ac:dyDescent="0.35">
      <c r="A4" s="24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IFERROR(VLOOKUP(D4,Database!$A$2:$L$175,2,FALSE),"-")</f>
        <v>-</v>
      </c>
      <c r="F4" t="str">
        <f>ankomster!J4</f>
        <v>-</v>
      </c>
      <c r="G4" t="str">
        <f>IFERROR(VLOOKUP(F4,Database!$A$2:$L$175,2,FALSE),"-")</f>
        <v>-</v>
      </c>
      <c r="H4" t="str">
        <f>ankomster!O4</f>
        <v>-</v>
      </c>
      <c r="I4" t="str">
        <f>IFERROR(VLOOKUP(H4,Database!$A$2:$L$175,2,FALSE),"-")</f>
        <v>-</v>
      </c>
      <c r="J4" s="76" t="str">
        <f>ankomster!T4</f>
        <v>-</v>
      </c>
      <c r="K4" t="str">
        <f>IFERROR(VLOOKUP(J4,Database!$A$2:$L$175,2,FALSE),"-")</f>
        <v>-</v>
      </c>
      <c r="L4" t="str">
        <f>ankomster!Y4</f>
        <v>-</v>
      </c>
      <c r="M4" t="str">
        <f>IFERROR(VLOOKUP(L4,Database!$A$2:$L$175,2,FALSE),"-")</f>
        <v>-</v>
      </c>
    </row>
    <row r="5" spans="1:13" x14ac:dyDescent="0.35">
      <c r="A5" s="24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IFERROR(VLOOKUP(D5,Database!$A$2:$L$175,2,FALSE),"-")</f>
        <v>-</v>
      </c>
      <c r="F5" t="str">
        <f>ankomster!J5</f>
        <v>-</v>
      </c>
      <c r="G5" t="str">
        <f>IFERROR(VLOOKUP(F5,Database!$A$2:$L$175,2,FALSE),"-")</f>
        <v>-</v>
      </c>
      <c r="H5" t="str">
        <f>ankomster!O5</f>
        <v>-</v>
      </c>
      <c r="I5" t="str">
        <f>IFERROR(VLOOKUP(H5,Database!$A$2:$L$175,2,FALSE),"-")</f>
        <v>-</v>
      </c>
      <c r="J5" s="76" t="str">
        <f>ankomster!T5</f>
        <v>-</v>
      </c>
      <c r="K5" t="str">
        <f>IFERROR(VLOOKUP(J5,Database!$A$2:$L$175,2,FALSE),"-")</f>
        <v>-</v>
      </c>
      <c r="L5" t="str">
        <f>ankomster!Y5</f>
        <v>-</v>
      </c>
      <c r="M5" t="str">
        <f>IFERROR(VLOOKUP(L5,Database!$A$2:$L$175,2,FALSE),"-")</f>
        <v>-</v>
      </c>
    </row>
    <row r="6" spans="1:13" x14ac:dyDescent="0.35">
      <c r="A6" s="24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IFERROR(VLOOKUP(D6,Database!$A$2:$L$175,2,FALSE),"-")</f>
        <v>Stine Yndgaard</v>
      </c>
      <c r="F6">
        <f>ankomster!J6</f>
        <v>110</v>
      </c>
      <c r="G6" t="str">
        <f>IFERROR(VLOOKUP(F6,Database!$A$2:$L$175,2,FALSE),"-")</f>
        <v>Francesca Giraudo</v>
      </c>
      <c r="H6">
        <f>ankomster!O6</f>
        <v>68</v>
      </c>
      <c r="I6" t="str">
        <f>IFERROR(VLOOKUP(H6,Database!$A$2:$L$175,2,FALSE),"-")</f>
        <v>Danny Bukh Almstrup</v>
      </c>
      <c r="J6" s="76">
        <f>ankomster!T6</f>
        <v>28</v>
      </c>
      <c r="K6" t="str">
        <f>IFERROR(VLOOKUP(J6,Database!$A$2:$L$175,2,FALSE),"-")</f>
        <v>Alex Nielsen</v>
      </c>
      <c r="L6">
        <f>ankomster!Y6</f>
        <v>28</v>
      </c>
      <c r="M6" t="str">
        <f>IFERROR(VLOOKUP(L6,Database!$A$2:$L$175,2,FALSE),"-")</f>
        <v>Alex Nielsen</v>
      </c>
    </row>
    <row r="7" spans="1:13" x14ac:dyDescent="0.35">
      <c r="A7" s="24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IFERROR(VLOOKUP(D7,Database!$A$2:$L$175,2,FALSE),"-")</f>
        <v>-</v>
      </c>
      <c r="F7" t="str">
        <f>ankomster!J7</f>
        <v>-</v>
      </c>
      <c r="G7" t="str">
        <f>IFERROR(VLOOKUP(F7,Database!$A$2:$L$175,2,FALSE),"-")</f>
        <v>-</v>
      </c>
      <c r="H7" t="str">
        <f>ankomster!O7</f>
        <v>-</v>
      </c>
      <c r="I7" t="str">
        <f>IFERROR(VLOOKUP(H7,Database!$A$2:$L$175,2,FALSE),"-")</f>
        <v>-</v>
      </c>
      <c r="J7" s="76" t="str">
        <f>ankomster!T7</f>
        <v>-</v>
      </c>
      <c r="K7" t="str">
        <f>IFERROR(VLOOKUP(J7,Database!$A$2:$L$175,2,FALSE),"-")</f>
        <v>-</v>
      </c>
      <c r="L7" t="str">
        <f>ankomster!Y7</f>
        <v>-</v>
      </c>
      <c r="M7" t="str">
        <f>IFERROR(VLOOKUP(L7,Database!$A$2:$L$175,2,FALSE),"-")</f>
        <v>-</v>
      </c>
    </row>
    <row r="8" spans="1:13" x14ac:dyDescent="0.35">
      <c r="A8" s="24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IFERROR(VLOOKUP(D8,Database!$A$2:$L$175,2,FALSE),"-")</f>
        <v>-</v>
      </c>
      <c r="F8" t="str">
        <f>ankomster!J8</f>
        <v>-</v>
      </c>
      <c r="G8" t="str">
        <f>IFERROR(VLOOKUP(F8,Database!$A$2:$L$175,2,FALSE),"-")</f>
        <v>-</v>
      </c>
      <c r="H8" t="str">
        <f>ankomster!O8</f>
        <v>-</v>
      </c>
      <c r="I8" t="str">
        <f>IFERROR(VLOOKUP(H8,Database!$A$2:$L$175,2,FALSE),"-")</f>
        <v>-</v>
      </c>
      <c r="J8" s="76">
        <f>ankomster!T8</f>
        <v>72</v>
      </c>
      <c r="K8" t="str">
        <f>IFERROR(VLOOKUP(J8,Database!$A$2:$L$175,2,FALSE),"-")</f>
        <v>Anders Andersen</v>
      </c>
      <c r="L8" t="str">
        <f>ankomster!Y8</f>
        <v>-</v>
      </c>
      <c r="M8" t="str">
        <f>IFERROR(VLOOKUP(L8,Database!$A$2:$L$175,2,FALSE),"-")</f>
        <v>-</v>
      </c>
    </row>
    <row r="9" spans="1:13" x14ac:dyDescent="0.35">
      <c r="A9" s="24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IFERROR(VLOOKUP(D9,Database!$A$2:$L$175,2,FALSE),"-")</f>
        <v>-</v>
      </c>
      <c r="F9" t="str">
        <f>ankomster!J9</f>
        <v>-</v>
      </c>
      <c r="G9" t="str">
        <f>IFERROR(VLOOKUP(F9,Database!$A$2:$L$175,2,FALSE),"-")</f>
        <v>-</v>
      </c>
      <c r="H9" t="str">
        <f>ankomster!O9</f>
        <v>-</v>
      </c>
      <c r="I9" t="str">
        <f>IFERROR(VLOOKUP(H9,Database!$A$2:$L$175,2,FALSE),"-")</f>
        <v>-</v>
      </c>
      <c r="J9" s="76" t="str">
        <f>ankomster!T9</f>
        <v>-</v>
      </c>
      <c r="K9" t="str">
        <f>IFERROR(VLOOKUP(J9,Database!$A$2:$L$175,2,FALSE),"-")</f>
        <v>-</v>
      </c>
      <c r="L9" t="str">
        <f>ankomster!Y9</f>
        <v>-</v>
      </c>
      <c r="M9" t="str">
        <f>IFERROR(VLOOKUP(L9,Database!$A$2:$L$175,2,FALSE),"-")</f>
        <v>-</v>
      </c>
    </row>
    <row r="10" spans="1:13" x14ac:dyDescent="0.35">
      <c r="A10" s="24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IFERROR(VLOOKUP(D10,Database!$A$2:$L$175,2,FALSE),"-")</f>
        <v>-</v>
      </c>
      <c r="F10" t="str">
        <f>ankomster!J10</f>
        <v>-</v>
      </c>
      <c r="G10" t="str">
        <f>IFERROR(VLOOKUP(F10,Database!$A$2:$L$175,2,FALSE),"-")</f>
        <v>-</v>
      </c>
      <c r="H10" t="str">
        <f>ankomster!O10</f>
        <v>-</v>
      </c>
      <c r="I10" t="str">
        <f>IFERROR(VLOOKUP(H10,Database!$A$2:$L$175,2,FALSE),"-")</f>
        <v>-</v>
      </c>
      <c r="J10" s="76" t="str">
        <f>ankomster!T10</f>
        <v>-</v>
      </c>
      <c r="K10" t="str">
        <f>IFERROR(VLOOKUP(J10,Database!$A$2:$L$175,2,FALSE),"-")</f>
        <v>-</v>
      </c>
      <c r="L10" t="str">
        <f>ankomster!Y10</f>
        <v>-</v>
      </c>
      <c r="M10" t="str">
        <f>IFERROR(VLOOKUP(L10,Database!$A$2:$L$175,2,FALSE),"-")</f>
        <v>-</v>
      </c>
    </row>
    <row r="11" spans="1:13" x14ac:dyDescent="0.35">
      <c r="A11" s="24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IFERROR(VLOOKUP(D11,Database!$A$2:$L$175,2,FALSE),"-")</f>
        <v>-</v>
      </c>
      <c r="F11" t="str">
        <f>ankomster!J11</f>
        <v>-</v>
      </c>
      <c r="G11" t="str">
        <f>IFERROR(VLOOKUP(F11,Database!$A$2:$L$175,2,FALSE),"-")</f>
        <v>-</v>
      </c>
      <c r="H11" t="str">
        <f>ankomster!O11</f>
        <v>-</v>
      </c>
      <c r="I11" t="str">
        <f>IFERROR(VLOOKUP(H11,Database!$A$2:$L$175,2,FALSE),"-")</f>
        <v>-</v>
      </c>
      <c r="J11" s="76" t="str">
        <f>ankomster!T11</f>
        <v>-</v>
      </c>
      <c r="K11" t="str">
        <f>IFERROR(VLOOKUP(J11,Database!$A$2:$L$175,2,FALSE),"-")</f>
        <v>-</v>
      </c>
      <c r="L11" t="str">
        <f>ankomster!Y11</f>
        <v>-</v>
      </c>
      <c r="M11" t="str">
        <f>IFERROR(VLOOKUP(L11,Database!$A$2:$L$175,2,FALSE),"-")</f>
        <v>-</v>
      </c>
    </row>
    <row r="12" spans="1:13" x14ac:dyDescent="0.35">
      <c r="A12" s="24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IFERROR(VLOOKUP(D12,Database!$A$2:$L$175,2,FALSE),"-")</f>
        <v>-</v>
      </c>
      <c r="F12">
        <f>ankomster!J12</f>
        <v>80</v>
      </c>
      <c r="G12" t="str">
        <f>IFERROR(VLOOKUP(F12,Database!$A$2:$L$175,2,FALSE),"-")</f>
        <v>Finn Müllertz</v>
      </c>
      <c r="H12">
        <f>ankomster!O12</f>
        <v>80</v>
      </c>
      <c r="I12" t="str">
        <f>IFERROR(VLOOKUP(H12,Database!$A$2:$L$175,2,FALSE),"-")</f>
        <v>Finn Müllertz</v>
      </c>
      <c r="J12" s="76" t="str">
        <f>ankomster!T12</f>
        <v>-</v>
      </c>
      <c r="K12" t="str">
        <f>IFERROR(VLOOKUP(J12,Database!$A$2:$L$175,2,FALSE),"-")</f>
        <v>-</v>
      </c>
      <c r="L12" t="str">
        <f>ankomster!Y12</f>
        <v>-</v>
      </c>
      <c r="M12" t="str">
        <f>IFERROR(VLOOKUP(L12,Database!$A$2:$L$175,2,FALSE),"-")</f>
        <v>-</v>
      </c>
    </row>
    <row r="13" spans="1:13" x14ac:dyDescent="0.35">
      <c r="A13" s="24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IFERROR(VLOOKUP(D13,Database!$A$2:$L$175,2,FALSE),"-")</f>
        <v>-</v>
      </c>
      <c r="F13" t="str">
        <f>ankomster!J13</f>
        <v>-</v>
      </c>
      <c r="G13" t="str">
        <f>IFERROR(VLOOKUP(F13,Database!$A$2:$L$175,2,FALSE),"-")</f>
        <v>-</v>
      </c>
      <c r="H13" t="str">
        <f>ankomster!O13</f>
        <v>-</v>
      </c>
      <c r="I13" t="str">
        <f>IFERROR(VLOOKUP(H13,Database!$A$2:$L$175,2,FALSE),"-")</f>
        <v>-</v>
      </c>
      <c r="J13" s="76" t="str">
        <f>ankomster!T13</f>
        <v>-</v>
      </c>
      <c r="K13" t="str">
        <f>IFERROR(VLOOKUP(J13,Database!$A$2:$L$175,2,FALSE),"-")</f>
        <v>-</v>
      </c>
      <c r="L13" t="str">
        <f>ankomster!Y13</f>
        <v>-</v>
      </c>
      <c r="M13" t="str">
        <f>IFERROR(VLOOKUP(L13,Database!$A$2:$L$175,2,FALSE),"-")</f>
        <v>-</v>
      </c>
    </row>
    <row r="14" spans="1:13" x14ac:dyDescent="0.35">
      <c r="A14" s="24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IFERROR(VLOOKUP(D14,Database!$A$2:$L$175,2,FALSE),"-")</f>
        <v>-</v>
      </c>
      <c r="F14" t="str">
        <f>ankomster!J14</f>
        <v>-</v>
      </c>
      <c r="G14" t="str">
        <f>IFERROR(VLOOKUP(F14,Database!$A$2:$L$175,2,FALSE),"-")</f>
        <v>-</v>
      </c>
      <c r="H14" t="str">
        <f>ankomster!O14</f>
        <v>-</v>
      </c>
      <c r="I14" t="str">
        <f>IFERROR(VLOOKUP(H14,Database!$A$2:$L$175,2,FALSE),"-")</f>
        <v>-</v>
      </c>
      <c r="J14" s="76" t="str">
        <f>ankomster!T14</f>
        <v>-</v>
      </c>
      <c r="K14" t="str">
        <f>IFERROR(VLOOKUP(J14,Database!$A$2:$L$175,2,FALSE),"-")</f>
        <v>-</v>
      </c>
      <c r="L14" t="str">
        <f>ankomster!Y14</f>
        <v>-</v>
      </c>
      <c r="M14" t="str">
        <f>IFERROR(VLOOKUP(L14,Database!$A$2:$L$175,2,FALSE),"-")</f>
        <v>-</v>
      </c>
    </row>
    <row r="15" spans="1:13" x14ac:dyDescent="0.35">
      <c r="A15" s="24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IFERROR(VLOOKUP(D15,Database!$A$2:$L$175,2,FALSE),"-")</f>
        <v>-</v>
      </c>
      <c r="F15" t="str">
        <f>ankomster!J15</f>
        <v>-</v>
      </c>
      <c r="G15" t="str">
        <f>IFERROR(VLOOKUP(F15,Database!$A$2:$L$175,2,FALSE),"-")</f>
        <v>-</v>
      </c>
      <c r="H15" t="str">
        <f>ankomster!O15</f>
        <v>-</v>
      </c>
      <c r="I15" t="str">
        <f>IFERROR(VLOOKUP(H15,Database!$A$2:$L$175,2,FALSE),"-")</f>
        <v>-</v>
      </c>
      <c r="J15" s="76" t="str">
        <f>ankomster!T15</f>
        <v>-</v>
      </c>
      <c r="K15" t="str">
        <f>IFERROR(VLOOKUP(J15,Database!$A$2:$L$175,2,FALSE),"-")</f>
        <v>-</v>
      </c>
      <c r="L15" t="str">
        <f>ankomster!Y15</f>
        <v>-</v>
      </c>
      <c r="M15" t="str">
        <f>IFERROR(VLOOKUP(L15,Database!$A$2:$L$175,2,FALSE),"-")</f>
        <v>-</v>
      </c>
    </row>
    <row r="16" spans="1:13" x14ac:dyDescent="0.35">
      <c r="A16" s="24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IFERROR(VLOOKUP(D16,Database!$A$2:$L$175,2,FALSE),"-")</f>
        <v>-</v>
      </c>
      <c r="F16" t="str">
        <f>ankomster!J16</f>
        <v>-</v>
      </c>
      <c r="G16" t="str">
        <f>IFERROR(VLOOKUP(F16,Database!$A$2:$L$175,2,FALSE),"-")</f>
        <v>-</v>
      </c>
      <c r="H16" t="str">
        <f>ankomster!O16</f>
        <v>-</v>
      </c>
      <c r="I16" t="str">
        <f>IFERROR(VLOOKUP(H16,Database!$A$2:$L$175,2,FALSE),"-")</f>
        <v>-</v>
      </c>
      <c r="J16" s="76" t="str">
        <f>ankomster!T16</f>
        <v>-</v>
      </c>
      <c r="K16" t="str">
        <f>IFERROR(VLOOKUP(J16,Database!$A$2:$L$175,2,FALSE),"-")</f>
        <v>-</v>
      </c>
      <c r="L16">
        <f>ankomster!Y16</f>
        <v>63</v>
      </c>
      <c r="M16" t="str">
        <f>IFERROR(VLOOKUP(L16,Database!$A$2:$L$175,2,FALSE),"-")</f>
        <v>Tommy Thunberg</v>
      </c>
    </row>
    <row r="17" spans="1:13" x14ac:dyDescent="0.35">
      <c r="A17" s="24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IFERROR(VLOOKUP(D17,Database!$A$2:$L$175,2,FALSE),"-")</f>
        <v>-</v>
      </c>
      <c r="F17" t="str">
        <f>ankomster!J17</f>
        <v>-</v>
      </c>
      <c r="G17" t="str">
        <f>IFERROR(VLOOKUP(F17,Database!$A$2:$L$175,2,FALSE),"-")</f>
        <v>-</v>
      </c>
      <c r="H17" t="str">
        <f>ankomster!O17</f>
        <v>-</v>
      </c>
      <c r="I17" t="str">
        <f>IFERROR(VLOOKUP(H17,Database!$A$2:$L$175,2,FALSE),"-")</f>
        <v>-</v>
      </c>
      <c r="J17" s="76" t="str">
        <f>ankomster!T17</f>
        <v>-</v>
      </c>
      <c r="K17" t="str">
        <f>IFERROR(VLOOKUP(J17,Database!$A$2:$L$175,2,FALSE),"-")</f>
        <v>-</v>
      </c>
      <c r="L17" t="str">
        <f>ankomster!Y17</f>
        <v>-</v>
      </c>
      <c r="M17" t="str">
        <f>IFERROR(VLOOKUP(L17,Database!$A$2:$L$175,2,FALSE),"-")</f>
        <v>-</v>
      </c>
    </row>
    <row r="18" spans="1:13" x14ac:dyDescent="0.35">
      <c r="A18" s="24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IFERROR(VLOOKUP(D18,Database!$A$2:$L$175,2,FALSE),"-")</f>
        <v>Claus Nyeland</v>
      </c>
      <c r="F18" t="str">
        <f>ankomster!J18</f>
        <v>-</v>
      </c>
      <c r="G18" t="str">
        <f>IFERROR(VLOOKUP(F18,Database!$A$2:$L$175,2,FALSE),"-")</f>
        <v>-</v>
      </c>
      <c r="H18" t="str">
        <f>ankomster!O18</f>
        <v>-</v>
      </c>
      <c r="I18" t="str">
        <f>IFERROR(VLOOKUP(H18,Database!$A$2:$L$175,2,FALSE),"-")</f>
        <v>-</v>
      </c>
      <c r="J18" s="76" t="str">
        <f>ankomster!T18</f>
        <v>-</v>
      </c>
      <c r="K18" t="str">
        <f>IFERROR(VLOOKUP(J18,Database!$A$2:$L$175,2,FALSE),"-")</f>
        <v>-</v>
      </c>
      <c r="L18" t="str">
        <f>ankomster!Y18</f>
        <v>-</v>
      </c>
      <c r="M18" t="str">
        <f>IFERROR(VLOOKUP(L18,Database!$A$2:$L$175,2,FALSE),"-")</f>
        <v>-</v>
      </c>
    </row>
    <row r="19" spans="1:13" x14ac:dyDescent="0.35">
      <c r="A19" s="24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IFERROR(VLOOKUP(D19,Database!$A$2:$L$175,2,FALSE),"-")</f>
        <v>-</v>
      </c>
      <c r="F19" t="str">
        <f>ankomster!J19</f>
        <v>-</v>
      </c>
      <c r="G19" t="str">
        <f>IFERROR(VLOOKUP(F19,Database!$A$2:$L$175,2,FALSE),"-")</f>
        <v>-</v>
      </c>
      <c r="H19">
        <f>ankomster!O19</f>
        <v>95</v>
      </c>
      <c r="I19" t="str">
        <f>IFERROR(VLOOKUP(H19,Database!$A$2:$L$175,2,FALSE),"-")</f>
        <v>Klas Sjödahl</v>
      </c>
      <c r="J19" s="76">
        <f>ankomster!T19</f>
        <v>97</v>
      </c>
      <c r="K19" t="str">
        <f>IFERROR(VLOOKUP(J19,Database!$A$2:$L$175,2,FALSE),"-")</f>
        <v>Calin Durnea</v>
      </c>
      <c r="L19">
        <f>ankomster!Y19</f>
        <v>90</v>
      </c>
      <c r="M19" t="str">
        <f>IFERROR(VLOOKUP(L19,Database!$A$2:$L$175,2,FALSE),"-")</f>
        <v>Kjell Karlsson</v>
      </c>
    </row>
    <row r="20" spans="1:13" x14ac:dyDescent="0.35">
      <c r="A20" s="24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IFERROR(VLOOKUP(D20,Database!$A$2:$L$175,2,FALSE),"-")</f>
        <v>-</v>
      </c>
      <c r="F20">
        <f>ankomster!J20</f>
        <v>91</v>
      </c>
      <c r="G20" t="str">
        <f>IFERROR(VLOOKUP(F20,Database!$A$2:$L$175,2,FALSE),"-")</f>
        <v>Lars Erik Phorelli</v>
      </c>
      <c r="H20" t="str">
        <f>ankomster!O20</f>
        <v>-</v>
      </c>
      <c r="I20" t="str">
        <f>IFERROR(VLOOKUP(H20,Database!$A$2:$L$175,2,FALSE),"-")</f>
        <v>-</v>
      </c>
      <c r="J20" s="76" t="str">
        <f>ankomster!T20</f>
        <v>-</v>
      </c>
      <c r="K20" t="str">
        <f>IFERROR(VLOOKUP(J20,Database!$A$2:$L$175,2,FALSE),"-")</f>
        <v>-</v>
      </c>
      <c r="L20" t="str">
        <f>ankomster!Y20</f>
        <v>-</v>
      </c>
      <c r="M20" t="str">
        <f>IFERROR(VLOOKUP(L20,Database!$A$2:$L$175,2,FALSE),"-")</f>
        <v>-</v>
      </c>
    </row>
    <row r="21" spans="1:13" x14ac:dyDescent="0.35">
      <c r="A21" s="24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IFERROR(VLOOKUP(D21,Database!$A$2:$L$175,2,FALSE),"-")</f>
        <v>Hans-Dieter Lange</v>
      </c>
      <c r="F21" t="str">
        <f>ankomster!J21</f>
        <v>-</v>
      </c>
      <c r="G21" t="str">
        <f>IFERROR(VLOOKUP(F21,Database!$A$2:$L$175,2,FALSE),"-")</f>
        <v>-</v>
      </c>
      <c r="H21" t="str">
        <f>ankomster!O21</f>
        <v>-</v>
      </c>
      <c r="I21" t="str">
        <f>IFERROR(VLOOKUP(H21,Database!$A$2:$L$175,2,FALSE),"-")</f>
        <v>-</v>
      </c>
      <c r="J21" s="76" t="str">
        <f>ankomster!T21</f>
        <v>-</v>
      </c>
      <c r="K21" t="str">
        <f>IFERROR(VLOOKUP(J21,Database!$A$2:$L$175,2,FALSE),"-")</f>
        <v>-</v>
      </c>
      <c r="L21" t="str">
        <f>ankomster!Y21</f>
        <v>-</v>
      </c>
      <c r="M21" t="str">
        <f>IFERROR(VLOOKUP(L21,Database!$A$2:$L$175,2,FALSE),"-")</f>
        <v>-</v>
      </c>
    </row>
    <row r="22" spans="1:13" x14ac:dyDescent="0.35">
      <c r="A22" s="24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IFERROR(VLOOKUP(D22,Database!$A$2:$L$175,2,FALSE),"-")</f>
        <v>-</v>
      </c>
      <c r="F22">
        <f>ankomster!J22</f>
        <v>108</v>
      </c>
      <c r="G22" t="str">
        <f>IFERROR(VLOOKUP(F22,Database!$A$2:$L$175,2,FALSE),"-")</f>
        <v>Kurt Bergen</v>
      </c>
      <c r="H22" t="str">
        <f>ankomster!O22</f>
        <v>-</v>
      </c>
      <c r="I22" t="str">
        <f>IFERROR(VLOOKUP(H22,Database!$A$2:$L$175,2,FALSE),"-")</f>
        <v>-</v>
      </c>
      <c r="J22" s="76">
        <f>ankomster!T22</f>
        <v>96</v>
      </c>
      <c r="K22" t="str">
        <f>IFERROR(VLOOKUP(J22,Database!$A$2:$L$175,2,FALSE),"-")</f>
        <v>Thomas Schimmer</v>
      </c>
      <c r="L22">
        <f>ankomster!Y22</f>
        <v>9</v>
      </c>
      <c r="M22" t="str">
        <f>IFERROR(VLOOKUP(L22,Database!$A$2:$L$175,2,FALSE),"-")</f>
        <v>Erik Friis</v>
      </c>
    </row>
    <row r="23" spans="1:13" x14ac:dyDescent="0.35">
      <c r="A23" s="24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IFERROR(VLOOKUP(D23,Database!$A$2:$L$175,2,FALSE),"-")</f>
        <v>-</v>
      </c>
      <c r="F23" t="str">
        <f>ankomster!J23</f>
        <v>-</v>
      </c>
      <c r="G23" t="str">
        <f>IFERROR(VLOOKUP(F23,Database!$A$2:$L$175,2,FALSE),"-")</f>
        <v>-</v>
      </c>
      <c r="H23">
        <f>ankomster!O23</f>
        <v>107</v>
      </c>
      <c r="I23" t="str">
        <f>IFERROR(VLOOKUP(H23,Database!$A$2:$L$175,2,FALSE),"-")</f>
        <v>Marcia Swinney-Shay</v>
      </c>
      <c r="J23" s="76" t="str">
        <f>ankomster!T23</f>
        <v>-</v>
      </c>
      <c r="K23" t="str">
        <f>IFERROR(VLOOKUP(J23,Database!$A$2:$L$175,2,FALSE),"-")</f>
        <v>-</v>
      </c>
      <c r="L23" t="str">
        <f>ankomster!Y23</f>
        <v>-</v>
      </c>
      <c r="M23" t="str">
        <f>IFERROR(VLOOKUP(L23,Database!$A$2:$L$175,2,FALSE),"-")</f>
        <v>-</v>
      </c>
    </row>
    <row r="24" spans="1:13" x14ac:dyDescent="0.35">
      <c r="A24" s="24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IFERROR(VLOOKUP(D24,Database!$A$2:$L$175,2,FALSE),"-")</f>
        <v>-</v>
      </c>
      <c r="F24" t="str">
        <f>ankomster!J24</f>
        <v>-</v>
      </c>
      <c r="G24" t="str">
        <f>IFERROR(VLOOKUP(F24,Database!$A$2:$L$175,2,FALSE),"-")</f>
        <v>-</v>
      </c>
      <c r="H24" t="str">
        <f>ankomster!O24</f>
        <v>-</v>
      </c>
      <c r="I24" t="str">
        <f>IFERROR(VLOOKUP(H24,Database!$A$2:$L$175,2,FALSE),"-")</f>
        <v>-</v>
      </c>
      <c r="J24" s="76" t="str">
        <f>ankomster!T24</f>
        <v>-</v>
      </c>
      <c r="K24" t="str">
        <f>IFERROR(VLOOKUP(J24,Database!$A$2:$L$175,2,FALSE),"-")</f>
        <v>-</v>
      </c>
      <c r="L24" t="str">
        <f>ankomster!Y24</f>
        <v>-</v>
      </c>
      <c r="M24" t="str">
        <f>IFERROR(VLOOKUP(L24,Database!$A$2:$L$175,2,FALSE),"-")</f>
        <v>-</v>
      </c>
    </row>
    <row r="25" spans="1:13" x14ac:dyDescent="0.35">
      <c r="A25" s="24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IFERROR(VLOOKUP(D25,Database!$A$2:$L$175,2,FALSE),"-")</f>
        <v>-</v>
      </c>
      <c r="F25" t="str">
        <f>ankomster!J25</f>
        <v>-</v>
      </c>
      <c r="G25" t="str">
        <f>IFERROR(VLOOKUP(F25,Database!$A$2:$L$175,2,FALSE),"-")</f>
        <v>-</v>
      </c>
      <c r="H25" t="str">
        <f>ankomster!O25</f>
        <v>-</v>
      </c>
      <c r="I25" t="str">
        <f>IFERROR(VLOOKUP(H25,Database!$A$2:$L$175,2,FALSE),"-")</f>
        <v>-</v>
      </c>
      <c r="J25" s="76" t="str">
        <f>ankomster!T25</f>
        <v>-</v>
      </c>
      <c r="K25" t="str">
        <f>IFERROR(VLOOKUP(J25,Database!$A$2:$L$175,2,FALSE),"-")</f>
        <v>-</v>
      </c>
      <c r="L25" t="str">
        <f>ankomster!Y25</f>
        <v>-</v>
      </c>
      <c r="M25" t="str">
        <f>IFERROR(VLOOKUP(L25,Database!$A$2:$L$175,2,FALSE),"-")</f>
        <v>-</v>
      </c>
    </row>
    <row r="26" spans="1:13" x14ac:dyDescent="0.35">
      <c r="A26" s="24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IFERROR(VLOOKUP(D26,Database!$A$2:$L$175,2,FALSE),"-")</f>
        <v>Susan Hart</v>
      </c>
      <c r="F26">
        <f>ankomster!J26</f>
        <v>20</v>
      </c>
      <c r="G26" t="str">
        <f>IFERROR(VLOOKUP(F26,Database!$A$2:$L$175,2,FALSE),"-")</f>
        <v>Susan Hart</v>
      </c>
      <c r="H26" t="str">
        <f>ankomster!O26</f>
        <v>-</v>
      </c>
      <c r="I26" t="str">
        <f>IFERROR(VLOOKUP(H26,Database!$A$2:$L$175,2,FALSE),"-")</f>
        <v>-</v>
      </c>
      <c r="J26" s="76">
        <f>ankomster!T26</f>
        <v>20</v>
      </c>
      <c r="K26" t="str">
        <f>IFERROR(VLOOKUP(J26,Database!$A$2:$L$175,2,FALSE),"-")</f>
        <v>Susan Hart</v>
      </c>
      <c r="L26" t="str">
        <f>ankomster!Y26</f>
        <v>-</v>
      </c>
      <c r="M26" t="str">
        <f>IFERROR(VLOOKUP(L26,Database!$A$2:$L$175,2,FALSE),"-")</f>
        <v>-</v>
      </c>
    </row>
    <row r="27" spans="1:13" x14ac:dyDescent="0.35">
      <c r="A27" s="24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IFERROR(VLOOKUP(D27,Database!$A$2:$L$175,2,FALSE),"-")</f>
        <v>-</v>
      </c>
      <c r="F27" t="str">
        <f>ankomster!J27</f>
        <v>-</v>
      </c>
      <c r="G27" t="str">
        <f>IFERROR(VLOOKUP(F27,Database!$A$2:$L$175,2,FALSE),"-")</f>
        <v>-</v>
      </c>
      <c r="H27" t="str">
        <f>ankomster!O27</f>
        <v>-</v>
      </c>
      <c r="I27" t="str">
        <f>IFERROR(VLOOKUP(H27,Database!$A$2:$L$175,2,FALSE),"-")</f>
        <v>-</v>
      </c>
      <c r="J27" s="76" t="str">
        <f>ankomster!T27</f>
        <v>-</v>
      </c>
      <c r="K27" t="str">
        <f>IFERROR(VLOOKUP(J27,Database!$A$2:$L$175,2,FALSE),"-")</f>
        <v>-</v>
      </c>
      <c r="L27" t="str">
        <f>ankomster!Y27</f>
        <v>-</v>
      </c>
      <c r="M27" t="str">
        <f>IFERROR(VLOOKUP(L27,Database!$A$2:$L$175,2,FALSE),"-")</f>
        <v>-</v>
      </c>
    </row>
    <row r="28" spans="1:13" x14ac:dyDescent="0.35">
      <c r="A28" s="24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IFERROR(VLOOKUP(D28,Database!$A$2:$L$175,2,FALSE),"-")</f>
        <v>-</v>
      </c>
      <c r="F28" t="str">
        <f>ankomster!J28</f>
        <v>-</v>
      </c>
      <c r="G28" t="str">
        <f>IFERROR(VLOOKUP(F28,Database!$A$2:$L$175,2,FALSE),"-")</f>
        <v>-</v>
      </c>
      <c r="H28" t="str">
        <f>ankomster!O28</f>
        <v>-</v>
      </c>
      <c r="I28" t="str">
        <f>IFERROR(VLOOKUP(H28,Database!$A$2:$L$175,2,FALSE),"-")</f>
        <v>-</v>
      </c>
      <c r="J28" s="76" t="str">
        <f>ankomster!T28</f>
        <v>-</v>
      </c>
      <c r="K28" t="str">
        <f>IFERROR(VLOOKUP(J28,Database!$A$2:$L$175,2,FALSE),"-")</f>
        <v>-</v>
      </c>
      <c r="L28" t="str">
        <f>ankomster!Y28</f>
        <v>-</v>
      </c>
      <c r="M28" t="str">
        <f>IFERROR(VLOOKUP(L28,Database!$A$2:$L$175,2,FALSE),"-")</f>
        <v>-</v>
      </c>
    </row>
    <row r="29" spans="1:13" x14ac:dyDescent="0.35">
      <c r="A29" s="24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IFERROR(VLOOKUP(D29,Database!$A$2:$L$175,2,FALSE),"-")</f>
        <v>-</v>
      </c>
      <c r="F29" t="str">
        <f>ankomster!J29</f>
        <v>-</v>
      </c>
      <c r="G29" t="str">
        <f>IFERROR(VLOOKUP(F29,Database!$A$2:$L$175,2,FALSE),"-")</f>
        <v>-</v>
      </c>
      <c r="H29" t="str">
        <f>ankomster!O29</f>
        <v>-</v>
      </c>
      <c r="I29" t="str">
        <f>IFERROR(VLOOKUP(H29,Database!$A$2:$L$175,2,FALSE),"-")</f>
        <v>-</v>
      </c>
      <c r="J29" s="76" t="str">
        <f>ankomster!T29</f>
        <v>-</v>
      </c>
      <c r="K29" t="str">
        <f>IFERROR(VLOOKUP(J29,Database!$A$2:$L$175,2,FALSE),"-")</f>
        <v>-</v>
      </c>
      <c r="L29" t="str">
        <f>ankomster!Y29</f>
        <v>-</v>
      </c>
      <c r="M29" t="str">
        <f>IFERROR(VLOOKUP(L29,Database!$A$2:$L$175,2,FALSE),"-")</f>
        <v>-</v>
      </c>
    </row>
    <row r="30" spans="1:13" x14ac:dyDescent="0.35">
      <c r="A30" s="24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IFERROR(VLOOKUP(D30,Database!$A$2:$L$175,2,FALSE),"-")</f>
        <v>-</v>
      </c>
      <c r="F30" t="str">
        <f>ankomster!J30</f>
        <v>-</v>
      </c>
      <c r="G30" t="str">
        <f>IFERROR(VLOOKUP(F30,Database!$A$2:$L$175,2,FALSE),"-")</f>
        <v>-</v>
      </c>
      <c r="H30" t="str">
        <f>ankomster!O30</f>
        <v>-</v>
      </c>
      <c r="I30" t="str">
        <f>IFERROR(VLOOKUP(H30,Database!$A$2:$L$175,2,FALSE),"-")</f>
        <v>-</v>
      </c>
      <c r="J30" s="76" t="str">
        <f>ankomster!T30</f>
        <v>-</v>
      </c>
      <c r="K30" t="str">
        <f>IFERROR(VLOOKUP(J30,Database!$A$2:$L$175,2,FALSE),"-")</f>
        <v>-</v>
      </c>
      <c r="L30" t="str">
        <f>ankomster!Y30</f>
        <v>-</v>
      </c>
      <c r="M30" t="str">
        <f>IFERROR(VLOOKUP(L30,Database!$A$2:$L$175,2,FALSE),"-")</f>
        <v>-</v>
      </c>
    </row>
    <row r="31" spans="1:13" x14ac:dyDescent="0.35">
      <c r="A31" s="24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IFERROR(VLOOKUP(D31,Database!$A$2:$L$175,2,FALSE),"-")</f>
        <v>-</v>
      </c>
      <c r="F31" t="str">
        <f>ankomster!J31</f>
        <v>-</v>
      </c>
      <c r="G31" t="str">
        <f>IFERROR(VLOOKUP(F31,Database!$A$2:$L$175,2,FALSE),"-")</f>
        <v>-</v>
      </c>
      <c r="H31" t="str">
        <f>ankomster!O31</f>
        <v>-</v>
      </c>
      <c r="I31" t="str">
        <f>IFERROR(VLOOKUP(H31,Database!$A$2:$L$175,2,FALSE),"-")</f>
        <v>-</v>
      </c>
      <c r="J31" s="76" t="str">
        <f>ankomster!T31</f>
        <v>-</v>
      </c>
      <c r="K31" t="str">
        <f>IFERROR(VLOOKUP(J31,Database!$A$2:$L$175,2,FALSE),"-")</f>
        <v>-</v>
      </c>
      <c r="L31" t="str">
        <f>ankomster!Y31</f>
        <v>-</v>
      </c>
      <c r="M31" t="str">
        <f>IFERROR(VLOOKUP(L31,Database!$A$2:$L$175,2,FALSE),"-")</f>
        <v>-</v>
      </c>
    </row>
    <row r="32" spans="1:13" x14ac:dyDescent="0.35">
      <c r="A32" s="24">
        <v>46169</v>
      </c>
      <c r="B32" t="str">
        <f>ankomster!A32</f>
        <v>onsdag</v>
      </c>
      <c r="C32" t="str">
        <f>ankomster!D32</f>
        <v>Y</v>
      </c>
      <c r="D32" t="str">
        <f>ankomster!E32</f>
        <v>-</v>
      </c>
      <c r="E32" t="str">
        <f>IFERROR(VLOOKUP(D32,Database!$A$2:$L$175,2,FALSE),"-")</f>
        <v>-</v>
      </c>
      <c r="F32" t="str">
        <f>ankomster!J32</f>
        <v>-</v>
      </c>
      <c r="G32" t="str">
        <f>IFERROR(VLOOKUP(F32,Database!$A$2:$L$175,2,FALSE),"-")</f>
        <v>-</v>
      </c>
      <c r="H32">
        <f>ankomster!O32</f>
        <v>5</v>
      </c>
      <c r="I32" t="str">
        <f>IFERROR(VLOOKUP(H32,Database!$A$2:$L$175,2,FALSE),"-")</f>
        <v>Birgitte Poulsen</v>
      </c>
      <c r="J32" s="76" t="str">
        <f>ankomster!T32</f>
        <v>-</v>
      </c>
      <c r="K32" t="str">
        <f>IFERROR(VLOOKUP(J32,Database!$A$2:$L$175,2,FALSE),"-")</f>
        <v>-</v>
      </c>
      <c r="L32" t="str">
        <f>ankomster!Y32</f>
        <v>-</v>
      </c>
      <c r="M32" t="str">
        <f>IFERROR(VLOOKUP(L32,Database!$A$2:$L$175,2,FALSE),"-")</f>
        <v>-</v>
      </c>
    </row>
    <row r="33" spans="1:13" x14ac:dyDescent="0.35">
      <c r="A33" s="24">
        <v>46170</v>
      </c>
      <c r="B33" t="str">
        <f>ankomster!A33</f>
        <v>torsdag</v>
      </c>
      <c r="C33" t="str">
        <f>ankomster!D33</f>
        <v>-</v>
      </c>
      <c r="D33" t="str">
        <f>ankomster!E33</f>
        <v>-</v>
      </c>
      <c r="E33" t="str">
        <f>IFERROR(VLOOKUP(D33,Database!$A$2:$L$175,2,FALSE),"-")</f>
        <v>-</v>
      </c>
      <c r="F33" t="str">
        <f>ankomster!J33</f>
        <v>-</v>
      </c>
      <c r="G33" t="str">
        <f>IFERROR(VLOOKUP(F33,Database!$A$2:$L$175,2,FALSE),"-")</f>
        <v>-</v>
      </c>
      <c r="H33" t="str">
        <f>ankomster!O33</f>
        <v>-</v>
      </c>
      <c r="I33" t="str">
        <f>IFERROR(VLOOKUP(H33,Database!$A$2:$L$175,2,FALSE),"-")</f>
        <v>-</v>
      </c>
      <c r="J33" s="76" t="str">
        <f>ankomster!T33</f>
        <v>-</v>
      </c>
      <c r="K33" t="str">
        <f>IFERROR(VLOOKUP(J33,Database!$A$2:$L$175,2,FALSE),"-")</f>
        <v>-</v>
      </c>
      <c r="L33" t="str">
        <f>ankomster!Y33</f>
        <v>-</v>
      </c>
      <c r="M33" t="str">
        <f>IFERROR(VLOOKUP(L33,Database!$A$2:$L$175,2,FALSE),"-")</f>
        <v>-</v>
      </c>
    </row>
    <row r="34" spans="1:13" x14ac:dyDescent="0.35">
      <c r="A34" s="24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IFERROR(VLOOKUP(D34,Database!$A$2:$L$175,2,FALSE),"-")</f>
        <v>-</v>
      </c>
      <c r="F34" t="str">
        <f>ankomster!J34</f>
        <v>-</v>
      </c>
      <c r="G34" t="str">
        <f>IFERROR(VLOOKUP(F34,Database!$A$2:$L$175,2,FALSE),"-")</f>
        <v>-</v>
      </c>
      <c r="H34" t="str">
        <f>ankomster!O34</f>
        <v>-</v>
      </c>
      <c r="I34" t="str">
        <f>IFERROR(VLOOKUP(H34,Database!$A$2:$L$175,2,FALSE),"-")</f>
        <v>-</v>
      </c>
      <c r="J34" s="76" t="str">
        <f>ankomster!T34</f>
        <v>-</v>
      </c>
      <c r="K34" t="str">
        <f>IFERROR(VLOOKUP(J34,Database!$A$2:$L$175,2,FALSE),"-")</f>
        <v>-</v>
      </c>
      <c r="L34">
        <f>ankomster!Y34</f>
        <v>99</v>
      </c>
      <c r="M34" t="str">
        <f>IFERROR(VLOOKUP(L34,Database!$A$2:$L$175,2,FALSE),"-")</f>
        <v>Torben Sømberg</v>
      </c>
    </row>
    <row r="35" spans="1:13" x14ac:dyDescent="0.35">
      <c r="A35" s="24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IFERROR(VLOOKUP(D35,Database!$A$2:$L$175,2,FALSE),"-")</f>
        <v>-</v>
      </c>
      <c r="F35" t="str">
        <f>ankomster!J35</f>
        <v>-</v>
      </c>
      <c r="G35" t="str">
        <f>IFERROR(VLOOKUP(F35,Database!$A$2:$L$175,2,FALSE),"-")</f>
        <v>-</v>
      </c>
      <c r="H35" t="str">
        <f>ankomster!O35</f>
        <v>-</v>
      </c>
      <c r="I35" t="str">
        <f>IFERROR(VLOOKUP(H35,Database!$A$2:$L$175,2,FALSE),"-")</f>
        <v>-</v>
      </c>
      <c r="J35" s="76" t="str">
        <f>ankomster!T35</f>
        <v>-</v>
      </c>
      <c r="K35" t="str">
        <f>IFERROR(VLOOKUP(J35,Database!$A$2:$L$175,2,FALSE),"-")</f>
        <v>-</v>
      </c>
      <c r="L35" t="str">
        <f>ankomster!Y35</f>
        <v>-</v>
      </c>
      <c r="M35" t="str">
        <f>IFERROR(VLOOKUP(L35,Database!$A$2:$L$175,2,FALSE),"-")</f>
        <v>-</v>
      </c>
    </row>
    <row r="36" spans="1:13" x14ac:dyDescent="0.35">
      <c r="A36" s="24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IFERROR(VLOOKUP(D36,Database!$A$2:$L$175,2,FALSE),"-")</f>
        <v>Jette Hansen</v>
      </c>
      <c r="F36">
        <f>ankomster!J36</f>
        <v>79</v>
      </c>
      <c r="G36" t="str">
        <f>IFERROR(VLOOKUP(F36,Database!$A$2:$L$175,2,FALSE),"-")</f>
        <v>Claus Kaae</v>
      </c>
      <c r="H36" t="str">
        <f>ankomster!O36</f>
        <v>-</v>
      </c>
      <c r="I36" t="str">
        <f>IFERROR(VLOOKUP(H36,Database!$A$2:$L$175,2,FALSE),"-")</f>
        <v>-</v>
      </c>
      <c r="J36" s="76" t="str">
        <f>ankomster!T36</f>
        <v>-</v>
      </c>
      <c r="K36" t="str">
        <f>IFERROR(VLOOKUP(J36,Database!$A$2:$L$175,2,FALSE),"-")</f>
        <v>-</v>
      </c>
      <c r="L36" t="str">
        <f>ankomster!Y36</f>
        <v>-</v>
      </c>
      <c r="M36" t="str">
        <f>IFERROR(VLOOKUP(L36,Database!$A$2:$L$175,2,FALSE),"-")</f>
        <v>-</v>
      </c>
    </row>
    <row r="37" spans="1:13" x14ac:dyDescent="0.35">
      <c r="A37" s="24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IFERROR(VLOOKUP(D37,Database!$A$2:$L$175,2,FALSE),"-")</f>
        <v>-</v>
      </c>
      <c r="F37" t="str">
        <f>ankomster!J37</f>
        <v>-</v>
      </c>
      <c r="G37" t="str">
        <f>IFERROR(VLOOKUP(F37,Database!$A$2:$L$175,2,FALSE),"-")</f>
        <v>-</v>
      </c>
      <c r="H37" t="str">
        <f>ankomster!O37</f>
        <v>-</v>
      </c>
      <c r="I37" t="str">
        <f>IFERROR(VLOOKUP(H37,Database!$A$2:$L$175,2,FALSE),"-")</f>
        <v>-</v>
      </c>
      <c r="J37" s="76" t="str">
        <f>ankomster!T37</f>
        <v>-</v>
      </c>
      <c r="K37" t="str">
        <f>IFERROR(VLOOKUP(J37,Database!$A$2:$L$175,2,FALSE),"-")</f>
        <v>-</v>
      </c>
      <c r="L37" t="str">
        <f>ankomster!Y37</f>
        <v>-</v>
      </c>
      <c r="M37" t="str">
        <f>IFERROR(VLOOKUP(L37,Database!$A$2:$L$175,2,FALSE),"-")</f>
        <v>-</v>
      </c>
    </row>
    <row r="38" spans="1:13" x14ac:dyDescent="0.35">
      <c r="A38" s="24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IFERROR(VLOOKUP(D38,Database!$A$2:$L$175,2,FALSE),"-")</f>
        <v>-</v>
      </c>
      <c r="F38" t="str">
        <f>ankomster!J38</f>
        <v>-</v>
      </c>
      <c r="G38" t="str">
        <f>IFERROR(VLOOKUP(F38,Database!$A$2:$L$175,2,FALSE),"-")</f>
        <v>-</v>
      </c>
      <c r="H38" t="str">
        <f>ankomster!O38</f>
        <v>-</v>
      </c>
      <c r="I38" t="str">
        <f>IFERROR(VLOOKUP(H38,Database!$A$2:$L$175,2,FALSE),"-")</f>
        <v>-</v>
      </c>
      <c r="J38" s="76" t="str">
        <f>ankomster!T38</f>
        <v>-</v>
      </c>
      <c r="K38" t="str">
        <f>IFERROR(VLOOKUP(J38,Database!$A$2:$L$175,2,FALSE),"-")</f>
        <v>-</v>
      </c>
      <c r="L38">
        <f>ankomster!Y38</f>
        <v>12</v>
      </c>
      <c r="M38" t="str">
        <f>IFERROR(VLOOKUP(L38,Database!$A$2:$L$175,2,FALSE),"-")</f>
        <v>Stig Prehn</v>
      </c>
    </row>
    <row r="39" spans="1:13" x14ac:dyDescent="0.35">
      <c r="A39" s="24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IFERROR(VLOOKUP(D39,Database!$A$2:$L$175,2,FALSE),"-")</f>
        <v>-</v>
      </c>
      <c r="F39" t="str">
        <f>ankomster!J39</f>
        <v>-</v>
      </c>
      <c r="G39" t="str">
        <f>IFERROR(VLOOKUP(F39,Database!$A$2:$L$175,2,FALSE),"-")</f>
        <v>-</v>
      </c>
      <c r="H39">
        <f>ankomster!O39</f>
        <v>27</v>
      </c>
      <c r="I39" t="str">
        <f>IFERROR(VLOOKUP(H39,Database!$A$2:$L$175,2,FALSE),"-")</f>
        <v>Eigil Holm Nielsen</v>
      </c>
      <c r="J39" s="76" t="str">
        <f>ankomster!T39</f>
        <v>-</v>
      </c>
      <c r="K39" t="str">
        <f>IFERROR(VLOOKUP(J39,Database!$A$2:$L$175,2,FALSE),"-")</f>
        <v>-</v>
      </c>
      <c r="L39" t="str">
        <f>ankomster!Y39</f>
        <v>-</v>
      </c>
      <c r="M39" t="str">
        <f>IFERROR(VLOOKUP(L39,Database!$A$2:$L$175,2,FALSE),"-")</f>
        <v>-</v>
      </c>
    </row>
    <row r="40" spans="1:13" x14ac:dyDescent="0.35">
      <c r="A40" s="24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IFERROR(VLOOKUP(D40,Database!$A$2:$L$175,2,FALSE),"-")</f>
        <v>-</v>
      </c>
      <c r="F40" t="str">
        <f>ankomster!J40</f>
        <v>-</v>
      </c>
      <c r="G40" t="str">
        <f>IFERROR(VLOOKUP(F40,Database!$A$2:$L$175,2,FALSE),"-")</f>
        <v>-</v>
      </c>
      <c r="H40" t="str">
        <f>ankomster!O40</f>
        <v>-</v>
      </c>
      <c r="I40" t="str">
        <f>IFERROR(VLOOKUP(H40,Database!$A$2:$L$175,2,FALSE),"-")</f>
        <v>-</v>
      </c>
      <c r="J40" s="76">
        <f>ankomster!T40</f>
        <v>116</v>
      </c>
      <c r="K40" t="str">
        <f>IFERROR(VLOOKUP(J40,Database!$A$2:$L$175,2,FALSE),"-")</f>
        <v>Lucas Larsen</v>
      </c>
      <c r="L40" t="str">
        <f>ankomster!Y40</f>
        <v>-</v>
      </c>
      <c r="M40" t="str">
        <f>IFERROR(VLOOKUP(L40,Database!$A$2:$L$175,2,FALSE),"-")</f>
        <v>-</v>
      </c>
    </row>
    <row r="41" spans="1:13" x14ac:dyDescent="0.35">
      <c r="A41" s="24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IFERROR(VLOOKUP(D41,Database!$A$2:$L$175,2,FALSE),"-")</f>
        <v>Sanne Østrup</v>
      </c>
      <c r="F41">
        <f>ankomster!J41</f>
        <v>6</v>
      </c>
      <c r="G41" t="str">
        <f>IFERROR(VLOOKUP(F41,Database!$A$2:$L$175,2,FALSE),"-")</f>
        <v>Sanne Østrup</v>
      </c>
      <c r="H41" t="str">
        <f>ankomster!O41</f>
        <v>-</v>
      </c>
      <c r="I41" t="str">
        <f>IFERROR(VLOOKUP(H41,Database!$A$2:$L$175,2,FALSE),"-")</f>
        <v>-</v>
      </c>
      <c r="J41" s="76" t="str">
        <f>ankomster!T41</f>
        <v>-</v>
      </c>
      <c r="K41" t="str">
        <f>IFERROR(VLOOKUP(J41,Database!$A$2:$L$175,2,FALSE),"-")</f>
        <v>-</v>
      </c>
      <c r="L41" t="str">
        <f>ankomster!Y41</f>
        <v>-</v>
      </c>
      <c r="M41" t="str">
        <f>IFERROR(VLOOKUP(L41,Database!$A$2:$L$175,2,FALSE),"-")</f>
        <v>-</v>
      </c>
    </row>
    <row r="42" spans="1:13" x14ac:dyDescent="0.35">
      <c r="A42" s="24">
        <v>46179</v>
      </c>
      <c r="B42" t="str">
        <f>ankomster!A42</f>
        <v>lørdag</v>
      </c>
      <c r="C42" t="str">
        <f>ankomster!D42</f>
        <v>Y</v>
      </c>
      <c r="D42" t="str">
        <f>ankomster!E42</f>
        <v>-</v>
      </c>
      <c r="E42" t="str">
        <f>IFERROR(VLOOKUP(D42,Database!$A$2:$L$175,2,FALSE),"-")</f>
        <v>-</v>
      </c>
      <c r="F42" t="str">
        <f>ankomster!J42</f>
        <v>-</v>
      </c>
      <c r="G42" t="str">
        <f>IFERROR(VLOOKUP(F42,Database!$A$2:$L$175,2,FALSE),"-")</f>
        <v>-</v>
      </c>
      <c r="H42" t="str">
        <f>ankomster!O42</f>
        <v>-</v>
      </c>
      <c r="I42" t="str">
        <f>IFERROR(VLOOKUP(H42,Database!$A$2:$L$175,2,FALSE),"-")</f>
        <v>-</v>
      </c>
      <c r="J42" s="76" t="str">
        <f>ankomster!T42</f>
        <v>-</v>
      </c>
      <c r="K42" t="str">
        <f>IFERROR(VLOOKUP(J42,Database!$A$2:$L$175,2,FALSE),"-")</f>
        <v>-</v>
      </c>
      <c r="L42">
        <f>ankomster!Y42</f>
        <v>119</v>
      </c>
      <c r="M42" t="str">
        <f>IFERROR(VLOOKUP(L42,Database!$A$2:$L$175,2,FALSE),"-")</f>
        <v>Thomas Negrini</v>
      </c>
    </row>
    <row r="43" spans="1:13" x14ac:dyDescent="0.35">
      <c r="A43" s="24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IFERROR(VLOOKUP(D43,Database!$A$2:$L$175,2,FALSE),"-")</f>
        <v>-</v>
      </c>
      <c r="F43" t="str">
        <f>ankomster!J43</f>
        <v>-</v>
      </c>
      <c r="G43" t="str">
        <f>IFERROR(VLOOKUP(F43,Database!$A$2:$L$175,2,FALSE),"-")</f>
        <v>-</v>
      </c>
      <c r="H43" t="str">
        <f>ankomster!O43</f>
        <v>-</v>
      </c>
      <c r="I43" t="str">
        <f>IFERROR(VLOOKUP(H43,Database!$A$2:$L$175,2,FALSE),"-")</f>
        <v>-</v>
      </c>
      <c r="J43" s="76" t="str">
        <f>ankomster!T43</f>
        <v>-</v>
      </c>
      <c r="K43" t="str">
        <f>IFERROR(VLOOKUP(J43,Database!$A$2:$L$175,2,FALSE),"-")</f>
        <v>-</v>
      </c>
      <c r="L43" t="str">
        <f>ankomster!Y43</f>
        <v>-</v>
      </c>
      <c r="M43" t="str">
        <f>IFERROR(VLOOKUP(L43,Database!$A$2:$L$175,2,FALSE),"-")</f>
        <v>-</v>
      </c>
    </row>
    <row r="44" spans="1:13" x14ac:dyDescent="0.35">
      <c r="A44" s="24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IFERROR(VLOOKUP(D44,Database!$A$2:$L$175,2,FALSE),"-")</f>
        <v>-</v>
      </c>
      <c r="F44">
        <f>ankomster!J44</f>
        <v>17</v>
      </c>
      <c r="G44" t="str">
        <f>IFERROR(VLOOKUP(F44,Database!$A$2:$L$175,2,FALSE),"-")</f>
        <v>Lars Thaarbøl</v>
      </c>
      <c r="H44" t="str">
        <f>ankomster!O44</f>
        <v>-</v>
      </c>
      <c r="I44" t="str">
        <f>IFERROR(VLOOKUP(H44,Database!$A$2:$L$175,2,FALSE),"-")</f>
        <v>-</v>
      </c>
      <c r="J44" s="76">
        <f>ankomster!T44</f>
        <v>15</v>
      </c>
      <c r="K44" t="str">
        <f>IFERROR(VLOOKUP(J44,Database!$A$2:$L$175,2,FALSE),"-")</f>
        <v>Niels Kaalund</v>
      </c>
      <c r="L44" t="str">
        <f>ankomster!Y44</f>
        <v>-</v>
      </c>
      <c r="M44" t="str">
        <f>IFERROR(VLOOKUP(L44,Database!$A$2:$L$175,2,FALSE),"-")</f>
        <v>-</v>
      </c>
    </row>
    <row r="45" spans="1:13" x14ac:dyDescent="0.35">
      <c r="A45" s="24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IFERROR(VLOOKUP(D45,Database!$A$2:$L$175,2,FALSE),"-")</f>
        <v>Gitte Horup</v>
      </c>
      <c r="F45" t="str">
        <f>ankomster!J45</f>
        <v>-</v>
      </c>
      <c r="G45" t="str">
        <f>IFERROR(VLOOKUP(F45,Database!$A$2:$L$175,2,FALSE),"-")</f>
        <v>-</v>
      </c>
      <c r="H45">
        <f>ankomster!O45</f>
        <v>18</v>
      </c>
      <c r="I45" t="str">
        <f>IFERROR(VLOOKUP(H45,Database!$A$2:$L$175,2,FALSE),"-")</f>
        <v>Dorte Strøm</v>
      </c>
      <c r="J45" s="76" t="str">
        <f>ankomster!T45</f>
        <v>-</v>
      </c>
      <c r="K45" t="str">
        <f>IFERROR(VLOOKUP(J45,Database!$A$2:$L$175,2,FALSE),"-")</f>
        <v>-</v>
      </c>
      <c r="L45">
        <f>ankomster!Y45</f>
        <v>16</v>
      </c>
      <c r="M45" t="str">
        <f>IFERROR(VLOOKUP(L45,Database!$A$2:$L$175,2,FALSE),"-")</f>
        <v>Gitte Horup</v>
      </c>
    </row>
    <row r="46" spans="1:13" x14ac:dyDescent="0.35">
      <c r="A46" s="24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IFERROR(VLOOKUP(D46,Database!$A$2:$L$175,2,FALSE),"-")</f>
        <v>-</v>
      </c>
      <c r="F46" t="str">
        <f>ankomster!J46</f>
        <v>-</v>
      </c>
      <c r="G46" t="str">
        <f>IFERROR(VLOOKUP(F46,Database!$A$2:$L$175,2,FALSE),"-")</f>
        <v>-</v>
      </c>
      <c r="H46" t="str">
        <f>ankomster!O46</f>
        <v>-</v>
      </c>
      <c r="I46" t="str">
        <f>IFERROR(VLOOKUP(H46,Database!$A$2:$L$175,2,FALSE),"-")</f>
        <v>-</v>
      </c>
      <c r="J46" s="76" t="str">
        <f>ankomster!T46</f>
        <v>-</v>
      </c>
      <c r="K46" t="str">
        <f>IFERROR(VLOOKUP(J46,Database!$A$2:$L$175,2,FALSE),"-")</f>
        <v>-</v>
      </c>
      <c r="L46" t="str">
        <f>ankomster!Y46</f>
        <v>-</v>
      </c>
      <c r="M46" t="str">
        <f>IFERROR(VLOOKUP(L46,Database!$A$2:$L$175,2,FALSE),"-")</f>
        <v>-</v>
      </c>
    </row>
    <row r="47" spans="1:13" x14ac:dyDescent="0.35">
      <c r="A47" s="24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IFERROR(VLOOKUP(D47,Database!$A$2:$L$175,2,FALSE),"-")</f>
        <v>-</v>
      </c>
      <c r="F47" t="str">
        <f>ankomster!J47</f>
        <v>-</v>
      </c>
      <c r="G47" t="str">
        <f>IFERROR(VLOOKUP(F47,Database!$A$2:$L$175,2,FALSE),"-")</f>
        <v>-</v>
      </c>
      <c r="H47" t="str">
        <f>ankomster!O47</f>
        <v>-</v>
      </c>
      <c r="I47" t="str">
        <f>IFERROR(VLOOKUP(H47,Database!$A$2:$L$175,2,FALSE),"-")</f>
        <v>-</v>
      </c>
      <c r="J47" s="76" t="str">
        <f>ankomster!T47</f>
        <v>-</v>
      </c>
      <c r="K47" t="str">
        <f>IFERROR(VLOOKUP(J47,Database!$A$2:$L$175,2,FALSE),"-")</f>
        <v>-</v>
      </c>
      <c r="L47" t="str">
        <f>ankomster!Y47</f>
        <v>-</v>
      </c>
      <c r="M47" t="str">
        <f>IFERROR(VLOOKUP(L47,Database!$A$2:$L$175,2,FALSE),"-")</f>
        <v>-</v>
      </c>
    </row>
    <row r="48" spans="1:13" x14ac:dyDescent="0.35">
      <c r="A48" s="24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IFERROR(VLOOKUP(D48,Database!$A$2:$L$175,2,FALSE),"-")</f>
        <v>-</v>
      </c>
      <c r="F48" t="str">
        <f>ankomster!J48</f>
        <v>-</v>
      </c>
      <c r="G48" t="str">
        <f>IFERROR(VLOOKUP(F48,Database!$A$2:$L$175,2,FALSE),"-")</f>
        <v>-</v>
      </c>
      <c r="H48" t="str">
        <f>ankomster!O48</f>
        <v>-</v>
      </c>
      <c r="I48" t="str">
        <f>IFERROR(VLOOKUP(H48,Database!$A$2:$L$175,2,FALSE),"-")</f>
        <v>-</v>
      </c>
      <c r="J48" s="76" t="str">
        <f>ankomster!T48</f>
        <v>-</v>
      </c>
      <c r="K48" t="str">
        <f>IFERROR(VLOOKUP(J48,Database!$A$2:$L$175,2,FALSE),"-")</f>
        <v>-</v>
      </c>
      <c r="L48" t="str">
        <f>ankomster!Y48</f>
        <v>-</v>
      </c>
      <c r="M48" t="str">
        <f>IFERROR(VLOOKUP(L48,Database!$A$2:$L$175,2,FALSE),"-")</f>
        <v>-</v>
      </c>
    </row>
    <row r="49" spans="1:13" x14ac:dyDescent="0.35">
      <c r="A49" s="24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IFERROR(VLOOKUP(D49,Database!$A$2:$L$175,2,FALSE),"-")</f>
        <v>-</v>
      </c>
      <c r="F49" t="str">
        <f>ankomster!J49</f>
        <v>-</v>
      </c>
      <c r="G49" t="str">
        <f>IFERROR(VLOOKUP(F49,Database!$A$2:$L$175,2,FALSE),"-")</f>
        <v>-</v>
      </c>
      <c r="H49" t="str">
        <f>ankomster!O49</f>
        <v>-</v>
      </c>
      <c r="I49" t="str">
        <f>IFERROR(VLOOKUP(H49,Database!$A$2:$L$175,2,FALSE),"-")</f>
        <v>-</v>
      </c>
      <c r="J49" s="76" t="str">
        <f>ankomster!T49</f>
        <v>-</v>
      </c>
      <c r="K49" t="str">
        <f>IFERROR(VLOOKUP(J49,Database!$A$2:$L$175,2,FALSE),"-")</f>
        <v>-</v>
      </c>
      <c r="L49" t="str">
        <f>ankomster!Y49</f>
        <v>-</v>
      </c>
      <c r="M49" t="str">
        <f>IFERROR(VLOOKUP(L49,Database!$A$2:$L$175,2,FALSE),"-")</f>
        <v>-</v>
      </c>
    </row>
    <row r="50" spans="1:13" x14ac:dyDescent="0.35">
      <c r="A50" s="24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IFERROR(VLOOKUP(D50,Database!$A$2:$L$175,2,FALSE),"-")</f>
        <v>-</v>
      </c>
      <c r="F50" t="str">
        <f>ankomster!J50</f>
        <v>-</v>
      </c>
      <c r="G50" t="str">
        <f>IFERROR(VLOOKUP(F50,Database!$A$2:$L$175,2,FALSE),"-")</f>
        <v>-</v>
      </c>
      <c r="H50">
        <f>ankomster!O50</f>
        <v>83</v>
      </c>
      <c r="I50" t="str">
        <f>IFERROR(VLOOKUP(H50,Database!$A$2:$L$175,2,FALSE),"-")</f>
        <v>Charlotte Søder</v>
      </c>
      <c r="J50" s="76" t="str">
        <f>ankomster!T50</f>
        <v>-</v>
      </c>
      <c r="K50" t="str">
        <f>IFERROR(VLOOKUP(J50,Database!$A$2:$L$175,2,FALSE),"-")</f>
        <v>-</v>
      </c>
      <c r="L50" t="str">
        <f>ankomster!Y50</f>
        <v>-</v>
      </c>
      <c r="M50" t="str">
        <f>IFERROR(VLOOKUP(L50,Database!$A$2:$L$175,2,FALSE),"-")</f>
        <v>-</v>
      </c>
    </row>
    <row r="51" spans="1:13" x14ac:dyDescent="0.35">
      <c r="A51" s="24">
        <v>46188</v>
      </c>
      <c r="B51" t="str">
        <f>ankomster!A51</f>
        <v>mandag</v>
      </c>
      <c r="C51" t="str">
        <f>ankomster!D51</f>
        <v>Y</v>
      </c>
      <c r="D51" t="str">
        <f>ankomster!E51</f>
        <v>-</v>
      </c>
      <c r="E51" t="str">
        <f>IFERROR(VLOOKUP(D51,Database!$A$2:$L$175,2,FALSE),"-")</f>
        <v>-</v>
      </c>
      <c r="F51" t="str">
        <f>ankomster!J51</f>
        <v>-</v>
      </c>
      <c r="G51" t="str">
        <f>IFERROR(VLOOKUP(F51,Database!$A$2:$L$175,2,FALSE),"-")</f>
        <v>-</v>
      </c>
      <c r="H51" t="str">
        <f>ankomster!O51</f>
        <v>-</v>
      </c>
      <c r="I51" t="str">
        <f>IFERROR(VLOOKUP(H51,Database!$A$2:$L$175,2,FALSE),"-")</f>
        <v>-</v>
      </c>
      <c r="J51" s="76">
        <f>ankomster!T51</f>
        <v>70</v>
      </c>
      <c r="K51" t="str">
        <f>IFERROR(VLOOKUP(J51,Database!$A$2:$L$175,2,FALSE),"-")</f>
        <v>Jan Andersen</v>
      </c>
      <c r="L51">
        <f>ankomster!Y51</f>
        <v>86</v>
      </c>
      <c r="M51" t="str">
        <f>IFERROR(VLOOKUP(L51,Database!$A$2:$L$175,2,FALSE),"-")</f>
        <v>Peter Baberowski</v>
      </c>
    </row>
    <row r="52" spans="1:13" x14ac:dyDescent="0.35">
      <c r="A52" s="24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IFERROR(VLOOKUP(D52,Database!$A$2:$L$175,2,FALSE),"-")</f>
        <v>-</v>
      </c>
      <c r="F52" t="str">
        <f>ankomster!J52</f>
        <v>-</v>
      </c>
      <c r="G52" t="str">
        <f>IFERROR(VLOOKUP(F52,Database!$A$2:$L$175,2,FALSE),"-")</f>
        <v>-</v>
      </c>
      <c r="H52" t="str">
        <f>ankomster!O52</f>
        <v>-</v>
      </c>
      <c r="I52" t="str">
        <f>IFERROR(VLOOKUP(H52,Database!$A$2:$L$175,2,FALSE),"-")</f>
        <v>-</v>
      </c>
      <c r="J52" s="76" t="str">
        <f>ankomster!T52</f>
        <v>-</v>
      </c>
      <c r="K52" t="str">
        <f>IFERROR(VLOOKUP(J52,Database!$A$2:$L$175,2,FALSE),"-")</f>
        <v>-</v>
      </c>
      <c r="L52" t="str">
        <f>ankomster!Y52</f>
        <v>-</v>
      </c>
      <c r="M52" t="str">
        <f>IFERROR(VLOOKUP(L52,Database!$A$2:$L$175,2,FALSE),"-")</f>
        <v>-</v>
      </c>
    </row>
    <row r="53" spans="1:13" x14ac:dyDescent="0.35">
      <c r="A53" s="24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IFERROR(VLOOKUP(D53,Database!$A$2:$L$175,2,FALSE),"-")</f>
        <v>Kaj Henriksen</v>
      </c>
      <c r="F53" t="str">
        <f>ankomster!J53</f>
        <v>-</v>
      </c>
      <c r="G53" t="str">
        <f>IFERROR(VLOOKUP(F53,Database!$A$2:$L$175,2,FALSE),"-")</f>
        <v>-</v>
      </c>
      <c r="H53" t="str">
        <f>ankomster!O53</f>
        <v>-</v>
      </c>
      <c r="I53" t="str">
        <f>IFERROR(VLOOKUP(H53,Database!$A$2:$L$175,2,FALSE),"-")</f>
        <v>-</v>
      </c>
      <c r="J53" s="76" t="str">
        <f>ankomster!T53</f>
        <v>-</v>
      </c>
      <c r="K53" t="str">
        <f>IFERROR(VLOOKUP(J53,Database!$A$2:$L$175,2,FALSE),"-")</f>
        <v>-</v>
      </c>
      <c r="L53" t="str">
        <f>ankomster!Y53</f>
        <v>-</v>
      </c>
      <c r="M53" t="str">
        <f>IFERROR(VLOOKUP(L53,Database!$A$2:$L$175,2,FALSE),"-")</f>
        <v>-</v>
      </c>
    </row>
    <row r="54" spans="1:13" x14ac:dyDescent="0.35">
      <c r="A54" s="24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IFERROR(VLOOKUP(D54,Database!$A$2:$L$175,2,FALSE),"-")</f>
        <v>-</v>
      </c>
      <c r="F54" t="str">
        <f>ankomster!J54</f>
        <v>-</v>
      </c>
      <c r="G54" t="str">
        <f>IFERROR(VLOOKUP(F54,Database!$A$2:$L$175,2,FALSE),"-")</f>
        <v>-</v>
      </c>
      <c r="H54" t="str">
        <f>ankomster!O54</f>
        <v>-</v>
      </c>
      <c r="I54" t="str">
        <f>IFERROR(VLOOKUP(H54,Database!$A$2:$L$175,2,FALSE),"-")</f>
        <v>-</v>
      </c>
      <c r="J54" s="76" t="str">
        <f>ankomster!T54</f>
        <v>-</v>
      </c>
      <c r="K54" t="str">
        <f>IFERROR(VLOOKUP(J54,Database!$A$2:$L$175,2,FALSE),"-")</f>
        <v>-</v>
      </c>
      <c r="L54" t="str">
        <f>ankomster!Y54</f>
        <v>-</v>
      </c>
      <c r="M54" t="str">
        <f>IFERROR(VLOOKUP(L54,Database!$A$2:$L$175,2,FALSE),"-")</f>
        <v>-</v>
      </c>
    </row>
    <row r="55" spans="1:13" x14ac:dyDescent="0.35">
      <c r="A55" s="24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IFERROR(VLOOKUP(D55,Database!$A$2:$L$175,2,FALSE),"-")</f>
        <v>-</v>
      </c>
      <c r="F55">
        <f>ankomster!J55</f>
        <v>109</v>
      </c>
      <c r="G55" t="str">
        <f>IFERROR(VLOOKUP(F55,Database!$A$2:$L$175,2,FALSE),"-")</f>
        <v>Soeren Tetzner</v>
      </c>
      <c r="H55">
        <f>ankomster!O55</f>
        <v>56</v>
      </c>
      <c r="I55" t="str">
        <f>IFERROR(VLOOKUP(H55,Database!$A$2:$L$175,2,FALSE),"-")</f>
        <v>Tage Ebbensgaard</v>
      </c>
      <c r="J55" s="76" t="str">
        <f>ankomster!T55</f>
        <v>-</v>
      </c>
      <c r="K55" t="str">
        <f>IFERROR(VLOOKUP(J55,Database!$A$2:$L$175,2,FALSE),"-")</f>
        <v>-</v>
      </c>
      <c r="L55" t="str">
        <f>ankomster!Y55</f>
        <v>-</v>
      </c>
      <c r="M55" t="str">
        <f>IFERROR(VLOOKUP(L55,Database!$A$2:$L$175,2,FALSE),"-")</f>
        <v>-</v>
      </c>
    </row>
    <row r="56" spans="1:13" x14ac:dyDescent="0.35">
      <c r="A56" s="24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IFERROR(VLOOKUP(D56,Database!$A$2:$L$175,2,FALSE),"-")</f>
        <v>-</v>
      </c>
      <c r="F56" t="str">
        <f>ankomster!J56</f>
        <v>-</v>
      </c>
      <c r="G56" t="str">
        <f>IFERROR(VLOOKUP(F56,Database!$A$2:$L$175,2,FALSE),"-")</f>
        <v>-</v>
      </c>
      <c r="H56" t="str">
        <f>ankomster!O56</f>
        <v>-</v>
      </c>
      <c r="I56" t="str">
        <f>IFERROR(VLOOKUP(H56,Database!$A$2:$L$175,2,FALSE),"-")</f>
        <v>-</v>
      </c>
      <c r="J56" s="76" t="str">
        <f>ankomster!T56</f>
        <v>-</v>
      </c>
      <c r="K56" t="str">
        <f>IFERROR(VLOOKUP(J56,Database!$A$2:$L$175,2,FALSE),"-")</f>
        <v>-</v>
      </c>
      <c r="L56" t="str">
        <f>ankomster!Y56</f>
        <v>-</v>
      </c>
      <c r="M56" t="str">
        <f>IFERROR(VLOOKUP(L56,Database!$A$2:$L$175,2,FALSE),"-")</f>
        <v>-</v>
      </c>
    </row>
    <row r="57" spans="1:13" x14ac:dyDescent="0.35">
      <c r="A57" s="24">
        <v>46194</v>
      </c>
      <c r="B57" t="str">
        <f>ankomster!A57</f>
        <v>søndag</v>
      </c>
      <c r="C57" t="str">
        <f>ankomster!D57</f>
        <v>-</v>
      </c>
      <c r="D57" t="str">
        <f>ankomster!E57</f>
        <v>-</v>
      </c>
      <c r="E57" t="str">
        <f>IFERROR(VLOOKUP(D57,Database!$A$2:$L$175,2,FALSE),"-")</f>
        <v>-</v>
      </c>
      <c r="F57" t="str">
        <f>ankomster!J57</f>
        <v>-</v>
      </c>
      <c r="G57" t="str">
        <f>IFERROR(VLOOKUP(F57,Database!$A$2:$L$175,2,FALSE),"-")</f>
        <v>-</v>
      </c>
      <c r="H57" t="str">
        <f>ankomster!O57</f>
        <v>-</v>
      </c>
      <c r="I57" t="str">
        <f>IFERROR(VLOOKUP(H57,Database!$A$2:$L$175,2,FALSE),"-")</f>
        <v>-</v>
      </c>
      <c r="J57" s="76" t="str">
        <f>ankomster!T57</f>
        <v>-</v>
      </c>
      <c r="K57" t="str">
        <f>IFERROR(VLOOKUP(J57,Database!$A$2:$L$175,2,FALSE),"-")</f>
        <v>-</v>
      </c>
      <c r="L57" t="str">
        <f>ankomster!Y57</f>
        <v>-</v>
      </c>
      <c r="M57" t="str">
        <f>IFERROR(VLOOKUP(L57,Database!$A$2:$L$175,2,FALSE),"-")</f>
        <v>-</v>
      </c>
    </row>
    <row r="58" spans="1:13" x14ac:dyDescent="0.35">
      <c r="A58" s="24">
        <v>46195</v>
      </c>
      <c r="B58" t="str">
        <f>ankomster!A58</f>
        <v>mandag</v>
      </c>
      <c r="C58" t="str">
        <f>ankomster!D58</f>
        <v>Y</v>
      </c>
      <c r="D58" t="str">
        <f>ankomster!E58</f>
        <v>-</v>
      </c>
      <c r="E58" t="str">
        <f>IFERROR(VLOOKUP(D58,Database!$A$2:$L$175,2,FALSE),"-")</f>
        <v>-</v>
      </c>
      <c r="F58">
        <f>ankomster!J58</f>
        <v>112</v>
      </c>
      <c r="G58" t="str">
        <f>IFERROR(VLOOKUP(F58,Database!$A$2:$L$175,2,FALSE),"-")</f>
        <v>Jytte Nielsen</v>
      </c>
      <c r="H58" t="str">
        <f>ankomster!O58</f>
        <v>-</v>
      </c>
      <c r="I58" t="str">
        <f>IFERROR(VLOOKUP(H58,Database!$A$2:$L$175,2,FALSE),"-")</f>
        <v>-</v>
      </c>
      <c r="J58" s="76">
        <f>ankomster!T58</f>
        <v>37</v>
      </c>
      <c r="K58" t="str">
        <f>IFERROR(VLOOKUP(J58,Database!$A$2:$L$175,2,FALSE),"-")</f>
        <v>Lene Fuglevig</v>
      </c>
      <c r="L58" t="str">
        <f>ankomster!Y58</f>
        <v>-</v>
      </c>
      <c r="M58" t="str">
        <f>IFERROR(VLOOKUP(L58,Database!$A$2:$L$175,2,FALSE),"-")</f>
        <v>-</v>
      </c>
    </row>
    <row r="59" spans="1:13" x14ac:dyDescent="0.35">
      <c r="A59" s="24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IFERROR(VLOOKUP(D59,Database!$A$2:$L$175,2,FALSE),"-")</f>
        <v>-</v>
      </c>
      <c r="F59" t="str">
        <f>ankomster!J59</f>
        <v>-</v>
      </c>
      <c r="G59" t="str">
        <f>IFERROR(VLOOKUP(F59,Database!$A$2:$L$175,2,FALSE),"-")</f>
        <v>-</v>
      </c>
      <c r="H59" t="str">
        <f>ankomster!O59</f>
        <v>-</v>
      </c>
      <c r="I59" t="str">
        <f>IFERROR(VLOOKUP(H59,Database!$A$2:$L$175,2,FALSE),"-")</f>
        <v>-</v>
      </c>
      <c r="J59" s="76" t="str">
        <f>ankomster!T59</f>
        <v>-</v>
      </c>
      <c r="K59" t="str">
        <f>IFERROR(VLOOKUP(J59,Database!$A$2:$L$175,2,FALSE),"-")</f>
        <v>-</v>
      </c>
      <c r="L59" t="str">
        <f>ankomster!Y59</f>
        <v>-</v>
      </c>
      <c r="M59" t="str">
        <f>IFERROR(VLOOKUP(L59,Database!$A$2:$L$175,2,FALSE),"-")</f>
        <v>-</v>
      </c>
    </row>
    <row r="60" spans="1:13" x14ac:dyDescent="0.35">
      <c r="A60" s="24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IFERROR(VLOOKUP(D60,Database!$A$2:$L$175,2,FALSE),"-")</f>
        <v>-</v>
      </c>
      <c r="F60" t="str">
        <f>ankomster!J60</f>
        <v>-</v>
      </c>
      <c r="G60" t="str">
        <f>IFERROR(VLOOKUP(F60,Database!$A$2:$L$175,2,FALSE),"-")</f>
        <v>-</v>
      </c>
      <c r="H60" t="str">
        <f>ankomster!O60</f>
        <v>-</v>
      </c>
      <c r="I60" t="str">
        <f>IFERROR(VLOOKUP(H60,Database!$A$2:$L$175,2,FALSE),"-")</f>
        <v>-</v>
      </c>
      <c r="J60" s="76" t="str">
        <f>ankomster!T60</f>
        <v>-</v>
      </c>
      <c r="K60" t="str">
        <f>IFERROR(VLOOKUP(J60,Database!$A$2:$L$175,2,FALSE),"-")</f>
        <v>-</v>
      </c>
      <c r="L60" t="str">
        <f>ankomster!Y60</f>
        <v>-</v>
      </c>
      <c r="M60" t="str">
        <f>IFERROR(VLOOKUP(L60,Database!$A$2:$L$175,2,FALSE),"-")</f>
        <v>-</v>
      </c>
    </row>
    <row r="61" spans="1:13" x14ac:dyDescent="0.35">
      <c r="A61" s="24">
        <v>46198</v>
      </c>
      <c r="B61" t="str">
        <f>ankomster!A61</f>
        <v>torsdag</v>
      </c>
      <c r="C61" t="str">
        <f>ankomster!D61</f>
        <v>Y</v>
      </c>
      <c r="D61" t="str">
        <f>ankomster!E61</f>
        <v>-</v>
      </c>
      <c r="E61" t="str">
        <f>IFERROR(VLOOKUP(D61,Database!$A$2:$L$175,2,FALSE),"-")</f>
        <v>-</v>
      </c>
      <c r="F61" t="str">
        <f>ankomster!J61</f>
        <v>-</v>
      </c>
      <c r="G61" t="str">
        <f>IFERROR(VLOOKUP(F61,Database!$A$2:$L$175,2,FALSE),"-")</f>
        <v>-</v>
      </c>
      <c r="H61">
        <f>ankomster!O61</f>
        <v>34</v>
      </c>
      <c r="I61" t="str">
        <f>IFERROR(VLOOKUP(H61,Database!$A$2:$L$175,2,FALSE),"-")</f>
        <v>Fred Pergande</v>
      </c>
      <c r="J61" s="76">
        <f>ankomster!T61</f>
        <v>64</v>
      </c>
      <c r="K61" t="str">
        <f>IFERROR(VLOOKUP(J61,Database!$A$2:$L$175,2,FALSE),"-")</f>
        <v>Elonor Skog</v>
      </c>
      <c r="L61" t="str">
        <f>ankomster!Y61</f>
        <v>-</v>
      </c>
      <c r="M61" t="str">
        <f>IFERROR(VLOOKUP(L61,Database!$A$2:$L$175,2,FALSE),"-")</f>
        <v>-</v>
      </c>
    </row>
    <row r="62" spans="1:13" x14ac:dyDescent="0.35">
      <c r="A62" s="24">
        <v>46199</v>
      </c>
      <c r="B62" t="str">
        <f>ankomster!A62</f>
        <v>fredag</v>
      </c>
      <c r="C62" t="str">
        <f>ankomster!D62</f>
        <v>Y</v>
      </c>
      <c r="D62">
        <f>ankomster!E62</f>
        <v>87</v>
      </c>
      <c r="E62" t="str">
        <f>IFERROR(VLOOKUP(D62,Database!$A$2:$L$175,2,FALSE),"-")</f>
        <v>Matthias Jaeger</v>
      </c>
      <c r="F62">
        <f>ankomster!J62</f>
        <v>61</v>
      </c>
      <c r="G62" t="str">
        <f>IFERROR(VLOOKUP(F62,Database!$A$2:$L$175,2,FALSE),"-")</f>
        <v>Hans-Peter Könitzer</v>
      </c>
      <c r="H62" t="str">
        <f>ankomster!O62</f>
        <v>-</v>
      </c>
      <c r="I62" t="str">
        <f>IFERROR(VLOOKUP(H62,Database!$A$2:$L$175,2,FALSE),"-")</f>
        <v>-</v>
      </c>
      <c r="J62" s="76" t="str">
        <f>ankomster!T62</f>
        <v>-</v>
      </c>
      <c r="K62" t="str">
        <f>IFERROR(VLOOKUP(J62,Database!$A$2:$L$175,2,FALSE),"-")</f>
        <v>-</v>
      </c>
      <c r="L62" t="str">
        <f>ankomster!Y62</f>
        <v>-</v>
      </c>
      <c r="M62" t="str">
        <f>IFERROR(VLOOKUP(L62,Database!$A$2:$L$175,2,FALSE),"-")</f>
        <v>-</v>
      </c>
    </row>
    <row r="63" spans="1:13" x14ac:dyDescent="0.35">
      <c r="A63" s="24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IFERROR(VLOOKUP(D63,Database!$A$2:$L$175,2,FALSE),"-")</f>
        <v>-</v>
      </c>
      <c r="F63" t="str">
        <f>ankomster!J63</f>
        <v>-</v>
      </c>
      <c r="G63" t="str">
        <f>IFERROR(VLOOKUP(F63,Database!$A$2:$L$175,2,FALSE),"-")</f>
        <v>-</v>
      </c>
      <c r="H63" t="str">
        <f>ankomster!O63</f>
        <v>-</v>
      </c>
      <c r="I63" t="str">
        <f>IFERROR(VLOOKUP(H63,Database!$A$2:$L$175,2,FALSE),"-")</f>
        <v>-</v>
      </c>
      <c r="J63" s="76" t="str">
        <f>ankomster!T63</f>
        <v>-</v>
      </c>
      <c r="K63" t="str">
        <f>IFERROR(VLOOKUP(J63,Database!$A$2:$L$175,2,FALSE),"-")</f>
        <v>-</v>
      </c>
      <c r="L63">
        <f>ankomster!Y63</f>
        <v>77</v>
      </c>
      <c r="M63" t="str">
        <f>IFERROR(VLOOKUP(L63,Database!$A$2:$L$175,2,FALSE),"-")</f>
        <v>Stig Ravnkilde Erichsen</v>
      </c>
    </row>
    <row r="64" spans="1:13" x14ac:dyDescent="0.35">
      <c r="A64" s="24">
        <v>46201</v>
      </c>
      <c r="B64" t="str">
        <f>ankomster!A64</f>
        <v>søndag</v>
      </c>
      <c r="C64" t="str">
        <f>ankomster!D64</f>
        <v>-</v>
      </c>
      <c r="D64" t="str">
        <f>ankomster!E64</f>
        <v>-</v>
      </c>
      <c r="E64" t="str">
        <f>IFERROR(VLOOKUP(D64,Database!$A$2:$L$175,2,FALSE),"-")</f>
        <v>-</v>
      </c>
      <c r="F64" t="str">
        <f>ankomster!J64</f>
        <v>-</v>
      </c>
      <c r="G64" t="str">
        <f>IFERROR(VLOOKUP(F64,Database!$A$2:$L$175,2,FALSE),"-")</f>
        <v>-</v>
      </c>
      <c r="H64" t="str">
        <f>ankomster!O64</f>
        <v>-</v>
      </c>
      <c r="I64" t="str">
        <f>IFERROR(VLOOKUP(H64,Database!$A$2:$L$175,2,FALSE),"-")</f>
        <v>-</v>
      </c>
      <c r="J64" s="76" t="str">
        <f>ankomster!T64</f>
        <v>-</v>
      </c>
      <c r="K64" t="str">
        <f>IFERROR(VLOOKUP(J64,Database!$A$2:$L$175,2,FALSE),"-")</f>
        <v>-</v>
      </c>
      <c r="L64" t="str">
        <f>ankomster!Y64</f>
        <v>-</v>
      </c>
      <c r="M64" t="str">
        <f>IFERROR(VLOOKUP(L64,Database!$A$2:$L$175,2,FALSE),"-")</f>
        <v>-</v>
      </c>
    </row>
    <row r="65" spans="1:13" x14ac:dyDescent="0.35">
      <c r="A65" s="24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IFERROR(VLOOKUP(D65,Database!$A$2:$L$175,2,FALSE),"-")</f>
        <v>-</v>
      </c>
      <c r="F65" t="str">
        <f>ankomster!J65</f>
        <v>-</v>
      </c>
      <c r="G65" t="str">
        <f>IFERROR(VLOOKUP(F65,Database!$A$2:$L$175,2,FALSE),"-")</f>
        <v>-</v>
      </c>
      <c r="H65" t="str">
        <f>ankomster!O65</f>
        <v>-</v>
      </c>
      <c r="I65" t="str">
        <f>IFERROR(VLOOKUP(H65,Database!$A$2:$L$175,2,FALSE),"-")</f>
        <v>-</v>
      </c>
      <c r="J65" s="76">
        <f>ankomster!T65</f>
        <v>76</v>
      </c>
      <c r="K65" t="str">
        <f>IFERROR(VLOOKUP(J65,Database!$A$2:$L$175,2,FALSE),"-")</f>
        <v>Karin Nielsen</v>
      </c>
      <c r="L65" t="str">
        <f>ankomster!Y65</f>
        <v>-</v>
      </c>
      <c r="M65" t="str">
        <f>IFERROR(VLOOKUP(L65,Database!$A$2:$L$175,2,FALSE),"-")</f>
        <v>-</v>
      </c>
    </row>
    <row r="66" spans="1:13" x14ac:dyDescent="0.35">
      <c r="A66" s="24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IFERROR(VLOOKUP(D66,Database!$A$2:$L$175,2,FALSE),"-")</f>
        <v>-</v>
      </c>
      <c r="F66" t="str">
        <f>ankomster!J66</f>
        <v>-</v>
      </c>
      <c r="G66" t="str">
        <f>IFERROR(VLOOKUP(F66,Database!$A$2:$L$175,2,FALSE),"-")</f>
        <v>-</v>
      </c>
      <c r="H66" t="str">
        <f>ankomster!O66</f>
        <v>-</v>
      </c>
      <c r="I66" t="str">
        <f>IFERROR(VLOOKUP(H66,Database!$A$2:$L$175,2,FALSE),"-")</f>
        <v>-</v>
      </c>
      <c r="J66" s="76" t="str">
        <f>ankomster!T66</f>
        <v>-</v>
      </c>
      <c r="K66" t="str">
        <f>IFERROR(VLOOKUP(J66,Database!$A$2:$L$175,2,FALSE),"-")</f>
        <v>-</v>
      </c>
      <c r="L66" t="str">
        <f>ankomster!Y66</f>
        <v>-</v>
      </c>
      <c r="M66" t="str">
        <f>IFERROR(VLOOKUP(L66,Database!$A$2:$L$175,2,FALSE),"-")</f>
        <v>-</v>
      </c>
    </row>
    <row r="67" spans="1:13" x14ac:dyDescent="0.35">
      <c r="A67" s="24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IFERROR(VLOOKUP(D67,Database!$A$2:$L$175,2,FALSE),"-")</f>
        <v>-</v>
      </c>
      <c r="F67">
        <f>ankomster!J67</f>
        <v>104</v>
      </c>
      <c r="G67" t="str">
        <f>IFERROR(VLOOKUP(F67,Database!$A$2:$L$175,2,FALSE),"-")</f>
        <v>Jette Frederiksen</v>
      </c>
      <c r="H67" t="str">
        <f>ankomster!O67</f>
        <v>-</v>
      </c>
      <c r="I67" t="str">
        <f>IFERROR(VLOOKUP(H67,Database!$A$2:$L$175,2,FALSE),"-")</f>
        <v>-</v>
      </c>
      <c r="J67" s="76" t="str">
        <f>ankomster!T67</f>
        <v>-</v>
      </c>
      <c r="K67" t="str">
        <f>IFERROR(VLOOKUP(J67,Database!$A$2:$L$175,2,FALSE),"-")</f>
        <v>-</v>
      </c>
      <c r="L67" t="str">
        <f>ankomster!Y67</f>
        <v>-</v>
      </c>
      <c r="M67" t="str">
        <f>IFERROR(VLOOKUP(L67,Database!$A$2:$L$175,2,FALSE),"-")</f>
        <v>-</v>
      </c>
    </row>
    <row r="68" spans="1:13" x14ac:dyDescent="0.35">
      <c r="A68" s="24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IFERROR(VLOOKUP(D68,Database!$A$2:$L$175,2,FALSE),"-")</f>
        <v>Malin Hällblad</v>
      </c>
      <c r="F68" t="str">
        <f>ankomster!J68</f>
        <v>-</v>
      </c>
      <c r="G68" t="str">
        <f>IFERROR(VLOOKUP(F68,Database!$A$2:$L$175,2,FALSE),"-")</f>
        <v>-</v>
      </c>
      <c r="H68" t="str">
        <f>ankomster!O68</f>
        <v>-</v>
      </c>
      <c r="I68" t="str">
        <f>IFERROR(VLOOKUP(H68,Database!$A$2:$L$175,2,FALSE),"-")</f>
        <v>-</v>
      </c>
      <c r="J68" s="76" t="str">
        <f>ankomster!T68</f>
        <v>-</v>
      </c>
      <c r="K68" t="str">
        <f>IFERROR(VLOOKUP(J68,Database!$A$2:$L$175,2,FALSE),"-")</f>
        <v>-</v>
      </c>
      <c r="L68" t="str">
        <f>ankomster!Y68</f>
        <v>-</v>
      </c>
      <c r="M68" t="str">
        <f>IFERROR(VLOOKUP(L68,Database!$A$2:$L$175,2,FALSE),"-")</f>
        <v>-</v>
      </c>
    </row>
    <row r="69" spans="1:13" x14ac:dyDescent="0.35">
      <c r="A69" s="24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IFERROR(VLOOKUP(D69,Database!$A$2:$L$175,2,FALSE),"-")</f>
        <v>-</v>
      </c>
      <c r="F69" t="str">
        <f>ankomster!J69</f>
        <v>-</v>
      </c>
      <c r="G69" t="str">
        <f>IFERROR(VLOOKUP(F69,Database!$A$2:$L$175,2,FALSE),"-")</f>
        <v>-</v>
      </c>
      <c r="H69" t="str">
        <f>ankomster!O69</f>
        <v>-</v>
      </c>
      <c r="I69" t="str">
        <f>IFERROR(VLOOKUP(H69,Database!$A$2:$L$175,2,FALSE),"-")</f>
        <v>-</v>
      </c>
      <c r="J69" s="76">
        <f>ankomster!T69</f>
        <v>14</v>
      </c>
      <c r="K69" t="str">
        <f>IFERROR(VLOOKUP(J69,Database!$A$2:$L$175,2,FALSE),"-")</f>
        <v>Grete Bossenmeyer</v>
      </c>
      <c r="L69" t="str">
        <f>ankomster!Y69</f>
        <v>-</v>
      </c>
      <c r="M69" t="str">
        <f>IFERROR(VLOOKUP(L69,Database!$A$2:$L$175,2,FALSE),"-")</f>
        <v>-</v>
      </c>
    </row>
    <row r="70" spans="1:13" x14ac:dyDescent="0.35">
      <c r="A70" s="24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IFERROR(VLOOKUP(D70,Database!$A$2:$L$175,2,FALSE),"-")</f>
        <v>-</v>
      </c>
      <c r="F70">
        <f>ankomster!J70</f>
        <v>106</v>
      </c>
      <c r="G70" t="str">
        <f>IFERROR(VLOOKUP(F70,Database!$A$2:$L$175,2,FALSE),"-")</f>
        <v>Bolette Olsen</v>
      </c>
      <c r="H70" t="str">
        <f>ankomster!O70</f>
        <v>-</v>
      </c>
      <c r="I70" t="str">
        <f>IFERROR(VLOOKUP(H70,Database!$A$2:$L$175,2,FALSE),"-")</f>
        <v>-</v>
      </c>
      <c r="J70" s="76" t="str">
        <f>ankomster!T70</f>
        <v>-</v>
      </c>
      <c r="K70" t="str">
        <f>IFERROR(VLOOKUP(J70,Database!$A$2:$L$175,2,FALSE),"-")</f>
        <v>-</v>
      </c>
      <c r="L70">
        <f>ankomster!Y70</f>
        <v>7</v>
      </c>
      <c r="M70" t="str">
        <f>IFERROR(VLOOKUP(L70,Database!$A$2:$L$175,2,FALSE),"-")</f>
        <v>Erik Petersen</v>
      </c>
    </row>
    <row r="71" spans="1:13" x14ac:dyDescent="0.35">
      <c r="A71" s="24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IFERROR(VLOOKUP(D71,Database!$A$2:$L$175,2,FALSE),"-")</f>
        <v>-</v>
      </c>
      <c r="F71" t="str">
        <f>ankomster!J71</f>
        <v>-</v>
      </c>
      <c r="G71" t="str">
        <f>IFERROR(VLOOKUP(F71,Database!$A$2:$L$175,2,FALSE),"-")</f>
        <v>-</v>
      </c>
      <c r="H71" t="str">
        <f>ankomster!O71</f>
        <v>-</v>
      </c>
      <c r="I71" t="str">
        <f>IFERROR(VLOOKUP(H71,Database!$A$2:$L$175,2,FALSE),"-")</f>
        <v>-</v>
      </c>
      <c r="J71" s="76" t="str">
        <f>ankomster!T71</f>
        <v>-</v>
      </c>
      <c r="K71" t="str">
        <f>IFERROR(VLOOKUP(J71,Database!$A$2:$L$175,2,FALSE),"-")</f>
        <v>-</v>
      </c>
      <c r="L71" t="str">
        <f>ankomster!Y71</f>
        <v>-</v>
      </c>
      <c r="M71" t="str">
        <f>IFERROR(VLOOKUP(L71,Database!$A$2:$L$175,2,FALSE),"-")</f>
        <v>-</v>
      </c>
    </row>
    <row r="72" spans="1:13" x14ac:dyDescent="0.35">
      <c r="A72" s="24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IFERROR(VLOOKUP(D72,Database!$A$2:$L$175,2,FALSE),"-")</f>
        <v>Henrik Tillebeck</v>
      </c>
      <c r="F72" t="str">
        <f>ankomster!J72</f>
        <v>-</v>
      </c>
      <c r="G72" t="str">
        <f>IFERROR(VLOOKUP(F72,Database!$A$2:$L$175,2,FALSE),"-")</f>
        <v>-</v>
      </c>
      <c r="H72">
        <f>ankomster!O72</f>
        <v>36</v>
      </c>
      <c r="I72" t="str">
        <f>IFERROR(VLOOKUP(H72,Database!$A$2:$L$175,2,FALSE),"-")</f>
        <v>Henrik Tillebeck</v>
      </c>
      <c r="J72" s="76" t="str">
        <f>ankomster!T72</f>
        <v>-</v>
      </c>
      <c r="K72" t="str">
        <f>IFERROR(VLOOKUP(J72,Database!$A$2:$L$175,2,FALSE),"-")</f>
        <v>-</v>
      </c>
      <c r="L72" t="str">
        <f>ankomster!Y72</f>
        <v>-</v>
      </c>
      <c r="M72" t="str">
        <f>IFERROR(VLOOKUP(L72,Database!$A$2:$L$175,2,FALSE),"-")</f>
        <v>-</v>
      </c>
    </row>
    <row r="73" spans="1:13" x14ac:dyDescent="0.35">
      <c r="A73" s="24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IFERROR(VLOOKUP(D73,Database!$A$2:$L$175,2,FALSE),"-")</f>
        <v>-</v>
      </c>
      <c r="F73" t="str">
        <f>ankomster!J73</f>
        <v>-</v>
      </c>
      <c r="G73" t="str">
        <f>IFERROR(VLOOKUP(F73,Database!$A$2:$L$175,2,FALSE),"-")</f>
        <v>-</v>
      </c>
      <c r="H73" t="str">
        <f>ankomster!O73</f>
        <v>-</v>
      </c>
      <c r="I73" t="str">
        <f>IFERROR(VLOOKUP(H73,Database!$A$2:$L$175,2,FALSE),"-")</f>
        <v>-</v>
      </c>
      <c r="J73" s="76" t="str">
        <f>ankomster!T73</f>
        <v>-</v>
      </c>
      <c r="K73" t="str">
        <f>IFERROR(VLOOKUP(J73,Database!$A$2:$L$175,2,FALSE),"-")</f>
        <v>-</v>
      </c>
      <c r="L73" t="str">
        <f>ankomster!Y73</f>
        <v>-</v>
      </c>
      <c r="M73" t="str">
        <f>IFERROR(VLOOKUP(L73,Database!$A$2:$L$175,2,FALSE),"-")</f>
        <v>-</v>
      </c>
    </row>
    <row r="74" spans="1:13" x14ac:dyDescent="0.35">
      <c r="A74" s="24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IFERROR(VLOOKUP(D74,Database!$A$2:$L$175,2,FALSE),"-")</f>
        <v>-</v>
      </c>
      <c r="F74">
        <f>ankomster!J74</f>
        <v>13</v>
      </c>
      <c r="G74" t="str">
        <f>IFERROR(VLOOKUP(F74,Database!$A$2:$L$175,2,FALSE),"-")</f>
        <v>Jan Gubbertsen</v>
      </c>
      <c r="H74" t="str">
        <f>ankomster!O74</f>
        <v>-</v>
      </c>
      <c r="I74" t="str">
        <f>IFERROR(VLOOKUP(H74,Database!$A$2:$L$175,2,FALSE),"-")</f>
        <v>-</v>
      </c>
      <c r="J74" s="76" t="str">
        <f>ankomster!T74</f>
        <v>-</v>
      </c>
      <c r="K74" t="str">
        <f>IFERROR(VLOOKUP(J74,Database!$A$2:$L$175,2,FALSE),"-")</f>
        <v>-</v>
      </c>
      <c r="L74" t="str">
        <f>ankomster!Y74</f>
        <v>-</v>
      </c>
      <c r="M74" t="str">
        <f>IFERROR(VLOOKUP(L74,Database!$A$2:$L$175,2,FALSE),"-")</f>
        <v>-</v>
      </c>
    </row>
    <row r="75" spans="1:13" x14ac:dyDescent="0.35">
      <c r="A75" s="24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IFERROR(VLOOKUP(D75,Database!$A$2:$L$175,2,FALSE),"-")</f>
        <v>Issam Saou</v>
      </c>
      <c r="F75" t="str">
        <f>ankomster!J75</f>
        <v>-</v>
      </c>
      <c r="G75" t="str">
        <f>IFERROR(VLOOKUP(F75,Database!$A$2:$L$175,2,FALSE),"-")</f>
        <v>-</v>
      </c>
      <c r="H75">
        <f>ankomster!O75</f>
        <v>84</v>
      </c>
      <c r="I75" t="str">
        <f>IFERROR(VLOOKUP(H75,Database!$A$2:$L$175,2,FALSE),"-")</f>
        <v>Bjarne List Nissen</v>
      </c>
      <c r="J75" s="76" t="str">
        <f>ankomster!T75</f>
        <v>-</v>
      </c>
      <c r="K75" t="str">
        <f>IFERROR(VLOOKUP(J75,Database!$A$2:$L$175,2,FALSE),"-")</f>
        <v>-</v>
      </c>
      <c r="L75" t="str">
        <f>ankomster!Y75</f>
        <v>-</v>
      </c>
      <c r="M75" t="str">
        <f>IFERROR(VLOOKUP(L75,Database!$A$2:$L$175,2,FALSE),"-")</f>
        <v>-</v>
      </c>
    </row>
    <row r="76" spans="1:13" x14ac:dyDescent="0.35">
      <c r="A76" s="24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IFERROR(VLOOKUP(D76,Database!$A$2:$L$175,2,FALSE),"-")</f>
        <v>-</v>
      </c>
      <c r="F76" t="str">
        <f>ankomster!J76</f>
        <v>-</v>
      </c>
      <c r="G76" t="str">
        <f>IFERROR(VLOOKUP(F76,Database!$A$2:$L$175,2,FALSE),"-")</f>
        <v>-</v>
      </c>
      <c r="H76" t="str">
        <f>ankomster!O76</f>
        <v>-</v>
      </c>
      <c r="I76" t="str">
        <f>IFERROR(VLOOKUP(H76,Database!$A$2:$L$175,2,FALSE),"-")</f>
        <v>-</v>
      </c>
      <c r="J76" s="76" t="str">
        <f>ankomster!T76</f>
        <v>-</v>
      </c>
      <c r="K76" t="str">
        <f>IFERROR(VLOOKUP(J76,Database!$A$2:$L$175,2,FALSE),"-")</f>
        <v>-</v>
      </c>
      <c r="L76" t="str">
        <f>ankomster!Y76</f>
        <v>-</v>
      </c>
      <c r="M76" t="str">
        <f>IFERROR(VLOOKUP(L76,Database!$A$2:$L$175,2,FALSE),"-")</f>
        <v>-</v>
      </c>
    </row>
    <row r="77" spans="1:13" x14ac:dyDescent="0.35">
      <c r="A77" s="24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IFERROR(VLOOKUP(D77,Database!$A$2:$L$175,2,FALSE),"-")</f>
        <v>-</v>
      </c>
      <c r="F77" t="str">
        <f>ankomster!J77</f>
        <v>-</v>
      </c>
      <c r="G77" t="str">
        <f>IFERROR(VLOOKUP(F77,Database!$A$2:$L$175,2,FALSE),"-")</f>
        <v>-</v>
      </c>
      <c r="H77" t="str">
        <f>ankomster!O77</f>
        <v>-</v>
      </c>
      <c r="I77" t="str">
        <f>IFERROR(VLOOKUP(H77,Database!$A$2:$L$175,2,FALSE),"-")</f>
        <v>-</v>
      </c>
      <c r="J77" s="76">
        <f>ankomster!T77</f>
        <v>66</v>
      </c>
      <c r="K77" t="str">
        <f>IFERROR(VLOOKUP(J77,Database!$A$2:$L$175,2,FALSE),"-")</f>
        <v>Martin Jørn Simonsen</v>
      </c>
      <c r="L77">
        <f>ankomster!Y77</f>
        <v>62</v>
      </c>
      <c r="M77" t="str">
        <f>IFERROR(VLOOKUP(L77,Database!$A$2:$L$175,2,FALSE),"-")</f>
        <v>Sigrid Marie Poulsen</v>
      </c>
    </row>
    <row r="78" spans="1:13" x14ac:dyDescent="0.35">
      <c r="A78" s="24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IFERROR(VLOOKUP(D78,Database!$A$2:$L$175,2,FALSE),"-")</f>
        <v>Henrik Sørensen</v>
      </c>
      <c r="F78" t="str">
        <f>ankomster!J78</f>
        <v>-</v>
      </c>
      <c r="G78" t="str">
        <f>IFERROR(VLOOKUP(F78,Database!$A$2:$L$175,2,FALSE),"-")</f>
        <v>-</v>
      </c>
      <c r="H78" t="str">
        <f>ankomster!O78</f>
        <v>-</v>
      </c>
      <c r="I78" t="str">
        <f>IFERROR(VLOOKUP(H78,Database!$A$2:$L$175,2,FALSE),"-")</f>
        <v>-</v>
      </c>
      <c r="J78" s="76" t="str">
        <f>ankomster!T78</f>
        <v>-</v>
      </c>
      <c r="K78" t="str">
        <f>IFERROR(VLOOKUP(J78,Database!$A$2:$L$175,2,FALSE),"-")</f>
        <v>-</v>
      </c>
      <c r="L78" t="str">
        <f>ankomster!Y78</f>
        <v>-</v>
      </c>
      <c r="M78" t="str">
        <f>IFERROR(VLOOKUP(L78,Database!$A$2:$L$175,2,FALSE),"-")</f>
        <v>-</v>
      </c>
    </row>
    <row r="79" spans="1:13" x14ac:dyDescent="0.35">
      <c r="A79" s="24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IFERROR(VLOOKUP(D79,Database!$A$2:$L$175,2,FALSE),"-")</f>
        <v>-</v>
      </c>
      <c r="F79" t="str">
        <f>ankomster!J79</f>
        <v>-</v>
      </c>
      <c r="G79" t="str">
        <f>IFERROR(VLOOKUP(F79,Database!$A$2:$L$175,2,FALSE),"-")</f>
        <v>-</v>
      </c>
      <c r="H79">
        <f>ankomster!O79</f>
        <v>43</v>
      </c>
      <c r="I79" t="str">
        <f>IFERROR(VLOOKUP(H79,Database!$A$2:$L$175,2,FALSE),"-")</f>
        <v>Ulla Ringgård</v>
      </c>
      <c r="J79" s="76" t="str">
        <f>ankomster!T79</f>
        <v>-</v>
      </c>
      <c r="K79" t="str">
        <f>IFERROR(VLOOKUP(J79,Database!$A$2:$L$175,2,FALSE),"-")</f>
        <v>-</v>
      </c>
      <c r="L79" t="str">
        <f>ankomster!Y79</f>
        <v>-</v>
      </c>
      <c r="M79" t="str">
        <f>IFERROR(VLOOKUP(L79,Database!$A$2:$L$175,2,FALSE),"-")</f>
        <v>-</v>
      </c>
    </row>
    <row r="80" spans="1:13" x14ac:dyDescent="0.35">
      <c r="A80" s="24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IFERROR(VLOOKUP(D80,Database!$A$2:$L$175,2,FALSE),"-")</f>
        <v>-</v>
      </c>
      <c r="F80" t="str">
        <f>ankomster!J80</f>
        <v>-</v>
      </c>
      <c r="G80" t="str">
        <f>IFERROR(VLOOKUP(F80,Database!$A$2:$L$175,2,FALSE),"-")</f>
        <v>-</v>
      </c>
      <c r="H80" t="str">
        <f>ankomster!O80</f>
        <v>-</v>
      </c>
      <c r="I80" t="str">
        <f>IFERROR(VLOOKUP(H80,Database!$A$2:$L$175,2,FALSE),"-")</f>
        <v>-</v>
      </c>
      <c r="J80" s="76" t="str">
        <f>ankomster!T80</f>
        <v>-</v>
      </c>
      <c r="K80" t="str">
        <f>IFERROR(VLOOKUP(J80,Database!$A$2:$L$175,2,FALSE),"-")</f>
        <v>-</v>
      </c>
      <c r="L80" t="str">
        <f>ankomster!Y80</f>
        <v>-</v>
      </c>
      <c r="M80" t="str">
        <f>IFERROR(VLOOKUP(L80,Database!$A$2:$L$175,2,FALSE),"-")</f>
        <v>-</v>
      </c>
    </row>
    <row r="81" spans="1:13" x14ac:dyDescent="0.35">
      <c r="A81" s="24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IFERROR(VLOOKUP(D81,Database!$A$2:$L$175,2,FALSE),"-")</f>
        <v>-</v>
      </c>
      <c r="F81">
        <f>ankomster!J81</f>
        <v>81</v>
      </c>
      <c r="G81" t="str">
        <f>IFERROR(VLOOKUP(F81,Database!$A$2:$L$175,2,FALSE),"-")</f>
        <v>Torben Juul Nielsen</v>
      </c>
      <c r="H81" t="str">
        <f>ankomster!O81</f>
        <v>-</v>
      </c>
      <c r="I81" t="str">
        <f>IFERROR(VLOOKUP(H81,Database!$A$2:$L$175,2,FALSE),"-")</f>
        <v>-</v>
      </c>
      <c r="J81" s="76" t="str">
        <f>ankomster!T81</f>
        <v>-</v>
      </c>
      <c r="K81" t="str">
        <f>IFERROR(VLOOKUP(J81,Database!$A$2:$L$175,2,FALSE),"-")</f>
        <v>-</v>
      </c>
      <c r="L81" t="str">
        <f>ankomster!Y81</f>
        <v>-</v>
      </c>
      <c r="M81" t="str">
        <f>IFERROR(VLOOKUP(L81,Database!$A$2:$L$175,2,FALSE),"-")</f>
        <v>-</v>
      </c>
    </row>
    <row r="82" spans="1:13" x14ac:dyDescent="0.35">
      <c r="A82" s="24">
        <v>46219</v>
      </c>
      <c r="B82" t="str">
        <f>ankomster!A82</f>
        <v>torsdag</v>
      </c>
      <c r="C82" t="str">
        <f>ankomster!D82</f>
        <v>-</v>
      </c>
      <c r="D82" t="str">
        <f>ankomster!E82</f>
        <v>-</v>
      </c>
      <c r="E82" t="str">
        <f>IFERROR(VLOOKUP(D82,Database!$A$2:$L$175,2,FALSE),"-")</f>
        <v>-</v>
      </c>
      <c r="F82" t="str">
        <f>ankomster!J82</f>
        <v>-</v>
      </c>
      <c r="G82" t="str">
        <f>IFERROR(VLOOKUP(F82,Database!$A$2:$L$175,2,FALSE),"-")</f>
        <v>-</v>
      </c>
      <c r="H82" t="str">
        <f>ankomster!O82</f>
        <v>-</v>
      </c>
      <c r="I82" t="str">
        <f>IFERROR(VLOOKUP(H82,Database!$A$2:$L$175,2,FALSE),"-")</f>
        <v>-</v>
      </c>
      <c r="J82" s="76" t="str">
        <f>ankomster!T82</f>
        <v>-</v>
      </c>
      <c r="K82" t="str">
        <f>IFERROR(VLOOKUP(J82,Database!$A$2:$L$175,2,FALSE),"-")</f>
        <v>-</v>
      </c>
      <c r="L82" t="str">
        <f>ankomster!Y82</f>
        <v>-</v>
      </c>
      <c r="M82" t="str">
        <f>IFERROR(VLOOKUP(L82,Database!$A$2:$L$175,2,FALSE),"-")</f>
        <v>-</v>
      </c>
    </row>
    <row r="83" spans="1:13" x14ac:dyDescent="0.35">
      <c r="A83" s="24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IFERROR(VLOOKUP(D83,Database!$A$2:$L$175,2,FALSE),"-")</f>
        <v>-</v>
      </c>
      <c r="F83" t="str">
        <f>ankomster!J83</f>
        <v>-</v>
      </c>
      <c r="G83" t="str">
        <f>IFERROR(VLOOKUP(F83,Database!$A$2:$L$175,2,FALSE),"-")</f>
        <v>-</v>
      </c>
      <c r="H83" t="str">
        <f>ankomster!O83</f>
        <v>-</v>
      </c>
      <c r="I83" t="str">
        <f>IFERROR(VLOOKUP(H83,Database!$A$2:$L$175,2,FALSE),"-")</f>
        <v>-</v>
      </c>
      <c r="J83" s="76" t="str">
        <f>ankomster!T83</f>
        <v>-</v>
      </c>
      <c r="K83" t="str">
        <f>IFERROR(VLOOKUP(J83,Database!$A$2:$L$175,2,FALSE),"-")</f>
        <v>-</v>
      </c>
      <c r="L83" t="str">
        <f>ankomster!Y83</f>
        <v>-</v>
      </c>
      <c r="M83" t="str">
        <f>IFERROR(VLOOKUP(L83,Database!$A$2:$L$175,2,FALSE),"-")</f>
        <v>-</v>
      </c>
    </row>
    <row r="84" spans="1:13" x14ac:dyDescent="0.35">
      <c r="A84" s="24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IFERROR(VLOOKUP(D84,Database!$A$2:$L$175,2,FALSE),"-")</f>
        <v>-</v>
      </c>
      <c r="F84" t="str">
        <f>ankomster!J84</f>
        <v>-</v>
      </c>
      <c r="G84" t="str">
        <f>IFERROR(VLOOKUP(F84,Database!$A$2:$L$175,2,FALSE),"-")</f>
        <v>-</v>
      </c>
      <c r="H84">
        <f>ankomster!O84</f>
        <v>38</v>
      </c>
      <c r="I84" t="str">
        <f>IFERROR(VLOOKUP(H84,Database!$A$2:$L$175,2,FALSE),"-")</f>
        <v>Werner Strehmel</v>
      </c>
      <c r="J84" s="76" t="str">
        <f>ankomster!T84</f>
        <v>-</v>
      </c>
      <c r="K84" t="str">
        <f>IFERROR(VLOOKUP(J84,Database!$A$2:$L$175,2,FALSE),"-")</f>
        <v>-</v>
      </c>
      <c r="L84" t="str">
        <f>ankomster!Y84</f>
        <v>-</v>
      </c>
      <c r="M84" t="str">
        <f>IFERROR(VLOOKUP(L84,Database!$A$2:$L$175,2,FALSE),"-")</f>
        <v>-</v>
      </c>
    </row>
    <row r="85" spans="1:13" x14ac:dyDescent="0.35">
      <c r="A85" s="24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IFERROR(VLOOKUP(D85,Database!$A$2:$L$175,2,FALSE),"-")</f>
        <v>-</v>
      </c>
      <c r="F85">
        <f>ankomster!J85</f>
        <v>44</v>
      </c>
      <c r="G85" t="str">
        <f>IFERROR(VLOOKUP(F85,Database!$A$2:$L$175,2,FALSE),"-")</f>
        <v>Jan Uxa</v>
      </c>
      <c r="H85" t="str">
        <f>ankomster!O85</f>
        <v>-</v>
      </c>
      <c r="I85" t="str">
        <f>IFERROR(VLOOKUP(H85,Database!$A$2:$L$175,2,FALSE),"-")</f>
        <v>-</v>
      </c>
      <c r="J85" s="76">
        <f>ankomster!T85</f>
        <v>1</v>
      </c>
      <c r="K85" t="str">
        <f>IFERROR(VLOOKUP(J85,Database!$A$2:$L$175,2,FALSE),"-")</f>
        <v>Lars Grundfør</v>
      </c>
      <c r="L85" t="str">
        <f>ankomster!Y85</f>
        <v>-</v>
      </c>
      <c r="M85" t="str">
        <f>IFERROR(VLOOKUP(L85,Database!$A$2:$L$175,2,FALSE),"-")</f>
        <v>-</v>
      </c>
    </row>
    <row r="86" spans="1:13" x14ac:dyDescent="0.35">
      <c r="A86" s="24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IFERROR(VLOOKUP(D86,Database!$A$2:$L$175,2,FALSE),"-")</f>
        <v>-</v>
      </c>
      <c r="F86" t="str">
        <f>ankomster!J86</f>
        <v>-</v>
      </c>
      <c r="G86" t="str">
        <f>IFERROR(VLOOKUP(F86,Database!$A$2:$L$175,2,FALSE),"-")</f>
        <v>-</v>
      </c>
      <c r="H86" t="str">
        <f>ankomster!O86</f>
        <v>-</v>
      </c>
      <c r="I86" t="str">
        <f>IFERROR(VLOOKUP(H86,Database!$A$2:$L$175,2,FALSE),"-")</f>
        <v>-</v>
      </c>
      <c r="J86" s="76" t="str">
        <f>ankomster!T86</f>
        <v>-</v>
      </c>
      <c r="K86" t="str">
        <f>IFERROR(VLOOKUP(J86,Database!$A$2:$L$175,2,FALSE),"-")</f>
        <v>-</v>
      </c>
      <c r="L86" t="str">
        <f>ankomster!Y86</f>
        <v>-</v>
      </c>
      <c r="M86" t="str">
        <f>IFERROR(VLOOKUP(L86,Database!$A$2:$L$175,2,FALSE),"-")</f>
        <v>-</v>
      </c>
    </row>
    <row r="87" spans="1:13" x14ac:dyDescent="0.35">
      <c r="A87" s="24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IFERROR(VLOOKUP(D87,Database!$A$2:$L$175,2,FALSE),"-")</f>
        <v>-</v>
      </c>
      <c r="F87" t="str">
        <f>ankomster!J87</f>
        <v>-</v>
      </c>
      <c r="G87" t="str">
        <f>IFERROR(VLOOKUP(F87,Database!$A$2:$L$175,2,FALSE),"-")</f>
        <v>-</v>
      </c>
      <c r="H87" t="str">
        <f>ankomster!O87</f>
        <v>-</v>
      </c>
      <c r="I87" t="str">
        <f>IFERROR(VLOOKUP(H87,Database!$A$2:$L$175,2,FALSE),"-")</f>
        <v>-</v>
      </c>
      <c r="J87" s="76" t="str">
        <f>ankomster!T87</f>
        <v>-</v>
      </c>
      <c r="K87" t="str">
        <f>IFERROR(VLOOKUP(J87,Database!$A$2:$L$175,2,FALSE),"-")</f>
        <v>-</v>
      </c>
      <c r="L87" t="str">
        <f>ankomster!Y87</f>
        <v>-</v>
      </c>
      <c r="M87" t="str">
        <f>IFERROR(VLOOKUP(L87,Database!$A$2:$L$175,2,FALSE),"-")</f>
        <v>-</v>
      </c>
    </row>
    <row r="88" spans="1:13" x14ac:dyDescent="0.35">
      <c r="A88" s="24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IFERROR(VLOOKUP(D88,Database!$A$2:$L$175,2,FALSE),"-")</f>
        <v>-</v>
      </c>
      <c r="F88" t="str">
        <f>ankomster!J88</f>
        <v>-</v>
      </c>
      <c r="G88" t="str">
        <f>IFERROR(VLOOKUP(F88,Database!$A$2:$L$175,2,FALSE),"-")</f>
        <v>-</v>
      </c>
      <c r="H88" t="str">
        <f>ankomster!O88</f>
        <v>-</v>
      </c>
      <c r="I88" t="str">
        <f>IFERROR(VLOOKUP(H88,Database!$A$2:$L$175,2,FALSE),"-")</f>
        <v>-</v>
      </c>
      <c r="J88" s="76" t="str">
        <f>ankomster!T88</f>
        <v>-</v>
      </c>
      <c r="K88" t="str">
        <f>IFERROR(VLOOKUP(J88,Database!$A$2:$L$175,2,FALSE),"-")</f>
        <v>-</v>
      </c>
      <c r="L88">
        <f>ankomster!Y88</f>
        <v>10</v>
      </c>
      <c r="M88" t="str">
        <f>IFERROR(VLOOKUP(L88,Database!$A$2:$L$175,2,FALSE),"-")</f>
        <v>Susanne Føgh Sørensen</v>
      </c>
    </row>
    <row r="89" spans="1:13" x14ac:dyDescent="0.35">
      <c r="A89" s="24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IFERROR(VLOOKUP(D89,Database!$A$2:$L$175,2,FALSE),"-")</f>
        <v>-</v>
      </c>
      <c r="F89" t="str">
        <f>ankomster!J89</f>
        <v>-</v>
      </c>
      <c r="G89" t="str">
        <f>IFERROR(VLOOKUP(F89,Database!$A$2:$L$175,2,FALSE),"-")</f>
        <v>-</v>
      </c>
      <c r="H89" t="str">
        <f>ankomster!O89</f>
        <v>-</v>
      </c>
      <c r="I89" t="str">
        <f>IFERROR(VLOOKUP(H89,Database!$A$2:$L$175,2,FALSE),"-")</f>
        <v>-</v>
      </c>
      <c r="J89" s="76" t="str">
        <f>ankomster!T89</f>
        <v>-</v>
      </c>
      <c r="K89" t="str">
        <f>IFERROR(VLOOKUP(J89,Database!$A$2:$L$175,2,FALSE),"-")</f>
        <v>-</v>
      </c>
      <c r="L89" t="str">
        <f>ankomster!Y89</f>
        <v>-</v>
      </c>
      <c r="M89" t="str">
        <f>IFERROR(VLOOKUP(L89,Database!$A$2:$L$175,2,FALSE),"-")</f>
        <v>-</v>
      </c>
    </row>
    <row r="90" spans="1:13" x14ac:dyDescent="0.35">
      <c r="A90" s="24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IFERROR(VLOOKUP(D90,Database!$A$2:$L$175,2,FALSE),"-")</f>
        <v>-</v>
      </c>
      <c r="F90" t="str">
        <f>ankomster!J90</f>
        <v>-</v>
      </c>
      <c r="G90" t="str">
        <f>IFERROR(VLOOKUP(F90,Database!$A$2:$L$175,2,FALSE),"-")</f>
        <v>-</v>
      </c>
      <c r="H90" t="str">
        <f>ankomster!O90</f>
        <v>-</v>
      </c>
      <c r="I90" t="str">
        <f>IFERROR(VLOOKUP(H90,Database!$A$2:$L$175,2,FALSE),"-")</f>
        <v>-</v>
      </c>
      <c r="J90" s="76" t="str">
        <f>ankomster!T90</f>
        <v>-</v>
      </c>
      <c r="K90" t="str">
        <f>IFERROR(VLOOKUP(J90,Database!$A$2:$L$175,2,FALSE),"-")</f>
        <v>-</v>
      </c>
      <c r="L90" t="str">
        <f>ankomster!Y90</f>
        <v>-</v>
      </c>
      <c r="M90" t="str">
        <f>IFERROR(VLOOKUP(L90,Database!$A$2:$L$175,2,FALSE),"-")</f>
        <v>-</v>
      </c>
    </row>
    <row r="91" spans="1:13" x14ac:dyDescent="0.35">
      <c r="A91" s="24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IFERROR(VLOOKUP(D91,Database!$A$2:$L$175,2,FALSE),"-")</f>
        <v>-</v>
      </c>
      <c r="F91" t="str">
        <f>ankomster!J91</f>
        <v>-</v>
      </c>
      <c r="G91" t="str">
        <f>IFERROR(VLOOKUP(F91,Database!$A$2:$L$175,2,FALSE),"-")</f>
        <v>-</v>
      </c>
      <c r="H91" t="str">
        <f>ankomster!O91</f>
        <v>-</v>
      </c>
      <c r="I91" t="str">
        <f>IFERROR(VLOOKUP(H91,Database!$A$2:$L$175,2,FALSE),"-")</f>
        <v>-</v>
      </c>
      <c r="J91" s="76" t="str">
        <f>ankomster!T91</f>
        <v>-</v>
      </c>
      <c r="K91" t="str">
        <f>IFERROR(VLOOKUP(J91,Database!$A$2:$L$175,2,FALSE),"-")</f>
        <v>-</v>
      </c>
      <c r="L91">
        <f>ankomster!Y91</f>
        <v>49</v>
      </c>
      <c r="M91" t="str">
        <f>IFERROR(VLOOKUP(L91,Database!$A$2:$L$175,2,FALSE),"-")</f>
        <v>Jens Olesen</v>
      </c>
    </row>
    <row r="92" spans="1:13" x14ac:dyDescent="0.35">
      <c r="A92" s="24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IFERROR(VLOOKUP(D92,Database!$A$2:$L$175,2,FALSE),"-")</f>
        <v>-</v>
      </c>
      <c r="F92" t="str">
        <f>ankomster!J92</f>
        <v>-</v>
      </c>
      <c r="G92" t="str">
        <f>IFERROR(VLOOKUP(F92,Database!$A$2:$L$175,2,FALSE),"-")</f>
        <v>-</v>
      </c>
      <c r="H92">
        <f>ankomster!O92</f>
        <v>58</v>
      </c>
      <c r="I92" t="str">
        <f>IFERROR(VLOOKUP(H92,Database!$A$2:$L$175,2,FALSE),"-")</f>
        <v>Rikke Schwartz</v>
      </c>
      <c r="J92" s="76">
        <f>ankomster!T92</f>
        <v>58</v>
      </c>
      <c r="K92" t="str">
        <f>IFERROR(VLOOKUP(J92,Database!$A$2:$L$175,2,FALSE),"-")</f>
        <v>Rikke Schwartz</v>
      </c>
      <c r="L92" t="str">
        <f>ankomster!Y92</f>
        <v>-</v>
      </c>
      <c r="M92" t="str">
        <f>IFERROR(VLOOKUP(L92,Database!$A$2:$L$175,2,FALSE),"-")</f>
        <v>-</v>
      </c>
    </row>
    <row r="93" spans="1:13" x14ac:dyDescent="0.35">
      <c r="A93" s="24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IFERROR(VLOOKUP(D93,Database!$A$2:$L$175,2,FALSE),"-")</f>
        <v>Jette Jensen</v>
      </c>
      <c r="F93">
        <f>ankomster!J93</f>
        <v>30</v>
      </c>
      <c r="G93" t="str">
        <f>IFERROR(VLOOKUP(F93,Database!$A$2:$L$175,2,FALSE),"-")</f>
        <v>Annemarie Muller</v>
      </c>
      <c r="H93" t="str">
        <f>ankomster!O93</f>
        <v>-</v>
      </c>
      <c r="I93" t="str">
        <f>IFERROR(VLOOKUP(H93,Database!$A$2:$L$175,2,FALSE),"-")</f>
        <v>-</v>
      </c>
      <c r="J93" s="76" t="str">
        <f>ankomster!T93</f>
        <v>-</v>
      </c>
      <c r="K93" t="str">
        <f>IFERROR(VLOOKUP(J93,Database!$A$2:$L$175,2,FALSE),"-")</f>
        <v>-</v>
      </c>
      <c r="L93" t="str">
        <f>ankomster!Y93</f>
        <v>-</v>
      </c>
      <c r="M93" t="str">
        <f>IFERROR(VLOOKUP(L93,Database!$A$2:$L$175,2,FALSE),"-")</f>
        <v>-</v>
      </c>
    </row>
    <row r="94" spans="1:13" x14ac:dyDescent="0.35">
      <c r="A94" s="24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IFERROR(VLOOKUP(D94,Database!$A$2:$L$175,2,FALSE),"-")</f>
        <v>-</v>
      </c>
      <c r="F94" t="str">
        <f>ankomster!J94</f>
        <v>-</v>
      </c>
      <c r="G94" t="str">
        <f>IFERROR(VLOOKUP(F94,Database!$A$2:$L$175,2,FALSE),"-")</f>
        <v>-</v>
      </c>
      <c r="H94" t="str">
        <f>ankomster!O94</f>
        <v>-</v>
      </c>
      <c r="I94" t="str">
        <f>IFERROR(VLOOKUP(H94,Database!$A$2:$L$175,2,FALSE),"-")</f>
        <v>-</v>
      </c>
      <c r="J94" s="76" t="str">
        <f>ankomster!T94</f>
        <v>-</v>
      </c>
      <c r="K94" t="str">
        <f>IFERROR(VLOOKUP(J94,Database!$A$2:$L$175,2,FALSE),"-")</f>
        <v>-</v>
      </c>
      <c r="L94" t="str">
        <f>ankomster!Y94</f>
        <v>-</v>
      </c>
      <c r="M94" t="str">
        <f>IFERROR(VLOOKUP(L94,Database!$A$2:$L$175,2,FALSE),"-")</f>
        <v>-</v>
      </c>
    </row>
    <row r="95" spans="1:13" x14ac:dyDescent="0.35">
      <c r="A95" s="24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IFERROR(VLOOKUP(D95,Database!$A$2:$L$175,2,FALSE),"-")</f>
        <v>-</v>
      </c>
      <c r="F95" t="str">
        <f>ankomster!J95</f>
        <v>-</v>
      </c>
      <c r="G95" t="str">
        <f>IFERROR(VLOOKUP(F95,Database!$A$2:$L$175,2,FALSE),"-")</f>
        <v>-</v>
      </c>
      <c r="H95" t="str">
        <f>ankomster!O95</f>
        <v>-</v>
      </c>
      <c r="I95" t="str">
        <f>IFERROR(VLOOKUP(H95,Database!$A$2:$L$175,2,FALSE),"-")</f>
        <v>-</v>
      </c>
      <c r="J95" s="76">
        <f>ankomster!T95</f>
        <v>57</v>
      </c>
      <c r="K95" t="str">
        <f>IFERROR(VLOOKUP(J95,Database!$A$2:$L$175,2,FALSE),"-")</f>
        <v>Cecilia Löfgren</v>
      </c>
      <c r="L95" t="str">
        <f>ankomster!Y95</f>
        <v>-</v>
      </c>
      <c r="M95" t="str">
        <f>IFERROR(VLOOKUP(L95,Database!$A$2:$L$175,2,FALSE),"-")</f>
        <v>-</v>
      </c>
    </row>
    <row r="96" spans="1:13" x14ac:dyDescent="0.35">
      <c r="A96" s="24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IFERROR(VLOOKUP(D96,Database!$A$2:$L$175,2,FALSE),"-")</f>
        <v>-</v>
      </c>
      <c r="F96" t="str">
        <f>ankomster!J96</f>
        <v>-</v>
      </c>
      <c r="G96" t="str">
        <f>IFERROR(VLOOKUP(F96,Database!$A$2:$L$175,2,FALSE),"-")</f>
        <v>-</v>
      </c>
      <c r="H96">
        <f>ankomster!O96</f>
        <v>115</v>
      </c>
      <c r="I96" t="str">
        <f>IFERROR(VLOOKUP(H96,Database!$A$2:$L$175,2,FALSE),"-")</f>
        <v>Lene Lei Jensen</v>
      </c>
      <c r="J96" s="76" t="str">
        <f>ankomster!T96</f>
        <v>-</v>
      </c>
      <c r="K96" t="str">
        <f>IFERROR(VLOOKUP(J96,Database!$A$2:$L$175,2,FALSE),"-")</f>
        <v>-</v>
      </c>
      <c r="L96" t="str">
        <f>ankomster!Y96</f>
        <v>-</v>
      </c>
      <c r="M96" t="str">
        <f>IFERROR(VLOOKUP(L96,Database!$A$2:$L$175,2,FALSE),"-")</f>
        <v>-</v>
      </c>
    </row>
    <row r="97" spans="1:13" x14ac:dyDescent="0.35">
      <c r="A97" s="24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IFERROR(VLOOKUP(D97,Database!$A$2:$L$175,2,FALSE),"-")</f>
        <v>Barbara Lobinger</v>
      </c>
      <c r="F97" t="str">
        <f>ankomster!J97</f>
        <v>-</v>
      </c>
      <c r="G97" t="str">
        <f>IFERROR(VLOOKUP(F97,Database!$A$2:$L$175,2,FALSE),"-")</f>
        <v>-</v>
      </c>
      <c r="H97" t="str">
        <f>ankomster!O97</f>
        <v>-</v>
      </c>
      <c r="I97" t="str">
        <f>IFERROR(VLOOKUP(H97,Database!$A$2:$L$175,2,FALSE),"-")</f>
        <v>-</v>
      </c>
      <c r="J97" s="76" t="str">
        <f>ankomster!T97</f>
        <v>-</v>
      </c>
      <c r="K97" t="str">
        <f>IFERROR(VLOOKUP(J97,Database!$A$2:$L$175,2,FALSE),"-")</f>
        <v>-</v>
      </c>
      <c r="L97" t="str">
        <f>ankomster!Y97</f>
        <v>-</v>
      </c>
      <c r="M97" t="str">
        <f>IFERROR(VLOOKUP(L97,Database!$A$2:$L$175,2,FALSE),"-")</f>
        <v>-</v>
      </c>
    </row>
    <row r="98" spans="1:13" x14ac:dyDescent="0.35">
      <c r="A98" s="24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IFERROR(VLOOKUP(D98,Database!$A$2:$L$175,2,FALSE),"-")</f>
        <v>-</v>
      </c>
      <c r="F98" t="str">
        <f>ankomster!J98</f>
        <v>-</v>
      </c>
      <c r="G98" t="str">
        <f>IFERROR(VLOOKUP(F98,Database!$A$2:$L$175,2,FALSE),"-")</f>
        <v>-</v>
      </c>
      <c r="H98" t="str">
        <f>ankomster!O98</f>
        <v>-</v>
      </c>
      <c r="I98" t="str">
        <f>IFERROR(VLOOKUP(H98,Database!$A$2:$L$175,2,FALSE),"-")</f>
        <v>-</v>
      </c>
      <c r="J98" s="76" t="str">
        <f>ankomster!T98</f>
        <v>-</v>
      </c>
      <c r="K98" t="str">
        <f>IFERROR(VLOOKUP(J98,Database!$A$2:$L$175,2,FALSE),"-")</f>
        <v>-</v>
      </c>
      <c r="L98" t="str">
        <f>ankomster!Y98</f>
        <v>-</v>
      </c>
      <c r="M98" t="str">
        <f>IFERROR(VLOOKUP(L98,Database!$A$2:$L$175,2,FALSE),"-")</f>
        <v>-</v>
      </c>
    </row>
    <row r="99" spans="1:13" x14ac:dyDescent="0.35">
      <c r="A99" s="24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IFERROR(VLOOKUP(D99,Database!$A$2:$L$175,2,FALSE),"-")</f>
        <v>-</v>
      </c>
      <c r="F99">
        <f>ankomster!J99</f>
        <v>74</v>
      </c>
      <c r="G99" t="str">
        <f>IFERROR(VLOOKUP(F99,Database!$A$2:$L$175,2,FALSE),"-")</f>
        <v>Anne Hastrup Poulsen</v>
      </c>
      <c r="H99">
        <f>ankomster!O99</f>
        <v>74</v>
      </c>
      <c r="I99" t="str">
        <f>IFERROR(VLOOKUP(H99,Database!$A$2:$L$175,2,FALSE),"-")</f>
        <v>Anne Hastrup Poulsen</v>
      </c>
      <c r="J99" s="76" t="str">
        <f>ankomster!T99</f>
        <v>-</v>
      </c>
      <c r="K99" t="str">
        <f>IFERROR(VLOOKUP(J99,Database!$A$2:$L$175,2,FALSE),"-")</f>
        <v>-</v>
      </c>
      <c r="L99" t="str">
        <f>ankomster!Y99</f>
        <v>-</v>
      </c>
      <c r="M99" t="str">
        <f>IFERROR(VLOOKUP(L99,Database!$A$2:$L$175,2,FALSE),"-")</f>
        <v>-</v>
      </c>
    </row>
    <row r="100" spans="1:13" x14ac:dyDescent="0.35">
      <c r="A100" s="24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IFERROR(VLOOKUP(D100,Database!$A$2:$L$175,2,FALSE),"-")</f>
        <v>Kathrin Leupold</v>
      </c>
      <c r="F100" t="str">
        <f>ankomster!J100</f>
        <v>-</v>
      </c>
      <c r="G100" t="str">
        <f>IFERROR(VLOOKUP(F100,Database!$A$2:$L$175,2,FALSE),"-")</f>
        <v>-</v>
      </c>
      <c r="H100" t="str">
        <f>ankomster!O100</f>
        <v>-</v>
      </c>
      <c r="I100" t="str">
        <f>IFERROR(VLOOKUP(H100,Database!$A$2:$L$175,2,FALSE),"-")</f>
        <v>-</v>
      </c>
      <c r="J100" s="76" t="str">
        <f>ankomster!T100</f>
        <v>-</v>
      </c>
      <c r="K100" t="str">
        <f>IFERROR(VLOOKUP(J100,Database!$A$2:$L$175,2,FALSE),"-")</f>
        <v>-</v>
      </c>
      <c r="L100">
        <f>ankomster!Y100</f>
        <v>50</v>
      </c>
      <c r="M100" t="str">
        <f>IFERROR(VLOOKUP(L100,Database!$A$2:$L$175,2,FALSE),"-")</f>
        <v>Lone Dybdahl</v>
      </c>
    </row>
    <row r="101" spans="1:13" x14ac:dyDescent="0.35">
      <c r="A101" s="24">
        <v>46238</v>
      </c>
      <c r="B101" t="str">
        <f>ankomster!A101</f>
        <v>tirsdag</v>
      </c>
      <c r="C101" t="str">
        <f>ankomster!D101</f>
        <v>-</v>
      </c>
      <c r="D101" t="str">
        <f>ankomster!E101</f>
        <v>-</v>
      </c>
      <c r="E101" t="str">
        <f>IFERROR(VLOOKUP(D101,Database!$A$2:$L$175,2,FALSE),"-")</f>
        <v>-</v>
      </c>
      <c r="F101" t="str">
        <f>ankomster!J101</f>
        <v>-</v>
      </c>
      <c r="G101" t="str">
        <f>IFERROR(VLOOKUP(F101,Database!$A$2:$L$175,2,FALSE),"-")</f>
        <v>-</v>
      </c>
      <c r="H101" t="str">
        <f>ankomster!O101</f>
        <v>-</v>
      </c>
      <c r="I101" t="str">
        <f>IFERROR(VLOOKUP(H101,Database!$A$2:$L$175,2,FALSE),"-")</f>
        <v>-</v>
      </c>
      <c r="J101" s="76" t="str">
        <f>ankomster!T101</f>
        <v>-</v>
      </c>
      <c r="K101" t="str">
        <f>IFERROR(VLOOKUP(J101,Database!$A$2:$L$175,2,FALSE),"-")</f>
        <v>-</v>
      </c>
      <c r="L101" t="str">
        <f>ankomster!Y101</f>
        <v>-</v>
      </c>
      <c r="M101" t="str">
        <f>IFERROR(VLOOKUP(L101,Database!$A$2:$L$175,2,FALSE),"-")</f>
        <v>-</v>
      </c>
    </row>
    <row r="102" spans="1:13" x14ac:dyDescent="0.35">
      <c r="A102" s="24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IFERROR(VLOOKUP(D102,Database!$A$2:$L$175,2,FALSE),"-")</f>
        <v>-</v>
      </c>
      <c r="F102" t="str">
        <f>ankomster!J102</f>
        <v>-</v>
      </c>
      <c r="G102" t="str">
        <f>IFERROR(VLOOKUP(F102,Database!$A$2:$L$175,2,FALSE),"-")</f>
        <v>-</v>
      </c>
      <c r="H102" t="str">
        <f>ankomster!O102</f>
        <v>-</v>
      </c>
      <c r="I102" t="str">
        <f>IFERROR(VLOOKUP(H102,Database!$A$2:$L$175,2,FALSE),"-")</f>
        <v>-</v>
      </c>
      <c r="J102" s="76" t="str">
        <f>ankomster!T102</f>
        <v>-</v>
      </c>
      <c r="K102" t="str">
        <f>IFERROR(VLOOKUP(J102,Database!$A$2:$L$175,2,FALSE),"-")</f>
        <v>-</v>
      </c>
      <c r="L102" t="str">
        <f>ankomster!Y102</f>
        <v>-</v>
      </c>
      <c r="M102" t="str">
        <f>IFERROR(VLOOKUP(L102,Database!$A$2:$L$175,2,FALSE),"-")</f>
        <v>-</v>
      </c>
    </row>
    <row r="103" spans="1:13" x14ac:dyDescent="0.35">
      <c r="A103" s="24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IFERROR(VLOOKUP(D103,Database!$A$2:$L$175,2,FALSE),"-")</f>
        <v>-</v>
      </c>
      <c r="F103">
        <f>ankomster!J103</f>
        <v>32</v>
      </c>
      <c r="G103" t="str">
        <f>IFERROR(VLOOKUP(F103,Database!$A$2:$L$175,2,FALSE),"-")</f>
        <v>Wolf Adrian</v>
      </c>
      <c r="H103">
        <f>ankomster!O103</f>
        <v>33</v>
      </c>
      <c r="I103" t="str">
        <f>IFERROR(VLOOKUP(H103,Database!$A$2:$L$175,2,FALSE),"-")</f>
        <v>Jörg Wolf</v>
      </c>
      <c r="J103" s="76">
        <f>ankomster!T103</f>
        <v>45</v>
      </c>
      <c r="K103" t="str">
        <f>IFERROR(VLOOKUP(J103,Database!$A$2:$L$175,2,FALSE),"-")</f>
        <v>Birgitta Björkroth</v>
      </c>
      <c r="L103" t="str">
        <f>ankomster!Y103</f>
        <v>-</v>
      </c>
      <c r="M103" t="str">
        <f>IFERROR(VLOOKUP(L103,Database!$A$2:$L$175,2,FALSE),"-")</f>
        <v>-</v>
      </c>
    </row>
    <row r="104" spans="1:13" x14ac:dyDescent="0.35">
      <c r="A104" s="24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IFERROR(VLOOKUP(D104,Database!$A$2:$L$175,2,FALSE),"-")</f>
        <v>-</v>
      </c>
      <c r="F104" t="str">
        <f>ankomster!J104</f>
        <v>-</v>
      </c>
      <c r="G104" t="str">
        <f>IFERROR(VLOOKUP(F104,Database!$A$2:$L$175,2,FALSE),"-")</f>
        <v>-</v>
      </c>
      <c r="H104" t="str">
        <f>ankomster!O104</f>
        <v>-</v>
      </c>
      <c r="I104" t="str">
        <f>IFERROR(VLOOKUP(H104,Database!$A$2:$L$175,2,FALSE),"-")</f>
        <v>-</v>
      </c>
      <c r="J104" s="76" t="str">
        <f>ankomster!T104</f>
        <v>-</v>
      </c>
      <c r="K104" t="str">
        <f>IFERROR(VLOOKUP(J104,Database!$A$2:$L$175,2,FALSE),"-")</f>
        <v>-</v>
      </c>
      <c r="L104">
        <f>ankomster!Y104</f>
        <v>92</v>
      </c>
      <c r="M104" t="str">
        <f>IFERROR(VLOOKUP(L104,Database!$A$2:$L$175,2,FALSE),"-")</f>
        <v>Carsten Mejer</v>
      </c>
    </row>
    <row r="105" spans="1:13" x14ac:dyDescent="0.35">
      <c r="A105" s="24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IFERROR(VLOOKUP(D105,Database!$A$2:$L$175,2,FALSE),"-")</f>
        <v>-</v>
      </c>
      <c r="F105" t="str">
        <f>ankomster!J105</f>
        <v>-</v>
      </c>
      <c r="G105" t="str">
        <f>IFERROR(VLOOKUP(F105,Database!$A$2:$L$175,2,FALSE),"-")</f>
        <v>-</v>
      </c>
      <c r="H105" t="str">
        <f>ankomster!O105</f>
        <v>-</v>
      </c>
      <c r="I105" t="str">
        <f>IFERROR(VLOOKUP(H105,Database!$A$2:$L$175,2,FALSE),"-")</f>
        <v>-</v>
      </c>
      <c r="J105" s="76" t="str">
        <f>ankomster!T105</f>
        <v>-</v>
      </c>
      <c r="K105" t="str">
        <f>IFERROR(VLOOKUP(J105,Database!$A$2:$L$175,2,FALSE),"-")</f>
        <v>-</v>
      </c>
      <c r="L105" t="str">
        <f>ankomster!Y105</f>
        <v>-</v>
      </c>
      <c r="M105" t="str">
        <f>IFERROR(VLOOKUP(L105,Database!$A$2:$L$175,2,FALSE),"-")</f>
        <v>-</v>
      </c>
    </row>
    <row r="106" spans="1:13" x14ac:dyDescent="0.35">
      <c r="A106" s="24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IFERROR(VLOOKUP(D106,Database!$A$2:$L$175,2,FALSE),"-")</f>
        <v>-</v>
      </c>
      <c r="F106" t="str">
        <f>ankomster!J106</f>
        <v>-</v>
      </c>
      <c r="G106" t="str">
        <f>IFERROR(VLOOKUP(F106,Database!$A$2:$L$175,2,FALSE),"-")</f>
        <v>-</v>
      </c>
      <c r="H106" t="str">
        <f>ankomster!O106</f>
        <v>-</v>
      </c>
      <c r="I106" t="str">
        <f>IFERROR(VLOOKUP(H106,Database!$A$2:$L$175,2,FALSE),"-")</f>
        <v>-</v>
      </c>
      <c r="J106" s="76">
        <f>ankomster!T106</f>
        <v>114</v>
      </c>
      <c r="K106" t="str">
        <f>IFERROR(VLOOKUP(J106,Database!$A$2:$L$175,2,FALSE),"-")</f>
        <v>Janne Malberg</v>
      </c>
      <c r="L106" t="str">
        <f>ankomster!Y106</f>
        <v>-</v>
      </c>
      <c r="M106" t="str">
        <f>IFERROR(VLOOKUP(L106,Database!$A$2:$L$175,2,FALSE),"-")</f>
        <v>-</v>
      </c>
    </row>
    <row r="107" spans="1:13" x14ac:dyDescent="0.35">
      <c r="A107" s="24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IFERROR(VLOOKUP(D107,Database!$A$2:$L$175,2,FALSE),"-")</f>
        <v>Jutta Fogh</v>
      </c>
      <c r="F107" t="str">
        <f>ankomster!J107</f>
        <v>-</v>
      </c>
      <c r="G107" t="str">
        <f>IFERROR(VLOOKUP(F107,Database!$A$2:$L$175,2,FALSE),"-")</f>
        <v>-</v>
      </c>
      <c r="H107" t="str">
        <f>ankomster!O107</f>
        <v>-</v>
      </c>
      <c r="I107" t="str">
        <f>IFERROR(VLOOKUP(H107,Database!$A$2:$L$175,2,FALSE),"-")</f>
        <v>-</v>
      </c>
      <c r="J107" s="76" t="str">
        <f>ankomster!T107</f>
        <v>-</v>
      </c>
      <c r="K107" t="str">
        <f>IFERROR(VLOOKUP(J107,Database!$A$2:$L$175,2,FALSE),"-")</f>
        <v>-</v>
      </c>
      <c r="L107" t="str">
        <f>ankomster!Y107</f>
        <v>-</v>
      </c>
      <c r="M107" t="str">
        <f>IFERROR(VLOOKUP(L107,Database!$A$2:$L$175,2,FALSE),"-")</f>
        <v>-</v>
      </c>
    </row>
    <row r="108" spans="1:13" x14ac:dyDescent="0.35">
      <c r="A108" s="24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IFERROR(VLOOKUP(D108,Database!$A$2:$L$175,2,FALSE),"-")</f>
        <v>-</v>
      </c>
      <c r="F108" t="str">
        <f>ankomster!J108</f>
        <v>-</v>
      </c>
      <c r="G108" t="str">
        <f>IFERROR(VLOOKUP(F108,Database!$A$2:$L$175,2,FALSE),"-")</f>
        <v>-</v>
      </c>
      <c r="H108" t="str">
        <f>ankomster!O108</f>
        <v>-</v>
      </c>
      <c r="I108" t="str">
        <f>IFERROR(VLOOKUP(H108,Database!$A$2:$L$175,2,FALSE),"-")</f>
        <v>-</v>
      </c>
      <c r="J108" s="76" t="str">
        <f>ankomster!T108</f>
        <v>-</v>
      </c>
      <c r="K108" t="str">
        <f>IFERROR(VLOOKUP(J108,Database!$A$2:$L$175,2,FALSE),"-")</f>
        <v>-</v>
      </c>
      <c r="L108" t="str">
        <f>ankomster!Y108</f>
        <v>-</v>
      </c>
      <c r="M108" t="str">
        <f>IFERROR(VLOOKUP(L108,Database!$A$2:$L$175,2,FALSE),"-")</f>
        <v>-</v>
      </c>
    </row>
    <row r="109" spans="1:13" x14ac:dyDescent="0.35">
      <c r="A109" s="24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IFERROR(VLOOKUP(D109,Database!$A$2:$L$175,2,FALSE),"-")</f>
        <v>-</v>
      </c>
      <c r="F109" t="str">
        <f>ankomster!J109</f>
        <v>-</v>
      </c>
      <c r="G109" t="str">
        <f>IFERROR(VLOOKUP(F109,Database!$A$2:$L$175,2,FALSE),"-")</f>
        <v>-</v>
      </c>
      <c r="H109" t="str">
        <f>ankomster!O109</f>
        <v>-</v>
      </c>
      <c r="I109" t="str">
        <f>IFERROR(VLOOKUP(H109,Database!$A$2:$L$175,2,FALSE),"-")</f>
        <v>-</v>
      </c>
      <c r="J109" s="76">
        <f>ankomster!T109</f>
        <v>4</v>
      </c>
      <c r="K109" t="str">
        <f>IFERROR(VLOOKUP(J109,Database!$A$2:$L$175,2,FALSE),"-")</f>
        <v>Stine Plæhn</v>
      </c>
      <c r="L109">
        <f>ankomster!Y109</f>
        <v>4</v>
      </c>
      <c r="M109" t="str">
        <f>IFERROR(VLOOKUP(L109,Database!$A$2:$L$175,2,FALSE),"-")</f>
        <v>Stine Plæhn</v>
      </c>
    </row>
    <row r="110" spans="1:13" x14ac:dyDescent="0.35">
      <c r="A110" s="24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IFERROR(VLOOKUP(D110,Database!$A$2:$L$175,2,FALSE),"-")</f>
        <v>-</v>
      </c>
      <c r="F110">
        <f>ankomster!J110</f>
        <v>46</v>
      </c>
      <c r="G110" t="str">
        <f>IFERROR(VLOOKUP(F110,Database!$A$2:$L$175,2,FALSE),"-")</f>
        <v>Kathrine Moelgaard Nielsen</v>
      </c>
      <c r="H110">
        <f>ankomster!O110</f>
        <v>23</v>
      </c>
      <c r="I110" t="str">
        <f>IFERROR(VLOOKUP(H110,Database!$A$2:$L$175,2,FALSE),"-")</f>
        <v>Stine Jespersen</v>
      </c>
      <c r="J110" s="76" t="str">
        <f>ankomster!T110</f>
        <v>-</v>
      </c>
      <c r="K110" t="str">
        <f>IFERROR(VLOOKUP(J110,Database!$A$2:$L$175,2,FALSE),"-")</f>
        <v>-</v>
      </c>
      <c r="L110" t="str">
        <f>ankomster!Y110</f>
        <v>-</v>
      </c>
      <c r="M110" t="str">
        <f>IFERROR(VLOOKUP(L110,Database!$A$2:$L$175,2,FALSE),"-")</f>
        <v>-</v>
      </c>
    </row>
    <row r="111" spans="1:13" x14ac:dyDescent="0.35">
      <c r="A111" s="24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IFERROR(VLOOKUP(D111,Database!$A$2:$L$175,2,FALSE),"-")</f>
        <v>Sanne Emme</v>
      </c>
      <c r="F111" t="str">
        <f>ankomster!J111</f>
        <v>-</v>
      </c>
      <c r="G111" t="str">
        <f>IFERROR(VLOOKUP(F111,Database!$A$2:$L$175,2,FALSE),"-")</f>
        <v>-</v>
      </c>
      <c r="H111" t="str">
        <f>ankomster!O111</f>
        <v>-</v>
      </c>
      <c r="I111" t="str">
        <f>IFERROR(VLOOKUP(H111,Database!$A$2:$L$175,2,FALSE),"-")</f>
        <v>-</v>
      </c>
      <c r="J111" s="76" t="str">
        <f>ankomster!T111</f>
        <v>-</v>
      </c>
      <c r="K111" t="str">
        <f>IFERROR(VLOOKUP(J111,Database!$A$2:$L$175,2,FALSE),"-")</f>
        <v>-</v>
      </c>
      <c r="L111" t="str">
        <f>ankomster!Y111</f>
        <v>-</v>
      </c>
      <c r="M111" t="str">
        <f>IFERROR(VLOOKUP(L111,Database!$A$2:$L$175,2,FALSE),"-")</f>
        <v>-</v>
      </c>
    </row>
    <row r="112" spans="1:13" x14ac:dyDescent="0.35">
      <c r="A112" s="24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IFERROR(VLOOKUP(D112,Database!$A$2:$L$175,2,FALSE),"-")</f>
        <v>-</v>
      </c>
      <c r="F112" t="str">
        <f>ankomster!J112</f>
        <v>-</v>
      </c>
      <c r="G112" t="str">
        <f>IFERROR(VLOOKUP(F112,Database!$A$2:$L$175,2,FALSE),"-")</f>
        <v>-</v>
      </c>
      <c r="H112" t="str">
        <f>ankomster!O112</f>
        <v>-</v>
      </c>
      <c r="I112" t="str">
        <f>IFERROR(VLOOKUP(H112,Database!$A$2:$L$175,2,FALSE),"-")</f>
        <v>-</v>
      </c>
      <c r="J112" s="76" t="str">
        <f>ankomster!T112</f>
        <v>-</v>
      </c>
      <c r="K112" t="str">
        <f>IFERROR(VLOOKUP(J112,Database!$A$2:$L$175,2,FALSE),"-")</f>
        <v>-</v>
      </c>
      <c r="L112" t="str">
        <f>ankomster!Y112</f>
        <v>-</v>
      </c>
      <c r="M112" t="str">
        <f>IFERROR(VLOOKUP(L112,Database!$A$2:$L$175,2,FALSE),"-")</f>
        <v>-</v>
      </c>
    </row>
    <row r="113" spans="1:13" x14ac:dyDescent="0.35">
      <c r="A113" s="24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IFERROR(VLOOKUP(D113,Database!$A$2:$L$175,2,FALSE),"-")</f>
        <v>-</v>
      </c>
      <c r="F113" t="str">
        <f>ankomster!J113</f>
        <v>-</v>
      </c>
      <c r="G113" t="str">
        <f>IFERROR(VLOOKUP(F113,Database!$A$2:$L$175,2,FALSE),"-")</f>
        <v>-</v>
      </c>
      <c r="H113" t="str">
        <f>ankomster!O113</f>
        <v>-</v>
      </c>
      <c r="I113" t="str">
        <f>IFERROR(VLOOKUP(H113,Database!$A$2:$L$175,2,FALSE),"-")</f>
        <v>-</v>
      </c>
      <c r="J113" s="76">
        <f>ankomster!T113</f>
        <v>51</v>
      </c>
      <c r="K113" t="str">
        <f>IFERROR(VLOOKUP(J113,Database!$A$2:$L$175,2,FALSE),"-")</f>
        <v>Mikael Holst</v>
      </c>
      <c r="L113" t="str">
        <f>ankomster!Y113</f>
        <v>-</v>
      </c>
      <c r="M113" t="str">
        <f>IFERROR(VLOOKUP(L113,Database!$A$2:$L$175,2,FALSE),"-")</f>
        <v>-</v>
      </c>
    </row>
    <row r="114" spans="1:13" x14ac:dyDescent="0.35">
      <c r="A114" s="24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IFERROR(VLOOKUP(D114,Database!$A$2:$L$175,2,FALSE),"-")</f>
        <v>Holger Tygesen</v>
      </c>
      <c r="F114" t="str">
        <f>ankomster!J114</f>
        <v>-</v>
      </c>
      <c r="G114" t="str">
        <f>IFERROR(VLOOKUP(F114,Database!$A$2:$L$175,2,FALSE),"-")</f>
        <v>-</v>
      </c>
      <c r="H114">
        <f>ankomster!O114</f>
        <v>52</v>
      </c>
      <c r="I114" t="str">
        <f>IFERROR(VLOOKUP(H114,Database!$A$2:$L$175,2,FALSE),"-")</f>
        <v>Gitte Zebitz</v>
      </c>
      <c r="J114" s="76" t="str">
        <f>ankomster!T114</f>
        <v>-</v>
      </c>
      <c r="K114" t="str">
        <f>IFERROR(VLOOKUP(J114,Database!$A$2:$L$175,2,FALSE),"-")</f>
        <v>-</v>
      </c>
      <c r="L114">
        <f>ankomster!Y114</f>
        <v>21</v>
      </c>
      <c r="M114" t="str">
        <f>IFERROR(VLOOKUP(L114,Database!$A$2:$L$175,2,FALSE),"-")</f>
        <v>Arne Sahlstedt</v>
      </c>
    </row>
    <row r="115" spans="1:13" x14ac:dyDescent="0.35">
      <c r="A115" s="24">
        <v>46252</v>
      </c>
      <c r="B115" t="str">
        <f>ankomster!A115</f>
        <v>tirsdag</v>
      </c>
      <c r="C115" t="str">
        <f>ankomster!D115</f>
        <v>-</v>
      </c>
      <c r="D115" t="str">
        <f>ankomster!E115</f>
        <v>-</v>
      </c>
      <c r="E115" t="str">
        <f>IFERROR(VLOOKUP(D115,Database!$A$2:$L$175,2,FALSE),"-")</f>
        <v>-</v>
      </c>
      <c r="F115" t="str">
        <f>ankomster!J115</f>
        <v>-</v>
      </c>
      <c r="G115" t="str">
        <f>IFERROR(VLOOKUP(F115,Database!$A$2:$L$175,2,FALSE),"-")</f>
        <v>-</v>
      </c>
      <c r="H115" t="str">
        <f>ankomster!O115</f>
        <v>-</v>
      </c>
      <c r="I115" t="str">
        <f>IFERROR(VLOOKUP(H115,Database!$A$2:$L$175,2,FALSE),"-")</f>
        <v>-</v>
      </c>
      <c r="J115" s="76" t="str">
        <f>ankomster!T115</f>
        <v>-</v>
      </c>
      <c r="K115" t="str">
        <f>IFERROR(VLOOKUP(J115,Database!$A$2:$L$175,2,FALSE),"-")</f>
        <v>-</v>
      </c>
      <c r="L115" t="str">
        <f>ankomster!Y115</f>
        <v>-</v>
      </c>
      <c r="M115" t="str">
        <f>IFERROR(VLOOKUP(L115,Database!$A$2:$L$175,2,FALSE),"-")</f>
        <v>-</v>
      </c>
    </row>
    <row r="116" spans="1:13" x14ac:dyDescent="0.35">
      <c r="A116" s="24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IFERROR(VLOOKUP(D116,Database!$A$2:$L$175,2,FALSE),"-")</f>
        <v>-</v>
      </c>
      <c r="F116" t="str">
        <f>ankomster!J116</f>
        <v>-</v>
      </c>
      <c r="G116" t="str">
        <f>IFERROR(VLOOKUP(F116,Database!$A$2:$L$175,2,FALSE),"-")</f>
        <v>-</v>
      </c>
      <c r="H116" t="str">
        <f>ankomster!O116</f>
        <v>-</v>
      </c>
      <c r="I116" t="str">
        <f>IFERROR(VLOOKUP(H116,Database!$A$2:$L$175,2,FALSE),"-")</f>
        <v>-</v>
      </c>
      <c r="J116" s="76" t="str">
        <f>ankomster!T116</f>
        <v>-</v>
      </c>
      <c r="K116" t="str">
        <f>IFERROR(VLOOKUP(J116,Database!$A$2:$L$175,2,FALSE),"-")</f>
        <v>-</v>
      </c>
      <c r="L116" t="str">
        <f>ankomster!Y116</f>
        <v>-</v>
      </c>
      <c r="M116" t="str">
        <f>IFERROR(VLOOKUP(L116,Database!$A$2:$L$175,2,FALSE),"-")</f>
        <v>-</v>
      </c>
    </row>
    <row r="117" spans="1:13" x14ac:dyDescent="0.35">
      <c r="A117" s="24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IFERROR(VLOOKUP(D117,Database!$A$2:$L$175,2,FALSE),"-")</f>
        <v>-</v>
      </c>
      <c r="F117">
        <f>ankomster!J117</f>
        <v>54</v>
      </c>
      <c r="G117" t="str">
        <f>IFERROR(VLOOKUP(F117,Database!$A$2:$L$175,2,FALSE),"-")</f>
        <v>Anita Steffensen</v>
      </c>
      <c r="H117" t="str">
        <f>ankomster!O117</f>
        <v>-</v>
      </c>
      <c r="I117" t="str">
        <f>IFERROR(VLOOKUP(H117,Database!$A$2:$L$175,2,FALSE),"-")</f>
        <v>-</v>
      </c>
      <c r="J117" s="76" t="str">
        <f>ankomster!T117</f>
        <v>-</v>
      </c>
      <c r="K117" t="str">
        <f>IFERROR(VLOOKUP(J117,Database!$A$2:$L$175,2,FALSE),"-")</f>
        <v>-</v>
      </c>
      <c r="L117" t="str">
        <f>ankomster!Y117</f>
        <v>-</v>
      </c>
      <c r="M117" t="str">
        <f>IFERROR(VLOOKUP(L117,Database!$A$2:$L$175,2,FALSE),"-")</f>
        <v>-</v>
      </c>
    </row>
    <row r="118" spans="1:13" x14ac:dyDescent="0.35">
      <c r="A118" s="24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IFERROR(VLOOKUP(D118,Database!$A$2:$L$175,2,FALSE),"-")</f>
        <v>-</v>
      </c>
      <c r="F118" t="str">
        <f>ankomster!J118</f>
        <v>-</v>
      </c>
      <c r="G118" t="str">
        <f>IFERROR(VLOOKUP(F118,Database!$A$2:$L$175,2,FALSE),"-")</f>
        <v>-</v>
      </c>
      <c r="H118">
        <f>ankomster!O118</f>
        <v>54</v>
      </c>
      <c r="I118" t="str">
        <f>IFERROR(VLOOKUP(H118,Database!$A$2:$L$175,2,FALSE),"-")</f>
        <v>Anita Steffensen</v>
      </c>
      <c r="J118" s="76">
        <f>ankomster!T118</f>
        <v>93</v>
      </c>
      <c r="K118" t="str">
        <f>IFERROR(VLOOKUP(J118,Database!$A$2:$L$175,2,FALSE),"-")</f>
        <v>Jens Käding</v>
      </c>
      <c r="L118" t="str">
        <f>ankomster!Y118</f>
        <v>-</v>
      </c>
      <c r="M118" t="str">
        <f>IFERROR(VLOOKUP(L118,Database!$A$2:$L$175,2,FALSE),"-")</f>
        <v>-</v>
      </c>
    </row>
    <row r="119" spans="1:13" x14ac:dyDescent="0.35">
      <c r="A119" s="24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IFERROR(VLOOKUP(D119,Database!$A$2:$L$175,2,FALSE),"-")</f>
        <v>Pia Jensen</v>
      </c>
      <c r="F119" t="str">
        <f>ankomster!J119</f>
        <v>-</v>
      </c>
      <c r="G119" t="str">
        <f>IFERROR(VLOOKUP(F119,Database!$A$2:$L$175,2,FALSE),"-")</f>
        <v>-</v>
      </c>
      <c r="H119" t="str">
        <f>ankomster!O119</f>
        <v>-</v>
      </c>
      <c r="I119" t="str">
        <f>IFERROR(VLOOKUP(H119,Database!$A$2:$L$175,2,FALSE),"-")</f>
        <v>-</v>
      </c>
      <c r="J119" s="76" t="str">
        <f>ankomster!T119</f>
        <v>-</v>
      </c>
      <c r="K119" t="str">
        <f>IFERROR(VLOOKUP(J119,Database!$A$2:$L$175,2,FALSE),"-")</f>
        <v>-</v>
      </c>
      <c r="L119">
        <f>ankomster!Y119</f>
        <v>25</v>
      </c>
      <c r="M119" t="str">
        <f>IFERROR(VLOOKUP(L119,Database!$A$2:$L$175,2,FALSE),"-")</f>
        <v>Liliane Schenker</v>
      </c>
    </row>
    <row r="120" spans="1:13" x14ac:dyDescent="0.35">
      <c r="A120" s="24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IFERROR(VLOOKUP(D120,Database!$A$2:$L$175,2,FALSE),"-")</f>
        <v>-</v>
      </c>
      <c r="F120">
        <f>ankomster!J120</f>
        <v>120</v>
      </c>
      <c r="G120" t="str">
        <f>IFERROR(VLOOKUP(F120,Database!$A$2:$L$175,2,FALSE),"-")</f>
        <v>Bo Rosschou</v>
      </c>
      <c r="H120">
        <f>ankomster!O120</f>
        <v>122</v>
      </c>
      <c r="I120" t="str">
        <f>IFERROR(VLOOKUP(H120,Database!$A$2:$L$175,2,FALSE),"-")</f>
        <v>Pernille Tygstrup</v>
      </c>
      <c r="J120" s="76" t="str">
        <f>ankomster!T120</f>
        <v>-</v>
      </c>
      <c r="K120" t="str">
        <f>IFERROR(VLOOKUP(J120,Database!$A$2:$L$175,2,FALSE),"-")</f>
        <v>-</v>
      </c>
      <c r="L120" t="str">
        <f>ankomster!Y120</f>
        <v>-</v>
      </c>
      <c r="M120" t="str">
        <f>IFERROR(VLOOKUP(L120,Database!$A$2:$L$175,2,FALSE),"-")</f>
        <v>-</v>
      </c>
    </row>
    <row r="121" spans="1:13" x14ac:dyDescent="0.35">
      <c r="A121" s="24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IFERROR(VLOOKUP(D121,Database!$A$2:$L$175,2,FALSE),"-")</f>
        <v>-</v>
      </c>
      <c r="F121" t="str">
        <f>ankomster!J121</f>
        <v>-</v>
      </c>
      <c r="G121" t="str">
        <f>IFERROR(VLOOKUP(F121,Database!$A$2:$L$175,2,FALSE),"-")</f>
        <v>-</v>
      </c>
      <c r="H121" t="str">
        <f>ankomster!O121</f>
        <v>-</v>
      </c>
      <c r="I121" t="str">
        <f>IFERROR(VLOOKUP(H121,Database!$A$2:$L$175,2,FALSE),"-")</f>
        <v>-</v>
      </c>
      <c r="J121" s="76">
        <f>ankomster!T121</f>
        <v>60</v>
      </c>
      <c r="K121" t="str">
        <f>IFERROR(VLOOKUP(J121,Database!$A$2:$L$175,2,FALSE),"-")</f>
        <v>Linda Henriksen</v>
      </c>
      <c r="L121" t="str">
        <f>ankomster!Y121</f>
        <v>-</v>
      </c>
      <c r="M121" t="str">
        <f>IFERROR(VLOOKUP(L121,Database!$A$2:$L$175,2,FALSE),"-")</f>
        <v>-</v>
      </c>
    </row>
    <row r="122" spans="1:13" x14ac:dyDescent="0.35">
      <c r="A122" s="24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IFERROR(VLOOKUP(D122,Database!$A$2:$L$175,2,FALSE),"-")</f>
        <v>-</v>
      </c>
      <c r="F122" t="str">
        <f>ankomster!J122</f>
        <v>-</v>
      </c>
      <c r="G122" t="str">
        <f>IFERROR(VLOOKUP(F122,Database!$A$2:$L$175,2,FALSE),"-")</f>
        <v>-</v>
      </c>
      <c r="H122" t="str">
        <f>ankomster!O122</f>
        <v>-</v>
      </c>
      <c r="I122" t="str">
        <f>IFERROR(VLOOKUP(H122,Database!$A$2:$L$175,2,FALSE),"-")</f>
        <v>-</v>
      </c>
      <c r="J122" s="76" t="str">
        <f>ankomster!T122</f>
        <v>-</v>
      </c>
      <c r="K122" t="str">
        <f>IFERROR(VLOOKUP(J122,Database!$A$2:$L$175,2,FALSE),"-")</f>
        <v>-</v>
      </c>
      <c r="L122" t="str">
        <f>ankomster!Y122</f>
        <v>-</v>
      </c>
      <c r="M122" t="str">
        <f>IFERROR(VLOOKUP(L122,Database!$A$2:$L$175,2,FALSE),"-")</f>
        <v>-</v>
      </c>
    </row>
    <row r="123" spans="1:13" x14ac:dyDescent="0.35">
      <c r="A123" s="24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IFERROR(VLOOKUP(D123,Database!$A$2:$L$175,2,FALSE),"-")</f>
        <v>Christian Struck</v>
      </c>
      <c r="F123">
        <f>ankomster!J123</f>
        <v>105</v>
      </c>
      <c r="G123" t="str">
        <f>IFERROR(VLOOKUP(F123,Database!$A$2:$L$175,2,FALSE),"-")</f>
        <v>Tina Hildebrandt</v>
      </c>
      <c r="H123">
        <f>ankomster!O123</f>
        <v>78</v>
      </c>
      <c r="I123" t="str">
        <f>IFERROR(VLOOKUP(H123,Database!$A$2:$L$175,2,FALSE),"-")</f>
        <v>Kim Friedrichs</v>
      </c>
      <c r="J123" s="76" t="str">
        <f>ankomster!T123</f>
        <v>-</v>
      </c>
      <c r="K123" t="str">
        <f>IFERROR(VLOOKUP(J123,Database!$A$2:$L$175,2,FALSE),"-")</f>
        <v>-</v>
      </c>
      <c r="L123" t="str">
        <f>ankomster!Y123</f>
        <v>-</v>
      </c>
      <c r="M123" t="str">
        <f>IFERROR(VLOOKUP(L123,Database!$A$2:$L$175,2,FALSE),"-")</f>
        <v>-</v>
      </c>
    </row>
    <row r="124" spans="1:13" x14ac:dyDescent="0.35">
      <c r="A124" s="24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IFERROR(VLOOKUP(D124,Database!$A$2:$L$175,2,FALSE),"-")</f>
        <v>-</v>
      </c>
      <c r="F124" t="str">
        <f>ankomster!J124</f>
        <v>-</v>
      </c>
      <c r="G124" t="str">
        <f>IFERROR(VLOOKUP(F124,Database!$A$2:$L$175,2,FALSE),"-")</f>
        <v>-</v>
      </c>
      <c r="H124" t="str">
        <f>ankomster!O124</f>
        <v>-</v>
      </c>
      <c r="I124" t="str">
        <f>IFERROR(VLOOKUP(H124,Database!$A$2:$L$175,2,FALSE),"-")</f>
        <v>-</v>
      </c>
      <c r="J124" s="76" t="str">
        <f>ankomster!T124</f>
        <v>-</v>
      </c>
      <c r="K124" t="str">
        <f>IFERROR(VLOOKUP(J124,Database!$A$2:$L$175,2,FALSE),"-")</f>
        <v>-</v>
      </c>
      <c r="L124">
        <f>ankomster!Y124</f>
        <v>35</v>
      </c>
      <c r="M124" t="str">
        <f>IFERROR(VLOOKUP(L124,Database!$A$2:$L$175,2,FALSE),"-")</f>
        <v>Ken Lentonsson</v>
      </c>
    </row>
    <row r="125" spans="1:13" x14ac:dyDescent="0.35">
      <c r="A125" s="24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IFERROR(VLOOKUP(D125,Database!$A$2:$L$175,2,FALSE),"-")</f>
        <v>-</v>
      </c>
      <c r="F125" t="str">
        <f>ankomster!J125</f>
        <v>-</v>
      </c>
      <c r="G125" t="str">
        <f>IFERROR(VLOOKUP(F125,Database!$A$2:$L$175,2,FALSE),"-")</f>
        <v>-</v>
      </c>
      <c r="H125" t="str">
        <f>ankomster!O125</f>
        <v>-</v>
      </c>
      <c r="I125" t="str">
        <f>IFERROR(VLOOKUP(H125,Database!$A$2:$L$175,2,FALSE),"-")</f>
        <v>-</v>
      </c>
      <c r="J125" s="76">
        <f>ankomster!T125</f>
        <v>123</v>
      </c>
      <c r="K125" t="str">
        <f>IFERROR(VLOOKUP(J125,Database!$A$2:$L$175,2,FALSE),"-")</f>
        <v>-</v>
      </c>
      <c r="L125" t="str">
        <f>ankomster!Y125</f>
        <v>-</v>
      </c>
      <c r="M125" t="str">
        <f>IFERROR(VLOOKUP(L125,Database!$A$2:$L$175,2,FALSE),"-")</f>
        <v>-</v>
      </c>
    </row>
    <row r="126" spans="1:13" x14ac:dyDescent="0.35">
      <c r="A126" s="24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IFERROR(VLOOKUP(D126,Database!$A$2:$L$175,2,FALSE),"-")</f>
        <v>-</v>
      </c>
      <c r="F126" t="str">
        <f>ankomster!J126</f>
        <v>-</v>
      </c>
      <c r="G126" t="str">
        <f>IFERROR(VLOOKUP(F126,Database!$A$2:$L$175,2,FALSE),"-")</f>
        <v>-</v>
      </c>
      <c r="H126" t="str">
        <f>ankomster!O126</f>
        <v>-</v>
      </c>
      <c r="I126" t="str">
        <f>IFERROR(VLOOKUP(H126,Database!$A$2:$L$175,2,FALSE),"-")</f>
        <v>-</v>
      </c>
      <c r="J126" s="76" t="str">
        <f>ankomster!T126</f>
        <v>-</v>
      </c>
      <c r="K126" t="str">
        <f>IFERROR(VLOOKUP(J126,Database!$A$2:$L$175,2,FALSE),"-")</f>
        <v>-</v>
      </c>
      <c r="L126" t="str">
        <f>ankomster!Y126</f>
        <v>-</v>
      </c>
      <c r="M126" t="str">
        <f>IFERROR(VLOOKUP(L126,Database!$A$2:$L$175,2,FALSE),"-")</f>
        <v>-</v>
      </c>
    </row>
    <row r="127" spans="1:13" x14ac:dyDescent="0.35">
      <c r="A127" s="24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IFERROR(VLOOKUP(D127,Database!$A$2:$L$175,2,FALSE),"-")</f>
        <v>-</v>
      </c>
      <c r="F127" t="str">
        <f>ankomster!J127</f>
        <v>-</v>
      </c>
      <c r="G127" t="str">
        <f>IFERROR(VLOOKUP(F127,Database!$A$2:$L$175,2,FALSE),"-")</f>
        <v>-</v>
      </c>
      <c r="H127" t="str">
        <f>ankomster!O127</f>
        <v>-</v>
      </c>
      <c r="I127" t="str">
        <f>IFERROR(VLOOKUP(H127,Database!$A$2:$L$175,2,FALSE),"-")</f>
        <v>-</v>
      </c>
      <c r="J127" s="76" t="str">
        <f>ankomster!T127</f>
        <v>-</v>
      </c>
      <c r="K127" t="str">
        <f>IFERROR(VLOOKUP(J127,Database!$A$2:$L$175,2,FALSE),"-")</f>
        <v>-</v>
      </c>
      <c r="L127" t="str">
        <f>ankomster!Y127</f>
        <v>-</v>
      </c>
      <c r="M127" t="str">
        <f>IFERROR(VLOOKUP(L127,Database!$A$2:$L$175,2,FALSE),"-")</f>
        <v>-</v>
      </c>
    </row>
    <row r="128" spans="1:13" x14ac:dyDescent="0.35">
      <c r="A128" s="24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IFERROR(VLOOKUP(D128,Database!$A$2:$L$175,2,FALSE),"-")</f>
        <v>-</v>
      </c>
      <c r="F128" t="str">
        <f>ankomster!J128</f>
        <v>-</v>
      </c>
      <c r="G128" t="str">
        <f>IFERROR(VLOOKUP(F128,Database!$A$2:$L$175,2,FALSE),"-")</f>
        <v>-</v>
      </c>
      <c r="H128" t="str">
        <f>ankomster!O128</f>
        <v>-</v>
      </c>
      <c r="I128" t="str">
        <f>IFERROR(VLOOKUP(H128,Database!$A$2:$L$175,2,FALSE),"-")</f>
        <v>-</v>
      </c>
      <c r="J128" s="76" t="str">
        <f>ankomster!T128</f>
        <v>-</v>
      </c>
      <c r="K128" t="str">
        <f>IFERROR(VLOOKUP(J128,Database!$A$2:$L$175,2,FALSE),"-")</f>
        <v>-</v>
      </c>
      <c r="L128" t="str">
        <f>ankomster!Y128</f>
        <v>-</v>
      </c>
      <c r="M128" t="str">
        <f>IFERROR(VLOOKUP(L128,Database!$A$2:$L$175,2,FALSE),"-")</f>
        <v>-</v>
      </c>
    </row>
    <row r="129" spans="1:13" x14ac:dyDescent="0.35">
      <c r="A129" s="24">
        <v>46266</v>
      </c>
      <c r="B129" t="str">
        <f>ankomster!A129</f>
        <v>tirsdag</v>
      </c>
      <c r="C129" t="str">
        <f>ankomster!D129</f>
        <v>-</v>
      </c>
      <c r="D129" t="str">
        <f>ankomster!E129</f>
        <v>-</v>
      </c>
      <c r="E129" t="str">
        <f>IFERROR(VLOOKUP(D129,Database!$A$2:$L$175,2,FALSE),"-")</f>
        <v>-</v>
      </c>
      <c r="F129" t="str">
        <f>ankomster!J129</f>
        <v>-</v>
      </c>
      <c r="G129" t="str">
        <f>IFERROR(VLOOKUP(F129,Database!$A$2:$L$175,2,FALSE),"-")</f>
        <v>-</v>
      </c>
      <c r="H129" t="str">
        <f>ankomster!O129</f>
        <v>-</v>
      </c>
      <c r="I129" t="str">
        <f>IFERROR(VLOOKUP(H129,Database!$A$2:$L$175,2,FALSE),"-")</f>
        <v>-</v>
      </c>
      <c r="J129" s="76" t="str">
        <f>ankomster!T129</f>
        <v>-</v>
      </c>
      <c r="K129" t="str">
        <f>IFERROR(VLOOKUP(J129,Database!$A$2:$L$175,2,FALSE),"-")</f>
        <v>-</v>
      </c>
      <c r="L129" t="str">
        <f>ankomster!Y129</f>
        <v>-</v>
      </c>
      <c r="M129" t="str">
        <f>IFERROR(VLOOKUP(L129,Database!$A$2:$L$175,2,FALSE),"-")</f>
        <v>-</v>
      </c>
    </row>
    <row r="130" spans="1:13" x14ac:dyDescent="0.35">
      <c r="A130" s="24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IFERROR(VLOOKUP(D130,Database!$A$2:$L$175,2,FALSE),"-")</f>
        <v>-</v>
      </c>
      <c r="F130" t="str">
        <f>ankomster!J130</f>
        <v>-</v>
      </c>
      <c r="G130" t="str">
        <f>IFERROR(VLOOKUP(F130,Database!$A$2:$L$175,2,FALSE),"-")</f>
        <v>-</v>
      </c>
      <c r="H130" t="str">
        <f>ankomster!O130</f>
        <v>-</v>
      </c>
      <c r="I130" t="str">
        <f>IFERROR(VLOOKUP(H130,Database!$A$2:$L$175,2,FALSE),"-")</f>
        <v>-</v>
      </c>
      <c r="J130" s="76" t="str">
        <f>ankomster!T130</f>
        <v>-</v>
      </c>
      <c r="K130" t="str">
        <f>IFERROR(VLOOKUP(J130,Database!$A$2:$L$175,2,FALSE),"-")</f>
        <v>-</v>
      </c>
      <c r="L130" t="str">
        <f>ankomster!Y130</f>
        <v>-</v>
      </c>
      <c r="M130" t="str">
        <f>IFERROR(VLOOKUP(L130,Database!$A$2:$L$175,2,FALSE),"-")</f>
        <v>-</v>
      </c>
    </row>
    <row r="131" spans="1:13" x14ac:dyDescent="0.35">
      <c r="A131" s="24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IFERROR(VLOOKUP(D131,Database!$A$2:$L$175,2,FALSE),"-")</f>
        <v>-</v>
      </c>
      <c r="F131" t="str">
        <f>ankomster!J131</f>
        <v>-</v>
      </c>
      <c r="G131" t="str">
        <f>IFERROR(VLOOKUP(F131,Database!$A$2:$L$175,2,FALSE),"-")</f>
        <v>-</v>
      </c>
      <c r="H131" t="str">
        <f>ankomster!O131</f>
        <v>-</v>
      </c>
      <c r="I131" t="str">
        <f>IFERROR(VLOOKUP(H131,Database!$A$2:$L$175,2,FALSE),"-")</f>
        <v>-</v>
      </c>
      <c r="J131" s="76" t="str">
        <f>ankomster!T131</f>
        <v>-</v>
      </c>
      <c r="K131" t="str">
        <f>IFERROR(VLOOKUP(J131,Database!$A$2:$L$175,2,FALSE),"-")</f>
        <v>-</v>
      </c>
      <c r="L131" t="str">
        <f>ankomster!Y131</f>
        <v>-</v>
      </c>
      <c r="M131" t="str">
        <f>IFERROR(VLOOKUP(L131,Database!$A$2:$L$175,2,FALSE),"-")</f>
        <v>-</v>
      </c>
    </row>
    <row r="132" spans="1:13" x14ac:dyDescent="0.35">
      <c r="A132" s="24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IFERROR(VLOOKUP(D132,Database!$A$2:$L$175,2,FALSE),"-")</f>
        <v>-</v>
      </c>
      <c r="F132" t="str">
        <f>ankomster!J132</f>
        <v>-</v>
      </c>
      <c r="G132" t="str">
        <f>IFERROR(VLOOKUP(F132,Database!$A$2:$L$175,2,FALSE),"-")</f>
        <v>-</v>
      </c>
      <c r="H132" t="str">
        <f>ankomster!O132</f>
        <v>-</v>
      </c>
      <c r="I132" t="str">
        <f>IFERROR(VLOOKUP(H132,Database!$A$2:$L$175,2,FALSE),"-")</f>
        <v>-</v>
      </c>
      <c r="J132" s="76">
        <f>ankomster!T132</f>
        <v>113</v>
      </c>
      <c r="K132" t="str">
        <f>IFERROR(VLOOKUP(J132,Database!$A$2:$L$175,2,FALSE),"-")</f>
        <v>Maria Friis Jensen</v>
      </c>
      <c r="L132" t="str">
        <f>ankomster!Y132</f>
        <v>-</v>
      </c>
      <c r="M132" t="str">
        <f>IFERROR(VLOOKUP(L132,Database!$A$2:$L$175,2,FALSE),"-")</f>
        <v>-</v>
      </c>
    </row>
    <row r="133" spans="1:13" x14ac:dyDescent="0.35">
      <c r="A133" s="24">
        <v>46270</v>
      </c>
      <c r="B133" t="str">
        <f>ankomster!A133</f>
        <v>lørdag</v>
      </c>
      <c r="C133" t="str">
        <f>ankomster!D133</f>
        <v>-</v>
      </c>
      <c r="D133" t="str">
        <f>ankomster!E133</f>
        <v>-</v>
      </c>
      <c r="E133" t="str">
        <f>IFERROR(VLOOKUP(D133,Database!$A$2:$L$175,2,FALSE),"-")</f>
        <v>-</v>
      </c>
      <c r="F133" t="str">
        <f>ankomster!J133</f>
        <v>-</v>
      </c>
      <c r="G133" t="str">
        <f>IFERROR(VLOOKUP(F133,Database!$A$2:$L$175,2,FALSE),"-")</f>
        <v>-</v>
      </c>
      <c r="H133" t="str">
        <f>ankomster!O133</f>
        <v>-</v>
      </c>
      <c r="I133" t="str">
        <f>IFERROR(VLOOKUP(H133,Database!$A$2:$L$175,2,FALSE),"-")</f>
        <v>-</v>
      </c>
      <c r="J133" s="76" t="str">
        <f>ankomster!T133</f>
        <v>-</v>
      </c>
      <c r="K133" t="str">
        <f>IFERROR(VLOOKUP(J133,Database!$A$2:$L$175,2,FALSE),"-")</f>
        <v>-</v>
      </c>
      <c r="L133" t="str">
        <f>ankomster!Y133</f>
        <v>-</v>
      </c>
      <c r="M133" t="str">
        <f>IFERROR(VLOOKUP(L133,Database!$A$2:$L$175,2,FALSE),"-")</f>
        <v>-</v>
      </c>
    </row>
    <row r="134" spans="1:13" x14ac:dyDescent="0.35">
      <c r="A134" s="24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IFERROR(VLOOKUP(D134,Database!$A$2:$L$175,2,FALSE),"-")</f>
        <v>-</v>
      </c>
      <c r="F134" t="str">
        <f>ankomster!J134</f>
        <v>-</v>
      </c>
      <c r="G134" t="str">
        <f>IFERROR(VLOOKUP(F134,Database!$A$2:$L$175,2,FALSE),"-")</f>
        <v>-</v>
      </c>
      <c r="H134" t="str">
        <f>ankomster!O134</f>
        <v>-</v>
      </c>
      <c r="I134" t="str">
        <f>IFERROR(VLOOKUP(H134,Database!$A$2:$L$175,2,FALSE),"-")</f>
        <v>-</v>
      </c>
      <c r="J134" s="76" t="str">
        <f>ankomster!T134</f>
        <v>-</v>
      </c>
      <c r="K134" t="str">
        <f>IFERROR(VLOOKUP(J134,Database!$A$2:$L$175,2,FALSE),"-")</f>
        <v>-</v>
      </c>
      <c r="L134">
        <f>ankomster!Y134</f>
        <v>22</v>
      </c>
      <c r="M134" t="str">
        <f>IFERROR(VLOOKUP(L134,Database!$A$2:$L$175,2,FALSE),"-")</f>
        <v>Schroll Lothar</v>
      </c>
    </row>
    <row r="135" spans="1:13" x14ac:dyDescent="0.35">
      <c r="A135" s="24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IFERROR(VLOOKUP(D135,Database!$A$2:$L$175,2,FALSE),"-")</f>
        <v>-</v>
      </c>
      <c r="F135" t="str">
        <f>ankomster!J135</f>
        <v>-</v>
      </c>
      <c r="G135" t="str">
        <f>IFERROR(VLOOKUP(F135,Database!$A$2:$L$175,2,FALSE),"-")</f>
        <v>-</v>
      </c>
      <c r="H135" t="str">
        <f>ankomster!O135</f>
        <v>-</v>
      </c>
      <c r="I135" t="str">
        <f>IFERROR(VLOOKUP(H135,Database!$A$2:$L$175,2,FALSE),"-")</f>
        <v>-</v>
      </c>
      <c r="J135" s="76">
        <f>ankomster!T135</f>
        <v>118</v>
      </c>
      <c r="K135" t="str">
        <f>IFERROR(VLOOKUP(J135,Database!$A$2:$L$175,2,FALSE),"-")</f>
        <v>Børge Nordstrand</v>
      </c>
      <c r="L135" t="str">
        <f>ankomster!Y135</f>
        <v>-</v>
      </c>
      <c r="M135" t="str">
        <f>IFERROR(VLOOKUP(L135,Database!$A$2:$L$175,2,FALSE),"-")</f>
        <v>-</v>
      </c>
    </row>
    <row r="136" spans="1:13" x14ac:dyDescent="0.35">
      <c r="A136" s="24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IFERROR(VLOOKUP(D136,Database!$A$2:$L$175,2,FALSE),"-")</f>
        <v>-</v>
      </c>
      <c r="F136" t="str">
        <f>ankomster!J136</f>
        <v>-</v>
      </c>
      <c r="G136" t="str">
        <f>IFERROR(VLOOKUP(F136,Database!$A$2:$L$175,2,FALSE),"-")</f>
        <v>-</v>
      </c>
      <c r="H136" t="str">
        <f>ankomster!O136</f>
        <v>-</v>
      </c>
      <c r="I136" t="str">
        <f>IFERROR(VLOOKUP(H136,Database!$A$2:$L$175,2,FALSE),"-")</f>
        <v>-</v>
      </c>
      <c r="J136" s="76" t="str">
        <f>ankomster!T136</f>
        <v>-</v>
      </c>
      <c r="K136" t="str">
        <f>IFERROR(VLOOKUP(J136,Database!$A$2:$L$175,2,FALSE),"-")</f>
        <v>-</v>
      </c>
      <c r="L136" t="str">
        <f>ankomster!Y136</f>
        <v>-</v>
      </c>
      <c r="M136" t="str">
        <f>IFERROR(VLOOKUP(L136,Database!$A$2:$L$175,2,FALSE),"-")</f>
        <v>-</v>
      </c>
    </row>
    <row r="137" spans="1:13" x14ac:dyDescent="0.35">
      <c r="A137" s="24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IFERROR(VLOOKUP(D137,Database!$A$2:$L$175,2,FALSE),"-")</f>
        <v>-</v>
      </c>
      <c r="F137" t="str">
        <f>ankomster!J137</f>
        <v>-</v>
      </c>
      <c r="G137" t="str">
        <f>IFERROR(VLOOKUP(F137,Database!$A$2:$L$175,2,FALSE),"-")</f>
        <v>-</v>
      </c>
      <c r="H137" t="str">
        <f>ankomster!O137</f>
        <v>-</v>
      </c>
      <c r="I137" t="str">
        <f>IFERROR(VLOOKUP(H137,Database!$A$2:$L$175,2,FALSE),"-")</f>
        <v>-</v>
      </c>
      <c r="J137" s="76" t="str">
        <f>ankomster!T137</f>
        <v>-</v>
      </c>
      <c r="K137" t="str">
        <f>IFERROR(VLOOKUP(J137,Database!$A$2:$L$175,2,FALSE),"-")</f>
        <v>-</v>
      </c>
      <c r="L137" t="str">
        <f>ankomster!Y137</f>
        <v>-</v>
      </c>
      <c r="M137" t="str">
        <f>IFERROR(VLOOKUP(L137,Database!$A$2:$L$175,2,FALSE),"-")</f>
        <v>-</v>
      </c>
    </row>
    <row r="138" spans="1:13" x14ac:dyDescent="0.35">
      <c r="A138" s="24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IFERROR(VLOOKUP(D138,Database!$A$2:$L$175,2,FALSE),"-")</f>
        <v>-</v>
      </c>
      <c r="F138" t="str">
        <f>ankomster!J138</f>
        <v>-</v>
      </c>
      <c r="G138" t="str">
        <f>IFERROR(VLOOKUP(F138,Database!$A$2:$L$175,2,FALSE),"-")</f>
        <v>-</v>
      </c>
      <c r="H138" t="str">
        <f>ankomster!O138</f>
        <v>-</v>
      </c>
      <c r="I138" t="str">
        <f>IFERROR(VLOOKUP(H138,Database!$A$2:$L$175,2,FALSE),"-")</f>
        <v>-</v>
      </c>
      <c r="J138" s="76" t="str">
        <f>ankomster!T138</f>
        <v>-</v>
      </c>
      <c r="K138" t="str">
        <f>IFERROR(VLOOKUP(J138,Database!$A$2:$L$175,2,FALSE),"-")</f>
        <v>-</v>
      </c>
      <c r="L138" t="str">
        <f>ankomster!Y138</f>
        <v>-</v>
      </c>
      <c r="M138" t="str">
        <f>IFERROR(VLOOKUP(L138,Database!$A$2:$L$175,2,FALSE),"-")</f>
        <v>-</v>
      </c>
    </row>
    <row r="139" spans="1:13" x14ac:dyDescent="0.35">
      <c r="A139" s="24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IFERROR(VLOOKUP(D139,Database!$A$2:$L$175,2,FALSE),"-")</f>
        <v>Helle jacobsen</v>
      </c>
      <c r="F139">
        <f>ankomster!J139</f>
        <v>89</v>
      </c>
      <c r="G139" t="str">
        <f>IFERROR(VLOOKUP(F139,Database!$A$2:$L$175,2,FALSE),"-")</f>
        <v>Helle jacobsen</v>
      </c>
      <c r="H139" t="str">
        <f>ankomster!O139</f>
        <v>-</v>
      </c>
      <c r="I139" t="str">
        <f>IFERROR(VLOOKUP(H139,Database!$A$2:$L$175,2,FALSE),"-")</f>
        <v>-</v>
      </c>
      <c r="J139" s="76" t="str">
        <f>ankomster!T139</f>
        <v>-</v>
      </c>
      <c r="K139" t="str">
        <f>IFERROR(VLOOKUP(J139,Database!$A$2:$L$175,2,FALSE),"-")</f>
        <v>-</v>
      </c>
      <c r="L139" t="str">
        <f>ankomster!Y139</f>
        <v>-</v>
      </c>
      <c r="M139" t="str">
        <f>IFERROR(VLOOKUP(L139,Database!$A$2:$L$175,2,FALSE),"-")</f>
        <v>-</v>
      </c>
    </row>
    <row r="140" spans="1:13" x14ac:dyDescent="0.35">
      <c r="A140" s="24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IFERROR(VLOOKUP(D140,Database!$A$2:$L$175,2,FALSE),"-")</f>
        <v>-</v>
      </c>
      <c r="F140" t="str">
        <f>ankomster!J140</f>
        <v>-</v>
      </c>
      <c r="G140" t="str">
        <f>IFERROR(VLOOKUP(F140,Database!$A$2:$L$175,2,FALSE),"-")</f>
        <v>-</v>
      </c>
      <c r="H140">
        <f>ankomster!O140</f>
        <v>103</v>
      </c>
      <c r="I140" t="str">
        <f>IFERROR(VLOOKUP(H140,Database!$A$2:$L$175,2,FALSE),"-")</f>
        <v>Heidi Rose</v>
      </c>
      <c r="J140" s="76" t="str">
        <f>ankomster!T140</f>
        <v>-</v>
      </c>
      <c r="K140" t="str">
        <f>IFERROR(VLOOKUP(J140,Database!$A$2:$L$175,2,FALSE),"-")</f>
        <v>-</v>
      </c>
      <c r="L140" t="str">
        <f>ankomster!Y140</f>
        <v>-</v>
      </c>
      <c r="M140" t="str">
        <f>IFERROR(VLOOKUP(L140,Database!$A$2:$L$175,2,FALSE),"-")</f>
        <v>-</v>
      </c>
    </row>
    <row r="141" spans="1:13" x14ac:dyDescent="0.35">
      <c r="A141" s="24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IFERROR(VLOOKUP(D141,Database!$A$2:$L$175,2,FALSE),"-")</f>
        <v>-</v>
      </c>
      <c r="F141" t="str">
        <f>ankomster!J141</f>
        <v>-</v>
      </c>
      <c r="G141" t="str">
        <f>IFERROR(VLOOKUP(F141,Database!$A$2:$L$175,2,FALSE),"-")</f>
        <v>-</v>
      </c>
      <c r="H141" t="str">
        <f>ankomster!O141</f>
        <v>-</v>
      </c>
      <c r="I141" t="str">
        <f>IFERROR(VLOOKUP(H141,Database!$A$2:$L$175,2,FALSE),"-")</f>
        <v>-</v>
      </c>
      <c r="J141" s="76" t="str">
        <f>ankomster!T141</f>
        <v>-</v>
      </c>
      <c r="K141" t="str">
        <f>IFERROR(VLOOKUP(J141,Database!$A$2:$L$175,2,FALSE),"-")</f>
        <v>-</v>
      </c>
      <c r="L141" t="str">
        <f>ankomster!Y141</f>
        <v>-</v>
      </c>
      <c r="M141" t="str">
        <f>IFERROR(VLOOKUP(L141,Database!$A$2:$L$175,2,FALSE),"-")</f>
        <v>-</v>
      </c>
    </row>
    <row r="142" spans="1:13" x14ac:dyDescent="0.35">
      <c r="A142" s="24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IFERROR(VLOOKUP(D142,Database!$A$2:$L$175,2,FALSE),"-")</f>
        <v>Lene Larsen</v>
      </c>
      <c r="F142" t="str">
        <f>ankomster!J142</f>
        <v>-</v>
      </c>
      <c r="G142" t="str">
        <f>IFERROR(VLOOKUP(F142,Database!$A$2:$L$175,2,FALSE),"-")</f>
        <v>-</v>
      </c>
      <c r="H142" t="str">
        <f>ankomster!O142</f>
        <v>-</v>
      </c>
      <c r="I142" t="str">
        <f>IFERROR(VLOOKUP(H142,Database!$A$2:$L$175,2,FALSE),"-")</f>
        <v>-</v>
      </c>
      <c r="J142" s="76">
        <f>ankomster!T142</f>
        <v>101</v>
      </c>
      <c r="K142" t="str">
        <f>IFERROR(VLOOKUP(J142,Database!$A$2:$L$175,2,FALSE),"-")</f>
        <v>Kirsten Nørgård Pedersen</v>
      </c>
      <c r="L142" t="str">
        <f>ankomster!Y142</f>
        <v>-</v>
      </c>
      <c r="M142" t="str">
        <f>IFERROR(VLOOKUP(L142,Database!$A$2:$L$175,2,FALSE),"-")</f>
        <v>-</v>
      </c>
    </row>
    <row r="143" spans="1:13" x14ac:dyDescent="0.35">
      <c r="A143" s="24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IFERROR(VLOOKUP(D143,Database!$A$2:$L$175,2,FALSE),"-")</f>
        <v>-</v>
      </c>
      <c r="F143" t="str">
        <f>ankomster!J143</f>
        <v>-</v>
      </c>
      <c r="G143" t="str">
        <f>IFERROR(VLOOKUP(F143,Database!$A$2:$L$175,2,FALSE),"-")</f>
        <v>-</v>
      </c>
      <c r="H143" t="str">
        <f>ankomster!O143</f>
        <v>-</v>
      </c>
      <c r="I143" t="str">
        <f>IFERROR(VLOOKUP(H143,Database!$A$2:$L$175,2,FALSE),"-")</f>
        <v>-</v>
      </c>
      <c r="J143" s="76" t="str">
        <f>ankomster!T143</f>
        <v>-</v>
      </c>
      <c r="K143" t="str">
        <f>IFERROR(VLOOKUP(J143,Database!$A$2:$L$175,2,FALSE),"-")</f>
        <v>-</v>
      </c>
      <c r="L143" t="str">
        <f>ankomster!Y143</f>
        <v>-</v>
      </c>
      <c r="M143" t="str">
        <f>IFERROR(VLOOKUP(L143,Database!$A$2:$L$175,2,FALSE),"-")</f>
        <v>-</v>
      </c>
    </row>
    <row r="144" spans="1:13" x14ac:dyDescent="0.35">
      <c r="A144" s="24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IFERROR(VLOOKUP(D144,Database!$A$2:$L$175,2,FALSE),"-")</f>
        <v>-</v>
      </c>
      <c r="F144">
        <f>ankomster!J144</f>
        <v>47</v>
      </c>
      <c r="G144" t="str">
        <f>IFERROR(VLOOKUP(F144,Database!$A$2:$L$175,2,FALSE),"-")</f>
        <v>Dorte Strøm</v>
      </c>
      <c r="H144" t="str">
        <f>ankomster!O144</f>
        <v>-</v>
      </c>
      <c r="I144" t="str">
        <f>IFERROR(VLOOKUP(H144,Database!$A$2:$L$175,2,FALSE),"-")</f>
        <v>-</v>
      </c>
      <c r="J144" s="76" t="str">
        <f>ankomster!T144</f>
        <v>-</v>
      </c>
      <c r="K144" t="str">
        <f>IFERROR(VLOOKUP(J144,Database!$A$2:$L$175,2,FALSE),"-")</f>
        <v>-</v>
      </c>
      <c r="L144" t="str">
        <f>ankomster!Y144</f>
        <v>-</v>
      </c>
      <c r="M144" t="str">
        <f>IFERROR(VLOOKUP(L144,Database!$A$2:$L$175,2,FALSE),"-")</f>
        <v>-</v>
      </c>
    </row>
    <row r="145" spans="1:13" x14ac:dyDescent="0.35">
      <c r="A145" s="24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IFERROR(VLOOKUP(D145,Database!$A$2:$L$175,2,FALSE),"-")</f>
        <v>Mette Sandvig</v>
      </c>
      <c r="F145" t="str">
        <f>ankomster!J145</f>
        <v>-</v>
      </c>
      <c r="G145" t="str">
        <f>IFERROR(VLOOKUP(F145,Database!$A$2:$L$175,2,FALSE),"-")</f>
        <v>-</v>
      </c>
      <c r="H145" t="str">
        <f>ankomster!O145</f>
        <v>-</v>
      </c>
      <c r="I145" t="str">
        <f>IFERROR(VLOOKUP(H145,Database!$A$2:$L$175,2,FALSE),"-")</f>
        <v>-</v>
      </c>
      <c r="J145" s="76">
        <f>ankomster!T145</f>
        <v>42</v>
      </c>
      <c r="K145" t="str">
        <f>IFERROR(VLOOKUP(J145,Database!$A$2:$L$175,2,FALSE),"-")</f>
        <v>Lisbeth Helbl</v>
      </c>
      <c r="L145" t="str">
        <f>ankomster!Y145</f>
        <v>-</v>
      </c>
      <c r="M145" t="str">
        <f>IFERROR(VLOOKUP(L145,Database!$A$2:$L$175,2,FALSE),"-")</f>
        <v>-</v>
      </c>
    </row>
    <row r="146" spans="1:13" x14ac:dyDescent="0.35">
      <c r="A146" s="24">
        <v>46283</v>
      </c>
      <c r="B146" t="str">
        <f>ankomster!A146</f>
        <v>fredag</v>
      </c>
      <c r="C146" t="str">
        <f>ankomster!D146</f>
        <v>Y</v>
      </c>
      <c r="D146" t="str">
        <f>ankomster!E146</f>
        <v>-</v>
      </c>
      <c r="E146" t="str">
        <f>IFERROR(VLOOKUP(D146,Database!$A$2:$L$175,2,FALSE),"-")</f>
        <v>-</v>
      </c>
      <c r="F146" t="str">
        <f>ankomster!J146</f>
        <v>-</v>
      </c>
      <c r="G146" t="str">
        <f>IFERROR(VLOOKUP(F146,Database!$A$2:$L$175,2,FALSE),"-")</f>
        <v>-</v>
      </c>
      <c r="H146" t="str">
        <f>ankomster!O146</f>
        <v>-</v>
      </c>
      <c r="I146" t="str">
        <f>IFERROR(VLOOKUP(H146,Database!$A$2:$L$175,2,FALSE),"-")</f>
        <v>-</v>
      </c>
      <c r="J146" s="76" t="str">
        <f>ankomster!T146</f>
        <v>-</v>
      </c>
      <c r="K146" t="str">
        <f>IFERROR(VLOOKUP(J146,Database!$A$2:$L$175,2,FALSE),"-")</f>
        <v>-</v>
      </c>
      <c r="L146">
        <f>ankomster!Y146</f>
        <v>3</v>
      </c>
      <c r="M146" t="str">
        <f>IFERROR(VLOOKUP(L146,Database!$A$2:$L$175,2,FALSE),"-")</f>
        <v>Jan Gaard</v>
      </c>
    </row>
    <row r="147" spans="1:13" x14ac:dyDescent="0.35">
      <c r="A147" s="24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IFERROR(VLOOKUP(D147,Database!$A$2:$L$175,2,FALSE),"-")</f>
        <v>-</v>
      </c>
      <c r="F147" t="str">
        <f>ankomster!J147</f>
        <v>-</v>
      </c>
      <c r="G147" t="str">
        <f>IFERROR(VLOOKUP(F147,Database!$A$2:$L$175,2,FALSE),"-")</f>
        <v>-</v>
      </c>
      <c r="H147" t="str">
        <f>ankomster!O147</f>
        <v>-</v>
      </c>
      <c r="I147" t="str">
        <f>IFERROR(VLOOKUP(H147,Database!$A$2:$L$175,2,FALSE),"-")</f>
        <v>-</v>
      </c>
      <c r="J147" s="76" t="str">
        <f>ankomster!T147</f>
        <v>-</v>
      </c>
      <c r="K147" t="str">
        <f>IFERROR(VLOOKUP(J147,Database!$A$2:$L$175,2,FALSE),"-")</f>
        <v>-</v>
      </c>
      <c r="L147" t="str">
        <f>ankomster!Y147</f>
        <v>-</v>
      </c>
      <c r="M147" t="str">
        <f>IFERROR(VLOOKUP(L147,Database!$A$2:$L$175,2,FALSE),"-")</f>
        <v>-</v>
      </c>
    </row>
    <row r="148" spans="1:13" x14ac:dyDescent="0.35">
      <c r="A148" s="24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IFERROR(VLOOKUP(D148,Database!$A$2:$L$175,2,FALSE),"-")</f>
        <v>-</v>
      </c>
      <c r="F148" t="str">
        <f>ankomster!J148</f>
        <v>-</v>
      </c>
      <c r="G148" t="str">
        <f>IFERROR(VLOOKUP(F148,Database!$A$2:$L$175,2,FALSE),"-")</f>
        <v>-</v>
      </c>
      <c r="H148" t="str">
        <f>ankomster!O148</f>
        <v>-</v>
      </c>
      <c r="I148" t="str">
        <f>IFERROR(VLOOKUP(H148,Database!$A$2:$L$175,2,FALSE),"-")</f>
        <v>-</v>
      </c>
      <c r="J148" s="76" t="str">
        <f>ankomster!T148</f>
        <v>-</v>
      </c>
      <c r="K148" t="str">
        <f>IFERROR(VLOOKUP(J148,Database!$A$2:$L$175,2,FALSE),"-")</f>
        <v>-</v>
      </c>
      <c r="L148" t="str">
        <f>ankomster!Y148</f>
        <v>-</v>
      </c>
      <c r="M148" t="str">
        <f>IFERROR(VLOOKUP(L148,Database!$A$2:$L$175,2,FALSE),"-")</f>
        <v>-</v>
      </c>
    </row>
    <row r="149" spans="1:13" x14ac:dyDescent="0.35">
      <c r="A149" s="24">
        <v>46286</v>
      </c>
      <c r="B149" t="str">
        <f>ankomster!A149</f>
        <v>mandag</v>
      </c>
      <c r="C149" t="str">
        <f>ankomster!D149</f>
        <v>-</v>
      </c>
      <c r="D149" t="str">
        <f>ankomster!E149</f>
        <v>-</v>
      </c>
      <c r="E149" t="str">
        <f>IFERROR(VLOOKUP(D149,Database!$A$2:$L$175,2,FALSE),"-")</f>
        <v>-</v>
      </c>
      <c r="F149" t="str">
        <f>ankomster!J149</f>
        <v>-</v>
      </c>
      <c r="G149" t="str">
        <f>IFERROR(VLOOKUP(F149,Database!$A$2:$L$175,2,FALSE),"-")</f>
        <v>-</v>
      </c>
      <c r="H149" t="str">
        <f>ankomster!O149</f>
        <v>-</v>
      </c>
      <c r="I149" t="str">
        <f>IFERROR(VLOOKUP(H149,Database!$A$2:$L$175,2,FALSE),"-")</f>
        <v>-</v>
      </c>
      <c r="J149" s="76" t="str">
        <f>ankomster!T149</f>
        <v>-</v>
      </c>
      <c r="K149" t="str">
        <f>IFERROR(VLOOKUP(J149,Database!$A$2:$L$175,2,FALSE),"-")</f>
        <v>-</v>
      </c>
      <c r="L149" t="str">
        <f>ankomster!Y149</f>
        <v>-</v>
      </c>
      <c r="M149" t="str">
        <f>IFERROR(VLOOKUP(L149,Database!$A$2:$L$175,2,FALSE),"-")</f>
        <v>-</v>
      </c>
    </row>
    <row r="150" spans="1:13" x14ac:dyDescent="0.35">
      <c r="A150" s="24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IFERROR(VLOOKUP(D150,Database!$A$2:$L$175,2,FALSE),"-")</f>
        <v>-</v>
      </c>
      <c r="F150" t="str">
        <f>ankomster!J150</f>
        <v>-</v>
      </c>
      <c r="G150" t="str">
        <f>IFERROR(VLOOKUP(F150,Database!$A$2:$L$175,2,FALSE),"-")</f>
        <v>-</v>
      </c>
      <c r="H150" t="str">
        <f>ankomster!O150</f>
        <v>-</v>
      </c>
      <c r="I150" t="str">
        <f>IFERROR(VLOOKUP(H150,Database!$A$2:$L$175,2,FALSE),"-")</f>
        <v>-</v>
      </c>
      <c r="J150" s="76" t="str">
        <f>ankomster!T150</f>
        <v>-</v>
      </c>
      <c r="K150" t="str">
        <f>IFERROR(VLOOKUP(J150,Database!$A$2:$L$175,2,FALSE),"-")</f>
        <v>-</v>
      </c>
      <c r="L150" t="str">
        <f>ankomster!Y150</f>
        <v>-</v>
      </c>
      <c r="M150" t="str">
        <f>IFERROR(VLOOKUP(L150,Database!$A$2:$L$175,2,FALSE),"-")</f>
        <v>-</v>
      </c>
    </row>
    <row r="151" spans="1:13" x14ac:dyDescent="0.35">
      <c r="A151" s="24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IFERROR(VLOOKUP(D151,Database!$A$2:$L$175,2,FALSE),"-")</f>
        <v>-</v>
      </c>
      <c r="F151" t="str">
        <f>ankomster!J151</f>
        <v>-</v>
      </c>
      <c r="G151" t="str">
        <f>IFERROR(VLOOKUP(F151,Database!$A$2:$L$175,2,FALSE),"-")</f>
        <v>-</v>
      </c>
      <c r="H151" t="str">
        <f>ankomster!O151</f>
        <v>-</v>
      </c>
      <c r="I151" t="str">
        <f>IFERROR(VLOOKUP(H151,Database!$A$2:$L$175,2,FALSE),"-")</f>
        <v>-</v>
      </c>
      <c r="J151" s="76" t="str">
        <f>ankomster!T151</f>
        <v>-</v>
      </c>
      <c r="K151" t="str">
        <f>IFERROR(VLOOKUP(J151,Database!$A$2:$L$175,2,FALSE),"-")</f>
        <v>-</v>
      </c>
      <c r="L151" t="str">
        <f>ankomster!Y151</f>
        <v>-</v>
      </c>
      <c r="M151" t="str">
        <f>IFERROR(VLOOKUP(L151,Database!$A$2:$L$175,2,FALSE),"-")</f>
        <v>-</v>
      </c>
    </row>
    <row r="152" spans="1:13" x14ac:dyDescent="0.35">
      <c r="A152" s="24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IFERROR(VLOOKUP(D152,Database!$A$2:$L$175,2,FALSE),"-")</f>
        <v>-</v>
      </c>
      <c r="F152" t="str">
        <f>ankomster!J152</f>
        <v>-</v>
      </c>
      <c r="G152" t="str">
        <f>IFERROR(VLOOKUP(F152,Database!$A$2:$L$175,2,FALSE),"-")</f>
        <v>-</v>
      </c>
      <c r="H152" t="str">
        <f>ankomster!O152</f>
        <v>-</v>
      </c>
      <c r="I152" t="str">
        <f>IFERROR(VLOOKUP(H152,Database!$A$2:$L$175,2,FALSE),"-")</f>
        <v>-</v>
      </c>
      <c r="J152" s="76" t="str">
        <f>ankomster!T152</f>
        <v>-</v>
      </c>
      <c r="K152" t="str">
        <f>IFERROR(VLOOKUP(J152,Database!$A$2:$L$175,2,FALSE),"-")</f>
        <v>-</v>
      </c>
      <c r="L152" t="str">
        <f>ankomster!Y152</f>
        <v>-</v>
      </c>
      <c r="M152" t="str">
        <f>IFERROR(VLOOKUP(L152,Database!$A$2:$L$175,2,FALSE),"-")</f>
        <v>-</v>
      </c>
    </row>
    <row r="153" spans="1:13" x14ac:dyDescent="0.35">
      <c r="A153" s="24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IFERROR(VLOOKUP(D153,Database!$A$2:$L$175,2,FALSE),"-")</f>
        <v>-</v>
      </c>
      <c r="F153" t="str">
        <f>ankomster!J153</f>
        <v>-</v>
      </c>
      <c r="G153" t="str">
        <f>IFERROR(VLOOKUP(F153,Database!$A$2:$L$175,2,FALSE),"-")</f>
        <v>-</v>
      </c>
      <c r="H153" t="str">
        <f>ankomster!O153</f>
        <v>-</v>
      </c>
      <c r="I153" t="str">
        <f>IFERROR(VLOOKUP(H153,Database!$A$2:$L$175,2,FALSE),"-")</f>
        <v>-</v>
      </c>
      <c r="J153" s="76" t="str">
        <f>ankomster!T153</f>
        <v>-</v>
      </c>
      <c r="K153" t="str">
        <f>IFERROR(VLOOKUP(J153,Database!$A$2:$L$175,2,FALSE),"-")</f>
        <v>-</v>
      </c>
      <c r="L153" t="str">
        <f>ankomster!Y153</f>
        <v>-</v>
      </c>
      <c r="M153" t="str">
        <f>IFERROR(VLOOKUP(L153,Database!$A$2:$L$175,2,FALSE),"-")</f>
        <v>-</v>
      </c>
    </row>
    <row r="154" spans="1:13" x14ac:dyDescent="0.35">
      <c r="A154" s="24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IFERROR(VLOOKUP(D154,Database!$A$2:$L$175,2,FALSE),"-")</f>
        <v>-</v>
      </c>
      <c r="F154" t="str">
        <f>ankomster!J154</f>
        <v>-</v>
      </c>
      <c r="G154" t="str">
        <f>IFERROR(VLOOKUP(F154,Database!$A$2:$L$175,2,FALSE),"-")</f>
        <v>-</v>
      </c>
      <c r="H154" t="str">
        <f>ankomster!O154</f>
        <v>-</v>
      </c>
      <c r="I154" t="str">
        <f>IFERROR(VLOOKUP(H154,Database!$A$2:$L$175,2,FALSE),"-")</f>
        <v>-</v>
      </c>
      <c r="J154" s="76" t="str">
        <f>ankomster!T154</f>
        <v>-</v>
      </c>
      <c r="K154" t="str">
        <f>IFERROR(VLOOKUP(J154,Database!$A$2:$L$175,2,FALSE),"-")</f>
        <v>-</v>
      </c>
      <c r="L154" t="str">
        <f>ankomster!Y154</f>
        <v>-</v>
      </c>
      <c r="M154" t="str">
        <f>IFERROR(VLOOKUP(L154,Database!$A$2:$L$175,2,FALSE),"-")</f>
        <v>-</v>
      </c>
    </row>
    <row r="155" spans="1:13" x14ac:dyDescent="0.35">
      <c r="A155" s="24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IFERROR(VLOOKUP(D155,Database!$A$2:$L$175,2,FALSE),"-")</f>
        <v>-</v>
      </c>
      <c r="F155" t="str">
        <f>ankomster!J155</f>
        <v>-</v>
      </c>
      <c r="G155" t="str">
        <f>IFERROR(VLOOKUP(F155,Database!$A$2:$L$175,2,FALSE),"-")</f>
        <v>-</v>
      </c>
      <c r="H155" t="str">
        <f>ankomster!O155</f>
        <v>-</v>
      </c>
      <c r="I155" t="str">
        <f>IFERROR(VLOOKUP(H155,Database!$A$2:$L$175,2,FALSE),"-")</f>
        <v>-</v>
      </c>
      <c r="J155" s="76" t="str">
        <f>ankomster!T155</f>
        <v>-</v>
      </c>
      <c r="K155" t="str">
        <f>IFERROR(VLOOKUP(J155,Database!$A$2:$L$175,2,FALSE),"-")</f>
        <v>-</v>
      </c>
      <c r="L155" t="str">
        <f>ankomster!Y155</f>
        <v>-</v>
      </c>
      <c r="M155" t="str">
        <f>IFERROR(VLOOKUP(L155,Database!$A$2:$L$175,2,FALSE),"-")</f>
        <v>-</v>
      </c>
    </row>
    <row r="156" spans="1:13" x14ac:dyDescent="0.35">
      <c r="A156" s="24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IFERROR(VLOOKUP(D156,Database!$A$2:$L$175,2,FALSE),"-")</f>
        <v>-</v>
      </c>
      <c r="F156" t="str">
        <f>ankomster!J156</f>
        <v>-</v>
      </c>
      <c r="G156" t="str">
        <f>IFERROR(VLOOKUP(F156,Database!$A$2:$L$175,2,FALSE),"-")</f>
        <v>-</v>
      </c>
      <c r="H156" t="str">
        <f>ankomster!O156</f>
        <v>-</v>
      </c>
      <c r="I156" t="str">
        <f>IFERROR(VLOOKUP(H156,Database!$A$2:$L$175,2,FALSE),"-")</f>
        <v>-</v>
      </c>
      <c r="J156" s="76" t="str">
        <f>ankomster!T156</f>
        <v>-</v>
      </c>
      <c r="K156" t="str">
        <f>IFERROR(VLOOKUP(J156,Database!$A$2:$L$175,2,FALSE),"-")</f>
        <v>-</v>
      </c>
      <c r="L156" t="str">
        <f>ankomster!Y156</f>
        <v>-</v>
      </c>
      <c r="M156" t="str">
        <f>IFERROR(VLOOKUP(L156,Database!$A$2:$L$175,2,FALSE),"-")</f>
        <v>-</v>
      </c>
    </row>
    <row r="157" spans="1:13" x14ac:dyDescent="0.35">
      <c r="A157" s="24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IFERROR(VLOOKUP(D157,Database!$A$2:$L$175,2,FALSE),"-")</f>
        <v>-</v>
      </c>
      <c r="F157" t="str">
        <f>ankomster!J157</f>
        <v>-</v>
      </c>
      <c r="G157" t="str">
        <f>IFERROR(VLOOKUP(F157,Database!$A$2:$L$175,2,FALSE),"-")</f>
        <v>-</v>
      </c>
      <c r="H157" t="str">
        <f>ankomster!O157</f>
        <v>-</v>
      </c>
      <c r="I157" t="str">
        <f>IFERROR(VLOOKUP(H157,Database!$A$2:$L$175,2,FALSE),"-")</f>
        <v>-</v>
      </c>
      <c r="J157" s="76" t="str">
        <f>ankomster!T157</f>
        <v>-</v>
      </c>
      <c r="K157" t="str">
        <f>IFERROR(VLOOKUP(J157,Database!$A$2:$L$175,2,FALSE),"-")</f>
        <v>-</v>
      </c>
      <c r="L157" t="str">
        <f>ankomster!Y157</f>
        <v>-</v>
      </c>
      <c r="M157" t="str">
        <f>IFERROR(VLOOKUP(L157,Database!$A$2:$L$175,2,FALSE),"-")</f>
        <v>-</v>
      </c>
    </row>
    <row r="158" spans="1:13" x14ac:dyDescent="0.35">
      <c r="A158" s="24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IFERROR(VLOOKUP(D158,Database!$A$2:$L$175,2,FALSE),"-")</f>
        <v>-</v>
      </c>
      <c r="F158" t="str">
        <f>ankomster!J158</f>
        <v>-</v>
      </c>
      <c r="G158" t="str">
        <f>IFERROR(VLOOKUP(F158,Database!$A$2:$L$175,2,FALSE),"-")</f>
        <v>-</v>
      </c>
      <c r="H158" t="str">
        <f>ankomster!O158</f>
        <v>-</v>
      </c>
      <c r="I158" t="str">
        <f>IFERROR(VLOOKUP(H158,Database!$A$2:$L$175,2,FALSE),"-")</f>
        <v>-</v>
      </c>
      <c r="J158" s="76" t="str">
        <f>ankomster!T158</f>
        <v>-</v>
      </c>
      <c r="K158" t="str">
        <f>IFERROR(VLOOKUP(J158,Database!$A$2:$L$175,2,FALSE),"-")</f>
        <v>-</v>
      </c>
      <c r="L158" t="str">
        <f>ankomster!Y158</f>
        <v>-</v>
      </c>
      <c r="M158" t="str">
        <f>IFERROR(VLOOKUP(L158,Database!$A$2:$L$175,2,FALSE),"-")</f>
        <v>-</v>
      </c>
    </row>
    <row r="159" spans="1:13" x14ac:dyDescent="0.35">
      <c r="A159" s="24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IFERROR(VLOOKUP(D159,Database!$A$2:$L$175,2,FALSE),"-")</f>
        <v>-</v>
      </c>
      <c r="F159" t="str">
        <f>ankomster!J159</f>
        <v>-</v>
      </c>
      <c r="G159" t="str">
        <f>IFERROR(VLOOKUP(F159,Database!$A$2:$L$175,2,FALSE),"-")</f>
        <v>-</v>
      </c>
      <c r="H159" t="str">
        <f>ankomster!O159</f>
        <v>-</v>
      </c>
      <c r="I159" t="str">
        <f>IFERROR(VLOOKUP(H159,Database!$A$2:$L$175,2,FALSE),"-")</f>
        <v>-</v>
      </c>
      <c r="J159" s="76" t="str">
        <f>ankomster!T159</f>
        <v>-</v>
      </c>
      <c r="K159" t="str">
        <f>IFERROR(VLOOKUP(J159,Database!$A$2:$L$175,2,FALSE),"-")</f>
        <v>-</v>
      </c>
      <c r="L159" t="str">
        <f>ankomster!Y159</f>
        <v>-</v>
      </c>
      <c r="M159" t="str">
        <f>IFERROR(VLOOKUP(L159,Database!$A$2:$L$175,2,FALSE),"-")</f>
        <v>-</v>
      </c>
    </row>
    <row r="160" spans="1:13" x14ac:dyDescent="0.35">
      <c r="A160" s="24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IFERROR(VLOOKUP(D160,Database!$A$2:$L$175,2,FALSE),"-")</f>
        <v>-</v>
      </c>
      <c r="F160" t="str">
        <f>ankomster!J160</f>
        <v>-</v>
      </c>
      <c r="G160" t="str">
        <f>IFERROR(VLOOKUP(F160,Database!$A$2:$L$175,2,FALSE),"-")</f>
        <v>-</v>
      </c>
      <c r="H160" t="str">
        <f>ankomster!O160</f>
        <v>-</v>
      </c>
      <c r="I160" t="str">
        <f>IFERROR(VLOOKUP(H160,Database!$A$2:$L$175,2,FALSE),"-")</f>
        <v>-</v>
      </c>
      <c r="J160" s="76" t="str">
        <f>ankomster!T160</f>
        <v>-</v>
      </c>
      <c r="K160" t="str">
        <f>IFERROR(VLOOKUP(J160,Database!$A$2:$L$175,2,FALSE),"-")</f>
        <v>-</v>
      </c>
      <c r="L160" t="str">
        <f>ankomster!Y160</f>
        <v>-</v>
      </c>
      <c r="M160" t="str">
        <f>IFERROR(VLOOKUP(L160,Database!$A$2:$L$175,2,FALSE),"-")</f>
        <v>-</v>
      </c>
    </row>
    <row r="161" spans="1:13" x14ac:dyDescent="0.35">
      <c r="A161" s="24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IFERROR(VLOOKUP(D161,Database!$A$2:$L$175,2,FALSE),"-")</f>
        <v>-</v>
      </c>
      <c r="F161" t="str">
        <f>ankomster!J161</f>
        <v>-</v>
      </c>
      <c r="G161" t="str">
        <f>IFERROR(VLOOKUP(F161,Database!$A$2:$L$175,2,FALSE),"-")</f>
        <v>-</v>
      </c>
      <c r="H161" t="str">
        <f>ankomster!O161</f>
        <v>-</v>
      </c>
      <c r="I161" t="str">
        <f>IFERROR(VLOOKUP(H161,Database!$A$2:$L$175,2,FALSE),"-")</f>
        <v>-</v>
      </c>
      <c r="J161" s="76" t="str">
        <f>ankomster!T161</f>
        <v>-</v>
      </c>
      <c r="K161" t="str">
        <f>IFERROR(VLOOKUP(J161,Database!$A$2:$L$175,2,FALSE),"-")</f>
        <v>-</v>
      </c>
      <c r="L161" t="str">
        <f>ankomster!Y161</f>
        <v>-</v>
      </c>
      <c r="M161" t="str">
        <f>IFERROR(VLOOKUP(L161,Database!$A$2:$L$175,2,FALSE),"-")</f>
        <v>-</v>
      </c>
    </row>
    <row r="162" spans="1:13" x14ac:dyDescent="0.35">
      <c r="A162" s="24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IFERROR(VLOOKUP(D162,Database!$A$2:$L$175,2,FALSE),"-")</f>
        <v>-</v>
      </c>
      <c r="F162" t="str">
        <f>ankomster!J162</f>
        <v>-</v>
      </c>
      <c r="G162" t="str">
        <f>IFERROR(VLOOKUP(F162,Database!$A$2:$L$175,2,FALSE),"-")</f>
        <v>-</v>
      </c>
      <c r="H162" t="str">
        <f>ankomster!O162</f>
        <v>-</v>
      </c>
      <c r="I162" t="str">
        <f>IFERROR(VLOOKUP(H162,Database!$A$2:$L$175,2,FALSE),"-")</f>
        <v>-</v>
      </c>
      <c r="J162" s="76" t="str">
        <f>ankomster!T162</f>
        <v>-</v>
      </c>
      <c r="K162" t="str">
        <f>IFERROR(VLOOKUP(J162,Database!$A$2:$L$175,2,FALSE),"-")</f>
        <v>-</v>
      </c>
      <c r="L162" t="str">
        <f>ankomster!Y162</f>
        <v>-</v>
      </c>
      <c r="M162" t="str">
        <f>IFERROR(VLOOKUP(L162,Database!$A$2:$L$175,2,FALSE),"-")</f>
        <v>-</v>
      </c>
    </row>
    <row r="163" spans="1:13" x14ac:dyDescent="0.35">
      <c r="A163" s="24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IFERROR(VLOOKUP(D163,Database!$A$2:$L$175,2,FALSE),"-")</f>
        <v>-</v>
      </c>
      <c r="F163" t="str">
        <f>ankomster!J163</f>
        <v>-</v>
      </c>
      <c r="G163" t="str">
        <f>IFERROR(VLOOKUP(F163,Database!$A$2:$L$175,2,FALSE),"-")</f>
        <v>-</v>
      </c>
      <c r="H163" t="str">
        <f>ankomster!O163</f>
        <v>-</v>
      </c>
      <c r="I163" t="str">
        <f>IFERROR(VLOOKUP(H163,Database!$A$2:$L$175,2,FALSE),"-")</f>
        <v>-</v>
      </c>
      <c r="J163" s="76" t="str">
        <f>ankomster!T163</f>
        <v>-</v>
      </c>
      <c r="K163" t="str">
        <f>IFERROR(VLOOKUP(J163,Database!$A$2:$L$175,2,FALSE),"-")</f>
        <v>-</v>
      </c>
      <c r="L163" t="str">
        <f>ankomster!Y163</f>
        <v>-</v>
      </c>
      <c r="M163" t="str">
        <f>IFERROR(VLOOKUP(L163,Database!$A$2:$L$175,2,FALSE),"-")</f>
        <v>-</v>
      </c>
    </row>
    <row r="164" spans="1:13" x14ac:dyDescent="0.35">
      <c r="A164" s="24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IFERROR(VLOOKUP(D164,Database!$A$2:$L$175,2,FALSE),"-")</f>
        <v>-</v>
      </c>
      <c r="F164" t="str">
        <f>ankomster!J164</f>
        <v>-</v>
      </c>
      <c r="G164" t="str">
        <f>IFERROR(VLOOKUP(F164,Database!$A$2:$L$175,2,FALSE),"-")</f>
        <v>-</v>
      </c>
      <c r="H164" t="str">
        <f>ankomster!O164</f>
        <v>-</v>
      </c>
      <c r="I164" t="str">
        <f>IFERROR(VLOOKUP(H164,Database!$A$2:$L$175,2,FALSE),"-")</f>
        <v>-</v>
      </c>
      <c r="J164" s="76" t="str">
        <f>ankomster!T164</f>
        <v>-</v>
      </c>
      <c r="K164" t="str">
        <f>IFERROR(VLOOKUP(J164,Database!$A$2:$L$175,2,FALSE),"-")</f>
        <v>-</v>
      </c>
      <c r="L164" t="str">
        <f>ankomster!Y164</f>
        <v>-</v>
      </c>
      <c r="M164" t="str">
        <f>IFERROR(VLOOKUP(L164,Database!$A$2:$L$175,2,FALSE),"-")</f>
        <v>-</v>
      </c>
    </row>
    <row r="165" spans="1:13" x14ac:dyDescent="0.35">
      <c r="A165" s="24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IFERROR(VLOOKUP(D165,Database!$A$2:$L$175,2,FALSE),"-")</f>
        <v>-</v>
      </c>
      <c r="F165" t="str">
        <f>ankomster!J165</f>
        <v>-</v>
      </c>
      <c r="G165" t="str">
        <f>IFERROR(VLOOKUP(F165,Database!$A$2:$L$175,2,FALSE),"-")</f>
        <v>-</v>
      </c>
      <c r="H165" t="str">
        <f>ankomster!O165</f>
        <v>-</v>
      </c>
      <c r="I165" t="str">
        <f>IFERROR(VLOOKUP(H165,Database!$A$2:$L$175,2,FALSE),"-")</f>
        <v>-</v>
      </c>
      <c r="J165" s="76" t="str">
        <f>ankomster!T165</f>
        <v>-</v>
      </c>
      <c r="K165" t="str">
        <f>IFERROR(VLOOKUP(J165,Database!$A$2:$L$175,2,FALSE),"-")</f>
        <v>-</v>
      </c>
      <c r="L165" t="str">
        <f>ankomster!Y165</f>
        <v>-</v>
      </c>
      <c r="M165" t="str">
        <f>IFERROR(VLOOKUP(L165,Database!$A$2:$L$175,2,FALSE),"-")</f>
        <v>-</v>
      </c>
    </row>
    <row r="166" spans="1:13" x14ac:dyDescent="0.35">
      <c r="A166" s="24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IFERROR(VLOOKUP(D166,Database!$A$2:$L$175,2,FALSE),"-")</f>
        <v>-</v>
      </c>
      <c r="F166" t="str">
        <f>ankomster!J166</f>
        <v>-</v>
      </c>
      <c r="G166" t="str">
        <f>IFERROR(VLOOKUP(F166,Database!$A$2:$L$175,2,FALSE),"-")</f>
        <v>-</v>
      </c>
      <c r="H166" t="str">
        <f>ankomster!O166</f>
        <v>-</v>
      </c>
      <c r="I166" t="str">
        <f>IFERROR(VLOOKUP(H166,Database!$A$2:$L$175,2,FALSE),"-")</f>
        <v>-</v>
      </c>
      <c r="J166" s="76" t="str">
        <f>ankomster!T166</f>
        <v>-</v>
      </c>
      <c r="K166" t="str">
        <f>IFERROR(VLOOKUP(J166,Database!$A$2:$L$175,2,FALSE),"-")</f>
        <v>-</v>
      </c>
      <c r="L166" t="str">
        <f>ankomster!Y166</f>
        <v>-</v>
      </c>
      <c r="M166" t="str">
        <f>IFERROR(VLOOKUP(L166,Database!$A$2:$L$175,2,FALSE),"-")</f>
        <v>-</v>
      </c>
    </row>
    <row r="167" spans="1:13" x14ac:dyDescent="0.35">
      <c r="A167" s="24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IFERROR(VLOOKUP(D167,Database!$A$2:$L$175,2,FALSE),"-")</f>
        <v>-</v>
      </c>
      <c r="F167" t="str">
        <f>ankomster!J167</f>
        <v>-</v>
      </c>
      <c r="G167" t="str">
        <f>IFERROR(VLOOKUP(F167,Database!$A$2:$L$175,2,FALSE),"-")</f>
        <v>-</v>
      </c>
      <c r="H167" t="str">
        <f>ankomster!O167</f>
        <v>-</v>
      </c>
      <c r="I167" t="str">
        <f>IFERROR(VLOOKUP(H167,Database!$A$2:$L$175,2,FALSE),"-")</f>
        <v>-</v>
      </c>
      <c r="J167" s="76" t="str">
        <f>ankomster!T167</f>
        <v>-</v>
      </c>
      <c r="K167" t="str">
        <f>IFERROR(VLOOKUP(J167,Database!$A$2:$L$175,2,FALSE),"-")</f>
        <v>-</v>
      </c>
      <c r="L167" t="str">
        <f>ankomster!Y167</f>
        <v>-</v>
      </c>
      <c r="M167" t="str">
        <f>IFERROR(VLOOKUP(L167,Database!$A$2:$L$175,2,FALSE),"-")</f>
        <v>-</v>
      </c>
    </row>
    <row r="168" spans="1:13" x14ac:dyDescent="0.35">
      <c r="A168" s="24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IFERROR(VLOOKUP(D168,Database!$A$2:$L$175,2,FALSE),"-")</f>
        <v>-</v>
      </c>
      <c r="F168" t="str">
        <f>ankomster!J168</f>
        <v>-</v>
      </c>
      <c r="G168" t="str">
        <f>IFERROR(VLOOKUP(F168,Database!$A$2:$L$175,2,FALSE),"-")</f>
        <v>-</v>
      </c>
      <c r="H168" t="str">
        <f>ankomster!O168</f>
        <v>-</v>
      </c>
      <c r="I168" t="str">
        <f>IFERROR(VLOOKUP(H168,Database!$A$2:$L$175,2,FALSE),"-")</f>
        <v>-</v>
      </c>
      <c r="J168" s="76" t="str">
        <f>ankomster!T168</f>
        <v>-</v>
      </c>
      <c r="K168" t="str">
        <f>IFERROR(VLOOKUP(J168,Database!$A$2:$L$175,2,FALSE),"-")</f>
        <v>-</v>
      </c>
      <c r="L168" t="str">
        <f>ankomster!Y168</f>
        <v>-</v>
      </c>
      <c r="M168" t="str">
        <f>IFERROR(VLOOKUP(L168,Database!$A$2:$L$175,2,FALSE),"-")</f>
        <v>-</v>
      </c>
    </row>
    <row r="169" spans="1:13" x14ac:dyDescent="0.35">
      <c r="A169" s="24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IFERROR(VLOOKUP(D169,Database!$A$2:$L$175,2,FALSE),"-")</f>
        <v>-</v>
      </c>
      <c r="F169" t="str">
        <f>ankomster!J169</f>
        <v>-</v>
      </c>
      <c r="G169" t="str">
        <f>IFERROR(VLOOKUP(F169,Database!$A$2:$L$175,2,FALSE),"-")</f>
        <v>-</v>
      </c>
      <c r="H169" t="str">
        <f>ankomster!O169</f>
        <v>-</v>
      </c>
      <c r="I169" t="str">
        <f>IFERROR(VLOOKUP(H169,Database!$A$2:$L$175,2,FALSE),"-")</f>
        <v>-</v>
      </c>
      <c r="J169" s="76" t="str">
        <f>ankomster!T169</f>
        <v>-</v>
      </c>
      <c r="K169" t="str">
        <f>IFERROR(VLOOKUP(J169,Database!$A$2:$L$175,2,FALSE),"-")</f>
        <v>-</v>
      </c>
      <c r="L169" t="str">
        <f>ankomster!Y169</f>
        <v>-</v>
      </c>
      <c r="M169" t="str">
        <f>IFERROR(VLOOKUP(L169,Database!$A$2:$L$175,2,FALSE),"-")</f>
        <v>-</v>
      </c>
    </row>
    <row r="170" spans="1:13" x14ac:dyDescent="0.35">
      <c r="A170" s="24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IFERROR(VLOOKUP(D170,Database!$A$2:$L$175,2,FALSE),"-")</f>
        <v>-</v>
      </c>
      <c r="F170" t="str">
        <f>ankomster!J170</f>
        <v>-</v>
      </c>
      <c r="G170" t="str">
        <f>IFERROR(VLOOKUP(F170,Database!$A$2:$L$175,2,FALSE),"-")</f>
        <v>-</v>
      </c>
      <c r="H170" t="str">
        <f>ankomster!O170</f>
        <v>-</v>
      </c>
      <c r="I170" t="str">
        <f>IFERROR(VLOOKUP(H170,Database!$A$2:$L$175,2,FALSE),"-")</f>
        <v>-</v>
      </c>
      <c r="J170" s="76" t="str">
        <f>ankomster!T170</f>
        <v>-</v>
      </c>
      <c r="K170" t="str">
        <f>IFERROR(VLOOKUP(J170,Database!$A$2:$L$175,2,FALSE),"-")</f>
        <v>-</v>
      </c>
      <c r="L170" t="str">
        <f>ankomster!Y170</f>
        <v>-</v>
      </c>
      <c r="M170" t="str">
        <f>IFERROR(VLOOKUP(L170,Database!$A$2:$L$175,2,FALSE),"-")</f>
        <v>-</v>
      </c>
    </row>
    <row r="171" spans="1:13" x14ac:dyDescent="0.35">
      <c r="A171" s="24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IFERROR(VLOOKUP(D171,Database!$A$2:$L$175,2,FALSE),"-")</f>
        <v>-</v>
      </c>
      <c r="F171" t="str">
        <f>ankomster!J171</f>
        <v>-</v>
      </c>
      <c r="G171" t="str">
        <f>IFERROR(VLOOKUP(F171,Database!$A$2:$L$175,2,FALSE),"-")</f>
        <v>-</v>
      </c>
      <c r="H171" t="str">
        <f>ankomster!O171</f>
        <v>-</v>
      </c>
      <c r="I171" t="str">
        <f>IFERROR(VLOOKUP(H171,Database!$A$2:$L$175,2,FALSE),"-")</f>
        <v>-</v>
      </c>
      <c r="J171" s="76" t="str">
        <f>ankomster!T171</f>
        <v>-</v>
      </c>
      <c r="K171" t="str">
        <f>IFERROR(VLOOKUP(J171,Database!$A$2:$L$175,2,FALSE),"-")</f>
        <v>-</v>
      </c>
      <c r="L171" t="str">
        <f>ankomster!Y171</f>
        <v>-</v>
      </c>
      <c r="M171" t="str">
        <f>IFERROR(VLOOKUP(L171,Database!$A$2:$L$175,2,FALSE),"-")</f>
        <v>-</v>
      </c>
    </row>
    <row r="172" spans="1:13" x14ac:dyDescent="0.35">
      <c r="A172" s="24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IFERROR(VLOOKUP(D172,Database!$A$2:$L$175,2,FALSE),"-")</f>
        <v>-</v>
      </c>
      <c r="F172" t="str">
        <f>ankomster!J172</f>
        <v>-</v>
      </c>
      <c r="G172" t="str">
        <f>IFERROR(VLOOKUP(F172,Database!$A$2:$L$175,2,FALSE),"-")</f>
        <v>-</v>
      </c>
      <c r="H172" t="str">
        <f>ankomster!O172</f>
        <v>-</v>
      </c>
      <c r="I172" t="str">
        <f>IFERROR(VLOOKUP(H172,Database!$A$2:$L$175,2,FALSE),"-")</f>
        <v>-</v>
      </c>
      <c r="J172" s="76" t="str">
        <f>ankomster!T172</f>
        <v>-</v>
      </c>
      <c r="K172" t="str">
        <f>IFERROR(VLOOKUP(J172,Database!$A$2:$L$175,2,FALSE),"-")</f>
        <v>-</v>
      </c>
      <c r="L172" t="str">
        <f>ankomster!Y172</f>
        <v>-</v>
      </c>
      <c r="M172" t="str">
        <f>IFERROR(VLOOKUP(L172,Database!$A$2:$L$175,2,FALSE),"-")</f>
        <v>-</v>
      </c>
    </row>
    <row r="173" spans="1:13" x14ac:dyDescent="0.35">
      <c r="A173" s="24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IFERROR(VLOOKUP(D173,Database!$A$2:$L$175,2,FALSE),"-")</f>
        <v>-</v>
      </c>
      <c r="F173" t="str">
        <f>ankomster!J173</f>
        <v>-</v>
      </c>
      <c r="G173" t="str">
        <f>IFERROR(VLOOKUP(F173,Database!$A$2:$L$175,2,FALSE),"-")</f>
        <v>-</v>
      </c>
      <c r="H173" t="str">
        <f>ankomster!O173</f>
        <v>-</v>
      </c>
      <c r="I173" t="str">
        <f>IFERROR(VLOOKUP(H173,Database!$A$2:$L$175,2,FALSE),"-")</f>
        <v>-</v>
      </c>
      <c r="J173" s="76" t="str">
        <f>ankomster!T173</f>
        <v>-</v>
      </c>
      <c r="K173" t="str">
        <f>IFERROR(VLOOKUP(J173,Database!$A$2:$L$175,2,FALSE),"-")</f>
        <v>-</v>
      </c>
      <c r="L173" t="str">
        <f>ankomster!Y173</f>
        <v>-</v>
      </c>
      <c r="M173" t="str">
        <f>IFERROR(VLOOKUP(L173,Database!$A$2:$L$175,2,FALSE),"-")</f>
        <v>-</v>
      </c>
    </row>
    <row r="174" spans="1:13" x14ac:dyDescent="0.35">
      <c r="A174" s="24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IFERROR(VLOOKUP(D174,Database!$A$2:$L$175,2,FALSE),"-")</f>
        <v>-</v>
      </c>
      <c r="F174" t="str">
        <f>ankomster!J174</f>
        <v>-</v>
      </c>
      <c r="G174" t="str">
        <f>IFERROR(VLOOKUP(F174,Database!$A$2:$L$175,2,FALSE),"-")</f>
        <v>-</v>
      </c>
      <c r="H174" t="str">
        <f>ankomster!O174</f>
        <v>-</v>
      </c>
      <c r="I174" t="str">
        <f>IFERROR(VLOOKUP(H174,Database!$A$2:$L$175,2,FALSE),"-")</f>
        <v>-</v>
      </c>
      <c r="J174" s="76" t="str">
        <f>ankomster!T174</f>
        <v>-</v>
      </c>
      <c r="K174" t="str">
        <f>IFERROR(VLOOKUP(J174,Database!$A$2:$L$175,2,FALSE),"-")</f>
        <v>-</v>
      </c>
      <c r="L174" t="str">
        <f>ankomster!Y174</f>
        <v>-</v>
      </c>
      <c r="M174" t="str">
        <f>IFERROR(VLOOKUP(L174,Database!$A$2:$L$175,2,FALSE),"-")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137</v>
      </c>
      <c r="B1" s="2" t="s">
        <v>117</v>
      </c>
      <c r="C1" s="2" t="s">
        <v>138</v>
      </c>
      <c r="D1" t="s">
        <v>139</v>
      </c>
      <c r="E1" s="2" t="s">
        <v>140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1</v>
      </c>
      <c r="D59" s="2">
        <f>IF(B59="Y",Database!K59,"-")</f>
        <v>2</v>
      </c>
      <c r="E59" s="2">
        <f>IF(AND(D59&gt;1,B59="Y"),Database!L59/D59,Database!L59)</f>
        <v>1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5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5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5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5">
      <c r="A99">
        <f>Database!A99</f>
        <v>98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5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5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5">
      <c r="A103">
        <f>Database!A103</f>
        <v>102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5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5">
      <c r="A106">
        <f>Database!A106</f>
        <v>105</v>
      </c>
      <c r="B106" s="2" t="str">
        <f>Database!Q106</f>
        <v>N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1</v>
      </c>
    </row>
    <row r="107" spans="1:5" x14ac:dyDescent="0.35">
      <c r="A107">
        <f>Database!A107</f>
        <v>106</v>
      </c>
      <c r="B107" s="2" t="str">
        <f>Database!Q107</f>
        <v>N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2</v>
      </c>
    </row>
    <row r="108" spans="1:5" x14ac:dyDescent="0.35">
      <c r="A108">
        <f>Database!A108</f>
        <v>107</v>
      </c>
      <c r="B108" s="2" t="str">
        <f>Database!Q108</f>
        <v>Y</v>
      </c>
      <c r="C108" s="2">
        <f t="shared" si="3"/>
        <v>2</v>
      </c>
      <c r="D108" s="2">
        <f>IF(B108="Y",Database!K108,"-")</f>
        <v>1</v>
      </c>
      <c r="E108" s="2">
        <f>IF(AND(D108&gt;1,B108="Y"),Database!L108/D108,Database!L108)</f>
        <v>2</v>
      </c>
    </row>
    <row r="109" spans="1:5" x14ac:dyDescent="0.35">
      <c r="A109">
        <f>Database!A109</f>
        <v>108</v>
      </c>
      <c r="B109" s="2" t="str">
        <f>Database!Q109</f>
        <v>Y</v>
      </c>
      <c r="C109" s="2">
        <f t="shared" si="3"/>
        <v>2</v>
      </c>
      <c r="D109" s="2">
        <f>IF(B109="Y",Database!K109,"-")</f>
        <v>1</v>
      </c>
      <c r="E109" s="2">
        <f>IF(AND(D109&gt;1,B109="Y"),Database!L109/D109,Database!L109)</f>
        <v>2</v>
      </c>
    </row>
    <row r="110" spans="1:5" x14ac:dyDescent="0.35">
      <c r="A110">
        <f>Database!A110</f>
        <v>109</v>
      </c>
      <c r="B110" s="2" t="str">
        <f>Database!Q110</f>
        <v>Y</v>
      </c>
      <c r="C110" s="2">
        <f t="shared" si="3"/>
        <v>1</v>
      </c>
      <c r="D110" s="2">
        <f>IF(B110="Y",Database!K110,"-")</f>
        <v>1</v>
      </c>
      <c r="E110" s="2">
        <f>IF(AND(D110&gt;1,B110="Y"),Database!L110/D110,Database!L110)</f>
        <v>1</v>
      </c>
    </row>
    <row r="111" spans="1:5" x14ac:dyDescent="0.35">
      <c r="A111">
        <f>Database!A111</f>
        <v>110</v>
      </c>
      <c r="B111" s="2" t="str">
        <f>Database!Q111</f>
        <v>N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2</v>
      </c>
    </row>
    <row r="112" spans="1:5" x14ac:dyDescent="0.35">
      <c r="A112">
        <f>Database!A112</f>
        <v>111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112</v>
      </c>
      <c r="B113" s="2" t="str">
        <f>Database!Q113</f>
        <v>Y</v>
      </c>
      <c r="C113" s="2">
        <f t="shared" si="3"/>
        <v>2</v>
      </c>
      <c r="D113" s="2">
        <f>IF(B113="Y",Database!K113,"-")</f>
        <v>1</v>
      </c>
      <c r="E113" s="2">
        <f>IF(AND(D113&gt;1,B113="Y"),Database!L113/D113,Database!L113)</f>
        <v>2</v>
      </c>
    </row>
    <row r="114" spans="1:5" x14ac:dyDescent="0.35">
      <c r="A114">
        <f>Database!A114</f>
        <v>113</v>
      </c>
      <c r="B114" s="2" t="str">
        <f>Database!Q114</f>
        <v>N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1</v>
      </c>
    </row>
    <row r="115" spans="1:5" x14ac:dyDescent="0.35">
      <c r="A115">
        <f>Database!A115</f>
        <v>114</v>
      </c>
      <c r="B115" s="2" t="str">
        <f>Database!Q115</f>
        <v>Y</v>
      </c>
      <c r="C115" s="2">
        <f t="shared" si="3"/>
        <v>2</v>
      </c>
      <c r="D115" s="2">
        <f>IF(B115="Y",Database!K115,"-")</f>
        <v>1</v>
      </c>
      <c r="E115" s="2">
        <f>IF(AND(D115&gt;1,B115="Y"),Database!L115/D115,Database!L115)</f>
        <v>2</v>
      </c>
    </row>
    <row r="116" spans="1:5" x14ac:dyDescent="0.35">
      <c r="A116">
        <f>Database!A116</f>
        <v>115</v>
      </c>
      <c r="B116" s="2" t="str">
        <f>Database!Q116</f>
        <v>Y</v>
      </c>
      <c r="C116" s="2">
        <f t="shared" si="3"/>
        <v>2</v>
      </c>
      <c r="D116" s="2">
        <f>IF(B116="Y",Database!K116,"-")</f>
        <v>1</v>
      </c>
      <c r="E116" s="2">
        <f>IF(AND(D116&gt;1,B116="Y"),Database!L116/D116,Database!L116)</f>
        <v>2</v>
      </c>
    </row>
    <row r="117" spans="1:5" x14ac:dyDescent="0.35">
      <c r="A117">
        <f>Database!A117</f>
        <v>116</v>
      </c>
      <c r="B117" s="2" t="str">
        <f>Database!Q117</f>
        <v>N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2</v>
      </c>
    </row>
    <row r="118" spans="1:5" x14ac:dyDescent="0.35">
      <c r="A118">
        <f>Database!A118</f>
        <v>117</v>
      </c>
      <c r="B118" s="2" t="str">
        <f>Database!Q118</f>
        <v>Y</v>
      </c>
      <c r="C118" s="2">
        <f t="shared" si="3"/>
        <v>2</v>
      </c>
      <c r="D118" s="2">
        <f>IF(B118="Y",Database!K118,"-")</f>
        <v>1</v>
      </c>
      <c r="E118" s="2">
        <f>IF(AND(D118&gt;1,B118="Y"),Database!L118/D118,Database!L118)</f>
        <v>2</v>
      </c>
    </row>
    <row r="119" spans="1:5" x14ac:dyDescent="0.35">
      <c r="A119">
        <f>Database!A119</f>
        <v>118</v>
      </c>
      <c r="B119" s="2" t="str">
        <f>Database!Q119</f>
        <v>N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2</v>
      </c>
    </row>
    <row r="120" spans="1:5" x14ac:dyDescent="0.35">
      <c r="A120">
        <f>Database!A120</f>
        <v>119</v>
      </c>
      <c r="B120" s="2" t="str">
        <f>Database!Q120</f>
        <v>Y</v>
      </c>
      <c r="C120" s="2">
        <f t="shared" si="3"/>
        <v>2</v>
      </c>
      <c r="D120" s="2">
        <f>IF(B120="Y",Database!K120,"-")</f>
        <v>1</v>
      </c>
      <c r="E120" s="2">
        <f>IF(AND(D120&gt;1,B120="Y"),Database!L120/D120,Database!L120)</f>
        <v>2</v>
      </c>
    </row>
    <row r="121" spans="1:5" x14ac:dyDescent="0.35">
      <c r="A121">
        <f>Database!A121</f>
        <v>120</v>
      </c>
      <c r="B121" s="2" t="str">
        <f>Database!Q121</f>
        <v>Y</v>
      </c>
      <c r="C121" s="2">
        <f t="shared" si="3"/>
        <v>2</v>
      </c>
      <c r="D121" s="2">
        <f>IF(B121="Y",Database!K121,"-")</f>
        <v>1</v>
      </c>
      <c r="E121" s="2">
        <f>IF(AND(D121&gt;1,B121="Y"),Database!L121/D121,Database!L121)</f>
        <v>2</v>
      </c>
    </row>
    <row r="122" spans="1:5" x14ac:dyDescent="0.35">
      <c r="A122">
        <f>Database!A122</f>
        <v>121</v>
      </c>
      <c r="B122" s="2" t="str">
        <f>Database!Q122</f>
        <v>Y</v>
      </c>
      <c r="C122" s="2">
        <f t="shared" si="3"/>
        <v>2</v>
      </c>
      <c r="D122" s="2">
        <f>IF(B122="Y",Database!K122,"-")</f>
        <v>1</v>
      </c>
      <c r="E122" s="2">
        <f>IF(AND(D122&gt;1,B122="Y"),Database!L122/D122,Database!L122)</f>
        <v>2</v>
      </c>
    </row>
    <row r="123" spans="1:5" x14ac:dyDescent="0.35">
      <c r="A123">
        <f>Database!A123</f>
        <v>122</v>
      </c>
      <c r="B123" s="2" t="str">
        <f>Database!Q123</f>
        <v>Y</v>
      </c>
      <c r="C123" s="2">
        <f t="shared" si="3"/>
        <v>2</v>
      </c>
      <c r="D123" s="2">
        <f>IF(B123="Y",Database!K123,"-")</f>
        <v>1</v>
      </c>
      <c r="E123" s="2">
        <f>IF(AND(D123&gt;1,B123="Y"),Database!L123/D123,Database!L123)</f>
        <v>2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137</v>
      </c>
      <c r="B1" t="s">
        <v>6</v>
      </c>
      <c r="C1" s="5" t="s">
        <v>347</v>
      </c>
      <c r="D1" s="5" t="s">
        <v>41</v>
      </c>
      <c r="E1" t="s">
        <v>348</v>
      </c>
      <c r="F1" t="s">
        <v>349</v>
      </c>
      <c r="G1" t="s">
        <v>350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353</v>
      </c>
      <c r="M2" t="s">
        <v>352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351</v>
      </c>
      <c r="L3">
        <f>SUM(I2:I200)</f>
        <v>262</v>
      </c>
      <c r="M3">
        <f>SUM(J2:J200)</f>
        <v>256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88" t="str">
        <f>Database!G16</f>
        <v>FM</v>
      </c>
      <c r="C16" s="189">
        <f>Database!C16</f>
        <v>46181</v>
      </c>
      <c r="D16" s="189">
        <f>Database!D16</f>
        <v>46188</v>
      </c>
      <c r="E16" s="188">
        <f t="shared" si="0"/>
        <v>7</v>
      </c>
      <c r="F16" s="188">
        <f>Database!K16</f>
        <v>1</v>
      </c>
      <c r="G16" s="188">
        <f t="shared" si="1"/>
        <v>7</v>
      </c>
      <c r="H16" s="188"/>
      <c r="I16" s="188">
        <f>G16</f>
        <v>7</v>
      </c>
      <c r="J16" s="188">
        <f t="shared" si="3"/>
        <v>0</v>
      </c>
    </row>
    <row r="17" spans="1:10" x14ac:dyDescent="0.35">
      <c r="A17">
        <f>Database!A17</f>
        <v>16</v>
      </c>
      <c r="B17" s="188" t="str">
        <f>Database!G17</f>
        <v>FM</v>
      </c>
      <c r="C17" s="189">
        <f>Database!C17</f>
        <v>46182</v>
      </c>
      <c r="D17" s="189">
        <f>Database!D17</f>
        <v>46188</v>
      </c>
      <c r="E17" s="188">
        <f t="shared" si="0"/>
        <v>6</v>
      </c>
      <c r="F17" s="188">
        <f>Database!K17</f>
        <v>2</v>
      </c>
      <c r="G17" s="188">
        <f t="shared" si="1"/>
        <v>12</v>
      </c>
      <c r="H17" s="188"/>
      <c r="I17" s="188">
        <f>G17</f>
        <v>12</v>
      </c>
      <c r="J17" s="188">
        <f t="shared" si="3"/>
        <v>0</v>
      </c>
    </row>
    <row r="18" spans="1:10" x14ac:dyDescent="0.35">
      <c r="A18">
        <f>Database!A18</f>
        <v>17</v>
      </c>
      <c r="B18" s="188" t="str">
        <f>Database!G18</f>
        <v>FM</v>
      </c>
      <c r="C18" s="189">
        <f>Database!C18</f>
        <v>46181</v>
      </c>
      <c r="D18" s="189">
        <f>Database!D18</f>
        <v>46188</v>
      </c>
      <c r="E18" s="188">
        <f t="shared" si="0"/>
        <v>7</v>
      </c>
      <c r="F18" s="188">
        <f>Database!K18</f>
        <v>1</v>
      </c>
      <c r="G18" s="188">
        <f t="shared" si="1"/>
        <v>7</v>
      </c>
      <c r="H18" s="188"/>
      <c r="I18" s="188">
        <f>G18</f>
        <v>7</v>
      </c>
      <c r="J18" s="188">
        <f t="shared" si="3"/>
        <v>0</v>
      </c>
    </row>
    <row r="19" spans="1:10" x14ac:dyDescent="0.35">
      <c r="A19">
        <f>Database!A19</f>
        <v>18</v>
      </c>
      <c r="B19" s="188" t="str">
        <f>Database!G19</f>
        <v>FM</v>
      </c>
      <c r="C19" s="189">
        <f>Database!C19</f>
        <v>46182</v>
      </c>
      <c r="D19" s="189">
        <f>Database!D19</f>
        <v>46187</v>
      </c>
      <c r="E19" s="188">
        <f t="shared" si="0"/>
        <v>5</v>
      </c>
      <c r="F19" s="188">
        <f>Database!K19</f>
        <v>1</v>
      </c>
      <c r="G19" s="188">
        <f t="shared" si="1"/>
        <v>5</v>
      </c>
      <c r="H19" s="188"/>
      <c r="I19" s="188">
        <f>G19</f>
        <v>5</v>
      </c>
      <c r="J19" s="188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cansl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cansl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46202</v>
      </c>
      <c r="D77" s="5">
        <f>Database!D77</f>
        <v>46206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cansl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Database!A99</f>
        <v>98</v>
      </c>
      <c r="B99" t="str">
        <f>Database!G99</f>
        <v>cansl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Database!A103</f>
        <v>102</v>
      </c>
      <c r="B103" t="str">
        <f>Database!G103</f>
        <v>cansl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Database!A104</f>
        <v>103</v>
      </c>
      <c r="B104" t="str">
        <f>Database!G104</f>
        <v>web</v>
      </c>
      <c r="C104" s="5">
        <f>Database!C104</f>
        <v>46277</v>
      </c>
      <c r="D104" s="5">
        <f>Database!D104</f>
        <v>46284</v>
      </c>
      <c r="E104">
        <f t="shared" si="4"/>
        <v>7</v>
      </c>
      <c r="F104">
        <f>Database!K104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Database!A106</f>
        <v>105</v>
      </c>
      <c r="B106" t="str">
        <f>Database!G106</f>
        <v>bc</v>
      </c>
      <c r="C106" s="5">
        <f>Database!C106</f>
        <v>46260</v>
      </c>
      <c r="D106" s="5">
        <f>Database!D106</f>
        <v>46264</v>
      </c>
      <c r="E106">
        <f t="shared" si="4"/>
        <v>4</v>
      </c>
      <c r="F106">
        <f>Database!K106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Database!A107</f>
        <v>106</v>
      </c>
      <c r="B107" t="str">
        <f>Database!G107</f>
        <v>bc</v>
      </c>
      <c r="C107" s="5">
        <f>Database!C107</f>
        <v>46207</v>
      </c>
      <c r="D107" s="5">
        <f>Database!D107</f>
        <v>46210</v>
      </c>
      <c r="E107">
        <f t="shared" si="4"/>
        <v>3</v>
      </c>
      <c r="F107">
        <f>Database!K107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Database!A108</f>
        <v>107</v>
      </c>
      <c r="B108" t="str">
        <f>Database!G108</f>
        <v>web</v>
      </c>
      <c r="C108" s="5">
        <f>Database!C108</f>
        <v>46160</v>
      </c>
      <c r="D108" s="5">
        <f>Database!D108</f>
        <v>46164</v>
      </c>
      <c r="E108">
        <f t="shared" si="4"/>
        <v>4</v>
      </c>
      <c r="F108">
        <f>Database!K108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Database!A109</f>
        <v>108</v>
      </c>
      <c r="B109" t="str">
        <f>Database!G109</f>
        <v>web</v>
      </c>
      <c r="C109" s="5">
        <f>Database!C109</f>
        <v>46159</v>
      </c>
      <c r="D109" s="5">
        <f>Database!D109</f>
        <v>46163</v>
      </c>
      <c r="E109">
        <f t="shared" si="4"/>
        <v>4</v>
      </c>
      <c r="F109">
        <f>Database!K109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Database!A110</f>
        <v>109</v>
      </c>
      <c r="B110" t="str">
        <f>Database!G110</f>
        <v>bc</v>
      </c>
      <c r="C110" s="5">
        <f>Database!C110</f>
        <v>46192</v>
      </c>
      <c r="D110" s="5">
        <f>Database!D110</f>
        <v>46195</v>
      </c>
      <c r="E110">
        <f t="shared" si="4"/>
        <v>3</v>
      </c>
      <c r="F110">
        <f>Database!K110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Database!A111</f>
        <v>110</v>
      </c>
      <c r="B111" t="str">
        <f>Database!G111</f>
        <v>bc</v>
      </c>
      <c r="C111" s="5">
        <f>Database!C111</f>
        <v>46143</v>
      </c>
      <c r="D111" s="5">
        <f>Database!D111</f>
        <v>46145</v>
      </c>
      <c r="E111">
        <f t="shared" si="4"/>
        <v>2</v>
      </c>
      <c r="F111">
        <f>Database!K111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Database!A112</f>
        <v>111</v>
      </c>
      <c r="B112" t="str">
        <f>Database!G112</f>
        <v>cansl</v>
      </c>
      <c r="C112" s="5">
        <f>Database!C112</f>
        <v>46178</v>
      </c>
      <c r="D112" s="5">
        <f>Database!D112</f>
        <v>46181</v>
      </c>
      <c r="E112">
        <f t="shared" si="4"/>
        <v>3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112</v>
      </c>
      <c r="B113" t="str">
        <f>Database!G113</f>
        <v>bc</v>
      </c>
      <c r="C113" s="5">
        <f>Database!C113</f>
        <v>46195</v>
      </c>
      <c r="D113" s="5">
        <f>Database!D113</f>
        <v>46199</v>
      </c>
      <c r="E113">
        <f t="shared" si="4"/>
        <v>4</v>
      </c>
      <c r="F113">
        <f>Database!K113</f>
        <v>1</v>
      </c>
      <c r="G113">
        <f t="shared" si="5"/>
        <v>4</v>
      </c>
      <c r="I113">
        <f t="shared" si="6"/>
        <v>0</v>
      </c>
      <c r="J113">
        <f t="shared" si="7"/>
        <v>4</v>
      </c>
    </row>
    <row r="114" spans="1:10" x14ac:dyDescent="0.35">
      <c r="A114">
        <f>Database!A114</f>
        <v>113</v>
      </c>
      <c r="B114" t="str">
        <f>Database!G114</f>
        <v>bc</v>
      </c>
      <c r="C114" s="5">
        <f>Database!C114</f>
        <v>46269</v>
      </c>
      <c r="D114" s="5">
        <f>Database!D114</f>
        <v>46271</v>
      </c>
      <c r="E114">
        <f t="shared" si="4"/>
        <v>2</v>
      </c>
      <c r="F114">
        <f>Database!K114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Database!A115</f>
        <v>114</v>
      </c>
      <c r="B115" t="str">
        <f>Database!G115</f>
        <v>web</v>
      </c>
      <c r="C115" s="5">
        <f>Database!C115</f>
        <v>46243</v>
      </c>
      <c r="D115" s="5">
        <f>Database!D115</f>
        <v>46246</v>
      </c>
      <c r="E115">
        <f t="shared" si="4"/>
        <v>3</v>
      </c>
      <c r="F115">
        <f>Database!K115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Database!A116</f>
        <v>115</v>
      </c>
      <c r="B116" t="str">
        <f>Database!G116</f>
        <v>web</v>
      </c>
      <c r="C116" s="5">
        <f>Database!C116</f>
        <v>46233</v>
      </c>
      <c r="D116" s="5">
        <f>Database!D116</f>
        <v>46236</v>
      </c>
      <c r="E116">
        <f t="shared" si="4"/>
        <v>3</v>
      </c>
      <c r="F116">
        <f>Database!K116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Database!A117</f>
        <v>116</v>
      </c>
      <c r="B117" t="str">
        <f>Database!G117</f>
        <v>bc</v>
      </c>
      <c r="C117" s="5">
        <f>Database!C117</f>
        <v>46177</v>
      </c>
      <c r="D117" s="5">
        <f>Database!D117</f>
        <v>46180</v>
      </c>
      <c r="E117">
        <f t="shared" si="4"/>
        <v>3</v>
      </c>
      <c r="F117">
        <f>Database!K117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Database!A118</f>
        <v>117</v>
      </c>
      <c r="B118" t="str">
        <f>Database!G118</f>
        <v>bc</v>
      </c>
      <c r="C118" s="5">
        <f>Database!C118</f>
        <v>46173</v>
      </c>
      <c r="D118" s="5">
        <f>Database!D118</f>
        <v>46178</v>
      </c>
      <c r="E118">
        <f t="shared" si="4"/>
        <v>5</v>
      </c>
      <c r="F118">
        <f>Database!K118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Database!A119</f>
        <v>118</v>
      </c>
      <c r="B119" t="str">
        <f>Database!G119</f>
        <v>bc</v>
      </c>
      <c r="C119" s="5">
        <f>Database!C119</f>
        <v>46272</v>
      </c>
      <c r="D119" s="5">
        <f>Database!D119</f>
        <v>46275</v>
      </c>
      <c r="E119">
        <f t="shared" si="4"/>
        <v>3</v>
      </c>
      <c r="F119">
        <f>Database!K119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Database!A120</f>
        <v>119</v>
      </c>
      <c r="B120" t="str">
        <f>Database!G120</f>
        <v>bc</v>
      </c>
      <c r="C120" s="5">
        <f>Database!C120</f>
        <v>46179</v>
      </c>
      <c r="D120" s="5">
        <f>Database!D120</f>
        <v>46182</v>
      </c>
      <c r="E120">
        <f t="shared" si="4"/>
        <v>3</v>
      </c>
      <c r="F120">
        <f>Database!K120</f>
        <v>1</v>
      </c>
      <c r="G120">
        <f t="shared" si="5"/>
        <v>3</v>
      </c>
      <c r="I120">
        <f t="shared" si="6"/>
        <v>0</v>
      </c>
      <c r="J120">
        <f t="shared" si="7"/>
        <v>3</v>
      </c>
    </row>
    <row r="121" spans="1:10" x14ac:dyDescent="0.35">
      <c r="A121">
        <f>Database!A121</f>
        <v>120</v>
      </c>
      <c r="B121" t="str">
        <f>Database!G121</f>
        <v>web</v>
      </c>
      <c r="C121" s="5">
        <f>Database!C121</f>
        <v>46257</v>
      </c>
      <c r="D121" s="5">
        <f>Database!D121</f>
        <v>46260</v>
      </c>
      <c r="E121">
        <f t="shared" si="4"/>
        <v>3</v>
      </c>
      <c r="F121">
        <f>Database!K121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Database!A122</f>
        <v>121</v>
      </c>
      <c r="B122" t="str">
        <f>Database!G122</f>
        <v>web</v>
      </c>
      <c r="C122" s="5">
        <f>Database!C122</f>
        <v>46247</v>
      </c>
      <c r="D122" s="5">
        <f>Database!D122</f>
        <v>46250</v>
      </c>
      <c r="E122">
        <f t="shared" si="4"/>
        <v>3</v>
      </c>
      <c r="F122">
        <f>Database!K122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Database!A123</f>
        <v>122</v>
      </c>
      <c r="B123" t="str">
        <f>Database!G123</f>
        <v>web</v>
      </c>
      <c r="C123" s="5">
        <f>Database!C123</f>
        <v>46257</v>
      </c>
      <c r="D123" s="5">
        <f>Database!D123</f>
        <v>46259</v>
      </c>
      <c r="E123">
        <f t="shared" si="4"/>
        <v>2</v>
      </c>
      <c r="F123">
        <f>Database!K123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Database!A124</f>
        <v>0</v>
      </c>
      <c r="B124">
        <f>Database!G124</f>
        <v>0</v>
      </c>
      <c r="C124" s="5">
        <f>Database!C124</f>
        <v>0</v>
      </c>
      <c r="D124" s="5">
        <f>Database!D124</f>
        <v>0</v>
      </c>
      <c r="E124">
        <f t="shared" si="4"/>
        <v>0</v>
      </c>
      <c r="F124">
        <f>Database!K124</f>
        <v>0</v>
      </c>
      <c r="G124">
        <f t="shared" si="5"/>
        <v>0</v>
      </c>
      <c r="I124">
        <f t="shared" si="6"/>
        <v>0</v>
      </c>
      <c r="J124">
        <f t="shared" si="7"/>
        <v>0</v>
      </c>
    </row>
    <row r="125" spans="1:10" x14ac:dyDescent="0.35">
      <c r="A125">
        <f>Database!A125</f>
        <v>0</v>
      </c>
      <c r="B125">
        <f>Database!G125</f>
        <v>0</v>
      </c>
      <c r="C125" s="5">
        <f>Database!C125</f>
        <v>0</v>
      </c>
      <c r="D125" s="5">
        <f>Database!D125</f>
        <v>0</v>
      </c>
      <c r="E125">
        <f t="shared" si="4"/>
        <v>0</v>
      </c>
      <c r="F125">
        <f>Database!K125</f>
        <v>0</v>
      </c>
      <c r="G125">
        <f t="shared" si="5"/>
        <v>0</v>
      </c>
      <c r="I125">
        <f t="shared" si="6"/>
        <v>0</v>
      </c>
      <c r="J125">
        <f t="shared" si="7"/>
        <v>0</v>
      </c>
    </row>
    <row r="126" spans="1:10" x14ac:dyDescent="0.35">
      <c r="A126">
        <f>Database!A126</f>
        <v>0</v>
      </c>
      <c r="B126">
        <f>Database!G126</f>
        <v>0</v>
      </c>
      <c r="C126" s="5">
        <f>Database!C126</f>
        <v>0</v>
      </c>
      <c r="D126" s="5">
        <f>Database!D126</f>
        <v>0</v>
      </c>
      <c r="E126">
        <f t="shared" si="4"/>
        <v>0</v>
      </c>
      <c r="F126">
        <f>Database!K126</f>
        <v>0</v>
      </c>
      <c r="G126">
        <f t="shared" si="5"/>
        <v>0</v>
      </c>
      <c r="I126">
        <f t="shared" si="6"/>
        <v>0</v>
      </c>
      <c r="J126">
        <f t="shared" si="7"/>
        <v>0</v>
      </c>
    </row>
    <row r="127" spans="1:10" x14ac:dyDescent="0.35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5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5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5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5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" activePane="bottomLeft" state="frozen"/>
      <selection pane="bottomLeft" activeCell="B3" sqref="B3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7" customWidth="1"/>
    <col min="4" max="14" width="3.54296875" style="2" customWidth="1"/>
  </cols>
  <sheetData>
    <row r="1" spans="1:14" ht="15" customHeight="1" thickBot="1" x14ac:dyDescent="0.4">
      <c r="A1" s="74" t="str">
        <f>booking!C1</f>
        <v>dato</v>
      </c>
      <c r="B1" s="214" t="s">
        <v>475</v>
      </c>
      <c r="C1" s="99" t="s">
        <v>141</v>
      </c>
      <c r="D1" s="100" t="s">
        <v>142</v>
      </c>
      <c r="E1" s="101" t="s">
        <v>143</v>
      </c>
      <c r="F1" s="98" t="s">
        <v>144</v>
      </c>
      <c r="G1" s="101" t="s">
        <v>145</v>
      </c>
      <c r="H1" s="98" t="s">
        <v>146</v>
      </c>
      <c r="I1" s="101" t="s">
        <v>147</v>
      </c>
      <c r="J1" s="98" t="s">
        <v>148</v>
      </c>
      <c r="K1" s="101" t="s">
        <v>149</v>
      </c>
      <c r="L1" s="98" t="s">
        <v>150</v>
      </c>
      <c r="M1" s="101" t="s">
        <v>151</v>
      </c>
      <c r="N1" s="98" t="s">
        <v>152</v>
      </c>
    </row>
    <row r="2" spans="1:14" x14ac:dyDescent="0.35">
      <c r="A2" s="5">
        <f>booking!C2</f>
        <v>46139</v>
      </c>
      <c r="B2" s="6">
        <v>18</v>
      </c>
      <c r="C2" s="130" t="str">
        <f>IF(booking!D2&gt;0,"oc","va")</f>
        <v>va</v>
      </c>
      <c r="D2" s="131" t="str">
        <f>IF(booking!E2&gt;0,"oc","va")</f>
        <v>va</v>
      </c>
      <c r="E2" s="130" t="str">
        <f>IF(booking!H2&gt;0,"oc","va")</f>
        <v>va</v>
      </c>
      <c r="F2" s="131" t="str">
        <f>IF(booking!I2&gt;0,"oc","va")</f>
        <v>va</v>
      </c>
      <c r="G2" s="130" t="str">
        <f>IF(booking!L2&gt;0,"oc","va")</f>
        <v>va</v>
      </c>
      <c r="H2" s="131" t="str">
        <f>IF(booking!M2&gt;0,"oc","va")</f>
        <v>va</v>
      </c>
      <c r="I2" s="130" t="str">
        <f>IF(booking!P2&gt;0,"oc","va")</f>
        <v>va</v>
      </c>
      <c r="J2" s="131" t="str">
        <f>IF(booking!Q2&gt;0,"oc","va")</f>
        <v>va</v>
      </c>
      <c r="K2" s="130" t="str">
        <f>IF(booking!T2&gt;0,"oc","va")</f>
        <v>va</v>
      </c>
      <c r="L2" s="131" t="str">
        <f>IF(booking!U2&gt;0,"oc","va")</f>
        <v>va</v>
      </c>
      <c r="M2" s="130" t="str">
        <f>IF(booking!X2&gt;0,"oc","va")</f>
        <v>va</v>
      </c>
      <c r="N2" s="131" t="str">
        <f>IF(booking!Y2&gt;0,"oc","va")</f>
        <v>va</v>
      </c>
    </row>
    <row r="3" spans="1:14" x14ac:dyDescent="0.35">
      <c r="A3" s="5">
        <f>booking!C3</f>
        <v>46140</v>
      </c>
      <c r="B3" s="6"/>
      <c r="C3" s="130" t="str">
        <f>IF(booking!D3&gt;0,"oc","va")</f>
        <v>va</v>
      </c>
      <c r="D3" s="131" t="str">
        <f>IF(booking!E3&gt;0,"oc","va")</f>
        <v>va</v>
      </c>
      <c r="E3" s="130" t="str">
        <f>IF(booking!H3&gt;0,"oc","va")</f>
        <v>va</v>
      </c>
      <c r="F3" s="131" t="str">
        <f>IF(booking!I3&gt;0,"oc","va")</f>
        <v>va</v>
      </c>
      <c r="G3" s="130" t="str">
        <f>IF(booking!L3&gt;0,"oc","va")</f>
        <v>va</v>
      </c>
      <c r="H3" s="131" t="str">
        <f>IF(booking!M3&gt;0,"oc","va")</f>
        <v>va</v>
      </c>
      <c r="I3" s="130" t="str">
        <f>IF(booking!P3&gt;0,"oc","va")</f>
        <v>va</v>
      </c>
      <c r="J3" s="131" t="str">
        <f>IF(booking!Q3&gt;0,"oc","va")</f>
        <v>va</v>
      </c>
      <c r="K3" s="130" t="str">
        <f>IF(booking!T3&gt;0,"oc","va")</f>
        <v>va</v>
      </c>
      <c r="L3" s="131" t="str">
        <f>IF(booking!U3&gt;0,"oc","va")</f>
        <v>va</v>
      </c>
      <c r="M3" s="130" t="str">
        <f>IF(booking!X3&gt;0,"oc","va")</f>
        <v>va</v>
      </c>
      <c r="N3" s="131" t="str">
        <f>IF(booking!Y3&gt;0,"oc","va")</f>
        <v>va</v>
      </c>
    </row>
    <row r="4" spans="1:14" x14ac:dyDescent="0.35">
      <c r="A4" s="5">
        <f>booking!C4</f>
        <v>46141</v>
      </c>
      <c r="B4" s="6"/>
      <c r="C4" s="130" t="str">
        <f>IF(booking!D4&gt;0,"oc","va")</f>
        <v>va</v>
      </c>
      <c r="D4" s="131" t="str">
        <f>IF(booking!E4&gt;0,"oc","va")</f>
        <v>va</v>
      </c>
      <c r="E4" s="130" t="str">
        <f>IF(booking!H4&gt;0,"oc","va")</f>
        <v>va</v>
      </c>
      <c r="F4" s="131" t="str">
        <f>IF(booking!I4&gt;0,"oc","va")</f>
        <v>va</v>
      </c>
      <c r="G4" s="130" t="str">
        <f>IF(booking!L4&gt;0,"oc","va")</f>
        <v>va</v>
      </c>
      <c r="H4" s="131" t="str">
        <f>IF(booking!M4&gt;0,"oc","va")</f>
        <v>va</v>
      </c>
      <c r="I4" s="130" t="str">
        <f>IF(booking!P4&gt;0,"oc","va")</f>
        <v>va</v>
      </c>
      <c r="J4" s="131" t="str">
        <f>IF(booking!Q4&gt;0,"oc","va")</f>
        <v>va</v>
      </c>
      <c r="K4" s="130" t="str">
        <f>IF(booking!T4&gt;0,"oc","va")</f>
        <v>va</v>
      </c>
      <c r="L4" s="131" t="str">
        <f>IF(booking!U4&gt;0,"oc","va")</f>
        <v>va</v>
      </c>
      <c r="M4" s="130" t="str">
        <f>IF(booking!X4&gt;0,"oc","va")</f>
        <v>va</v>
      </c>
      <c r="N4" s="131" t="str">
        <f>IF(booking!Y4&gt;0,"oc","va")</f>
        <v>va</v>
      </c>
    </row>
    <row r="5" spans="1:14" x14ac:dyDescent="0.35">
      <c r="A5" s="5">
        <f>booking!C5</f>
        <v>46142</v>
      </c>
      <c r="B5" s="6"/>
      <c r="C5" s="130" t="str">
        <f>IF(booking!D5&gt;0,"oc","va")</f>
        <v>va</v>
      </c>
      <c r="D5" s="131" t="str">
        <f>IF(booking!E5&gt;0,"oc","va")</f>
        <v>va</v>
      </c>
      <c r="E5" s="130" t="str">
        <f>IF(booking!H5&gt;0,"oc","va")</f>
        <v>va</v>
      </c>
      <c r="F5" s="131" t="str">
        <f>IF(booking!I5&gt;0,"oc","va")</f>
        <v>va</v>
      </c>
      <c r="G5" s="130" t="str">
        <f>IF(booking!L5&gt;0,"oc","va")</f>
        <v>va</v>
      </c>
      <c r="H5" s="131" t="str">
        <f>IF(booking!M5&gt;0,"oc","va")</f>
        <v>va</v>
      </c>
      <c r="I5" s="130" t="str">
        <f>IF(booking!P5&gt;0,"oc","va")</f>
        <v>va</v>
      </c>
      <c r="J5" s="131" t="str">
        <f>IF(booking!Q5&gt;0,"oc","va")</f>
        <v>va</v>
      </c>
      <c r="K5" s="130" t="str">
        <f>IF(booking!T5&gt;0,"oc","va")</f>
        <v>va</v>
      </c>
      <c r="L5" s="131" t="str">
        <f>IF(booking!U5&gt;0,"oc","va")</f>
        <v>va</v>
      </c>
      <c r="M5" s="130" t="str">
        <f>IF(booking!X5&gt;0,"oc","va")</f>
        <v>va</v>
      </c>
      <c r="N5" s="131" t="str">
        <f>IF(booking!Y5&gt;0,"oc","va")</f>
        <v>va</v>
      </c>
    </row>
    <row r="6" spans="1:14" x14ac:dyDescent="0.35">
      <c r="A6" s="5">
        <f>booking!C6</f>
        <v>46143</v>
      </c>
      <c r="B6" s="6" t="s">
        <v>161</v>
      </c>
      <c r="C6" s="130" t="str">
        <f>IF(booking!D6&gt;0,"oc","va")</f>
        <v>va</v>
      </c>
      <c r="D6" s="131" t="str">
        <f>IF(booking!E6&gt;0,"oc","va")</f>
        <v>oc</v>
      </c>
      <c r="E6" s="130" t="str">
        <f>IF(booking!H6&gt;0,"oc","va")</f>
        <v>va</v>
      </c>
      <c r="F6" s="131" t="str">
        <f>IF(booking!I6&gt;0,"oc","va")</f>
        <v>oc</v>
      </c>
      <c r="G6" s="130" t="str">
        <f>IF(booking!L6&gt;0,"oc","va")</f>
        <v>va</v>
      </c>
      <c r="H6" s="131" t="str">
        <f>IF(booking!M6&gt;0,"oc","va")</f>
        <v>oc</v>
      </c>
      <c r="I6" s="130" t="str">
        <f>IF(booking!P6&gt;0,"oc","va")</f>
        <v>va</v>
      </c>
      <c r="J6" s="131" t="str">
        <f>IF(booking!Q6&gt;0,"oc","va")</f>
        <v>oc</v>
      </c>
      <c r="K6" s="130" t="str">
        <f>IF(booking!T6&gt;0,"oc","va")</f>
        <v>va</v>
      </c>
      <c r="L6" s="131" t="str">
        <f>IF(booking!U6&gt;0,"oc","va")</f>
        <v>oc</v>
      </c>
      <c r="M6" s="130" t="str">
        <f>IF(booking!X6&gt;0,"oc","va")</f>
        <v>va</v>
      </c>
      <c r="N6" s="131" t="str">
        <f>IF(booking!Y6&gt;0,"oc","va")</f>
        <v>va</v>
      </c>
    </row>
    <row r="7" spans="1:14" x14ac:dyDescent="0.35">
      <c r="A7" s="5">
        <f>booking!C7</f>
        <v>46144</v>
      </c>
      <c r="B7" s="6"/>
      <c r="C7" s="130" t="str">
        <f>IF(booking!D7&gt;0,"oc","va")</f>
        <v>oc</v>
      </c>
      <c r="D7" s="131" t="str">
        <f>IF(booking!E7&gt;0,"oc","va")</f>
        <v>oc</v>
      </c>
      <c r="E7" s="130" t="str">
        <f>IF(booking!H7&gt;0,"oc","va")</f>
        <v>oc</v>
      </c>
      <c r="F7" s="131" t="str">
        <f>IF(booking!I7&gt;0,"oc","va")</f>
        <v>oc</v>
      </c>
      <c r="G7" s="130" t="str">
        <f>IF(booking!L7&gt;0,"oc","va")</f>
        <v>oc</v>
      </c>
      <c r="H7" s="131" t="str">
        <f>IF(booking!M7&gt;0,"oc","va")</f>
        <v>oc</v>
      </c>
      <c r="I7" s="130" t="str">
        <f>IF(booking!P7&gt;0,"oc","va")</f>
        <v>oc</v>
      </c>
      <c r="J7" s="131" t="str">
        <f>IF(booking!Q7&gt;0,"oc","va")</f>
        <v>oc</v>
      </c>
      <c r="K7" s="130" t="str">
        <f>IF(booking!T7&gt;0,"oc","va")</f>
        <v>oc</v>
      </c>
      <c r="L7" s="131" t="str">
        <f>IF(booking!U7&gt;0,"oc","va")</f>
        <v>oc</v>
      </c>
      <c r="M7" s="130" t="str">
        <f>IF(booking!X7&gt;0,"oc","va")</f>
        <v>va</v>
      </c>
      <c r="N7" s="131" t="str">
        <f>IF(booking!Y7&gt;0,"oc","va")</f>
        <v>va</v>
      </c>
    </row>
    <row r="8" spans="1:14" x14ac:dyDescent="0.35">
      <c r="A8" s="5">
        <f>booking!C8</f>
        <v>46145</v>
      </c>
      <c r="B8" s="6"/>
      <c r="C8" s="130" t="str">
        <f>IF(booking!D8&gt;0,"oc","va")</f>
        <v>oc</v>
      </c>
      <c r="D8" s="131" t="str">
        <f>IF(booking!E8&gt;0,"oc","va")</f>
        <v>va</v>
      </c>
      <c r="E8" s="130" t="str">
        <f>IF(booking!H8&gt;0,"oc","va")</f>
        <v>oc</v>
      </c>
      <c r="F8" s="131" t="str">
        <f>IF(booking!I8&gt;0,"oc","va")</f>
        <v>va</v>
      </c>
      <c r="G8" s="130" t="str">
        <f>IF(booking!L8&gt;0,"oc","va")</f>
        <v>oc</v>
      </c>
      <c r="H8" s="131" t="str">
        <f>IF(booking!M8&gt;0,"oc","va")</f>
        <v>va</v>
      </c>
      <c r="I8" s="130" t="str">
        <f>IF(booking!P8&gt;0,"oc","va")</f>
        <v>oc</v>
      </c>
      <c r="J8" s="131" t="str">
        <f>IF(booking!Q8&gt;0,"oc","va")</f>
        <v>oc</v>
      </c>
      <c r="K8" s="130" t="str">
        <f>IF(booking!T8&gt;0,"oc","va")</f>
        <v>oc</v>
      </c>
      <c r="L8" s="131" t="str">
        <f>IF(booking!U8&gt;0,"oc","va")</f>
        <v>va</v>
      </c>
      <c r="M8" s="130" t="str">
        <f>IF(booking!X8&gt;0,"oc","va")</f>
        <v>va</v>
      </c>
      <c r="N8" s="131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30" t="str">
        <f>IF(booking!D9&gt;0,"oc","va")</f>
        <v>va</v>
      </c>
      <c r="D9" s="131" t="str">
        <f>IF(booking!E9&gt;0,"oc","va")</f>
        <v>va</v>
      </c>
      <c r="E9" s="130" t="str">
        <f>IF(booking!H9&gt;0,"oc","va")</f>
        <v>va</v>
      </c>
      <c r="F9" s="131" t="str">
        <f>IF(booking!I9&gt;0,"oc","va")</f>
        <v>va</v>
      </c>
      <c r="G9" s="130" t="str">
        <f>IF(booking!L9&gt;0,"oc","va")</f>
        <v>va</v>
      </c>
      <c r="H9" s="131" t="str">
        <f>IF(booking!M9&gt;0,"oc","va")</f>
        <v>va</v>
      </c>
      <c r="I9" s="130" t="str">
        <f>IF(booking!P9&gt;0,"oc","va")</f>
        <v>oc</v>
      </c>
      <c r="J9" s="131" t="str">
        <f>IF(booking!Q9&gt;0,"oc","va")</f>
        <v>oc</v>
      </c>
      <c r="K9" s="130" t="str">
        <f>IF(booking!T9&gt;0,"oc","va")</f>
        <v>va</v>
      </c>
      <c r="L9" s="131" t="str">
        <f>IF(booking!U9&gt;0,"oc","va")</f>
        <v>va</v>
      </c>
      <c r="M9" s="130" t="str">
        <f>IF(booking!X9&gt;0,"oc","va")</f>
        <v>va</v>
      </c>
      <c r="N9" s="131" t="str">
        <f>IF(booking!Y9&gt;0,"oc","va")</f>
        <v>va</v>
      </c>
    </row>
    <row r="10" spans="1:14" x14ac:dyDescent="0.35">
      <c r="A10" s="5">
        <f>booking!C10</f>
        <v>46147</v>
      </c>
      <c r="B10" s="6"/>
      <c r="C10" s="130" t="str">
        <f>IF(booking!D10&gt;0,"oc","va")</f>
        <v>va</v>
      </c>
      <c r="D10" s="131" t="str">
        <f>IF(booking!E10&gt;0,"oc","va")</f>
        <v>va</v>
      </c>
      <c r="E10" s="130" t="str">
        <f>IF(booking!H10&gt;0,"oc","va")</f>
        <v>va</v>
      </c>
      <c r="F10" s="131" t="str">
        <f>IF(booking!I11&gt;0,"oc","va")</f>
        <v>va</v>
      </c>
      <c r="G10" s="130" t="str">
        <f>IF(booking!L10&gt;0,"oc","va")</f>
        <v>va</v>
      </c>
      <c r="H10" s="131" t="str">
        <f>IF(booking!M10&gt;0,"oc","va")</f>
        <v>va</v>
      </c>
      <c r="I10" s="130" t="str">
        <f>IF(booking!P10&gt;0,"oc","va")</f>
        <v>oc</v>
      </c>
      <c r="J10" s="131" t="str">
        <f>IF(booking!Q10&gt;0,"oc","va")</f>
        <v>oc</v>
      </c>
      <c r="K10" s="130" t="str">
        <f>IF(booking!T10&gt;0,"oc","va")</f>
        <v>va</v>
      </c>
      <c r="L10" s="131" t="str">
        <f>IF(booking!U10&gt;0,"oc","va")</f>
        <v>va</v>
      </c>
      <c r="M10" s="130" t="str">
        <f>IF(booking!X10&gt;0,"oc","va")</f>
        <v>va</v>
      </c>
      <c r="N10" s="131" t="str">
        <f>IF(booking!Y10&gt;0,"oc","va")</f>
        <v>va</v>
      </c>
    </row>
    <row r="11" spans="1:14" x14ac:dyDescent="0.35">
      <c r="A11" s="5">
        <f>booking!C11</f>
        <v>46148</v>
      </c>
      <c r="B11" s="6"/>
      <c r="C11" s="130" t="str">
        <f>IF(booking!D11&gt;0,"oc","va")</f>
        <v>va</v>
      </c>
      <c r="D11" s="131" t="str">
        <f>IF(booking!E11&gt;0,"oc","va")</f>
        <v>va</v>
      </c>
      <c r="E11" s="130" t="str">
        <f>IF(booking!H11&gt;0,"oc","va")</f>
        <v>va</v>
      </c>
      <c r="F11" s="131" t="e">
        <f>IF(booking!#REF!&gt;0,"oc","va")</f>
        <v>#REF!</v>
      </c>
      <c r="G11" s="130" t="str">
        <f>IF(booking!L11&gt;0,"oc","va")</f>
        <v>va</v>
      </c>
      <c r="H11" s="131" t="str">
        <f>IF(booking!M11&gt;0,"oc","va")</f>
        <v>va</v>
      </c>
      <c r="I11" s="130" t="str">
        <f>IF(booking!P11&gt;0,"oc","va")</f>
        <v>oc</v>
      </c>
      <c r="J11" s="131" t="str">
        <f>IF(booking!Q11&gt;0,"oc","va")</f>
        <v>oc</v>
      </c>
      <c r="K11" s="130" t="str">
        <f>IF(booking!T11&gt;0,"oc","va")</f>
        <v>va</v>
      </c>
      <c r="L11" s="131" t="str">
        <f>IF(booking!U11&gt;0,"oc","va")</f>
        <v>va</v>
      </c>
      <c r="M11" s="130" t="str">
        <f>IF(booking!X11&gt;0,"oc","va")</f>
        <v>va</v>
      </c>
      <c r="N11" s="131" t="str">
        <f>IF(booking!Y11&gt;0,"oc","va")</f>
        <v>va</v>
      </c>
    </row>
    <row r="12" spans="1:14" x14ac:dyDescent="0.35">
      <c r="A12" s="5">
        <f>booking!C12</f>
        <v>46149</v>
      </c>
      <c r="B12" s="6"/>
      <c r="C12" s="130" t="str">
        <f>IF(booking!D12&gt;0,"oc","va")</f>
        <v>va</v>
      </c>
      <c r="D12" s="131" t="str">
        <f>IF(booking!E12&gt;0,"oc","va")</f>
        <v>va</v>
      </c>
      <c r="E12" s="130" t="str">
        <f>IF(booking!H12&gt;0,"oc","va")</f>
        <v>va</v>
      </c>
      <c r="F12" s="131" t="str">
        <f>IF(booking!I12&gt;0,"oc","va")</f>
        <v>oc</v>
      </c>
      <c r="G12" s="130" t="str">
        <f>IF(booking!L12&gt;0,"oc","va")</f>
        <v>va</v>
      </c>
      <c r="H12" s="131" t="str">
        <f>IF(booking!M12&gt;0,"oc","va")</f>
        <v>oc</v>
      </c>
      <c r="I12" s="130" t="str">
        <f>IF(booking!P12&gt;0,"oc","va")</f>
        <v>oc</v>
      </c>
      <c r="J12" s="131" t="str">
        <f>IF(booking!Q12&gt;0,"oc","va")</f>
        <v>oc</v>
      </c>
      <c r="K12" s="130" t="str">
        <f>IF(booking!T12&gt;0,"oc","va")</f>
        <v>va</v>
      </c>
      <c r="L12" s="131" t="str">
        <f>IF(booking!U12&gt;0,"oc","va")</f>
        <v>va</v>
      </c>
      <c r="M12" s="130" t="str">
        <f>IF(booking!X12&gt;0,"oc","va")</f>
        <v>va</v>
      </c>
      <c r="N12" s="131" t="str">
        <f>IF(booking!Y12&gt;0,"oc","va")</f>
        <v>va</v>
      </c>
    </row>
    <row r="13" spans="1:14" x14ac:dyDescent="0.35">
      <c r="A13" s="5">
        <f>booking!C13</f>
        <v>46150</v>
      </c>
      <c r="B13" s="6"/>
      <c r="C13" s="130" t="str">
        <f>IF(booking!D13&gt;0,"oc","va")</f>
        <v>va</v>
      </c>
      <c r="D13" s="131" t="str">
        <f>IF(booking!E13&gt;0,"oc","va")</f>
        <v>va</v>
      </c>
      <c r="E13" s="130" t="str">
        <f>IF(booking!H13&gt;0,"oc","va")</f>
        <v>oc</v>
      </c>
      <c r="F13" s="131" t="str">
        <f>IF(booking!I13&gt;0,"oc","va")</f>
        <v>oc</v>
      </c>
      <c r="G13" s="130" t="str">
        <f>IF(booking!L13&gt;0,"oc","va")</f>
        <v>oc</v>
      </c>
      <c r="H13" s="131" t="str">
        <f>IF(booking!M13&gt;0,"oc","va")</f>
        <v>oc</v>
      </c>
      <c r="I13" s="130" t="str">
        <f>IF(booking!P13&gt;0,"oc","va")</f>
        <v>oc</v>
      </c>
      <c r="J13" s="131" t="str">
        <f>IF(booking!Q13&gt;0,"oc","va")</f>
        <v>oc</v>
      </c>
      <c r="K13" s="130" t="str">
        <f>IF(booking!T13&gt;0,"oc","va")</f>
        <v>va</v>
      </c>
      <c r="L13" s="131" t="str">
        <f>IF(booking!U13&gt;0,"oc","va")</f>
        <v>va</v>
      </c>
      <c r="M13" s="130" t="str">
        <f>IF(booking!X13&gt;0,"oc","va")</f>
        <v>va</v>
      </c>
      <c r="N13" s="131" t="str">
        <f>IF(booking!Y13&gt;0,"oc","va")</f>
        <v>va</v>
      </c>
    </row>
    <row r="14" spans="1:14" x14ac:dyDescent="0.35">
      <c r="A14" s="5">
        <f>booking!C14</f>
        <v>46151</v>
      </c>
      <c r="B14" s="6"/>
      <c r="C14" s="130" t="e">
        <f>IF(booking!#REF!&gt;0,"oc","va")</f>
        <v>#REF!</v>
      </c>
      <c r="D14" s="131" t="str">
        <f>IF(booking!D14&gt;0,"oc","va")</f>
        <v>va</v>
      </c>
      <c r="E14" s="130" t="str">
        <f>IF(booking!H14&gt;0,"oc","va")</f>
        <v>oc</v>
      </c>
      <c r="F14" s="131" t="str">
        <f>IF(booking!I14&gt;0,"oc","va")</f>
        <v>oc</v>
      </c>
      <c r="G14" s="130" t="str">
        <f>IF(booking!L14&gt;0,"oc","va")</f>
        <v>oc</v>
      </c>
      <c r="H14" s="131" t="str">
        <f>IF(booking!M14&gt;0,"oc","va")</f>
        <v>oc</v>
      </c>
      <c r="I14" s="130" t="str">
        <f>IF(booking!P14&gt;0,"oc","va")</f>
        <v>oc</v>
      </c>
      <c r="J14" s="131" t="str">
        <f>IF(booking!Q14&gt;0,"oc","va")</f>
        <v>oc</v>
      </c>
      <c r="K14" s="130" t="str">
        <f>IF(booking!T14&gt;0,"oc","va")</f>
        <v>va</v>
      </c>
      <c r="L14" s="131" t="str">
        <f>IF(booking!U14&gt;0,"oc","va")</f>
        <v>va</v>
      </c>
      <c r="M14" s="130" t="str">
        <f>IF(booking!X14&gt;0,"oc","va")</f>
        <v>va</v>
      </c>
      <c r="N14" s="131" t="str">
        <f>IF(booking!Y14&gt;0,"oc","va")</f>
        <v>va</v>
      </c>
    </row>
    <row r="15" spans="1:14" x14ac:dyDescent="0.35">
      <c r="A15" s="5">
        <f>booking!C15</f>
        <v>46152</v>
      </c>
      <c r="B15" s="6"/>
      <c r="C15" s="130" t="str">
        <f>IF(booking!D15&gt;0,"oc","va")</f>
        <v>va</v>
      </c>
      <c r="D15" s="131" t="str">
        <f>IF(booking!E15&gt;0,"oc","va")</f>
        <v>va</v>
      </c>
      <c r="E15" s="130" t="str">
        <f>IF(booking!H15&gt;0,"oc","va")</f>
        <v>oc</v>
      </c>
      <c r="F15" s="131" t="str">
        <f>IF(booking!I15&gt;0,"oc","va")</f>
        <v>va</v>
      </c>
      <c r="G15" s="130" t="str">
        <f>IF(booking!L15&gt;0,"oc","va")</f>
        <v>oc</v>
      </c>
      <c r="H15" s="131" t="str">
        <f>IF(booking!M15&gt;0,"oc","va")</f>
        <v>va</v>
      </c>
      <c r="I15" s="130" t="str">
        <f>IF(booking!P15&gt;0,"oc","va")</f>
        <v>oc</v>
      </c>
      <c r="J15" s="131" t="str">
        <f>IF(booking!Q15&gt;0,"oc","va")</f>
        <v>va</v>
      </c>
      <c r="K15" s="130" t="str">
        <f>IF(booking!T15&gt;0,"oc","va")</f>
        <v>va</v>
      </c>
      <c r="L15" s="131" t="str">
        <f>IF(booking!U15&gt;0,"oc","va")</f>
        <v>va</v>
      </c>
      <c r="M15" s="130" t="str">
        <f>IF(booking!X15&gt;0,"oc","va")</f>
        <v>va</v>
      </c>
      <c r="N15" s="131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30" t="str">
        <f>IF(booking!D16&gt;0,"oc","va")</f>
        <v>va</v>
      </c>
      <c r="D16" s="131" t="str">
        <f>IF(booking!E16&gt;0,"oc","va")</f>
        <v>va</v>
      </c>
      <c r="E16" s="130" t="str">
        <f>IF(booking!H16&gt;0,"oc","va")</f>
        <v>va</v>
      </c>
      <c r="F16" s="131" t="str">
        <f>IF(booking!I16&gt;0,"oc","va")</f>
        <v>va</v>
      </c>
      <c r="G16" s="130" t="str">
        <f>IF(booking!L16&gt;0,"oc","va")</f>
        <v>va</v>
      </c>
      <c r="H16" s="131" t="str">
        <f>IF(booking!M16&gt;0,"oc","va")</f>
        <v>va</v>
      </c>
      <c r="I16" s="130" t="str">
        <f>IF(booking!P16&gt;0,"oc","va")</f>
        <v>va</v>
      </c>
      <c r="J16" s="131" t="str">
        <f>IF(booking!Q16&gt;0,"oc","va")</f>
        <v>va</v>
      </c>
      <c r="K16" s="130" t="str">
        <f>IF(booking!T16&gt;0,"oc","va")</f>
        <v>va</v>
      </c>
      <c r="L16" s="131" t="str">
        <f>IF(booking!U16&gt;0,"oc","va")</f>
        <v>oc</v>
      </c>
      <c r="M16" s="130" t="str">
        <f>IF(booking!X16&gt;0,"oc","va")</f>
        <v>va</v>
      </c>
      <c r="N16" s="131" t="str">
        <f>IF(booking!Y16&gt;0,"oc","va")</f>
        <v>va</v>
      </c>
    </row>
    <row r="17" spans="1:14" x14ac:dyDescent="0.35">
      <c r="A17" s="5">
        <f>booking!C17</f>
        <v>46154</v>
      </c>
      <c r="B17" s="6"/>
      <c r="C17" s="130" t="str">
        <f>IF(booking!D17&gt;0,"oc","va")</f>
        <v>va</v>
      </c>
      <c r="D17" s="131" t="str">
        <f>IF(booking!E17&gt;0,"oc","va")</f>
        <v>va</v>
      </c>
      <c r="E17" s="130" t="str">
        <f>IF(booking!H17&gt;0,"oc","va")</f>
        <v>va</v>
      </c>
      <c r="F17" s="131" t="str">
        <f>IF(booking!I17&gt;0,"oc","va")</f>
        <v>va</v>
      </c>
      <c r="G17" s="130" t="str">
        <f>IF(booking!L17&gt;0,"oc","va")</f>
        <v>va</v>
      </c>
      <c r="H17" s="131" t="str">
        <f>IF(booking!M17&gt;0,"oc","va")</f>
        <v>va</v>
      </c>
      <c r="I17" s="130" t="str">
        <f>IF(booking!P17&gt;0,"oc","va")</f>
        <v>va</v>
      </c>
      <c r="J17" s="131" t="str">
        <f>IF(booking!Q17&gt;0,"oc","va")</f>
        <v>va</v>
      </c>
      <c r="K17" s="130" t="str">
        <f>IF(booking!T17&gt;0,"oc","va")</f>
        <v>oc</v>
      </c>
      <c r="L17" s="131" t="str">
        <f>IF(booking!U17&gt;0,"oc","va")</f>
        <v>oc</v>
      </c>
      <c r="M17" s="130" t="str">
        <f>IF(booking!X17&gt;0,"oc","va")</f>
        <v>va</v>
      </c>
      <c r="N17" s="131" t="str">
        <f>IF(booking!Y17&gt;0,"oc","va")</f>
        <v>va</v>
      </c>
    </row>
    <row r="18" spans="1:14" x14ac:dyDescent="0.35">
      <c r="A18" s="5">
        <f>booking!C18</f>
        <v>46155</v>
      </c>
      <c r="B18" s="6"/>
      <c r="C18" s="130" t="str">
        <f>IF(booking!D18&gt;0,"oc","va")</f>
        <v>va</v>
      </c>
      <c r="D18" s="131" t="str">
        <f>IF(booking!E18&gt;0,"oc","va")</f>
        <v>oc</v>
      </c>
      <c r="E18" s="130" t="str">
        <f>IF(booking!H18&gt;0,"oc","va")</f>
        <v>va</v>
      </c>
      <c r="F18" s="131" t="str">
        <f>IF(booking!I18&gt;0,"oc","va")</f>
        <v>va</v>
      </c>
      <c r="G18" s="130" t="str">
        <f>IF(booking!L18&gt;0,"oc","va")</f>
        <v>va</v>
      </c>
      <c r="H18" s="131" t="str">
        <f>IF(booking!M18&gt;0,"oc","va")</f>
        <v>va</v>
      </c>
      <c r="I18" s="130" t="str">
        <f>IF(booking!P18&gt;0,"oc","va")</f>
        <v>va</v>
      </c>
      <c r="J18" s="131" t="str">
        <f>IF(booking!Q18&gt;0,"oc","va")</f>
        <v>va</v>
      </c>
      <c r="K18" s="130" t="str">
        <f>IF(booking!T18&gt;0,"oc","va")</f>
        <v>oc</v>
      </c>
      <c r="L18" s="131" t="str">
        <f>IF(booking!U18&gt;0,"oc","va")</f>
        <v>va</v>
      </c>
      <c r="M18" s="130" t="str">
        <f>IF(booking!X18&gt;0,"oc","va")</f>
        <v>va</v>
      </c>
      <c r="N18" s="131" t="str">
        <f>IF(booking!Y18&gt;0,"oc","va")</f>
        <v>va</v>
      </c>
    </row>
    <row r="19" spans="1:14" x14ac:dyDescent="0.35">
      <c r="A19" s="5">
        <f>booking!C19</f>
        <v>46156</v>
      </c>
      <c r="B19" s="6" t="s">
        <v>223</v>
      </c>
      <c r="C19" s="130" t="str">
        <f>IF(booking!D19&gt;0,"oc","va")</f>
        <v>oc</v>
      </c>
      <c r="D19" s="131" t="str">
        <f>IF(booking!E19&gt;0,"oc","va")</f>
        <v>oc</v>
      </c>
      <c r="E19" s="130" t="str">
        <f>IF(booking!H19&gt;0,"oc","va")</f>
        <v>va</v>
      </c>
      <c r="F19" s="131" t="str">
        <f>IF(booking!I19&gt;0,"oc","va")</f>
        <v>va</v>
      </c>
      <c r="G19" s="130" t="str">
        <f>IF(booking!L19&gt;0,"oc","va")</f>
        <v>va</v>
      </c>
      <c r="H19" s="131" t="str">
        <f>IF(booking!M19&gt;0,"oc","va")</f>
        <v>oc</v>
      </c>
      <c r="I19" s="130" t="str">
        <f>IF(booking!P19&gt;0,"oc","va")</f>
        <v>va</v>
      </c>
      <c r="J19" s="131" t="str">
        <f>IF(booking!Q19&gt;0,"oc","va")</f>
        <v>oc</v>
      </c>
      <c r="K19" s="130" t="str">
        <f>IF(booking!T19&gt;0,"oc","va")</f>
        <v>va</v>
      </c>
      <c r="L19" s="131" t="str">
        <f>IF(booking!U19&gt;0,"oc","va")</f>
        <v>oc</v>
      </c>
      <c r="M19" s="130" t="str">
        <f>IF(booking!X19&gt;0,"oc","va")</f>
        <v>va</v>
      </c>
      <c r="N19" s="131" t="str">
        <f>IF(booking!Y19&gt;0,"oc","va")</f>
        <v>va</v>
      </c>
    </row>
    <row r="20" spans="1:14" x14ac:dyDescent="0.35">
      <c r="A20" s="5">
        <f>booking!C20</f>
        <v>46157</v>
      </c>
      <c r="B20" s="6"/>
      <c r="C20" s="130" t="str">
        <f>IF(booking!D20&gt;0,"oc","va")</f>
        <v>oc</v>
      </c>
      <c r="D20" s="131" t="str">
        <f>IF(booking!E20&gt;0,"oc","va")</f>
        <v>oc</v>
      </c>
      <c r="E20" s="130" t="str">
        <f>IF(booking!H20&gt;0,"oc","va")</f>
        <v>va</v>
      </c>
      <c r="F20" s="131" t="str">
        <f>IF(booking!I20&gt;0,"oc","va")</f>
        <v>oc</v>
      </c>
      <c r="G20" s="130" t="str">
        <f>IF(booking!L20&gt;0,"oc","va")</f>
        <v>oc</v>
      </c>
      <c r="H20" s="131" t="str">
        <f>IF(booking!M20&gt;0,"oc","va")</f>
        <v>oc</v>
      </c>
      <c r="I20" s="130" t="str">
        <f>IF(booking!P20&gt;0,"oc","va")</f>
        <v>oc</v>
      </c>
      <c r="J20" s="131" t="str">
        <f>IF(booking!Q20&gt;0,"oc","va")</f>
        <v>oc</v>
      </c>
      <c r="K20" s="130" t="str">
        <f>IF(booking!T20&gt;0,"oc","va")</f>
        <v>oc</v>
      </c>
      <c r="L20" s="131" t="str">
        <f>IF(booking!U20&gt;0,"oc","va")</f>
        <v>oc</v>
      </c>
      <c r="M20" s="130" t="str">
        <f>IF(booking!X20&gt;0,"oc","va")</f>
        <v>va</v>
      </c>
      <c r="N20" s="131" t="str">
        <f>IF(booking!Y20&gt;0,"oc","va")</f>
        <v>va</v>
      </c>
    </row>
    <row r="21" spans="1:14" x14ac:dyDescent="0.35">
      <c r="A21" s="5">
        <f>booking!C21</f>
        <v>46158</v>
      </c>
      <c r="B21" s="6"/>
      <c r="C21" s="130" t="str">
        <f>IF(booking!D21&gt;0,"oc","va")</f>
        <v>oc</v>
      </c>
      <c r="D21" s="131" t="str">
        <f>IF(booking!E21&gt;0,"oc","va")</f>
        <v>oc</v>
      </c>
      <c r="E21" s="130" t="str">
        <f>IF(booking!H21&gt;0,"oc","va")</f>
        <v>oc</v>
      </c>
      <c r="F21" s="131" t="str">
        <f>IF(booking!I21&gt;0,"oc","va")</f>
        <v>oc</v>
      </c>
      <c r="G21" s="130" t="str">
        <f>IF(booking!L21&gt;0,"oc","va")</f>
        <v>oc</v>
      </c>
      <c r="H21" s="131" t="str">
        <f>IF(booking!M21&gt;0,"oc","va")</f>
        <v>oc</v>
      </c>
      <c r="I21" s="130" t="str">
        <f>IF(booking!P21&gt;0,"oc","va")</f>
        <v>oc</v>
      </c>
      <c r="J21" s="131" t="str">
        <f>IF(booking!Q21&gt;0,"oc","va")</f>
        <v>oc</v>
      </c>
      <c r="K21" s="130" t="str">
        <f>IF(booking!T21&gt;0,"oc","va")</f>
        <v>oc</v>
      </c>
      <c r="L21" s="131" t="str">
        <f>IF(booking!U21&gt;0,"oc","va")</f>
        <v>oc</v>
      </c>
      <c r="M21" s="130" t="str">
        <f>IF(booking!X21&gt;0,"oc","va")</f>
        <v>va</v>
      </c>
      <c r="N21" s="131" t="str">
        <f>IF(booking!Y21&gt;0,"oc","va")</f>
        <v>va</v>
      </c>
    </row>
    <row r="22" spans="1:14" x14ac:dyDescent="0.35">
      <c r="A22" s="5">
        <f>booking!C22</f>
        <v>46159</v>
      </c>
      <c r="B22" s="6"/>
      <c r="C22" s="130" t="str">
        <f>IF(booking!D22&gt;0,"oc","va")</f>
        <v>oc</v>
      </c>
      <c r="D22" s="131" t="str">
        <f>IF(booking!E22&gt;0,"oc","va")</f>
        <v>oc</v>
      </c>
      <c r="E22" s="130" t="str">
        <f>IF(booking!H22&gt;0,"oc","va")</f>
        <v>oc</v>
      </c>
      <c r="F22" s="131" t="str">
        <f>IF(booking!I22&gt;0,"oc","va")</f>
        <v>oc</v>
      </c>
      <c r="G22" s="130" t="str">
        <f>IF(booking!L22&gt;0,"oc","va")</f>
        <v>oc</v>
      </c>
      <c r="H22" s="131" t="str">
        <f>IF(booking!M22&gt;0,"oc","va")</f>
        <v>va</v>
      </c>
      <c r="I22" s="130" t="str">
        <f>IF(booking!P22&gt;0,"oc","va")</f>
        <v>oc</v>
      </c>
      <c r="J22" s="131" t="str">
        <f>IF(booking!Q22&gt;0,"oc","va")</f>
        <v>oc</v>
      </c>
      <c r="K22" s="130" t="str">
        <f>IF(booking!T22&gt;0,"oc","va")</f>
        <v>oc</v>
      </c>
      <c r="L22" s="131" t="str">
        <f>IF(booking!U22&gt;0,"oc","va")</f>
        <v>oc</v>
      </c>
      <c r="M22" s="130" t="str">
        <f>IF(booking!X22&gt;0,"oc","va")</f>
        <v>va</v>
      </c>
      <c r="N22" s="131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30" t="str">
        <f>IF(booking!D23&gt;0,"oc","va")</f>
        <v>oc</v>
      </c>
      <c r="D23" s="131" t="str">
        <f>IF(booking!E23&gt;0,"oc","va")</f>
        <v>oc</v>
      </c>
      <c r="E23" s="130" t="str">
        <f>IF(booking!H23&gt;0,"oc","va")</f>
        <v>oc</v>
      </c>
      <c r="F23" s="131" t="str">
        <f>IF(booking!I23&gt;0,"oc","va")</f>
        <v>oc</v>
      </c>
      <c r="G23" s="130" t="str">
        <f>IF(booking!L23&gt;0,"oc","va")</f>
        <v>va</v>
      </c>
      <c r="H23" s="131" t="str">
        <f>IF(booking!M23&gt;0,"oc","va")</f>
        <v>oc</v>
      </c>
      <c r="I23" s="130" t="str">
        <f>IF(booking!P23&gt;0,"oc","va")</f>
        <v>oc</v>
      </c>
      <c r="J23" s="131" t="str">
        <f>IF(booking!Q23&gt;0,"oc","va")</f>
        <v>oc</v>
      </c>
      <c r="K23" s="130" t="str">
        <f>IF(booking!T23&gt;0,"oc","va")</f>
        <v>oc</v>
      </c>
      <c r="L23" s="131" t="str">
        <f>IF(booking!U23&gt;0,"oc","va")</f>
        <v>oc</v>
      </c>
      <c r="M23" s="130" t="str">
        <f>IF(booking!X23&gt;0,"oc","va")</f>
        <v>va</v>
      </c>
      <c r="N23" s="131" t="str">
        <f>IF(booking!Y23&gt;0,"oc","va")</f>
        <v>va</v>
      </c>
    </row>
    <row r="24" spans="1:14" x14ac:dyDescent="0.35">
      <c r="A24" s="5">
        <f>booking!C24</f>
        <v>46161</v>
      </c>
      <c r="B24" s="6"/>
      <c r="C24" s="130" t="str">
        <f>IF(booking!D24&gt;0,"oc","va")</f>
        <v>oc</v>
      </c>
      <c r="D24" s="131" t="str">
        <f>IF(booking!E24&gt;0,"oc","va")</f>
        <v>oc</v>
      </c>
      <c r="E24" s="130" t="str">
        <f>IF(booking!H24&gt;0,"oc","va")</f>
        <v>oc</v>
      </c>
      <c r="F24" s="131" t="str">
        <f>IF(booking!I24&gt;0,"oc","va")</f>
        <v>oc</v>
      </c>
      <c r="G24" s="130" t="str">
        <f>IF(booking!L24&gt;0,"oc","va")</f>
        <v>oc</v>
      </c>
      <c r="H24" s="131" t="str">
        <f>IF(booking!M24&gt;0,"oc","va")</f>
        <v>oc</v>
      </c>
      <c r="I24" s="130" t="str">
        <f>IF(booking!P24&gt;0,"oc","va")</f>
        <v>oc</v>
      </c>
      <c r="J24" s="131" t="str">
        <f>IF(booking!Q24&gt;0,"oc","va")</f>
        <v>oc</v>
      </c>
      <c r="K24" s="130" t="str">
        <f>IF(booking!T24&gt;0,"oc","va")</f>
        <v>oc</v>
      </c>
      <c r="L24" s="131" t="str">
        <f>IF(booking!U24&gt;0,"oc","va")</f>
        <v>oc</v>
      </c>
      <c r="M24" s="130" t="str">
        <f>IF(booking!X24&gt;0,"oc","va")</f>
        <v>va</v>
      </c>
      <c r="N24" s="131" t="str">
        <f>IF(booking!Y24&gt;0,"oc","va")</f>
        <v>va</v>
      </c>
    </row>
    <row r="25" spans="1:14" x14ac:dyDescent="0.35">
      <c r="A25" s="5">
        <f>booking!C25</f>
        <v>46162</v>
      </c>
      <c r="B25" s="6"/>
      <c r="C25" s="130" t="str">
        <f>IF(booking!D25&gt;0,"oc","va")</f>
        <v>oc</v>
      </c>
      <c r="D25" s="131" t="str">
        <f>IF(booking!E25&gt;0,"oc","va")</f>
        <v>oc</v>
      </c>
      <c r="E25" s="130" t="str">
        <f>IF(booking!H25&gt;0,"oc","va")</f>
        <v>oc</v>
      </c>
      <c r="F25" s="131" t="str">
        <f>IF(booking!I25&gt;0,"oc","va")</f>
        <v>oc</v>
      </c>
      <c r="G25" s="130" t="str">
        <f>IF(booking!L25&gt;0,"oc","va")</f>
        <v>oc</v>
      </c>
      <c r="H25" s="131" t="str">
        <f>IF(booking!M25&gt;0,"oc","va")</f>
        <v>oc</v>
      </c>
      <c r="I25" s="130" t="str">
        <f>IF(booking!P25&gt;0,"oc","va")</f>
        <v>oc</v>
      </c>
      <c r="J25" s="131" t="str">
        <f>IF(booking!Q25&gt;0,"oc","va")</f>
        <v>oc</v>
      </c>
      <c r="K25" s="130" t="str">
        <f>IF(booking!T25&gt;0,"oc","va")</f>
        <v>oc</v>
      </c>
      <c r="L25" s="131" t="str">
        <f>IF(booking!U25&gt;0,"oc","va")</f>
        <v>oc</v>
      </c>
      <c r="M25" s="130" t="str">
        <f>IF(booking!X25&gt;0,"oc","va")</f>
        <v>va</v>
      </c>
      <c r="N25" s="131" t="str">
        <f>IF(booking!Y25&gt;0,"oc","va")</f>
        <v>va</v>
      </c>
    </row>
    <row r="26" spans="1:14" x14ac:dyDescent="0.35">
      <c r="A26" s="5">
        <f>booking!C26</f>
        <v>46163</v>
      </c>
      <c r="B26" s="6"/>
      <c r="C26" s="130" t="str">
        <f>IF(booking!D26&gt;0,"oc","va")</f>
        <v>oc</v>
      </c>
      <c r="D26" s="131" t="str">
        <f>IF(booking!E26&gt;0,"oc","va")</f>
        <v>oc</v>
      </c>
      <c r="E26" s="130" t="str">
        <f>IF(booking!H26&gt;0,"oc","va")</f>
        <v>oc</v>
      </c>
      <c r="F26" s="131" t="str">
        <f>IF(booking!I26&gt;0,"oc","va")</f>
        <v>oc</v>
      </c>
      <c r="G26" s="130" t="str">
        <f>IF(booking!L26&gt;0,"oc","va")</f>
        <v>oc</v>
      </c>
      <c r="H26" s="131" t="str">
        <f>IF(booking!M26&gt;0,"oc","va")</f>
        <v>oc</v>
      </c>
      <c r="I26" s="130" t="str">
        <f>IF(booking!P26&gt;0,"oc","va")</f>
        <v>oc</v>
      </c>
      <c r="J26" s="131" t="str">
        <f>IF(booking!Q26&gt;0,"oc","va")</f>
        <v>oc</v>
      </c>
      <c r="K26" s="130" t="str">
        <f>IF(booking!T26&gt;0,"oc","va")</f>
        <v>oc</v>
      </c>
      <c r="L26" s="131" t="str">
        <f>IF(booking!U26&gt;0,"oc","va")</f>
        <v>oc</v>
      </c>
      <c r="M26" s="130" t="str">
        <f>IF(booking!X26&gt;0,"oc","va")</f>
        <v>va</v>
      </c>
      <c r="N26" s="131" t="str">
        <f>IF(booking!Y26&gt;0,"oc","va")</f>
        <v>va</v>
      </c>
    </row>
    <row r="27" spans="1:14" x14ac:dyDescent="0.35">
      <c r="A27" s="5">
        <f>booking!C27</f>
        <v>46164</v>
      </c>
      <c r="B27" s="6"/>
      <c r="C27" s="130" t="str">
        <f>IF(booking!D27&gt;0,"oc","va")</f>
        <v>oc</v>
      </c>
      <c r="D27" s="131" t="str">
        <f>IF(booking!E27&gt;0,"oc","va")</f>
        <v>oc</v>
      </c>
      <c r="E27" s="130" t="str">
        <f>IF(booking!H27&gt;0,"oc","va")</f>
        <v>oc</v>
      </c>
      <c r="F27" s="131" t="str">
        <f>IF(booking!I27&gt;0,"oc","va")</f>
        <v>oc</v>
      </c>
      <c r="G27" s="130" t="str">
        <f>IF(booking!L27&gt;0,"oc","va")</f>
        <v>oc</v>
      </c>
      <c r="H27" s="131" t="str">
        <f>IF(booking!M27&gt;0,"oc","va")</f>
        <v>va</v>
      </c>
      <c r="I27" s="130" t="str">
        <f>IF(booking!P27&gt;0,"oc","va")</f>
        <v>oc</v>
      </c>
      <c r="J27" s="131" t="str">
        <f>IF(booking!Q27&gt;0,"oc","va")</f>
        <v>oc</v>
      </c>
      <c r="K27" s="130" t="str">
        <f>IF(booking!T27&gt;0,"oc","va")</f>
        <v>oc</v>
      </c>
      <c r="L27" s="131" t="str">
        <f>IF(booking!U27&gt;0,"oc","va")</f>
        <v>oc</v>
      </c>
      <c r="M27" s="130" t="str">
        <f>IF(booking!X27&gt;0,"oc","va")</f>
        <v>va</v>
      </c>
      <c r="N27" s="131" t="str">
        <f>IF(booking!Y27&gt;0,"oc","va")</f>
        <v>va</v>
      </c>
    </row>
    <row r="28" spans="1:14" x14ac:dyDescent="0.35">
      <c r="A28" s="5">
        <f>booking!C28</f>
        <v>46165</v>
      </c>
      <c r="B28" s="6"/>
      <c r="C28" s="130" t="str">
        <f>IF(booking!D28&gt;0,"oc","va")</f>
        <v>oc</v>
      </c>
      <c r="D28" s="131" t="str">
        <f>IF(booking!E28&gt;0,"oc","va")</f>
        <v>oc</v>
      </c>
      <c r="E28" s="130" t="str">
        <f>IF(booking!H28&gt;0,"oc","va")</f>
        <v>oc</v>
      </c>
      <c r="F28" s="131" t="str">
        <f>IF(booking!I28&gt;0,"oc","va")</f>
        <v>oc</v>
      </c>
      <c r="G28" s="130" t="str">
        <f>IF(booking!L28&gt;0,"oc","va")</f>
        <v>va</v>
      </c>
      <c r="H28" s="131" t="str">
        <f>IF(booking!M28&gt;0,"oc","va")</f>
        <v>va</v>
      </c>
      <c r="I28" s="130" t="str">
        <f>IF(booking!P28&gt;0,"oc","va")</f>
        <v>oc</v>
      </c>
      <c r="J28" s="131" t="str">
        <f>IF(booking!Q28&gt;0,"oc","va")</f>
        <v>oc</v>
      </c>
      <c r="K28" s="130" t="str">
        <f>IF(booking!T28&gt;0,"oc","va")</f>
        <v>oc</v>
      </c>
      <c r="L28" s="131" t="str">
        <f>IF(booking!U28&gt;0,"oc","va")</f>
        <v>oc</v>
      </c>
      <c r="M28" s="130" t="str">
        <f>IF(booking!X28&gt;0,"oc","va")</f>
        <v>va</v>
      </c>
      <c r="N28" s="131" t="str">
        <f>IF(booking!Y28&gt;0,"oc","va")</f>
        <v>va</v>
      </c>
    </row>
    <row r="29" spans="1:14" x14ac:dyDescent="0.35">
      <c r="A29" s="5">
        <f>booking!C29</f>
        <v>46166</v>
      </c>
      <c r="B29" s="6" t="s">
        <v>224</v>
      </c>
      <c r="C29" s="130" t="str">
        <f>IF(booking!D29&gt;0,"oc","va")</f>
        <v>oc</v>
      </c>
      <c r="D29" s="131" t="str">
        <f>IF(booking!E29&gt;0,"oc","va")</f>
        <v>oc</v>
      </c>
      <c r="E29" s="130" t="str">
        <f>IF(booking!H29&gt;0,"oc","va")</f>
        <v>oc</v>
      </c>
      <c r="F29" s="131" t="str">
        <f>IF(booking!I29&gt;0,"oc","va")</f>
        <v>oc</v>
      </c>
      <c r="G29" s="130" t="str">
        <f>IF(booking!L29&gt;0,"oc","va")</f>
        <v>va</v>
      </c>
      <c r="H29" s="131" t="str">
        <f>IF(booking!M29&gt;0,"oc","va")</f>
        <v>va</v>
      </c>
      <c r="I29" s="130" t="str">
        <f>IF(booking!P29&gt;0,"oc","va")</f>
        <v>oc</v>
      </c>
      <c r="J29" s="131" t="str">
        <f>IF(booking!Q29&gt;0,"oc","va")</f>
        <v>oc</v>
      </c>
      <c r="K29" s="130" t="str">
        <f>IF(booking!T29&gt;0,"oc","va")</f>
        <v>oc</v>
      </c>
      <c r="L29" s="131" t="str">
        <f>IF(booking!U29&gt;0,"oc","va")</f>
        <v>va</v>
      </c>
      <c r="M29" s="130" t="str">
        <f>IF(booking!X29&gt;0,"oc","va")</f>
        <v>va</v>
      </c>
      <c r="N29" s="131" t="str">
        <f>IF(booking!Y29&gt;0,"oc","va")</f>
        <v>va</v>
      </c>
    </row>
    <row r="30" spans="1:14" x14ac:dyDescent="0.35">
      <c r="A30" s="5">
        <f>booking!C30</f>
        <v>46167</v>
      </c>
      <c r="B30" s="6" t="s">
        <v>225</v>
      </c>
      <c r="C30" s="130" t="str">
        <f>IF(booking!D30&gt;0,"oc","va")</f>
        <v>oc</v>
      </c>
      <c r="D30" s="131" t="str">
        <f>IF(booking!E30&gt;0,"oc","va")</f>
        <v>va</v>
      </c>
      <c r="E30" s="130" t="str">
        <f>IF(booking!H30&gt;0,"oc","va")</f>
        <v>oc</v>
      </c>
      <c r="F30" s="131" t="str">
        <f>IF(booking!I30&gt;0,"oc","va")</f>
        <v>va</v>
      </c>
      <c r="G30" s="130" t="str">
        <f>IF(booking!L30&gt;0,"oc","va")</f>
        <v>va</v>
      </c>
      <c r="H30" s="131" t="str">
        <f>IF(booking!M30&gt;0,"oc","va")</f>
        <v>va</v>
      </c>
      <c r="I30" s="130" t="str">
        <f>IF(booking!P30&gt;0,"oc","va")</f>
        <v>oc</v>
      </c>
      <c r="J30" s="131" t="str">
        <f>IF(booking!Q30&gt;0,"oc","va")</f>
        <v>va</v>
      </c>
      <c r="K30" s="130" t="str">
        <f>IF(booking!T30&gt;0,"oc","va")</f>
        <v>va</v>
      </c>
      <c r="L30" s="131" t="str">
        <f>IF(booking!U30&gt;0,"oc","va")</f>
        <v>va</v>
      </c>
      <c r="M30" s="130" t="str">
        <f>IF(booking!X30&gt;0,"oc","va")</f>
        <v>va</v>
      </c>
      <c r="N30" s="131" t="str">
        <f>IF(booking!Y30&gt;0,"oc","va")</f>
        <v>va</v>
      </c>
    </row>
    <row r="31" spans="1:14" x14ac:dyDescent="0.35">
      <c r="A31" s="5">
        <f>booking!C31</f>
        <v>46168</v>
      </c>
      <c r="B31" s="6"/>
      <c r="C31" s="130" t="str">
        <f>IF(booking!D31&gt;0,"oc","va")</f>
        <v>va</v>
      </c>
      <c r="D31" s="131" t="str">
        <f>IF(booking!E31&gt;0,"oc","va")</f>
        <v>va</v>
      </c>
      <c r="E31" s="130" t="str">
        <f>IF(booking!H31&gt;0,"oc","va")</f>
        <v>va</v>
      </c>
      <c r="F31" s="131" t="str">
        <f>IF(booking!I31&gt;0,"oc","va")</f>
        <v>va</v>
      </c>
      <c r="G31" s="130" t="str">
        <f>IF(booking!L31&gt;0,"oc","va")</f>
        <v>va</v>
      </c>
      <c r="H31" s="131" t="str">
        <f>IF(booking!M31&gt;0,"oc","va")</f>
        <v>va</v>
      </c>
      <c r="I31" s="130" t="str">
        <f>IF(booking!P31&gt;0,"oc","va")</f>
        <v>va</v>
      </c>
      <c r="J31" s="131" t="str">
        <f>IF(booking!Q31&gt;0,"oc","va")</f>
        <v>va</v>
      </c>
      <c r="K31" s="130" t="str">
        <f>IF(booking!T31&gt;0,"oc","va")</f>
        <v>va</v>
      </c>
      <c r="L31" s="131" t="str">
        <f>IF(booking!U31&gt;0,"oc","va")</f>
        <v>va</v>
      </c>
      <c r="M31" s="130" t="str">
        <f>IF(booking!X31&gt;0,"oc","va")</f>
        <v>va</v>
      </c>
      <c r="N31" s="131" t="str">
        <f>IF(booking!Y31&gt;0,"oc","va")</f>
        <v>va</v>
      </c>
    </row>
    <row r="32" spans="1:14" x14ac:dyDescent="0.35">
      <c r="A32" s="5">
        <f>booking!C32</f>
        <v>46169</v>
      </c>
      <c r="B32" s="6"/>
      <c r="C32" s="130" t="str">
        <f>IF(booking!D32&gt;0,"oc","va")</f>
        <v>va</v>
      </c>
      <c r="D32" s="131" t="str">
        <f>IF(booking!E32&gt;0,"oc","va")</f>
        <v>va</v>
      </c>
      <c r="E32" s="130" t="str">
        <f>IF(booking!H32&gt;0,"oc","va")</f>
        <v>va</v>
      </c>
      <c r="F32" s="131" t="str">
        <f>IF(booking!I32&gt;0,"oc","va")</f>
        <v>va</v>
      </c>
      <c r="G32" s="130" t="str">
        <f>IF(booking!L32&gt;0,"oc","va")</f>
        <v>va</v>
      </c>
      <c r="H32" s="131" t="str">
        <f>IF(booking!M32&gt;0,"oc","va")</f>
        <v>oc</v>
      </c>
      <c r="I32" s="130" t="str">
        <f>IF(booking!P32&gt;0,"oc","va")</f>
        <v>va</v>
      </c>
      <c r="J32" s="131" t="str">
        <f>IF(booking!Q32&gt;0,"oc","va")</f>
        <v>va</v>
      </c>
      <c r="K32" s="130" t="str">
        <f>IF(booking!T32&gt;0,"oc","va")</f>
        <v>va</v>
      </c>
      <c r="L32" s="131" t="str">
        <f>IF(booking!U32&gt;0,"oc","va")</f>
        <v>va</v>
      </c>
      <c r="M32" s="130" t="str">
        <f>IF(booking!X32&gt;0,"oc","va")</f>
        <v>va</v>
      </c>
      <c r="N32" s="131" t="str">
        <f>IF(booking!Y32&gt;0,"oc","va")</f>
        <v>va</v>
      </c>
    </row>
    <row r="33" spans="1:14" x14ac:dyDescent="0.35">
      <c r="A33" s="5">
        <f>booking!C33</f>
        <v>46170</v>
      </c>
      <c r="B33" s="6"/>
      <c r="C33" s="130" t="str">
        <f>IF(booking!D33&gt;0,"oc","va")</f>
        <v>va</v>
      </c>
      <c r="D33" s="131" t="str">
        <f>IF(booking!E33&gt;0,"oc","va")</f>
        <v>va</v>
      </c>
      <c r="E33" s="130" t="str">
        <f>IF(booking!H33&gt;0,"oc","va")</f>
        <v>va</v>
      </c>
      <c r="F33" s="131" t="str">
        <f>IF(booking!I33&gt;0,"oc","va")</f>
        <v>va</v>
      </c>
      <c r="G33" s="130" t="str">
        <f>IF(booking!L33&gt;0,"oc","va")</f>
        <v>oc</v>
      </c>
      <c r="H33" s="131" t="str">
        <f>IF(booking!M33&gt;0,"oc","va")</f>
        <v>oc</v>
      </c>
      <c r="I33" s="130" t="str">
        <f>IF(booking!P33&gt;0,"oc","va")</f>
        <v>va</v>
      </c>
      <c r="J33" s="131" t="str">
        <f>IF(booking!Q33&gt;0,"oc","va")</f>
        <v>va</v>
      </c>
      <c r="K33" s="130" t="str">
        <f>IF(booking!T33&gt;0,"oc","va")</f>
        <v>va</v>
      </c>
      <c r="L33" s="131" t="str">
        <f>IF(booking!U33&gt;0,"oc","va")</f>
        <v>va</v>
      </c>
      <c r="M33" s="130" t="str">
        <f>IF(booking!X33&gt;0,"oc","va")</f>
        <v>va</v>
      </c>
      <c r="N33" s="131" t="str">
        <f>IF(booking!Y33&gt;0,"oc","va")</f>
        <v>va</v>
      </c>
    </row>
    <row r="34" spans="1:14" x14ac:dyDescent="0.35">
      <c r="A34" s="5">
        <f>booking!C34</f>
        <v>46171</v>
      </c>
      <c r="B34" s="6"/>
      <c r="C34" s="130" t="str">
        <f>IF(booking!D34&gt;0,"oc","va")</f>
        <v>va</v>
      </c>
      <c r="D34" s="131" t="str">
        <f>IF(booking!E34&gt;0,"oc","va")</f>
        <v>va</v>
      </c>
      <c r="E34" s="130" t="str">
        <f>IF(booking!H34&gt;0,"oc","va")</f>
        <v>va</v>
      </c>
      <c r="F34" s="131" t="str">
        <f>IF(booking!I34&gt;0,"oc","va")</f>
        <v>va</v>
      </c>
      <c r="G34" s="130" t="str">
        <f>IF(booking!L34&gt;0,"oc","va")</f>
        <v>oc</v>
      </c>
      <c r="H34" s="131" t="str">
        <f>IF(booking!M34&gt;0,"oc","va")</f>
        <v>oc</v>
      </c>
      <c r="I34" s="130" t="str">
        <f>IF(booking!P34&gt;0,"oc","va")</f>
        <v>va</v>
      </c>
      <c r="J34" s="131" t="str">
        <f>IF(booking!Q34&gt;0,"oc","va")</f>
        <v>va</v>
      </c>
      <c r="K34" s="130" t="str">
        <f>IF(booking!T34&gt;0,"oc","va")</f>
        <v>va</v>
      </c>
      <c r="L34" s="131" t="str">
        <f>IF(booking!U34&gt;0,"oc","va")</f>
        <v>oc</v>
      </c>
      <c r="M34" s="130" t="str">
        <f>IF(booking!X34&gt;0,"oc","va")</f>
        <v>va</v>
      </c>
      <c r="N34" s="131" t="str">
        <f>IF(booking!Y34&gt;0,"oc","va")</f>
        <v>va</v>
      </c>
    </row>
    <row r="35" spans="1:14" x14ac:dyDescent="0.35">
      <c r="A35" s="5">
        <f>booking!C35</f>
        <v>46172</v>
      </c>
      <c r="B35" s="6" t="s">
        <v>435</v>
      </c>
      <c r="C35" s="130" t="str">
        <f>IF(booking!D35&gt;0,"oc","va")</f>
        <v>va</v>
      </c>
      <c r="D35" s="131" t="str">
        <f>IF(booking!E35&gt;0,"oc","va")</f>
        <v>va</v>
      </c>
      <c r="E35" s="130" t="str">
        <f>IF(booking!H35&gt;0,"oc","va")</f>
        <v>va</v>
      </c>
      <c r="F35" s="131" t="str">
        <f>IF(booking!I35&gt;0,"oc","va")</f>
        <v>va</v>
      </c>
      <c r="G35" s="130" t="str">
        <f>IF(booking!L35&gt;0,"oc","va")</f>
        <v>oc</v>
      </c>
      <c r="H35" s="131" t="str">
        <f>IF(booking!M35&gt;0,"oc","va")</f>
        <v>oc</v>
      </c>
      <c r="I35" s="130" t="str">
        <f>IF(booking!P35&gt;0,"oc","va")</f>
        <v>va</v>
      </c>
      <c r="J35" s="131" t="str">
        <f>IF(booking!Q35&gt;0,"oc","va")</f>
        <v>va</v>
      </c>
      <c r="K35" s="130" t="str">
        <f>IF(booking!T35&gt;0,"oc","va")</f>
        <v>oc</v>
      </c>
      <c r="L35" s="131" t="str">
        <f>IF(booking!U35&gt;0,"oc","va")</f>
        <v>oc</v>
      </c>
      <c r="M35" s="130" t="str">
        <f>IF(booking!X35&gt;0,"oc","va")</f>
        <v>va</v>
      </c>
      <c r="N35" s="131" t="str">
        <f>IF(booking!Y35&gt;0,"oc","va")</f>
        <v>va</v>
      </c>
    </row>
    <row r="36" spans="1:14" x14ac:dyDescent="0.35">
      <c r="A36" s="5">
        <f>booking!C36</f>
        <v>46173</v>
      </c>
      <c r="B36" s="6"/>
      <c r="C36" s="130" t="str">
        <f>IF(booking!D36&gt;0,"oc","va")</f>
        <v>va</v>
      </c>
      <c r="D36" s="131" t="str">
        <f>IF(booking!E36&gt;0,"oc","va")</f>
        <v>oc</v>
      </c>
      <c r="E36" s="130" t="str">
        <f>IF(booking!H36&gt;0,"oc","va")</f>
        <v>va</v>
      </c>
      <c r="F36" s="131" t="str">
        <f>IF(booking!I36&gt;0,"oc","va")</f>
        <v>oc</v>
      </c>
      <c r="G36" s="130" t="str">
        <f>IF(booking!L36&gt;0,"oc","va")</f>
        <v>oc</v>
      </c>
      <c r="H36" s="131" t="str">
        <f>IF(booking!M36&gt;0,"oc","va")</f>
        <v>oc</v>
      </c>
      <c r="I36" s="130" t="str">
        <f>IF(booking!P36&gt;0,"oc","va")</f>
        <v>va</v>
      </c>
      <c r="J36" s="131" t="str">
        <f>IF(booking!Q36&gt;0,"oc","va")</f>
        <v>va</v>
      </c>
      <c r="K36" s="130" t="str">
        <f>IF(booking!T36&gt;0,"oc","va")</f>
        <v>oc</v>
      </c>
      <c r="L36" s="131" t="str">
        <f>IF(booking!U36&gt;0,"oc","va")</f>
        <v>va</v>
      </c>
      <c r="M36" s="130" t="str">
        <f>IF(booking!X36&gt;0,"oc","va")</f>
        <v>va</v>
      </c>
      <c r="N36" s="131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30" t="str">
        <f>IF(booking!D37&gt;0,"oc","va")</f>
        <v>oc</v>
      </c>
      <c r="D37" s="131" t="str">
        <f>IF(booking!E37&gt;0,"oc","va")</f>
        <v>oc</v>
      </c>
      <c r="E37" s="130" t="str">
        <f>IF(booking!H37&gt;0,"oc","va")</f>
        <v>oc</v>
      </c>
      <c r="F37" s="131" t="str">
        <f>IF(booking!I37&gt;0,"oc","va")</f>
        <v>oc</v>
      </c>
      <c r="G37" s="130" t="str">
        <f>IF(booking!L37&gt;0,"oc","va")</f>
        <v>oc</v>
      </c>
      <c r="H37" s="131" t="str">
        <f>IF(booking!M37&gt;0,"oc","va")</f>
        <v>va</v>
      </c>
      <c r="I37" s="130" t="str">
        <f>IF(booking!P37&gt;0,"oc","va")</f>
        <v>va</v>
      </c>
      <c r="J37" s="131" t="str">
        <f>IF(booking!Q37&gt;0,"oc","va")</f>
        <v>va</v>
      </c>
      <c r="K37" s="130" t="str">
        <f>IF(booking!T37&gt;0,"oc","va")</f>
        <v>va</v>
      </c>
      <c r="L37" s="131" t="str">
        <f>IF(booking!U37&gt;0,"oc","va")</f>
        <v>va</v>
      </c>
      <c r="M37" s="130" t="str">
        <f>IF(booking!X37&gt;0,"oc","va")</f>
        <v>va</v>
      </c>
      <c r="N37" s="131" t="str">
        <f>IF(booking!Y37&gt;0,"oc","va")</f>
        <v>va</v>
      </c>
    </row>
    <row r="38" spans="1:14" x14ac:dyDescent="0.35">
      <c r="A38" s="5">
        <f>booking!C38</f>
        <v>46175</v>
      </c>
      <c r="B38" s="6"/>
      <c r="C38" s="130" t="str">
        <f>IF(booking!D38&gt;0,"oc","va")</f>
        <v>oc</v>
      </c>
      <c r="D38" s="131" t="str">
        <f>IF(booking!E38&gt;0,"oc","va")</f>
        <v>oc</v>
      </c>
      <c r="E38" s="130" t="str">
        <f>IF(booking!H38&gt;0,"oc","va")</f>
        <v>oc</v>
      </c>
      <c r="F38" s="131" t="str">
        <f>IF(booking!I38&gt;0,"oc","va")</f>
        <v>oc</v>
      </c>
      <c r="G38" s="130" t="str">
        <f>IF(booking!L38&gt;0,"oc","va")</f>
        <v>va</v>
      </c>
      <c r="H38" s="131" t="str">
        <f>IF(booking!M38&gt;0,"oc","va")</f>
        <v>va</v>
      </c>
      <c r="I38" s="130" t="str">
        <f>IF(booking!P38&gt;0,"oc","va")</f>
        <v>va</v>
      </c>
      <c r="J38" s="131" t="str">
        <f>IF(booking!Q38&gt;0,"oc","va")</f>
        <v>va</v>
      </c>
      <c r="K38" s="130" t="str">
        <f>IF(booking!T38&gt;0,"oc","va")</f>
        <v>va</v>
      </c>
      <c r="L38" s="131" t="str">
        <f>IF(booking!U38&gt;0,"oc","va")</f>
        <v>oc</v>
      </c>
      <c r="M38" s="130" t="str">
        <f>IF(booking!X38&gt;0,"oc","va")</f>
        <v>va</v>
      </c>
      <c r="N38" s="131" t="str">
        <f>IF(booking!Y38&gt;0,"oc","va")</f>
        <v>va</v>
      </c>
    </row>
    <row r="39" spans="1:14" x14ac:dyDescent="0.35">
      <c r="A39" s="5">
        <f>booking!C39</f>
        <v>46176</v>
      </c>
      <c r="B39" s="6"/>
      <c r="C39" s="130" t="str">
        <f>IF(booking!D39&gt;0,"oc","va")</f>
        <v>oc</v>
      </c>
      <c r="D39" s="131" t="str">
        <f>IF(booking!E39&gt;0,"oc","va")</f>
        <v>oc</v>
      </c>
      <c r="E39" s="130" t="str">
        <f>IF(booking!H39&gt;0,"oc","va")</f>
        <v>oc</v>
      </c>
      <c r="F39" s="131" t="str">
        <f>IF(booking!I39&gt;0,"oc","va")</f>
        <v>oc</v>
      </c>
      <c r="G39" s="130" t="str">
        <f>IF(booking!L39&gt;0,"oc","va")</f>
        <v>va</v>
      </c>
      <c r="H39" s="131" t="str">
        <f>IF(booking!M39&gt;0,"oc","va")</f>
        <v>oc</v>
      </c>
      <c r="I39" s="130" t="str">
        <f>IF(booking!P39&gt;0,"oc","va")</f>
        <v>va</v>
      </c>
      <c r="J39" s="131" t="str">
        <f>IF(booking!Q39&gt;0,"oc","va")</f>
        <v>va</v>
      </c>
      <c r="K39" s="130" t="str">
        <f>IF(booking!T39&gt;0,"oc","va")</f>
        <v>oc</v>
      </c>
      <c r="L39" s="131" t="str">
        <f>IF(booking!U39&gt;0,"oc","va")</f>
        <v>oc</v>
      </c>
      <c r="M39" s="130" t="str">
        <f>IF(booking!X39&gt;0,"oc","va")</f>
        <v>va</v>
      </c>
      <c r="N39" s="131" t="str">
        <f>IF(booking!Y39&gt;0,"oc","va")</f>
        <v>va</v>
      </c>
    </row>
    <row r="40" spans="1:14" x14ac:dyDescent="0.35">
      <c r="A40" s="5">
        <f>booking!C40</f>
        <v>46177</v>
      </c>
      <c r="B40" s="6"/>
      <c r="C40" s="130" t="str">
        <f>IF(booking!D40&gt;0,"oc","va")</f>
        <v>oc</v>
      </c>
      <c r="D40" s="131" t="str">
        <f>IF(booking!E40&gt;0,"oc","va")</f>
        <v>oc</v>
      </c>
      <c r="E40" s="130" t="str">
        <f>IF(booking!H40&gt;0,"oc","va")</f>
        <v>oc</v>
      </c>
      <c r="F40" s="131" t="str">
        <f>IF(booking!I40&gt;0,"oc","va")</f>
        <v>oc</v>
      </c>
      <c r="G40" s="130" t="str">
        <f>IF(booking!L40&gt;0,"oc","va")</f>
        <v>oc</v>
      </c>
      <c r="H40" s="131" t="str">
        <f>IF(booking!M40&gt;0,"oc","va")</f>
        <v>oc</v>
      </c>
      <c r="I40" s="130" t="str">
        <f>IF(booking!P40&gt;0,"oc","va")</f>
        <v>va</v>
      </c>
      <c r="J40" s="131" t="str">
        <f>IF(booking!Q40&gt;0,"oc","va")</f>
        <v>oc</v>
      </c>
      <c r="K40" s="130" t="str">
        <f>IF(booking!T40&gt;0,"oc","va")</f>
        <v>oc</v>
      </c>
      <c r="L40" s="131" t="str">
        <f>IF(booking!U40&gt;0,"oc","va")</f>
        <v>oc</v>
      </c>
      <c r="M40" s="130" t="str">
        <f>IF(booking!X40&gt;0,"oc","va")</f>
        <v>va</v>
      </c>
      <c r="N40" s="131" t="str">
        <f>IF(booking!Y40&gt;0,"oc","va")</f>
        <v>va</v>
      </c>
    </row>
    <row r="41" spans="1:14" x14ac:dyDescent="0.35">
      <c r="A41" s="5">
        <f>booking!C41</f>
        <v>46178</v>
      </c>
      <c r="B41" s="6" t="s">
        <v>129</v>
      </c>
      <c r="C41" s="130" t="str">
        <f>IF(booking!D41&gt;0,"oc","va")</f>
        <v>oc</v>
      </c>
      <c r="D41" s="131" t="str">
        <f>IF(booking!E41&gt;0,"oc","va")</f>
        <v>oc</v>
      </c>
      <c r="E41" s="130" t="str">
        <f>IF(booking!H41&gt;0,"oc","va")</f>
        <v>oc</v>
      </c>
      <c r="F41" s="131" t="str">
        <f>IF(booking!I41&gt;0,"oc","va")</f>
        <v>oc</v>
      </c>
      <c r="G41" s="130" t="str">
        <f>IF(booking!L41&gt;0,"oc","va")</f>
        <v>oc</v>
      </c>
      <c r="H41" s="131" t="str">
        <f>IF(booking!M41&gt;0,"oc","va")</f>
        <v>oc</v>
      </c>
      <c r="I41" s="130" t="str">
        <f>IF(booking!P41&gt;0,"oc","va")</f>
        <v>oc</v>
      </c>
      <c r="J41" s="131" t="str">
        <f>IF(booking!Q41&gt;0,"oc","va")</f>
        <v>oc</v>
      </c>
      <c r="K41" s="130" t="str">
        <f>IF(booking!T41&gt;0,"oc","va")</f>
        <v>oc</v>
      </c>
      <c r="L41" s="131" t="str">
        <f>IF(booking!U41&gt;0,"oc","va")</f>
        <v>oc</v>
      </c>
      <c r="M41" s="130" t="str">
        <f>IF(booking!X41&gt;0,"oc","va")</f>
        <v>va</v>
      </c>
      <c r="N41" s="131" t="str">
        <f>IF(booking!Y41&gt;0,"oc","va")</f>
        <v>va</v>
      </c>
    </row>
    <row r="42" spans="1:14" x14ac:dyDescent="0.35">
      <c r="A42" s="5">
        <f>booking!C42</f>
        <v>46179</v>
      </c>
      <c r="B42" s="6"/>
      <c r="C42" s="130" t="str">
        <f>IF(booking!D42&gt;0,"oc","va")</f>
        <v>oc</v>
      </c>
      <c r="D42" s="131" t="str">
        <f>IF(booking!E42&gt;0,"oc","va")</f>
        <v>oc</v>
      </c>
      <c r="E42" s="130" t="str">
        <f>IF(booking!H42&gt;0,"oc","va")</f>
        <v>oc</v>
      </c>
      <c r="F42" s="131" t="str">
        <f>IF(booking!I42&gt;0,"oc","va")</f>
        <v>oc</v>
      </c>
      <c r="G42" s="130" t="str">
        <f>IF(booking!L42&gt;0,"oc","va")</f>
        <v>oc</v>
      </c>
      <c r="H42" s="131" t="str">
        <f>IF(booking!M42&gt;0,"oc","va")</f>
        <v>oc</v>
      </c>
      <c r="I42" s="130" t="str">
        <f>IF(booking!P42&gt;0,"oc","va")</f>
        <v>oc</v>
      </c>
      <c r="J42" s="131" t="str">
        <f>IF(booking!Q42&gt;0,"oc","va")</f>
        <v>oc</v>
      </c>
      <c r="K42" s="130" t="str">
        <f>IF(booking!T42&gt;0,"oc","va")</f>
        <v>oc</v>
      </c>
      <c r="L42" s="131" t="str">
        <f>IF(booking!U42&gt;0,"oc","va")</f>
        <v>oc</v>
      </c>
      <c r="M42" s="130" t="str">
        <f>IF(booking!X42&gt;0,"oc","va")</f>
        <v>va</v>
      </c>
      <c r="N42" s="131" t="str">
        <f>IF(booking!Y42&gt;0,"oc","va")</f>
        <v>va</v>
      </c>
    </row>
    <row r="43" spans="1:14" x14ac:dyDescent="0.35">
      <c r="A43" s="5">
        <f>booking!C43</f>
        <v>46180</v>
      </c>
      <c r="B43" s="6"/>
      <c r="C43" s="130" t="str">
        <f>IF(booking!D43&gt;0,"oc","va")</f>
        <v>oc</v>
      </c>
      <c r="D43" s="131" t="str">
        <f>IF(booking!E43&gt;0,"oc","va")</f>
        <v>oc</v>
      </c>
      <c r="E43" s="130" t="str">
        <f>IF(booking!H43&gt;0,"oc","va")</f>
        <v>oc</v>
      </c>
      <c r="F43" s="131" t="str">
        <f>IF(booking!I43&gt;0,"oc","va")</f>
        <v>va</v>
      </c>
      <c r="G43" s="130" t="str">
        <f>IF(booking!L43&gt;0,"oc","va")</f>
        <v>oc</v>
      </c>
      <c r="H43" s="131" t="str">
        <f>IF(booking!M43&gt;0,"oc","va")</f>
        <v>oc</v>
      </c>
      <c r="I43" s="130" t="str">
        <f>IF(booking!P43&gt;0,"oc","va")</f>
        <v>oc</v>
      </c>
      <c r="J43" s="131" t="str">
        <f>IF(booking!Q43&gt;0,"oc","va")</f>
        <v>va</v>
      </c>
      <c r="K43" s="130" t="str">
        <f>IF(booking!T43&gt;0,"oc","va")</f>
        <v>oc</v>
      </c>
      <c r="L43" s="131" t="str">
        <f>IF(booking!U43&gt;0,"oc","va")</f>
        <v>oc</v>
      </c>
      <c r="M43" s="130" t="str">
        <f>IF(booking!X43&gt;0,"oc","va")</f>
        <v>va</v>
      </c>
      <c r="N43" s="131" t="str">
        <f>IF(booking!Y43&gt;0,"oc","va")</f>
        <v>va</v>
      </c>
    </row>
    <row r="44" spans="1:14" x14ac:dyDescent="0.35">
      <c r="A44" s="5">
        <f>booking!C44</f>
        <v>46181</v>
      </c>
      <c r="B44" s="6"/>
      <c r="C44" s="130" t="str">
        <f>IF(booking!D44&gt;0,"oc","va")</f>
        <v>oc</v>
      </c>
      <c r="D44" s="131" t="str">
        <f>IF(booking!E44&gt;0,"oc","va")</f>
        <v>oc</v>
      </c>
      <c r="E44" s="130" t="str">
        <f>IF(booking!H44&gt;0,"oc","va")</f>
        <v>va</v>
      </c>
      <c r="F44" s="131" t="str">
        <f>IF(booking!I44&gt;0,"oc","va")</f>
        <v>oc</v>
      </c>
      <c r="G44" s="130" t="str">
        <f>IF(booking!L44&gt;0,"oc","va")</f>
        <v>oc</v>
      </c>
      <c r="H44" s="131" t="str">
        <f>IF(booking!M44&gt;0,"oc","va")</f>
        <v>oc</v>
      </c>
      <c r="I44" s="130" t="str">
        <f>IF(booking!P44&gt;0,"oc","va")</f>
        <v>va</v>
      </c>
      <c r="J44" s="131" t="str">
        <f>IF(booking!Q44&gt;0,"oc","va")</f>
        <v>oc</v>
      </c>
      <c r="K44" s="130" t="str">
        <f>IF(booking!T44&gt;0,"oc","va")</f>
        <v>oc</v>
      </c>
      <c r="L44" s="131" t="str">
        <f>IF(booking!U44&gt;0,"oc","va")</f>
        <v>oc</v>
      </c>
      <c r="M44" s="130" t="str">
        <f>IF(booking!X44&gt;0,"oc","va")</f>
        <v>va</v>
      </c>
      <c r="N44" s="131" t="str">
        <f>IF(booking!Y44&gt;0,"oc","va")</f>
        <v>va</v>
      </c>
    </row>
    <row r="45" spans="1:14" x14ac:dyDescent="0.35">
      <c r="A45" s="5">
        <f>booking!C45</f>
        <v>46182</v>
      </c>
      <c r="B45" s="6"/>
      <c r="C45" s="130" t="str">
        <f>IF(booking!D45&gt;0,"oc","va")</f>
        <v>oc</v>
      </c>
      <c r="D45" s="131" t="str">
        <f>IF(booking!E45&gt;0,"oc","va")</f>
        <v>oc</v>
      </c>
      <c r="E45" s="130" t="str">
        <f>IF(booking!H45&gt;0,"oc","va")</f>
        <v>oc</v>
      </c>
      <c r="F45" s="131" t="str">
        <f>IF(booking!I45&gt;0,"oc","va")</f>
        <v>oc</v>
      </c>
      <c r="G45" s="130" t="str">
        <f>IF(booking!L45&gt;0,"oc","va")</f>
        <v>oc</v>
      </c>
      <c r="H45" s="131" t="str">
        <f>IF(booking!M45&gt;0,"oc","va")</f>
        <v>oc</v>
      </c>
      <c r="I45" s="130" t="str">
        <f>IF(booking!P45&gt;0,"oc","va")</f>
        <v>oc</v>
      </c>
      <c r="J45" s="131" t="str">
        <f>IF(booking!Q45&gt;0,"oc","va")</f>
        <v>oc</v>
      </c>
      <c r="K45" s="130" t="str">
        <f>IF(booking!T45&gt;0,"oc","va")</f>
        <v>oc</v>
      </c>
      <c r="L45" s="131" t="str">
        <f>IF(booking!U45&gt;0,"oc","va")</f>
        <v>oc</v>
      </c>
      <c r="M45" s="130" t="str">
        <f>IF(booking!X45&gt;0,"oc","va")</f>
        <v>va</v>
      </c>
      <c r="N45" s="131" t="str">
        <f>IF(booking!Y45&gt;0,"oc","va")</f>
        <v>va</v>
      </c>
    </row>
    <row r="46" spans="1:14" x14ac:dyDescent="0.35">
      <c r="A46" s="5">
        <f>booking!C46</f>
        <v>46183</v>
      </c>
      <c r="B46" s="6"/>
      <c r="C46" s="130" t="str">
        <f>IF(booking!D46&gt;0,"oc","va")</f>
        <v>oc</v>
      </c>
      <c r="D46" s="131" t="str">
        <f>IF(booking!E46&gt;0,"oc","va")</f>
        <v>oc</v>
      </c>
      <c r="E46" s="130" t="str">
        <f>IF(booking!H46&gt;0,"oc","va")</f>
        <v>oc</v>
      </c>
      <c r="F46" s="131" t="str">
        <f>IF(booking!I46&gt;0,"oc","va")</f>
        <v>oc</v>
      </c>
      <c r="G46" s="130" t="str">
        <f>IF(booking!L46&gt;0,"oc","va")</f>
        <v>oc</v>
      </c>
      <c r="H46" s="131" t="str">
        <f>IF(booking!M46&gt;0,"oc","va")</f>
        <v>oc</v>
      </c>
      <c r="I46" s="130" t="str">
        <f>IF(booking!P46&gt;0,"oc","va")</f>
        <v>oc</v>
      </c>
      <c r="J46" s="131" t="str">
        <f>IF(booking!Q46&gt;0,"oc","va")</f>
        <v>oc</v>
      </c>
      <c r="K46" s="130" t="str">
        <f>IF(booking!T46&gt;0,"oc","va")</f>
        <v>oc</v>
      </c>
      <c r="L46" s="131" t="str">
        <f>IF(booking!U46&gt;0,"oc","va")</f>
        <v>oc</v>
      </c>
      <c r="M46" s="130" t="str">
        <f>IF(booking!X46&gt;0,"oc","va")</f>
        <v>va</v>
      </c>
      <c r="N46" s="131" t="str">
        <f>IF(booking!Y46&gt;0,"oc","va")</f>
        <v>va</v>
      </c>
    </row>
    <row r="47" spans="1:14" x14ac:dyDescent="0.35">
      <c r="A47" s="5">
        <f>booking!C47</f>
        <v>46184</v>
      </c>
      <c r="B47" s="6" t="s">
        <v>56</v>
      </c>
      <c r="C47" s="130" t="str">
        <f>IF(booking!D47&gt;0,"oc","va")</f>
        <v>oc</v>
      </c>
      <c r="D47" s="131" t="str">
        <f>IF(booking!E47&gt;0,"oc","va")</f>
        <v>oc</v>
      </c>
      <c r="E47" s="130" t="str">
        <f>IF(booking!H47&gt;0,"oc","va")</f>
        <v>oc</v>
      </c>
      <c r="F47" s="131" t="str">
        <f>IF(booking!I47&gt;0,"oc","va")</f>
        <v>oc</v>
      </c>
      <c r="G47" s="130" t="str">
        <f>IF(booking!L47&gt;0,"oc","va")</f>
        <v>oc</v>
      </c>
      <c r="H47" s="131" t="str">
        <f>IF(booking!M47&gt;0,"oc","va")</f>
        <v>oc</v>
      </c>
      <c r="I47" s="130" t="str">
        <f>IF(booking!P47&gt;0,"oc","va")</f>
        <v>oc</v>
      </c>
      <c r="J47" s="131" t="str">
        <f>IF(booking!Q47&gt;0,"oc","va")</f>
        <v>oc</v>
      </c>
      <c r="K47" s="130" t="str">
        <f>IF(booking!T47&gt;0,"oc","va")</f>
        <v>oc</v>
      </c>
      <c r="L47" s="131" t="str">
        <f>IF(booking!U47&gt;0,"oc","va")</f>
        <v>oc</v>
      </c>
      <c r="M47" s="130" t="str">
        <f>IF(booking!X47&gt;0,"oc","va")</f>
        <v>va</v>
      </c>
      <c r="N47" s="131" t="str">
        <f>IF(booking!Y47&gt;0,"oc","va")</f>
        <v>va</v>
      </c>
    </row>
    <row r="48" spans="1:14" x14ac:dyDescent="0.35">
      <c r="A48" s="5">
        <f>booking!C48</f>
        <v>46185</v>
      </c>
      <c r="B48" s="6" t="s">
        <v>56</v>
      </c>
      <c r="C48" s="130" t="str">
        <f>IF(booking!D48&gt;0,"oc","va")</f>
        <v>oc</v>
      </c>
      <c r="D48" s="131" t="str">
        <f>IF(booking!E48&gt;0,"oc","va")</f>
        <v>oc</v>
      </c>
      <c r="E48" s="130" t="str">
        <f>IF(booking!H48&gt;0,"oc","va")</f>
        <v>oc</v>
      </c>
      <c r="F48" s="131" t="str">
        <f>IF(booking!I48&gt;0,"oc","va")</f>
        <v>oc</v>
      </c>
      <c r="G48" s="130" t="str">
        <f>IF(booking!L48&gt;0,"oc","va")</f>
        <v>oc</v>
      </c>
      <c r="H48" s="131" t="str">
        <f>IF(booking!M48&gt;0,"oc","va")</f>
        <v>oc</v>
      </c>
      <c r="I48" s="130" t="str">
        <f>IF(booking!P48&gt;0,"oc","va")</f>
        <v>oc</v>
      </c>
      <c r="J48" s="131" t="str">
        <f>IF(booking!Q48&gt;0,"oc","va")</f>
        <v>oc</v>
      </c>
      <c r="K48" s="130" t="str">
        <f>IF(booking!T48&gt;0,"oc","va")</f>
        <v>oc</v>
      </c>
      <c r="L48" s="131" t="str">
        <f>IF(booking!U48&gt;0,"oc","va")</f>
        <v>oc</v>
      </c>
      <c r="M48" s="130" t="str">
        <f>IF(booking!X48&gt;0,"oc","va")</f>
        <v>va</v>
      </c>
      <c r="N48" s="131" t="str">
        <f>IF(booking!Y48&gt;0,"oc","va")</f>
        <v>va</v>
      </c>
    </row>
    <row r="49" spans="1:14" x14ac:dyDescent="0.35">
      <c r="A49" s="5">
        <f>booking!C49</f>
        <v>46186</v>
      </c>
      <c r="B49" s="6" t="s">
        <v>56</v>
      </c>
      <c r="C49" s="130" t="str">
        <f>IF(booking!D49&gt;0,"oc","va")</f>
        <v>oc</v>
      </c>
      <c r="D49" s="131" t="str">
        <f>IF(booking!E49&gt;0,"oc","va")</f>
        <v>oc</v>
      </c>
      <c r="E49" s="130" t="str">
        <f>IF(booking!H49&gt;0,"oc","va")</f>
        <v>oc</v>
      </c>
      <c r="F49" s="131" t="str">
        <f>IF(booking!I49&gt;0,"oc","va")</f>
        <v>oc</v>
      </c>
      <c r="G49" s="130" t="str">
        <f>IF(booking!L49&gt;0,"oc","va")</f>
        <v>oc</v>
      </c>
      <c r="H49" s="131" t="str">
        <f>IF(booking!M49&gt;0,"oc","va")</f>
        <v>oc</v>
      </c>
      <c r="I49" s="130" t="str">
        <f>IF(booking!P49&gt;0,"oc","va")</f>
        <v>oc</v>
      </c>
      <c r="J49" s="131" t="str">
        <f>IF(booking!Q49&gt;0,"oc","va")</f>
        <v>oc</v>
      </c>
      <c r="K49" s="130" t="str">
        <f>IF(booking!T49&gt;0,"oc","va")</f>
        <v>oc</v>
      </c>
      <c r="L49" s="131" t="str">
        <f>IF(booking!U49&gt;0,"oc","va")</f>
        <v>oc</v>
      </c>
      <c r="M49" s="130" t="str">
        <f>IF(booking!X49&gt;0,"oc","va")</f>
        <v>va</v>
      </c>
      <c r="N49" s="131" t="str">
        <f>IF(booking!Y49&gt;0,"oc","va")</f>
        <v>va</v>
      </c>
    </row>
    <row r="50" spans="1:14" x14ac:dyDescent="0.35">
      <c r="A50" s="5">
        <f>booking!C50</f>
        <v>46187</v>
      </c>
      <c r="B50" s="6" t="s">
        <v>56</v>
      </c>
      <c r="C50" s="130" t="str">
        <f>IF(booking!D50&gt;0,"oc","va")</f>
        <v>oc</v>
      </c>
      <c r="D50" s="131" t="str">
        <f>IF(booking!E50&gt;0,"oc","va")</f>
        <v>oc</v>
      </c>
      <c r="E50" s="130" t="str">
        <f>IF(booking!H50&gt;0,"oc","va")</f>
        <v>oc</v>
      </c>
      <c r="F50" s="131" t="str">
        <f>IF(booking!I50&gt;0,"oc","va")</f>
        <v>oc</v>
      </c>
      <c r="G50" s="130" t="str">
        <f>IF(booking!L50&gt;0,"oc","va")</f>
        <v>oc</v>
      </c>
      <c r="H50" s="131" t="str">
        <f>IF(booking!M50&gt;0,"oc","va")</f>
        <v>oc</v>
      </c>
      <c r="I50" s="130" t="str">
        <f>IF(booking!P50&gt;0,"oc","va")</f>
        <v>oc</v>
      </c>
      <c r="J50" s="131" t="str">
        <f>IF(booking!Q50&gt;0,"oc","va")</f>
        <v>oc</v>
      </c>
      <c r="K50" s="130" t="str">
        <f>IF(booking!T50&gt;0,"oc","va")</f>
        <v>oc</v>
      </c>
      <c r="L50" s="131" t="str">
        <f>IF(booking!U50&gt;0,"oc","va")</f>
        <v>oc</v>
      </c>
      <c r="M50" s="130" t="str">
        <f>IF(booking!X50&gt;0,"oc","va")</f>
        <v>va</v>
      </c>
      <c r="N50" s="131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30" t="str">
        <f>IF(booking!D51&gt;0,"oc","va")</f>
        <v>oc</v>
      </c>
      <c r="D51" s="131" t="str">
        <f>IF(booking!E51&gt;0,"oc","va")</f>
        <v>va</v>
      </c>
      <c r="E51" s="130" t="str">
        <f>IF(booking!H51&gt;0,"oc","va")</f>
        <v>oc</v>
      </c>
      <c r="F51" s="131" t="str">
        <f>IF(booking!I51&gt;0,"oc","va")</f>
        <v>va</v>
      </c>
      <c r="G51" s="130" t="str">
        <f>IF(booking!L51&gt;0,"oc","va")</f>
        <v>oc</v>
      </c>
      <c r="H51" s="131" t="str">
        <f>IF(booking!M51&gt;0,"oc","va")</f>
        <v>oc</v>
      </c>
      <c r="I51" s="130" t="str">
        <f>IF(booking!P51&gt;0,"oc","va")</f>
        <v>oc</v>
      </c>
      <c r="J51" s="131" t="str">
        <f>IF(booking!Q51&gt;0,"oc","va")</f>
        <v>oc</v>
      </c>
      <c r="K51" s="130" t="str">
        <f>IF(booking!T51&gt;0,"oc","va")</f>
        <v>oc</v>
      </c>
      <c r="L51" s="131" t="str">
        <f>IF(booking!U51&gt;0,"oc","va")</f>
        <v>oc</v>
      </c>
      <c r="M51" s="130" t="str">
        <f>IF(booking!X51&gt;0,"oc","va")</f>
        <v>va</v>
      </c>
      <c r="N51" s="131" t="str">
        <f>IF(booking!Y51&gt;0,"oc","va")</f>
        <v>va</v>
      </c>
    </row>
    <row r="52" spans="1:14" x14ac:dyDescent="0.35">
      <c r="A52" s="5">
        <f>booking!C52</f>
        <v>46189</v>
      </c>
      <c r="B52" s="6"/>
      <c r="C52" s="130" t="str">
        <f>IF(booking!D52&gt;0,"oc","va")</f>
        <v>va</v>
      </c>
      <c r="D52" s="131" t="str">
        <f>IF(booking!E52&gt;0,"oc","va")</f>
        <v>va</v>
      </c>
      <c r="E52" s="130" t="str">
        <f>IF(booking!H52&gt;0,"oc","va")</f>
        <v>va</v>
      </c>
      <c r="F52" s="131" t="str">
        <f>IF(booking!I52&gt;0,"oc","va")</f>
        <v>va</v>
      </c>
      <c r="G52" s="130" t="str">
        <f>IF(booking!L52&gt;0,"oc","va")</f>
        <v>oc</v>
      </c>
      <c r="H52" s="131" t="str">
        <f>IF(booking!M52&gt;0,"oc","va")</f>
        <v>oc</v>
      </c>
      <c r="I52" s="130" t="str">
        <f>IF(booking!P52&gt;0,"oc","va")</f>
        <v>oc</v>
      </c>
      <c r="J52" s="131" t="str">
        <f>IF(booking!Q52&gt;0,"oc","va")</f>
        <v>oc</v>
      </c>
      <c r="K52" s="130" t="str">
        <f>IF(booking!T52&gt;0,"oc","va")</f>
        <v>oc</v>
      </c>
      <c r="L52" s="131" t="str">
        <f>IF(booking!U52&gt;0,"oc","va")</f>
        <v>oc</v>
      </c>
      <c r="M52" s="130" t="str">
        <f>IF(booking!X52&gt;0,"oc","va")</f>
        <v>va</v>
      </c>
      <c r="N52" s="131" t="str">
        <f>IF(booking!Y52&gt;0,"oc","va")</f>
        <v>va</v>
      </c>
    </row>
    <row r="53" spans="1:14" x14ac:dyDescent="0.35">
      <c r="A53" s="5">
        <f>booking!C53</f>
        <v>46190</v>
      </c>
      <c r="B53" s="6"/>
      <c r="C53" s="130" t="str">
        <f>IF(booking!D53&gt;0,"oc","va")</f>
        <v>va</v>
      </c>
      <c r="D53" s="131" t="str">
        <f>IF(booking!E53&gt;0,"oc","va")</f>
        <v>oc</v>
      </c>
      <c r="E53" s="130" t="str">
        <f>IF(booking!H53&gt;0,"oc","va")</f>
        <v>va</v>
      </c>
      <c r="F53" s="131" t="str">
        <f>IF(booking!I53&gt;0,"oc","va")</f>
        <v>va</v>
      </c>
      <c r="G53" s="130" t="str">
        <f>IF(booking!L53&gt;0,"oc","va")</f>
        <v>oc</v>
      </c>
      <c r="H53" s="131" t="str">
        <f>IF(booking!M53&gt;0,"oc","va")</f>
        <v>oc</v>
      </c>
      <c r="I53" s="130" t="str">
        <f>IF(booking!P53&gt;0,"oc","va")</f>
        <v>oc</v>
      </c>
      <c r="J53" s="131" t="str">
        <f>IF(booking!Q53&gt;0,"oc","va")</f>
        <v>oc</v>
      </c>
      <c r="K53" s="130" t="str">
        <f>IF(booking!T53&gt;0,"oc","va")</f>
        <v>oc</v>
      </c>
      <c r="L53" s="131" t="str">
        <f>IF(booking!U53&gt;0,"oc","va")</f>
        <v>oc</v>
      </c>
      <c r="M53" s="130" t="str">
        <f>IF(booking!X53&gt;0,"oc","va")</f>
        <v>va</v>
      </c>
      <c r="N53" s="131" t="str">
        <f>IF(booking!Y53&gt;0,"oc","va")</f>
        <v>va</v>
      </c>
    </row>
    <row r="54" spans="1:14" x14ac:dyDescent="0.35">
      <c r="A54" s="5">
        <f>booking!C54</f>
        <v>46191</v>
      </c>
      <c r="B54" s="6"/>
      <c r="C54" s="130" t="str">
        <f>IF(booking!D54&gt;0,"oc","va")</f>
        <v>oc</v>
      </c>
      <c r="D54" s="131" t="str">
        <f>IF(booking!E54&gt;0,"oc","va")</f>
        <v>oc</v>
      </c>
      <c r="E54" s="130" t="str">
        <f>IF(booking!H54&gt;0,"oc","va")</f>
        <v>va</v>
      </c>
      <c r="F54" s="131" t="str">
        <f>IF(booking!I54&gt;0,"oc","va")</f>
        <v>va</v>
      </c>
      <c r="G54" s="130" t="str">
        <f>IF(booking!L54&gt;0,"oc","va")</f>
        <v>oc</v>
      </c>
      <c r="H54" s="131" t="str">
        <f>IF(booking!M54&gt;0,"oc","va")</f>
        <v>va</v>
      </c>
      <c r="I54" s="130" t="str">
        <f>IF(booking!P54&gt;0,"oc","va")</f>
        <v>oc</v>
      </c>
      <c r="J54" s="131" t="str">
        <f>IF(booking!Q54&gt;0,"oc","va")</f>
        <v>oc</v>
      </c>
      <c r="K54" s="130" t="str">
        <f>IF(booking!T54&gt;0,"oc","va")</f>
        <v>oc</v>
      </c>
      <c r="L54" s="131" t="str">
        <f>IF(booking!U54&gt;0,"oc","va")</f>
        <v>oc</v>
      </c>
      <c r="M54" s="130" t="str">
        <f>IF(booking!X54&gt;0,"oc","va")</f>
        <v>va</v>
      </c>
      <c r="N54" s="131" t="str">
        <f>IF(booking!Y54&gt;0,"oc","va")</f>
        <v>va</v>
      </c>
    </row>
    <row r="55" spans="1:14" x14ac:dyDescent="0.35">
      <c r="A55" s="5">
        <f>booking!C55</f>
        <v>46192</v>
      </c>
      <c r="B55" s="6"/>
      <c r="C55" s="130" t="str">
        <f>IF(booking!D55&gt;0,"oc","va")</f>
        <v>oc</v>
      </c>
      <c r="D55" s="131" t="str">
        <f>IF(booking!E55&gt;0,"oc","va")</f>
        <v>oc</v>
      </c>
      <c r="E55" s="130" t="str">
        <f>IF(booking!H55&gt;0,"oc","va")</f>
        <v>va</v>
      </c>
      <c r="F55" s="131" t="str">
        <f>IF(booking!I55&gt;0,"oc","va")</f>
        <v>oc</v>
      </c>
      <c r="G55" s="130" t="str">
        <f>IF(booking!L55&gt;0,"oc","va")</f>
        <v>va</v>
      </c>
      <c r="H55" s="131" t="str">
        <f>IF(booking!M55&gt;0,"oc","va")</f>
        <v>oc</v>
      </c>
      <c r="I55" s="130" t="str">
        <f>IF(booking!P55&gt;0,"oc","va")</f>
        <v>oc</v>
      </c>
      <c r="J55" s="131" t="str">
        <f>IF(booking!Q55&gt;0,"oc","va")</f>
        <v>oc</v>
      </c>
      <c r="K55" s="130" t="str">
        <f>IF(booking!T55&gt;0,"oc","va")</f>
        <v>oc</v>
      </c>
      <c r="L55" s="131" t="str">
        <f>IF(booking!U55&gt;0,"oc","va")</f>
        <v>oc</v>
      </c>
      <c r="M55" s="130" t="str">
        <f>IF(booking!X55&gt;0,"oc","va")</f>
        <v>va</v>
      </c>
      <c r="N55" s="131" t="str">
        <f>IF(booking!Y55&gt;0,"oc","va")</f>
        <v>va</v>
      </c>
    </row>
    <row r="56" spans="1:14" x14ac:dyDescent="0.35">
      <c r="A56" s="5">
        <f>booking!C56</f>
        <v>46193</v>
      </c>
      <c r="B56" s="6"/>
      <c r="C56" s="130" t="str">
        <f>IF(booking!D56&gt;0,"oc","va")</f>
        <v>oc</v>
      </c>
      <c r="D56" s="131" t="str">
        <f>IF(booking!E56&gt;0,"oc","va")</f>
        <v>oc</v>
      </c>
      <c r="E56" s="130" t="str">
        <f>IF(booking!H56&gt;0,"oc","va")</f>
        <v>oc</v>
      </c>
      <c r="F56" s="131" t="str">
        <f>IF(booking!I56&gt;0,"oc","va")</f>
        <v>oc</v>
      </c>
      <c r="G56" s="130" t="str">
        <f>IF(booking!L56&gt;0,"oc","va")</f>
        <v>oc</v>
      </c>
      <c r="H56" s="131" t="str">
        <f>IF(booking!M56&gt;0,"oc","va")</f>
        <v>oc</v>
      </c>
      <c r="I56" s="130" t="str">
        <f>IF(booking!P56&gt;0,"oc","va")</f>
        <v>oc</v>
      </c>
      <c r="J56" s="131" t="str">
        <f>IF(booking!Q56&gt;0,"oc","va")</f>
        <v>va</v>
      </c>
      <c r="K56" s="130" t="str">
        <f>IF(booking!T56&gt;0,"oc","va")</f>
        <v>oc</v>
      </c>
      <c r="L56" s="131" t="str">
        <f>IF(booking!U56&gt;0,"oc","va")</f>
        <v>oc</v>
      </c>
      <c r="M56" s="130" t="str">
        <f>IF(booking!X56&gt;0,"oc","va")</f>
        <v>va</v>
      </c>
      <c r="N56" s="131" t="str">
        <f>IF(booking!Y56&gt;0,"oc","va")</f>
        <v>va</v>
      </c>
    </row>
    <row r="57" spans="1:14" x14ac:dyDescent="0.35">
      <c r="A57" s="5">
        <f>booking!C57</f>
        <v>46194</v>
      </c>
      <c r="B57" s="6"/>
      <c r="C57" s="130" t="str">
        <f>IF(booking!D57&gt;0,"oc","va")</f>
        <v>oc</v>
      </c>
      <c r="D57" s="131" t="str">
        <f>IF(booking!E57&gt;0,"oc","va")</f>
        <v>oc</v>
      </c>
      <c r="E57" s="130" t="str">
        <f>IF(booking!H57&gt;0,"oc","va")</f>
        <v>oc</v>
      </c>
      <c r="F57" s="131" t="str">
        <f>IF(booking!I57&gt;0,"oc","va")</f>
        <v>oc</v>
      </c>
      <c r="G57" s="130" t="str">
        <f>IF(booking!L57&gt;0,"oc","va")</f>
        <v>oc</v>
      </c>
      <c r="H57" s="131" t="str">
        <f>IF(booking!M57&gt;0,"oc","va")</f>
        <v>va</v>
      </c>
      <c r="I57" s="130" t="str">
        <f>IF(booking!P57&gt;0,"oc","va")</f>
        <v>va</v>
      </c>
      <c r="J57" s="131" t="str">
        <f>IF(booking!Q57&gt;0,"oc","va")</f>
        <v>va</v>
      </c>
      <c r="K57" s="130" t="str">
        <f>IF(booking!T57&gt;0,"oc","va")</f>
        <v>oc</v>
      </c>
      <c r="L57" s="131" t="str">
        <f>IF(booking!U57&gt;0,"oc","va")</f>
        <v>oc</v>
      </c>
      <c r="M57" s="130" t="str">
        <f>IF(booking!X57&gt;0,"oc","va")</f>
        <v>va</v>
      </c>
      <c r="N57" s="131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30" t="str">
        <f>IF(booking!D58&gt;0,"oc","va")</f>
        <v>oc</v>
      </c>
      <c r="D58" s="131" t="str">
        <f>IF(booking!E58&gt;0,"oc","va")</f>
        <v>va</v>
      </c>
      <c r="E58" s="130" t="str">
        <f>IF(booking!H58&gt;0,"oc","va")</f>
        <v>oc</v>
      </c>
      <c r="F58" s="131" t="str">
        <f>IF(booking!I58&gt;0,"oc","va")</f>
        <v>oc</v>
      </c>
      <c r="G58" s="130" t="str">
        <f>IF(booking!L58&gt;0,"oc","va")</f>
        <v>va</v>
      </c>
      <c r="H58" s="131" t="str">
        <f>IF(booking!M58&gt;0,"oc","va")</f>
        <v>va</v>
      </c>
      <c r="I58" s="130" t="str">
        <f>IF(booking!P58&gt;0,"oc","va")</f>
        <v>va</v>
      </c>
      <c r="J58" s="131" t="str">
        <f>IF(booking!Q58&gt;0,"oc","va")</f>
        <v>oc</v>
      </c>
      <c r="K58" s="130" t="str">
        <f>IF(booking!T58&gt;0,"oc","va")</f>
        <v>oc</v>
      </c>
      <c r="L58" s="131" t="str">
        <f>IF(booking!U58&gt;0,"oc","va")</f>
        <v>va</v>
      </c>
      <c r="M58" s="130" t="str">
        <f>IF(booking!X58&gt;0,"oc","va")</f>
        <v>va</v>
      </c>
      <c r="N58" s="131" t="str">
        <f>IF(booking!Y58&gt;0,"oc","va")</f>
        <v>va</v>
      </c>
    </row>
    <row r="59" spans="1:14" x14ac:dyDescent="0.35">
      <c r="A59" s="5">
        <f>booking!C59</f>
        <v>46196</v>
      </c>
      <c r="B59" s="6"/>
      <c r="C59" s="130" t="str">
        <f>IF(booking!D59&gt;0,"oc","va")</f>
        <v>va</v>
      </c>
      <c r="D59" s="131" t="str">
        <f>IF(booking!E59&gt;0,"oc","va")</f>
        <v>va</v>
      </c>
      <c r="E59" s="130" t="str">
        <f>IF(booking!H59&gt;0,"oc","va")</f>
        <v>oc</v>
      </c>
      <c r="F59" s="131" t="str">
        <f>IF(booking!I59&gt;0,"oc","va")</f>
        <v>oc</v>
      </c>
      <c r="G59" s="130" t="str">
        <f>IF(booking!L59&gt;0,"oc","va")</f>
        <v>va</v>
      </c>
      <c r="H59" s="131" t="str">
        <f>IF(booking!M59&gt;0,"oc","va")</f>
        <v>va</v>
      </c>
      <c r="I59" s="130" t="str">
        <f>IF(booking!P59&gt;0,"oc","va")</f>
        <v>oc</v>
      </c>
      <c r="J59" s="131" t="str">
        <f>IF(booking!Q59&gt;0,"oc","va")</f>
        <v>oc</v>
      </c>
      <c r="K59" s="130" t="str">
        <f>IF(booking!T59&gt;0,"oc","va")</f>
        <v>va</v>
      </c>
      <c r="L59" s="131" t="str">
        <f>IF(booking!U59&gt;0,"oc","va")</f>
        <v>va</v>
      </c>
      <c r="M59" s="130" t="str">
        <f>IF(booking!X59&gt;0,"oc","va")</f>
        <v>va</v>
      </c>
      <c r="N59" s="131" t="str">
        <f>IF(booking!Y59&gt;0,"oc","va")</f>
        <v>va</v>
      </c>
    </row>
    <row r="60" spans="1:14" x14ac:dyDescent="0.35">
      <c r="A60" s="5">
        <f>booking!C60</f>
        <v>46197</v>
      </c>
      <c r="B60" s="6"/>
      <c r="C60" s="130" t="str">
        <f>IF(booking!D60&gt;0,"oc","va")</f>
        <v>va</v>
      </c>
      <c r="D60" s="131" t="str">
        <f>IF(booking!E60&gt;0,"oc","va")</f>
        <v>va</v>
      </c>
      <c r="E60" s="130" t="str">
        <f>IF(booking!H60&gt;0,"oc","va")</f>
        <v>oc</v>
      </c>
      <c r="F60" s="131" t="str">
        <f>IF(booking!I60&gt;0,"oc","va")</f>
        <v>oc</v>
      </c>
      <c r="G60" s="130" t="str">
        <f>IF(booking!L60&gt;0,"oc","va")</f>
        <v>va</v>
      </c>
      <c r="H60" s="131" t="str">
        <f>IF(booking!M60&gt;0,"oc","va")</f>
        <v>va</v>
      </c>
      <c r="I60" s="130" t="str">
        <f>IF(booking!P60&gt;0,"oc","va")</f>
        <v>oc</v>
      </c>
      <c r="J60" s="131" t="str">
        <f>IF(booking!Q60&gt;0,"oc","va")</f>
        <v>oc</v>
      </c>
      <c r="K60" s="130" t="str">
        <f>IF(booking!T60&gt;0,"oc","va")</f>
        <v>va</v>
      </c>
      <c r="L60" s="131" t="str">
        <f>IF(booking!U60&gt;0,"oc","va")</f>
        <v>va</v>
      </c>
      <c r="M60" s="130" t="str">
        <f>IF(booking!X60&gt;0,"oc","va")</f>
        <v>va</v>
      </c>
      <c r="N60" s="131" t="str">
        <f>IF(booking!Y60&gt;0,"oc","va")</f>
        <v>va</v>
      </c>
    </row>
    <row r="61" spans="1:14" x14ac:dyDescent="0.35">
      <c r="A61" s="5">
        <f>booking!C61</f>
        <v>46198</v>
      </c>
      <c r="B61" s="6"/>
      <c r="C61" s="130" t="str">
        <f>IF(booking!D61&gt;0,"oc","va")</f>
        <v>va</v>
      </c>
      <c r="D61" s="131" t="str">
        <f>IF(booking!E61&gt;0,"oc","va")</f>
        <v>va</v>
      </c>
      <c r="E61" s="130" t="str">
        <f>IF(booking!H61&gt;0,"oc","va")</f>
        <v>oc</v>
      </c>
      <c r="F61" s="131" t="str">
        <f>IF(booking!I61&gt;0,"oc","va")</f>
        <v>oc</v>
      </c>
      <c r="G61" s="130" t="str">
        <f>IF(booking!L61&gt;0,"oc","va")</f>
        <v>va</v>
      </c>
      <c r="H61" s="131" t="str">
        <f>IF(booking!M61&gt;0,"oc","va")</f>
        <v>oc</v>
      </c>
      <c r="I61" s="130" t="str">
        <f>IF(booking!P61&gt;0,"oc","va")</f>
        <v>oc</v>
      </c>
      <c r="J61" s="131" t="str">
        <f>IF(booking!Q61&gt;0,"oc","va")</f>
        <v>oc</v>
      </c>
      <c r="K61" s="130" t="str">
        <f>IF(booking!T61&gt;0,"oc","va")</f>
        <v>va</v>
      </c>
      <c r="L61" s="131" t="str">
        <f>IF(booking!U61&gt;0,"oc","va")</f>
        <v>va</v>
      </c>
      <c r="M61" s="130" t="str">
        <f>IF(booking!X61&gt;0,"oc","va")</f>
        <v>va</v>
      </c>
      <c r="N61" s="131" t="str">
        <f>IF(booking!Y61&gt;0,"oc","va")</f>
        <v>va</v>
      </c>
    </row>
    <row r="62" spans="1:14" x14ac:dyDescent="0.35">
      <c r="A62" s="5">
        <f>booking!C62</f>
        <v>46199</v>
      </c>
      <c r="B62" s="6"/>
      <c r="C62" s="130" t="str">
        <f>IF(booking!D62&gt;0,"oc","va")</f>
        <v>va</v>
      </c>
      <c r="D62" s="131" t="str">
        <f>IF(booking!E62&gt;0,"oc","va")</f>
        <v>oc</v>
      </c>
      <c r="E62" s="130" t="str">
        <f>IF(booking!H62&gt;0,"oc","va")</f>
        <v>oc</v>
      </c>
      <c r="F62" s="131" t="str">
        <f>IF(booking!I62&gt;0,"oc","va")</f>
        <v>oc</v>
      </c>
      <c r="G62" s="130" t="str">
        <f>IF(booking!L62&gt;0,"oc","va")</f>
        <v>oc</v>
      </c>
      <c r="H62" s="131" t="str">
        <f>IF(booking!M62&gt;0,"oc","va")</f>
        <v>oc</v>
      </c>
      <c r="I62" s="130" t="str">
        <f>IF(booking!P62&gt;0,"oc","va")</f>
        <v>oc</v>
      </c>
      <c r="J62" s="131" t="str">
        <f>IF(booking!Q62&gt;0,"oc","va")</f>
        <v>oc</v>
      </c>
      <c r="K62" s="130" t="str">
        <f>IF(booking!T62&gt;0,"oc","va")</f>
        <v>va</v>
      </c>
      <c r="L62" s="131" t="str">
        <f>IF(booking!U62&gt;0,"oc","va")</f>
        <v>va</v>
      </c>
      <c r="M62" s="130" t="str">
        <f>IF(booking!X62&gt;0,"oc","va")</f>
        <v>va</v>
      </c>
      <c r="N62" s="131" t="str">
        <f>IF(booking!Y62&gt;0,"oc","va")</f>
        <v>va</v>
      </c>
    </row>
    <row r="63" spans="1:14" x14ac:dyDescent="0.35">
      <c r="A63" s="5">
        <f>booking!C63</f>
        <v>46200</v>
      </c>
      <c r="B63" s="6"/>
      <c r="C63" s="130" t="str">
        <f>IF(booking!D63&gt;0,"oc","va")</f>
        <v>oc</v>
      </c>
      <c r="D63" s="131" t="str">
        <f>IF(booking!E63&gt;0,"oc","va")</f>
        <v>oc</v>
      </c>
      <c r="E63" s="130" t="str">
        <f>IF(booking!H63&gt;0,"oc","va")</f>
        <v>oc</v>
      </c>
      <c r="F63" s="131" t="str">
        <f>IF(booking!I63&gt;0,"oc","va")</f>
        <v>oc</v>
      </c>
      <c r="G63" s="130" t="str">
        <f>IF(booking!L63&gt;0,"oc","va")</f>
        <v>oc</v>
      </c>
      <c r="H63" s="131" t="str">
        <f>IF(booking!M63&gt;0,"oc","va")</f>
        <v>oc</v>
      </c>
      <c r="I63" s="130" t="str">
        <f>IF(booking!P63&gt;0,"oc","va")</f>
        <v>oc</v>
      </c>
      <c r="J63" s="131" t="str">
        <f>IF(booking!Q63&gt;0,"oc","va")</f>
        <v>oc</v>
      </c>
      <c r="K63" s="130" t="str">
        <f>IF(booking!T63&gt;0,"oc","va")</f>
        <v>va</v>
      </c>
      <c r="L63" s="131" t="str">
        <f>IF(booking!U63&gt;0,"oc","va")</f>
        <v>oc</v>
      </c>
      <c r="M63" s="130" t="str">
        <f>IF(booking!X63&gt;0,"oc","va")</f>
        <v>va</v>
      </c>
      <c r="N63" s="131" t="str">
        <f>IF(booking!Y63&gt;0,"oc","va")</f>
        <v>va</v>
      </c>
    </row>
    <row r="64" spans="1:14" x14ac:dyDescent="0.35">
      <c r="A64" s="5">
        <f>booking!C64</f>
        <v>46201</v>
      </c>
      <c r="B64" s="6"/>
      <c r="C64" s="130" t="str">
        <f>IF(booking!D64&gt;0,"oc","va")</f>
        <v>oc</v>
      </c>
      <c r="D64" s="131" t="str">
        <f>IF(booking!E64&gt;0,"oc","va")</f>
        <v>oc</v>
      </c>
      <c r="E64" s="130" t="str">
        <f>IF(booking!H64&gt;0,"oc","va")</f>
        <v>oc</v>
      </c>
      <c r="F64" s="131" t="str">
        <f>IF(booking!I64&gt;0,"oc","va")</f>
        <v>oc</v>
      </c>
      <c r="G64" s="130" t="str">
        <f>IF(booking!L64&gt;0,"oc","va")</f>
        <v>oc</v>
      </c>
      <c r="H64" s="131" t="str">
        <f>IF(booking!M64&gt;0,"oc","va")</f>
        <v>oc</v>
      </c>
      <c r="I64" s="130" t="str">
        <f>IF(booking!P64&gt;0,"oc","va")</f>
        <v>oc</v>
      </c>
      <c r="J64" s="131" t="str">
        <f>IF(booking!Q64&gt;0,"oc","va")</f>
        <v>va</v>
      </c>
      <c r="K64" s="130" t="str">
        <f>IF(booking!T64&gt;0,"oc","va")</f>
        <v>oc</v>
      </c>
      <c r="L64" s="131" t="str">
        <f>IF(booking!U64&gt;0,"oc","va")</f>
        <v>oc</v>
      </c>
      <c r="M64" s="130" t="str">
        <f>IF(booking!X64&gt;0,"oc","va")</f>
        <v>va</v>
      </c>
      <c r="N64" s="131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30" t="str">
        <f>IF(booking!D65&gt;0,"oc","va")</f>
        <v>oc</v>
      </c>
      <c r="D65" s="131" t="str">
        <f>IF(booking!E65&gt;0,"oc","va")</f>
        <v>va</v>
      </c>
      <c r="E65" s="130" t="str">
        <f>IF(booking!H65&gt;0,"oc","va")</f>
        <v>oc</v>
      </c>
      <c r="F65" s="131" t="str">
        <f>IF(booking!I65&gt;0,"oc","va")</f>
        <v>va</v>
      </c>
      <c r="G65" s="130" t="str">
        <f>IF(booking!L65&gt;0,"oc","va")</f>
        <v>oc</v>
      </c>
      <c r="H65" s="131" t="str">
        <f>IF(booking!M65&gt;0,"oc","va")</f>
        <v>oc</v>
      </c>
      <c r="I65" s="130" t="str">
        <f>IF(booking!P65&gt;0,"oc","va")</f>
        <v>va</v>
      </c>
      <c r="J65" s="131" t="str">
        <f>IF(booking!Q65&gt;0,"oc","va")</f>
        <v>oc</v>
      </c>
      <c r="K65" s="130" t="str">
        <f>IF(booking!T65&gt;0,"oc","va")</f>
        <v>oc</v>
      </c>
      <c r="L65" s="131" t="str">
        <f>IF(booking!U65&gt;0,"oc","va")</f>
        <v>oc</v>
      </c>
      <c r="M65" s="130" t="str">
        <f>IF(booking!X65&gt;0,"oc","va")</f>
        <v>va</v>
      </c>
      <c r="N65" s="131" t="str">
        <f>IF(booking!Y65&gt;0,"oc","va")</f>
        <v>va</v>
      </c>
    </row>
    <row r="66" spans="1:14" x14ac:dyDescent="0.35">
      <c r="A66" s="5">
        <f>booking!C66</f>
        <v>46203</v>
      </c>
      <c r="B66" s="6"/>
      <c r="C66" s="130" t="str">
        <f>IF(booking!D66&gt;0,"oc","va")</f>
        <v>va</v>
      </c>
      <c r="D66" s="131" t="str">
        <f>IF(booking!E66&gt;0,"oc","va")</f>
        <v>va</v>
      </c>
      <c r="E66" s="130" t="str">
        <f>IF(booking!H66&gt;0,"oc","va")</f>
        <v>va</v>
      </c>
      <c r="F66" s="131" t="str">
        <f>IF(booking!I66&gt;0,"oc","va")</f>
        <v>va</v>
      </c>
      <c r="G66" s="130" t="str">
        <f>IF(booking!L66&gt;0,"oc","va")</f>
        <v>oc</v>
      </c>
      <c r="H66" s="131" t="str">
        <f>IF(booking!M66&gt;0,"oc","va")</f>
        <v>oc</v>
      </c>
      <c r="I66" s="130" t="str">
        <f>IF(booking!P66&gt;0,"oc","va")</f>
        <v>oc</v>
      </c>
      <c r="J66" s="131" t="str">
        <f>IF(booking!Q66&gt;0,"oc","va")</f>
        <v>oc</v>
      </c>
      <c r="K66" s="130" t="str">
        <f>IF(booking!T66&gt;0,"oc","va")</f>
        <v>oc</v>
      </c>
      <c r="L66" s="131" t="str">
        <f>IF(booking!U66&gt;0,"oc","va")</f>
        <v>oc</v>
      </c>
      <c r="M66" s="130" t="str">
        <f>IF(booking!X66&gt;0,"oc","va")</f>
        <v>va</v>
      </c>
      <c r="N66" s="131" t="str">
        <f>IF(booking!Y66&gt;0,"oc","va")</f>
        <v>va</v>
      </c>
    </row>
    <row r="67" spans="1:14" x14ac:dyDescent="0.35">
      <c r="A67" s="5">
        <f>booking!C67</f>
        <v>46204</v>
      </c>
      <c r="B67" s="6"/>
      <c r="C67" s="130" t="str">
        <f>IF(booking!D67&gt;0,"oc","va")</f>
        <v>va</v>
      </c>
      <c r="D67" s="131" t="str">
        <f>IF(booking!E67&gt;0,"oc","va")</f>
        <v>va</v>
      </c>
      <c r="E67" s="130" t="str">
        <f>IF(booking!H67&gt;0,"oc","va")</f>
        <v>va</v>
      </c>
      <c r="F67" s="131" t="str">
        <f>IF(booking!I67&gt;0,"oc","va")</f>
        <v>oc</v>
      </c>
      <c r="G67" s="130" t="str">
        <f>IF(booking!L67&gt;0,"oc","va")</f>
        <v>oc</v>
      </c>
      <c r="H67" s="131" t="str">
        <f>IF(booking!M67&gt;0,"oc","va")</f>
        <v>oc</v>
      </c>
      <c r="I67" s="130" t="str">
        <f>IF(booking!P67&gt;0,"oc","va")</f>
        <v>oc</v>
      </c>
      <c r="J67" s="131" t="str">
        <f>IF(booking!Q67&gt;0,"oc","va")</f>
        <v>oc</v>
      </c>
      <c r="K67" s="130" t="str">
        <f>IF(booking!T67&gt;0,"oc","va")</f>
        <v>oc</v>
      </c>
      <c r="L67" s="131" t="str">
        <f>IF(booking!U67&gt;0,"oc","va")</f>
        <v>oc</v>
      </c>
      <c r="M67" s="130" t="str">
        <f>IF(booking!X67&gt;0,"oc","va")</f>
        <v>va</v>
      </c>
      <c r="N67" s="131" t="str">
        <f>IF(booking!Y67&gt;0,"oc","va")</f>
        <v>va</v>
      </c>
    </row>
    <row r="68" spans="1:14" x14ac:dyDescent="0.35">
      <c r="A68" s="5">
        <f>booking!C68</f>
        <v>46205</v>
      </c>
      <c r="B68" s="6"/>
      <c r="C68" s="130" t="str">
        <f>IF(booking!D68&gt;0,"oc","va")</f>
        <v>va</v>
      </c>
      <c r="D68" s="131" t="str">
        <f>IF(booking!E68&gt;0,"oc","va")</f>
        <v>oc</v>
      </c>
      <c r="E68" s="130" t="str">
        <f>IF(booking!H68&gt;0,"oc","va")</f>
        <v>oc</v>
      </c>
      <c r="F68" s="131" t="str">
        <f>IF(booking!I68&gt;0,"oc","va")</f>
        <v>oc</v>
      </c>
      <c r="G68" s="130" t="str">
        <f>IF(booking!L68&gt;0,"oc","va")</f>
        <v>oc</v>
      </c>
      <c r="H68" s="131" t="str">
        <f>IF(booking!M68&gt;0,"oc","va")</f>
        <v>oc</v>
      </c>
      <c r="I68" s="130" t="str">
        <f>IF(booking!P68&gt;0,"oc","va")</f>
        <v>oc</v>
      </c>
      <c r="J68" s="131" t="str">
        <f>IF(booking!Q68&gt;0,"oc","va")</f>
        <v>oc</v>
      </c>
      <c r="K68" s="130" t="str">
        <f>IF(booking!T68&gt;0,"oc","va")</f>
        <v>oc</v>
      </c>
      <c r="L68" s="131" t="str">
        <f>IF(booking!U68&gt;0,"oc","va")</f>
        <v>oc</v>
      </c>
      <c r="M68" s="130" t="str">
        <f>IF(booking!X68&gt;0,"oc","va")</f>
        <v>va</v>
      </c>
      <c r="N68" s="131" t="str">
        <f>IF(booking!Y68&gt;0,"oc","va")</f>
        <v>va</v>
      </c>
    </row>
    <row r="69" spans="1:14" x14ac:dyDescent="0.35">
      <c r="A69" s="5">
        <f>booking!C69</f>
        <v>46206</v>
      </c>
      <c r="B69" s="6"/>
      <c r="C69" s="130" t="str">
        <f>IF(booking!D69&gt;0,"oc","va")</f>
        <v>oc</v>
      </c>
      <c r="D69" s="131" t="str">
        <f>IF(booking!E69&gt;0,"oc","va")</f>
        <v>oc</v>
      </c>
      <c r="E69" s="130" t="str">
        <f>IF(booking!H69&gt;0,"oc","va")</f>
        <v>oc</v>
      </c>
      <c r="F69" s="131" t="str">
        <f>IF(booking!I69&gt;0,"oc","va")</f>
        <v>oc</v>
      </c>
      <c r="G69" s="130" t="str">
        <f>IF(booking!L69&gt;0,"oc","va")</f>
        <v>oc</v>
      </c>
      <c r="H69" s="131" t="str">
        <f>IF(booking!M69&gt;0,"oc","va")</f>
        <v>oc</v>
      </c>
      <c r="I69" s="130" t="str">
        <f>IF(booking!P69&gt;0,"oc","va")</f>
        <v>oc</v>
      </c>
      <c r="J69" s="131" t="str">
        <f>IF(booking!Q69&gt;0,"oc","va")</f>
        <v>oc</v>
      </c>
      <c r="K69" s="130" t="str">
        <f>IF(booking!T69&gt;0,"oc","va")</f>
        <v>oc</v>
      </c>
      <c r="L69" s="131" t="str">
        <f>IF(booking!U69&gt;0,"oc","va")</f>
        <v>oc</v>
      </c>
      <c r="M69" s="130" t="str">
        <f>IF(booking!X69&gt;0,"oc","va")</f>
        <v>va</v>
      </c>
      <c r="N69" s="131" t="str">
        <f>IF(booking!Y69&gt;0,"oc","va")</f>
        <v>va</v>
      </c>
    </row>
    <row r="70" spans="1:14" x14ac:dyDescent="0.35">
      <c r="A70" s="5">
        <f>booking!C70</f>
        <v>46207</v>
      </c>
      <c r="B70" s="6"/>
      <c r="C70" s="130" t="str">
        <f>IF(booking!D70&gt;0,"oc","va")</f>
        <v>oc</v>
      </c>
      <c r="D70" s="131" t="str">
        <f>IF(booking!E70&gt;0,"oc","va")</f>
        <v>oc</v>
      </c>
      <c r="E70" s="130" t="str">
        <f>IF(booking!H70&gt;0,"oc","va")</f>
        <v>oc</v>
      </c>
      <c r="F70" s="131" t="str">
        <f>IF(booking!I70&gt;0,"oc","va")</f>
        <v>oc</v>
      </c>
      <c r="G70" s="130" t="str">
        <f>IF(booking!L70&gt;0,"oc","va")</f>
        <v>oc</v>
      </c>
      <c r="H70" s="131" t="str">
        <f>IF(booking!M70&gt;0,"oc","va")</f>
        <v>oc</v>
      </c>
      <c r="I70" s="130" t="str">
        <f>IF(booking!P70&gt;0,"oc","va")</f>
        <v>oc</v>
      </c>
      <c r="J70" s="131" t="str">
        <f>IF(booking!Q70&gt;0,"oc","va")</f>
        <v>oc</v>
      </c>
      <c r="K70" s="130" t="str">
        <f>IF(booking!T70&gt;0,"oc","va")</f>
        <v>oc</v>
      </c>
      <c r="L70" s="131" t="str">
        <f>IF(booking!U70&gt;0,"oc","va")</f>
        <v>oc</v>
      </c>
      <c r="M70" s="130" t="str">
        <f>IF(booking!X70&gt;0,"oc","va")</f>
        <v>va</v>
      </c>
      <c r="N70" s="131" t="str">
        <f>IF(booking!Y70&gt;0,"oc","va")</f>
        <v>va</v>
      </c>
    </row>
    <row r="71" spans="1:14" x14ac:dyDescent="0.35">
      <c r="A71" s="5">
        <f>booking!C71</f>
        <v>46208</v>
      </c>
      <c r="B71" s="6"/>
      <c r="C71" s="130" t="str">
        <f>IF(booking!D71&gt;0,"oc","va")</f>
        <v>oc</v>
      </c>
      <c r="D71" s="131" t="str">
        <f>IF(booking!E71&gt;0,"oc","va")</f>
        <v>va</v>
      </c>
      <c r="E71" s="130" t="str">
        <f>IF(booking!H71&gt;0,"oc","va")</f>
        <v>oc</v>
      </c>
      <c r="F71" s="131" t="str">
        <f>IF(booking!I71&gt;0,"oc","va")</f>
        <v>oc</v>
      </c>
      <c r="G71" s="130" t="str">
        <f>IF(booking!L71&gt;0,"oc","va")</f>
        <v>oc</v>
      </c>
      <c r="H71" s="131" t="str">
        <f>IF(booking!M71&gt;0,"oc","va")</f>
        <v>va</v>
      </c>
      <c r="I71" s="130" t="str">
        <f>IF(booking!P71&gt;0,"oc","va")</f>
        <v>oc</v>
      </c>
      <c r="J71" s="131" t="str">
        <f>IF(booking!Q71&gt;0,"oc","va")</f>
        <v>oc</v>
      </c>
      <c r="K71" s="130" t="str">
        <f>IF(booking!T71&gt;0,"oc","va")</f>
        <v>oc</v>
      </c>
      <c r="L71" s="131" t="str">
        <f>IF(booking!U71&gt;0,"oc","va")</f>
        <v>oc</v>
      </c>
      <c r="M71" s="130" t="str">
        <f>IF(booking!X71&gt;0,"oc","va")</f>
        <v>va</v>
      </c>
      <c r="N71" s="131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30" t="str">
        <f>IF(booking!D72&gt;0,"oc","va")</f>
        <v>va</v>
      </c>
      <c r="D72" s="131" t="str">
        <f>IF(booking!E72&gt;0,"oc","va")</f>
        <v>oc</v>
      </c>
      <c r="E72" s="130" t="str">
        <f>IF(booking!H72&gt;0,"oc","va")</f>
        <v>oc</v>
      </c>
      <c r="F72" s="131" t="str">
        <f>IF(booking!I72&gt;0,"oc","va")</f>
        <v>oc</v>
      </c>
      <c r="G72" s="130" t="str">
        <f>IF(booking!L72&gt;0,"oc","va")</f>
        <v>va</v>
      </c>
      <c r="H72" s="131" t="str">
        <f>IF(booking!M72&gt;0,"oc","va")</f>
        <v>oc</v>
      </c>
      <c r="I72" s="130" t="str">
        <f>IF(booking!P72&gt;0,"oc","va")</f>
        <v>oc</v>
      </c>
      <c r="J72" s="131" t="str">
        <f>IF(booking!Q72&gt;0,"oc","va")</f>
        <v>oc</v>
      </c>
      <c r="K72" s="130" t="str">
        <f>IF(booking!T72&gt;0,"oc","va")</f>
        <v>oc</v>
      </c>
      <c r="L72" s="131" t="str">
        <f>IF(booking!U72&gt;0,"oc","va")</f>
        <v>oc</v>
      </c>
      <c r="M72" s="130" t="str">
        <f>IF(booking!X72&gt;0,"oc","va")</f>
        <v>va</v>
      </c>
      <c r="N72" s="131" t="str">
        <f>IF(booking!Y72&gt;0,"oc","va")</f>
        <v>va</v>
      </c>
    </row>
    <row r="73" spans="1:14" x14ac:dyDescent="0.35">
      <c r="A73" s="5">
        <f>booking!C73</f>
        <v>46210</v>
      </c>
      <c r="B73" s="6"/>
      <c r="C73" s="130" t="str">
        <f>IF(booking!D73&gt;0,"oc","va")</f>
        <v>oc</v>
      </c>
      <c r="D73" s="131" t="str">
        <f>IF(booking!E73&gt;0,"oc","va")</f>
        <v>oc</v>
      </c>
      <c r="E73" s="130" t="str">
        <f>IF(booking!H73&gt;0,"oc","va")</f>
        <v>oc</v>
      </c>
      <c r="F73" s="131" t="str">
        <f>IF(booking!I73&gt;0,"oc","va")</f>
        <v>va</v>
      </c>
      <c r="G73" s="130" t="str">
        <f>IF(booking!L73&gt;0,"oc","va")</f>
        <v>oc</v>
      </c>
      <c r="H73" s="131" t="str">
        <f>IF(booking!M73&gt;0,"oc","va")</f>
        <v>oc</v>
      </c>
      <c r="I73" s="130" t="str">
        <f>IF(booking!P73&gt;0,"oc","va")</f>
        <v>oc</v>
      </c>
      <c r="J73" s="131" t="str">
        <f>IF(booking!Q73&gt;0,"oc","va")</f>
        <v>oc</v>
      </c>
      <c r="K73" s="130" t="str">
        <f>IF(booking!T73&gt;0,"oc","va")</f>
        <v>oc</v>
      </c>
      <c r="L73" s="131" t="str">
        <f>IF(booking!U73&gt;0,"oc","va")</f>
        <v>oc</v>
      </c>
      <c r="M73" s="130" t="str">
        <f>IF(booking!X73&gt;0,"oc","va")</f>
        <v>va</v>
      </c>
      <c r="N73" s="131" t="str">
        <f>IF(booking!Y73&gt;0,"oc","va")</f>
        <v>va</v>
      </c>
    </row>
    <row r="74" spans="1:14" x14ac:dyDescent="0.35">
      <c r="A74" s="5">
        <f>booking!C74</f>
        <v>46211</v>
      </c>
      <c r="B74" s="6"/>
      <c r="C74" s="130" t="str">
        <f>IF(booking!D74&gt;0,"oc","va")</f>
        <v>oc</v>
      </c>
      <c r="D74" s="131" t="str">
        <f>IF(booking!E74&gt;0,"oc","va")</f>
        <v>oc</v>
      </c>
      <c r="E74" s="130" t="str">
        <f>IF(booking!H74&gt;0,"oc","va")</f>
        <v>va</v>
      </c>
      <c r="F74" s="131" t="str">
        <f>IF(booking!I74&gt;0,"oc","va")</f>
        <v>oc</v>
      </c>
      <c r="G74" s="130" t="str">
        <f>IF(booking!L74&gt;0,"oc","va")</f>
        <v>oc</v>
      </c>
      <c r="H74" s="131" t="str">
        <f>IF(booking!M74&gt;0,"oc","va")</f>
        <v>oc</v>
      </c>
      <c r="I74" s="130" t="str">
        <f>IF(booking!P74&gt;0,"oc","va")</f>
        <v>oc</v>
      </c>
      <c r="J74" s="131" t="str">
        <f>IF(booking!Q74&gt;0,"oc","va")</f>
        <v>oc</v>
      </c>
      <c r="K74" s="130" t="str">
        <f>IF(booking!T74&gt;0,"oc","va")</f>
        <v>oc</v>
      </c>
      <c r="L74" s="131" t="str">
        <f>IF(booking!U74&gt;0,"oc","va")</f>
        <v>oc</v>
      </c>
      <c r="M74" s="130" t="str">
        <f>IF(booking!X74&gt;0,"oc","va")</f>
        <v>va</v>
      </c>
      <c r="N74" s="131" t="str">
        <f>IF(booking!Y74&gt;0,"oc","va")</f>
        <v>va</v>
      </c>
    </row>
    <row r="75" spans="1:14" x14ac:dyDescent="0.35">
      <c r="A75" s="5">
        <f>booking!C75</f>
        <v>46212</v>
      </c>
      <c r="B75" s="6"/>
      <c r="C75" s="130" t="str">
        <f>IF(booking!D75&gt;0,"oc","va")</f>
        <v>oc</v>
      </c>
      <c r="D75" s="131" t="str">
        <f>IF(booking!E75&gt;0,"oc","va")</f>
        <v>oc</v>
      </c>
      <c r="E75" s="130" t="str">
        <f>IF(booking!H75&gt;0,"oc","va")</f>
        <v>oc</v>
      </c>
      <c r="F75" s="131" t="str">
        <f>IF(booking!I75&gt;0,"oc","va")</f>
        <v>oc</v>
      </c>
      <c r="G75" s="130" t="str">
        <f>IF(booking!L75&gt;0,"oc","va")</f>
        <v>oc</v>
      </c>
      <c r="H75" s="131" t="str">
        <f>IF(booking!M75&gt;0,"oc","va")</f>
        <v>oc</v>
      </c>
      <c r="I75" s="130" t="str">
        <f>IF(booking!P75&gt;0,"oc","va")</f>
        <v>oc</v>
      </c>
      <c r="J75" s="131" t="str">
        <f>IF(booking!Q75&gt;0,"oc","va")</f>
        <v>oc</v>
      </c>
      <c r="K75" s="130" t="str">
        <f>IF(booking!T75&gt;0,"oc","va")</f>
        <v>oc</v>
      </c>
      <c r="L75" s="131" t="str">
        <f>IF(booking!U75&gt;0,"oc","va")</f>
        <v>oc</v>
      </c>
      <c r="M75" s="130" t="str">
        <f>IF(booking!X75&gt;0,"oc","va")</f>
        <v>va</v>
      </c>
      <c r="N75" s="131" t="str">
        <f>IF(booking!Y75&gt;0,"oc","va")</f>
        <v>va</v>
      </c>
    </row>
    <row r="76" spans="1:14" x14ac:dyDescent="0.35">
      <c r="A76" s="5">
        <f>booking!C76</f>
        <v>46213</v>
      </c>
      <c r="B76" s="6"/>
      <c r="C76" s="130" t="str">
        <f>IF(booking!D76&gt;0,"oc","va")</f>
        <v>oc</v>
      </c>
      <c r="D76" s="131" t="str">
        <f>IF(booking!E76&gt;0,"oc","va")</f>
        <v>oc</v>
      </c>
      <c r="E76" s="130" t="str">
        <f>IF(booking!H76&gt;0,"oc","va")</f>
        <v>oc</v>
      </c>
      <c r="F76" s="131" t="str">
        <f>IF(booking!I76&gt;0,"oc","va")</f>
        <v>oc</v>
      </c>
      <c r="G76" s="130" t="str">
        <f>IF(booking!L76&gt;0,"oc","va")</f>
        <v>oc</v>
      </c>
      <c r="H76" s="131" t="str">
        <f>IF(booking!M76&gt;0,"oc","va")</f>
        <v>oc</v>
      </c>
      <c r="I76" s="130" t="str">
        <f>IF(booking!P76&gt;0,"oc","va")</f>
        <v>oc</v>
      </c>
      <c r="J76" s="131" t="str">
        <f>IF(booking!Q76&gt;0,"oc","va")</f>
        <v>va</v>
      </c>
      <c r="K76" s="130" t="str">
        <f>IF(booking!T76&gt;0,"oc","va")</f>
        <v>oc</v>
      </c>
      <c r="L76" s="131" t="str">
        <f>IF(booking!U76&gt;0,"oc","va")</f>
        <v>oc</v>
      </c>
      <c r="M76" s="130" t="str">
        <f>IF(booking!X76&gt;0,"oc","va")</f>
        <v>va</v>
      </c>
      <c r="N76" s="131" t="str">
        <f>IF(booking!Y76&gt;0,"oc","va")</f>
        <v>va</v>
      </c>
    </row>
    <row r="77" spans="1:14" x14ac:dyDescent="0.35">
      <c r="A77" s="5">
        <f>booking!C77</f>
        <v>46214</v>
      </c>
      <c r="B77" s="6"/>
      <c r="C77" s="130" t="str">
        <f>IF(booking!D77&gt;0,"oc","va")</f>
        <v>oc</v>
      </c>
      <c r="D77" s="131" t="str">
        <f>IF(booking!E77&gt;0,"oc","va")</f>
        <v>oc</v>
      </c>
      <c r="E77" s="130" t="str">
        <f>IF(booking!H77&gt;0,"oc","va")</f>
        <v>oc</v>
      </c>
      <c r="F77" s="131" t="str">
        <f>IF(booking!I77&gt;0,"oc","va")</f>
        <v>oc</v>
      </c>
      <c r="G77" s="130" t="str">
        <f>IF(booking!L77&gt;0,"oc","va")</f>
        <v>oc</v>
      </c>
      <c r="H77" s="131" t="str">
        <f>IF(booking!M77&gt;0,"oc","va")</f>
        <v>oc</v>
      </c>
      <c r="I77" s="130" t="str">
        <f>IF(booking!P77&gt;0,"oc","va")</f>
        <v>va</v>
      </c>
      <c r="J77" s="131" t="str">
        <f>IF(booking!Q77&gt;0,"oc","va")</f>
        <v>oc</v>
      </c>
      <c r="K77" s="130" t="str">
        <f>IF(booking!T77&gt;0,"oc","va")</f>
        <v>oc</v>
      </c>
      <c r="L77" s="131" t="str">
        <f>IF(booking!U77&gt;0,"oc","va")</f>
        <v>oc</v>
      </c>
      <c r="M77" s="130" t="str">
        <f>IF(booking!X77&gt;0,"oc","va")</f>
        <v>va</v>
      </c>
      <c r="N77" s="131" t="str">
        <f>IF(booking!Y77&gt;0,"oc","va")</f>
        <v>va</v>
      </c>
    </row>
    <row r="78" spans="1:14" x14ac:dyDescent="0.35">
      <c r="A78" s="5">
        <f>booking!C78</f>
        <v>46215</v>
      </c>
      <c r="B78" s="6"/>
      <c r="C78" s="130" t="str">
        <f>IF(booking!D78&gt;0,"oc","va")</f>
        <v>oc</v>
      </c>
      <c r="D78" s="131" t="str">
        <f>IF(booking!E78&gt;0,"oc","va")</f>
        <v>oc</v>
      </c>
      <c r="E78" s="130" t="str">
        <f>IF(booking!H78&gt;0,"oc","va")</f>
        <v>oc</v>
      </c>
      <c r="F78" s="131" t="str">
        <f>IF(booking!I78&gt;0,"oc","va")</f>
        <v>oc</v>
      </c>
      <c r="G78" s="130" t="str">
        <f>IF(booking!L78&gt;0,"oc","va")</f>
        <v>oc</v>
      </c>
      <c r="H78" s="131" t="str">
        <f>IF(booking!M78&gt;0,"oc","va")</f>
        <v>oc</v>
      </c>
      <c r="I78" s="130" t="str">
        <f>IF(booking!P78&gt;0,"oc","va")</f>
        <v>oc</v>
      </c>
      <c r="J78" s="131" t="str">
        <f>IF(booking!Q78&gt;0,"oc","va")</f>
        <v>oc</v>
      </c>
      <c r="K78" s="130" t="str">
        <f>IF(booking!T78&gt;0,"oc","va")</f>
        <v>oc</v>
      </c>
      <c r="L78" s="131" t="str">
        <f>IF(booking!U78&gt;0,"oc","va")</f>
        <v>oc</v>
      </c>
      <c r="M78" s="130" t="str">
        <f>IF(booking!X78&gt;0,"oc","va")</f>
        <v>va</v>
      </c>
      <c r="N78" s="131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30" t="str">
        <f>IF(booking!D79&gt;0,"oc","va")</f>
        <v>oc</v>
      </c>
      <c r="D79" s="131" t="str">
        <f>IF(booking!E79&gt;0,"oc","va")</f>
        <v>oc</v>
      </c>
      <c r="E79" s="130" t="str">
        <f>IF(booking!H79&gt;0,"oc","va")</f>
        <v>oc</v>
      </c>
      <c r="F79" s="131" t="str">
        <f>IF(booking!I79&gt;0,"oc","va")</f>
        <v>oc</v>
      </c>
      <c r="G79" s="130" t="str">
        <f>IF(booking!L79&gt;0,"oc","va")</f>
        <v>oc</v>
      </c>
      <c r="H79" s="131" t="str">
        <f>IF(booking!M79&gt;0,"oc","va")</f>
        <v>oc</v>
      </c>
      <c r="I79" s="130" t="str">
        <f>IF(booking!P79&gt;0,"oc","va")</f>
        <v>oc</v>
      </c>
      <c r="J79" s="131" t="str">
        <f>IF(booking!Q79&gt;0,"oc","va")</f>
        <v>oc</v>
      </c>
      <c r="K79" s="130" t="str">
        <f>IF(booking!T79&gt;0,"oc","va")</f>
        <v>oc</v>
      </c>
      <c r="L79" s="131" t="str">
        <f>IF(booking!U79&gt;0,"oc","va")</f>
        <v>oc</v>
      </c>
      <c r="M79" s="130" t="str">
        <f>IF(booking!X79&gt;0,"oc","va")</f>
        <v>va</v>
      </c>
      <c r="N79" s="131" t="str">
        <f>IF(booking!Y79&gt;0,"oc","va")</f>
        <v>va</v>
      </c>
    </row>
    <row r="80" spans="1:14" x14ac:dyDescent="0.35">
      <c r="A80" s="5">
        <f>booking!C80</f>
        <v>46217</v>
      </c>
      <c r="B80" s="6"/>
      <c r="C80" s="130" t="str">
        <f>IF(booking!D80&gt;0,"oc","va")</f>
        <v>oc</v>
      </c>
      <c r="D80" s="131" t="str">
        <f>IF(booking!E80&gt;0,"oc","va")</f>
        <v>oc</v>
      </c>
      <c r="E80" s="130" t="str">
        <f>IF(booking!H80&gt;0,"oc","va")</f>
        <v>oc</v>
      </c>
      <c r="F80" s="131" t="str">
        <f>IF(booking!I80&gt;0,"oc","va")</f>
        <v>oc</v>
      </c>
      <c r="G80" s="130" t="str">
        <f>IF(booking!L80&gt;0,"oc","va")</f>
        <v>oc</v>
      </c>
      <c r="H80" s="131" t="str">
        <f>IF(booking!M80&gt;0,"oc","va")</f>
        <v>oc</v>
      </c>
      <c r="I80" s="130" t="str">
        <f>IF(booking!P80&gt;0,"oc","va")</f>
        <v>oc</v>
      </c>
      <c r="J80" s="131" t="str">
        <f>IF(booking!Q80&gt;0,"oc","va")</f>
        <v>oc</v>
      </c>
      <c r="K80" s="130" t="str">
        <f>IF(booking!T80&gt;0,"oc","va")</f>
        <v>oc</v>
      </c>
      <c r="L80" s="131" t="str">
        <f>IF(booking!U80&gt;0,"oc","va")</f>
        <v>oc</v>
      </c>
      <c r="M80" s="130" t="str">
        <f>IF(booking!X80&gt;0,"oc","va")</f>
        <v>va</v>
      </c>
      <c r="N80" s="131" t="str">
        <f>IF(booking!Y80&gt;0,"oc","va")</f>
        <v>va</v>
      </c>
    </row>
    <row r="81" spans="1:14" x14ac:dyDescent="0.35">
      <c r="A81" s="5">
        <f>booking!C81</f>
        <v>46218</v>
      </c>
      <c r="B81" s="6"/>
      <c r="C81" s="130" t="str">
        <f>IF(booking!D81&gt;0,"oc","va")</f>
        <v>oc</v>
      </c>
      <c r="D81" s="131" t="str">
        <f>IF(booking!E81&gt;0,"oc","va")</f>
        <v>oc</v>
      </c>
      <c r="E81" s="130" t="str">
        <f>IF(booking!H81&gt;0,"oc","va")</f>
        <v>oc</v>
      </c>
      <c r="F81" s="131" t="str">
        <f>IF(booking!I81&gt;0,"oc","va")</f>
        <v>oc</v>
      </c>
      <c r="G81" s="130" t="str">
        <f>IF(booking!L81&gt;0,"oc","va")</f>
        <v>oc</v>
      </c>
      <c r="H81" s="131" t="str">
        <f>IF(booking!M81&gt;0,"oc","va")</f>
        <v>oc</v>
      </c>
      <c r="I81" s="130" t="str">
        <f>IF(booking!P81&gt;0,"oc","va")</f>
        <v>oc</v>
      </c>
      <c r="J81" s="131" t="str">
        <f>IF(booking!Q81&gt;0,"oc","va")</f>
        <v>oc</v>
      </c>
      <c r="K81" s="130" t="str">
        <f>IF(booking!T81&gt;0,"oc","va")</f>
        <v>oc</v>
      </c>
      <c r="L81" s="131" t="str">
        <f>IF(booking!U81&gt;0,"oc","va")</f>
        <v>oc</v>
      </c>
      <c r="M81" s="130" t="str">
        <f>IF(booking!X81&gt;0,"oc","va")</f>
        <v>va</v>
      </c>
      <c r="N81" s="131" t="str">
        <f>IF(booking!Y81&gt;0,"oc","va")</f>
        <v>va</v>
      </c>
    </row>
    <row r="82" spans="1:14" x14ac:dyDescent="0.35">
      <c r="A82" s="5">
        <f>booking!C82</f>
        <v>46219</v>
      </c>
      <c r="B82" s="6"/>
      <c r="C82" s="130" t="str">
        <f>IF(booking!D82&gt;0,"oc","va")</f>
        <v>oc</v>
      </c>
      <c r="D82" s="131" t="str">
        <f>IF(booking!E82&gt;0,"oc","va")</f>
        <v>oc</v>
      </c>
      <c r="E82" s="130" t="str">
        <f>IF(booking!H82&gt;0,"oc","va")</f>
        <v>oc</v>
      </c>
      <c r="F82" s="131" t="str">
        <f>IF(booking!I82&gt;0,"oc","va")</f>
        <v>oc</v>
      </c>
      <c r="G82" s="130" t="str">
        <f>IF(booking!L82&gt;0,"oc","va")</f>
        <v>oc</v>
      </c>
      <c r="H82" s="131" t="str">
        <f>IF(booking!M82&gt;0,"oc","va")</f>
        <v>va</v>
      </c>
      <c r="I82" s="130" t="str">
        <f>IF(booking!P82&gt;0,"oc","va")</f>
        <v>oc</v>
      </c>
      <c r="J82" s="131" t="str">
        <f>IF(booking!Q82&gt;0,"oc","va")</f>
        <v>oc</v>
      </c>
      <c r="K82" s="130" t="str">
        <f>IF(booking!T82&gt;0,"oc","va")</f>
        <v>oc</v>
      </c>
      <c r="L82" s="131" t="str">
        <f>IF(booking!U82&gt;0,"oc","va")</f>
        <v>oc</v>
      </c>
      <c r="M82" s="130" t="str">
        <f>IF(booking!X82&gt;0,"oc","va")</f>
        <v>va</v>
      </c>
      <c r="N82" s="131" t="str">
        <f>IF(booking!Y82&gt;0,"oc","va")</f>
        <v>va</v>
      </c>
    </row>
    <row r="83" spans="1:14" x14ac:dyDescent="0.35">
      <c r="A83" s="5">
        <f>booking!C83</f>
        <v>46220</v>
      </c>
      <c r="B83" s="6"/>
      <c r="C83" s="130" t="str">
        <f>IF(booking!D83&gt;0,"oc","va")</f>
        <v>oc</v>
      </c>
      <c r="D83" s="131" t="str">
        <f>IF(booking!E83&gt;0,"oc","va")</f>
        <v>oc</v>
      </c>
      <c r="E83" s="130" t="str">
        <f>IF(booking!H83&gt;0,"oc","va")</f>
        <v>oc</v>
      </c>
      <c r="F83" s="131" t="str">
        <f>IF(booking!I83&gt;0,"oc","va")</f>
        <v>oc</v>
      </c>
      <c r="G83" s="130" t="str">
        <f>IF(booking!L83&gt;0,"oc","va")</f>
        <v>va</v>
      </c>
      <c r="H83" s="131" t="str">
        <f>IF(booking!M83&gt;0,"oc","va")</f>
        <v>va</v>
      </c>
      <c r="I83" s="130" t="str">
        <f>IF(booking!P83&gt;0,"oc","va")</f>
        <v>oc</v>
      </c>
      <c r="J83" s="131" t="str">
        <f>IF(booking!Q83&gt;0,"oc","va")</f>
        <v>oc</v>
      </c>
      <c r="K83" s="130" t="str">
        <f>IF(booking!T83&gt;0,"oc","va")</f>
        <v>oc</v>
      </c>
      <c r="L83" s="131" t="str">
        <f>IF(booking!U83&gt;0,"oc","va")</f>
        <v>oc</v>
      </c>
      <c r="M83" s="130" t="str">
        <f>IF(booking!X83&gt;0,"oc","va")</f>
        <v>va</v>
      </c>
      <c r="N83" s="131" t="str">
        <f>IF(booking!Y83&gt;0,"oc","va")</f>
        <v>va</v>
      </c>
    </row>
    <row r="84" spans="1:14" x14ac:dyDescent="0.35">
      <c r="A84" s="5">
        <f>booking!C84</f>
        <v>46221</v>
      </c>
      <c r="B84" s="6"/>
      <c r="C84" s="130" t="str">
        <f>IF(booking!D84&gt;0,"oc","va")</f>
        <v>oc</v>
      </c>
      <c r="D84" s="131" t="str">
        <f>IF(booking!E84&gt;0,"oc","va")</f>
        <v>oc</v>
      </c>
      <c r="E84" s="130" t="str">
        <f>IF(booking!H84&gt;0,"oc","va")</f>
        <v>oc</v>
      </c>
      <c r="F84" s="131" t="str">
        <f>IF(booking!I84&gt;0,"oc","va")</f>
        <v>va</v>
      </c>
      <c r="G84" s="130" t="str">
        <f>IF(booking!L84&gt;0,"oc","va")</f>
        <v>va</v>
      </c>
      <c r="H84" s="131" t="str">
        <f>IF(booking!M84&gt;0,"oc","va")</f>
        <v>oc</v>
      </c>
      <c r="I84" s="130" t="str">
        <f>IF(booking!P84&gt;0,"oc","va")</f>
        <v>oc</v>
      </c>
      <c r="J84" s="131" t="str">
        <f>IF(booking!Q84&gt;0,"oc","va")</f>
        <v>oc</v>
      </c>
      <c r="K84" s="130" t="str">
        <f>IF(booking!T84&gt;0,"oc","va")</f>
        <v>oc</v>
      </c>
      <c r="L84" s="131" t="str">
        <f>IF(booking!U84&gt;0,"oc","va")</f>
        <v>oc</v>
      </c>
      <c r="M84" s="130" t="str">
        <f>IF(booking!X84&gt;0,"oc","va")</f>
        <v>va</v>
      </c>
      <c r="N84" s="131" t="str">
        <f>IF(booking!Y84&gt;0,"oc","va")</f>
        <v>va</v>
      </c>
    </row>
    <row r="85" spans="1:14" x14ac:dyDescent="0.35">
      <c r="A85" s="5">
        <f>booking!C85</f>
        <v>46222</v>
      </c>
      <c r="B85" s="6"/>
      <c r="C85" s="130" t="str">
        <f>IF(booking!D85&gt;0,"oc","va")</f>
        <v>oc</v>
      </c>
      <c r="D85" s="131" t="str">
        <f>IF(booking!E85&gt;0,"oc","va")</f>
        <v>oc</v>
      </c>
      <c r="E85" s="130" t="str">
        <f>IF(booking!H85&gt;0,"oc","va")</f>
        <v>va</v>
      </c>
      <c r="F85" s="131" t="str">
        <f>IF(booking!I85&gt;0,"oc","va")</f>
        <v>oc</v>
      </c>
      <c r="G85" s="130" t="str">
        <f>IF(booking!L85&gt;0,"oc","va")</f>
        <v>oc</v>
      </c>
      <c r="H85" s="131" t="str">
        <f>IF(booking!M85&gt;0,"oc","va")</f>
        <v>oc</v>
      </c>
      <c r="I85" s="130" t="str">
        <f>IF(booking!P85&gt;0,"oc","va")</f>
        <v>oc</v>
      </c>
      <c r="J85" s="131" t="str">
        <f>IF(booking!Q85&gt;0,"oc","va")</f>
        <v>oc</v>
      </c>
      <c r="K85" s="130" t="str">
        <f>IF(booking!T85&gt;0,"oc","va")</f>
        <v>oc</v>
      </c>
      <c r="L85" s="131" t="str">
        <f>IF(booking!U85&gt;0,"oc","va")</f>
        <v>oc</v>
      </c>
      <c r="M85" s="130" t="str">
        <f>IF(booking!X85&gt;0,"oc","va")</f>
        <v>va</v>
      </c>
      <c r="N85" s="131" t="str">
        <f>IF(booking!Y85&gt;0,"oc","va")</f>
        <v>va</v>
      </c>
    </row>
    <row r="86" spans="1:14" x14ac:dyDescent="0.35">
      <c r="A86" s="5">
        <f>booking!C86</f>
        <v>46223</v>
      </c>
      <c r="B86">
        <v>30</v>
      </c>
      <c r="C86" s="130" t="str">
        <f>IF(booking!D86&gt;0,"oc","va")</f>
        <v>oc</v>
      </c>
      <c r="D86" s="131" t="str">
        <f>IF(booking!E86&gt;0,"oc","va")</f>
        <v>oc</v>
      </c>
      <c r="E86" s="130" t="str">
        <f>IF(booking!H86&gt;0,"oc","va")</f>
        <v>oc</v>
      </c>
      <c r="F86" s="131" t="str">
        <f>IF(booking!I86&gt;0,"oc","va")</f>
        <v>oc</v>
      </c>
      <c r="G86" s="130" t="str">
        <f>IF(booking!L86&gt;0,"oc","va")</f>
        <v>oc</v>
      </c>
      <c r="H86" s="131" t="str">
        <f>IF(booking!M86&gt;0,"oc","va")</f>
        <v>oc</v>
      </c>
      <c r="I86" s="130" t="str">
        <f>IF(booking!P86&gt;0,"oc","va")</f>
        <v>oc</v>
      </c>
      <c r="J86" s="131" t="str">
        <f>IF(booking!Q86&gt;0,"oc","va")</f>
        <v>oc</v>
      </c>
      <c r="K86" s="130" t="str">
        <f>IF(booking!T86&gt;0,"oc","va")</f>
        <v>oc</v>
      </c>
      <c r="L86" s="131" t="str">
        <f>IF(booking!U86&gt;0,"oc","va")</f>
        <v>oc</v>
      </c>
      <c r="M86" s="130" t="str">
        <f>IF(booking!X86&gt;0,"oc","va")</f>
        <v>va</v>
      </c>
      <c r="N86" s="131" t="str">
        <f>IF(booking!Y86&gt;0,"oc","va")</f>
        <v>va</v>
      </c>
    </row>
    <row r="87" spans="1:14" x14ac:dyDescent="0.35">
      <c r="A87" s="5">
        <f>booking!C87</f>
        <v>46224</v>
      </c>
      <c r="B87" s="6"/>
      <c r="C87" s="130" t="str">
        <f>IF(booking!D87&gt;0,"oc","va")</f>
        <v>oc</v>
      </c>
      <c r="D87" s="131" t="str">
        <f>IF(booking!E87&gt;0,"oc","va")</f>
        <v>oc</v>
      </c>
      <c r="E87" s="130" t="str">
        <f>IF(booking!H87&gt;0,"oc","va")</f>
        <v>oc</v>
      </c>
      <c r="F87" s="131" t="str">
        <f>IF(booking!I87&gt;0,"oc","va")</f>
        <v>oc</v>
      </c>
      <c r="G87" s="130" t="str">
        <f>IF(booking!L87&gt;0,"oc","va")</f>
        <v>oc</v>
      </c>
      <c r="H87" s="131" t="str">
        <f>IF(booking!M87&gt;0,"oc","va")</f>
        <v>oc</v>
      </c>
      <c r="I87" s="130" t="str">
        <f>IF(booking!P87&gt;0,"oc","va")</f>
        <v>oc</v>
      </c>
      <c r="J87" s="131" t="str">
        <f>IF(booking!Q87&gt;0,"oc","va")</f>
        <v>oc</v>
      </c>
      <c r="K87" s="130" t="str">
        <f>IF(booking!T87&gt;0,"oc","va")</f>
        <v>oc</v>
      </c>
      <c r="L87" s="131" t="str">
        <f>IF(booking!U87&gt;0,"oc","va")</f>
        <v>oc</v>
      </c>
      <c r="M87" s="130" t="str">
        <f>IF(booking!X87&gt;0,"oc","va")</f>
        <v>va</v>
      </c>
      <c r="N87" s="131" t="str">
        <f>IF(booking!Y87&gt;0,"oc","va")</f>
        <v>va</v>
      </c>
    </row>
    <row r="88" spans="1:14" x14ac:dyDescent="0.35">
      <c r="A88" s="5">
        <f>booking!C88</f>
        <v>46225</v>
      </c>
      <c r="B88" s="6"/>
      <c r="C88" s="130" t="str">
        <f>IF(booking!D88&gt;0,"oc","va")</f>
        <v>oc</v>
      </c>
      <c r="D88" s="131" t="str">
        <f>IF(booking!E88&gt;0,"oc","va")</f>
        <v>oc</v>
      </c>
      <c r="E88" s="130" t="str">
        <f>IF(booking!H88&gt;0,"oc","va")</f>
        <v>oc</v>
      </c>
      <c r="F88" s="131" t="str">
        <f>IF(booking!I88&gt;0,"oc","va")</f>
        <v>oc</v>
      </c>
      <c r="G88" s="130" t="str">
        <f>IF(booking!L88&gt;0,"oc","va")</f>
        <v>oc</v>
      </c>
      <c r="H88" s="131" t="str">
        <f>IF(booking!M88&gt;0,"oc","va")</f>
        <v>oc</v>
      </c>
      <c r="I88" s="130" t="str">
        <f>IF(booking!P88&gt;0,"oc","va")</f>
        <v>oc</v>
      </c>
      <c r="J88" s="131" t="str">
        <f>IF(booking!Q88&gt;0,"oc","va")</f>
        <v>oc</v>
      </c>
      <c r="K88" s="130" t="str">
        <f>IF(booking!T88&gt;0,"oc","va")</f>
        <v>oc</v>
      </c>
      <c r="L88" s="131" t="str">
        <f>IF(booking!U88&gt;0,"oc","va")</f>
        <v>oc</v>
      </c>
      <c r="M88" s="130" t="str">
        <f>IF(booking!X88&gt;0,"oc","va")</f>
        <v>va</v>
      </c>
      <c r="N88" s="131" t="str">
        <f>IF(booking!Y88&gt;0,"oc","va")</f>
        <v>va</v>
      </c>
    </row>
    <row r="89" spans="1:14" x14ac:dyDescent="0.35">
      <c r="A89" s="5">
        <f>booking!C89</f>
        <v>46226</v>
      </c>
      <c r="B89" s="6" t="s">
        <v>155</v>
      </c>
      <c r="C89" s="130" t="str">
        <f>IF(booking!D89&gt;0,"oc","va")</f>
        <v>oc</v>
      </c>
      <c r="D89" s="131" t="str">
        <f>IF(booking!E89&gt;0,"oc","va")</f>
        <v>oc</v>
      </c>
      <c r="E89" s="130" t="str">
        <f>IF(booking!H89&gt;0,"oc","va")</f>
        <v>oc</v>
      </c>
      <c r="F89" s="131" t="str">
        <f>IF(booking!I89&gt;0,"oc","va")</f>
        <v>oc</v>
      </c>
      <c r="G89" s="130" t="str">
        <f>IF(booking!L89&gt;0,"oc","va")</f>
        <v>oc</v>
      </c>
      <c r="H89" s="131" t="str">
        <f>IF(booking!M89&gt;0,"oc","va")</f>
        <v>oc</v>
      </c>
      <c r="I89" s="130" t="str">
        <f>IF(booking!P89&gt;0,"oc","va")</f>
        <v>oc</v>
      </c>
      <c r="J89" s="131" t="str">
        <f>IF(booking!Q89&gt;0,"oc","va")</f>
        <v>oc</v>
      </c>
      <c r="K89" s="130" t="str">
        <f>IF(booking!T89&gt;0,"oc","va")</f>
        <v>oc</v>
      </c>
      <c r="L89" s="131" t="str">
        <f>IF(booking!U89&gt;0,"oc","va")</f>
        <v>oc</v>
      </c>
      <c r="M89" s="130" t="str">
        <f>IF(booking!X89&gt;0,"oc","va")</f>
        <v>va</v>
      </c>
      <c r="N89" s="131" t="str">
        <f>IF(booking!Y89&gt;0,"oc","va")</f>
        <v>va</v>
      </c>
    </row>
    <row r="90" spans="1:14" x14ac:dyDescent="0.35">
      <c r="A90" s="5">
        <f>booking!C90</f>
        <v>46227</v>
      </c>
      <c r="B90" s="6"/>
      <c r="C90" s="130" t="str">
        <f>IF(booking!D90&gt;0,"oc","va")</f>
        <v>oc</v>
      </c>
      <c r="D90" s="131" t="str">
        <f>IF(booking!E90&gt;0,"oc","va")</f>
        <v>oc</v>
      </c>
      <c r="E90" s="130" t="str">
        <f>IF(booking!H90&gt;0,"oc","va")</f>
        <v>oc</v>
      </c>
      <c r="F90" s="131" t="str">
        <f>IF(booking!I90&gt;0,"oc","va")</f>
        <v>va</v>
      </c>
      <c r="G90" s="130" t="str">
        <f>IF(booking!L90&gt;0,"oc","va")</f>
        <v>oc</v>
      </c>
      <c r="H90" s="131" t="str">
        <f>IF(booking!M90&gt;0,"oc","va")</f>
        <v>oc</v>
      </c>
      <c r="I90" s="130" t="str">
        <f>IF(booking!P90&gt;0,"oc","va")</f>
        <v>oc</v>
      </c>
      <c r="J90" s="131" t="str">
        <f>IF(booking!Q90&gt;0,"oc","va")</f>
        <v>oc</v>
      </c>
      <c r="K90" s="130" t="str">
        <f>IF(booking!T90&gt;0,"oc","va")</f>
        <v>oc</v>
      </c>
      <c r="L90" s="131" t="str">
        <f>IF(booking!U90&gt;0,"oc","va")</f>
        <v>oc</v>
      </c>
      <c r="M90" s="130" t="str">
        <f>IF(booking!X90&gt;0,"oc","va")</f>
        <v>va</v>
      </c>
      <c r="N90" s="131" t="str">
        <f>IF(booking!Y90&gt;0,"oc","va")</f>
        <v>va</v>
      </c>
    </row>
    <row r="91" spans="1:14" x14ac:dyDescent="0.35">
      <c r="A91" s="5">
        <f>booking!C91</f>
        <v>46228</v>
      </c>
      <c r="B91" s="6"/>
      <c r="C91" s="130" t="str">
        <f>IF(booking!D91&gt;0,"oc","va")</f>
        <v>oc</v>
      </c>
      <c r="D91" s="131" t="str">
        <f>IF(booking!E91&gt;0,"oc","va")</f>
        <v>oc</v>
      </c>
      <c r="E91" s="130" t="str">
        <f>IF(booking!H91&gt;0,"oc","va")</f>
        <v>va</v>
      </c>
      <c r="F91" s="131" t="str">
        <f>IF(booking!I91&gt;0,"oc","va")</f>
        <v>va</v>
      </c>
      <c r="G91" s="130" t="str">
        <f>IF(booking!L91&gt;0,"oc","va")</f>
        <v>oc</v>
      </c>
      <c r="H91" s="131" t="str">
        <f>IF(booking!M91&gt;0,"oc","va")</f>
        <v>va</v>
      </c>
      <c r="I91" s="130" t="str">
        <f>IF(booking!P91&gt;0,"oc","va")</f>
        <v>oc</v>
      </c>
      <c r="J91" s="131" t="str">
        <f>IF(booking!Q91&gt;0,"oc","va")</f>
        <v>va</v>
      </c>
      <c r="K91" s="130" t="str">
        <f>IF(booking!T91&gt;0,"oc","va")</f>
        <v>oc</v>
      </c>
      <c r="L91" s="131" t="str">
        <f>IF(booking!U91&gt;0,"oc","va")</f>
        <v>oc</v>
      </c>
      <c r="M91" s="130" t="str">
        <f>IF(booking!X91&gt;0,"oc","va")</f>
        <v>va</v>
      </c>
      <c r="N91" s="131" t="str">
        <f>IF(booking!Y91&gt;0,"oc","va")</f>
        <v>va</v>
      </c>
    </row>
    <row r="92" spans="1:14" x14ac:dyDescent="0.35">
      <c r="A92" s="5">
        <f>booking!C92</f>
        <v>46229</v>
      </c>
      <c r="B92" s="6"/>
      <c r="C92" s="130" t="str">
        <f>IF(booking!D92&gt;0,"oc","va")</f>
        <v>oc</v>
      </c>
      <c r="D92" s="131" t="str">
        <f>IF(booking!E92&gt;0,"oc","va")</f>
        <v>va</v>
      </c>
      <c r="E92" s="130" t="str">
        <f>IF(booking!H92&gt;0,"oc","va")</f>
        <v>va</v>
      </c>
      <c r="F92" s="131" t="str">
        <f>IF(booking!I92&gt;0,"oc","va")</f>
        <v>va</v>
      </c>
      <c r="G92" s="130" t="str">
        <f>IF(booking!L92&gt;0,"oc","va")</f>
        <v>va</v>
      </c>
      <c r="H92" s="131" t="str">
        <f>IF(booking!M92&gt;0,"oc","va")</f>
        <v>oc</v>
      </c>
      <c r="I92" s="130" t="str">
        <f>IF(booking!P92&gt;0,"oc","va")</f>
        <v>va</v>
      </c>
      <c r="J92" s="131" t="str">
        <f>IF(booking!Q92&gt;0,"oc","va")</f>
        <v>oc</v>
      </c>
      <c r="K92" s="130" t="str">
        <f>IF(booking!T92&gt;0,"oc","va")</f>
        <v>oc</v>
      </c>
      <c r="L92" s="131" t="str">
        <f>IF(booking!U92&gt;0,"oc","va")</f>
        <v>oc</v>
      </c>
      <c r="M92" s="130" t="str">
        <f>IF(booking!X92&gt;0,"oc","va")</f>
        <v>va</v>
      </c>
      <c r="N92" s="131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30" t="str">
        <f>IF(booking!D93&gt;0,"oc","va")</f>
        <v>va</v>
      </c>
      <c r="D93" s="131" t="str">
        <f>IF(booking!E93&gt;0,"oc","va")</f>
        <v>oc</v>
      </c>
      <c r="E93" s="130" t="str">
        <f>IF(booking!H93&gt;0,"oc","va")</f>
        <v>va</v>
      </c>
      <c r="F93" s="131" t="str">
        <f>IF(booking!I93&gt;0,"oc","va")</f>
        <v>oc</v>
      </c>
      <c r="G93" s="130" t="str">
        <f>IF(booking!L93&gt;0,"oc","va")</f>
        <v>oc</v>
      </c>
      <c r="H93" s="131" t="str">
        <f>IF(booking!M93&gt;0,"oc","va")</f>
        <v>oc</v>
      </c>
      <c r="I93" s="130" t="str">
        <f>IF(booking!P93&gt;0,"oc","va")</f>
        <v>oc</v>
      </c>
      <c r="J93" s="131" t="str">
        <f>IF(booking!Q93&gt;0,"oc","va")</f>
        <v>oc</v>
      </c>
      <c r="K93" s="130" t="str">
        <f>IF(booking!T93&gt;0,"oc","va")</f>
        <v>oc</v>
      </c>
      <c r="L93" s="131" t="str">
        <f>IF(booking!U93&gt;0,"oc","va")</f>
        <v>oc</v>
      </c>
      <c r="M93" s="130" t="str">
        <f>IF(booking!X93&gt;0,"oc","va")</f>
        <v>va</v>
      </c>
      <c r="N93" s="131" t="str">
        <f>IF(booking!Y93&gt;0,"oc","va")</f>
        <v>va</v>
      </c>
    </row>
    <row r="94" spans="1:14" x14ac:dyDescent="0.35">
      <c r="A94" s="5">
        <f>booking!C94</f>
        <v>46231</v>
      </c>
      <c r="B94" s="6"/>
      <c r="C94" s="130" t="str">
        <f>IF(booking!D94&gt;0,"oc","va")</f>
        <v>oc</v>
      </c>
      <c r="D94" s="131" t="str">
        <f>IF(booking!E94&gt;0,"oc","va")</f>
        <v>oc</v>
      </c>
      <c r="E94" s="130" t="str">
        <f>IF(booking!H94&gt;0,"oc","va")</f>
        <v>oc</v>
      </c>
      <c r="F94" s="131" t="str">
        <f>IF(booking!I94&gt;0,"oc","va")</f>
        <v>oc</v>
      </c>
      <c r="G94" s="130" t="str">
        <f>IF(booking!L94&gt;0,"oc","va")</f>
        <v>oc</v>
      </c>
      <c r="H94" s="131" t="str">
        <f>IF(booking!M94&gt;0,"oc","va")</f>
        <v>oc</v>
      </c>
      <c r="I94" s="130" t="str">
        <f>IF(booking!P94&gt;0,"oc","va")</f>
        <v>oc</v>
      </c>
      <c r="J94" s="131" t="str">
        <f>IF(booking!Q94&gt;0,"oc","va")</f>
        <v>oc</v>
      </c>
      <c r="K94" s="130" t="str">
        <f>IF(booking!T94&gt;0,"oc","va")</f>
        <v>oc</v>
      </c>
      <c r="L94" s="131" t="str">
        <f>IF(booking!U94&gt;0,"oc","va")</f>
        <v>oc</v>
      </c>
      <c r="M94" s="130" t="str">
        <f>IF(booking!X94&gt;0,"oc","va")</f>
        <v>va</v>
      </c>
      <c r="N94" s="131" t="str">
        <f>IF(booking!Y94&gt;0,"oc","va")</f>
        <v>va</v>
      </c>
    </row>
    <row r="95" spans="1:14" x14ac:dyDescent="0.35">
      <c r="A95" s="5">
        <f>booking!C95</f>
        <v>46232</v>
      </c>
      <c r="B95" s="6"/>
      <c r="C95" s="130" t="str">
        <f>IF(booking!D95&gt;0,"oc","va")</f>
        <v>oc</v>
      </c>
      <c r="D95" s="131" t="str">
        <f>IF(booking!E95&gt;0,"oc","va")</f>
        <v>oc</v>
      </c>
      <c r="E95" s="130" t="str">
        <f>IF(booking!H95&gt;0,"oc","va")</f>
        <v>oc</v>
      </c>
      <c r="F95" s="131" t="str">
        <f>IF(booking!I95&gt;0,"oc","va")</f>
        <v>oc</v>
      </c>
      <c r="G95" s="130" t="str">
        <f>IF(booking!L95&gt;0,"oc","va")</f>
        <v>oc</v>
      </c>
      <c r="H95" s="131" t="str">
        <f>IF(booking!M95&gt;0,"oc","va")</f>
        <v>oc</v>
      </c>
      <c r="I95" s="130" t="str">
        <f>IF(booking!P95&gt;0,"oc","va")</f>
        <v>oc</v>
      </c>
      <c r="J95" s="131" t="str">
        <f>IF(booking!Q95&gt;0,"oc","va")</f>
        <v>oc</v>
      </c>
      <c r="K95" s="130" t="str">
        <f>IF(booking!T95&gt;0,"oc","va")</f>
        <v>oc</v>
      </c>
      <c r="L95" s="131" t="str">
        <f>IF(booking!U95&gt;0,"oc","va")</f>
        <v>oc</v>
      </c>
      <c r="M95" s="130" t="str">
        <f>IF(booking!X95&gt;0,"oc","va")</f>
        <v>va</v>
      </c>
      <c r="N95" s="131" t="str">
        <f>IF(booking!Y95&gt;0,"oc","va")</f>
        <v>oc</v>
      </c>
    </row>
    <row r="96" spans="1:14" x14ac:dyDescent="0.35">
      <c r="A96" s="5">
        <f>booking!C96</f>
        <v>46233</v>
      </c>
      <c r="B96" s="6"/>
      <c r="C96" s="130" t="str">
        <f>IF(booking!D96&gt;0,"oc","va")</f>
        <v>oc</v>
      </c>
      <c r="D96" s="131" t="str">
        <f>IF(booking!E96&gt;0,"oc","va")</f>
        <v>oc</v>
      </c>
      <c r="E96" s="130" t="str">
        <f>IF(booking!H96&gt;0,"oc","va")</f>
        <v>oc</v>
      </c>
      <c r="F96" s="131" t="str">
        <f>IF(booking!I96&gt;0,"oc","va")</f>
        <v>oc</v>
      </c>
      <c r="G96" s="130" t="str">
        <f>IF(booking!L96&gt;0,"oc","va")</f>
        <v>oc</v>
      </c>
      <c r="H96" s="131" t="str">
        <f>IF(booking!M96&gt;0,"oc","va")</f>
        <v>oc</v>
      </c>
      <c r="I96" s="130" t="str">
        <f>IF(booking!P96&gt;0,"oc","va")</f>
        <v>oc</v>
      </c>
      <c r="J96" s="131" t="str">
        <f>IF(booking!Q96&gt;0,"oc","va")</f>
        <v>oc</v>
      </c>
      <c r="K96" s="130" t="str">
        <f>IF(booking!T96&gt;0,"oc","va")</f>
        <v>oc</v>
      </c>
      <c r="L96" s="131" t="str">
        <f>IF(booking!U96&gt;0,"oc","va")</f>
        <v>oc</v>
      </c>
      <c r="M96" s="130" t="str">
        <f>IF(booking!X96&gt;0,"oc","va")</f>
        <v>oc</v>
      </c>
      <c r="N96" s="131" t="str">
        <f>IF(booking!Y96&gt;0,"oc","va")</f>
        <v>va</v>
      </c>
    </row>
    <row r="97" spans="1:14" x14ac:dyDescent="0.35">
      <c r="A97" s="5">
        <f>booking!C97</f>
        <v>46234</v>
      </c>
      <c r="B97" s="6"/>
      <c r="C97" s="130" t="str">
        <f>IF(booking!D97&gt;0,"oc","va")</f>
        <v>oc</v>
      </c>
      <c r="D97" s="131" t="str">
        <f>IF(booking!E97&gt;0,"oc","va")</f>
        <v>oc</v>
      </c>
      <c r="E97" s="130" t="str">
        <f>IF(booking!H97&gt;0,"oc","va")</f>
        <v>oc</v>
      </c>
      <c r="F97" s="131" t="str">
        <f>IF(booking!I97&gt;0,"oc","va")</f>
        <v>va</v>
      </c>
      <c r="G97" s="130" t="str">
        <f>IF(booking!L97&gt;0,"oc","va")</f>
        <v>oc</v>
      </c>
      <c r="H97" s="131" t="str">
        <f>IF(booking!M97&gt;0,"oc","va")</f>
        <v>oc</v>
      </c>
      <c r="I97" s="130" t="str">
        <f>IF(booking!P97&gt;0,"oc","va")</f>
        <v>oc</v>
      </c>
      <c r="J97" s="131" t="str">
        <f>IF(booking!Q97&gt;0,"oc","va")</f>
        <v>oc</v>
      </c>
      <c r="K97" s="130" t="str">
        <f>IF(booking!T97&gt;0,"oc","va")</f>
        <v>oc</v>
      </c>
      <c r="L97" s="131" t="str">
        <f>IF(booking!U97&gt;0,"oc","va")</f>
        <v>oc</v>
      </c>
      <c r="M97" s="130" t="str">
        <f>IF(booking!X97&gt;0,"oc","va")</f>
        <v>va</v>
      </c>
      <c r="N97" s="131" t="str">
        <f>IF(booking!Y97&gt;0,"oc","va")</f>
        <v>va</v>
      </c>
    </row>
    <row r="98" spans="1:14" x14ac:dyDescent="0.35">
      <c r="A98" s="5">
        <f>booking!C98</f>
        <v>46235</v>
      </c>
      <c r="B98" s="6"/>
      <c r="C98" s="130" t="str">
        <f>IF(booking!D98&gt;0,"oc","va")</f>
        <v>oc</v>
      </c>
      <c r="D98" s="131" t="str">
        <f>IF(booking!E98&gt;0,"oc","va")</f>
        <v>oc</v>
      </c>
      <c r="E98" s="130" t="str">
        <f>IF(booking!H98&gt;0,"oc","va")</f>
        <v>va</v>
      </c>
      <c r="F98" s="131" t="str">
        <f>IF(booking!I98&gt;0,"oc","va")</f>
        <v>va</v>
      </c>
      <c r="G98" s="130" t="str">
        <f>IF(booking!L98&gt;0,"oc","va")</f>
        <v>oc</v>
      </c>
      <c r="H98" s="131" t="str">
        <f>IF(booking!M98&gt;0,"oc","va")</f>
        <v>oc</v>
      </c>
      <c r="I98" s="130" t="str">
        <f>IF(booking!P98&gt;0,"oc","va")</f>
        <v>oc</v>
      </c>
      <c r="J98" s="131" t="str">
        <f>IF(booking!Q98&gt;0,"oc","va")</f>
        <v>oc</v>
      </c>
      <c r="K98" s="130" t="str">
        <f>IF(booking!T98&gt;0,"oc","va")</f>
        <v>oc</v>
      </c>
      <c r="L98" s="131" t="str">
        <f>IF(booking!U98&gt;0,"oc","va")</f>
        <v>va</v>
      </c>
      <c r="M98" s="130" t="str">
        <f>IF(booking!X98&gt;0,"oc","va")</f>
        <v>va</v>
      </c>
      <c r="N98" s="131" t="str">
        <f>IF(booking!Y98&gt;0,"oc","va")</f>
        <v>va</v>
      </c>
    </row>
    <row r="99" spans="1:14" x14ac:dyDescent="0.35">
      <c r="A99" s="5">
        <f>booking!C99</f>
        <v>46236</v>
      </c>
      <c r="B99" s="6"/>
      <c r="C99" s="130" t="str">
        <f>IF(booking!D99&gt;0,"oc","va")</f>
        <v>oc</v>
      </c>
      <c r="D99" s="131" t="str">
        <f>IF(booking!E99&gt;0,"oc","va")</f>
        <v>oc</v>
      </c>
      <c r="E99" s="130" t="str">
        <f>IF(booking!H99&gt;0,"oc","va")</f>
        <v>va</v>
      </c>
      <c r="F99" s="131" t="str">
        <f>IF(booking!I99&gt;0,"oc","va")</f>
        <v>oc</v>
      </c>
      <c r="G99" s="130" t="str">
        <f>IF(booking!L99&gt;0,"oc","va")</f>
        <v>oc</v>
      </c>
      <c r="H99" s="131" t="str">
        <f>IF(booking!M99&gt;0,"oc","va")</f>
        <v>oc</v>
      </c>
      <c r="I99" s="130" t="str">
        <f>IF(booking!P99&gt;0,"oc","va")</f>
        <v>oc</v>
      </c>
      <c r="J99" s="131" t="str">
        <f>IF(booking!Q99&gt;0,"oc","va")</f>
        <v>oc</v>
      </c>
      <c r="K99" s="130" t="str">
        <f>IF(booking!T99&gt;0,"oc","va")</f>
        <v>va</v>
      </c>
      <c r="L99" s="131" t="str">
        <f>IF(booking!U99&gt;0,"oc","va")</f>
        <v>va</v>
      </c>
      <c r="M99" s="130" t="str">
        <f>IF(booking!X99&gt;0,"oc","va")</f>
        <v>va</v>
      </c>
      <c r="N99" s="131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30" t="str">
        <f>IF(booking!D100&gt;0,"oc","va")</f>
        <v>oc</v>
      </c>
      <c r="D100" s="131" t="str">
        <f>IF(booking!E100&gt;0,"oc","va")</f>
        <v>oc</v>
      </c>
      <c r="E100" s="130" t="str">
        <f>IF(booking!H100&gt;0,"oc","va")</f>
        <v>oc</v>
      </c>
      <c r="F100" s="131" t="str">
        <f>IF(booking!I100&gt;0,"oc","va")</f>
        <v>oc</v>
      </c>
      <c r="G100" s="130" t="str">
        <f>IF(booking!L100&gt;0,"oc","va")</f>
        <v>oc</v>
      </c>
      <c r="H100" s="131" t="str">
        <f>IF(booking!M100&gt;0,"oc","va")</f>
        <v>oc</v>
      </c>
      <c r="I100" s="130" t="str">
        <f>IF(booking!P100&gt;0,"oc","va")</f>
        <v>oc</v>
      </c>
      <c r="J100" s="131" t="str">
        <f>IF(booking!Q100&gt;0,"oc","va")</f>
        <v>oc</v>
      </c>
      <c r="K100" s="130" t="str">
        <f>IF(booking!T100&gt;0,"oc","va")</f>
        <v>va</v>
      </c>
      <c r="L100" s="131" t="str">
        <f>IF(booking!U100&gt;0,"oc","va")</f>
        <v>oc</v>
      </c>
      <c r="M100" s="130" t="str">
        <f>IF(booking!X100&gt;0,"oc","va")</f>
        <v>va</v>
      </c>
      <c r="N100" s="131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30" t="str">
        <f>IF(booking!D101&gt;0,"oc","va")</f>
        <v>oc</v>
      </c>
      <c r="D101" s="131" t="str">
        <f>IF(booking!E101&gt;0,"oc","va")</f>
        <v>oc</v>
      </c>
      <c r="E101" s="130" t="str">
        <f>IF(booking!H101&gt;0,"oc","va")</f>
        <v>oc</v>
      </c>
      <c r="F101" s="131" t="str">
        <f>IF(booking!I101&gt;0,"oc","va")</f>
        <v>oc</v>
      </c>
      <c r="G101" s="130" t="str">
        <f>IF(booking!L101&gt;0,"oc","va")</f>
        <v>oc</v>
      </c>
      <c r="H101" s="131" t="str">
        <f>IF(booking!M101&gt;0,"oc","va")</f>
        <v>oc</v>
      </c>
      <c r="I101" s="130" t="str">
        <f>IF(booking!P101&gt;0,"oc","va")</f>
        <v>oc</v>
      </c>
      <c r="J101" s="131" t="str">
        <f>IF(booking!Q101&gt;0,"oc","va")</f>
        <v>va</v>
      </c>
      <c r="K101" s="130" t="str">
        <f>IF(booking!T101&gt;0,"oc","va")</f>
        <v>oc</v>
      </c>
      <c r="L101" s="131" t="str">
        <f>IF(booking!U101&gt;0,"oc","va")</f>
        <v>oc</v>
      </c>
      <c r="M101" s="130" t="str">
        <f>IF(booking!X101&gt;0,"oc","va")</f>
        <v>va</v>
      </c>
      <c r="N101" s="131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30" t="str">
        <f>IF(booking!D102&gt;0,"oc","va")</f>
        <v>oc</v>
      </c>
      <c r="D102" s="131" t="str">
        <f>IF(booking!E102&gt;0,"oc","va")</f>
        <v>oc</v>
      </c>
      <c r="E102" s="130" t="str">
        <f>IF(booking!H102&gt;0,"oc","va")</f>
        <v>oc</v>
      </c>
      <c r="F102" s="131" t="str">
        <f>IF(booking!I102&gt;0,"oc","va")</f>
        <v>oc</v>
      </c>
      <c r="G102" s="130" t="str">
        <f>IF(booking!L102&gt;0,"oc","va")</f>
        <v>oc</v>
      </c>
      <c r="H102" s="131" t="str">
        <f>IF(booking!M102&gt;0,"oc","va")</f>
        <v>oc</v>
      </c>
      <c r="I102" s="130" t="str">
        <f>IF(booking!P102&gt;0,"oc","va")</f>
        <v>va</v>
      </c>
      <c r="J102" s="131" t="str">
        <f>IF(booking!Q102&gt;0,"oc","va")</f>
        <v>va</v>
      </c>
      <c r="K102" s="130" t="str">
        <f>IF(booking!T102&gt;0,"oc","va")</f>
        <v>oc</v>
      </c>
      <c r="L102" s="131" t="str">
        <f>IF(booking!U102&gt;0,"oc","va")</f>
        <v>oc</v>
      </c>
      <c r="M102" s="130" t="str">
        <f>IF(booking!X102&gt;0,"oc","va")</f>
        <v>va</v>
      </c>
      <c r="N102" s="131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30" t="str">
        <f>IF(booking!D103&gt;0,"oc","va")</f>
        <v>oc</v>
      </c>
      <c r="D103" s="131" t="str">
        <f>IF(booking!E103&gt;0,"oc","va")</f>
        <v>oc</v>
      </c>
      <c r="E103" s="130" t="str">
        <f>IF(booking!H103&gt;0,"oc","va")</f>
        <v>oc</v>
      </c>
      <c r="F103" s="131" t="str">
        <f>IF(booking!I103&gt;0,"oc","va")</f>
        <v>oc</v>
      </c>
      <c r="G103" s="130" t="str">
        <f>IF(booking!L103&gt;0,"oc","va")</f>
        <v>oc</v>
      </c>
      <c r="H103" s="131" t="str">
        <f>IF(booking!M103&gt;0,"oc","va")</f>
        <v>oc</v>
      </c>
      <c r="I103" s="130" t="str">
        <f>IF(booking!P103&gt;0,"oc","va")</f>
        <v>va</v>
      </c>
      <c r="J103" s="131" t="str">
        <f>IF(booking!Q103&gt;0,"oc","va")</f>
        <v>oc</v>
      </c>
      <c r="K103" s="130" t="str">
        <f>IF(booking!T103&gt;0,"oc","va")</f>
        <v>oc</v>
      </c>
      <c r="L103" s="131" t="str">
        <f>IF(booking!U103&gt;0,"oc","va")</f>
        <v>oc</v>
      </c>
      <c r="M103" s="130" t="str">
        <f>IF(booking!X103&gt;0,"oc","va")</f>
        <v>va</v>
      </c>
      <c r="N103" s="131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30" t="str">
        <f>IF(booking!D104&gt;0,"oc","va")</f>
        <v>oc</v>
      </c>
      <c r="D104" s="131" t="str">
        <f>IF(booking!E104&gt;0,"oc","va")</f>
        <v>oc</v>
      </c>
      <c r="E104" s="130" t="str">
        <f>IF(booking!H104&gt;0,"oc","va")</f>
        <v>oc</v>
      </c>
      <c r="F104" s="131" t="str">
        <f>IF(booking!I104&gt;0,"oc","va")</f>
        <v>oc</v>
      </c>
      <c r="G104" s="130" t="str">
        <f>IF(booking!L104&gt;0,"oc","va")</f>
        <v>oc</v>
      </c>
      <c r="H104" s="131" t="str">
        <f>IF(booking!M104&gt;0,"oc","va")</f>
        <v>oc</v>
      </c>
      <c r="I104" s="130" t="str">
        <f>IF(booking!P104&gt;0,"oc","va")</f>
        <v>oc</v>
      </c>
      <c r="J104" s="131" t="str">
        <f>IF(booking!Q104&gt;0,"oc","va")</f>
        <v>oc</v>
      </c>
      <c r="K104" s="130" t="str">
        <f>IF(booking!T104&gt;0,"oc","va")</f>
        <v>oc</v>
      </c>
      <c r="L104" s="131" t="str">
        <f>IF(booking!U104&gt;0,"oc","va")</f>
        <v>oc</v>
      </c>
      <c r="M104" s="130" t="str">
        <f>IF(booking!X104&gt;0,"oc","va")</f>
        <v>va</v>
      </c>
      <c r="N104" s="131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30" t="str">
        <f>IF(booking!D105&gt;0,"oc","va")</f>
        <v>oc</v>
      </c>
      <c r="D105" s="131" t="str">
        <f>IF(booking!E105&gt;0,"oc","va")</f>
        <v>va</v>
      </c>
      <c r="E105" s="130" t="str">
        <f>IF(booking!H105&gt;0,"oc","va")</f>
        <v>oc</v>
      </c>
      <c r="F105" s="131" t="str">
        <f>IF(booking!I105&gt;0,"oc","va")</f>
        <v>oc</v>
      </c>
      <c r="G105" s="130" t="str">
        <f>IF(booking!L105&gt;0,"oc","va")</f>
        <v>oc</v>
      </c>
      <c r="H105" s="131" t="str">
        <f>IF(booking!M105&gt;0,"oc","va")</f>
        <v>oc</v>
      </c>
      <c r="I105" s="130" t="str">
        <f>IF(booking!P105&gt;0,"oc","va")</f>
        <v>oc</v>
      </c>
      <c r="J105" s="131" t="str">
        <f>IF(booking!Q105&gt;0,"oc","va")</f>
        <v>oc</v>
      </c>
      <c r="K105" s="130" t="str">
        <f>IF(booking!T105&gt;0,"oc","va")</f>
        <v>oc</v>
      </c>
      <c r="L105" s="131" t="str">
        <f>IF(booking!U105&gt;0,"oc","va")</f>
        <v>oc</v>
      </c>
      <c r="M105" s="130" t="str">
        <f>IF(booking!X105&gt;0,"oc","va")</f>
        <v>va</v>
      </c>
      <c r="N105" s="131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30" t="str">
        <f>IF(booking!D106&gt;0,"oc","va")</f>
        <v>va</v>
      </c>
      <c r="D106" s="131" t="str">
        <f>IF(booking!E106&gt;0,"oc","va")</f>
        <v>va</v>
      </c>
      <c r="E106" s="130" t="str">
        <f>IF(booking!H106&gt;0,"oc","va")</f>
        <v>oc</v>
      </c>
      <c r="F106" s="131" t="str">
        <f>IF(booking!I106&gt;0,"oc","va")</f>
        <v>oc</v>
      </c>
      <c r="G106" s="130" t="str">
        <f>IF(booking!L106&gt;0,"oc","va")</f>
        <v>oc</v>
      </c>
      <c r="H106" s="131" t="str">
        <f>IF(booking!M106&gt;0,"oc","va")</f>
        <v>oc</v>
      </c>
      <c r="I106" s="130" t="str">
        <f>IF(booking!P106&gt;0,"oc","va")</f>
        <v>oc</v>
      </c>
      <c r="J106" s="131" t="str">
        <f>IF(booking!Q106&gt;0,"oc","va")</f>
        <v>oc</v>
      </c>
      <c r="K106" s="130" t="str">
        <f>IF(booking!T106&gt;0,"oc","va")</f>
        <v>oc</v>
      </c>
      <c r="L106" s="131" t="str">
        <f>IF(booking!U106&gt;0,"oc","va")</f>
        <v>oc</v>
      </c>
      <c r="M106" s="130" t="str">
        <f>IF(booking!X106&gt;0,"oc","va")</f>
        <v>va</v>
      </c>
      <c r="N106" s="131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30" t="str">
        <f>IF(booking!D107&gt;0,"oc","va")</f>
        <v>va</v>
      </c>
      <c r="D107" s="131" t="str">
        <f>IF(booking!E107&gt;0,"oc","va")</f>
        <v>oc</v>
      </c>
      <c r="E107" s="130" t="str">
        <f>IF(booking!H107&gt;0,"oc","va")</f>
        <v>oc</v>
      </c>
      <c r="F107" s="131" t="str">
        <f>IF(booking!I107&gt;0,"oc","va")</f>
        <v>oc</v>
      </c>
      <c r="G107" s="130" t="str">
        <f>IF(booking!L107&gt;0,"oc","va")</f>
        <v>oc</v>
      </c>
      <c r="H107" s="131" t="str">
        <f>IF(booking!M107&gt;0,"oc","va")</f>
        <v>oc</v>
      </c>
      <c r="I107" s="130" t="str">
        <f>IF(booking!P107&gt;0,"oc","va")</f>
        <v>oc</v>
      </c>
      <c r="J107" s="131" t="str">
        <f>IF(booking!Q107&gt;0,"oc","va")</f>
        <v>oc</v>
      </c>
      <c r="K107" s="130" t="str">
        <f>IF(booking!T107&gt;0,"oc","va")</f>
        <v>oc</v>
      </c>
      <c r="L107" s="131" t="str">
        <f>IF(booking!U107&gt;0,"oc","va")</f>
        <v>oc</v>
      </c>
      <c r="M107" s="130" t="str">
        <f>IF(booking!X107&gt;0,"oc","va")</f>
        <v>va</v>
      </c>
      <c r="N107" s="131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30" t="str">
        <f>IF(booking!D108&gt;0,"oc","va")</f>
        <v>oc</v>
      </c>
      <c r="D108" s="131" t="str">
        <f>IF(booking!E108&gt;0,"oc","va")</f>
        <v>oc</v>
      </c>
      <c r="E108" s="130" t="str">
        <f>IF(booking!H108&gt;0,"oc","va")</f>
        <v>oc</v>
      </c>
      <c r="F108" s="131" t="str">
        <f>IF(booking!I108&gt;0,"oc","va")</f>
        <v>oc</v>
      </c>
      <c r="G108" s="130" t="str">
        <f>IF(booking!L108&gt;0,"oc","va")</f>
        <v>oc</v>
      </c>
      <c r="H108" s="131" t="str">
        <f>IF(booking!M108&gt;0,"oc","va")</f>
        <v>oc</v>
      </c>
      <c r="I108" s="130" t="str">
        <f>IF(booking!P108&gt;0,"oc","va")</f>
        <v>oc</v>
      </c>
      <c r="J108" s="131" t="str">
        <f>IF(booking!Q108&gt;0,"oc","va")</f>
        <v>oc</v>
      </c>
      <c r="K108" s="130" t="str">
        <f>IF(booking!T108&gt;0,"oc","va")</f>
        <v>oc</v>
      </c>
      <c r="L108" s="131" t="str">
        <f>IF(booking!U108&gt;0,"oc","va")</f>
        <v>oc</v>
      </c>
      <c r="M108" s="130" t="str">
        <f>IF(booking!X108&gt;0,"oc","va")</f>
        <v>va</v>
      </c>
      <c r="N108" s="131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30" t="str">
        <f>IF(booking!D109&gt;0,"oc","va")</f>
        <v>oc</v>
      </c>
      <c r="D109" s="131" t="str">
        <f>IF(booking!E109&gt;0,"oc","va")</f>
        <v>oc</v>
      </c>
      <c r="E109" s="130" t="str">
        <f>IF(booking!H109&gt;0,"oc","va")</f>
        <v>oc</v>
      </c>
      <c r="F109" s="131" t="str">
        <f>IF(booking!I109&gt;0,"oc","va")</f>
        <v>oc</v>
      </c>
      <c r="G109" s="130" t="str">
        <f>IF(booking!L109&gt;0,"oc","va")</f>
        <v>oc</v>
      </c>
      <c r="H109" s="131" t="str">
        <f>IF(booking!M109&gt;0,"oc","va")</f>
        <v>oc</v>
      </c>
      <c r="I109" s="130" t="str">
        <f>IF(booking!P109&gt;0,"oc","va")</f>
        <v>oc</v>
      </c>
      <c r="J109" s="131" t="str">
        <f>IF(booking!Q109&gt;0,"oc","va")</f>
        <v>oc</v>
      </c>
      <c r="K109" s="130" t="str">
        <f>IF(booking!T109&gt;0,"oc","va")</f>
        <v>oc</v>
      </c>
      <c r="L109" s="131" t="str">
        <f>IF(booking!U109&gt;0,"oc","va")</f>
        <v>oc</v>
      </c>
      <c r="M109" s="130" t="str">
        <f>IF(booking!X109&gt;0,"oc","va")</f>
        <v>va</v>
      </c>
      <c r="N109" s="131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55</v>
      </c>
      <c r="C110" s="130" t="str">
        <f>IF(booking!D110&gt;0,"oc","va")</f>
        <v>oc</v>
      </c>
      <c r="D110" s="131" t="str">
        <f>IF(booking!E110&gt;0,"oc","va")</f>
        <v>oc</v>
      </c>
      <c r="E110" s="130" t="str">
        <f>IF(booking!H110&gt;0,"oc","va")</f>
        <v>oc</v>
      </c>
      <c r="F110" s="131" t="str">
        <f>IF(booking!I110&gt;0,"oc","va")</f>
        <v>oc</v>
      </c>
      <c r="G110" s="130" t="str">
        <f>IF(booking!L110&gt;0,"oc","va")</f>
        <v>oc</v>
      </c>
      <c r="H110" s="131" t="str">
        <f>IF(booking!M110&gt;0,"oc","va")</f>
        <v>oc</v>
      </c>
      <c r="I110" s="130" t="str">
        <f>IF(booking!P110&gt;0,"oc","va")</f>
        <v>oc</v>
      </c>
      <c r="J110" s="131" t="str">
        <f>IF(booking!Q110&gt;0,"oc","va")</f>
        <v>oc</v>
      </c>
      <c r="K110" s="130" t="str">
        <f>IF(booking!T110&gt;0,"oc","va")</f>
        <v>oc</v>
      </c>
      <c r="L110" s="131" t="str">
        <f>IF(booking!U110&gt;0,"oc","va")</f>
        <v>oc</v>
      </c>
      <c r="M110" s="130" t="str">
        <f>IF(booking!X110&gt;0,"oc","va")</f>
        <v>va</v>
      </c>
      <c r="N110" s="131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55</v>
      </c>
      <c r="C111" s="130" t="str">
        <f>IF(booking!D111&gt;0,"oc","va")</f>
        <v>oc</v>
      </c>
      <c r="D111" s="131" t="str">
        <f>IF(booking!E111&gt;0,"oc","va")</f>
        <v>oc</v>
      </c>
      <c r="E111" s="130" t="str">
        <f>IF(booking!H111&gt;0,"oc","va")</f>
        <v>oc</v>
      </c>
      <c r="F111" s="131" t="str">
        <f>IF(booking!I111&gt;0,"oc","va")</f>
        <v>oc</v>
      </c>
      <c r="G111" s="130" t="str">
        <f>IF(booking!L111&gt;0,"oc","va")</f>
        <v>oc</v>
      </c>
      <c r="H111" s="131" t="str">
        <f>IF(booking!M111&gt;0,"oc","va")</f>
        <v>oc</v>
      </c>
      <c r="I111" s="130" t="str">
        <f>IF(booking!P111&gt;0,"oc","va")</f>
        <v>oc</v>
      </c>
      <c r="J111" s="131" t="str">
        <f>IF(booking!Q111&gt;0,"oc","va")</f>
        <v>oc</v>
      </c>
      <c r="K111" s="130" t="str">
        <f>IF(booking!T111&gt;0,"oc","va")</f>
        <v>oc</v>
      </c>
      <c r="L111" s="131" t="str">
        <f>IF(booking!U111&gt;0,"oc","va")</f>
        <v>oc</v>
      </c>
      <c r="M111" s="130" t="str">
        <f>IF(booking!X111&gt;0,"oc","va")</f>
        <v>oc</v>
      </c>
      <c r="N111" s="131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55</v>
      </c>
      <c r="C112" s="130" t="str">
        <f>IF(booking!D112&gt;0,"oc","va")</f>
        <v>oc</v>
      </c>
      <c r="D112" s="131" t="str">
        <f>IF(booking!E112&gt;0,"oc","va")</f>
        <v>oc</v>
      </c>
      <c r="E112" s="130" t="str">
        <f>IF(booking!H112&gt;0,"oc","va")</f>
        <v>oc</v>
      </c>
      <c r="F112" s="131" t="str">
        <f>IF(booking!I112&gt;0,"oc","va")</f>
        <v>oc</v>
      </c>
      <c r="G112" s="130" t="str">
        <f>IF(booking!L112&gt;0,"oc","va")</f>
        <v>oc</v>
      </c>
      <c r="H112" s="131" t="str">
        <f>IF(booking!M112&gt;0,"oc","va")</f>
        <v>oc</v>
      </c>
      <c r="I112" s="130" t="str">
        <f>IF(booking!P112&gt;0,"oc","va")</f>
        <v>oc</v>
      </c>
      <c r="J112" s="131" t="str">
        <f>IF(booking!Q112&gt;0,"oc","va")</f>
        <v>oc</v>
      </c>
      <c r="K112" s="130" t="str">
        <f>IF(booking!T112&gt;0,"oc","va")</f>
        <v>oc</v>
      </c>
      <c r="L112" s="131" t="str">
        <f>IF(booking!U112&gt;0,"oc","va")</f>
        <v>oc</v>
      </c>
      <c r="M112" s="130" t="str">
        <f>IF(booking!X112&gt;0,"oc","va")</f>
        <v>va</v>
      </c>
      <c r="N112" s="131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30" t="str">
        <f>IF(booking!D113&gt;0,"oc","va")</f>
        <v>oc</v>
      </c>
      <c r="D113" s="131" t="str">
        <f>IF(booking!E113&gt;0,"oc","va")</f>
        <v>va</v>
      </c>
      <c r="E113" s="130" t="str">
        <f>IF(booking!H113&gt;0,"oc","va")</f>
        <v>oc</v>
      </c>
      <c r="F113" s="131" t="str">
        <f>IF(booking!I113&gt;0,"oc","va")</f>
        <v>oc</v>
      </c>
      <c r="G113" s="130" t="str">
        <f>IF(booking!L113&gt;0,"oc","va")</f>
        <v>oc</v>
      </c>
      <c r="H113" s="131" t="str">
        <f>IF(booking!M113&gt;0,"oc","va")</f>
        <v>va</v>
      </c>
      <c r="I113" s="130" t="str">
        <f>IF(booking!P113&gt;0,"oc","va")</f>
        <v>oc</v>
      </c>
      <c r="J113" s="131" t="str">
        <f>IF(booking!Q113&gt;0,"oc","va")</f>
        <v>oc</v>
      </c>
      <c r="K113" s="130" t="str">
        <f>IF(booking!T113&gt;0,"oc","va")</f>
        <v>oc</v>
      </c>
      <c r="L113" s="131" t="str">
        <f>IF(booking!U113&gt;0,"oc","va")</f>
        <v>va</v>
      </c>
      <c r="M113" s="130" t="str">
        <f>IF(booking!X113&gt;0,"oc","va")</f>
        <v>va</v>
      </c>
      <c r="N113" s="131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30" t="str">
        <f>IF(booking!D114&gt;0,"oc","va")</f>
        <v>va</v>
      </c>
      <c r="D114" s="131" t="str">
        <f>IF(booking!E114&gt;0,"oc","va")</f>
        <v>oc</v>
      </c>
      <c r="E114" s="130" t="str">
        <f>IF(booking!H114&gt;0,"oc","va")</f>
        <v>oc</v>
      </c>
      <c r="F114" s="131" t="str">
        <f>IF(booking!I114&gt;0,"oc","va")</f>
        <v>oc</v>
      </c>
      <c r="G114" s="130" t="str">
        <f>IF(booking!L114&gt;0,"oc","va")</f>
        <v>va</v>
      </c>
      <c r="H114" s="131" t="str">
        <f>IF(booking!M114&gt;0,"oc","va")</f>
        <v>oc</v>
      </c>
      <c r="I114" s="130" t="str">
        <f>IF(booking!P114&gt;0,"oc","va")</f>
        <v>oc</v>
      </c>
      <c r="J114" s="131" t="str">
        <f>IF(booking!Q114&gt;0,"oc","va")</f>
        <v>oc</v>
      </c>
      <c r="K114" s="130" t="str">
        <f>IF(booking!T114&gt;0,"oc","va")</f>
        <v>va</v>
      </c>
      <c r="L114" s="131" t="str">
        <f>IF(booking!U114&gt;0,"oc","va")</f>
        <v>oc</v>
      </c>
      <c r="M114" s="130" t="str">
        <f>IF(booking!X114&gt;0,"oc","va")</f>
        <v>va</v>
      </c>
      <c r="N114" s="131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30" t="str">
        <f>IF(booking!D115&gt;0,"oc","va")</f>
        <v>oc</v>
      </c>
      <c r="D115" s="131" t="str">
        <f>IF(booking!E115&gt;0,"oc","va")</f>
        <v>oc</v>
      </c>
      <c r="E115" s="130" t="str">
        <f>IF(booking!H115&gt;0,"oc","va")</f>
        <v>oc</v>
      </c>
      <c r="F115" s="131" t="str">
        <f>IF(booking!I115&gt;0,"oc","va")</f>
        <v>va</v>
      </c>
      <c r="G115" s="130" t="str">
        <f>IF(booking!L115&gt;0,"oc","va")</f>
        <v>oc</v>
      </c>
      <c r="H115" s="131" t="str">
        <f>IF(booking!M115&gt;0,"oc","va")</f>
        <v>oc</v>
      </c>
      <c r="I115" s="130" t="str">
        <f>IF(booking!P115&gt;0,"oc","va")</f>
        <v>oc</v>
      </c>
      <c r="J115" s="131" t="str">
        <f>IF(booking!Q115&gt;0,"oc","va")</f>
        <v>oc</v>
      </c>
      <c r="K115" s="130" t="str">
        <f>IF(booking!T115&gt;0,"oc","va")</f>
        <v>oc</v>
      </c>
      <c r="L115" s="131" t="str">
        <f>IF(booking!U115&gt;0,"oc","va")</f>
        <v>oc</v>
      </c>
      <c r="M115" s="130" t="str">
        <f>IF(booking!X115&gt;0,"oc","va")</f>
        <v>va</v>
      </c>
      <c r="N115" s="131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30" t="str">
        <f>IF(booking!D116&gt;0,"oc","va")</f>
        <v>oc</v>
      </c>
      <c r="D116" s="131" t="str">
        <f>IF(booking!E116&gt;0,"oc","va")</f>
        <v>oc</v>
      </c>
      <c r="E116" s="130" t="str">
        <f>IF(booking!H116&gt;0,"oc","va")</f>
        <v>va</v>
      </c>
      <c r="F116" s="131" t="str">
        <f>IF(booking!I116&gt;0,"oc","va")</f>
        <v>va</v>
      </c>
      <c r="G116" s="130" t="str">
        <f>IF(booking!L116&gt;0,"oc","va")</f>
        <v>oc</v>
      </c>
      <c r="H116" s="131" t="str">
        <f>IF(booking!M116&gt;0,"oc","va")</f>
        <v>oc</v>
      </c>
      <c r="I116" s="130" t="str">
        <f>IF(booking!P116&gt;0,"oc","va")</f>
        <v>oc</v>
      </c>
      <c r="J116" s="131" t="str">
        <f>IF(booking!Q116&gt;0,"oc","va")</f>
        <v>oc</v>
      </c>
      <c r="K116" s="130" t="str">
        <f>IF(booking!T116&gt;0,"oc","va")</f>
        <v>oc</v>
      </c>
      <c r="L116" s="131" t="str">
        <f>IF(booking!U116&gt;0,"oc","va")</f>
        <v>oc</v>
      </c>
      <c r="M116" s="130" t="str">
        <f>IF(booking!X116&gt;0,"oc","va")</f>
        <v>va</v>
      </c>
      <c r="N116" s="131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30" t="str">
        <f>IF(booking!D117&gt;0,"oc","va")</f>
        <v>oc</v>
      </c>
      <c r="D117" s="131" t="str">
        <f>IF(booking!E117&gt;0,"oc","va")</f>
        <v>oc</v>
      </c>
      <c r="E117" s="130" t="str">
        <f>IF(booking!H117&gt;0,"oc","va")</f>
        <v>va</v>
      </c>
      <c r="F117" s="131" t="str">
        <f>IF(booking!I117&gt;0,"oc","va")</f>
        <v>oc</v>
      </c>
      <c r="G117" s="130" t="str">
        <f>IF(booking!L117&gt;0,"oc","va")</f>
        <v>oc</v>
      </c>
      <c r="H117" s="131" t="str">
        <f>IF(booking!M117&gt;0,"oc","va")</f>
        <v>oc</v>
      </c>
      <c r="I117" s="130" t="str">
        <f>IF(booking!P117&gt;0,"oc","va")</f>
        <v>oc</v>
      </c>
      <c r="J117" s="131" t="str">
        <f>IF(booking!Q117&gt;0,"oc","va")</f>
        <v>oc</v>
      </c>
      <c r="K117" s="130" t="str">
        <f>IF(booking!T117&gt;0,"oc","va")</f>
        <v>oc</v>
      </c>
      <c r="L117" s="131" t="str">
        <f>IF(booking!U117&gt;0,"oc","va")</f>
        <v>oc</v>
      </c>
      <c r="M117" s="130" t="str">
        <f>IF(booking!X117&gt;0,"oc","va")</f>
        <v>va</v>
      </c>
      <c r="N117" s="131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30" t="str">
        <f>IF(booking!D118&gt;0,"oc","va")</f>
        <v>oc</v>
      </c>
      <c r="D118" s="131" t="str">
        <f>IF(booking!E118&gt;0,"oc","va")</f>
        <v>va</v>
      </c>
      <c r="E118" s="130" t="str">
        <f>IF(booking!H118&gt;0,"oc","va")</f>
        <v>oc</v>
      </c>
      <c r="F118" s="131" t="str">
        <f>IF(booking!I118&gt;0,"oc","va")</f>
        <v>oc</v>
      </c>
      <c r="G118" s="130" t="str">
        <f>IF(booking!L118&gt;0,"oc","va")</f>
        <v>oc</v>
      </c>
      <c r="H118" s="131" t="str">
        <f>IF(booking!M118&gt;0,"oc","va")</f>
        <v>oc</v>
      </c>
      <c r="I118" s="130" t="str">
        <f>IF(booking!P118&gt;0,"oc","va")</f>
        <v>oc</v>
      </c>
      <c r="J118" s="131" t="str">
        <f>IF(booking!Q118&gt;0,"oc","va")</f>
        <v>oc</v>
      </c>
      <c r="K118" s="130" t="str">
        <f>IF(booking!T118&gt;0,"oc","va")</f>
        <v>oc</v>
      </c>
      <c r="L118" s="131" t="str">
        <f>IF(booking!U118&gt;0,"oc","va")</f>
        <v>oc</v>
      </c>
      <c r="M118" s="130" t="str">
        <f>IF(booking!X118&gt;0,"oc","va")</f>
        <v>oc</v>
      </c>
      <c r="N118" s="131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30" t="str">
        <f>IF(booking!D119&gt;0,"oc","va")</f>
        <v>va</v>
      </c>
      <c r="D119" s="131" t="str">
        <f>IF(booking!E119&gt;0,"oc","va")</f>
        <v>oc</v>
      </c>
      <c r="E119" s="130" t="str">
        <f>IF(booking!H119&gt;0,"oc","va")</f>
        <v>oc</v>
      </c>
      <c r="F119" s="131" t="str">
        <f>IF(booking!I119&gt;0,"oc","va")</f>
        <v>oc</v>
      </c>
      <c r="G119" s="130" t="str">
        <f>IF(booking!L119&gt;0,"oc","va")</f>
        <v>oc</v>
      </c>
      <c r="H119" s="131" t="str">
        <f>IF(booking!M119&gt;0,"oc","va")</f>
        <v>oc</v>
      </c>
      <c r="I119" s="130" t="str">
        <f>IF(booking!P119&gt;0,"oc","va")</f>
        <v>oc</v>
      </c>
      <c r="J119" s="131" t="str">
        <f>IF(booking!Q119&gt;0,"oc","va")</f>
        <v>oc</v>
      </c>
      <c r="K119" s="130" t="str">
        <f>IF(booking!T119&gt;0,"oc","va")</f>
        <v>oc</v>
      </c>
      <c r="L119" s="131" t="str">
        <f>IF(booking!U119&gt;0,"oc","va")</f>
        <v>oc</v>
      </c>
      <c r="M119" s="130" t="str">
        <f>IF(booking!X119&gt;0,"oc","va")</f>
        <v>va</v>
      </c>
      <c r="N119" s="131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30" t="str">
        <f>IF(booking!D120&gt;0,"oc","va")</f>
        <v>oc</v>
      </c>
      <c r="D120" s="131" t="str">
        <f>IF(booking!E120&gt;0,"oc","va")</f>
        <v>oc</v>
      </c>
      <c r="E120" s="130" t="str">
        <f>IF(booking!H120&gt;0,"oc","va")</f>
        <v>oc</v>
      </c>
      <c r="F120" s="131" t="str">
        <f>IF(booking!I120&gt;0,"oc","va")</f>
        <v>oc</v>
      </c>
      <c r="G120" s="130" t="str">
        <f>IF(booking!L120&gt;0,"oc","va")</f>
        <v>oc</v>
      </c>
      <c r="H120" s="131" t="str">
        <f>IF(booking!M120&gt;0,"oc","va")</f>
        <v>oc</v>
      </c>
      <c r="I120" s="130" t="str">
        <f>IF(booking!P120&gt;0,"oc","va")</f>
        <v>oc</v>
      </c>
      <c r="J120" s="131" t="str">
        <f>IF(booking!Q120&gt;0,"oc","va")</f>
        <v>oc</v>
      </c>
      <c r="K120" s="130" t="str">
        <f>IF(booking!T120&gt;0,"oc","va")</f>
        <v>oc</v>
      </c>
      <c r="L120" s="131" t="str">
        <f>IF(booking!U120&gt;0,"oc","va")</f>
        <v>oc</v>
      </c>
      <c r="M120" s="130" t="str">
        <f>IF(booking!X120&gt;0,"oc","va")</f>
        <v>va</v>
      </c>
      <c r="N120" s="131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30" t="str">
        <f>IF(booking!D121&gt;0,"oc","va")</f>
        <v>oc</v>
      </c>
      <c r="D121" s="131" t="str">
        <f>IF(booking!E121&gt;0,"oc","va")</f>
        <v>oc</v>
      </c>
      <c r="E121" s="130" t="str">
        <f>IF(booking!H121&gt;0,"oc","va")</f>
        <v>oc</v>
      </c>
      <c r="F121" s="131" t="str">
        <f>IF(booking!I121&gt;0,"oc","va")</f>
        <v>oc</v>
      </c>
      <c r="G121" s="130" t="str">
        <f>IF(booking!L121&gt;0,"oc","va")</f>
        <v>oc</v>
      </c>
      <c r="H121" s="131" t="str">
        <f>IF(booking!M121&gt;0,"oc","va")</f>
        <v>oc</v>
      </c>
      <c r="I121" s="130" t="str">
        <f>IF(booking!P121&gt;0,"oc","va")</f>
        <v>oc</v>
      </c>
      <c r="J121" s="131" t="str">
        <f>IF(booking!Q121&gt;0,"oc","va")</f>
        <v>oc</v>
      </c>
      <c r="K121" s="130" t="str">
        <f>IF(booking!T121&gt;0,"oc","va")</f>
        <v>oc</v>
      </c>
      <c r="L121" s="131" t="str">
        <f>IF(booking!U121&gt;0,"oc","va")</f>
        <v>oc</v>
      </c>
      <c r="M121" s="130" t="str">
        <f>IF(booking!X121&gt;0,"oc","va")</f>
        <v>va</v>
      </c>
      <c r="N121" s="131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30" t="str">
        <f>IF(booking!D122&gt;0,"oc","va")</f>
        <v>oc</v>
      </c>
      <c r="D122" s="131" t="str">
        <f>IF(booking!E122&gt;0,"oc","va")</f>
        <v>va</v>
      </c>
      <c r="E122" s="130" t="str">
        <f>IF(booking!H122&gt;0,"oc","va")</f>
        <v>oc</v>
      </c>
      <c r="F122" s="131" t="str">
        <f>IF(booking!I122&gt;0,"oc","va")</f>
        <v>oc</v>
      </c>
      <c r="G122" s="130" t="str">
        <f>IF(booking!L122&gt;0,"oc","va")</f>
        <v>oc</v>
      </c>
      <c r="H122" s="131" t="str">
        <f>IF(booking!M122&gt;0,"oc","va")</f>
        <v>va</v>
      </c>
      <c r="I122" s="130" t="str">
        <f>IF(booking!P122&gt;0,"oc","va")</f>
        <v>oc</v>
      </c>
      <c r="J122" s="131" t="str">
        <f>IF(booking!Q122&gt;0,"oc","va")</f>
        <v>oc</v>
      </c>
      <c r="K122" s="130" t="str">
        <f>IF(booking!T122&gt;0,"oc","va")</f>
        <v>oc</v>
      </c>
      <c r="L122" s="131" t="str">
        <f>IF(booking!U122&gt;0,"oc","va")</f>
        <v>oc</v>
      </c>
      <c r="M122" s="130" t="str">
        <f>IF(booking!X122&gt;0,"oc","va")</f>
        <v>va</v>
      </c>
      <c r="N122" s="131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30" t="str">
        <f>IF(booking!D123&gt;0,"oc","va")</f>
        <v>va</v>
      </c>
      <c r="D123" s="131" t="str">
        <f>IF(booking!E123&gt;0,"oc","va")</f>
        <v>oc</v>
      </c>
      <c r="E123" s="130" t="str">
        <f>IF(booking!H123&gt;0,"oc","va")</f>
        <v>oc</v>
      </c>
      <c r="F123" s="131" t="str">
        <f>IF(booking!I123&gt;0,"oc","va")</f>
        <v>oc</v>
      </c>
      <c r="G123" s="130" t="str">
        <f>IF(booking!L123&gt;0,"oc","va")</f>
        <v>va</v>
      </c>
      <c r="H123" s="131" t="str">
        <f>IF(booking!M123&gt;0,"oc","va")</f>
        <v>oc</v>
      </c>
      <c r="I123" s="130" t="str">
        <f>IF(booking!P123&gt;0,"oc","va")</f>
        <v>oc</v>
      </c>
      <c r="J123" s="131" t="str">
        <f>IF(booking!Q123&gt;0,"oc","va")</f>
        <v>oc</v>
      </c>
      <c r="K123" s="130" t="str">
        <f>IF(booking!T123&gt;0,"oc","va")</f>
        <v>oc</v>
      </c>
      <c r="L123" s="131" t="str">
        <f>IF(booking!U123&gt;0,"oc","va")</f>
        <v>oc</v>
      </c>
      <c r="M123" s="130" t="str">
        <f>IF(booking!X123&gt;0,"oc","va")</f>
        <v>va</v>
      </c>
      <c r="N123" s="131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30" t="str">
        <f>IF(booking!D124&gt;0,"oc","va")</f>
        <v>oc</v>
      </c>
      <c r="D124" s="131" t="str">
        <f>IF(booking!E124&gt;0,"oc","va")</f>
        <v>oc</v>
      </c>
      <c r="E124" s="130" t="str">
        <f>IF(booking!H124&gt;0,"oc","va")</f>
        <v>oc</v>
      </c>
      <c r="F124" s="131" t="str">
        <f>IF(booking!I124&gt;0,"oc","va")</f>
        <v>oc</v>
      </c>
      <c r="G124" s="130" t="str">
        <f>IF(booking!L124&gt;0,"oc","va")</f>
        <v>oc</v>
      </c>
      <c r="H124" s="131" t="str">
        <f>IF(booking!M124&gt;0,"oc","va")</f>
        <v>oc</v>
      </c>
      <c r="I124" s="130" t="str">
        <f>IF(booking!P124&gt;0,"oc","va")</f>
        <v>oc</v>
      </c>
      <c r="J124" s="131" t="str">
        <f>IF(booking!Q124&gt;0,"oc","va")</f>
        <v>oc</v>
      </c>
      <c r="K124" s="130" t="str">
        <f>IF(booking!T124&gt;0,"oc","va")</f>
        <v>oc</v>
      </c>
      <c r="L124" s="131" t="str">
        <f>IF(booking!U124&gt;0,"oc","va")</f>
        <v>oc</v>
      </c>
      <c r="M124" s="130" t="str">
        <f>IF(booking!X124&gt;0,"oc","va")</f>
        <v>va</v>
      </c>
      <c r="N124" s="131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30" t="str">
        <f>IF(booking!D125&gt;0,"oc","va")</f>
        <v>oc</v>
      </c>
      <c r="D125" s="131" t="str">
        <f>IF(booking!E125&gt;0,"oc","va")</f>
        <v>oc</v>
      </c>
      <c r="E125" s="130" t="str">
        <f>IF(booking!H125&gt;0,"oc","va")</f>
        <v>oc</v>
      </c>
      <c r="F125" s="131" t="str">
        <f>IF(booking!I125&gt;0,"oc","va")</f>
        <v>oc</v>
      </c>
      <c r="G125" s="130" t="str">
        <f>IF(booking!L125&gt;0,"oc","va")</f>
        <v>oc</v>
      </c>
      <c r="H125" s="131" t="str">
        <f>IF(booking!M125&gt;0,"oc","va")</f>
        <v>oc</v>
      </c>
      <c r="I125" s="130" t="str">
        <f>IF(booking!P125&gt;0,"oc","va")</f>
        <v>oc</v>
      </c>
      <c r="J125" s="131" t="str">
        <f>IF(booking!Q125&gt;0,"oc","va")</f>
        <v>oc</v>
      </c>
      <c r="K125" s="130" t="str">
        <f>IF(booking!T125&gt;0,"oc","va")</f>
        <v>oc</v>
      </c>
      <c r="L125" s="131" t="str">
        <f>IF(booking!U125&gt;0,"oc","va")</f>
        <v>oc</v>
      </c>
      <c r="M125" s="130" t="str">
        <f>IF(booking!X125&gt;0,"oc","va")</f>
        <v>va</v>
      </c>
      <c r="N125" s="131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30" t="str">
        <f>IF(booking!D126&gt;0,"oc","va")</f>
        <v>oc</v>
      </c>
      <c r="D126" s="131" t="str">
        <f>IF(booking!E126&gt;0,"oc","va")</f>
        <v>oc</v>
      </c>
      <c r="E126" s="130" t="str">
        <f>IF(booking!H126&gt;0,"oc","va")</f>
        <v>oc</v>
      </c>
      <c r="F126" s="131" t="str">
        <f>IF(booking!I126&gt;0,"oc","va")</f>
        <v>oc</v>
      </c>
      <c r="G126" s="130" t="str">
        <f>IF(booking!L126&gt;0,"oc","va")</f>
        <v>oc</v>
      </c>
      <c r="H126" s="131" t="str">
        <f>IF(booking!M126&gt;0,"oc","va")</f>
        <v>oc</v>
      </c>
      <c r="I126" s="130" t="str">
        <f>IF(booking!P126&gt;0,"oc","va")</f>
        <v>oc</v>
      </c>
      <c r="J126" s="131" t="str">
        <f>IF(booking!Q126&gt;0,"oc","va")</f>
        <v>oc</v>
      </c>
      <c r="K126" s="130" t="str">
        <f>IF(booking!T126&gt;0,"oc","va")</f>
        <v>oc</v>
      </c>
      <c r="L126" s="131" t="str">
        <f>IF(booking!U126&gt;0,"oc","va")</f>
        <v>oc</v>
      </c>
      <c r="M126" s="130" t="str">
        <f>IF(booking!X126&gt;0,"oc","va")</f>
        <v>va</v>
      </c>
      <c r="N126" s="131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30" t="str">
        <f>IF(booking!D127&gt;0,"oc","va")</f>
        <v>oc</v>
      </c>
      <c r="D127" s="131" t="str">
        <f>IF(booking!E127&gt;0,"oc","va")</f>
        <v>oc</v>
      </c>
      <c r="E127" s="130" t="str">
        <f>IF(booking!H127&gt;0,"oc","va")</f>
        <v>oc</v>
      </c>
      <c r="F127" s="131" t="str">
        <f>IF(booking!I127&gt;0,"oc","va")</f>
        <v>va</v>
      </c>
      <c r="G127" s="130" t="str">
        <f>IF(booking!L127&gt;0,"oc","va")</f>
        <v>oc</v>
      </c>
      <c r="H127" s="131" t="str">
        <f>IF(booking!M127&gt;0,"oc","va")</f>
        <v>oc</v>
      </c>
      <c r="I127" s="130" t="str">
        <f>IF(booking!P127&gt;0,"oc","va")</f>
        <v>oc</v>
      </c>
      <c r="J127" s="131" t="str">
        <f>IF(booking!Q127&gt;0,"oc","va")</f>
        <v>oc</v>
      </c>
      <c r="K127" s="130" t="str">
        <f>IF(booking!T127&gt;0,"oc","va")</f>
        <v>oc</v>
      </c>
      <c r="L127" s="131" t="str">
        <f>IF(booking!U127&gt;0,"oc","va")</f>
        <v>oc</v>
      </c>
      <c r="M127" s="130" t="str">
        <f>IF(booking!X127&gt;0,"oc","va")</f>
        <v>va</v>
      </c>
      <c r="N127" s="131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30" t="str">
        <f>IF(booking!D128&gt;0,"oc","va")</f>
        <v>oc</v>
      </c>
      <c r="D128" s="131" t="str">
        <f>IF(booking!E128&gt;0,"oc","va")</f>
        <v>va</v>
      </c>
      <c r="E128" s="130" t="str">
        <f>IF(booking!H128&gt;0,"oc","va")</f>
        <v>va</v>
      </c>
      <c r="F128" s="131" t="str">
        <f>IF(booking!I128&gt;0,"oc","va")</f>
        <v>va</v>
      </c>
      <c r="G128" s="130" t="str">
        <f>IF(booking!L128&gt;0,"oc","va")</f>
        <v>oc</v>
      </c>
      <c r="H128" s="131" t="str">
        <f>IF(booking!M128&gt;0,"oc","va")</f>
        <v>oc</v>
      </c>
      <c r="I128" s="130" t="str">
        <f>IF(booking!P128&gt;0,"oc","va")</f>
        <v>oc</v>
      </c>
      <c r="J128" s="131" t="str">
        <f>IF(booking!Q128&gt;0,"oc","va")</f>
        <v>oc</v>
      </c>
      <c r="K128" s="130" t="str">
        <f>IF(booking!T128&gt;0,"oc","va")</f>
        <v>oc</v>
      </c>
      <c r="L128" s="131" t="str">
        <f>IF(booking!U128&gt;0,"oc","va")</f>
        <v>va</v>
      </c>
      <c r="M128" s="130" t="str">
        <f>IF(booking!X128&gt;0,"oc","va")</f>
        <v>va</v>
      </c>
      <c r="N128" s="131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30" t="str">
        <f>IF(booking!D129&gt;0,"oc","va")</f>
        <v>va</v>
      </c>
      <c r="D129" s="131" t="str">
        <f>IF(booking!E129&gt;0,"oc","va")</f>
        <v>va</v>
      </c>
      <c r="E129" s="130" t="str">
        <f>IF(booking!H129&gt;0,"oc","va")</f>
        <v>va</v>
      </c>
      <c r="F129" s="131" t="str">
        <f>IF(booking!I129&gt;0,"oc","va")</f>
        <v>va</v>
      </c>
      <c r="G129" s="130" t="str">
        <f>IF(booking!L129&gt;0,"oc","va")</f>
        <v>oc</v>
      </c>
      <c r="H129" s="131" t="str">
        <f>IF(booking!M129&gt;0,"oc","va")</f>
        <v>oc</v>
      </c>
      <c r="I129" s="130" t="str">
        <f>IF(booking!P129&gt;0,"oc","va")</f>
        <v>oc</v>
      </c>
      <c r="J129" s="131" t="str">
        <f>IF(booking!Q129&gt;0,"oc","va")</f>
        <v>oc</v>
      </c>
      <c r="K129" s="130" t="str">
        <f>IF(booking!T129&gt;0,"oc","va")</f>
        <v>va</v>
      </c>
      <c r="L129" s="131" t="str">
        <f>IF(booking!U129&gt;0,"oc","va")</f>
        <v>va</v>
      </c>
      <c r="M129" s="130" t="str">
        <f>IF(booking!X129&gt;0,"oc","va")</f>
        <v>va</v>
      </c>
      <c r="N129" s="131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30" t="str">
        <f>IF(booking!D130&gt;0,"oc","va")</f>
        <v>va</v>
      </c>
      <c r="D130" s="131" t="str">
        <f>IF(booking!E130&gt;0,"oc","va")</f>
        <v>va</v>
      </c>
      <c r="E130" s="130" t="str">
        <f>IF(booking!H130&gt;0,"oc","va")</f>
        <v>va</v>
      </c>
      <c r="F130" s="131" t="str">
        <f>IF(booking!I130&gt;0,"oc","va")</f>
        <v>va</v>
      </c>
      <c r="G130" s="130" t="str">
        <f>IF(booking!L130&gt;0,"oc","va")</f>
        <v>oc</v>
      </c>
      <c r="H130" s="131" t="str">
        <f>IF(booking!M130&gt;0,"oc","va")</f>
        <v>oc</v>
      </c>
      <c r="I130" s="130" t="str">
        <f>IF(booking!P130&gt;0,"oc","va")</f>
        <v>oc</v>
      </c>
      <c r="J130" s="131" t="str">
        <f>IF(booking!Q130&gt;0,"oc","va")</f>
        <v>oc</v>
      </c>
      <c r="K130" s="130" t="str">
        <f>IF(booking!T130&gt;0,"oc","va")</f>
        <v>va</v>
      </c>
      <c r="L130" s="131" t="str">
        <f>IF(booking!U130&gt;0,"oc","va")</f>
        <v>va</v>
      </c>
      <c r="M130" s="130" t="str">
        <f>IF(booking!X130&gt;0,"oc","va")</f>
        <v>va</v>
      </c>
      <c r="N130" s="131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30" t="str">
        <f>IF(booking!D131&gt;0,"oc","va")</f>
        <v>va</v>
      </c>
      <c r="D131" s="131" t="str">
        <f>IF(booking!E131&gt;0,"oc","va")</f>
        <v>va</v>
      </c>
      <c r="E131" s="130" t="str">
        <f>IF(booking!H131&gt;0,"oc","va")</f>
        <v>va</v>
      </c>
      <c r="F131" s="131" t="str">
        <f>IF(booking!I131&gt;0,"oc","va")</f>
        <v>va</v>
      </c>
      <c r="G131" s="130" t="str">
        <f>IF(booking!L131&gt;0,"oc","va")</f>
        <v>oc</v>
      </c>
      <c r="H131" s="131" t="str">
        <f>IF(booking!M131&gt;0,"oc","va")</f>
        <v>va</v>
      </c>
      <c r="I131" s="130" t="str">
        <f>IF(booking!P131&gt;0,"oc","va")</f>
        <v>oc</v>
      </c>
      <c r="J131" s="131" t="str">
        <f>IF(booking!Q131&gt;0,"oc","va")</f>
        <v>oc</v>
      </c>
      <c r="K131" s="130" t="str">
        <f>IF(booking!T131&gt;0,"oc","va")</f>
        <v>va</v>
      </c>
      <c r="L131" s="131" t="str">
        <f>IF(booking!U131&gt;0,"oc","va")</f>
        <v>va</v>
      </c>
      <c r="M131" s="130" t="str">
        <f>IF(booking!X131&gt;0,"oc","va")</f>
        <v>va</v>
      </c>
      <c r="N131" s="131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30" t="str">
        <f>IF(booking!D132&gt;0,"oc","va")</f>
        <v>va</v>
      </c>
      <c r="D132" s="131" t="str">
        <f>IF(booking!E132&gt;0,"oc","va")</f>
        <v>va</v>
      </c>
      <c r="E132" s="130" t="str">
        <f>IF(booking!H132&gt;0,"oc","va")</f>
        <v>va</v>
      </c>
      <c r="F132" s="131" t="str">
        <f>IF(booking!I132&gt;0,"oc","va")</f>
        <v>va</v>
      </c>
      <c r="G132" s="130" t="str">
        <f>IF(booking!L132&gt;0,"oc","va")</f>
        <v>va</v>
      </c>
      <c r="H132" s="131" t="str">
        <f>IF(booking!M132&gt;0,"oc","va")</f>
        <v>va</v>
      </c>
      <c r="I132" s="130" t="str">
        <f>IF(booking!P132&gt;0,"oc","va")</f>
        <v>oc</v>
      </c>
      <c r="J132" s="131" t="str">
        <f>IF(booking!Q132&gt;0,"oc","va")</f>
        <v>oc</v>
      </c>
      <c r="K132" s="130" t="str">
        <f>IF(booking!T132&gt;0,"oc","va")</f>
        <v>va</v>
      </c>
      <c r="L132" s="131" t="str">
        <f>IF(booking!U132&gt;0,"oc","va")</f>
        <v>va</v>
      </c>
      <c r="M132" s="130" t="str">
        <f>IF(booking!X132&gt;0,"oc","va")</f>
        <v>va</v>
      </c>
      <c r="N132" s="131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30" t="str">
        <f>IF(booking!D133&gt;0,"oc","va")</f>
        <v>va</v>
      </c>
      <c r="D133" s="131" t="str">
        <f>IF(booking!E133&gt;0,"oc","va")</f>
        <v>va</v>
      </c>
      <c r="E133" s="130" t="str">
        <f>IF(booking!H133&gt;0,"oc","va")</f>
        <v>va</v>
      </c>
      <c r="F133" s="131" t="str">
        <f>IF(booking!I133&gt;0,"oc","va")</f>
        <v>va</v>
      </c>
      <c r="G133" s="130" t="str">
        <f>IF(booking!L133&gt;0,"oc","va")</f>
        <v>va</v>
      </c>
      <c r="H133" s="131" t="str">
        <f>IF(booking!M133&gt;0,"oc","va")</f>
        <v>va</v>
      </c>
      <c r="I133" s="130" t="str">
        <f>IF(booking!P133&gt;0,"oc","va")</f>
        <v>oc</v>
      </c>
      <c r="J133" s="131" t="str">
        <f>IF(booking!Q133&gt;0,"oc","va")</f>
        <v>oc</v>
      </c>
      <c r="K133" s="130" t="str">
        <f>IF(booking!T133&gt;0,"oc","va")</f>
        <v>va</v>
      </c>
      <c r="L133" s="131" t="str">
        <f>IF(booking!U133&gt;0,"oc","va")</f>
        <v>va</v>
      </c>
      <c r="M133" s="130" t="str">
        <f>IF(booking!X133&gt;0,"oc","va")</f>
        <v>va</v>
      </c>
      <c r="N133" s="131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30" t="str">
        <f>IF(booking!D134&gt;0,"oc","va")</f>
        <v>va</v>
      </c>
      <c r="D134" s="131" t="str">
        <f>IF(booking!E134&gt;0,"oc","va")</f>
        <v>va</v>
      </c>
      <c r="E134" s="130" t="str">
        <f>IF(booking!H134&gt;0,"oc","va")</f>
        <v>va</v>
      </c>
      <c r="F134" s="131" t="str">
        <f>IF(booking!I134&gt;0,"oc","va")</f>
        <v>va</v>
      </c>
      <c r="G134" s="130" t="str">
        <f>IF(booking!L134&gt;0,"oc","va")</f>
        <v>va</v>
      </c>
      <c r="H134" s="131" t="str">
        <f>IF(booking!M134&gt;0,"oc","va")</f>
        <v>va</v>
      </c>
      <c r="I134" s="130" t="str">
        <f>IF(booking!P134&gt;0,"oc","va")</f>
        <v>oc</v>
      </c>
      <c r="J134" s="131" t="str">
        <f>IF(booking!Q134&gt;0,"oc","va")</f>
        <v>va</v>
      </c>
      <c r="K134" s="130" t="str">
        <f>IF(booking!T134&gt;0,"oc","va")</f>
        <v>va</v>
      </c>
      <c r="L134" s="131" t="str">
        <f>IF(booking!U134&gt;0,"oc","va")</f>
        <v>oc</v>
      </c>
      <c r="M134" s="130" t="str">
        <f>IF(booking!X134&gt;0,"oc","va")</f>
        <v>va</v>
      </c>
      <c r="N134" s="131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30" t="str">
        <f>IF(booking!D135&gt;0,"oc","va")</f>
        <v>va</v>
      </c>
      <c r="D135" s="131" t="str">
        <f>IF(booking!E135&gt;0,"oc","va")</f>
        <v>va</v>
      </c>
      <c r="E135" s="130" t="str">
        <f>IF(booking!H135&gt;0,"oc","va")</f>
        <v>va</v>
      </c>
      <c r="F135" s="131" t="str">
        <f>IF(booking!I135&gt;0,"oc","va")</f>
        <v>va</v>
      </c>
      <c r="G135" s="130" t="str">
        <f>IF(booking!L135&gt;0,"oc","va")</f>
        <v>va</v>
      </c>
      <c r="H135" s="131" t="str">
        <f>IF(booking!M135&gt;0,"oc","va")</f>
        <v>va</v>
      </c>
      <c r="I135" s="130" t="str">
        <f>IF(booking!P135&gt;0,"oc","va")</f>
        <v>va</v>
      </c>
      <c r="J135" s="131" t="str">
        <f>IF(booking!Q135&gt;0,"oc","va")</f>
        <v>oc</v>
      </c>
      <c r="K135" s="130" t="str">
        <f>IF(booking!T135&gt;0,"oc","va")</f>
        <v>oc</v>
      </c>
      <c r="L135" s="131" t="str">
        <f>IF(booking!U135&gt;0,"oc","va")</f>
        <v>oc</v>
      </c>
      <c r="M135" s="130" t="str">
        <f>IF(booking!X135&gt;0,"oc","va")</f>
        <v>va</v>
      </c>
      <c r="N135" s="131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30" t="str">
        <f>IF(booking!D136&gt;0,"oc","va")</f>
        <v>va</v>
      </c>
      <c r="D136" s="131" t="str">
        <f>IF(booking!E136&gt;0,"oc","va")</f>
        <v>va</v>
      </c>
      <c r="E136" s="130" t="str">
        <f>IF(booking!H136&gt;0,"oc","va")</f>
        <v>va</v>
      </c>
      <c r="F136" s="131" t="str">
        <f>IF(booking!I136&gt;0,"oc","va")</f>
        <v>va</v>
      </c>
      <c r="G136" s="130" t="str">
        <f>IF(booking!L136&gt;0,"oc","va")</f>
        <v>va</v>
      </c>
      <c r="H136" s="131" t="str">
        <f>IF(booking!M136&gt;0,"oc","va")</f>
        <v>va</v>
      </c>
      <c r="I136" s="130" t="str">
        <f>IF(booking!P136&gt;0,"oc","va")</f>
        <v>oc</v>
      </c>
      <c r="J136" s="131" t="str">
        <f>IF(booking!Q136&gt;0,"oc","va")</f>
        <v>oc</v>
      </c>
      <c r="K136" s="130" t="str">
        <f>IF(booking!T136&gt;0,"oc","va")</f>
        <v>oc</v>
      </c>
      <c r="L136" s="131" t="str">
        <f>IF(booking!U136&gt;0,"oc","va")</f>
        <v>oc</v>
      </c>
      <c r="M136" s="130" t="str">
        <f>IF(booking!X136&gt;0,"oc","va")</f>
        <v>va</v>
      </c>
      <c r="N136" s="131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30" t="str">
        <f>IF(booking!D137&gt;0,"oc","va")</f>
        <v>va</v>
      </c>
      <c r="D137" s="131" t="str">
        <f>IF(booking!E137&gt;0,"oc","va")</f>
        <v>va</v>
      </c>
      <c r="E137" s="130" t="str">
        <f>IF(booking!H137&gt;0,"oc","va")</f>
        <v>va</v>
      </c>
      <c r="F137" s="131" t="str">
        <f>IF(booking!I137&gt;0,"oc","va")</f>
        <v>va</v>
      </c>
      <c r="G137" s="130" t="str">
        <f>IF(booking!L137&gt;0,"oc","va")</f>
        <v>va</v>
      </c>
      <c r="H137" s="131" t="str">
        <f>IF(booking!M137&gt;0,"oc","va")</f>
        <v>va</v>
      </c>
      <c r="I137" s="130" t="str">
        <f>IF(booking!P137&gt;0,"oc","va")</f>
        <v>oc</v>
      </c>
      <c r="J137" s="131" t="str">
        <f>IF(booking!Q137&gt;0,"oc","va")</f>
        <v>oc</v>
      </c>
      <c r="K137" s="130" t="str">
        <f>IF(booking!T137&gt;0,"oc","va")</f>
        <v>oc</v>
      </c>
      <c r="L137" s="131" t="str">
        <f>IF(booking!U137&gt;0,"oc","va")</f>
        <v>oc</v>
      </c>
      <c r="M137" s="130" t="str">
        <f>IF(booking!X137&gt;0,"oc","va")</f>
        <v>va</v>
      </c>
      <c r="N137" s="131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30" t="str">
        <f>IF(booking!D138&gt;0,"oc","va")</f>
        <v>va</v>
      </c>
      <c r="D138" s="131" t="str">
        <f>IF(booking!E138&gt;0,"oc","va")</f>
        <v>va</v>
      </c>
      <c r="E138" s="130" t="str">
        <f>IF(booking!H138&gt;0,"oc","va")</f>
        <v>va</v>
      </c>
      <c r="F138" s="131" t="str">
        <f>IF(booking!I138&gt;0,"oc","va")</f>
        <v>va</v>
      </c>
      <c r="G138" s="130" t="str">
        <f>IF(booking!L138&gt;0,"oc","va")</f>
        <v>va</v>
      </c>
      <c r="H138" s="131" t="str">
        <f>IF(booking!M138&gt;0,"oc","va")</f>
        <v>va</v>
      </c>
      <c r="I138" s="130" t="str">
        <f>IF(booking!P138&gt;0,"oc","va")</f>
        <v>oc</v>
      </c>
      <c r="J138" s="131" t="str">
        <f>IF(booking!Q138&gt;0,"oc","va")</f>
        <v>va</v>
      </c>
      <c r="K138" s="130" t="str">
        <f>IF(booking!T138&gt;0,"oc","va")</f>
        <v>oc</v>
      </c>
      <c r="L138" s="131" t="str">
        <f>IF(booking!U138&gt;0,"oc","va")</f>
        <v>oc</v>
      </c>
      <c r="M138" s="130" t="str">
        <f>IF(booking!X138&gt;0,"oc","va")</f>
        <v>va</v>
      </c>
      <c r="N138" s="131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30" t="str">
        <f>IF(booking!D139&gt;0,"oc","va")</f>
        <v>va</v>
      </c>
      <c r="D139" s="131" t="str">
        <f>IF(booking!E139&gt;0,"oc","va")</f>
        <v>oc</v>
      </c>
      <c r="E139" s="130" t="str">
        <f>IF(booking!H139&gt;0,"oc","va")</f>
        <v>va</v>
      </c>
      <c r="F139" s="131" t="str">
        <f>IF(booking!I139&gt;0,"oc","va")</f>
        <v>oc</v>
      </c>
      <c r="G139" s="130" t="str">
        <f>IF(booking!L139&gt;0,"oc","va")</f>
        <v>va</v>
      </c>
      <c r="H139" s="131" t="str">
        <f>IF(booking!M139&gt;0,"oc","va")</f>
        <v>va</v>
      </c>
      <c r="I139" s="130" t="str">
        <f>IF(booking!P139&gt;0,"oc","va")</f>
        <v>va</v>
      </c>
      <c r="J139" s="131" t="str">
        <f>IF(booking!Q139&gt;0,"oc","va")</f>
        <v>va</v>
      </c>
      <c r="K139" s="130" t="str">
        <f>IF(booking!T139&gt;0,"oc","va")</f>
        <v>oc</v>
      </c>
      <c r="L139" s="131" t="str">
        <f>IF(booking!U139&gt;0,"oc","va")</f>
        <v>oc</v>
      </c>
      <c r="M139" s="130" t="str">
        <f>IF(booking!X139&gt;0,"oc","va")</f>
        <v>va</v>
      </c>
      <c r="N139" s="131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30" t="str">
        <f>IF(booking!D140&gt;0,"oc","va")</f>
        <v>oc</v>
      </c>
      <c r="D140" s="131" t="str">
        <f>IF(booking!E140&gt;0,"oc","va")</f>
        <v>oc</v>
      </c>
      <c r="E140" s="130" t="str">
        <f>IF(booking!H140&gt;0,"oc","va")</f>
        <v>oc</v>
      </c>
      <c r="F140" s="131" t="str">
        <f>IF(booking!I140&gt;0,"oc","va")</f>
        <v>oc</v>
      </c>
      <c r="G140" s="130" t="str">
        <f>IF(booking!L140&gt;0,"oc","va")</f>
        <v>va</v>
      </c>
      <c r="H140" s="131" t="str">
        <f>IF(booking!M140&gt;0,"oc","va")</f>
        <v>oc</v>
      </c>
      <c r="I140" s="130" t="str">
        <f>IF(booking!P140&gt;0,"oc","va")</f>
        <v>va</v>
      </c>
      <c r="J140" s="131" t="str">
        <f>IF(booking!Q140&gt;0,"oc","va")</f>
        <v>va</v>
      </c>
      <c r="K140" s="130" t="str">
        <f>IF(booking!T140&gt;0,"oc","va")</f>
        <v>oc</v>
      </c>
      <c r="L140" s="131" t="str">
        <f>IF(booking!U140&gt;0,"oc","va")</f>
        <v>oc</v>
      </c>
      <c r="M140" s="130" t="str">
        <f>IF(booking!X140&gt;0,"oc","va")</f>
        <v>va</v>
      </c>
      <c r="N140" s="131" t="str">
        <f>IF(booking!Y140&gt;0,"oc","va")</f>
        <v>va</v>
      </c>
    </row>
    <row r="141" spans="1:14" x14ac:dyDescent="0.35">
      <c r="A141" s="5">
        <f>booking!C141</f>
        <v>46278</v>
      </c>
      <c r="B141" s="6"/>
      <c r="C141" s="130" t="str">
        <f>IF(booking!D141&gt;0,"oc","va")</f>
        <v>oc</v>
      </c>
      <c r="D141" s="131" t="str">
        <f>IF(booking!E141&gt;0,"oc","va")</f>
        <v>va</v>
      </c>
      <c r="E141" s="130" t="str">
        <f>IF(booking!H141&gt;0,"oc","va")</f>
        <v>oc</v>
      </c>
      <c r="F141" s="131" t="str">
        <f>IF(booking!I141&gt;0,"oc","va")</f>
        <v>va</v>
      </c>
      <c r="G141" s="130" t="str">
        <f>IF(booking!L141&gt;0,"oc","va")</f>
        <v>oc</v>
      </c>
      <c r="H141" s="131" t="str">
        <f>IF(booking!M141&gt;0,"oc","va")</f>
        <v>oc</v>
      </c>
      <c r="I141" s="130" t="str">
        <f>IF(booking!P141&gt;0,"oc","va")</f>
        <v>va</v>
      </c>
      <c r="J141" s="131" t="str">
        <f>IF(booking!Q141&gt;0,"oc","va")</f>
        <v>va</v>
      </c>
      <c r="K141" s="130" t="str">
        <f>IF(booking!T141&gt;0,"oc","va")</f>
        <v>oc</v>
      </c>
      <c r="L141" s="131" t="str">
        <f>IF(booking!U141&gt;0,"oc","va")</f>
        <v>oc</v>
      </c>
      <c r="M141" s="130" t="str">
        <f>IF(booking!X141&gt;0,"oc","va")</f>
        <v>va</v>
      </c>
      <c r="N141" s="131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30" t="str">
        <f>IF(booking!D142&gt;0,"oc","va")</f>
        <v>va</v>
      </c>
      <c r="D142" s="131" t="str">
        <f>IF(booking!E142&gt;0,"oc","va")</f>
        <v>oc</v>
      </c>
      <c r="E142" s="130" t="str">
        <f>IF(booking!H142&gt;0,"oc","va")</f>
        <v>va</v>
      </c>
      <c r="F142" s="131" t="str">
        <f>IF(booking!I142&gt;0,"oc","va")</f>
        <v>va</v>
      </c>
      <c r="G142" s="130" t="str">
        <f>IF(booking!L142&gt;0,"oc","va")</f>
        <v>oc</v>
      </c>
      <c r="H142" s="131" t="str">
        <f>IF(booking!M142&gt;0,"oc","va")</f>
        <v>oc</v>
      </c>
      <c r="I142" s="130" t="str">
        <f>IF(booking!P142&gt;0,"oc","va")</f>
        <v>va</v>
      </c>
      <c r="J142" s="131" t="str">
        <f>IF(booking!Q142&gt;0,"oc","va")</f>
        <v>oc</v>
      </c>
      <c r="K142" s="130" t="str">
        <f>IF(booking!T142&gt;0,"oc","va")</f>
        <v>oc</v>
      </c>
      <c r="L142" s="131" t="str">
        <f>IF(booking!U142&gt;0,"oc","va")</f>
        <v>oc</v>
      </c>
      <c r="M142" s="130" t="str">
        <f>IF(booking!X142&gt;0,"oc","va")</f>
        <v>va</v>
      </c>
      <c r="N142" s="131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30" t="str">
        <f>IF(booking!D143&gt;0,"oc","va")</f>
        <v>oc</v>
      </c>
      <c r="D143" s="131" t="str">
        <f>IF(booking!E143&gt;0,"oc","va")</f>
        <v>oc</v>
      </c>
      <c r="E143" s="130" t="str">
        <f>IF(booking!H143&gt;0,"oc","va")</f>
        <v>va</v>
      </c>
      <c r="F143" s="131" t="str">
        <f>IF(booking!I143&gt;0,"oc","va")</f>
        <v>va</v>
      </c>
      <c r="G143" s="130" t="str">
        <f>IF(booking!L143&gt;0,"oc","va")</f>
        <v>oc</v>
      </c>
      <c r="H143" s="131" t="str">
        <f>IF(booking!M143&gt;0,"oc","va")</f>
        <v>oc</v>
      </c>
      <c r="I143" s="130" t="str">
        <f>IF(booking!P143&gt;0,"oc","va")</f>
        <v>oc</v>
      </c>
      <c r="J143" s="131" t="str">
        <f>IF(booking!Q143&gt;0,"oc","va")</f>
        <v>oc</v>
      </c>
      <c r="K143" s="130" t="str">
        <f>IF(booking!T143&gt;0,"oc","va")</f>
        <v>oc</v>
      </c>
      <c r="L143" s="131" t="str">
        <f>IF(booking!U143&gt;0,"oc","va")</f>
        <v>oc</v>
      </c>
      <c r="M143" s="130" t="str">
        <f>IF(booking!X143&gt;0,"oc","va")</f>
        <v>va</v>
      </c>
      <c r="N143" s="131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30" t="str">
        <f>IF(booking!D144&gt;0,"oc","va")</f>
        <v>oc</v>
      </c>
      <c r="D144" s="131" t="str">
        <f>IF(booking!E144&gt;0,"oc","va")</f>
        <v>va</v>
      </c>
      <c r="E144" s="130" t="str">
        <f>IF(booking!H144&gt;0,"oc","va")</f>
        <v>va</v>
      </c>
      <c r="F144" s="131" t="str">
        <f>IF(booking!I144&gt;0,"oc","va")</f>
        <v>oc</v>
      </c>
      <c r="G144" s="130" t="str">
        <f>IF(booking!L144&gt;0,"oc","va")</f>
        <v>oc</v>
      </c>
      <c r="H144" s="131" t="str">
        <f>IF(booking!M144&gt;0,"oc","va")</f>
        <v>oc</v>
      </c>
      <c r="I144" s="130" t="str">
        <f>IF(booking!P144&gt;0,"oc","va")</f>
        <v>oc</v>
      </c>
      <c r="J144" s="131" t="str">
        <f>IF(booking!Q144&gt;0,"oc","va")</f>
        <v>va</v>
      </c>
      <c r="K144" s="130" t="str">
        <f>IF(booking!T144&gt;0,"oc","va")</f>
        <v>oc</v>
      </c>
      <c r="L144" s="131" t="str">
        <f>IF(booking!U144&gt;0,"oc","va")</f>
        <v>oc</v>
      </c>
      <c r="M144" s="130" t="str">
        <f>IF(booking!X144&gt;0,"oc","va")</f>
        <v>va</v>
      </c>
      <c r="N144" s="131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30" t="str">
        <f>IF(booking!D145&gt;0,"oc","va")</f>
        <v>va</v>
      </c>
      <c r="D145" s="131" t="str">
        <f>IF(booking!E145&gt;0,"oc","va")</f>
        <v>oc</v>
      </c>
      <c r="E145" s="130" t="str">
        <f>IF(booking!H145&gt;0,"oc","va")</f>
        <v>oc</v>
      </c>
      <c r="F145" s="131" t="str">
        <f>IF(booking!I145&gt;0,"oc","va")</f>
        <v>oc</v>
      </c>
      <c r="G145" s="130" t="str">
        <f>IF(booking!L145&gt;0,"oc","va")</f>
        <v>oc</v>
      </c>
      <c r="H145" s="131" t="str">
        <f>IF(booking!M145&gt;0,"oc","va")</f>
        <v>oc</v>
      </c>
      <c r="I145" s="130" t="str">
        <f>IF(booking!P145&gt;0,"oc","va")</f>
        <v>va</v>
      </c>
      <c r="J145" s="131" t="str">
        <f>IF(booking!Q145&gt;0,"oc","va")</f>
        <v>oc</v>
      </c>
      <c r="K145" s="130" t="str">
        <f>IF(booking!T145&gt;0,"oc","va")</f>
        <v>oc</v>
      </c>
      <c r="L145" s="131" t="str">
        <f>IF(booking!U145&gt;0,"oc","va")</f>
        <v>va</v>
      </c>
      <c r="M145" s="130" t="str">
        <f>IF(booking!X145&gt;0,"oc","va")</f>
        <v>va</v>
      </c>
      <c r="N145" s="131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30" t="str">
        <f>IF(booking!D146&gt;0,"oc","va")</f>
        <v>oc</v>
      </c>
      <c r="D146" s="131" t="str">
        <f>IF(booking!E146&gt;0,"oc","va")</f>
        <v>oc</v>
      </c>
      <c r="E146" s="130" t="str">
        <f>IF(booking!H146&gt;0,"oc","va")</f>
        <v>oc</v>
      </c>
      <c r="F146" s="131" t="str">
        <f>IF(booking!I146&gt;0,"oc","va")</f>
        <v>oc</v>
      </c>
      <c r="G146" s="130" t="str">
        <f>IF(booking!L146&gt;0,"oc","va")</f>
        <v>oc</v>
      </c>
      <c r="H146" s="131" t="str">
        <f>IF(booking!M146&gt;0,"oc","va")</f>
        <v>oc</v>
      </c>
      <c r="I146" s="130" t="str">
        <f>IF(booking!P146&gt;0,"oc","va")</f>
        <v>oc</v>
      </c>
      <c r="J146" s="131" t="str">
        <f>IF(booking!Q146&gt;0,"oc","va")</f>
        <v>oc</v>
      </c>
      <c r="K146" s="130" t="str">
        <f>IF(booking!T146&gt;0,"oc","va")</f>
        <v>va</v>
      </c>
      <c r="L146" s="131" t="str">
        <f>IF(booking!U146&gt;0,"oc","va")</f>
        <v>oc</v>
      </c>
      <c r="M146" s="130" t="str">
        <f>IF(booking!X146&gt;0,"oc","va")</f>
        <v>va</v>
      </c>
      <c r="N146" s="131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30" t="str">
        <f>IF(booking!D147&gt;0,"oc","va")</f>
        <v>oc</v>
      </c>
      <c r="D147" s="131" t="str">
        <f>IF(booking!E147&gt;0,"oc","va")</f>
        <v>oc</v>
      </c>
      <c r="E147" s="130" t="str">
        <f>IF(booking!H147&gt;0,"oc","va")</f>
        <v>oc</v>
      </c>
      <c r="F147" s="131" t="str">
        <f>IF(booking!I147&gt;0,"oc","va")</f>
        <v>oc</v>
      </c>
      <c r="G147" s="130" t="str">
        <f>IF(booking!L147&gt;0,"oc","va")</f>
        <v>oc</v>
      </c>
      <c r="H147" s="131" t="str">
        <f>IF(booking!M147&gt;0,"oc","va")</f>
        <v>va</v>
      </c>
      <c r="I147" s="130" t="str">
        <f>IF(booking!P147&gt;0,"oc","va")</f>
        <v>oc</v>
      </c>
      <c r="J147" s="131" t="str">
        <f>IF(booking!Q147&gt;0,"oc","va")</f>
        <v>oc</v>
      </c>
      <c r="K147" s="130" t="str">
        <f>IF(booking!T147&gt;0,"oc","va")</f>
        <v>oc</v>
      </c>
      <c r="L147" s="131" t="str">
        <f>IF(booking!U147&gt;0,"oc","va")</f>
        <v>oc</v>
      </c>
      <c r="M147" s="130" t="str">
        <f>IF(booking!X147&gt;0,"oc","va")</f>
        <v>va</v>
      </c>
      <c r="N147" s="131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30" t="str">
        <f>IF(booking!D148&gt;0,"oc","va")</f>
        <v>oc</v>
      </c>
      <c r="D148" s="131" t="str">
        <f>IF(booking!E148&gt;0,"oc","va")</f>
        <v>va</v>
      </c>
      <c r="E148" s="130" t="str">
        <f>IF(booking!H148&gt;0,"oc","va")</f>
        <v>oc</v>
      </c>
      <c r="F148" s="131" t="str">
        <f>IF(booking!I148&gt;0,"oc","va")</f>
        <v>oc</v>
      </c>
      <c r="G148" s="130" t="str">
        <f>IF(booking!L148&gt;0,"oc","va")</f>
        <v>va</v>
      </c>
      <c r="H148" s="131" t="str">
        <f>IF(booking!M148&gt;0,"oc","va")</f>
        <v>va</v>
      </c>
      <c r="I148" s="130" t="str">
        <f>IF(booking!P148&gt;0,"oc","va")</f>
        <v>oc</v>
      </c>
      <c r="J148" s="131" t="str">
        <f>IF(booking!Q148&gt;0,"oc","va")</f>
        <v>va</v>
      </c>
      <c r="K148" s="130" t="str">
        <f>IF(booking!T148&gt;0,"oc","va")</f>
        <v>oc</v>
      </c>
      <c r="L148" s="131" t="str">
        <f>IF(booking!U148&gt;0,"oc","va")</f>
        <v>va</v>
      </c>
      <c r="M148" s="130" t="str">
        <f>IF(booking!X148&gt;0,"oc","va")</f>
        <v>va</v>
      </c>
      <c r="N148" s="131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30" t="str">
        <f>IF(booking!D149&gt;0,"oc","va")</f>
        <v>va</v>
      </c>
      <c r="D149" s="131" t="str">
        <f>IF(booking!E149&gt;0,"oc","va")</f>
        <v>va</v>
      </c>
      <c r="E149" s="130" t="str">
        <f>IF(booking!H149&gt;0,"oc","va")</f>
        <v>oc</v>
      </c>
      <c r="F149" s="131" t="str">
        <f>IF(booking!I149&gt;0,"oc","va")</f>
        <v>va</v>
      </c>
      <c r="G149" s="130" t="str">
        <f>IF(booking!L149&gt;0,"oc","va")</f>
        <v>va</v>
      </c>
      <c r="H149" s="131" t="str">
        <f>IF(booking!M149&gt;0,"oc","va")</f>
        <v>va</v>
      </c>
      <c r="I149" s="130" t="str">
        <f>IF(booking!P149&gt;0,"oc","va")</f>
        <v>va</v>
      </c>
      <c r="J149" s="131" t="str">
        <f>IF(booking!Q149&gt;0,"oc","va")</f>
        <v>va</v>
      </c>
      <c r="K149" s="130" t="str">
        <f>IF(booking!T149&gt;0,"oc","va")</f>
        <v>va</v>
      </c>
      <c r="L149" s="131" t="str">
        <f>IF(booking!U149&gt;0,"oc","va")</f>
        <v>va</v>
      </c>
      <c r="M149" s="130" t="str">
        <f>IF(booking!X149&gt;0,"oc","va")</f>
        <v>va</v>
      </c>
      <c r="N149" s="131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30" t="str">
        <f>IF(booking!D150&gt;0,"oc","va")</f>
        <v>va</v>
      </c>
      <c r="D150" s="131" t="str">
        <f>IF(booking!E150&gt;0,"oc","va")</f>
        <v>va</v>
      </c>
      <c r="E150" s="130" t="str">
        <f>IF(booking!H150&gt;0,"oc","va")</f>
        <v>va</v>
      </c>
      <c r="F150" s="131" t="str">
        <f>IF(booking!I150&gt;0,"oc","va")</f>
        <v>va</v>
      </c>
      <c r="G150" s="130" t="str">
        <f>IF(booking!L150&gt;0,"oc","va")</f>
        <v>va</v>
      </c>
      <c r="H150" s="131" t="str">
        <f>IF(booking!M150&gt;0,"oc","va")</f>
        <v>va</v>
      </c>
      <c r="I150" s="130" t="str">
        <f>IF(booking!P150&gt;0,"oc","va")</f>
        <v>va</v>
      </c>
      <c r="J150" s="131" t="str">
        <f>IF(booking!Q150&gt;0,"oc","va")</f>
        <v>va</v>
      </c>
      <c r="K150" s="130" t="str">
        <f>IF(booking!T150&gt;0,"oc","va")</f>
        <v>va</v>
      </c>
      <c r="L150" s="131" t="str">
        <f>IF(booking!U150&gt;0,"oc","va")</f>
        <v>va</v>
      </c>
      <c r="M150" s="130" t="str">
        <f>IF(booking!X150&gt;0,"oc","va")</f>
        <v>va</v>
      </c>
      <c r="N150" s="131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30" t="str">
        <f>IF(booking!D151&gt;0,"oc","va")</f>
        <v>va</v>
      </c>
      <c r="D151" s="131" t="str">
        <f>IF(booking!E151&gt;0,"oc","va")</f>
        <v>va</v>
      </c>
      <c r="E151" s="130" t="str">
        <f>IF(booking!H151&gt;0,"oc","va")</f>
        <v>va</v>
      </c>
      <c r="F151" s="131" t="str">
        <f>IF(booking!I151&gt;0,"oc","va")</f>
        <v>va</v>
      </c>
      <c r="G151" s="130" t="str">
        <f>IF(booking!L151&gt;0,"oc","va")</f>
        <v>va</v>
      </c>
      <c r="H151" s="131" t="str">
        <f>IF(booking!M151&gt;0,"oc","va")</f>
        <v>va</v>
      </c>
      <c r="I151" s="130" t="str">
        <f>IF(booking!P151&gt;0,"oc","va")</f>
        <v>va</v>
      </c>
      <c r="J151" s="131" t="str">
        <f>IF(booking!Q151&gt;0,"oc","va")</f>
        <v>va</v>
      </c>
      <c r="K151" s="130" t="str">
        <f>IF(booking!T151&gt;0,"oc","va")</f>
        <v>va</v>
      </c>
      <c r="L151" s="131" t="str">
        <f>IF(booking!U151&gt;0,"oc","va")</f>
        <v>va</v>
      </c>
      <c r="M151" s="130" t="str">
        <f>IF(booking!X151&gt;0,"oc","va")</f>
        <v>va</v>
      </c>
      <c r="N151" s="131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30" t="str">
        <f>IF(booking!D152&gt;0,"oc","va")</f>
        <v>va</v>
      </c>
      <c r="D152" s="131" t="str">
        <f>IF(booking!E152&gt;0,"oc","va")</f>
        <v>va</v>
      </c>
      <c r="E152" s="130" t="str">
        <f>IF(booking!H152&gt;0,"oc","va")</f>
        <v>va</v>
      </c>
      <c r="F152" s="131" t="str">
        <f>IF(booking!I152&gt;0,"oc","va")</f>
        <v>va</v>
      </c>
      <c r="G152" s="130" t="str">
        <f>IF(booking!L152&gt;0,"oc","va")</f>
        <v>va</v>
      </c>
      <c r="H152" s="131" t="str">
        <f>IF(booking!M152&gt;0,"oc","va")</f>
        <v>va</v>
      </c>
      <c r="I152" s="130" t="str">
        <f>IF(booking!P152&gt;0,"oc","va")</f>
        <v>va</v>
      </c>
      <c r="J152" s="131" t="str">
        <f>IF(booking!Q152&gt;0,"oc","va")</f>
        <v>va</v>
      </c>
      <c r="K152" s="130" t="str">
        <f>IF(booking!T152&gt;0,"oc","va")</f>
        <v>va</v>
      </c>
      <c r="L152" s="131" t="str">
        <f>IF(booking!U152&gt;0,"oc","va")</f>
        <v>va</v>
      </c>
      <c r="M152" s="130" t="str">
        <f>IF(booking!X152&gt;0,"oc","va")</f>
        <v>va</v>
      </c>
      <c r="N152" s="131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30" t="str">
        <f>IF(booking!D153&gt;0,"oc","va")</f>
        <v>va</v>
      </c>
      <c r="D153" s="131" t="str">
        <f>IF(booking!E153&gt;0,"oc","va")</f>
        <v>va</v>
      </c>
      <c r="E153" s="130" t="str">
        <f>IF(booking!H153&gt;0,"oc","va")</f>
        <v>va</v>
      </c>
      <c r="F153" s="131" t="str">
        <f>IF(booking!I153&gt;0,"oc","va")</f>
        <v>va</v>
      </c>
      <c r="G153" s="130" t="str">
        <f>IF(booking!L153&gt;0,"oc","va")</f>
        <v>va</v>
      </c>
      <c r="H153" s="131" t="str">
        <f>IF(booking!M153&gt;0,"oc","va")</f>
        <v>va</v>
      </c>
      <c r="I153" s="130" t="str">
        <f>IF(booking!P153&gt;0,"oc","va")</f>
        <v>va</v>
      </c>
      <c r="J153" s="131" t="str">
        <f>IF(booking!Q153&gt;0,"oc","va")</f>
        <v>va</v>
      </c>
      <c r="K153" s="130" t="str">
        <f>IF(booking!T153&gt;0,"oc","va")</f>
        <v>va</v>
      </c>
      <c r="L153" s="131" t="str">
        <f>IF(booking!U153&gt;0,"oc","va")</f>
        <v>va</v>
      </c>
      <c r="M153" s="130" t="str">
        <f>IF(booking!X153&gt;0,"oc","va")</f>
        <v>va</v>
      </c>
      <c r="N153" s="131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30" t="str">
        <f>IF(booking!D154&gt;0,"oc","va")</f>
        <v>va</v>
      </c>
      <c r="D154" s="131" t="str">
        <f>IF(booking!E154&gt;0,"oc","va")</f>
        <v>va</v>
      </c>
      <c r="E154" s="130" t="str">
        <f>IF(booking!H154&gt;0,"oc","va")</f>
        <v>va</v>
      </c>
      <c r="F154" s="131" t="str">
        <f>IF(booking!I154&gt;0,"oc","va")</f>
        <v>va</v>
      </c>
      <c r="G154" s="130" t="str">
        <f>IF(booking!L154&gt;0,"oc","va")</f>
        <v>va</v>
      </c>
      <c r="H154" s="131" t="str">
        <f>IF(booking!M154&gt;0,"oc","va")</f>
        <v>va</v>
      </c>
      <c r="I154" s="130" t="str">
        <f>IF(booking!P154&gt;0,"oc","va")</f>
        <v>va</v>
      </c>
      <c r="J154" s="131" t="str">
        <f>IF(booking!Q154&gt;0,"oc","va")</f>
        <v>va</v>
      </c>
      <c r="K154" s="130" t="str">
        <f>IF(booking!T154&gt;0,"oc","va")</f>
        <v>va</v>
      </c>
      <c r="L154" s="131" t="str">
        <f>IF(booking!U154&gt;0,"oc","va")</f>
        <v>va</v>
      </c>
      <c r="M154" s="130" t="str">
        <f>IF(booking!X154&gt;0,"oc","va")</f>
        <v>va</v>
      </c>
      <c r="N154" s="131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30" t="str">
        <f>IF(booking!D155&gt;0,"oc","va")</f>
        <v>va</v>
      </c>
      <c r="D155" s="131" t="str">
        <f>IF(booking!E155&gt;0,"oc","va")</f>
        <v>va</v>
      </c>
      <c r="E155" s="130" t="str">
        <f>IF(booking!H155&gt;0,"oc","va")</f>
        <v>va</v>
      </c>
      <c r="F155" s="131" t="str">
        <f>IF(booking!I155&gt;0,"oc","va")</f>
        <v>va</v>
      </c>
      <c r="G155" s="130" t="str">
        <f>IF(booking!L155&gt;0,"oc","va")</f>
        <v>va</v>
      </c>
      <c r="H155" s="131" t="str">
        <f>IF(booking!M155&gt;0,"oc","va")</f>
        <v>va</v>
      </c>
      <c r="I155" s="130" t="str">
        <f>IF(booking!P155&gt;0,"oc","va")</f>
        <v>va</v>
      </c>
      <c r="J155" s="131" t="str">
        <f>IF(booking!Q155&gt;0,"oc","va")</f>
        <v>va</v>
      </c>
      <c r="K155" s="130" t="str">
        <f>IF(booking!T155&gt;0,"oc","va")</f>
        <v>va</v>
      </c>
      <c r="L155" s="131" t="str">
        <f>IF(booking!U155&gt;0,"oc","va")</f>
        <v>va</v>
      </c>
      <c r="M155" s="130" t="str">
        <f>IF(booking!X155&gt;0,"oc","va")</f>
        <v>va</v>
      </c>
      <c r="N155" s="131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30" t="str">
        <f>IF(booking!D156&gt;0,"oc","va")</f>
        <v>va</v>
      </c>
      <c r="D156" s="131" t="str">
        <f>IF(booking!E156&gt;0,"oc","va")</f>
        <v>va</v>
      </c>
      <c r="E156" s="130" t="str">
        <f>IF(booking!H156&gt;0,"oc","va")</f>
        <v>va</v>
      </c>
      <c r="F156" s="131" t="str">
        <f>IF(booking!I156&gt;0,"oc","va")</f>
        <v>va</v>
      </c>
      <c r="G156" s="130" t="str">
        <f>IF(booking!L156&gt;0,"oc","va")</f>
        <v>va</v>
      </c>
      <c r="H156" s="131" t="str">
        <f>IF(booking!M156&gt;0,"oc","va")</f>
        <v>va</v>
      </c>
      <c r="I156" s="130" t="str">
        <f>IF(booking!P156&gt;0,"oc","va")</f>
        <v>va</v>
      </c>
      <c r="J156" s="131" t="str">
        <f>IF(booking!Q156&gt;0,"oc","va")</f>
        <v>va</v>
      </c>
      <c r="K156" s="130" t="str">
        <f>IF(booking!T156&gt;0,"oc","va")</f>
        <v>va</v>
      </c>
      <c r="L156" s="131" t="str">
        <f>IF(booking!U156&gt;0,"oc","va")</f>
        <v>va</v>
      </c>
      <c r="M156" s="130" t="str">
        <f>IF(booking!X156&gt;0,"oc","va")</f>
        <v>va</v>
      </c>
      <c r="N156" s="131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30" t="str">
        <f>IF(booking!D157&gt;0,"oc","va")</f>
        <v>va</v>
      </c>
      <c r="D157" s="131" t="str">
        <f>IF(booking!E157&gt;0,"oc","va")</f>
        <v>va</v>
      </c>
      <c r="E157" s="130" t="str">
        <f>IF(booking!H157&gt;0,"oc","va")</f>
        <v>va</v>
      </c>
      <c r="F157" s="131" t="str">
        <f>IF(booking!I157&gt;0,"oc","va")</f>
        <v>va</v>
      </c>
      <c r="G157" s="130" t="str">
        <f>IF(booking!L157&gt;0,"oc","va")</f>
        <v>va</v>
      </c>
      <c r="H157" s="131" t="str">
        <f>IF(booking!M157&gt;0,"oc","va")</f>
        <v>va</v>
      </c>
      <c r="I157" s="130" t="str">
        <f>IF(booking!P157&gt;0,"oc","va")</f>
        <v>va</v>
      </c>
      <c r="J157" s="131" t="str">
        <f>IF(booking!Q157&gt;0,"oc","va")</f>
        <v>va</v>
      </c>
      <c r="K157" s="130" t="str">
        <f>IF(booking!T157&gt;0,"oc","va")</f>
        <v>va</v>
      </c>
      <c r="L157" s="131" t="str">
        <f>IF(booking!U157&gt;0,"oc","va")</f>
        <v>va</v>
      </c>
      <c r="M157" s="130" t="str">
        <f>IF(booking!X157&gt;0,"oc","va")</f>
        <v>va</v>
      </c>
      <c r="N157" s="131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30" t="str">
        <f>IF(booking!D158&gt;0,"oc","va")</f>
        <v>va</v>
      </c>
      <c r="D158" s="131" t="str">
        <f>IF(booking!E158&gt;0,"oc","va")</f>
        <v>va</v>
      </c>
      <c r="E158" s="130" t="str">
        <f>IF(booking!H158&gt;0,"oc","va")</f>
        <v>va</v>
      </c>
      <c r="F158" s="131" t="str">
        <f>IF(booking!I158&gt;0,"oc","va")</f>
        <v>va</v>
      </c>
      <c r="G158" s="130" t="str">
        <f>IF(booking!L158&gt;0,"oc","va")</f>
        <v>va</v>
      </c>
      <c r="H158" s="131" t="str">
        <f>IF(booking!M158&gt;0,"oc","va")</f>
        <v>va</v>
      </c>
      <c r="I158" s="130" t="str">
        <f>IF(booking!P158&gt;0,"oc","va")</f>
        <v>va</v>
      </c>
      <c r="J158" s="131" t="str">
        <f>IF(booking!Q158&gt;0,"oc","va")</f>
        <v>va</v>
      </c>
      <c r="K158" s="130" t="str">
        <f>IF(booking!T158&gt;0,"oc","va")</f>
        <v>va</v>
      </c>
      <c r="L158" s="131" t="str">
        <f>IF(booking!U158&gt;0,"oc","va")</f>
        <v>va</v>
      </c>
      <c r="M158" s="130" t="str">
        <f>IF(booking!X158&gt;0,"oc","va")</f>
        <v>va</v>
      </c>
      <c r="N158" s="131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30" t="str">
        <f>IF(booking!D159&gt;0,"oc","va")</f>
        <v>va</v>
      </c>
      <c r="D159" s="131" t="str">
        <f>IF(booking!E159&gt;0,"oc","va")</f>
        <v>va</v>
      </c>
      <c r="E159" s="130" t="str">
        <f>IF(booking!H159&gt;0,"oc","va")</f>
        <v>va</v>
      </c>
      <c r="F159" s="131" t="str">
        <f>IF(booking!I159&gt;0,"oc","va")</f>
        <v>va</v>
      </c>
      <c r="G159" s="130" t="str">
        <f>IF(booking!L159&gt;0,"oc","va")</f>
        <v>va</v>
      </c>
      <c r="H159" s="131" t="str">
        <f>IF(booking!M159&gt;0,"oc","va")</f>
        <v>va</v>
      </c>
      <c r="I159" s="130" t="str">
        <f>IF(booking!P159&gt;0,"oc","va")</f>
        <v>va</v>
      </c>
      <c r="J159" s="131" t="str">
        <f>IF(booking!Q159&gt;0,"oc","va")</f>
        <v>va</v>
      </c>
      <c r="K159" s="130" t="str">
        <f>IF(booking!T159&gt;0,"oc","va")</f>
        <v>va</v>
      </c>
      <c r="L159" s="131" t="str">
        <f>IF(booking!U159&gt;0,"oc","va")</f>
        <v>va</v>
      </c>
      <c r="M159" s="130" t="str">
        <f>IF(booking!X159&gt;0,"oc","va")</f>
        <v>va</v>
      </c>
      <c r="N159" s="131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30" t="str">
        <f>IF(booking!D160&gt;0,"oc","va")</f>
        <v>va</v>
      </c>
      <c r="D160" s="131" t="str">
        <f>IF(booking!E160&gt;0,"oc","va")</f>
        <v>va</v>
      </c>
      <c r="E160" s="130" t="str">
        <f>IF(booking!H160&gt;0,"oc","va")</f>
        <v>va</v>
      </c>
      <c r="F160" s="131" t="str">
        <f>IF(booking!I160&gt;0,"oc","va")</f>
        <v>va</v>
      </c>
      <c r="G160" s="130" t="str">
        <f>IF(booking!L160&gt;0,"oc","va")</f>
        <v>va</v>
      </c>
      <c r="H160" s="131" t="str">
        <f>IF(booking!M160&gt;0,"oc","va")</f>
        <v>va</v>
      </c>
      <c r="I160" s="130" t="str">
        <f>IF(booking!P160&gt;0,"oc","va")</f>
        <v>va</v>
      </c>
      <c r="J160" s="131" t="str">
        <f>IF(booking!Q160&gt;0,"oc","va")</f>
        <v>va</v>
      </c>
      <c r="K160" s="130" t="str">
        <f>IF(booking!T160&gt;0,"oc","va")</f>
        <v>va</v>
      </c>
      <c r="L160" s="131" t="str">
        <f>IF(booking!U160&gt;0,"oc","va")</f>
        <v>va</v>
      </c>
      <c r="M160" s="130" t="str">
        <f>IF(booking!X160&gt;0,"oc","va")</f>
        <v>va</v>
      </c>
      <c r="N160" s="131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30" t="str">
        <f>IF(booking!D161&gt;0,"oc","va")</f>
        <v>va</v>
      </c>
      <c r="D161" s="131" t="str">
        <f>IF(booking!E161&gt;0,"oc","va")</f>
        <v>va</v>
      </c>
      <c r="E161" s="130" t="str">
        <f>IF(booking!H161&gt;0,"oc","va")</f>
        <v>va</v>
      </c>
      <c r="F161" s="131" t="str">
        <f>IF(booking!I161&gt;0,"oc","va")</f>
        <v>va</v>
      </c>
      <c r="G161" s="130" t="str">
        <f>IF(booking!L161&gt;0,"oc","va")</f>
        <v>va</v>
      </c>
      <c r="H161" s="131" t="str">
        <f>IF(booking!M161&gt;0,"oc","va")</f>
        <v>va</v>
      </c>
      <c r="I161" s="130" t="str">
        <f>IF(booking!P161&gt;0,"oc","va")</f>
        <v>va</v>
      </c>
      <c r="J161" s="131" t="str">
        <f>IF(booking!Q161&gt;0,"oc","va")</f>
        <v>va</v>
      </c>
      <c r="K161" s="130" t="str">
        <f>IF(booking!T161&gt;0,"oc","va")</f>
        <v>va</v>
      </c>
      <c r="L161" s="131" t="str">
        <f>IF(booking!U161&gt;0,"oc","va")</f>
        <v>va</v>
      </c>
      <c r="M161" s="130" t="str">
        <f>IF(booking!X161&gt;0,"oc","va")</f>
        <v>va</v>
      </c>
      <c r="N161" s="131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160</v>
      </c>
      <c r="C162" s="130" t="str">
        <f>IF(booking!D162&gt;0,"oc","va")</f>
        <v>va</v>
      </c>
      <c r="D162" s="131" t="str">
        <f>IF(booking!E162&gt;0,"oc","va")</f>
        <v>va</v>
      </c>
      <c r="E162" s="130" t="str">
        <f>IF(booking!H162&gt;0,"oc","va")</f>
        <v>va</v>
      </c>
      <c r="F162" s="131" t="str">
        <f>IF(booking!I162&gt;0,"oc","va")</f>
        <v>va</v>
      </c>
      <c r="G162" s="130" t="str">
        <f>IF(booking!L162&gt;0,"oc","va")</f>
        <v>va</v>
      </c>
      <c r="H162" s="131" t="str">
        <f>IF(booking!M162&gt;0,"oc","va")</f>
        <v>va</v>
      </c>
      <c r="I162" s="130" t="str">
        <f>IF(booking!P162&gt;0,"oc","va")</f>
        <v>va</v>
      </c>
      <c r="J162" s="131" t="str">
        <f>IF(booking!Q162&gt;0,"oc","va")</f>
        <v>va</v>
      </c>
      <c r="K162" s="130" t="str">
        <f>IF(booking!T162&gt;0,"oc","va")</f>
        <v>va</v>
      </c>
      <c r="L162" s="131" t="str">
        <f>IF(booking!U162&gt;0,"oc","va")</f>
        <v>va</v>
      </c>
      <c r="M162" s="130" t="str">
        <f>IF(booking!X162&gt;0,"oc","va")</f>
        <v>va</v>
      </c>
      <c r="N162" s="131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30" t="str">
        <f>IF(booking!D163&gt;0,"oc","va")</f>
        <v>va</v>
      </c>
      <c r="D163" s="131" t="str">
        <f>IF(booking!E163&gt;0,"oc","va")</f>
        <v>va</v>
      </c>
      <c r="E163" s="130" t="str">
        <f>IF(booking!H163&gt;0,"oc","va")</f>
        <v>va</v>
      </c>
      <c r="F163" s="131" t="str">
        <f>IF(booking!I163&gt;0,"oc","va")</f>
        <v>va</v>
      </c>
      <c r="G163" s="130" t="str">
        <f>IF(booking!L163&gt;0,"oc","va")</f>
        <v>va</v>
      </c>
      <c r="H163" s="131" t="str">
        <f>IF(booking!M163&gt;0,"oc","va")</f>
        <v>va</v>
      </c>
      <c r="I163" s="130" t="str">
        <f>IF(booking!P163&gt;0,"oc","va")</f>
        <v>va</v>
      </c>
      <c r="J163" s="131" t="str">
        <f>IF(booking!Q163&gt;0,"oc","va")</f>
        <v>va</v>
      </c>
      <c r="K163" s="130" t="str">
        <f>IF(booking!T163&gt;0,"oc","va")</f>
        <v>va</v>
      </c>
      <c r="L163" s="131" t="str">
        <f>IF(booking!U163&gt;0,"oc","va")</f>
        <v>va</v>
      </c>
      <c r="M163" s="130" t="str">
        <f>IF(booking!X163&gt;0,"oc","va")</f>
        <v>va</v>
      </c>
      <c r="N163" s="131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30" t="str">
        <f>IF(booking!D164&gt;0,"oc","va")</f>
        <v>va</v>
      </c>
      <c r="D164" s="131" t="str">
        <f>IF(booking!E164&gt;0,"oc","va")</f>
        <v>va</v>
      </c>
      <c r="E164" s="130" t="str">
        <f>IF(booking!H164&gt;0,"oc","va")</f>
        <v>va</v>
      </c>
      <c r="F164" s="131" t="str">
        <f>IF(booking!I164&gt;0,"oc","va")</f>
        <v>va</v>
      </c>
      <c r="G164" s="130" t="str">
        <f>IF(booking!L164&gt;0,"oc","va")</f>
        <v>va</v>
      </c>
      <c r="H164" s="131" t="str">
        <f>IF(booking!M164&gt;0,"oc","va")</f>
        <v>va</v>
      </c>
      <c r="I164" s="130" t="str">
        <f>IF(booking!P164&gt;0,"oc","va")</f>
        <v>va</v>
      </c>
      <c r="J164" s="131" t="str">
        <f>IF(booking!Q164&gt;0,"oc","va")</f>
        <v>va</v>
      </c>
      <c r="K164" s="130" t="str">
        <f>IF(booking!T164&gt;0,"oc","va")</f>
        <v>va</v>
      </c>
      <c r="L164" s="131" t="str">
        <f>IF(booking!U164&gt;0,"oc","va")</f>
        <v>va</v>
      </c>
      <c r="M164" s="130" t="str">
        <f>IF(booking!X164&gt;0,"oc","va")</f>
        <v>va</v>
      </c>
      <c r="N164" s="131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30" t="str">
        <f>IF(booking!D165&gt;0,"oc","va")</f>
        <v>va</v>
      </c>
      <c r="D165" s="131" t="str">
        <f>IF(booking!E165&gt;0,"oc","va")</f>
        <v>va</v>
      </c>
      <c r="E165" s="130" t="str">
        <f>IF(booking!H165&gt;0,"oc","va")</f>
        <v>va</v>
      </c>
      <c r="F165" s="131" t="str">
        <f>IF(booking!I165&gt;0,"oc","va")</f>
        <v>va</v>
      </c>
      <c r="G165" s="130" t="str">
        <f>IF(booking!L165&gt;0,"oc","va")</f>
        <v>va</v>
      </c>
      <c r="H165" s="131" t="str">
        <f>IF(booking!M165&gt;0,"oc","va")</f>
        <v>va</v>
      </c>
      <c r="I165" s="130" t="str">
        <f>IF(booking!P165&gt;0,"oc","va")</f>
        <v>va</v>
      </c>
      <c r="J165" s="131" t="str">
        <f>IF(booking!Q165&gt;0,"oc","va")</f>
        <v>va</v>
      </c>
      <c r="K165" s="130" t="str">
        <f>IF(booking!T165&gt;0,"oc","va")</f>
        <v>va</v>
      </c>
      <c r="L165" s="131" t="str">
        <f>IF(booking!U165&gt;0,"oc","va")</f>
        <v>va</v>
      </c>
      <c r="M165" s="130" t="str">
        <f>IF(booking!X165&gt;0,"oc","va")</f>
        <v>va</v>
      </c>
      <c r="N165" s="131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30" t="str">
        <f>IF(booking!D166&gt;0,"oc","va")</f>
        <v>va</v>
      </c>
      <c r="D166" s="131" t="str">
        <f>IF(booking!E166&gt;0,"oc","va")</f>
        <v>va</v>
      </c>
      <c r="E166" s="130" t="str">
        <f>IF(booking!H166&gt;0,"oc","va")</f>
        <v>va</v>
      </c>
      <c r="F166" s="131" t="str">
        <f>IF(booking!I166&gt;0,"oc","va")</f>
        <v>va</v>
      </c>
      <c r="G166" s="130" t="str">
        <f>IF(booking!L166&gt;0,"oc","va")</f>
        <v>va</v>
      </c>
      <c r="H166" s="131" t="str">
        <f>IF(booking!M166&gt;0,"oc","va")</f>
        <v>va</v>
      </c>
      <c r="I166" s="130" t="str">
        <f>IF(booking!P166&gt;0,"oc","va")</f>
        <v>va</v>
      </c>
      <c r="J166" s="131" t="str">
        <f>IF(booking!Q166&gt;0,"oc","va")</f>
        <v>va</v>
      </c>
      <c r="K166" s="130" t="str">
        <f>IF(booking!T166&gt;0,"oc","va")</f>
        <v>va</v>
      </c>
      <c r="L166" s="131" t="str">
        <f>IF(booking!U166&gt;0,"oc","va")</f>
        <v>va</v>
      </c>
      <c r="M166" s="130" t="str">
        <f>IF(booking!X166&gt;0,"oc","va")</f>
        <v>va</v>
      </c>
      <c r="N166" s="131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30" t="str">
        <f>IF(booking!D167&gt;0,"oc","va")</f>
        <v>va</v>
      </c>
      <c r="D167" s="131" t="str">
        <f>IF(booking!E167&gt;0,"oc","va")</f>
        <v>va</v>
      </c>
      <c r="E167" s="130" t="str">
        <f>IF(booking!H167&gt;0,"oc","va")</f>
        <v>va</v>
      </c>
      <c r="F167" s="131" t="str">
        <f>IF(booking!I167&gt;0,"oc","va")</f>
        <v>va</v>
      </c>
      <c r="G167" s="130" t="str">
        <f>IF(booking!L167&gt;0,"oc","va")</f>
        <v>va</v>
      </c>
      <c r="H167" s="131" t="str">
        <f>IF(booking!M167&gt;0,"oc","va")</f>
        <v>va</v>
      </c>
      <c r="I167" s="130" t="str">
        <f>IF(booking!P167&gt;0,"oc","va")</f>
        <v>va</v>
      </c>
      <c r="J167" s="131" t="str">
        <f>IF(booking!Q167&gt;0,"oc","va")</f>
        <v>va</v>
      </c>
      <c r="K167" s="130" t="str">
        <f>IF(booking!T167&gt;0,"oc","va")</f>
        <v>va</v>
      </c>
      <c r="L167" s="131" t="str">
        <f>IF(booking!U167&gt;0,"oc","va")</f>
        <v>va</v>
      </c>
      <c r="M167" s="130" t="str">
        <f>IF(booking!X167&gt;0,"oc","va")</f>
        <v>va</v>
      </c>
      <c r="N167" s="131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30" t="str">
        <f>IF(booking!D168&gt;0,"oc","va")</f>
        <v>va</v>
      </c>
      <c r="D168" s="131" t="str">
        <f>IF(booking!E168&gt;0,"oc","va")</f>
        <v>va</v>
      </c>
      <c r="E168" s="130" t="str">
        <f>IF(booking!H168&gt;0,"oc","va")</f>
        <v>va</v>
      </c>
      <c r="F168" s="131" t="str">
        <f>IF(booking!I168&gt;0,"oc","va")</f>
        <v>va</v>
      </c>
      <c r="G168" s="130" t="str">
        <f>IF(booking!L168&gt;0,"oc","va")</f>
        <v>va</v>
      </c>
      <c r="H168" s="131" t="str">
        <f>IF(booking!M168&gt;0,"oc","va")</f>
        <v>va</v>
      </c>
      <c r="I168" s="130" t="str">
        <f>IF(booking!P168&gt;0,"oc","va")</f>
        <v>va</v>
      </c>
      <c r="J168" s="131" t="str">
        <f>IF(booking!Q168&gt;0,"oc","va")</f>
        <v>va</v>
      </c>
      <c r="K168" s="130" t="str">
        <f>IF(booking!T168&gt;0,"oc","va")</f>
        <v>va</v>
      </c>
      <c r="L168" s="131" t="str">
        <f>IF(booking!U168&gt;0,"oc","va")</f>
        <v>va</v>
      </c>
      <c r="M168" s="130" t="str">
        <f>IF(booking!X168&gt;0,"oc","va")</f>
        <v>va</v>
      </c>
      <c r="N168" s="131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30" t="str">
        <f>IF(booking!D169&gt;0,"oc","va")</f>
        <v>va</v>
      </c>
      <c r="D169" s="131" t="str">
        <f>IF(booking!E169&gt;0,"oc","va")</f>
        <v>va</v>
      </c>
      <c r="E169" s="130" t="str">
        <f>IF(booking!H169&gt;0,"oc","va")</f>
        <v>va</v>
      </c>
      <c r="F169" s="131" t="str">
        <f>IF(booking!I169&gt;0,"oc","va")</f>
        <v>va</v>
      </c>
      <c r="G169" s="130" t="str">
        <f>IF(booking!L169&gt;0,"oc","va")</f>
        <v>va</v>
      </c>
      <c r="H169" s="131" t="str">
        <f>IF(booking!M169&gt;0,"oc","va")</f>
        <v>va</v>
      </c>
      <c r="I169" s="130" t="str">
        <f>IF(booking!P169&gt;0,"oc","va")</f>
        <v>va</v>
      </c>
      <c r="J169" s="131" t="str">
        <f>IF(booking!Q169&gt;0,"oc","va")</f>
        <v>va</v>
      </c>
      <c r="K169" s="130" t="str">
        <f>IF(booking!T169&gt;0,"oc","va")</f>
        <v>va</v>
      </c>
      <c r="L169" s="131" t="str">
        <f>IF(booking!U169&gt;0,"oc","va")</f>
        <v>va</v>
      </c>
      <c r="M169" s="130" t="str">
        <f>IF(booking!X169&gt;0,"oc","va")</f>
        <v>va</v>
      </c>
      <c r="N169" s="131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30" t="str">
        <f>IF(booking!D170&gt;0,"oc","va")</f>
        <v>va</v>
      </c>
      <c r="D170" s="131" t="str">
        <f>IF(booking!E170&gt;0,"oc","va")</f>
        <v>va</v>
      </c>
      <c r="E170" s="130" t="str">
        <f>IF(booking!H170&gt;0,"oc","va")</f>
        <v>va</v>
      </c>
      <c r="F170" s="131" t="str">
        <f>IF(booking!I170&gt;0,"oc","va")</f>
        <v>va</v>
      </c>
      <c r="G170" s="130" t="str">
        <f>IF(booking!L170&gt;0,"oc","va")</f>
        <v>va</v>
      </c>
      <c r="H170" s="131" t="str">
        <f>IF(booking!M170&gt;0,"oc","va")</f>
        <v>va</v>
      </c>
      <c r="I170" s="130" t="str">
        <f>IF(booking!P170&gt;0,"oc","va")</f>
        <v>va</v>
      </c>
      <c r="J170" s="131" t="str">
        <f>IF(booking!Q170&gt;0,"oc","va")</f>
        <v>va</v>
      </c>
      <c r="K170" s="130" t="str">
        <f>IF(booking!T170&gt;0,"oc","va")</f>
        <v>va</v>
      </c>
      <c r="L170" s="131" t="str">
        <f>IF(booking!U170&gt;0,"oc","va")</f>
        <v>va</v>
      </c>
      <c r="M170" s="130" t="str">
        <f>IF(booking!X170&gt;0,"oc","va")</f>
        <v>va</v>
      </c>
      <c r="N170" s="131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30" t="str">
        <f>IF(booking!D171&gt;0,"oc","va")</f>
        <v>va</v>
      </c>
      <c r="D171" s="131" t="str">
        <f>IF(booking!E171&gt;0,"oc","va")</f>
        <v>va</v>
      </c>
      <c r="E171" s="130" t="str">
        <f>IF(booking!H171&gt;0,"oc","va")</f>
        <v>va</v>
      </c>
      <c r="F171" s="131" t="str">
        <f>IF(booking!I171&gt;0,"oc","va")</f>
        <v>va</v>
      </c>
      <c r="G171" s="130" t="str">
        <f>IF(booking!L171&gt;0,"oc","va")</f>
        <v>va</v>
      </c>
      <c r="H171" s="131" t="str">
        <f>IF(booking!M171&gt;0,"oc","va")</f>
        <v>va</v>
      </c>
      <c r="I171" s="130" t="str">
        <f>IF(booking!P171&gt;0,"oc","va")</f>
        <v>va</v>
      </c>
      <c r="J171" s="131" t="str">
        <f>IF(booking!Q171&gt;0,"oc","va")</f>
        <v>va</v>
      </c>
      <c r="K171" s="130" t="str">
        <f>IF(booking!T171&gt;0,"oc","va")</f>
        <v>va</v>
      </c>
      <c r="L171" s="131" t="str">
        <f>IF(booking!U171&gt;0,"oc","va")</f>
        <v>va</v>
      </c>
      <c r="M171" s="130" t="str">
        <f>IF(booking!X171&gt;0,"oc","va")</f>
        <v>va</v>
      </c>
      <c r="N171" s="131" t="str">
        <f>IF(booking!Y171&gt;0,"oc","va")</f>
        <v>va</v>
      </c>
    </row>
    <row r="172" spans="1:14" x14ac:dyDescent="0.35">
      <c r="A172" s="5"/>
      <c r="B172" s="5"/>
      <c r="D172" s="17"/>
    </row>
    <row r="173" spans="1:14" x14ac:dyDescent="0.35">
      <c r="A173" s="5"/>
      <c r="B173" s="5"/>
      <c r="D173" s="17"/>
    </row>
    <row r="174" spans="1:14" x14ac:dyDescent="0.35">
      <c r="A174" s="5"/>
      <c r="B174" s="5"/>
      <c r="D174" s="17"/>
    </row>
    <row r="175" spans="1:14" x14ac:dyDescent="0.35">
      <c r="A175" s="5"/>
      <c r="B175" s="5"/>
      <c r="D175" s="17"/>
    </row>
    <row r="176" spans="1:14" x14ac:dyDescent="0.35">
      <c r="A176" s="5"/>
      <c r="B176" s="5"/>
      <c r="D176" s="17"/>
    </row>
    <row r="177" spans="1:4" x14ac:dyDescent="0.35">
      <c r="A177" s="5"/>
      <c r="B177" s="5"/>
      <c r="D177" s="17"/>
    </row>
    <row r="178" spans="1:4" x14ac:dyDescent="0.35">
      <c r="A178" s="5"/>
      <c r="B178" s="5"/>
      <c r="D178" s="17"/>
    </row>
    <row r="179" spans="1:4" x14ac:dyDescent="0.35">
      <c r="A179" s="5"/>
      <c r="B179" s="5"/>
      <c r="D179" s="17"/>
    </row>
    <row r="180" spans="1:4" x14ac:dyDescent="0.35">
      <c r="A180" s="5"/>
      <c r="B180" s="5"/>
      <c r="D180" s="17"/>
    </row>
    <row r="181" spans="1:4" x14ac:dyDescent="0.35">
      <c r="A181" s="5"/>
      <c r="B181" s="5"/>
      <c r="D181" s="17"/>
    </row>
    <row r="182" spans="1:4" x14ac:dyDescent="0.35">
      <c r="A182" s="5"/>
      <c r="B182" s="5"/>
      <c r="D182" s="17"/>
    </row>
    <row r="183" spans="1:4" x14ac:dyDescent="0.35">
      <c r="A183" s="5"/>
      <c r="B183" s="5"/>
      <c r="D183" s="17"/>
    </row>
    <row r="184" spans="1:4" x14ac:dyDescent="0.35">
      <c r="A184" s="5"/>
      <c r="B184" s="5"/>
      <c r="D184" s="17"/>
    </row>
    <row r="185" spans="1:4" x14ac:dyDescent="0.35">
      <c r="A185" s="5"/>
      <c r="B185" s="5"/>
      <c r="D185" s="17"/>
    </row>
    <row r="186" spans="1:4" x14ac:dyDescent="0.35">
      <c r="A186" s="5"/>
      <c r="B186" s="5"/>
      <c r="D186" s="17"/>
    </row>
    <row r="187" spans="1:4" x14ac:dyDescent="0.35">
      <c r="A187" s="5"/>
      <c r="B187" s="5"/>
      <c r="D187" s="17"/>
    </row>
    <row r="188" spans="1:4" x14ac:dyDescent="0.35">
      <c r="A188" s="5"/>
      <c r="B188" s="5"/>
      <c r="D188" s="17"/>
    </row>
    <row r="189" spans="1:4" x14ac:dyDescent="0.35">
      <c r="A189" s="5"/>
      <c r="B189" s="5"/>
      <c r="D189" s="17"/>
    </row>
    <row r="190" spans="1:4" x14ac:dyDescent="0.35">
      <c r="A190" s="5"/>
      <c r="B190" s="5"/>
      <c r="D190" s="17"/>
    </row>
    <row r="191" spans="1:4" x14ac:dyDescent="0.35">
      <c r="A191" s="5"/>
      <c r="B191" s="5"/>
      <c r="D191" s="17"/>
    </row>
    <row r="192" spans="1:4" x14ac:dyDescent="0.35">
      <c r="A192" s="5"/>
      <c r="B192" s="5"/>
      <c r="D192" s="17"/>
    </row>
    <row r="193" spans="1:4" x14ac:dyDescent="0.35">
      <c r="A193" s="5"/>
      <c r="B193" s="5"/>
      <c r="D193" s="17"/>
    </row>
    <row r="194" spans="1:4" x14ac:dyDescent="0.35">
      <c r="A194" s="5"/>
      <c r="B194" s="5"/>
      <c r="D194" s="17"/>
    </row>
    <row r="195" spans="1:4" x14ac:dyDescent="0.35">
      <c r="A195" s="5"/>
      <c r="B195" s="5"/>
      <c r="D195" s="17"/>
    </row>
    <row r="196" spans="1:4" x14ac:dyDescent="0.35">
      <c r="A196" s="5"/>
      <c r="B196" s="5"/>
      <c r="D196" s="17"/>
    </row>
    <row r="197" spans="1:4" x14ac:dyDescent="0.35">
      <c r="A197" s="5"/>
      <c r="B197" s="5"/>
      <c r="D197" s="17"/>
    </row>
    <row r="198" spans="1:4" x14ac:dyDescent="0.35">
      <c r="A198" s="5"/>
      <c r="B198" s="5"/>
      <c r="D198" s="17"/>
    </row>
    <row r="199" spans="1:4" x14ac:dyDescent="0.35">
      <c r="A199" s="5"/>
      <c r="B199" s="5"/>
      <c r="D199" s="17"/>
    </row>
    <row r="200" spans="1:4" x14ac:dyDescent="0.35">
      <c r="A200" s="5"/>
      <c r="B200" s="5"/>
      <c r="D200" s="17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2026-04-18T08:00:23Z</cp:lastPrinted>
  <dcterms:created xsi:type="dcterms:W3CDTF">2024-07-25T07:35:10Z</dcterms:created>
  <dcterms:modified xsi:type="dcterms:W3CDTF">2026-05-04T16:08:31Z</dcterms:modified>
  <cp:category/>
  <cp:contentStatus/>
</cp:coreProperties>
</file>
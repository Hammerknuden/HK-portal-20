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16" documentId="8_{AC379FEE-905F-41E2-9E84-8018E4E04006}" xr6:coauthVersionLast="47" xr6:coauthVersionMax="47" xr10:uidLastSave="{500F3A74-BD25-44F7-93FC-249098812EAB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<sst xmlns="http://schemas.openxmlformats.org/spreadsheetml/2006/main" count="1678" uniqueCount="556">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</sst>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0" xfId="0"/>
    <xf numFmtId="166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203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840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4"/>
  <sheetViews>
    <sheetView topLeftCell="I1" workbookViewId="0">
      <pane ySplit="1" topLeftCell="A160" activePane="bottomLeft" state="frozen"/>
      <selection pane="bottomLeft" activeCell="O174" sqref="O17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7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5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5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5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5">
      <c r="A68" s="2">
        <v>58</v>
      </c>
      <c r="C68" s="22">
        <v>46229</v>
      </c>
      <c r="G68" t="s">
        <v>6</v>
      </c>
      <c r="M68" s="113"/>
      <c r="R68" s="154"/>
    </row>
    <row r="69" spans="1:20" x14ac:dyDescent="0.35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5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5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5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5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5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5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5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5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5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5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5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5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5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5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5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5">
      <c r="A85" s="2">
        <v>74</v>
      </c>
      <c r="G85" t="s">
        <v>6</v>
      </c>
      <c r="M85" s="113"/>
      <c r="R85" s="154"/>
    </row>
    <row r="86" spans="1:20" x14ac:dyDescent="0.35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5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5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5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5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5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5">
      <c r="A92" s="2">
        <v>80</v>
      </c>
      <c r="G92" t="s">
        <v>6</v>
      </c>
      <c r="M92" s="113"/>
      <c r="N92" s="146"/>
    </row>
    <row r="93" spans="1:20" x14ac:dyDescent="0.35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5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5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5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5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5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5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5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5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5">
      <c r="G102" t="s">
        <v>6</v>
      </c>
      <c r="M102" s="113"/>
      <c r="N102"/>
      <c r="O102"/>
    </row>
    <row r="103" spans="1:20" x14ac:dyDescent="0.35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5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5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5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5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5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5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5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5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5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5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5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5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5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5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5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5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5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5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5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5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5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5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5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5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5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5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5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5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5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5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5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5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5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5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5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5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5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5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5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5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5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5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5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5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5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5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5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5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5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5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5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5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5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5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5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5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5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5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5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5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5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5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5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5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5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5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5">
      <c r="A172" s="2">
        <v>158</v>
      </c>
      <c r="B172" t="s">
        <v>552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553</v>
      </c>
    </row>
    <row r="173" spans="1:20" x14ac:dyDescent="0.35">
      <c r="A173" s="2">
        <v>159</v>
      </c>
      <c r="B173" t="s">
        <v>554</v>
      </c>
      <c r="C173" s="192">
        <v>46254</v>
      </c>
      <c r="D173" s="192">
        <v>46257</v>
      </c>
      <c r="E173" s="192">
        <v>46236</v>
      </c>
      <c r="F173" t="s">
        <v>52</v>
      </c>
      <c r="G173" t="s">
        <v>35</v>
      </c>
      <c r="H173"/>
      <c r="I173"/>
      <c r="J173" s="205">
        <v>0</v>
      </c>
      <c r="K173">
        <v>1</v>
      </c>
      <c r="L173">
        <v>2</v>
      </c>
      <c r="N173"/>
      <c r="O173"/>
      <c r="P173" s="2" t="s">
        <v>20</v>
      </c>
      <c r="Q173" s="2" t="s">
        <v>20</v>
      </c>
      <c r="R173" s="122">
        <v>2850</v>
      </c>
      <c r="S173" s="2" t="s">
        <v>20</v>
      </c>
    </row>
    <row r="174" spans="1:20" x14ac:dyDescent="0.35">
      <c r="A174" s="2">
        <v>160</v>
      </c>
      <c r="B174" s="222" t="s">
        <v>555</v>
      </c>
      <c r="C174" s="223">
        <v>46240</v>
      </c>
      <c r="D174" s="223">
        <v>46243</v>
      </c>
      <c r="E174" s="223">
        <v>46237</v>
      </c>
      <c r="F174" s="222" t="s">
        <v>20</v>
      </c>
      <c r="G174" s="222" t="s">
        <v>35</v>
      </c>
      <c r="H174" s="222"/>
      <c r="I174" s="222"/>
      <c r="J174" s="205">
        <v>0</v>
      </c>
      <c r="K174" s="222">
        <v>1</v>
      </c>
      <c r="L174" s="222">
        <v>2</v>
      </c>
      <c r="M174" s="222"/>
      <c r="N174" s="222"/>
      <c r="O174" s="222"/>
      <c r="P174" s="2" t="s">
        <v>20</v>
      </c>
      <c r="Q174" s="2" t="s">
        <v>21</v>
      </c>
      <c r="R174" s="122">
        <v>3825</v>
      </c>
      <c r="S174" s="2" t="s">
        <v>20</v>
      </c>
      <c r="T174" s="222"/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Database!A173</f>
        <v>159</v>
      </c>
      <c r="B160" s="22">
        <f>Database!E173</f>
        <v>46236</v>
      </c>
      <c r="C160">
        <f>IF(Database!G173="cansl",0,Database!K173)</f>
        <v>1</v>
      </c>
      <c r="D160">
        <f>Database!D173-Database!C173</f>
        <v>3</v>
      </c>
      <c r="F160">
        <f>Database!L173</f>
        <v>2</v>
      </c>
      <c r="G160" t="str">
        <f>Database!F173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Database!A174</f>
        <v>160</v>
      </c>
      <c r="B161" s="22">
        <f>Database!E174</f>
        <v>46237</v>
      </c>
      <c r="C161">
        <f>IF(Database!G174="cansl",0,Database!K174)</f>
        <v>1</v>
      </c>
      <c r="D161">
        <f>Database!D174-Database!C174</f>
        <v>3</v>
      </c>
      <c r="F161">
        <f>Database!L174</f>
        <v>2</v>
      </c>
      <c r="G161" t="str">
        <f>Database!F174</f>
        <v>N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3</v>
      </c>
      <c r="AR161">
        <f t="shared" si="136"/>
        <v>3</v>
      </c>
      <c r="AS161">
        <f t="shared" si="136"/>
        <v>3</v>
      </c>
      <c r="AT161">
        <f t="shared" si="136"/>
        <v>3</v>
      </c>
      <c r="AU161">
        <f t="shared" si="136"/>
        <v>3</v>
      </c>
      <c r="AV161">
        <f t="shared" si="136"/>
        <v>3</v>
      </c>
      <c r="AW161">
        <f t="shared" si="136"/>
        <v>3</v>
      </c>
      <c r="AX161">
        <f t="shared" si="136"/>
        <v>3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2</v>
      </c>
      <c r="BG161" s="32">
        <f t="shared" si="115"/>
        <v>6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Database!A175</f>
        <v>0</v>
      </c>
      <c r="B162" s="22">
        <f>Database!E175</f>
        <v>0</v>
      </c>
      <c r="C162">
        <f>IF(Database!G175="cansl",0,Database!K175)</f>
        <v>0</v>
      </c>
      <c r="D162">
        <f>Database!D175-Database!C175</f>
        <v>0</v>
      </c>
      <c r="F162">
        <f>Database!L175</f>
        <v>0</v>
      </c>
      <c r="G162">
        <f>Database!F175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203</v>
      </c>
      <c r="BC196" s="32">
        <f t="shared" si="167"/>
        <v>840</v>
      </c>
      <c r="BD196" s="32">
        <f t="shared" si="167"/>
        <v>25</v>
      </c>
      <c r="BE196" s="32">
        <f t="shared" si="167"/>
        <v>87</v>
      </c>
      <c r="BF196" s="32">
        <f t="shared" si="167"/>
        <v>4</v>
      </c>
      <c r="BG196" s="32">
        <f t="shared" si="167"/>
        <v>14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629</v>
      </c>
      <c r="AQ198">
        <f t="shared" si="168"/>
        <v>632</v>
      </c>
      <c r="AR198">
        <f t="shared" si="168"/>
        <v>632</v>
      </c>
      <c r="AS198">
        <f t="shared" si="168"/>
        <v>632</v>
      </c>
      <c r="AT198">
        <f t="shared" si="168"/>
        <v>632</v>
      </c>
      <c r="AU198">
        <f t="shared" si="168"/>
        <v>632</v>
      </c>
      <c r="AV198">
        <f t="shared" si="168"/>
        <v>632</v>
      </c>
      <c r="AW198">
        <f t="shared" si="168"/>
        <v>632</v>
      </c>
      <c r="AX198">
        <f t="shared" si="168"/>
        <v>632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203</v>
      </c>
      <c r="BE202" s="32">
        <f>BD196</f>
        <v>25</v>
      </c>
      <c r="BF202" s="32">
        <f>BF196</f>
        <v>4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840</v>
      </c>
      <c r="BE203" s="38">
        <f>BE196</f>
        <v>87</v>
      </c>
      <c r="BF203" s="38">
        <f>BG196</f>
        <v>14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203</v>
      </c>
      <c r="C30" s="32">
        <f>'book stat'!BE202</f>
        <v>25</v>
      </c>
      <c r="D30" s="32">
        <f>'book stat'!BF202</f>
        <v>4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840</v>
      </c>
      <c r="C31" s="32">
        <f>'book stat'!BE203</f>
        <v>87</v>
      </c>
      <c r="D31" s="32">
        <f>'book stat'!BF203</f>
        <v>14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0" activePane="bottomLeft" state="frozen"/>
      <selection pane="bottomLeft" activeCell="L107" sqref="L107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609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9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7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7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N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>
        <f>IF(AND(D103="Y",booking!L103&lt;&gt;booking!M103,booking!M103&gt;0),booking!M103,"-")</f>
        <v>160</v>
      </c>
      <c r="P103" s="76">
        <f>IFERROR(VLOOKUP(O103,Database!$A$2:$L$188,8,FALSE),"-")</f>
        <v>0</v>
      </c>
      <c r="Q103" s="76" t="str">
        <f>IFERROR(VLOOKUP(O103,Database!$A$2:$L$188,6,FALSE),"-")</f>
        <v>N</v>
      </c>
      <c r="R103" s="80">
        <f>IFERROR(VLOOKUP(O103,Database!$A$2:$L$188,9,FALSE),"-")</f>
        <v>0</v>
      </c>
      <c r="S103" s="203" t="str">
        <f>IFERROR(VLOOKUP(O103,Database!$A$2:$S$188,19,FALSE),"-")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>
        <f>IF(AND(D117="Y",booking!H117&lt;&gt;booking!I117,booking!I117&gt;0),booking!I117,"-")</f>
        <v>159</v>
      </c>
      <c r="K117" s="76">
        <f>IFERROR(VLOOKUP(J117,Database!$A$2:$L$188,8,FALSE),"-")</f>
        <v>0</v>
      </c>
      <c r="L117" s="76" t="str">
        <f>IFERROR(VLOOKUP(J117,Database!$A$2:$L$188,6,FALSE),"-")</f>
        <v>DK</v>
      </c>
      <c r="M117" s="91">
        <f>IFERROR(VLOOKUP(J117,Database!$A$2:$L$188,9,FALSE),"-")</f>
        <v>0</v>
      </c>
      <c r="N117" s="203" t="str">
        <f>IFERROR(VLOOKUP(J117,Database!$A$2:$S$188,19,FALSE),"-")</f>
        <v>N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 t="str">
        <f>IF(AND(D132="Y",booking!P132&lt;&gt;booking!Q132,booking!Q132&gt;0),booking!Q132,"-")</f>
        <v>-</v>
      </c>
      <c r="U132" s="76" t="str">
        <f>IFERROR(VLOOKUP(T132,Database!$A$2:$L$188,8,FALSE),"-")</f>
        <v>-</v>
      </c>
      <c r="V132" s="76" t="str">
        <f>IFERROR(VLOOKUP(T132,Database!$A$2:$L$188,6,FALSE),"-")</f>
        <v>-</v>
      </c>
      <c r="W132" s="80" t="str">
        <f>IFERROR(VLOOKUP(T132,Database!$A$2:$L$188,9,FALSE),"-")</f>
        <v>-</v>
      </c>
      <c r="X132" s="203" t="str">
        <f>IFERROR(VLOOKUP(T132,Database!$A$2:$S$188,19,FALSE),"-")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>
        <f>ankomster!O103</f>
        <v>160</v>
      </c>
      <c r="I103" t="str">
        <f>IFERROR(VLOOKUP(H103,Database!$A$2:$L$188,2,FALSE),"-")</f>
        <v>Trond Haagensen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IFERROR(VLOOKUP(D117,Database!$A$2:$L$188,2,FALSE),"-")</f>
        <v>-</v>
      </c>
      <c r="F117">
        <f>ankomster!J117</f>
        <v>159</v>
      </c>
      <c r="G117" t="str">
        <f>IFERROR(VLOOKUP(F117,Database!$A$2:$L$188,2,FALSE),"-")</f>
        <v>Bernette Top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 t="str">
        <f>ankomster!T132</f>
        <v>-</v>
      </c>
      <c r="K132" t="str">
        <f>IFERROR(VLOOKUP(J132,Database!$A$2:$L$188,2,FALSE),"-")</f>
        <v>-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5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5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5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5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5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5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5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5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5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5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5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5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5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5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5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5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5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5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5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5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5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5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5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5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5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5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5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5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5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5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5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5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5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5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5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5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5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5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5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5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5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5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5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5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5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5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5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5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5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5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5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5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5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5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5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5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5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5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5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5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5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5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5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5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5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5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5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5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5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5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5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5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5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5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5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5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5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5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5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5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5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5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5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5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5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5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5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5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5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5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5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5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5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5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5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5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5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5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5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5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5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5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5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5">
      <c r="A160">
        <f>Database!A173</f>
        <v>159</v>
      </c>
      <c r="B160" s="2" t="str">
        <f>Database!Q173</f>
        <v>N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2</v>
      </c>
    </row>
    <row r="161" spans="1:5" x14ac:dyDescent="0.35">
      <c r="A161">
        <f>Database!A174</f>
        <v>160</v>
      </c>
      <c r="B161" s="2" t="str">
        <f>Database!Q174</f>
        <v>Y</v>
      </c>
      <c r="C161" s="2">
        <f t="shared" si="4"/>
        <v>2</v>
      </c>
      <c r="D161" s="2">
        <f>IF(B161="Y",Database!K174,"-")</f>
        <v>1</v>
      </c>
      <c r="E161" s="2">
        <f>IF(AND(D161&gt;1,B161="Y"),Database!L174/D161,Database!L174)</f>
        <v>2</v>
      </c>
    </row>
    <row r="162" spans="1:5" x14ac:dyDescent="0.35">
      <c r="A162">
        <f>Database!A175</f>
        <v>0</v>
      </c>
      <c r="B162" s="2">
        <f>Database!Q175</f>
        <v>0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0</v>
      </c>
    </row>
    <row r="163" spans="1:5" x14ac:dyDescent="0.35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5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5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5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5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5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5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5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5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5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5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5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5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5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5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5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5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5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5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5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5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5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5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5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5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5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5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5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5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5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5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5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5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5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5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5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5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315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159</v>
      </c>
      <c r="B160" t="str">
        <f>Database!G173</f>
        <v>bc</v>
      </c>
      <c r="C160" s="5">
        <f>Database!C173</f>
        <v>46254</v>
      </c>
      <c r="D160" s="5">
        <f>Database!D173</f>
        <v>46257</v>
      </c>
      <c r="E160">
        <f t="shared" si="8"/>
        <v>3</v>
      </c>
      <c r="F160">
        <f>Database!K173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5">
      <c r="A161">
        <f>Database!A174</f>
        <v>160</v>
      </c>
      <c r="B161" t="str">
        <f>Database!G174</f>
        <v>bc</v>
      </c>
      <c r="C161" s="5">
        <f>Database!C174</f>
        <v>46240</v>
      </c>
      <c r="D161" s="5">
        <f>Database!D174</f>
        <v>46243</v>
      </c>
      <c r="E161">
        <f t="shared" si="8"/>
        <v>3</v>
      </c>
      <c r="F161">
        <f>Database!K174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5">
      <c r="A162">
        <f>Database!A175</f>
        <v>0</v>
      </c>
      <c r="B162">
        <f>Database!G175</f>
        <v>0</v>
      </c>
      <c r="C162" s="5">
        <f>Database!C175</f>
        <v>0</v>
      </c>
      <c r="D162" s="5">
        <f>Database!D175</f>
        <v>0</v>
      </c>
      <c r="E162">
        <f t="shared" si="8"/>
        <v>0</v>
      </c>
      <c r="F162">
        <f>Database!K175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2026-08-04T06:46:50Z</dcterms:modified>
  <cp:category/>
  <cp:contentStatus/>
</cp:coreProperties>
</file>
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655" documentId="8_{AC379FEE-905F-41E2-9E84-8018E4E04006}" xr6:coauthVersionLast="47" xr6:coauthVersionMax="47" xr10:uidLastSave="{DF5D6DA0-C1B8-4978-B558-8BFCC99ABD88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0" i="3" l="1"/>
  <c r="AM200" i="3"/>
  <c r="AN200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<sst xmlns="http://schemas.openxmlformats.org/spreadsheetml/2006/main" count="1648" uniqueCount="550">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</sst>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  <c:pt idx="28">
                  <c:v>626</c:v>
                </c:pt>
                <c:pt idx="29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  <c:pt idx="27">
                  <c:v>626</c:v>
                </c:pt>
                <c:pt idx="28">
                  <c:v>626</c:v>
                </c:pt>
                <c:pt idx="29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201</c:v>
                </c:pt>
                <c:pt idx="1">
                  <c:v>25</c:v>
                </c:pt>
                <c:pt idx="2">
                  <c:v>2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832</c:v>
                </c:pt>
                <c:pt idx="1">
                  <c:v>87</c:v>
                </c:pt>
                <c:pt idx="2">
                  <c:v>8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1"/>
  <sheetViews>
    <sheetView topLeftCell="F1" workbookViewId="0">
      <pane ySplit="1" topLeftCell="A166" activePane="bottomLeft" state="frozen"/>
      <selection pane="bottomLeft" activeCell="P176" sqref="P17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5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5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  <row r="170" spans="1:20" x14ac:dyDescent="0.35">
      <c r="A170" s="2">
        <v>155</v>
      </c>
      <c r="B170" t="s">
        <v>546</v>
      </c>
      <c r="C170" s="194">
        <v>46212</v>
      </c>
      <c r="D170" s="194">
        <v>46215</v>
      </c>
      <c r="E170" s="194">
        <v>46205</v>
      </c>
      <c r="F170" t="s">
        <v>52</v>
      </c>
      <c r="G170" s="2" t="s">
        <v>35</v>
      </c>
      <c r="H170"/>
      <c r="I170"/>
      <c r="J170" s="207">
        <v>0</v>
      </c>
      <c r="K170">
        <v>1</v>
      </c>
      <c r="L170">
        <v>1</v>
      </c>
      <c r="N170"/>
      <c r="O170"/>
      <c r="P170" s="2" t="s">
        <v>21</v>
      </c>
      <c r="Q170" s="2" t="s">
        <v>20</v>
      </c>
      <c r="R170" s="122">
        <v>2925</v>
      </c>
      <c r="S170" s="2" t="s">
        <v>20</v>
      </c>
      <c r="T170" t="s">
        <v>547</v>
      </c>
    </row>
    <row r="171" spans="1:20" x14ac:dyDescent="0.35">
      <c r="A171" s="2">
        <v>156</v>
      </c>
      <c r="B171" t="s">
        <v>549</v>
      </c>
      <c r="C171" s="194">
        <v>46250</v>
      </c>
      <c r="D171" s="194">
        <v>46252</v>
      </c>
      <c r="E171" s="194">
        <v>46218</v>
      </c>
      <c r="F171" t="s">
        <v>31</v>
      </c>
      <c r="G171" t="s">
        <v>35</v>
      </c>
      <c r="H171"/>
      <c r="I171"/>
      <c r="J171" s="207">
        <v>0</v>
      </c>
      <c r="K171">
        <v>1</v>
      </c>
      <c r="L171">
        <v>1</v>
      </c>
      <c r="N171"/>
      <c r="O171"/>
      <c r="P171" s="2" t="s">
        <v>21</v>
      </c>
      <c r="Q171" s="2" t="s">
        <v>21</v>
      </c>
      <c r="R171" s="122">
        <v>1900</v>
      </c>
      <c r="S171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M205" sqref="AM205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155</v>
      </c>
      <c r="B156" s="22">
        <f>Database!E170</f>
        <v>46205</v>
      </c>
      <c r="C156">
        <f>IF(Database!G170="cansl",0,Database!K170)</f>
        <v>1</v>
      </c>
      <c r="D156">
        <f>Database!D170-Database!C170</f>
        <v>3</v>
      </c>
      <c r="F156">
        <f>Database!L170</f>
        <v>1</v>
      </c>
      <c r="G156" t="str">
        <f>Database!F170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156</v>
      </c>
      <c r="B157" s="22">
        <f>Database!E171</f>
        <v>46218</v>
      </c>
      <c r="C157">
        <f>IF(Database!G171="cansl",0,Database!K171)</f>
        <v>1</v>
      </c>
      <c r="D157">
        <f>Database!D171-Database!C171</f>
        <v>2</v>
      </c>
      <c r="F157">
        <f>Database!L171</f>
        <v>1</v>
      </c>
      <c r="G157" t="str">
        <f>Database!F171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201</v>
      </c>
      <c r="BC196" s="32">
        <f t="shared" si="167"/>
        <v>832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626</v>
      </c>
      <c r="AM198">
        <f t="shared" si="168"/>
        <v>626</v>
      </c>
      <c r="AN198">
        <f t="shared" si="168"/>
        <v>628</v>
      </c>
      <c r="AO198">
        <f t="shared" si="168"/>
        <v>628</v>
      </c>
      <c r="AP198">
        <f t="shared" si="168"/>
        <v>628</v>
      </c>
      <c r="AQ198">
        <f t="shared" si="168"/>
        <v>628</v>
      </c>
      <c r="AR198">
        <f t="shared" si="168"/>
        <v>628</v>
      </c>
      <c r="AS198">
        <f t="shared" si="168"/>
        <v>628</v>
      </c>
      <c r="AT198">
        <f t="shared" si="168"/>
        <v>628</v>
      </c>
      <c r="AU198">
        <f t="shared" si="168"/>
        <v>628</v>
      </c>
      <c r="AV198">
        <f t="shared" si="168"/>
        <v>628</v>
      </c>
      <c r="AW198">
        <f t="shared" si="168"/>
        <v>628</v>
      </c>
      <c r="AX198">
        <f t="shared" si="168"/>
        <v>628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AL200">
        <f t="shared" ref="AL200:AN200" si="170">AL198</f>
        <v>626</v>
      </c>
      <c r="AM200">
        <f t="shared" si="170"/>
        <v>626</v>
      </c>
      <c r="AN200">
        <f t="shared" si="170"/>
        <v>628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201</v>
      </c>
      <c r="BE202" s="32">
        <f>BD196</f>
        <v>25</v>
      </c>
      <c r="BF202" s="32">
        <f>BF196</f>
        <v>2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832</v>
      </c>
      <c r="BE203" s="38">
        <f>BE196</f>
        <v>87</v>
      </c>
      <c r="BF203" s="38">
        <f>BG196</f>
        <v>8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9"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201</v>
      </c>
      <c r="C30" s="32">
        <f>'book stat'!BE202</f>
        <v>25</v>
      </c>
      <c r="D30" s="32">
        <f>'book stat'!BF202</f>
        <v>2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832</v>
      </c>
      <c r="C31" s="32">
        <f>'book stat'!BE203</f>
        <v>87</v>
      </c>
      <c r="D31" s="32">
        <f>'book stat'!BF203</f>
        <v>8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9" activePane="bottomLeft" state="frozen"/>
      <selection pane="bottomLeft" activeCell="H115" sqref="H115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617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 t="s">
        <v>548</v>
      </c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1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IFERROR(IF(AND(booking!AB113&gt;0,booking!H113&lt;&gt;booking!I113),VLOOKUP(booking!I113,Database!$A$1:'Database'!$L$189,6,FALSE),"-"),"-")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IFERROR(VLOOKUP(J113,Database!$A$2:$L$189,8,FALSE),"-")</f>
        <v>0</v>
      </c>
      <c r="L113" s="76" t="str">
        <f>IFERROR(VLOOKUP(J113,Database!$A$2:$L$189,6,FALSE),"-")</f>
        <v>D</v>
      </c>
      <c r="M113" s="91">
        <f>IFERROR(VLOOKUP(J113,Database!$A$2:$L$189,9,FALSE),"-")</f>
        <v>0</v>
      </c>
      <c r="N113" s="205" t="str">
        <f>IFERROR(VLOOKUP(J113,Database!$A$2:$S$189,19,FALSE),"-")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IFERROR(VLOOKUP(D75,Database!$A$2:$L$189,2,FALSE),"-")</f>
        <v>Karen Venge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IFERROR(VLOOKUP(D110,Database!$A$2:$L$189,2,FALSE),"-")</f>
        <v>Kathrine Moelgaard Nielsen</v>
      </c>
      <c r="F110">
        <f>ankomster!J110</f>
        <v>23</v>
      </c>
      <c r="G110" t="str">
        <f>IFERROR(VLOOKUP(F110,Database!$A$2:$L$189,2,FALSE),"-")</f>
        <v>Stine Jespersen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>
        <f>ankomster!J113</f>
        <v>156</v>
      </c>
      <c r="G113" t="str">
        <f>IFERROR(VLOOKUP(F113,Database!$A$2:$L$189,2,FALSE),"-")</f>
        <v>Thilo Klawann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5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5">
      <c r="A156">
        <f>Database!A170</f>
        <v>155</v>
      </c>
      <c r="B156" s="2" t="str">
        <f>Database!Q170</f>
        <v>N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1</v>
      </c>
    </row>
    <row r="157" spans="1:5" x14ac:dyDescent="0.35">
      <c r="A157">
        <f>Database!A171</f>
        <v>156</v>
      </c>
      <c r="B157" s="2" t="str">
        <f>Database!Q171</f>
        <v>Y</v>
      </c>
      <c r="C157" s="2">
        <f t="shared" si="4"/>
        <v>1</v>
      </c>
      <c r="D157" s="2">
        <f>IF(B157="Y",Database!K171,"-")</f>
        <v>1</v>
      </c>
      <c r="E157" s="2">
        <f>IF(AND(D157&gt;1,B157="Y"),Database!L171/D157,Database!L171)</f>
        <v>1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310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Database!A170</f>
        <v>155</v>
      </c>
      <c r="B156" t="str">
        <f>Database!G170</f>
        <v>bc</v>
      </c>
      <c r="C156" s="5">
        <f>Database!C170</f>
        <v>46212</v>
      </c>
      <c r="D156" s="5">
        <f>Database!D170</f>
        <v>46215</v>
      </c>
      <c r="E156">
        <f t="shared" si="8"/>
        <v>3</v>
      </c>
      <c r="F156">
        <f>Database!K170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Database!A171</f>
        <v>156</v>
      </c>
      <c r="B157" t="str">
        <f>Database!G171</f>
        <v>bc</v>
      </c>
      <c r="C157" s="5">
        <f>Database!C171</f>
        <v>46250</v>
      </c>
      <c r="D157" s="5">
        <f>Database!D171</f>
        <v>46252</v>
      </c>
      <c r="E157">
        <f t="shared" si="8"/>
        <v>2</v>
      </c>
      <c r="F157">
        <f>Database!K171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2026-07-16T06:41:43Z</dcterms:modified>
  <cp:category/>
  <cp:contentStatus/>
</cp:coreProperties>
</file>
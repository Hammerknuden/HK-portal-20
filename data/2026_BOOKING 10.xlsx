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73" documentId="8_{AC379FEE-905F-41E2-9E84-8018E4E04006}" xr6:coauthVersionLast="47" xr6:coauthVersionMax="47" xr10:uidLastSave="{8FBE8606-AD9F-4C20-BA56-FD2F5F35A985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<sst xmlns="http://schemas.openxmlformats.org/spreadsheetml/2006/main" count="1683" uniqueCount="557">
  <si>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</si>
  <si>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</si>
  <si>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</si>
  <si>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</si>
  <si>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</si>
  <si>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</si>
  <si>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</si>
  <si>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</si>
  <si>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</si>
  <si>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</si>
  <si>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</si>
  <si>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</si>
  <si>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</si>
  <si>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</si>
  <si>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</si>
  <si>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</si>
  <si>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</si>
  <si>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</si>
  <si>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</si>
  <si>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</si>
  <si>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</si>
  <si>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</si>
  <si>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</si>
  <si>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</si>
  <si>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</si>
  <si>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</si>
  <si>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</si>
  <si>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</si>
  <si>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</si>
  <si>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</si>
  <si>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</si>
  <si>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</si>
  <si>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</si>
  <si>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</si>
  <si>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</si>
  <si>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</si>
  <si>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</si>
  <si>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</si>
  <si>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</si>
  <si>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</si>
  <si>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</si>
  <si>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</si>
  <si>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</si>
  <si>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</si>
  <si>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</si>
  <si>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</si>
  <si>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</si>
  <si>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</si>
  <si>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</si>
  <si>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</si>
  <si>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</si>
  <si>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</si>
  <si>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</si>
  <si>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</si>
  <si>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</si>
  <si>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</si>
  <si>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</si>
  <si>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</si>
  <si>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</si>
  <si>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</si>
  <si>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</si>
  <si>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</si>
  <si>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</si>
  <si>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</si>
  <si>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</si>
  <si>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</si>
  <si>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</si>
  <si>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</si>
  <si>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</si>
  <si>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</si>
  <si>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</si>
  <si>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</si>
  <si>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</si>
  <si>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</si>
  <si>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</si>
  <si>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</si>
  <si>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</si>
  <si>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</si>
  <si>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</si>
  <si>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</si>
  <si>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</si>
  <si>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</si>
  <si>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</si>
  <si>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</si>
  <si>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</si>
  <si>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</si>
  <si>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</si>
  <si>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</si>
  <si>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</si>
  <si>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</si>
  <si>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</si>
  <si>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</si>
  <si>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</si>
  <si>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</si>
  <si>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</si>
  <si>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</si>
  <si>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</si>
  <si>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</si>
  <si>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</si>
  <si>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</si>
  <si>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</si>
  <si>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</si>
  <si>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</si>
  <si>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</si>
  <si>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</si>
  <si>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</si>
  <si>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</si>
  <si>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</si>
  <si>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</si>
  <si>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</si>
  <si>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</si>
  <si>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</si>
  <si>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</si>
  <si>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</si>
  <si>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</si>
  <si>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</si>
  <si>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</si>
  <si>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</si>
  <si>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</si>
  <si>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</si>
  <si>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</si>
  <si>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</si>
  <si>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</si>
  <si>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</si>
  <si>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</si>
  <si>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</si>
  <si>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</si>
  <si>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</si>
  <si>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</si>
  <si>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</si>
  <si>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</si>
  <si>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</si>
  <si>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</si>
  <si>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</si>
  <si>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</si>
  <si>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</si>
  <si>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</si>
  <si>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</si>
  <si>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</si>
  <si>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</si>
  <si>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</si>
  <si>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</si>
  <si>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</si>
  <si>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</si>
  <si>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</si>
  <si>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</si>
  <si>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</si>
  <si>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</si>
  <si>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</si>
  <si>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</si>
  <si>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</si>
  <si>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</si>
  <si>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</si>
  <si>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</si>
  <si>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</si>
  <si>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</si>
  <si>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</si>
  <si>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</si>
  <si>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</si>
  <si>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</si>
  <si>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</si>
  <si>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</si>
  <si>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</si>
  <si>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</si>
  <si>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</si>
  <si>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</si>
  <si>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</si>
  <si>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</si>
  <si>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</si>
  <si>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</si>
  <si>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</si>
  <si>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</si>
  <si>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</si>
  <si>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</si>
  <si>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</si>
  <si>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</si>
  <si>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</si>
  <si>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</si>
  <si>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</si>
  <si>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</si>
  <si>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</si>
  <si>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</si>
  <si>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</si>
  <si>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</si>
  <si>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</si>
  <si>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</si>
  <si>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</si>
  <si>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</si>
  <si>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</si>
  <si>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</si>
  <si>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</si>
  <si>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</si>
  <si>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</si>
  <si>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</si>
  <si>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</si>
  <si>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</si>
  <si>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</si>
  <si>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</si>
  <si>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</si>
  <si>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</si>
  <si>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</si>
  <si>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</si>
  <si>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</si>
  <si>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</si>
  <si>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</si>
  <si>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</si>
  <si>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</si>
  <si>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</si>
  <si>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</si>
  <si>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</si>
  <si>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</si>
  <si>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</si>
  <si>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</si>
  <si>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</si>
  <si>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</si>
  <si>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</si>
  <si>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</si>
  <si>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</si>
  <si>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</si>
  <si>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</si>
  <si>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</si>
  <si>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</si>
  <si>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</si>
  <si>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</si>
  <si>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</si>
  <si>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</si>
  <si>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</si>
  <si>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</si>
  <si>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</si>
  <si>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</si>
  <si>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</si>
  <si>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</si>
  <si>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</si>
  <si>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</si>
  <si>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</si>
  <si>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</si>
  <si>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</si>
  <si>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</si>
  <si>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</si>
  <si>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</si>
  <si>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</si>
  <si>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</si>
  <si>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</si>
  <si>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</si>
  <si>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</si>
  <si>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</si>
  <si>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</si>
  <si>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</si>
  <si>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</si>
  <si>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</si>
  <si>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</si>
  <si>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</si>
  <si>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</si>
  <si>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</si>
  <si>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</si>
  <si>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</si>
  <si>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</si>
  <si>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</si>
  <si>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</si>
  <si>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</si>
  <si>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</si>
  <si>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</si>
  <si>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</si>
  <si>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</si>
  <si>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</si>
  <si>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</si>
  <si>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</si>
  <si>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</si>
  <si>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</si>
  <si>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</si>
  <si>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</si>
  <si>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</si>
  <si>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</si>
  <si>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</si>
  <si>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</si>
  <si>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</si>
  <si>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</si>
  <si>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</si>
  <si>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</si>
  <si>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</si>
  <si>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</si>
  <si>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</si>
  <si>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</si>
  <si>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</si>
  <si>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</si>
  <si>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</si>
  <si>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</si>
  <si>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</si>
  <si>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</si>
  <si>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</si>
  <si>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</si>
  <si>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</si>
  <si>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</si>
  <si>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</si>
  <si>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</si>
  <si>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</si>
  <si>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</si>
  <si>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</si>
  <si>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</si>
  <si>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</si>
  <si>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</si>
  <si>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</si>
  <si>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</si>
  <si>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</si>
  <si>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</si>
  <si>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</si>
  <si>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</si>
  <si>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</si>
  <si>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</si>
  <si>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</si>
  <si>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</si>
  <si>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</si>
  <si>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</si>
  <si>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</si>
  <si>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</si>
  <si>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</si>
  <si>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</si>
  <si>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</si>
  <si>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</si>
  <si>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</si>
  <si>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</si>
  <si>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</si>
  <si>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</si>
  <si>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</si>
  <si>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</si>
  <si>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</si>
  <si>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</si>
  <si>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</si>
  <si>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</si>
  <si>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</si>
  <si>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</si>
  <si>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</si>
  <si>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</si>
  <si>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</si>
  <si>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</si>
  <si>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</si>
  <si>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</si>
  <si>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</si>
  <si>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</si>
  <si>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</si>
  <si>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</si>
  <si>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</si>
  <si>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</si>
  <si>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</si>
  <si>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</si>
  <si>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</si>
  <si>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</si>
  <si>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</si>
  <si>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</si>
  <si>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</si>
  <si>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</si>
  <si>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</si>
  <si>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</si>
  <si>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</si>
  <si>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</si>
  <si>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</si>
  <si>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</si>
  <si>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</si>
  <si>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</si>
  <si>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</si>
  <si>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</si>
  <si>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</si>
  <si>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</si>
  <si>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</si>
  <si>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</si>
  <si>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</si>
  <si>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</si>
  <si>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</si>
  <si>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</si>
  <si>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</si>
  <si>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</si>
  <si>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</si>
  <si>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</si>
  <si>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</si>
  <si>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</si>
  <si>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</si>
  <si>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</si>
  <si>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</si>
  <si>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</si>
  <si>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</si>
  <si>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</si>
  <si>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</si>
  <si>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</si>
  <si>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</si>
  <si>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</si>
  <si>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</si>
  <si>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</si>
  <si>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</si>
  <si>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</si>
  <si>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</si>
  <si>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</si>
  <si>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</si>
  <si>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</si>
  <si>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</si>
  <si>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</si>
  <si>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</si>
  <si>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</si>
  <si>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</si>
  <si>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</si>
  <si>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</si>
  <si>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</si>
  <si>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</si>
  <si>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</si>
  <si>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</si>
  <si>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</si>
  <si>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</si>
  <si>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</si>
  <si>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</si>
  <si>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</si>
  <si>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</si>
  <si>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</si>
  <si>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</si>
  <si>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</si>
  <si>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</si>
  <si>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</si>
  <si>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</si>
  <si>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</si>
  <si>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</si>
  <si>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</si>
  <si>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</si>
  <si>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</si>
  <si>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</si>
  <si>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</si>
  <si>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</si>
  <si>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</si>
  <si>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</si>
  <si>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</si>
  <si>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</si>
  <si>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</si>
  <si>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</si>
  <si>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</si>
  <si>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</si>
  <si>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</si>
  <si>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</si>
  <si>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</si>
  <si>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</si>
  <si>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</si>
  <si>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</si>
  <si>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</si>
  <si>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</si>
  <si>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</si>
  <si>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</si>
  <si>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</si>
  <si>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</si>
  <si>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</si>
  <si>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</si>
  <si>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</si>
  <si>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</si>
  <si>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</si>
  <si>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</si>
  <si>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</si>
  <si>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</si>
  <si>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</si>
  <si>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</si>
  <si>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</si>
  <si>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</si>
  <si>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</si>
  <si>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</si>
  <si>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</si>
  <si>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</si>
  <si>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</si>
  <si>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</si>
  <si>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</si>
  <si>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</si>
  <si>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</si>
  <si>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</si>
  <si>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</si>
  <si>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</si>
  <si>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</si>
  <si>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</si>
  <si>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</si>
  <si>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</si>
  <si>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</si>
  <si>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</si>
  <si>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</si>
  <si>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</si>
  <si>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</si>
  <si>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</si>
  <si>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</si>
  <si>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</si>
  <si>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</si>
  <si>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</si>
  <si>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</si>
  <si>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</si>
  <si>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</si>
  <si>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</si>
  <si>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</si>
  <si>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</si>
  <si>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</si>
  <si>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</si>
  <si>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</si>
  <si>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</si>
  <si>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</si>
  <si>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</si>
  <si>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</si>
  <si>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</si>
  <si>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</si>
  <si>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</si>
  <si>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</si>
  <si>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</si>
  <si>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</si>
  <si>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</si>
  <si>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</si>
  <si>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</si>
  <si>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</si>
  <si>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</si>
  <si>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</si>
  <si>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</si>
  <si>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</si>
  <si>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</si>
  <si>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</si>
  <si>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</si>
  <si>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</si>
  <si>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</si>
  <si>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</si>
  <si>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</si>
  <si>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</si>
  <si>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</si>
  <si>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</si>
  <si>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</si>
  <si>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</si>
  <si>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</si>
  <si>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</si>
  <si>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</si>
  <si>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</si>
  <si>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</si>
  <si>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</si>
  <si>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</si>
  <si>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</si>
  <si>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</si>
  <si>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</si>
  <si>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</si>
  <si>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</si>
  <si>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</si>
  <si>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</si>
  <si>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</si>
  <si>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</si>
  <si>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</si>
  <si>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</si>
  <si>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</si>
  <si>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</si>
  <si>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</si>
  <si>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</si>
  <si>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</si>
  <si>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</si>
  <si>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</si>
  <si>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</si>
  <si>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</si>
  <si>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</si>
  <si>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</si>
  <si>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</si>
  <si>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</si>
  <si>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</si>
  <si>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</si>
  <si>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</si>
  <si>
    <t>jan</t>
  </si>
  <si>
    <t>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</si>
</sst>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5"/>
  <sheetViews>
    <sheetView workbookViewId="0">
      <pane ySplit="1" topLeftCell="A160" activePane="bottomLeft" state="frozen"/>
      <selection pane="bottomLeft" activeCell="T178" sqref="T178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7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523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521</v>
      </c>
      <c r="V1" s="3" t="s">
        <v>522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517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493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">
      <c r="A68" s="2">
        <v>58</v>
      </c>
      <c r="C68" s="22">
        <v>46229</v>
      </c>
      <c r="G68" t="s">
        <v>6</v>
      </c>
      <c r="M68" s="113"/>
      <c r="R68" s="154"/>
    </row>
    <row r="69" spans="1:20" x14ac:dyDescent="0.3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">
      <c r="A85" s="2">
        <v>74</v>
      </c>
      <c r="G85" t="s">
        <v>6</v>
      </c>
      <c r="M85" s="113"/>
      <c r="R85" s="154"/>
    </row>
    <row r="86" spans="1:20" x14ac:dyDescent="0.3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">
      <c r="A92" s="2">
        <v>80</v>
      </c>
      <c r="G92" t="s">
        <v>6</v>
      </c>
      <c r="M92" s="113"/>
      <c r="N92" s="146"/>
    </row>
    <row r="93" spans="1:20" x14ac:dyDescent="0.3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">
      <c r="G102" t="s">
        <v>6</v>
      </c>
      <c r="M102" s="113"/>
      <c r="N102"/>
      <c r="O102"/>
    </row>
    <row r="103" spans="1:20" x14ac:dyDescent="0.3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491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492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492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">
      <c r="A133" s="2">
        <v>120</v>
      </c>
      <c r="B133" t="s">
        <v>456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457</v>
      </c>
      <c r="N133" t="s">
        <v>458</v>
      </c>
      <c r="O133" t="s">
        <v>459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460</v>
      </c>
    </row>
    <row r="134" spans="1:20" x14ac:dyDescent="0.3">
      <c r="A134" s="2">
        <v>121</v>
      </c>
      <c r="B134" t="s">
        <v>461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462</v>
      </c>
      <c r="N134" t="s">
        <v>463</v>
      </c>
      <c r="O134" t="s">
        <v>464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465</v>
      </c>
    </row>
    <row r="135" spans="1:20" x14ac:dyDescent="0.3">
      <c r="A135" s="2">
        <v>122</v>
      </c>
      <c r="B135" t="s">
        <v>466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467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">
      <c r="A136" s="2">
        <v>123</v>
      </c>
      <c r="B136" t="s">
        <v>476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477</v>
      </c>
      <c r="N136" t="s">
        <v>478</v>
      </c>
      <c r="O136" t="s">
        <v>479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480</v>
      </c>
    </row>
    <row r="137" spans="1:20" x14ac:dyDescent="0.3">
      <c r="A137" s="2">
        <v>124</v>
      </c>
      <c r="B137" t="s">
        <v>481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">
      <c r="A138" s="2">
        <v>125</v>
      </c>
      <c r="B138" t="s">
        <v>482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483</v>
      </c>
      <c r="N139" t="s">
        <v>484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485</v>
      </c>
    </row>
    <row r="140" spans="1:20" x14ac:dyDescent="0.3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">
      <c r="A141" s="2">
        <v>127</v>
      </c>
      <c r="B141" t="s">
        <v>486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">
      <c r="A142" s="2">
        <v>128</v>
      </c>
      <c r="B142" t="s">
        <v>487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">
      <c r="A143" s="2">
        <v>129</v>
      </c>
      <c r="B143" t="s">
        <v>489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">
      <c r="A144" s="2">
        <v>130</v>
      </c>
      <c r="B144" t="s">
        <v>488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131</v>
      </c>
      <c r="B145" t="s">
        <v>490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">
      <c r="A146" s="2">
        <v>132</v>
      </c>
      <c r="B146" t="s">
        <v>494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">
      <c r="A147" s="2">
        <v>133</v>
      </c>
      <c r="B147" t="s">
        <v>495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499</v>
      </c>
      <c r="N147" t="s">
        <v>496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">
      <c r="A148" s="2">
        <v>134</v>
      </c>
      <c r="B148" t="s">
        <v>497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">
      <c r="A149" s="2">
        <v>135</v>
      </c>
      <c r="B149" t="s">
        <v>498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">
      <c r="A150" s="2">
        <v>136</v>
      </c>
      <c r="B150" t="s">
        <v>500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501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502</v>
      </c>
    </row>
    <row r="151" spans="1:20" x14ac:dyDescent="0.3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503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504</v>
      </c>
    </row>
    <row r="152" spans="1:20" x14ac:dyDescent="0.3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505</v>
      </c>
    </row>
    <row r="153" spans="1:20" x14ac:dyDescent="0.3">
      <c r="A153" s="2">
        <v>139</v>
      </c>
      <c r="B153" t="s">
        <v>506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507</v>
      </c>
      <c r="N153" t="s">
        <v>508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516</v>
      </c>
    </row>
    <row r="154" spans="1:20" x14ac:dyDescent="0.3">
      <c r="A154" s="2">
        <v>140</v>
      </c>
      <c r="B154" t="s">
        <v>511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">
      <c r="A155" s="2">
        <v>141</v>
      </c>
      <c r="B155" t="s">
        <v>512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">
      <c r="A156" s="2">
        <v>142</v>
      </c>
      <c r="B156" t="s">
        <v>513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514</v>
      </c>
      <c r="N156"/>
      <c r="O156" t="s">
        <v>515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">
      <c r="A157" s="2">
        <v>143</v>
      </c>
      <c r="B157" t="s">
        <v>518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519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520</v>
      </c>
    </row>
    <row r="158" spans="1:20" x14ac:dyDescent="0.3">
      <c r="A158" s="2">
        <v>144</v>
      </c>
      <c r="B158" t="s">
        <v>524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">
      <c r="A159" s="2">
        <v>145</v>
      </c>
      <c r="B159" t="s">
        <v>525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526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527</v>
      </c>
    </row>
    <row r="160" spans="1:20" x14ac:dyDescent="0.3">
      <c r="A160" s="2">
        <v>146</v>
      </c>
      <c r="B160" t="s">
        <v>528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529</v>
      </c>
      <c r="O160" t="s">
        <v>530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531</v>
      </c>
    </row>
    <row r="161" spans="1:20" x14ac:dyDescent="0.3">
      <c r="A161" s="2">
        <v>147</v>
      </c>
      <c r="B161" t="s">
        <v>532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533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">
      <c r="A162" s="2">
        <v>148</v>
      </c>
      <c r="B162" t="s">
        <v>535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">
      <c r="A163" s="2">
        <v>149</v>
      </c>
      <c r="B163" t="s">
        <v>536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">
      <c r="A164" s="2">
        <v>150</v>
      </c>
      <c r="B164" t="s">
        <v>537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">
      <c r="A165" s="2">
        <v>151</v>
      </c>
      <c r="B165" t="s">
        <v>538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">
      <c r="A166" s="2">
        <v>152</v>
      </c>
      <c r="B166" t="s">
        <v>539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">
      <c r="A167" s="2">
        <v>153</v>
      </c>
      <c r="B167" t="s">
        <v>540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541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">
      <c r="A168" s="2">
        <v>154</v>
      </c>
      <c r="B168" t="s">
        <v>543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542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">
      <c r="A169" s="2">
        <v>155</v>
      </c>
      <c r="B169" t="s">
        <v>544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545</v>
      </c>
    </row>
    <row r="170" spans="1:20" x14ac:dyDescent="0.3">
      <c r="A170" s="2">
        <v>156</v>
      </c>
      <c r="B170" t="s">
        <v>547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">
      <c r="A171" s="2">
        <v>157</v>
      </c>
      <c r="B171" t="s">
        <v>549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">
      <c r="A172" s="2">
        <v>158</v>
      </c>
      <c r="B172" t="s">
        <v>550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551</v>
      </c>
    </row>
    <row r="173" spans="1:20" x14ac:dyDescent="0.3">
      <c r="A173" s="2">
        <v>159</v>
      </c>
      <c r="B173" t="s">
        <v>552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  <row r="174" spans="1:20" x14ac:dyDescent="0.3">
      <c r="A174" s="2">
        <v>160</v>
      </c>
      <c r="B174" t="s">
        <v>553</v>
      </c>
      <c r="C174" s="192">
        <v>46240</v>
      </c>
      <c r="D174" s="192">
        <v>46243</v>
      </c>
      <c r="E174" s="192">
        <v>46237</v>
      </c>
      <c r="F174" t="s">
        <v>20</v>
      </c>
      <c r="G174" t="s">
        <v>35</v>
      </c>
      <c r="H174"/>
      <c r="I174"/>
      <c r="J174" s="205">
        <v>0</v>
      </c>
      <c r="K174">
        <v>1</v>
      </c>
      <c r="L174">
        <v>2</v>
      </c>
      <c r="N174"/>
      <c r="O174"/>
      <c r="P174" s="2" t="s">
        <v>20</v>
      </c>
      <c r="Q174" s="2" t="s">
        <v>21</v>
      </c>
      <c r="R174" s="122">
        <v>3825</v>
      </c>
      <c r="S174" s="2" t="s">
        <v>20</v>
      </c>
    </row>
    <row r="175" spans="1:20" x14ac:dyDescent="0.3">
      <c r="A175" s="2">
        <v>161</v>
      </c>
      <c r="B175" t="s">
        <v>554</v>
      </c>
      <c r="C175" s="192">
        <v>46269</v>
      </c>
      <c r="D175" s="192">
        <v>46271</v>
      </c>
      <c r="E175" s="192">
        <v>46245</v>
      </c>
      <c r="F175" t="s">
        <v>52</v>
      </c>
      <c r="G175" t="s">
        <v>35</v>
      </c>
      <c r="H175"/>
      <c r="I175"/>
      <c r="J175" s="205">
        <v>0</v>
      </c>
      <c r="K175">
        <v>1</v>
      </c>
      <c r="L175">
        <v>2</v>
      </c>
      <c r="N175"/>
      <c r="O175"/>
      <c r="P175" s="2" t="s">
        <v>20</v>
      </c>
      <c r="Q175" s="2" t="s">
        <v>20</v>
      </c>
      <c r="R175" s="122">
        <v>1900</v>
      </c>
      <c r="S175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Database!A174</f>
        <v>160</v>
      </c>
      <c r="B161" s="22">
        <f>Database!E174</f>
        <v>46237</v>
      </c>
      <c r="C161">
        <f>IF(Database!G174="cansl",0,Database!K174)</f>
        <v>1</v>
      </c>
      <c r="D161">
        <f>Database!D174-Database!C174</f>
        <v>3</v>
      </c>
      <c r="F161">
        <f>Database!L174</f>
        <v>2</v>
      </c>
      <c r="G161" t="str">
        <f>Database!F174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Database!A175</f>
        <v>161</v>
      </c>
      <c r="B162" s="22">
        <f>Database!E175</f>
        <v>46245</v>
      </c>
      <c r="C162">
        <f>IF(Database!G175="cansl",0,Database!K175)</f>
        <v>1</v>
      </c>
      <c r="D162">
        <f>Database!D175-Database!C175</f>
        <v>2</v>
      </c>
      <c r="F162">
        <f>Database!L175</f>
        <v>2</v>
      </c>
      <c r="G162" t="str">
        <f>Database!F175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2</v>
      </c>
      <c r="AS162">
        <f t="shared" si="136"/>
        <v>2</v>
      </c>
      <c r="AT162">
        <f t="shared" si="136"/>
        <v>2</v>
      </c>
      <c r="AU162">
        <f t="shared" si="136"/>
        <v>2</v>
      </c>
      <c r="AV162">
        <f t="shared" si="136"/>
        <v>2</v>
      </c>
      <c r="AW162">
        <f t="shared" si="136"/>
        <v>2</v>
      </c>
      <c r="AX162">
        <f t="shared" si="136"/>
        <v>2</v>
      </c>
      <c r="BB162" s="32">
        <f t="shared" si="110"/>
        <v>2</v>
      </c>
      <c r="BC162" s="32">
        <f t="shared" si="111"/>
        <v>4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205</v>
      </c>
      <c r="BC196" s="32">
        <f t="shared" si="167"/>
        <v>844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632</v>
      </c>
      <c r="AR198">
        <f t="shared" si="168"/>
        <v>634</v>
      </c>
      <c r="AS198">
        <f t="shared" si="168"/>
        <v>634</v>
      </c>
      <c r="AT198">
        <f t="shared" si="168"/>
        <v>634</v>
      </c>
      <c r="AU198">
        <f t="shared" si="168"/>
        <v>634</v>
      </c>
      <c r="AV198">
        <f t="shared" si="168"/>
        <v>634</v>
      </c>
      <c r="AW198">
        <f t="shared" si="168"/>
        <v>634</v>
      </c>
      <c r="AX198">
        <f t="shared" si="168"/>
        <v>634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205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844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205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844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14" activePane="bottomLeft" state="frozen"/>
      <selection pane="bottomLeft" activeCell="S120" sqref="S120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607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475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509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534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546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546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534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548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548</v>
      </c>
      <c r="Y108" s="111" t="s">
        <v>548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548</v>
      </c>
      <c r="Y109" s="111" t="s">
        <v>548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548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/>
      <c r="O119" s="18"/>
      <c r="P119" s="8">
        <v>93</v>
      </c>
      <c r="Q119" s="8">
        <v>93</v>
      </c>
      <c r="R119" s="114">
        <v>2</v>
      </c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7">
        <v>122</v>
      </c>
      <c r="J120" s="18"/>
      <c r="K120" s="17" t="s">
        <v>158</v>
      </c>
      <c r="L120" s="111"/>
      <c r="M120" s="138">
        <v>120</v>
      </c>
      <c r="N120" s="18"/>
      <c r="O120" s="18" t="s">
        <v>23</v>
      </c>
      <c r="P120" s="8">
        <v>93</v>
      </c>
      <c r="Q120" s="8">
        <v>93</v>
      </c>
      <c r="R120" s="114">
        <v>2</v>
      </c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2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50">
        <v>122</v>
      </c>
      <c r="I121" s="137">
        <v>122</v>
      </c>
      <c r="J121" s="18">
        <v>2</v>
      </c>
      <c r="K121" s="17"/>
      <c r="L121" s="138">
        <v>120</v>
      </c>
      <c r="M121" s="138">
        <v>120</v>
      </c>
      <c r="N121" s="18">
        <v>2</v>
      </c>
      <c r="O121" s="18" t="s">
        <v>555</v>
      </c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/>
      <c r="E122" s="8"/>
      <c r="F122" s="18"/>
      <c r="G122" s="17"/>
      <c r="H122" s="137">
        <v>122</v>
      </c>
      <c r="I122" s="111"/>
      <c r="J122" s="18">
        <v>2</v>
      </c>
      <c r="K122" s="17"/>
      <c r="L122" s="138">
        <v>120</v>
      </c>
      <c r="M122" s="138">
        <v>120</v>
      </c>
      <c r="N122" s="18">
        <v>2</v>
      </c>
      <c r="O122" s="18" t="s">
        <v>556</v>
      </c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11"/>
      <c r="I123" s="8">
        <v>105</v>
      </c>
      <c r="J123" s="114">
        <v>2</v>
      </c>
      <c r="K123" s="114" t="s">
        <v>32</v>
      </c>
      <c r="L123" s="138">
        <v>120</v>
      </c>
      <c r="M123" s="8">
        <v>78</v>
      </c>
      <c r="N123" s="18">
        <v>2</v>
      </c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5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11"/>
      <c r="N131" s="114">
        <v>2</v>
      </c>
      <c r="O131" s="114"/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0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11"/>
      <c r="M132" s="111"/>
      <c r="N132" s="114"/>
      <c r="O132" s="114"/>
      <c r="P132" s="138">
        <v>123</v>
      </c>
      <c r="Q132" s="8">
        <v>160</v>
      </c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3</v>
      </c>
      <c r="AA132" s="130">
        <f t="shared" si="12"/>
        <v>4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11"/>
      <c r="M133" s="111"/>
      <c r="N133" s="114"/>
      <c r="O133" s="114"/>
      <c r="P133" s="8">
        <v>160</v>
      </c>
      <c r="Q133" s="8">
        <v>160</v>
      </c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3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11"/>
      <c r="M134" s="138">
        <v>154</v>
      </c>
      <c r="N134" s="18"/>
      <c r="O134" s="18"/>
      <c r="P134" s="8">
        <v>160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469</v>
      </c>
      <c r="D1" s="54" t="s">
        <v>129</v>
      </c>
      <c r="E1" s="55" t="s">
        <v>470</v>
      </c>
      <c r="F1" s="54" t="s">
        <v>131</v>
      </c>
      <c r="G1" s="55" t="s">
        <v>471</v>
      </c>
      <c r="H1" s="54" t="s">
        <v>132</v>
      </c>
      <c r="I1" s="55" t="s">
        <v>472</v>
      </c>
      <c r="J1" s="54" t="s">
        <v>133</v>
      </c>
      <c r="K1" s="55" t="s">
        <v>473</v>
      </c>
      <c r="L1" s="54" t="s">
        <v>134</v>
      </c>
      <c r="M1" s="55" t="s">
        <v>474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N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udc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-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-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udc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N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-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510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>
        <f>IF(AND(D103="Y",booking!L103&lt;&gt;booking!M103,booking!M103&gt;0),booking!M103,"-")</f>
        <v>160</v>
      </c>
      <c r="P103" s="76">
        <f>IFERROR(VLOOKUP(O103,Database!$A$2:$L$188,8,FALSE),"-")</f>
        <v>0</v>
      </c>
      <c r="Q103" s="76" t="str">
        <f>IFERROR(VLOOKUP(O103,Database!$A$2:$L$188,6,FALSE),"-")</f>
        <v>N</v>
      </c>
      <c r="R103" s="80">
        <f>IFERROR(VLOOKUP(O103,Database!$A$2:$L$188,9,FALSE),"-")</f>
        <v>0</v>
      </c>
      <c r="S103" s="203" t="str">
        <f>IFERROR(VLOOKUP(O103,Database!$A$2:$S$188,19,FALSE),"-")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122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>
        <f>IFERROR(VLOOKUP(J120,Database!$A$2:$L$188,9,FALSE),"-")</f>
        <v>0</v>
      </c>
      <c r="N120" s="203" t="str">
        <f>IFERROR(VLOOKUP(J120,Database!$A$2:$S$188,19,FALSE),"-")</f>
        <v>N</v>
      </c>
      <c r="O120" s="94">
        <f>IF(AND(D120="Y",booking!L120&lt;&gt;booking!M120,booking!M120&gt;0),booking!M120,"-")</f>
        <v>120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 t="str">
        <f>IFERROR(VLOOKUP(O120,Database!$A$2:$L$188,9,FALSE),"-")</f>
        <v>Dobb</v>
      </c>
      <c r="S120" s="203" t="str">
        <f>IFERROR(VLOOKUP(O120,Database!$A$2:$S$188,19,FALSE),"-")</f>
        <v>Y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-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IFERROR(VLOOKUP(O131,Database!$A$2:$L$188,8,FALSE),"-")</f>
        <v>-</v>
      </c>
      <c r="Q131" s="76" t="str">
        <f>IFERROR(VLOOKUP(O131,Database!$A$2:$L$188,6,FALSE),"-")</f>
        <v>-</v>
      </c>
      <c r="R131" s="80" t="str">
        <f>IFERROR(VLOOKUP(O131,Database!$A$2:$L$188,9,FALSE),"-")</f>
        <v>-</v>
      </c>
      <c r="S131" s="203" t="str">
        <f>IFERROR(VLOOKUP(O131,Database!$A$2:$S$188,19,FALSE),"-")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>
        <f>IF(AND(D132="Y",booking!P132&lt;&gt;booking!Q132,booking!Q132&gt;0),booking!Q132,"-")</f>
        <v>160</v>
      </c>
      <c r="U132" s="76">
        <f>IFERROR(VLOOKUP(T132,Database!$A$2:$L$188,8,FALSE),"-")</f>
        <v>0</v>
      </c>
      <c r="V132" s="76" t="str">
        <f>IFERROR(VLOOKUP(T132,Database!$A$2:$L$188,6,FALSE),"-")</f>
        <v>N</v>
      </c>
      <c r="W132" s="80">
        <f>IFERROR(VLOOKUP(T132,Database!$A$2:$L$188,9,FALSE),"-")</f>
        <v>0</v>
      </c>
      <c r="X132" s="203" t="str">
        <f>IFERROR(VLOOKUP(T132,Database!$A$2:$S$188,19,FALSE),"-")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>
        <f>ankomster!O103</f>
        <v>160</v>
      </c>
      <c r="I103" t="str">
        <f>IFERROR(VLOOKUP(H103,Database!$A$2:$L$188,2,FALSE),"-")</f>
        <v>Trond Haagensen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122</v>
      </c>
      <c r="G120" t="str">
        <f>IFERROR(VLOOKUP(F120,Database!$A$2:$L$188,2,FALSE),"-")</f>
        <v>Pernille Tygstrup</v>
      </c>
      <c r="H120">
        <f>ankomster!O120</f>
        <v>120</v>
      </c>
      <c r="I120" t="str">
        <f>IFERROR(VLOOKUP(H120,Database!$A$2:$L$188,2,FALSE),"-")</f>
        <v>Bo Rosschou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 t="str">
        <f>ankomster!O131</f>
        <v>-</v>
      </c>
      <c r="I131" t="str">
        <f>IFERROR(VLOOKUP(H131,Database!$A$2:$L$188,2,FALSE),"-")</f>
        <v>-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>
        <f>ankomster!T132</f>
        <v>160</v>
      </c>
      <c r="K132" t="str">
        <f>IFERROR(VLOOKUP(J132,Database!$A$2:$L$188,2,FALSE),"-")</f>
        <v>Trond Haagensen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">
      <c r="A161">
        <f>Database!A174</f>
        <v>160</v>
      </c>
      <c r="B161" s="2" t="str">
        <f>Database!Q174</f>
        <v>Y</v>
      </c>
      <c r="C161" s="2">
        <f t="shared" si="4"/>
        <v>2</v>
      </c>
      <c r="D161" s="2">
        <f>IF(B161="Y",Database!K174,"-")</f>
        <v>1</v>
      </c>
      <c r="E161" s="2">
        <f>IF(AND(D161&gt;1,B161="Y"),Database!L174/D161,Database!L174)</f>
        <v>2</v>
      </c>
    </row>
    <row r="162" spans="1:5" x14ac:dyDescent="0.3">
      <c r="A162">
        <f>Database!A175</f>
        <v>161</v>
      </c>
      <c r="B162" s="2" t="str">
        <f>Database!Q175</f>
        <v>N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2</v>
      </c>
    </row>
    <row r="163" spans="1:5" x14ac:dyDescent="0.3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317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">
      <c r="A161">
        <f>Database!A174</f>
        <v>160</v>
      </c>
      <c r="B161" t="str">
        <f>Database!G174</f>
        <v>bc</v>
      </c>
      <c r="C161" s="5">
        <f>Database!C174</f>
        <v>46240</v>
      </c>
      <c r="D161" s="5">
        <f>Database!D174</f>
        <v>46243</v>
      </c>
      <c r="E161">
        <f t="shared" si="8"/>
        <v>3</v>
      </c>
      <c r="F161">
        <f>Database!K174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">
      <c r="A162">
        <f>Database!A175</f>
        <v>161</v>
      </c>
      <c r="B162" t="str">
        <f>Database!G175</f>
        <v>bc</v>
      </c>
      <c r="C162" s="5">
        <f>Database!C175</f>
        <v>46269</v>
      </c>
      <c r="D162" s="5">
        <f>Database!D175</f>
        <v>46271</v>
      </c>
      <c r="E162">
        <f t="shared" si="8"/>
        <v>2</v>
      </c>
      <c r="F162">
        <f>Database!K175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468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va</v>
      </c>
      <c r="G122" s="127" t="str">
        <f>IF(booking!L122&gt;0,"oc","va")</f>
        <v>oc</v>
      </c>
      <c r="H122" s="128" t="str">
        <f>IF(booking!M122&gt;0,"oc","va")</f>
        <v>oc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va</v>
      </c>
      <c r="F123" s="128" t="str">
        <f>IF(booking!I123&gt;0,"oc","va")</f>
        <v>oc</v>
      </c>
      <c r="G123" s="127" t="str">
        <f>IF(booking!L123&gt;0,"oc","va")</f>
        <v>oc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va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va</v>
      </c>
      <c r="H133" s="128" t="str">
        <f>IF(booking!M133&gt;0,"oc","va")</f>
        <v>va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va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2026-08-21T15:05:00Z</dcterms:modified>
  <cp:category/>
  <cp:contentStatus/>
</cp:coreProperties>
</file>
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48ABF4B6-4D68-40E3-A8C1-D5568B6E6426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Database!$A$1:$V$166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00" i="3" l="1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<sst xmlns="http://schemas.openxmlformats.org/spreadsheetml/2006/main" count="1639" uniqueCount="548">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</sst>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  <c:pt idx="27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  <c:pt idx="27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0"/>
  <sheetViews>
    <sheetView workbookViewId="0">
      <pane ySplit="1" topLeftCell="A154" activePane="bottomLeft" state="frozen"/>
      <selection pane="bottomLeft" activeCell="O173" sqref="O17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G64" t="s">
        <v>35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G69" t="s">
        <v>6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G86" t="s">
        <v>6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G93" t="s">
        <v>6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G103" t="s">
        <v>6</v>
      </c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G141" t="s">
        <v>6</v>
      </c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5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5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  <row r="167" spans="1:20" x14ac:dyDescent="0.35">
      <c r="A167" s="2">
        <v>152</v>
      </c>
      <c r="B167" t="s">
        <v>541</v>
      </c>
      <c r="C167" s="194">
        <v>46219</v>
      </c>
      <c r="D167" s="194">
        <v>46222</v>
      </c>
      <c r="E167" s="194">
        <v>46192</v>
      </c>
      <c r="F167" t="s">
        <v>52</v>
      </c>
      <c r="G167" t="s">
        <v>35</v>
      </c>
      <c r="H167" t="s">
        <v>368</v>
      </c>
      <c r="I167"/>
      <c r="J167" s="207">
        <v>0</v>
      </c>
      <c r="K167">
        <v>1</v>
      </c>
      <c r="L167">
        <v>2</v>
      </c>
      <c r="N167"/>
      <c r="O167"/>
      <c r="P167" s="2" t="s">
        <v>20</v>
      </c>
      <c r="Q167" s="2" t="s">
        <v>21</v>
      </c>
      <c r="R167" s="122">
        <v>3825</v>
      </c>
      <c r="S167" s="2" t="s">
        <v>20</v>
      </c>
    </row>
    <row r="168" spans="1:20" x14ac:dyDescent="0.35">
      <c r="A168" s="2">
        <v>153</v>
      </c>
      <c r="B168" t="s">
        <v>542</v>
      </c>
      <c r="C168" s="194">
        <v>46284</v>
      </c>
      <c r="D168" s="194">
        <v>46291</v>
      </c>
      <c r="E168" s="194">
        <v>46201</v>
      </c>
      <c r="F168" t="s">
        <v>52</v>
      </c>
      <c r="G168" t="s">
        <v>6</v>
      </c>
      <c r="H168"/>
      <c r="I168" t="s">
        <v>442</v>
      </c>
      <c r="J168" s="207">
        <v>0.1</v>
      </c>
      <c r="K168">
        <v>1</v>
      </c>
      <c r="L168">
        <v>2</v>
      </c>
      <c r="M168" t="s">
        <v>543</v>
      </c>
      <c r="N168"/>
      <c r="O168"/>
      <c r="P168" s="2" t="s">
        <v>20</v>
      </c>
      <c r="Q168" s="2" t="s">
        <v>21</v>
      </c>
      <c r="R168" s="122">
        <v>7245</v>
      </c>
      <c r="S168" s="2" t="s">
        <v>20</v>
      </c>
    </row>
    <row r="169" spans="1:20" x14ac:dyDescent="0.35">
      <c r="A169" s="2">
        <v>154</v>
      </c>
      <c r="B169" t="s">
        <v>545</v>
      </c>
      <c r="C169" s="194">
        <v>46271</v>
      </c>
      <c r="D169" s="194">
        <v>46275</v>
      </c>
      <c r="E169" s="194">
        <v>46203</v>
      </c>
      <c r="F169" t="s">
        <v>53</v>
      </c>
      <c r="G169" t="s">
        <v>6</v>
      </c>
      <c r="H169"/>
      <c r="I169"/>
      <c r="J169" s="207">
        <v>0.1</v>
      </c>
      <c r="K169">
        <v>1</v>
      </c>
      <c r="L169">
        <v>2</v>
      </c>
      <c r="M169" t="s">
        <v>544</v>
      </c>
      <c r="N169"/>
      <c r="O169"/>
      <c r="P169" s="2" t="s">
        <v>20</v>
      </c>
      <c r="Q169" s="2" t="s">
        <v>20</v>
      </c>
      <c r="R169" s="122">
        <v>3420</v>
      </c>
      <c r="S169" s="2" t="s">
        <v>20</v>
      </c>
    </row>
    <row r="170" spans="1:20" x14ac:dyDescent="0.35">
      <c r="A170" s="2">
        <v>155</v>
      </c>
      <c r="B170" t="s">
        <v>546</v>
      </c>
      <c r="C170" s="194">
        <v>46212</v>
      </c>
      <c r="D170" s="194">
        <v>46215</v>
      </c>
      <c r="E170" s="194">
        <v>46205</v>
      </c>
      <c r="F170" t="s">
        <v>52</v>
      </c>
      <c r="G170" s="2" t="s">
        <v>35</v>
      </c>
      <c r="H170"/>
      <c r="I170"/>
      <c r="J170" s="207">
        <v>0</v>
      </c>
      <c r="K170">
        <v>1</v>
      </c>
      <c r="L170">
        <v>1</v>
      </c>
      <c r="N170"/>
      <c r="O170"/>
      <c r="P170" s="2" t="s">
        <v>21</v>
      </c>
      <c r="Q170" s="2" t="s">
        <v>20</v>
      </c>
      <c r="R170" s="122">
        <v>2925</v>
      </c>
      <c r="S170" s="2" t="s">
        <v>20</v>
      </c>
      <c r="T170" t="s">
        <v>547</v>
      </c>
    </row>
  </sheetData>
  <autoFilter ref="A1:V166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Z1" workbookViewId="0">
      <pane ySplit="1" topLeftCell="A188" activePane="bottomLeft" state="frozen"/>
      <selection pane="bottomLeft" activeCell="AK197" sqref="AK19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152</v>
      </c>
      <c r="B153" s="22">
        <f>Database!E167</f>
        <v>46192</v>
      </c>
      <c r="C153">
        <f>IF(Database!G167="cansl",0,Database!K167)</f>
        <v>1</v>
      </c>
      <c r="D153">
        <f>Database!D167-Database!C167</f>
        <v>3</v>
      </c>
      <c r="F153">
        <f>Database!L167</f>
        <v>2</v>
      </c>
      <c r="G153" t="str">
        <f>Database!F167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153</v>
      </c>
      <c r="B154" s="22">
        <f>Database!E168</f>
        <v>46201</v>
      </c>
      <c r="C154">
        <f>IF(Database!G168="cansl",0,Database!K168)</f>
        <v>1</v>
      </c>
      <c r="D154">
        <f>Database!D168-Database!C168</f>
        <v>7</v>
      </c>
      <c r="F154">
        <f>Database!L168</f>
        <v>2</v>
      </c>
      <c r="G154" t="str">
        <f>Database!F168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154</v>
      </c>
      <c r="B155" s="22">
        <f>Database!E169</f>
        <v>46203</v>
      </c>
      <c r="C155">
        <f>IF(Database!G169="cansl",0,Database!K169)</f>
        <v>1</v>
      </c>
      <c r="D155">
        <f>Database!D169-Database!C169</f>
        <v>4</v>
      </c>
      <c r="F155">
        <f>Database!L169</f>
        <v>2</v>
      </c>
      <c r="G155" t="str">
        <f>Database!F169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155</v>
      </c>
      <c r="B156" s="22">
        <f>Database!E170</f>
        <v>46205</v>
      </c>
      <c r="C156">
        <f>IF(Database!G170="cansl",0,Database!K170)</f>
        <v>1</v>
      </c>
      <c r="D156">
        <f>Database!D170-Database!C170</f>
        <v>3</v>
      </c>
      <c r="F156">
        <f>Database!L170</f>
        <v>1</v>
      </c>
      <c r="G156" t="str">
        <f>Database!F170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201</v>
      </c>
      <c r="BC196" s="32">
        <f t="shared" si="167"/>
        <v>832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67"/>
        <v>182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612</v>
      </c>
      <c r="AK198">
        <f t="shared" si="168"/>
        <v>619</v>
      </c>
      <c r="AL198">
        <f t="shared" si="168"/>
        <v>626</v>
      </c>
      <c r="AM198">
        <f t="shared" si="168"/>
        <v>626</v>
      </c>
      <c r="AN198">
        <f t="shared" si="168"/>
        <v>626</v>
      </c>
      <c r="AO198">
        <f t="shared" si="168"/>
        <v>626</v>
      </c>
      <c r="AP198">
        <f t="shared" si="168"/>
        <v>626</v>
      </c>
      <c r="AQ198">
        <f t="shared" si="168"/>
        <v>626</v>
      </c>
      <c r="AR198">
        <f t="shared" si="168"/>
        <v>626</v>
      </c>
      <c r="AS198">
        <f t="shared" si="168"/>
        <v>626</v>
      </c>
      <c r="AT198">
        <f t="shared" si="168"/>
        <v>626</v>
      </c>
      <c r="AU198">
        <f t="shared" si="168"/>
        <v>626</v>
      </c>
      <c r="AV198">
        <f t="shared" si="168"/>
        <v>626</v>
      </c>
      <c r="AW198">
        <f t="shared" si="168"/>
        <v>626</v>
      </c>
      <c r="AX198">
        <f t="shared" si="168"/>
        <v>626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612</v>
      </c>
      <c r="AK200">
        <f>AK198</f>
        <v>619</v>
      </c>
      <c r="AL200">
        <f>AL198</f>
        <v>626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201</v>
      </c>
      <c r="BE202" s="32">
        <f>BD196</f>
        <v>25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832</v>
      </c>
      <c r="BE203" s="38">
        <f>BE196</f>
        <v>87</v>
      </c>
      <c r="BF203" s="38">
        <f>BG196</f>
        <v>8</v>
      </c>
      <c r="BG203" s="38">
        <f>BI196</f>
        <v>182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E30" sqref="E30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201</v>
      </c>
      <c r="C30" s="32">
        <f>'book stat'!BE202</f>
        <v>25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2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832</v>
      </c>
      <c r="C31" s="32">
        <f>'book stat'!BE203</f>
        <v>87</v>
      </c>
      <c r="D31" s="32">
        <f>'book stat'!BF203</f>
        <v>8</v>
      </c>
      <c r="E31" s="32">
        <f>'book stat'!BG203</f>
        <v>182</v>
      </c>
      <c r="F31" s="32">
        <f>'book stat'!BH203</f>
        <v>8</v>
      </c>
      <c r="G31" s="33">
        <f>'book stat'!BI203</f>
        <v>41</v>
      </c>
      <c r="H31" s="167">
        <f>'book stat'!BJ203</f>
        <v>0</v>
      </c>
      <c r="I31" s="168">
        <f>'book stat'!BK203</f>
        <v>8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61" activePane="bottomLeft" state="frozen"/>
      <selection pane="bottomLeft" activeCell="G76" sqref="G76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617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152</v>
      </c>
      <c r="M83" s="190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7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152</v>
      </c>
      <c r="M84" s="190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7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5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6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6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6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6"/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>
        <v>94</v>
      </c>
      <c r="N97" s="111"/>
      <c r="O97" s="186" t="s">
        <v>32</v>
      </c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111"/>
      <c r="Y97" s="111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4">
        <v>94</v>
      </c>
      <c r="M98" s="114">
        <v>94</v>
      </c>
      <c r="N98" s="111"/>
      <c r="O98" s="186" t="s">
        <v>156</v>
      </c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111"/>
      <c r="Y98" s="111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112"/>
      <c r="I99" s="138">
        <v>74</v>
      </c>
      <c r="J99" s="18"/>
      <c r="K99" s="17"/>
      <c r="L99" s="114">
        <v>94</v>
      </c>
      <c r="M99" s="114">
        <v>94</v>
      </c>
      <c r="N99" s="111"/>
      <c r="O99" s="111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1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1</v>
      </c>
      <c r="G100" s="18"/>
      <c r="H100" s="140">
        <v>74</v>
      </c>
      <c r="I100" s="138">
        <v>74</v>
      </c>
      <c r="J100" s="18">
        <v>2</v>
      </c>
      <c r="K100" s="17"/>
      <c r="L100" s="189">
        <v>94</v>
      </c>
      <c r="M100" s="137">
        <v>11</v>
      </c>
      <c r="N100" s="111"/>
      <c r="O100" s="111" t="s">
        <v>157</v>
      </c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216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1</v>
      </c>
      <c r="G101" s="18"/>
      <c r="H101" s="140">
        <v>74</v>
      </c>
      <c r="I101" s="138">
        <v>74</v>
      </c>
      <c r="J101" s="18">
        <v>2</v>
      </c>
      <c r="K101" s="17"/>
      <c r="L101" s="137">
        <v>11</v>
      </c>
      <c r="M101" s="137">
        <v>11</v>
      </c>
      <c r="N101" s="111"/>
      <c r="O101" s="111" t="s">
        <v>156</v>
      </c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1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1</v>
      </c>
      <c r="G102" s="18"/>
      <c r="H102" s="138">
        <v>74</v>
      </c>
      <c r="I102" s="138">
        <v>74</v>
      </c>
      <c r="J102" s="18">
        <v>2</v>
      </c>
      <c r="K102" s="17"/>
      <c r="L102" s="137">
        <v>11</v>
      </c>
      <c r="M102" s="137">
        <v>11</v>
      </c>
      <c r="N102" s="111"/>
      <c r="O102" s="111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1</v>
      </c>
      <c r="G103" s="18" t="s">
        <v>32</v>
      </c>
      <c r="H103" s="138">
        <v>74</v>
      </c>
      <c r="I103" s="8">
        <v>32</v>
      </c>
      <c r="J103" s="18">
        <v>2</v>
      </c>
      <c r="K103" s="17" t="s">
        <v>155</v>
      </c>
      <c r="L103" s="137">
        <v>11</v>
      </c>
      <c r="M103" s="137">
        <v>11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6" t="s">
        <v>156</v>
      </c>
      <c r="L104" s="137">
        <v>11</v>
      </c>
      <c r="M104" s="137">
        <v>11</v>
      </c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6"/>
      <c r="L105" s="137">
        <v>11</v>
      </c>
      <c r="M105" s="8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91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/>
      <c r="Y108" s="111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/>
      <c r="Y109" s="111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23</v>
      </c>
      <c r="F110" s="18">
        <v>1</v>
      </c>
      <c r="G110" s="18"/>
      <c r="H110" s="8">
        <v>32</v>
      </c>
      <c r="I110" s="153">
        <v>46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/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23</v>
      </c>
      <c r="E111" s="8">
        <v>23</v>
      </c>
      <c r="F111" s="18">
        <v>2</v>
      </c>
      <c r="G111" s="18"/>
      <c r="H111" s="153">
        <v>46</v>
      </c>
      <c r="I111" s="153">
        <v>46</v>
      </c>
      <c r="J111" s="18"/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23</v>
      </c>
      <c r="E112" s="8">
        <v>23</v>
      </c>
      <c r="F112" s="18">
        <v>2</v>
      </c>
      <c r="G112" s="18"/>
      <c r="H112" s="153">
        <v>46</v>
      </c>
      <c r="I112" s="153">
        <v>46</v>
      </c>
      <c r="J112" s="18"/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23</v>
      </c>
      <c r="E113" s="8"/>
      <c r="F113" s="18">
        <v>2</v>
      </c>
      <c r="G113" s="18"/>
      <c r="H113" s="153">
        <v>46</v>
      </c>
      <c r="I113" s="153">
        <v>46</v>
      </c>
      <c r="J113" s="18"/>
      <c r="K113" s="17"/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3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5</v>
      </c>
      <c r="AA152" s="130">
        <f t="shared" si="12"/>
        <v>3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5</v>
      </c>
      <c r="AA153" s="130">
        <f t="shared" si="12"/>
        <v>2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14:Y123 D114:M115 O99:S102 U99:W102 T101:T102 W141:X144 W124:W140 O2:Y91 Y138:Y144 X138 X124:Y137 D52:G58 H52:H57 D59:M91 O103:W113 Z99:Z102 X93:Y113 F109:F113 F99:F107 D99:E113 G99:K113 D93:K98 N93:W98 D92:Y92 L93:M113 W145:Y17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IFERROR(IF(AND(booking!AB93&gt;0,booking!L93&lt;&gt;booking!M93),VLOOKUP(booking!M93,Database!$A$1:'Database'!$L$189,6,FALSE),"-"),"-")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IFERROR(IF(AND(booking!AB96&gt;0,booking!D96&lt;&gt;booking!E96),VLOOKUP(booking!E96,Database!$A$1:'Database'!$L$189,6,FALSE),"-"),"-")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IFERROR(IF(AND(booking!AB96&gt;0,booking!L96&lt;&gt;booking!M96),VLOOKUP(booking!M96,Database!$A$1:'Database'!$L$189,6,FALSE),"-"),"-")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IFERROR(IF(AND(booking!AB97&gt;0,booking!D97&lt;&gt;booking!E97),VLOOKUP(booking!E97,Database!$A$1:'Database'!$L$189,6,FALSE),"-"),"-")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IFERROR(IF(AND(booking!AB97&gt;0,booking!L97&lt;&gt;booking!M97),VLOOKUP(booking!M97,Database!$A$1:'Database'!$L$189,6,FALSE),"-"),"-")</f>
        <v>D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IFERROR(IF(AND(booking!AB99&gt;0,booking!D99&lt;&gt;booking!E99),VLOOKUP(booking!E99,Database!$A$1:'Database'!$L$189,6,FALSE),"-"),"-")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IFERROR(IF(AND(booking!AB99&gt;0,booking!L99&lt;&gt;booking!M99),VLOOKUP(booking!M99,Database!$A$1:'Database'!$L$189,6,FALSE),"-"),"-")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IFERROR(IF(AND(booking!AB100&gt;0,booking!D100&lt;&gt;booking!E100),VLOOKUP(booking!E100,Database!$A$1:'Database'!$L$189,6,FALSE),"-"),"-")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udc</v>
      </c>
      <c r="I100" s="47" t="str">
        <f>IFERROR(IF(AND(booking!AB100&gt;0,booking!L100&lt;&gt;booking!M100),VLOOKUP(booking!M100,Database!$A$1:'Database'!$L$189,6,FALSE),"-"),"-")</f>
        <v>D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IFERROR(IF(AND(booking!AB103&gt;0,booking!D103&lt;&gt;booking!E103),VLOOKUP(booking!E103,Database!$A$1:'Database'!$L$189,6,FALSE),"-"),"-")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IFERROR(IF(AND(booking!AB103&gt;0,booking!L103&lt;&gt;booking!M103),VLOOKUP(booking!M103,Database!$A$1:'Database'!$L$189,6,FALSE),"-"),"-")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udc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IFERROR(IF(AND(booking!AB110&gt;0,booking!D110&lt;&gt;booking!E110),VLOOKUP(booking!E110,Database!$A$1:'Database'!$L$189,6,FALSE),"-"),"-")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IFERROR(IF(AND(booking!AB110&gt;0,booking!L110&lt;&gt;booking!M110),VLOOKUP(booking!M110,Database!$A$1:'Database'!$L$189,6,FALSE),"-"),"-")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IFERROR(IF(AND(booking!AB111&gt;0,booking!D111&lt;&gt;booking!E111),VLOOKUP(booking!E111,Database!$A$1:'Database'!$L$189,6,FALSE),"-"),"-")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IFERROR(IF(AND(booking!AB111&gt;0,booking!L111&lt;&gt;booking!M111),VLOOKUP(booking!M111,Database!$A$1:'Database'!$L$189,6,FALSE),"-"),"-")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IFERROR(IF(AND(booking!AB147&gt;0,booking!P147&lt;&gt;booking!Q147),VLOOKUP(booking!Q147,Database!$A$1:'Database'!$L$189,6,FALSE),"-"),"-")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IFERROR(VLOOKUP(O82,Database!$A$2:$L$189,8,FALSE),"-")</f>
        <v>1400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IFERROR(VLOOKUP(E92,Database!$A$2:$L$189,8,FALSE),"-")</f>
        <v>0</v>
      </c>
      <c r="G92" s="76" t="str">
        <f>IFERROR(VLOOKUP(E92,Database!$A$2:$L$189,6,FALSE),"-")</f>
        <v>DK</v>
      </c>
      <c r="H92" s="91" t="str">
        <f>IFERROR(VLOOKUP(E92,Database!$A$2:$L$189,9,FALSE),"-")</f>
        <v>sing</v>
      </c>
      <c r="I92" s="109" t="str">
        <f>IFERROR(VLOOKUP(E92,Database!$A$2:$S$189,19,FALSE),"-")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IFERROR(VLOOKUP(O92,Database!$A$2:$L$189,8,FALSE),"-")</f>
        <v>-</v>
      </c>
      <c r="Q92" s="76" t="str">
        <f>IFERROR(VLOOKUP(O92,Database!$A$2:$L$189,6,FALSE),"-")</f>
        <v>-</v>
      </c>
      <c r="R92" s="80" t="str">
        <f>IFERROR(VLOOKUP(O92,Database!$A$2:$L$189,9,FALSE),"-")</f>
        <v>-</v>
      </c>
      <c r="S92" s="205" t="str">
        <f>IFERROR(VLOOKUP(O92,Database!$A$2:$S$189,19,FALSE),"-")</f>
        <v>-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IFERROR(VLOOKUP(E93,Database!$A$2:$L$189,8,FALSE),"-")</f>
        <v>-</v>
      </c>
      <c r="G93" s="76" t="str">
        <f>IFERROR(VLOOKUP(E93,Database!$A$2:$L$189,6,FALSE),"-")</f>
        <v>-</v>
      </c>
      <c r="H93" s="91" t="str">
        <f>IFERROR(VLOOKUP(E93,Database!$A$2:$L$189,9,FALSE),"-")</f>
        <v>-</v>
      </c>
      <c r="I93" s="109" t="str">
        <f>IFERROR(VLOOKUP(E93,Database!$A$2:$S$189,19,FALSE),"-")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>
        <f>IF(AND(D93="Y",booking!L93&lt;&gt;booking!M93,booking!M93&gt;0),booking!M93,"-")</f>
        <v>55</v>
      </c>
      <c r="P93" s="76">
        <f>IFERROR(VLOOKUP(O93,Database!$A$2:$L$189,8,FALSE),"-")</f>
        <v>0</v>
      </c>
      <c r="Q93" s="76" t="str">
        <f>IFERROR(VLOOKUP(O93,Database!$A$2:$L$189,6,FALSE),"-")</f>
        <v>DK</v>
      </c>
      <c r="R93" s="80" t="str">
        <f>IFERROR(VLOOKUP(O93,Database!$A$2:$L$189,9,FALSE),"-")</f>
        <v>dobb</v>
      </c>
      <c r="S93" s="205" t="str">
        <f>IFERROR(VLOOKUP(O93,Database!$A$2:$S$189,19,FALSE),"-")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IFERROR(VLOOKUP(E96,Database!$A$2:$L$189,8,FALSE),"-")</f>
        <v>0</v>
      </c>
      <c r="G96" s="76" t="str">
        <f>IFERROR(VLOOKUP(E96,Database!$A$2:$L$189,6,FALSE),"-")</f>
        <v>DK</v>
      </c>
      <c r="H96" s="91">
        <f>IFERROR(VLOOKUP(E96,Database!$A$2:$L$189,9,FALSE),"-")</f>
        <v>0</v>
      </c>
      <c r="I96" s="109" t="str">
        <f>IFERROR(VLOOKUP(E96,Database!$A$2:$S$189,19,FALSE),"-")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IFERROR(VLOOKUP(O96,Database!$A$2:$L$189,8,FALSE),"-")</f>
        <v>-</v>
      </c>
      <c r="Q96" s="76" t="str">
        <f>IFERROR(VLOOKUP(O96,Database!$A$2:$L$189,6,FALSE),"-")</f>
        <v>-</v>
      </c>
      <c r="R96" s="80" t="str">
        <f>IFERROR(VLOOKUP(O96,Database!$A$2:$L$189,9,FALSE),"-")</f>
        <v>-</v>
      </c>
      <c r="S96" s="205" t="str">
        <f>IFERROR(VLOOKUP(O96,Database!$A$2:$S$189,19,FALSE),"-")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IFERROR(VLOOKUP(E97,Database!$A$2:$L$189,8,FALSE),"-")</f>
        <v>-</v>
      </c>
      <c r="G97" s="76" t="str">
        <f>IFERROR(VLOOKUP(E97,Database!$A$2:$L$189,6,FALSE),"-")</f>
        <v>-</v>
      </c>
      <c r="H97" s="91" t="str">
        <f>IFERROR(VLOOKUP(E97,Database!$A$2:$L$189,9,FALSE),"-")</f>
        <v>-</v>
      </c>
      <c r="I97" s="109" t="str">
        <f>IFERROR(VLOOKUP(E97,Database!$A$2:$S$189,19,FALSE),"-")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>
        <f>IF(AND(D97="Y",booking!L97&lt;&gt;booking!M97,booking!M97&gt;0),booking!M97,"-")</f>
        <v>94</v>
      </c>
      <c r="P97" s="76">
        <f>IFERROR(VLOOKUP(O97,Database!$A$2:$L$189,8,FALSE),"-")</f>
        <v>0</v>
      </c>
      <c r="Q97" s="76" t="str">
        <f>IFERROR(VLOOKUP(O97,Database!$A$2:$L$189,6,FALSE),"-")</f>
        <v>D</v>
      </c>
      <c r="R97" s="80">
        <f>IFERROR(VLOOKUP(O97,Database!$A$2:$L$189,9,FALSE),"-")</f>
        <v>0</v>
      </c>
      <c r="S97" s="205" t="str">
        <f>IFERROR(VLOOKUP(O97,Database!$A$2:$S$189,19,FALSE),"-")</f>
        <v>N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IFERROR(VLOOKUP(E99,Database!$A$2:$L$189,8,FALSE),"-")</f>
        <v>0</v>
      </c>
      <c r="G99" s="76" t="str">
        <f>IFERROR(VLOOKUP(E99,Database!$A$2:$L$189,6,FALSE),"-")</f>
        <v>DK</v>
      </c>
      <c r="H99" s="91">
        <f>IFERROR(VLOOKUP(E99,Database!$A$2:$L$189,9,FALSE),"-")</f>
        <v>0</v>
      </c>
      <c r="I99" s="109" t="str">
        <f>IFERROR(VLOOKUP(E99,Database!$A$2:$S$189,19,FALSE),"-")</f>
        <v>Y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 t="str">
        <f>IF(AND(D99="Y",booking!L99&lt;&gt;booking!M99,booking!M99&gt;0),booking!M99,"-")</f>
        <v>-</v>
      </c>
      <c r="P99" s="76" t="str">
        <f>IFERROR(VLOOKUP(O99,Database!$A$2:$L$189,8,FALSE),"-")</f>
        <v>-</v>
      </c>
      <c r="Q99" s="76" t="str">
        <f>IFERROR(VLOOKUP(O99,Database!$A$2:$L$189,6,FALSE),"-")</f>
        <v>-</v>
      </c>
      <c r="R99" s="80" t="str">
        <f>IFERROR(VLOOKUP(O99,Database!$A$2:$L$189,9,FALSE),"-")</f>
        <v>-</v>
      </c>
      <c r="S99" s="205" t="str">
        <f>IFERROR(VLOOKUP(O99,Database!$A$2:$S$189,19,FALSE),"-")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IFERROR(VLOOKUP(E100,Database!$A$2:$L$189,8,FALSE),"-")</f>
        <v>-</v>
      </c>
      <c r="G100" s="76" t="str">
        <f>IFERROR(VLOOKUP(E100,Database!$A$2:$L$189,6,FALSE),"-")</f>
        <v>-</v>
      </c>
      <c r="H100" s="91" t="str">
        <f>IFERROR(VLOOKUP(E100,Database!$A$2:$L$189,9,FALSE),"-")</f>
        <v>-</v>
      </c>
      <c r="I100" s="109" t="str">
        <f>IFERROR(VLOOKUP(E100,Database!$A$2:$S$189,19,FALSE),"-")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>
        <f>IF(AND(D100="Y",booking!L100&lt;&gt;booking!M100,booking!M100&gt;0),booking!M100,"-")</f>
        <v>11</v>
      </c>
      <c r="P100" s="76">
        <f>IFERROR(VLOOKUP(O100,Database!$A$2:$L$189,8,FALSE),"-")</f>
        <v>0</v>
      </c>
      <c r="Q100" s="76" t="str">
        <f>IFERROR(VLOOKUP(O100,Database!$A$2:$L$189,6,FALSE),"-")</f>
        <v>D</v>
      </c>
      <c r="R100" s="80">
        <f>IFERROR(VLOOKUP(O100,Database!$A$2:$L$189,9,FALSE),"-")</f>
        <v>0</v>
      </c>
      <c r="S100" s="205" t="str">
        <f>IFERROR(VLOOKUP(O100,Database!$A$2:$S$189,19,FALSE),"-")</f>
        <v>N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IFERROR(VLOOKUP(E103,Database!$A$2:$L$189,8,FALSE),"-")</f>
        <v>0</v>
      </c>
      <c r="G103" s="76" t="str">
        <f>IFERROR(VLOOKUP(E103,Database!$A$2:$L$189,6,FALSE),"-")</f>
        <v>D</v>
      </c>
      <c r="H103" s="91">
        <f>IFERROR(VLOOKUP(E103,Database!$A$2:$L$189,9,FALSE),"-")</f>
        <v>0</v>
      </c>
      <c r="I103" s="109" t="str">
        <f>IFERROR(VLOOKUP(E103,Database!$A$2:$S$189,19,FALSE),"-")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IFERROR(VLOOKUP(O103,Database!$A$2:$L$189,8,FALSE),"-")</f>
        <v>-</v>
      </c>
      <c r="Q103" s="76" t="str">
        <f>IFERROR(VLOOKUP(O103,Database!$A$2:$L$189,6,FALSE),"-")</f>
        <v>-</v>
      </c>
      <c r="R103" s="80" t="str">
        <f>IFERROR(VLOOKUP(O103,Database!$A$2:$L$189,9,FALSE),"-")</f>
        <v>-</v>
      </c>
      <c r="S103" s="205" t="str">
        <f>IFERROR(VLOOKUP(O103,Database!$A$2:$S$189,19,FALSE),"-")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IFERROR(VLOOKUP(E107,Database!$A$2:$L$189,8,FALSE),"-")</f>
        <v>-</v>
      </c>
      <c r="G107" s="76" t="str">
        <f>IFERROR(VLOOKUP(E107,Database!$A$2:$L$189,6,FALSE),"-")</f>
        <v>-</v>
      </c>
      <c r="H107" s="91" t="str">
        <f>IFERROR(VLOOKUP(E107,Database!$A$2:$L$189,9,FALSE),"-")</f>
        <v>-</v>
      </c>
      <c r="I107" s="109" t="str">
        <f>IFERROR(VLOOKUP(E107,Database!$A$2:$S$189,19,FALSE),"-")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IFERROR(VLOOKUP(O107,Database!$A$2:$L$189,8,FALSE),"-")</f>
        <v>1200</v>
      </c>
      <c r="Q107" s="76" t="str">
        <f>IFERROR(VLOOKUP(O107,Database!$A$2:$L$189,6,FALSE),"-")</f>
        <v>DK</v>
      </c>
      <c r="R107" s="80" t="str">
        <f>IFERROR(VLOOKUP(O107,Database!$A$2:$L$189,9,FALSE),"-")</f>
        <v>dobb</v>
      </c>
      <c r="S107" s="205" t="str">
        <f>IFERROR(VLOOKUP(O107,Database!$A$2:$S$189,19,FALSE),"-")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23</v>
      </c>
      <c r="F110" s="8" t="str">
        <f>IFERROR(VLOOKUP(E110,Database!$A$2:$L$189,8,FALSE),"-")</f>
        <v>1430</v>
      </c>
      <c r="G110" s="76" t="str">
        <f>IFERROR(VLOOKUP(E110,Database!$A$2:$L$189,6,FALSE),"-")</f>
        <v>DK</v>
      </c>
      <c r="H110" s="91" t="str">
        <f>IFERROR(VLOOKUP(E110,Database!$A$2:$L$189,9,FALSE),"-")</f>
        <v>dobb</v>
      </c>
      <c r="I110" s="109" t="str">
        <f>IFERROR(VLOOKUP(E110,Database!$A$2:$S$189,19,FALSE),"-")</f>
        <v>N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 t="str">
        <f>IF(AND(D110="Y",booking!L110&lt;&gt;booking!M110,booking!M110&gt;0),booking!M110,"-")</f>
        <v>-</v>
      </c>
      <c r="P110" s="76" t="str">
        <f>IFERROR(VLOOKUP(O110,Database!$A$2:$L$189,8,FALSE),"-")</f>
        <v>-</v>
      </c>
      <c r="Q110" s="76" t="str">
        <f>IFERROR(VLOOKUP(O110,Database!$A$2:$L$189,6,FALSE),"-")</f>
        <v>-</v>
      </c>
      <c r="R110" s="80" t="str">
        <f>IFERROR(VLOOKUP(O110,Database!$A$2:$L$189,9,FALSE),"-")</f>
        <v>-</v>
      </c>
      <c r="S110" s="205" t="str">
        <f>IFERROR(VLOOKUP(O110,Database!$A$2:$S$189,19,FALSE),"-")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IFERROR(VLOOKUP(E111,Database!$A$2:$L$189,8,FALSE),"-")</f>
        <v>-</v>
      </c>
      <c r="G111" s="76" t="str">
        <f>IFERROR(VLOOKUP(E111,Database!$A$2:$L$189,6,FALSE),"-")</f>
        <v>-</v>
      </c>
      <c r="H111" s="91" t="str">
        <f>IFERROR(VLOOKUP(E111,Database!$A$2:$L$189,9,FALSE),"-")</f>
        <v>-</v>
      </c>
      <c r="I111" s="109" t="str">
        <f>IFERROR(VLOOKUP(E111,Database!$A$2:$S$189,19,FALSE),"-")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IFERROR(VLOOKUP(O111,Database!$A$2:$L$189,8,FALSE),"-")</f>
        <v>0</v>
      </c>
      <c r="Q111" s="76" t="str">
        <f>IFERROR(VLOOKUP(O111,Database!$A$2:$L$189,6,FALSE),"-")</f>
        <v>DK</v>
      </c>
      <c r="R111" s="80">
        <f>IFERROR(VLOOKUP(O111,Database!$A$2:$L$189,9,FALSE),"-")</f>
        <v>0</v>
      </c>
      <c r="S111" s="205" t="str">
        <f>IFERROR(VLOOKUP(O111,Database!$A$2:$S$189,19,FALSE),"-")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IFERROR(VLOOKUP(O134,Database!$A$2:$L$189,8,FALSE),"-")</f>
        <v>0</v>
      </c>
      <c r="Q134" s="76" t="str">
        <f>IFERROR(VLOOKUP(O134,Database!$A$2:$L$189,6,FALSE),"-")</f>
        <v>S</v>
      </c>
      <c r="R134" s="80">
        <f>IFERROR(VLOOKUP(O134,Database!$A$2:$L$189,9,FALSE),"-")</f>
        <v>0</v>
      </c>
      <c r="S134" s="205" t="str">
        <f>IFERROR(VLOOKUP(O134,Database!$A$2:$S$189,19,FALSE),"-")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IFERROR(VLOOKUP(E145,Database!$A$2:$L$189,8,FALSE),"-")</f>
        <v>-</v>
      </c>
      <c r="G145" s="76" t="str">
        <f>IFERROR(VLOOKUP(E145,Database!$A$2:$L$189,6,FALSE),"-")</f>
        <v>-</v>
      </c>
      <c r="H145" s="91" t="str">
        <f>IFERROR(VLOOKUP(E145,Database!$A$2:$L$189,9,FALSE),"-")</f>
        <v>-</v>
      </c>
      <c r="I145" s="109" t="str">
        <f>IFERROR(VLOOKUP(E145,Database!$A$2:$S$189,19,FALSE),"-")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IFERROR(VLOOKUP(T145,Database!$A$2:$L$189,8,FALSE),"-")</f>
        <v>0</v>
      </c>
      <c r="V145" s="76" t="str">
        <f>IFERROR(VLOOKUP(T145,Database!$A$2:$L$189,6,FALSE),"-")</f>
        <v>DK</v>
      </c>
      <c r="W145" s="80" t="str">
        <f>IFERROR(VLOOKUP(T145,Database!$A$2:$L$189,9,FALSE),"-")</f>
        <v>sing</v>
      </c>
      <c r="X145" s="205" t="str">
        <f>IFERROR(VLOOKUP(T145,Database!$A$2:$S$189,19,FALSE),"-")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IFERROR(VLOOKUP(E146,Database!$A$2:$L$189,8,FALSE),"-")</f>
        <v>0</v>
      </c>
      <c r="G146" s="76" t="str">
        <f>IFERROR(VLOOKUP(E146,Database!$A$2:$L$189,6,FALSE),"-")</f>
        <v>DK</v>
      </c>
      <c r="H146" s="91">
        <f>IFERROR(VLOOKUP(E146,Database!$A$2:$L$189,9,FALSE),"-")</f>
        <v>0</v>
      </c>
      <c r="I146" s="109" t="str">
        <f>IFERROR(VLOOKUP(E146,Database!$A$2:$S$189,19,FALSE),"-")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IFERROR(VLOOKUP(T147,Database!$A$2:$L$189,8,FALSE),"-")</f>
        <v>0</v>
      </c>
      <c r="V147" s="76" t="str">
        <f>IFERROR(VLOOKUP(T147,Database!$A$2:$L$189,6,FALSE),"-")</f>
        <v>DK</v>
      </c>
      <c r="W147" s="80" t="str">
        <f>IFERROR(VLOOKUP(T147,Database!$A$2:$L$189,9,FALSE),"-")</f>
        <v>Sing</v>
      </c>
      <c r="X147" s="205" t="str">
        <f>IFERROR(VLOOKUP(T147,Database!$A$2:$S$189,19,FALSE),"-")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IFERROR(VLOOKUP(D75,Database!$A$2:$L$189,2,FALSE),"-")</f>
        <v>Karen Venge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152</v>
      </c>
      <c r="I82" t="str">
        <f>IFERROR(VLOOKUP(H82,Database!$A$2:$L$189,2,FALSE),"-")</f>
        <v>Maria Ørris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IFERROR(VLOOKUP(D92,Database!$A$2:$L$189,2,FALSE),"-")</f>
        <v>Rikke Schwartz</v>
      </c>
      <c r="F92" t="str">
        <f>ankomster!J92</f>
        <v>-</v>
      </c>
      <c r="G92" t="str">
        <f>IFERROR(VLOOKUP(F92,Database!$A$2:$L$189,2,FALSE),"-")</f>
        <v>-</v>
      </c>
      <c r="H92" t="str">
        <f>ankomster!O92</f>
        <v>-</v>
      </c>
      <c r="I92" t="str">
        <f>IFERROR(VLOOKUP(H92,Database!$A$2:$L$189,2,FALSE),"-")</f>
        <v>-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IFERROR(VLOOKUP(D93,Database!$A$2:$L$189,2,FALSE),"-")</f>
        <v>-</v>
      </c>
      <c r="F93" t="str">
        <f>ankomster!J93</f>
        <v>-</v>
      </c>
      <c r="G93" t="str">
        <f>IFERROR(VLOOKUP(F93,Database!$A$2:$L$189,2,FALSE),"-")</f>
        <v>-</v>
      </c>
      <c r="H93">
        <f>ankomster!O93</f>
        <v>55</v>
      </c>
      <c r="I93" t="str">
        <f>IFERROR(VLOOKUP(H93,Database!$A$2:$L$189,2,FALSE),"-")</f>
        <v>Jette Jensen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IFERROR(VLOOKUP(D96,Database!$A$2:$L$189,2,FALSE),"-")</f>
        <v>Lene Lei Jensen</v>
      </c>
      <c r="F96" t="str">
        <f>ankomster!J96</f>
        <v>-</v>
      </c>
      <c r="G96" t="str">
        <f>IFERROR(VLOOKUP(F96,Database!$A$2:$L$189,2,FALSE),"-")</f>
        <v>-</v>
      </c>
      <c r="H96" t="str">
        <f>ankomster!O96</f>
        <v>-</v>
      </c>
      <c r="I96" t="str">
        <f>IFERROR(VLOOKUP(H96,Database!$A$2:$L$189,2,FALSE),"-")</f>
        <v>-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IFERROR(VLOOKUP(D97,Database!$A$2:$L$189,2,FALSE),"-")</f>
        <v>-</v>
      </c>
      <c r="F97" t="str">
        <f>ankomster!J97</f>
        <v>-</v>
      </c>
      <c r="G97" t="str">
        <f>IFERROR(VLOOKUP(F97,Database!$A$2:$L$189,2,FALSE),"-")</f>
        <v>-</v>
      </c>
      <c r="H97">
        <f>ankomster!O97</f>
        <v>94</v>
      </c>
      <c r="I97" t="str">
        <f>IFERROR(VLOOKUP(H97,Database!$A$2:$L$189,2,FALSE),"-")</f>
        <v>Barbara Lobinger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IFERROR(VLOOKUP(D99,Database!$A$2:$L$189,2,FALSE),"-")</f>
        <v>Anne Hastrup Poulsen</v>
      </c>
      <c r="F99">
        <f>ankomster!J99</f>
        <v>74</v>
      </c>
      <c r="G99" t="str">
        <f>IFERROR(VLOOKUP(F99,Database!$A$2:$L$189,2,FALSE),"-")</f>
        <v>Anne Hastrup Poulsen</v>
      </c>
      <c r="H99" t="str">
        <f>ankomster!O99</f>
        <v>-</v>
      </c>
      <c r="I99" t="str">
        <f>IFERROR(VLOOKUP(H99,Database!$A$2:$L$189,2,FALSE),"-")</f>
        <v>-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IFERROR(VLOOKUP(D100,Database!$A$2:$L$189,2,FALSE),"-")</f>
        <v>-</v>
      </c>
      <c r="F100" t="str">
        <f>ankomster!J100</f>
        <v>-</v>
      </c>
      <c r="G100" t="str">
        <f>IFERROR(VLOOKUP(F100,Database!$A$2:$L$189,2,FALSE),"-")</f>
        <v>-</v>
      </c>
      <c r="H100">
        <f>ankomster!O100</f>
        <v>11</v>
      </c>
      <c r="I100" t="str">
        <f>IFERROR(VLOOKUP(H100,Database!$A$2:$L$189,2,FALSE),"-")</f>
        <v>Kathrin Leupold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IFERROR(VLOOKUP(D103,Database!$A$2:$L$189,2,FALSE),"-")</f>
        <v>Jörg Wolf</v>
      </c>
      <c r="F103">
        <f>ankomster!J103</f>
        <v>32</v>
      </c>
      <c r="G103" t="str">
        <f>IFERROR(VLOOKUP(F103,Database!$A$2:$L$189,2,FALSE),"-")</f>
        <v>Wolf Adrian</v>
      </c>
      <c r="H103" t="str">
        <f>ankomster!O103</f>
        <v>-</v>
      </c>
      <c r="I103" t="str">
        <f>IFERROR(VLOOKUP(H103,Database!$A$2:$L$189,2,FALSE),"-")</f>
        <v>-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IFERROR(VLOOKUP(D107,Database!$A$2:$L$189,2,FALSE),"-")</f>
        <v>-</v>
      </c>
      <c r="F107" t="str">
        <f>ankomster!J107</f>
        <v>-</v>
      </c>
      <c r="G107" t="str">
        <f>IFERROR(VLOOKUP(F107,Database!$A$2:$L$189,2,FALSE),"-")</f>
        <v>-</v>
      </c>
      <c r="H107">
        <f>ankomster!O107</f>
        <v>59</v>
      </c>
      <c r="I107" t="str">
        <f>IFERROR(VLOOKUP(H107,Database!$A$2:$L$189,2,FALSE),"-")</f>
        <v>Jutta Fogh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23</v>
      </c>
      <c r="E110" t="str">
        <f>IFERROR(VLOOKUP(D110,Database!$A$2:$L$189,2,FALSE),"-")</f>
        <v>Stine Jespersen</v>
      </c>
      <c r="F110">
        <f>ankomster!J110</f>
        <v>46</v>
      </c>
      <c r="G110" t="str">
        <f>IFERROR(VLOOKUP(F110,Database!$A$2:$L$189,2,FALSE),"-")</f>
        <v>Kathrine Moelgaard Nielsen</v>
      </c>
      <c r="H110" t="str">
        <f>ankomster!O110</f>
        <v>-</v>
      </c>
      <c r="I110" t="str">
        <f>IFERROR(VLOOKUP(H110,Database!$A$2:$L$189,2,FALSE),"-")</f>
        <v>-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IFERROR(VLOOKUP(D111,Database!$A$2:$L$189,2,FALSE),"-")</f>
        <v>-</v>
      </c>
      <c r="F111" t="str">
        <f>ankomster!J111</f>
        <v>-</v>
      </c>
      <c r="G111" t="str">
        <f>IFERROR(VLOOKUP(F111,Database!$A$2:$L$189,2,FALSE),"-")</f>
        <v>-</v>
      </c>
      <c r="H111">
        <f>ankomster!O111</f>
        <v>121</v>
      </c>
      <c r="I111" t="str">
        <f>IFERROR(VLOOKUP(H111,Database!$A$2:$L$189,2,FALSE),"-")</f>
        <v>Sanne Emme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>
        <f>ankomster!O134</f>
        <v>154</v>
      </c>
      <c r="I134" t="str">
        <f>IFERROR(VLOOKUP(H134,Database!$A$2:$L$189,2,FALSE),"-")</f>
        <v>Rose-Marie Nordström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IFERROR(VLOOKUP(D145,Database!$A$2:$L$189,2,FALSE),"-")</f>
        <v>-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>
        <f>ankomster!T145</f>
        <v>41</v>
      </c>
      <c r="K145" t="str">
        <f>IFERROR(VLOOKUP(J145,Database!$A$2:$L$189,2,FALSE),"-")</f>
        <v>Mette Sandvig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IFERROR(VLOOKUP(D146,Database!$A$2:$L$189,2,FALSE),"-")</f>
        <v>Susanne Børjessson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>
        <f>ankomster!T147</f>
        <v>153</v>
      </c>
      <c r="K147" t="str">
        <f>IFERROR(VLOOKUP(J147,Database!$A$2:$L$189,2,FALSE),"-")</f>
        <v>Lene Birkholm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5">
      <c r="A153">
        <f>Database!A167</f>
        <v>152</v>
      </c>
      <c r="B153" s="2" t="str">
        <f>Database!Q167</f>
        <v>Y</v>
      </c>
      <c r="C153" s="2">
        <f t="shared" si="4"/>
        <v>2</v>
      </c>
      <c r="D153" s="2">
        <f>IF(B153="Y",Database!K167,"-")</f>
        <v>1</v>
      </c>
      <c r="E153" s="2">
        <f>IF(AND(D153&gt;1,B153="Y"),Database!L167/D153,Database!L167)</f>
        <v>2</v>
      </c>
    </row>
    <row r="154" spans="1:5" x14ac:dyDescent="0.35">
      <c r="A154">
        <f>Database!A168</f>
        <v>153</v>
      </c>
      <c r="B154" s="2" t="str">
        <f>Database!Q168</f>
        <v>Y</v>
      </c>
      <c r="C154" s="2">
        <f t="shared" si="4"/>
        <v>2</v>
      </c>
      <c r="D154" s="2">
        <f>IF(B154="Y",Database!K168,"-")</f>
        <v>1</v>
      </c>
      <c r="E154" s="2">
        <f>IF(AND(D154&gt;1,B154="Y"),Database!L168/D154,Database!L168)</f>
        <v>2</v>
      </c>
    </row>
    <row r="155" spans="1:5" x14ac:dyDescent="0.35">
      <c r="A155">
        <f>Database!A169</f>
        <v>154</v>
      </c>
      <c r="B155" s="2" t="str">
        <f>Database!Q169</f>
        <v>N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2</v>
      </c>
    </row>
    <row r="156" spans="1:5" x14ac:dyDescent="0.35">
      <c r="A156">
        <f>Database!A170</f>
        <v>155</v>
      </c>
      <c r="B156" s="2" t="str">
        <f>Database!Q170</f>
        <v>N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1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318</v>
      </c>
      <c r="M3">
        <f>SUM(J2:J200)</f>
        <v>308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Database!A167</f>
        <v>152</v>
      </c>
      <c r="B153" t="str">
        <f>Database!G167</f>
        <v>bc</v>
      </c>
      <c r="C153" s="5">
        <f>Database!C167</f>
        <v>46219</v>
      </c>
      <c r="D153" s="5">
        <f>Database!D167</f>
        <v>46222</v>
      </c>
      <c r="E153">
        <f t="shared" si="8"/>
        <v>3</v>
      </c>
      <c r="F153">
        <f>Database!K167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Database!A168</f>
        <v>153</v>
      </c>
      <c r="B154" t="str">
        <f>Database!G168</f>
        <v>web</v>
      </c>
      <c r="C154" s="5">
        <f>Database!C168</f>
        <v>46284</v>
      </c>
      <c r="D154" s="5">
        <f>Database!D168</f>
        <v>46291</v>
      </c>
      <c r="E154">
        <f t="shared" si="8"/>
        <v>7</v>
      </c>
      <c r="F154">
        <f>Database!K168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Database!A169</f>
        <v>154</v>
      </c>
      <c r="B155" t="str">
        <f>Database!G169</f>
        <v>web</v>
      </c>
      <c r="C155" s="5">
        <f>Database!C169</f>
        <v>46271</v>
      </c>
      <c r="D155" s="5">
        <f>Database!D169</f>
        <v>46275</v>
      </c>
      <c r="E155">
        <f t="shared" si="8"/>
        <v>4</v>
      </c>
      <c r="F155">
        <f>Database!K169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Database!A170</f>
        <v>155</v>
      </c>
      <c r="B156" t="str">
        <f>Database!G170</f>
        <v>bc</v>
      </c>
      <c r="C156" s="5">
        <f>Database!C170</f>
        <v>46212</v>
      </c>
      <c r="D156" s="5">
        <f>Database!D170</f>
        <v>46215</v>
      </c>
      <c r="E156">
        <f t="shared" si="8"/>
        <v>3</v>
      </c>
      <c r="F156">
        <f>Database!K170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2026-06-28T11:32:34Z</cp:lastPrinted>
  <dcterms:created xsi:type="dcterms:W3CDTF">2024-07-25T07:35:10Z</dcterms:created>
  <dcterms:modified xsi:type="dcterms:W3CDTF">2026-07-04T15:15:21Z</dcterms:modified>
  <cp:category/>
  <cp:contentStatus/>
</cp:coreProperties>
</file>
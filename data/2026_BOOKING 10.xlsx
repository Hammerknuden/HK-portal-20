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574" documentId="8_{AC379FEE-905F-41E2-9E84-8018E4E04006}" xr6:coauthVersionLast="47" xr6:coauthVersionMax="47" xr10:uidLastSave="{072BF1B3-A984-4F96-96C4-19C95B9E4515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00" i="3" l="1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U196" i="3"/>
  <c r="BX196" i="3"/>
  <c r="BV196" i="3"/>
  <c r="BT196" i="3"/>
  <c r="BY196" i="3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N203" i="3"/>
  <c r="L31" i="4" s="1"/>
  <c r="BM58" i="3"/>
  <c r="BL58" i="3"/>
  <c r="BN202" i="3"/>
  <c r="L30" i="4" s="1"/>
  <c r="BO203" i="3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<sst xmlns="http://schemas.openxmlformats.org/spreadsheetml/2006/main" count="1625" uniqueCount="544">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</sst>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200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829</c:v>
                </c:pt>
                <c:pt idx="1">
                  <c:v>79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314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200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829</c:v>
                </c:pt>
                <c:pt idx="1">
                  <c:v>79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314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8"/>
  <sheetViews>
    <sheetView topLeftCell="H1" workbookViewId="0">
      <pane ySplit="1" topLeftCell="A160" activePane="bottomLeft" state="frozen"/>
      <selection pane="bottomLeft" activeCell="O173" sqref="O17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5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H213" sqref="AH213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200</v>
      </c>
      <c r="BC196" s="32">
        <f t="shared" si="167"/>
        <v>829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619</v>
      </c>
      <c r="AM198">
        <f t="shared" si="168"/>
        <v>619</v>
      </c>
      <c r="AN198">
        <f t="shared" si="168"/>
        <v>619</v>
      </c>
      <c r="AO198">
        <f t="shared" si="168"/>
        <v>619</v>
      </c>
      <c r="AP198">
        <f t="shared" si="168"/>
        <v>619</v>
      </c>
      <c r="AQ198">
        <f t="shared" si="168"/>
        <v>619</v>
      </c>
      <c r="AR198">
        <f t="shared" si="168"/>
        <v>619</v>
      </c>
      <c r="AS198">
        <f t="shared" si="168"/>
        <v>619</v>
      </c>
      <c r="AT198">
        <f t="shared" si="168"/>
        <v>619</v>
      </c>
      <c r="AU198">
        <f t="shared" si="168"/>
        <v>619</v>
      </c>
      <c r="AV198">
        <f t="shared" si="168"/>
        <v>619</v>
      </c>
      <c r="AW198">
        <f t="shared" si="168"/>
        <v>619</v>
      </c>
      <c r="AX198">
        <f t="shared" si="168"/>
        <v>619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200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829</v>
      </c>
      <c r="BE203" s="38">
        <f>BE196</f>
        <v>79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0" workbookViewId="0">
      <selection activeCell="E30" sqref="E30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200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829</v>
      </c>
      <c r="C31" s="32">
        <f>'book stat'!BE203</f>
        <v>79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45" activePane="bottomLeft" state="frozen"/>
      <selection pane="bottomLeft" activeCell="R154" sqref="R154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613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23</v>
      </c>
      <c r="F110" s="18">
        <v>1</v>
      </c>
      <c r="G110" s="18"/>
      <c r="H110" s="8">
        <v>32</v>
      </c>
      <c r="I110" s="153">
        <v>46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23</v>
      </c>
      <c r="E111" s="8">
        <v>23</v>
      </c>
      <c r="F111" s="18">
        <v>2</v>
      </c>
      <c r="G111" s="18"/>
      <c r="H111" s="153">
        <v>46</v>
      </c>
      <c r="I111" s="153">
        <v>46</v>
      </c>
      <c r="J111" s="18"/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23</v>
      </c>
      <c r="E112" s="8">
        <v>23</v>
      </c>
      <c r="F112" s="18">
        <v>2</v>
      </c>
      <c r="G112" s="18"/>
      <c r="H112" s="153">
        <v>46</v>
      </c>
      <c r="I112" s="153">
        <v>46</v>
      </c>
      <c r="J112" s="18"/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23</v>
      </c>
      <c r="E113" s="8"/>
      <c r="F113" s="18">
        <v>2</v>
      </c>
      <c r="G113" s="18"/>
      <c r="H113" s="153">
        <v>46</v>
      </c>
      <c r="I113" s="153">
        <v>46</v>
      </c>
      <c r="J113" s="18"/>
      <c r="K113" s="17"/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>
        <v>41</v>
      </c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>
        <v>41</v>
      </c>
      <c r="Y146" s="8">
        <v>41</v>
      </c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>
        <v>41</v>
      </c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3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5</v>
      </c>
      <c r="AA152" s="130">
        <f t="shared" si="12"/>
        <v>3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5</v>
      </c>
      <c r="AA153" s="130">
        <f t="shared" si="12"/>
        <v>2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23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N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23</v>
      </c>
      <c r="E110" t="str">
        <f>IFERROR(VLOOKUP(D110,Database!$A$2:$L$189,2,FALSE),"-")</f>
        <v>Stine Jespersen</v>
      </c>
      <c r="F110">
        <f>ankomster!J110</f>
        <v>46</v>
      </c>
      <c r="G110" t="str">
        <f>IFERROR(VLOOKUP(F110,Database!$A$2:$L$189,2,FALSE),"-")</f>
        <v>Kathrine Moelgaard Nielsen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314</v>
      </c>
      <c r="M3">
        <f>SUM(J2:J200)</f>
        <v>305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oc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oc</v>
      </c>
      <c r="N146" s="128" t="str">
        <f>IF(booking!Y146&gt;0,"oc","va")</f>
        <v>oc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oc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2026-06-29T05:41:31Z</dcterms:modified>
  <cp:category/>
  <cp:contentStatus/>
</cp:coreProperties>
</file>
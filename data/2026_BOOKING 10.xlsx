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74" documentId="8_{AC379FEE-905F-41E2-9E84-8018E4E04006}" xr6:coauthVersionLast="47" xr6:coauthVersionMax="47" xr10:uidLastSave="{1B1071CA-4B2B-44B3-A648-861C3E70E6DA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Database!$A$1:$W$165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2" i="3"/>
  <c r="G42" i="3"/>
  <c r="F43" i="3"/>
  <c r="G43" i="3"/>
  <c r="F44" i="3"/>
  <c r="G44" i="3"/>
  <c r="F45" i="3"/>
  <c r="G45" i="3"/>
  <c r="F46" i="3"/>
  <c r="G46" i="3"/>
  <c r="F47" i="3"/>
  <c r="G47" i="3"/>
  <c r="F48" i="3"/>
  <c r="G48" i="3"/>
  <c r="F49" i="3"/>
  <c r="G49" i="3"/>
  <c r="F50" i="3"/>
  <c r="G50" i="3"/>
  <c r="F51" i="3"/>
  <c r="G51" i="3"/>
  <c r="F52" i="3"/>
  <c r="G52" i="3"/>
  <c r="F53" i="3"/>
  <c r="G53" i="3"/>
  <c r="F54" i="3"/>
  <c r="G54" i="3"/>
  <c r="F55" i="3"/>
  <c r="G55" i="3"/>
  <c r="F56" i="3"/>
  <c r="G56" i="3"/>
  <c r="F57" i="3"/>
  <c r="G57" i="3"/>
  <c r="F58" i="3"/>
  <c r="G58" i="3"/>
  <c r="F59" i="3"/>
  <c r="G59" i="3"/>
  <c r="F60" i="3"/>
  <c r="G60" i="3"/>
  <c r="F61" i="3"/>
  <c r="G61" i="3"/>
  <c r="F62" i="3"/>
  <c r="G62" i="3"/>
  <c r="F63" i="3"/>
  <c r="G63" i="3"/>
  <c r="F64" i="3"/>
  <c r="G64" i="3"/>
  <c r="F65" i="3"/>
  <c r="G65" i="3"/>
  <c r="F66" i="3"/>
  <c r="G66" i="3"/>
  <c r="F67" i="3"/>
  <c r="G67" i="3"/>
  <c r="F68" i="3"/>
  <c r="G68" i="3"/>
  <c r="F69" i="3"/>
  <c r="G69" i="3"/>
  <c r="F70" i="3"/>
  <c r="G70" i="3"/>
  <c r="F71" i="3"/>
  <c r="G71" i="3"/>
  <c r="F72" i="3"/>
  <c r="G72" i="3"/>
  <c r="F73" i="3"/>
  <c r="G73" i="3"/>
  <c r="F74" i="3"/>
  <c r="G74" i="3"/>
  <c r="F75" i="3"/>
  <c r="G75" i="3"/>
  <c r="F76" i="3"/>
  <c r="G76" i="3"/>
  <c r="F77" i="3"/>
  <c r="G77" i="3"/>
  <c r="F78" i="3"/>
  <c r="G78" i="3"/>
  <c r="F79" i="3"/>
  <c r="G79" i="3"/>
  <c r="F80" i="3"/>
  <c r="G80" i="3"/>
  <c r="F81" i="3"/>
  <c r="G81" i="3"/>
  <c r="F82" i="3"/>
  <c r="G82" i="3"/>
  <c r="F83" i="3"/>
  <c r="G83" i="3"/>
  <c r="F84" i="3"/>
  <c r="G84" i="3"/>
  <c r="F85" i="3"/>
  <c r="G85" i="3"/>
  <c r="F86" i="3"/>
  <c r="G86" i="3"/>
  <c r="F87" i="3"/>
  <c r="G87" i="3"/>
  <c r="F88" i="3"/>
  <c r="G88" i="3"/>
  <c r="F89" i="3"/>
  <c r="G89" i="3"/>
  <c r="F90" i="3"/>
  <c r="G90" i="3"/>
  <c r="F91" i="3"/>
  <c r="G91" i="3"/>
  <c r="F92" i="3"/>
  <c r="G92" i="3"/>
  <c r="F93" i="3"/>
  <c r="G93" i="3"/>
  <c r="F94" i="3"/>
  <c r="G94" i="3"/>
  <c r="F95" i="3"/>
  <c r="G95" i="3"/>
  <c r="F96" i="3"/>
  <c r="G96" i="3"/>
  <c r="F97" i="3"/>
  <c r="G97" i="3"/>
  <c r="F98" i="3"/>
  <c r="G98" i="3"/>
  <c r="F99" i="3"/>
  <c r="G99" i="3"/>
  <c r="F100" i="3"/>
  <c r="G100" i="3"/>
  <c r="F101" i="3"/>
  <c r="G101" i="3"/>
  <c r="F102" i="3"/>
  <c r="G102" i="3"/>
  <c r="F103" i="3"/>
  <c r="G103" i="3"/>
  <c r="F104" i="3"/>
  <c r="G104" i="3"/>
  <c r="F105" i="3"/>
  <c r="G105" i="3"/>
  <c r="F106" i="3"/>
  <c r="G106" i="3"/>
  <c r="F107" i="3"/>
  <c r="G107" i="3"/>
  <c r="F108" i="3"/>
  <c r="G108" i="3"/>
  <c r="F109" i="3"/>
  <c r="G109" i="3"/>
  <c r="F110" i="3"/>
  <c r="G110" i="3"/>
  <c r="F111" i="3"/>
  <c r="G111" i="3"/>
  <c r="F112" i="3"/>
  <c r="G112" i="3"/>
  <c r="F113" i="3"/>
  <c r="G113" i="3"/>
  <c r="F114" i="3"/>
  <c r="G114" i="3"/>
  <c r="F115" i="3"/>
  <c r="G115" i="3"/>
  <c r="F116" i="3"/>
  <c r="G116" i="3"/>
  <c r="F117" i="3"/>
  <c r="G117" i="3"/>
  <c r="F118" i="3"/>
  <c r="G118" i="3"/>
  <c r="F119" i="3"/>
  <c r="G119" i="3"/>
  <c r="F120" i="3"/>
  <c r="G120" i="3"/>
  <c r="F121" i="3"/>
  <c r="G121" i="3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F129" i="3"/>
  <c r="G129" i="3"/>
  <c r="F130" i="3"/>
  <c r="G130" i="3"/>
  <c r="F131" i="3"/>
  <c r="G131" i="3"/>
  <c r="F132" i="3"/>
  <c r="G132" i="3"/>
  <c r="F133" i="3"/>
  <c r="G133" i="3"/>
  <c r="F134" i="3"/>
  <c r="G134" i="3"/>
  <c r="F135" i="3"/>
  <c r="G135" i="3"/>
  <c r="F136" i="3"/>
  <c r="G136" i="3"/>
  <c r="F137" i="3"/>
  <c r="G137" i="3"/>
  <c r="F138" i="3"/>
  <c r="G138" i="3"/>
  <c r="F139" i="3"/>
  <c r="G139" i="3"/>
  <c r="F140" i="3"/>
  <c r="G140" i="3"/>
  <c r="F141" i="3"/>
  <c r="G141" i="3"/>
  <c r="F142" i="3"/>
  <c r="G142" i="3"/>
  <c r="F143" i="3"/>
  <c r="G143" i="3"/>
  <c r="F144" i="3"/>
  <c r="G144" i="3"/>
  <c r="F145" i="3"/>
  <c r="G145" i="3"/>
  <c r="F146" i="3"/>
  <c r="G146" i="3"/>
  <c r="F147" i="3"/>
  <c r="G147" i="3"/>
  <c r="F148" i="3"/>
  <c r="G148" i="3"/>
  <c r="F149" i="3"/>
  <c r="G149" i="3"/>
  <c r="F150" i="3"/>
  <c r="G150" i="3"/>
  <c r="F151" i="3"/>
  <c r="G151" i="3"/>
  <c r="F152" i="3"/>
  <c r="G152" i="3"/>
  <c r="F153" i="3"/>
  <c r="G153" i="3"/>
  <c r="F154" i="3"/>
  <c r="G154" i="3"/>
  <c r="F155" i="3"/>
  <c r="G155" i="3"/>
  <c r="F156" i="3"/>
  <c r="G156" i="3"/>
  <c r="F157" i="3"/>
  <c r="G157" i="3"/>
  <c r="F158" i="3"/>
  <c r="G158" i="3"/>
  <c r="F159" i="3"/>
  <c r="G159" i="3"/>
  <c r="F160" i="3"/>
  <c r="G160" i="3"/>
  <c r="F161" i="3"/>
  <c r="G161" i="3"/>
  <c r="F162" i="3"/>
  <c r="G162" i="3"/>
  <c r="F163" i="3"/>
  <c r="G163" i="3"/>
  <c r="F164" i="3"/>
  <c r="G164" i="3"/>
  <c r="F165" i="3"/>
  <c r="G165" i="3"/>
  <c r="F166" i="3"/>
  <c r="G166" i="3"/>
  <c r="F167" i="3"/>
  <c r="G167" i="3"/>
  <c r="F168" i="3"/>
  <c r="G168" i="3"/>
  <c r="F169" i="3"/>
  <c r="G169" i="3"/>
  <c r="F170" i="3"/>
  <c r="G170" i="3"/>
  <c r="F171" i="3"/>
  <c r="G171" i="3"/>
  <c r="F172" i="3"/>
  <c r="G172" i="3"/>
  <c r="F173" i="3"/>
  <c r="G173" i="3"/>
  <c r="F174" i="3"/>
  <c r="G174" i="3"/>
  <c r="F175" i="3"/>
  <c r="G17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C196" i="3" s="1"/>
  <c r="D147" i="3"/>
  <c r="C148" i="3"/>
  <c r="D148" i="3"/>
  <c r="C149" i="3"/>
  <c r="D149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5" i="3"/>
  <c r="A6" i="3"/>
  <c r="A3" i="3"/>
  <c r="A4" i="3"/>
  <c r="A2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S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V20" i="2"/>
  <c r="V22" i="2"/>
  <c r="V23" i="2"/>
  <c r="V19" i="2"/>
  <c r="AC11" i="5"/>
  <c r="H45" i="9"/>
  <c r="H46" i="9"/>
  <c r="Z109" i="5"/>
  <c r="S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D196" i="3" l="1"/>
  <c r="E153" i="10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I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M105" i="3"/>
  <c r="M104" i="3"/>
  <c r="T103" i="3"/>
  <c r="M101" i="3"/>
  <c r="M100" i="3"/>
  <c r="M97" i="3"/>
  <c r="M96" i="3"/>
  <c r="M95" i="3"/>
  <c r="T94" i="3"/>
  <c r="M93" i="3"/>
  <c r="M92" i="3"/>
  <c r="M91" i="3"/>
  <c r="M90" i="3"/>
  <c r="AK79" i="3"/>
  <c r="O75" i="3"/>
  <c r="AW69" i="3"/>
  <c r="AK59" i="3"/>
  <c r="M49" i="3"/>
  <c r="M48" i="3"/>
  <c r="M47" i="3"/>
  <c r="M46" i="3"/>
  <c r="M44" i="3"/>
  <c r="M35" i="3"/>
  <c r="G2" i="3"/>
  <c r="F2" i="3"/>
  <c r="D2" i="3"/>
  <c r="B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M197" i="3" l="1"/>
  <c r="Q197" i="3"/>
  <c r="AC197" i="3"/>
  <c r="AO197" i="3"/>
  <c r="T197" i="3"/>
  <c r="AF197" i="3"/>
  <c r="AR197" i="3"/>
  <c r="O197" i="3"/>
  <c r="AD197" i="3"/>
  <c r="AS197" i="3"/>
  <c r="L197" i="3"/>
  <c r="AB197" i="3"/>
  <c r="AT197" i="3"/>
  <c r="N197" i="3"/>
  <c r="AE197" i="3"/>
  <c r="P197" i="3"/>
  <c r="AG197" i="3"/>
  <c r="AH197" i="3"/>
  <c r="AI197" i="3"/>
  <c r="K197" i="3"/>
  <c r="AJ197" i="3"/>
  <c r="R197" i="3"/>
  <c r="AK197" i="3"/>
  <c r="S197" i="3"/>
  <c r="AL197" i="3"/>
  <c r="U197" i="3"/>
  <c r="AM197" i="3"/>
  <c r="Z197" i="3"/>
  <c r="AA197" i="3"/>
  <c r="W197" i="3"/>
  <c r="X197" i="3"/>
  <c r="AN197" i="3"/>
  <c r="V197" i="3"/>
  <c r="AP197" i="3"/>
  <c r="AQ197" i="3"/>
  <c r="Y197" i="3"/>
  <c r="C154" i="8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R200" i="3" s="1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AQ200" i="3" s="1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P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P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S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S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S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<sst xmlns="http://schemas.openxmlformats.org/spreadsheetml/2006/main" count="1828" uniqueCount="689">
  <si>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</si>
  <si>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</si>
  <si>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</si>
  <si>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</si>
  <si>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</si>
  <si>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</si>
  <si>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</si>
  <si>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</si>
  <si>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</si>
  <si>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</si>
  <si>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</si>
  <si>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</si>
  <si>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</si>
  <si>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</si>
  <si>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</si>
  <si>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</si>
  <si>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</si>
  <si>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</si>
  <si>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</si>
  <si>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</si>
  <si>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</si>
  <si>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</si>
  <si>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</si>
  <si>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</si>
  <si>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</si>
  <si>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</si>
  <si>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</si>
  <si>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</si>
  <si>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</si>
  <si>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</si>
  <si>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</si>
  <si>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</si>
  <si>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</si>
  <si>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</si>
  <si>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</si>
  <si>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</si>
  <si>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</si>
  <si>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</si>
  <si>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</si>
  <si>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</si>
  <si>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</si>
  <si>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</si>
  <si>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</si>
  <si>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</si>
  <si>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</si>
  <si>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</si>
  <si>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</si>
  <si>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</si>
  <si>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</si>
  <si>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</si>
  <si>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</si>
  <si>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</si>
  <si>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</si>
  <si>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</si>
  <si>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</si>
  <si>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</si>
  <si>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</si>
  <si>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</si>
  <si>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</si>
  <si>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</si>
  <si>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</si>
  <si>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</si>
  <si>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</si>
  <si>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</si>
  <si>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</si>
  <si>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</si>
  <si>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</si>
  <si>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</si>
  <si>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</si>
  <si>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</si>
  <si>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</si>
  <si>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</si>
  <si>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</si>
  <si>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</si>
  <si>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</si>
  <si>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</si>
  <si>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</si>
  <si>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</si>
  <si>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</si>
  <si>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</si>
  <si>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</si>
  <si>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</si>
  <si>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</si>
  <si>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</si>
  <si>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</si>
  <si>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</si>
  <si>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</si>
  <si>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</si>
  <si>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</si>
  <si>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</si>
  <si>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</si>
  <si>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</si>
  <si>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</si>
  <si>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</si>
  <si>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</si>
  <si>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</si>
  <si>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</si>
  <si>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</si>
  <si>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</si>
  <si>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</si>
  <si>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</si>
  <si>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</si>
  <si>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</si>
  <si>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</si>
  <si>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</si>
  <si>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</si>
  <si>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</si>
  <si>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</si>
  <si>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</si>
  <si>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</si>
  <si>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</si>
  <si>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</si>
  <si>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</si>
  <si>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</si>
  <si>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</si>
  <si>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</si>
  <si>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</si>
  <si>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</si>
  <si>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</si>
  <si>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</si>
  <si>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</si>
  <si>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</si>
  <si>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</si>
  <si>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</si>
  <si>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</si>
  <si>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</si>
  <si>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</si>
  <si>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</si>
  <si>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</si>
  <si>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</si>
  <si>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</si>
  <si>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</si>
  <si>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</si>
  <si>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</si>
  <si>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</si>
  <si>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</si>
  <si>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</si>
  <si>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</si>
  <si>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</si>
  <si>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</si>
  <si>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</si>
  <si>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</si>
  <si>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</si>
  <si>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</si>
  <si>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</si>
  <si>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</si>
  <si>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</si>
  <si>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</si>
  <si>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</si>
  <si>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</si>
  <si>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</si>
  <si>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</si>
  <si>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</si>
  <si>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</si>
  <si>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</si>
  <si>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</si>
  <si>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</si>
  <si>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</si>
  <si>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</si>
  <si>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</si>
  <si>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</si>
  <si>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</si>
  <si>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</si>
  <si>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</si>
  <si>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</si>
  <si>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</si>
  <si>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</si>
  <si>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</si>
  <si>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</si>
  <si>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</si>
  <si>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</si>
  <si>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</si>
  <si>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</si>
  <si>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</si>
  <si>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</si>
  <si>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</si>
  <si>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</si>
  <si>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</si>
  <si>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</si>
  <si>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</si>
  <si>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</si>
  <si>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</si>
  <si>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</si>
  <si>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</si>
  <si>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</si>
  <si>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</si>
  <si>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</si>
  <si>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</si>
  <si>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</si>
  <si>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</si>
  <si>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</si>
  <si>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</si>
  <si>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</si>
  <si>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</si>
  <si>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</si>
  <si>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</si>
  <si>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</si>
  <si>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</si>
  <si>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</si>
  <si>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</si>
  <si>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</si>
  <si>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</si>
  <si>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</si>
  <si>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</si>
  <si>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</si>
  <si>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</si>
  <si>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</si>
  <si>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</si>
  <si>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</si>
  <si>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</si>
  <si>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</si>
  <si>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</si>
  <si>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</si>
  <si>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</si>
  <si>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</si>
  <si>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</si>
  <si>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</si>
  <si>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</si>
  <si>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</si>
  <si>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</si>
  <si>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</si>
  <si>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</si>
  <si>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</si>
  <si>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</si>
  <si>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</si>
  <si>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</si>
  <si>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</si>
  <si>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</si>
  <si>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</si>
  <si>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</si>
  <si>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</si>
  <si>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</si>
  <si>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</si>
  <si>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</si>
  <si>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</si>
  <si>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</si>
  <si>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</si>
  <si>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</si>
  <si>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</si>
  <si>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</si>
  <si>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</si>
  <si>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</si>
  <si>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</si>
  <si>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</si>
  <si>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</si>
  <si>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</si>
  <si>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</si>
  <si>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</si>
  <si>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</si>
  <si>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</si>
  <si>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</si>
  <si>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</si>
  <si>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</si>
  <si>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</si>
  <si>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</si>
  <si>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</si>
  <si>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</si>
  <si>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</si>
  <si>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</si>
  <si>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</si>
  <si>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</si>
  <si>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</si>
  <si>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</si>
  <si>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</si>
  <si>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</si>
  <si>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</si>
  <si>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</si>
  <si>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</si>
  <si>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</si>
  <si>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</si>
  <si>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</si>
  <si>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</si>
  <si>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</si>
  <si>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</si>
  <si>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</si>
  <si>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</si>
  <si>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</si>
  <si>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</si>
  <si>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</si>
  <si>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</si>
  <si>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</si>
  <si>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</si>
  <si>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</si>
  <si>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</si>
  <si>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</si>
  <si>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</si>
  <si>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</si>
  <si>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</si>
  <si>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</si>
  <si>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</si>
  <si>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</si>
  <si>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</si>
  <si>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</si>
  <si>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</si>
  <si>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</si>
  <si>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</si>
  <si>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</si>
  <si>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</si>
  <si>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</si>
  <si>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</si>
  <si>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</si>
  <si>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</si>
  <si>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</si>
  <si>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</si>
  <si>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</si>
  <si>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</si>
  <si>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</si>
  <si>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</si>
  <si>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</si>
  <si>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</si>
  <si>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</si>
  <si>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</si>
  <si>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</si>
  <si>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</si>
  <si>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</si>
  <si>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</si>
  <si>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</si>
  <si>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</si>
  <si>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</si>
  <si>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</si>
  <si>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</si>
  <si>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</si>
  <si>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</si>
  <si>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</si>
  <si>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</si>
  <si>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</si>
  <si>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</si>
  <si>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</si>
  <si>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</si>
  <si>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</si>
  <si>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</si>
  <si>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</si>
  <si>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</si>
  <si>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</si>
  <si>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</si>
  <si>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</si>
  <si>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</si>
  <si>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</si>
  <si>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</si>
  <si>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</si>
  <si>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</si>
  <si>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</si>
  <si>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</si>
  <si>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</si>
  <si>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</si>
  <si>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</si>
  <si>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</si>
  <si>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</si>
  <si>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</si>
  <si>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</si>
  <si>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</si>
  <si>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</si>
  <si>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</si>
  <si>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</si>
  <si>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</si>
  <si>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</si>
  <si>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</si>
  <si>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</si>
  <si>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</si>
  <si>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</si>
  <si>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</si>
  <si>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</si>
  <si>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</si>
  <si>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</si>
  <si>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</si>
  <si>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</si>
  <si>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</si>
  <si>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</si>
  <si>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</si>
  <si>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</si>
  <si>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</si>
  <si>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</si>
  <si>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</si>
  <si>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</si>
  <si>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</si>
  <si>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</si>
  <si>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</si>
  <si>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</si>
  <si>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</si>
  <si>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</si>
  <si>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</si>
  <si>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</si>
  <si>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</si>
  <si>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</si>
  <si>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</si>
  <si>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</si>
  <si>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</si>
  <si>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</si>
  <si>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</si>
  <si>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</si>
  <si>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</si>
  <si>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</si>
  <si>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</si>
  <si>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</si>
  <si>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</si>
  <si>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</si>
  <si>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</si>
  <si>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</si>
  <si>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</si>
  <si>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</si>
  <si>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</si>
  <si>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</si>
  <si>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</si>
  <si>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</si>
  <si>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</si>
  <si>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</si>
  <si>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</si>
  <si>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</si>
  <si>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</si>
  <si>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</si>
  <si>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</si>
  <si>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</si>
  <si>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</si>
  <si>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</si>
  <si>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</si>
  <si>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</si>
  <si>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</si>
  <si>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</si>
  <si>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</si>
  <si>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</si>
  <si>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</si>
  <si>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</si>
  <si>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</si>
  <si>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</si>
  <si>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</si>
  <si>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</si>
  <si>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</si>
  <si>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</si>
  <si>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</si>
  <si>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</si>
  <si>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</si>
  <si>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</si>
  <si>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</si>
  <si>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</si>
  <si>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</si>
  <si>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</si>
  <si>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</si>
  <si>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</si>
  <si>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</si>
  <si>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</si>
  <si>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</si>
  <si>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</si>
  <si>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</si>
  <si>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</si>
  <si>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</si>
  <si>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</si>
  <si>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</si>
  <si>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</si>
  <si>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</si>
  <si>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</si>
  <si>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</si>
  <si>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</si>
  <si>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</si>
  <si>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</si>
  <si>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</si>
  <si>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</si>
  <si>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</si>
  <si>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</si>
  <si>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</si>
  <si>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</si>
  <si>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</si>
  <si>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</si>
  <si>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</si>
  <si>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</si>
  <si>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</si>
  <si>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</si>
  <si>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</si>
  <si>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</si>
  <si>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</si>
  <si>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</si>
  <si>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</si>
  <si>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</si>
  <si>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</si>
  <si>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</si>
  <si>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</si>
  <si>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</si>
  <si>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</si>
  <si>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</si>
  <si>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</si>
  <si>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</si>
  <si>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</si>
  <si>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</si>
  <si>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</si>
  <si>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</si>
  <si>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</si>
  <si>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</si>
  <si>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</si>
  <si>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</si>
  <si>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</si>
  <si>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</si>
  <si>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</si>
  <si>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</si>
  <si>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</si>
  <si>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</si>
  <si>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</si>
  <si>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</si>
  <si>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</si>
  <si>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</si>
  <si>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</si>
  <si>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</si>
  <si>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</si>
  <si>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</si>
  <si>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</si>
  <si>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</si>
  <si>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</si>
  <si>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</si>
  <si>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</si>
  <si>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</si>
  <si>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</si>
  <si>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</si>
  <si>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</si>
  <si>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</si>
  <si>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</si>
  <si>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</si>
  <si>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</si>
  <si>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</si>
  <si>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</si>
  <si>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</si>
  <si>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</si>
  <si>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</si>
  <si>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</si>
  <si>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</si>
  <si>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</si>
  <si>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</si>
  <si>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</si>
  <si>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</si>
  <si>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</si>
  <si>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</si>
  <si>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</si>
  <si>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</si>
  <si>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</si>
  <si>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</si>
  <si>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</si>
  <si>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</si>
  <si>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</si>
  <si>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</si>
  <si>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</si>
  <si>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</si>
  <si>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</si>
  <si>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</si>
  <si>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</si>
  <si>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</si>
  <si>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</si>
  <si>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</si>
  <si>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</si>
  <si>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</si>
  <si>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</si>
  <si>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</si>
  <si>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</si>
  <si>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</si>
  <si>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</si>
  <si>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</si>
  <si>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</si>
  <si>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</si>
  <si>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</si>
  <si>
    <t>jan</t>
  </si>
  <si>
    <t>bo</t>
  </si>
  <si>
    <t>familie_navn</t>
  </si>
  <si>
    <t>Grundfør</t>
  </si>
  <si>
    <t>Gaard</t>
  </si>
  <si>
    <t>Plæhn</t>
  </si>
  <si>
    <t>Poulsen</t>
  </si>
  <si>
    <t>Østrup</t>
  </si>
  <si>
    <t>Petersen</t>
  </si>
  <si>
    <t>Lange</t>
  </si>
  <si>
    <t>Friis</t>
  </si>
  <si>
    <t>Sørensen</t>
  </si>
  <si>
    <t>Leupold</t>
  </si>
  <si>
    <t>Prehn</t>
  </si>
  <si>
    <t>Gubbertsen</t>
  </si>
  <si>
    <t>Bossenmeyer</t>
  </si>
  <si>
    <t>Kaalund</t>
  </si>
  <si>
    <t>Horup</t>
  </si>
  <si>
    <t>Thaarbøl</t>
  </si>
  <si>
    <t>Strøm</t>
  </si>
  <si>
    <t>Hart</t>
  </si>
  <si>
    <t>Sahlstedt</t>
  </si>
  <si>
    <t>Lothar</t>
  </si>
  <si>
    <t>Jespersen</t>
  </si>
  <si>
    <t>Hällblad</t>
  </si>
  <si>
    <t>Schenker</t>
  </si>
  <si>
    <t>Tygesen</t>
  </si>
  <si>
    <t>Nielsen</t>
  </si>
  <si>
    <t>Wasikieski</t>
  </si>
  <si>
    <t>Muller</t>
  </si>
  <si>
    <t>Henriksen</t>
  </si>
  <si>
    <t>Adrian</t>
  </si>
  <si>
    <t>Wolf</t>
  </si>
  <si>
    <t>Pergande</t>
  </si>
  <si>
    <t>Lentonsson</t>
  </si>
  <si>
    <t>Tillebeck</t>
  </si>
  <si>
    <t>Fuglevig</t>
  </si>
  <si>
    <t>Strehmel</t>
  </si>
  <si>
    <t>Griesser</t>
  </si>
  <si>
    <t>Andersen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</si>
  <si>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</si>
  <si>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</si>
  <si>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</si>
  <si>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</si>
  <si>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</si>
  <si>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</si>
  <si>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</si>
  <si>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</si>
  <si>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Holst</t>
  </si>
  <si>
    <t>Zebitz</t>
  </si>
  <si>
    <t>Nyeland</t>
  </si>
  <si>
    <t>Steffensen</t>
  </si>
  <si>
    <t>Jensen</t>
  </si>
  <si>
    <t>Ebbensgaard</t>
  </si>
  <si>
    <t>Löfgren</t>
  </si>
  <si>
    <t>Schwartz</t>
  </si>
  <si>
    <t>Fogh</t>
  </si>
  <si>
    <t>Könitzer</t>
  </si>
  <si>
    <t>Thunberg</t>
  </si>
  <si>
    <t>Skog</t>
  </si>
  <si>
    <t>Simonsen</t>
  </si>
  <si>
    <t>Struck</t>
  </si>
  <si>
    <t>Almstrup</t>
  </si>
  <si>
    <t>Saou</t>
  </si>
  <si>
    <t>Zorn</t>
  </si>
  <si>
    <t>Meyer</t>
  </si>
  <si>
    <t>Danielsen</t>
  </si>
  <si>
    <t>Erichsen</t>
  </si>
  <si>
    <t>Friedrichs</t>
  </si>
  <si>
    <t>Kaae</t>
  </si>
  <si>
    <t>Müllertz</t>
  </si>
  <si>
    <t>Duevang</t>
  </si>
  <si>
    <t>Søder</t>
  </si>
  <si>
    <t>Nissen</t>
  </si>
  <si>
    <t>Yndgaard</t>
  </si>
  <si>
    <t>Baberowski</t>
  </si>
  <si>
    <t>Jaeger</t>
  </si>
  <si>
    <t>Walentowski</t>
  </si>
  <si>
    <t>jacobsen</t>
  </si>
  <si>
    <t>Karlsson</t>
  </si>
  <si>
    <t>Phorelli</t>
  </si>
  <si>
    <t>Mejer</t>
  </si>
  <si>
    <t>Käding</t>
  </si>
  <si>
    <t>Lobinger</t>
  </si>
  <si>
    <t>Sjödahl</t>
  </si>
  <si>
    <t>Schimmer</t>
  </si>
  <si>
    <t>Durnea</t>
  </si>
  <si>
    <t>Pedersen</t>
  </si>
  <si>
    <t>Sømberg</t>
  </si>
  <si>
    <t>Larsen</t>
  </si>
  <si>
    <t>Rose</t>
  </si>
  <si>
    <t>Frederiksen</t>
  </si>
  <si>
    <t>Hildebrandt</t>
  </si>
  <si>
    <t>Olsen</t>
  </si>
  <si>
    <t>Shay</t>
  </si>
  <si>
    <t>Bergen</t>
  </si>
  <si>
    <t>Tetzner</t>
  </si>
  <si>
    <t>Giraudo</t>
  </si>
  <si>
    <t>Lesmeister</t>
  </si>
  <si>
    <t>Malberg</t>
  </si>
  <si>
    <t>Hansen</t>
  </si>
  <si>
    <t>Nordstrand</t>
  </si>
  <si>
    <t>Negrini</t>
  </si>
  <si>
    <t>Rosschou</t>
  </si>
  <si>
    <t>Emme</t>
  </si>
  <si>
    <t>Tygstrup</t>
  </si>
  <si>
    <t>Herrmann</t>
  </si>
  <si>
    <t>Jelkmann</t>
  </si>
  <si>
    <t>Kjøller</t>
  </si>
  <si>
    <t>Madsen</t>
  </si>
  <si>
    <t>Carlsson</t>
  </si>
  <si>
    <t>Petersson</t>
  </si>
  <si>
    <t>Luczynska</t>
  </si>
  <si>
    <t>Cannermo</t>
  </si>
  <si>
    <t>Sjöström</t>
  </si>
  <si>
    <t>Ewald</t>
  </si>
  <si>
    <t>Bysted</t>
  </si>
  <si>
    <t>Arleth</t>
  </si>
  <si>
    <t>Bakelaar</t>
  </si>
  <si>
    <t>Jarlov</t>
  </si>
  <si>
    <t>Jørgensen</t>
  </si>
  <si>
    <t>Christensen</t>
  </si>
  <si>
    <t>Mønsted</t>
  </si>
  <si>
    <t>Stavdal</t>
  </si>
  <si>
    <t>Børjessson</t>
  </si>
  <si>
    <t>Ørris</t>
  </si>
  <si>
    <t>Birkholm</t>
  </si>
  <si>
    <t>Nordström</t>
  </si>
  <si>
    <t>Venge</t>
  </si>
  <si>
    <t>Klawann</t>
  </si>
  <si>
    <t>Havrup</t>
  </si>
  <si>
    <t>Top</t>
  </si>
  <si>
    <t>Haagensen</t>
  </si>
  <si>
    <t>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</si>
</sst>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5"/>
  <sheetViews>
    <sheetView workbookViewId="0">
      <pane ySplit="1" topLeftCell="A156" activePane="bottomLeft" state="frozen"/>
      <selection pane="bottomLeft" activeCell="E177" sqref="E177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3" width="21.109375" customWidth="1"/>
    <col min="4" max="6" width="10.109375" style="22" bestFit="1" customWidth="1"/>
    <col min="7" max="7" width="3.5546875" bestFit="1" customWidth="1"/>
    <col min="8" max="8" width="5" customWidth="1"/>
    <col min="9" max="9" width="8.5546875" style="1" customWidth="1"/>
    <col min="10" max="10" width="8.5546875" style="2" customWidth="1"/>
    <col min="11" max="11" width="8.77734375" style="197"/>
    <col min="14" max="14" width="25.21875" customWidth="1"/>
    <col min="15" max="15" width="15.77734375" style="147" customWidth="1"/>
    <col min="16" max="16" width="16.109375" style="2" customWidth="1"/>
    <col min="17" max="17" width="8.5546875" style="2"/>
    <col min="18" max="18" width="8.5546875" style="2" customWidth="1"/>
    <col min="19" max="19" width="12.77734375" style="122" bestFit="1" customWidth="1"/>
    <col min="20" max="20" width="8.77734375" style="2"/>
    <col min="21" max="21" width="15.5546875" customWidth="1"/>
    <col min="22" max="22" width="11.6640625" bestFit="1" customWidth="1"/>
  </cols>
  <sheetData>
    <row r="1" spans="1:23" ht="20.100000000000001" customHeight="1" x14ac:dyDescent="0.3">
      <c r="A1" s="3" t="s">
        <v>0</v>
      </c>
      <c r="B1" s="3" t="s">
        <v>1</v>
      </c>
      <c r="C1" s="3" t="s">
        <v>557</v>
      </c>
      <c r="D1" s="100" t="s">
        <v>40</v>
      </c>
      <c r="E1" s="100" t="s">
        <v>41</v>
      </c>
      <c r="F1" s="100" t="s">
        <v>42</v>
      </c>
      <c r="G1" s="3" t="s">
        <v>523</v>
      </c>
      <c r="H1" s="3" t="s">
        <v>6</v>
      </c>
      <c r="I1" s="4" t="s">
        <v>7</v>
      </c>
      <c r="J1" s="3" t="s">
        <v>43</v>
      </c>
      <c r="K1" s="193" t="s">
        <v>9</v>
      </c>
      <c r="L1" s="3" t="s">
        <v>44</v>
      </c>
      <c r="M1" s="3" t="s">
        <v>45</v>
      </c>
      <c r="N1" s="3" t="s">
        <v>46</v>
      </c>
      <c r="O1" s="169" t="s">
        <v>47</v>
      </c>
      <c r="P1" s="3" t="s">
        <v>48</v>
      </c>
      <c r="Q1" s="3" t="s">
        <v>32</v>
      </c>
      <c r="R1" s="3" t="s">
        <v>49</v>
      </c>
      <c r="S1" s="154" t="s">
        <v>50</v>
      </c>
      <c r="T1" s="3" t="s">
        <v>18</v>
      </c>
      <c r="U1" s="3" t="s">
        <v>51</v>
      </c>
      <c r="V1" s="3" t="s">
        <v>521</v>
      </c>
      <c r="W1" s="3" t="s">
        <v>522</v>
      </c>
    </row>
    <row r="2" spans="1:23" x14ac:dyDescent="0.3">
      <c r="A2" s="135">
        <v>1</v>
      </c>
      <c r="B2" s="102" t="s">
        <v>161</v>
      </c>
      <c r="C2" s="102" t="s">
        <v>558</v>
      </c>
      <c r="D2" s="105">
        <v>46222</v>
      </c>
      <c r="E2" s="105">
        <v>46228</v>
      </c>
      <c r="F2" s="105">
        <v>45868</v>
      </c>
      <c r="G2" s="102" t="s">
        <v>52</v>
      </c>
      <c r="H2" s="102" t="s">
        <v>6</v>
      </c>
      <c r="I2" s="209"/>
      <c r="J2" s="123"/>
      <c r="K2" s="194">
        <v>0.05</v>
      </c>
      <c r="L2" s="102">
        <v>1</v>
      </c>
      <c r="M2" s="102">
        <v>2</v>
      </c>
      <c r="N2" s="144" t="s">
        <v>162</v>
      </c>
      <c r="O2" s="170"/>
      <c r="P2" s="123" t="s">
        <v>163</v>
      </c>
      <c r="Q2" s="123"/>
      <c r="R2" s="123" t="s">
        <v>21</v>
      </c>
      <c r="S2" s="154">
        <v>7267.5</v>
      </c>
      <c r="T2" s="148" t="s">
        <v>20</v>
      </c>
      <c r="U2" t="s">
        <v>164</v>
      </c>
    </row>
    <row r="3" spans="1:23" x14ac:dyDescent="0.3">
      <c r="A3" s="136">
        <v>2</v>
      </c>
      <c r="B3" s="104" t="s">
        <v>165</v>
      </c>
      <c r="C3" s="104" t="s">
        <v>559</v>
      </c>
      <c r="D3" s="107">
        <v>46172</v>
      </c>
      <c r="E3" s="107">
        <v>46180</v>
      </c>
      <c r="F3" s="107">
        <v>45889</v>
      </c>
      <c r="G3" s="104" t="s">
        <v>52</v>
      </c>
      <c r="H3" s="104" t="s">
        <v>263</v>
      </c>
      <c r="I3" s="210"/>
      <c r="J3" s="124"/>
      <c r="K3" s="195"/>
      <c r="L3" s="104"/>
      <c r="M3" s="104"/>
      <c r="N3" s="145"/>
      <c r="O3" s="171"/>
      <c r="P3" s="124"/>
      <c r="Q3" s="124"/>
      <c r="R3" s="124"/>
      <c r="S3" s="154"/>
      <c r="T3" s="149"/>
    </row>
    <row r="4" spans="1:23" x14ac:dyDescent="0.3">
      <c r="A4" s="135">
        <v>3</v>
      </c>
      <c r="B4" s="102" t="s">
        <v>165</v>
      </c>
      <c r="C4" s="102" t="s">
        <v>559</v>
      </c>
      <c r="D4" s="105">
        <v>46283</v>
      </c>
      <c r="E4" s="105">
        <v>46285</v>
      </c>
      <c r="F4" s="105">
        <v>45889</v>
      </c>
      <c r="G4" s="102" t="s">
        <v>52</v>
      </c>
      <c r="H4" s="102" t="s">
        <v>263</v>
      </c>
      <c r="I4" s="209"/>
      <c r="J4" s="123"/>
      <c r="K4" s="194"/>
      <c r="L4" s="102"/>
      <c r="M4" s="102"/>
      <c r="N4" s="144" t="s">
        <v>166</v>
      </c>
      <c r="O4" s="170"/>
      <c r="P4" s="123"/>
      <c r="Q4" s="123"/>
      <c r="R4" s="123"/>
      <c r="S4" s="154"/>
      <c r="T4" s="148"/>
      <c r="U4" s="121"/>
    </row>
    <row r="5" spans="1:23" x14ac:dyDescent="0.3">
      <c r="A5" s="136">
        <v>4</v>
      </c>
      <c r="B5" s="104" t="s">
        <v>167</v>
      </c>
      <c r="C5" s="104" t="s">
        <v>560</v>
      </c>
      <c r="D5" s="107">
        <v>46246</v>
      </c>
      <c r="E5" s="107">
        <v>46250</v>
      </c>
      <c r="F5" s="107">
        <v>45891</v>
      </c>
      <c r="G5" s="104" t="s">
        <v>52</v>
      </c>
      <c r="H5" s="104" t="s">
        <v>6</v>
      </c>
      <c r="I5" s="210"/>
      <c r="J5" s="124"/>
      <c r="K5" s="195">
        <v>0.1</v>
      </c>
      <c r="L5" s="104">
        <v>2</v>
      </c>
      <c r="M5" s="104">
        <v>4</v>
      </c>
      <c r="N5" s="145" t="s">
        <v>169</v>
      </c>
      <c r="O5" s="172">
        <v>4530267986</v>
      </c>
      <c r="P5" s="124" t="s">
        <v>170</v>
      </c>
      <c r="Q5" s="124"/>
      <c r="R5" s="124" t="s">
        <v>21</v>
      </c>
      <c r="S5" s="154">
        <v>9180</v>
      </c>
      <c r="T5" s="149" t="s">
        <v>21</v>
      </c>
      <c r="U5" t="s">
        <v>168</v>
      </c>
    </row>
    <row r="6" spans="1:23" x14ac:dyDescent="0.3">
      <c r="A6" s="136">
        <v>4</v>
      </c>
      <c r="B6" s="104"/>
      <c r="C6" s="104"/>
      <c r="D6" s="107"/>
      <c r="E6" s="107"/>
      <c r="F6" s="107"/>
      <c r="G6" s="104"/>
      <c r="H6" s="104" t="s">
        <v>6</v>
      </c>
      <c r="I6" s="210"/>
      <c r="J6" s="124"/>
      <c r="K6" s="195"/>
      <c r="L6" s="104"/>
      <c r="M6" s="104"/>
      <c r="N6" s="145"/>
      <c r="O6" s="172"/>
      <c r="P6" s="124"/>
      <c r="Q6" s="124"/>
      <c r="R6" s="124"/>
      <c r="S6" s="154"/>
      <c r="T6" s="149"/>
    </row>
    <row r="7" spans="1:23" x14ac:dyDescent="0.3">
      <c r="A7" s="135">
        <v>5</v>
      </c>
      <c r="B7" s="102" t="s">
        <v>171</v>
      </c>
      <c r="C7" s="102" t="s">
        <v>561</v>
      </c>
      <c r="D7" s="105">
        <v>46169</v>
      </c>
      <c r="E7" s="105">
        <v>46174</v>
      </c>
      <c r="F7" s="105">
        <v>45903</v>
      </c>
      <c r="G7" s="102" t="s">
        <v>52</v>
      </c>
      <c r="H7" s="102" t="s">
        <v>6</v>
      </c>
      <c r="I7" s="209">
        <v>1430</v>
      </c>
      <c r="J7" s="123" t="s">
        <v>155</v>
      </c>
      <c r="K7" s="194">
        <v>0.1</v>
      </c>
      <c r="L7" s="102">
        <v>1</v>
      </c>
      <c r="M7" s="102">
        <v>2</v>
      </c>
      <c r="N7" s="144" t="s">
        <v>172</v>
      </c>
      <c r="O7" s="170">
        <v>4524259787</v>
      </c>
      <c r="P7" s="123"/>
      <c r="Q7" s="123"/>
      <c r="R7" s="123" t="s">
        <v>21</v>
      </c>
      <c r="S7" s="154">
        <v>5175</v>
      </c>
      <c r="T7" s="148" t="s">
        <v>20</v>
      </c>
    </row>
    <row r="8" spans="1:23" x14ac:dyDescent="0.3">
      <c r="A8" s="135">
        <v>6</v>
      </c>
      <c r="B8" s="116" t="s">
        <v>173</v>
      </c>
      <c r="C8" t="s">
        <v>562</v>
      </c>
      <c r="D8" s="119">
        <v>46178</v>
      </c>
      <c r="E8" s="119">
        <v>46180</v>
      </c>
      <c r="F8" s="119">
        <v>45910</v>
      </c>
      <c r="G8" s="116" t="s">
        <v>52</v>
      </c>
      <c r="H8" s="2" t="s">
        <v>6</v>
      </c>
      <c r="K8" s="196">
        <v>0.1</v>
      </c>
      <c r="L8" s="118">
        <v>2</v>
      </c>
      <c r="M8" s="118">
        <v>4</v>
      </c>
      <c r="N8" s="120" t="s">
        <v>174</v>
      </c>
      <c r="R8" s="2" t="s">
        <v>21</v>
      </c>
      <c r="S8" s="122">
        <v>4140</v>
      </c>
      <c r="T8" s="2" t="s">
        <v>38</v>
      </c>
      <c r="U8" t="s">
        <v>175</v>
      </c>
    </row>
    <row r="9" spans="1:23" x14ac:dyDescent="0.3">
      <c r="A9" s="135">
        <v>6</v>
      </c>
      <c r="B9" s="116"/>
      <c r="C9" s="116"/>
      <c r="D9" s="119"/>
      <c r="E9" s="119"/>
      <c r="F9" s="119"/>
      <c r="G9" s="116"/>
      <c r="H9" s="2" t="s">
        <v>6</v>
      </c>
      <c r="K9" s="196"/>
      <c r="L9" s="118"/>
      <c r="M9" s="118"/>
      <c r="N9" s="120"/>
    </row>
    <row r="10" spans="1:23" x14ac:dyDescent="0.3">
      <c r="A10" s="135">
        <v>6</v>
      </c>
      <c r="B10" s="116"/>
      <c r="C10" s="116"/>
      <c r="D10" s="119"/>
      <c r="E10" s="119"/>
      <c r="F10" s="119"/>
      <c r="G10" s="116"/>
      <c r="H10" s="2" t="s">
        <v>6</v>
      </c>
      <c r="K10" s="196"/>
      <c r="L10" s="118"/>
      <c r="M10" s="118"/>
      <c r="N10" s="120"/>
    </row>
    <row r="11" spans="1:23" x14ac:dyDescent="0.3">
      <c r="A11" s="136">
        <v>7</v>
      </c>
      <c r="B11" s="116" t="s">
        <v>176</v>
      </c>
      <c r="C11" t="s">
        <v>563</v>
      </c>
      <c r="D11" s="119">
        <v>46207</v>
      </c>
      <c r="E11" s="119">
        <v>46214</v>
      </c>
      <c r="F11" s="119">
        <v>45927</v>
      </c>
      <c r="G11" s="116" t="s">
        <v>52</v>
      </c>
      <c r="H11" s="2" t="s">
        <v>6</v>
      </c>
      <c r="K11" s="196">
        <v>0.1</v>
      </c>
      <c r="L11" s="118">
        <v>1</v>
      </c>
      <c r="M11" s="118">
        <v>2</v>
      </c>
      <c r="N11" s="120" t="s">
        <v>177</v>
      </c>
      <c r="O11" s="172">
        <v>4522701312</v>
      </c>
      <c r="P11" s="2" t="s">
        <v>178</v>
      </c>
      <c r="R11" s="2" t="s">
        <v>20</v>
      </c>
      <c r="S11" s="154">
        <v>6772.5</v>
      </c>
      <c r="T11" s="2" t="s">
        <v>21</v>
      </c>
    </row>
    <row r="12" spans="1:23" x14ac:dyDescent="0.3">
      <c r="A12" s="135">
        <v>8</v>
      </c>
      <c r="B12" s="116" t="s">
        <v>179</v>
      </c>
      <c r="C12" t="s">
        <v>564</v>
      </c>
      <c r="D12" s="119">
        <v>46158</v>
      </c>
      <c r="E12" s="119">
        <v>46163</v>
      </c>
      <c r="F12" s="119">
        <v>45953</v>
      </c>
      <c r="G12" s="116" t="s">
        <v>31</v>
      </c>
      <c r="H12" s="2" t="s">
        <v>6</v>
      </c>
      <c r="K12" s="196">
        <v>0.1</v>
      </c>
      <c r="L12" s="118">
        <v>1</v>
      </c>
      <c r="M12" s="118">
        <v>2</v>
      </c>
      <c r="N12" s="120" t="s">
        <v>180</v>
      </c>
      <c r="O12" s="172">
        <v>4917643882286</v>
      </c>
      <c r="P12" s="2" t="s">
        <v>181</v>
      </c>
      <c r="R12" s="2" t="s">
        <v>21</v>
      </c>
      <c r="S12" s="122">
        <v>4275</v>
      </c>
      <c r="T12" s="2" t="s">
        <v>21</v>
      </c>
      <c r="U12" s="116" t="s">
        <v>182</v>
      </c>
    </row>
    <row r="13" spans="1:23" x14ac:dyDescent="0.3">
      <c r="A13" s="135">
        <v>9</v>
      </c>
      <c r="B13" s="116" t="s">
        <v>183</v>
      </c>
      <c r="C13" t="s">
        <v>565</v>
      </c>
      <c r="D13" s="119">
        <v>46159</v>
      </c>
      <c r="E13" s="119">
        <v>46166</v>
      </c>
      <c r="F13" s="119">
        <v>45954</v>
      </c>
      <c r="G13" s="116" t="s">
        <v>52</v>
      </c>
      <c r="H13" s="2" t="s">
        <v>6</v>
      </c>
      <c r="I13" s="1">
        <v>1430</v>
      </c>
      <c r="J13" s="2" t="s">
        <v>155</v>
      </c>
      <c r="K13" s="196">
        <v>0.1</v>
      </c>
      <c r="L13" s="118">
        <v>1</v>
      </c>
      <c r="M13" s="118">
        <v>2</v>
      </c>
      <c r="N13" s="120" t="s">
        <v>184</v>
      </c>
      <c r="O13" s="147">
        <v>4551172451</v>
      </c>
      <c r="P13" s="2" t="s">
        <v>185</v>
      </c>
      <c r="R13" s="2" t="s">
        <v>21</v>
      </c>
      <c r="S13" s="154">
        <v>7245</v>
      </c>
      <c r="T13" s="2" t="s">
        <v>21</v>
      </c>
    </row>
    <row r="14" spans="1:23" x14ac:dyDescent="0.3">
      <c r="A14" s="136">
        <v>10</v>
      </c>
      <c r="B14" s="116" t="s">
        <v>186</v>
      </c>
      <c r="C14" t="s">
        <v>566</v>
      </c>
      <c r="D14" s="119">
        <v>46225</v>
      </c>
      <c r="E14" s="119">
        <v>46228</v>
      </c>
      <c r="F14" s="119">
        <v>45932</v>
      </c>
      <c r="G14" s="116" t="s">
        <v>52</v>
      </c>
      <c r="H14" s="2" t="s">
        <v>6</v>
      </c>
      <c r="K14" s="196">
        <v>0.1</v>
      </c>
      <c r="L14" s="118">
        <v>1</v>
      </c>
      <c r="M14" s="118">
        <v>2</v>
      </c>
      <c r="N14" s="117" t="s">
        <v>187</v>
      </c>
      <c r="O14" s="147">
        <v>4561557600</v>
      </c>
      <c r="R14" s="2" t="s">
        <v>21</v>
      </c>
      <c r="S14" s="122">
        <v>3442</v>
      </c>
      <c r="T14" s="2" t="s">
        <v>21</v>
      </c>
      <c r="U14" t="s">
        <v>188</v>
      </c>
    </row>
    <row r="15" spans="1:23" x14ac:dyDescent="0.3">
      <c r="A15" s="135">
        <v>11</v>
      </c>
      <c r="B15" s="116" t="s">
        <v>189</v>
      </c>
      <c r="C15" t="s">
        <v>567</v>
      </c>
      <c r="D15" s="22">
        <v>46237</v>
      </c>
      <c r="E15" s="22">
        <v>46242</v>
      </c>
      <c r="F15" s="22">
        <v>45932</v>
      </c>
      <c r="G15" s="116" t="s">
        <v>31</v>
      </c>
      <c r="H15" s="2" t="s">
        <v>263</v>
      </c>
      <c r="K15" s="196">
        <v>0.1</v>
      </c>
      <c r="L15" s="118"/>
      <c r="M15" s="118"/>
      <c r="N15" s="120" t="s">
        <v>191</v>
      </c>
      <c r="U15" t="s">
        <v>190</v>
      </c>
    </row>
    <row r="16" spans="1:23" x14ac:dyDescent="0.3">
      <c r="A16" s="135">
        <v>12</v>
      </c>
      <c r="B16" s="116" t="s">
        <v>192</v>
      </c>
      <c r="C16" t="s">
        <v>568</v>
      </c>
      <c r="D16" s="119">
        <v>46175</v>
      </c>
      <c r="E16" s="119">
        <v>46179</v>
      </c>
      <c r="F16" s="119">
        <v>45977</v>
      </c>
      <c r="G16" s="116" t="s">
        <v>52</v>
      </c>
      <c r="H16" s="2" t="s">
        <v>6</v>
      </c>
      <c r="J16" s="2" t="s">
        <v>158</v>
      </c>
      <c r="K16" s="196">
        <v>0.1</v>
      </c>
      <c r="L16" s="118">
        <v>1</v>
      </c>
      <c r="M16" s="118">
        <v>2</v>
      </c>
      <c r="N16" s="120" t="s">
        <v>193</v>
      </c>
      <c r="O16" s="173">
        <v>4540552384</v>
      </c>
      <c r="P16" s="2" t="s">
        <v>194</v>
      </c>
      <c r="R16" s="2" t="s">
        <v>21</v>
      </c>
      <c r="S16" s="122">
        <v>4140</v>
      </c>
      <c r="T16" s="2" t="s">
        <v>21</v>
      </c>
      <c r="U16" t="s">
        <v>195</v>
      </c>
    </row>
    <row r="17" spans="1:22" x14ac:dyDescent="0.3">
      <c r="A17" s="136">
        <v>13</v>
      </c>
      <c r="B17" s="116" t="s">
        <v>196</v>
      </c>
      <c r="C17" t="s">
        <v>569</v>
      </c>
      <c r="D17" s="22">
        <v>46211</v>
      </c>
      <c r="E17" s="22">
        <v>46218</v>
      </c>
      <c r="F17" s="22">
        <v>45998</v>
      </c>
      <c r="G17" s="116" t="s">
        <v>52</v>
      </c>
      <c r="H17" s="2" t="s">
        <v>6</v>
      </c>
      <c r="K17" s="196">
        <v>0.1</v>
      </c>
      <c r="L17" s="118">
        <v>1</v>
      </c>
      <c r="M17" s="118">
        <v>2</v>
      </c>
      <c r="N17" s="113" t="s">
        <v>197</v>
      </c>
      <c r="O17" s="173">
        <v>4525582842</v>
      </c>
      <c r="P17" s="2" t="s">
        <v>199</v>
      </c>
      <c r="R17" s="2" t="s">
        <v>21</v>
      </c>
      <c r="S17" s="122">
        <v>8032.5</v>
      </c>
      <c r="T17" s="2" t="s">
        <v>38</v>
      </c>
      <c r="U17" t="s">
        <v>198</v>
      </c>
    </row>
    <row r="18" spans="1:22" x14ac:dyDescent="0.3">
      <c r="A18" s="135">
        <v>14</v>
      </c>
      <c r="B18" s="116" t="s">
        <v>200</v>
      </c>
      <c r="C18" t="s">
        <v>570</v>
      </c>
      <c r="D18" s="22">
        <v>46206</v>
      </c>
      <c r="E18" s="22">
        <v>46213</v>
      </c>
      <c r="F18" s="22">
        <v>46001</v>
      </c>
      <c r="G18" s="116" t="s">
        <v>52</v>
      </c>
      <c r="H18" s="2" t="s">
        <v>6</v>
      </c>
      <c r="K18" s="196">
        <v>0.1</v>
      </c>
      <c r="L18" s="118">
        <v>1</v>
      </c>
      <c r="M18" s="118">
        <v>2</v>
      </c>
      <c r="N18" s="146" t="s">
        <v>203</v>
      </c>
      <c r="O18" s="173">
        <v>4591191885</v>
      </c>
      <c r="P18" s="2" t="s">
        <v>201</v>
      </c>
      <c r="R18" s="2" t="s">
        <v>21</v>
      </c>
      <c r="S18" s="122">
        <v>9180</v>
      </c>
      <c r="T18" s="2" t="s">
        <v>38</v>
      </c>
      <c r="U18" s="116" t="s">
        <v>202</v>
      </c>
    </row>
    <row r="19" spans="1:22" x14ac:dyDescent="0.3">
      <c r="A19" s="135">
        <v>15</v>
      </c>
      <c r="B19" s="116" t="s">
        <v>204</v>
      </c>
      <c r="C19" t="s">
        <v>571</v>
      </c>
      <c r="D19" s="22">
        <v>46181</v>
      </c>
      <c r="E19" s="22">
        <v>46188</v>
      </c>
      <c r="F19" s="22">
        <v>45866</v>
      </c>
      <c r="G19" s="116" t="s">
        <v>52</v>
      </c>
      <c r="H19" s="2" t="s">
        <v>55</v>
      </c>
      <c r="L19" s="118">
        <v>1</v>
      </c>
      <c r="M19" s="118">
        <v>2</v>
      </c>
      <c r="N19" s="113" t="s">
        <v>205</v>
      </c>
      <c r="O19" s="147">
        <v>4531534745</v>
      </c>
      <c r="P19" s="2" t="s">
        <v>206</v>
      </c>
      <c r="R19" s="2" t="s">
        <v>21</v>
      </c>
      <c r="S19" s="122">
        <v>8925</v>
      </c>
      <c r="T19" s="2" t="s">
        <v>38</v>
      </c>
      <c r="U19" t="s">
        <v>207</v>
      </c>
      <c r="V19" s="178">
        <f>S19*0.5</f>
        <v>4462.5</v>
      </c>
    </row>
    <row r="20" spans="1:22" x14ac:dyDescent="0.3">
      <c r="A20" s="136">
        <v>16</v>
      </c>
      <c r="B20" s="116" t="s">
        <v>218</v>
      </c>
      <c r="C20" t="s">
        <v>572</v>
      </c>
      <c r="D20" s="22">
        <v>46182</v>
      </c>
      <c r="E20" s="22">
        <v>46188</v>
      </c>
      <c r="F20" s="22">
        <v>45832</v>
      </c>
      <c r="G20" s="116" t="s">
        <v>52</v>
      </c>
      <c r="H20" s="2" t="s">
        <v>55</v>
      </c>
      <c r="I20" s="1" t="s">
        <v>435</v>
      </c>
      <c r="L20" s="118">
        <v>2</v>
      </c>
      <c r="M20" s="118">
        <v>4</v>
      </c>
      <c r="N20" s="113" t="s">
        <v>219</v>
      </c>
      <c r="O20" s="173">
        <v>4530604703</v>
      </c>
      <c r="R20" s="2" t="s">
        <v>21</v>
      </c>
      <c r="S20" s="122">
        <v>17850</v>
      </c>
      <c r="T20" s="2" t="s">
        <v>38</v>
      </c>
      <c r="U20" t="s">
        <v>220</v>
      </c>
      <c r="V20" s="179">
        <f t="shared" ref="V20:V23" si="0">S20*0.5</f>
        <v>8925</v>
      </c>
    </row>
    <row r="21" spans="1:22" x14ac:dyDescent="0.3">
      <c r="A21" s="136">
        <v>16</v>
      </c>
      <c r="B21" s="116"/>
      <c r="C21" s="116"/>
      <c r="G21" s="116"/>
      <c r="H21" s="2" t="s">
        <v>55</v>
      </c>
      <c r="L21" s="118"/>
      <c r="M21" s="118"/>
      <c r="N21" s="113"/>
      <c r="O21" s="173"/>
      <c r="V21" s="179"/>
    </row>
    <row r="22" spans="1:22" x14ac:dyDescent="0.3">
      <c r="A22" s="135">
        <v>17</v>
      </c>
      <c r="B22" s="116" t="s">
        <v>212</v>
      </c>
      <c r="C22" t="s">
        <v>573</v>
      </c>
      <c r="D22" s="22">
        <v>46181</v>
      </c>
      <c r="E22" s="22">
        <v>46188</v>
      </c>
      <c r="F22" s="22">
        <v>45824</v>
      </c>
      <c r="G22" s="116" t="s">
        <v>52</v>
      </c>
      <c r="H22" s="2" t="s">
        <v>55</v>
      </c>
      <c r="L22" s="118">
        <v>1</v>
      </c>
      <c r="M22" s="118">
        <v>2</v>
      </c>
      <c r="N22" s="113" t="s">
        <v>215</v>
      </c>
      <c r="O22" s="173">
        <v>4524669843</v>
      </c>
      <c r="P22" s="2" t="s">
        <v>216</v>
      </c>
      <c r="R22" s="2" t="s">
        <v>21</v>
      </c>
      <c r="S22" s="122">
        <v>8925</v>
      </c>
      <c r="T22" s="2" t="s">
        <v>38</v>
      </c>
      <c r="U22" t="s">
        <v>217</v>
      </c>
      <c r="V22" s="179">
        <f t="shared" si="0"/>
        <v>4462.5</v>
      </c>
    </row>
    <row r="23" spans="1:22" x14ac:dyDescent="0.3">
      <c r="A23" s="135">
        <v>18</v>
      </c>
      <c r="B23" s="116" t="s">
        <v>210</v>
      </c>
      <c r="C23" t="s">
        <v>574</v>
      </c>
      <c r="D23" s="22">
        <v>46182</v>
      </c>
      <c r="E23" s="22">
        <v>46187</v>
      </c>
      <c r="F23" s="22">
        <v>45834</v>
      </c>
      <c r="G23" s="116" t="s">
        <v>52</v>
      </c>
      <c r="H23" s="2" t="s">
        <v>55</v>
      </c>
      <c r="L23" s="118">
        <v>1</v>
      </c>
      <c r="M23" s="118">
        <v>2</v>
      </c>
      <c r="N23" s="146" t="s">
        <v>211</v>
      </c>
      <c r="O23" s="173">
        <v>4531909358</v>
      </c>
      <c r="P23" s="2" t="s">
        <v>214</v>
      </c>
      <c r="R23" s="2" t="s">
        <v>21</v>
      </c>
      <c r="S23" s="122">
        <v>6375</v>
      </c>
      <c r="T23" s="2" t="s">
        <v>38</v>
      </c>
      <c r="U23" t="s">
        <v>213</v>
      </c>
      <c r="V23" s="179">
        <f t="shared" si="0"/>
        <v>3187.5</v>
      </c>
    </row>
    <row r="24" spans="1:22" x14ac:dyDescent="0.3">
      <c r="A24" s="136">
        <v>19</v>
      </c>
      <c r="B24" t="s">
        <v>208</v>
      </c>
      <c r="C24" t="s">
        <v>566</v>
      </c>
      <c r="D24" s="22">
        <v>46215</v>
      </c>
      <c r="E24" s="22">
        <v>46229</v>
      </c>
      <c r="F24" s="22">
        <v>45931</v>
      </c>
      <c r="G24" t="s">
        <v>52</v>
      </c>
      <c r="H24" t="s">
        <v>6</v>
      </c>
      <c r="J24" s="2" t="s">
        <v>158</v>
      </c>
      <c r="K24" s="197">
        <v>0.1</v>
      </c>
      <c r="L24">
        <v>1</v>
      </c>
      <c r="M24">
        <v>1</v>
      </c>
      <c r="N24" s="113" t="s">
        <v>209</v>
      </c>
      <c r="O24" s="173">
        <v>4541515960</v>
      </c>
      <c r="Q24" s="2" t="s">
        <v>21</v>
      </c>
      <c r="R24" s="2" t="s">
        <v>21</v>
      </c>
      <c r="S24" s="122">
        <v>14805</v>
      </c>
      <c r="T24" s="2" t="s">
        <v>38</v>
      </c>
      <c r="U24" s="2" t="s">
        <v>198</v>
      </c>
    </row>
    <row r="25" spans="1:22" x14ac:dyDescent="0.3">
      <c r="A25" s="135">
        <v>20</v>
      </c>
      <c r="B25" s="116" t="s">
        <v>238</v>
      </c>
      <c r="C25" t="s">
        <v>575</v>
      </c>
      <c r="D25" s="22">
        <v>46163</v>
      </c>
      <c r="E25" s="22">
        <v>46167</v>
      </c>
      <c r="F25" s="22">
        <v>46008</v>
      </c>
      <c r="G25" s="116" t="s">
        <v>52</v>
      </c>
      <c r="H25" s="2" t="s">
        <v>6</v>
      </c>
      <c r="L25" s="118">
        <v>3</v>
      </c>
      <c r="M25" s="118">
        <v>6</v>
      </c>
      <c r="N25" s="113" t="s">
        <v>239</v>
      </c>
      <c r="O25" s="147">
        <v>4540430234</v>
      </c>
      <c r="P25" s="2" t="s">
        <v>517</v>
      </c>
      <c r="R25" s="2" t="s">
        <v>21</v>
      </c>
      <c r="S25" s="154">
        <v>12420</v>
      </c>
      <c r="T25" s="2" t="s">
        <v>38</v>
      </c>
      <c r="U25" t="s">
        <v>240</v>
      </c>
    </row>
    <row r="26" spans="1:22" x14ac:dyDescent="0.3">
      <c r="A26" s="135">
        <v>20</v>
      </c>
      <c r="B26" s="116"/>
      <c r="C26" s="116"/>
      <c r="G26" s="116"/>
      <c r="H26" s="2" t="s">
        <v>6</v>
      </c>
      <c r="L26" s="118"/>
      <c r="M26" s="118"/>
      <c r="N26" s="113"/>
      <c r="S26" s="154"/>
    </row>
    <row r="27" spans="1:22" x14ac:dyDescent="0.3">
      <c r="A27" s="135">
        <v>20</v>
      </c>
      <c r="B27" s="116"/>
      <c r="C27" s="116"/>
      <c r="G27" s="116"/>
      <c r="H27" s="2" t="s">
        <v>6</v>
      </c>
      <c r="L27" s="118"/>
      <c r="M27" s="118"/>
      <c r="N27" s="113"/>
      <c r="S27" s="154"/>
    </row>
    <row r="28" spans="1:22" x14ac:dyDescent="0.3">
      <c r="A28" s="135">
        <v>21</v>
      </c>
      <c r="B28" s="116" t="s">
        <v>260</v>
      </c>
      <c r="C28" t="s">
        <v>576</v>
      </c>
      <c r="D28" s="22">
        <v>46251</v>
      </c>
      <c r="E28" s="22">
        <v>46256</v>
      </c>
      <c r="F28" s="22">
        <v>46009</v>
      </c>
      <c r="G28" s="116" t="s">
        <v>53</v>
      </c>
      <c r="H28" s="2" t="s">
        <v>6</v>
      </c>
      <c r="K28" s="197">
        <v>0.1</v>
      </c>
      <c r="L28" s="118">
        <v>1</v>
      </c>
      <c r="M28" s="118">
        <v>2</v>
      </c>
      <c r="N28" s="113" t="s">
        <v>236</v>
      </c>
      <c r="O28" s="173">
        <v>46705125490</v>
      </c>
      <c r="P28" s="2" t="s">
        <v>235</v>
      </c>
      <c r="R28" s="2" t="s">
        <v>21</v>
      </c>
      <c r="S28" s="154">
        <v>5175</v>
      </c>
      <c r="T28" s="2" t="s">
        <v>38</v>
      </c>
      <c r="U28" t="s">
        <v>237</v>
      </c>
    </row>
    <row r="29" spans="1:22" x14ac:dyDescent="0.3">
      <c r="A29" s="136">
        <v>22</v>
      </c>
      <c r="B29" t="s">
        <v>233</v>
      </c>
      <c r="C29" t="s">
        <v>577</v>
      </c>
      <c r="D29" s="22">
        <v>46271</v>
      </c>
      <c r="E29" s="22">
        <v>46282</v>
      </c>
      <c r="F29" s="22">
        <v>46016</v>
      </c>
      <c r="G29" t="s">
        <v>31</v>
      </c>
      <c r="H29" t="s">
        <v>35</v>
      </c>
      <c r="L29" s="118">
        <v>1</v>
      </c>
      <c r="M29" s="118">
        <v>2</v>
      </c>
      <c r="N29" s="113"/>
      <c r="R29" s="2" t="s">
        <v>21</v>
      </c>
      <c r="S29" s="122">
        <v>11500</v>
      </c>
      <c r="T29" s="2" t="s">
        <v>20</v>
      </c>
      <c r="U29" t="s">
        <v>234</v>
      </c>
    </row>
    <row r="30" spans="1:22" x14ac:dyDescent="0.3">
      <c r="A30" s="135">
        <v>23</v>
      </c>
      <c r="B30" t="s">
        <v>232</v>
      </c>
      <c r="C30" t="s">
        <v>578</v>
      </c>
      <c r="D30" s="22">
        <v>46247</v>
      </c>
      <c r="E30" s="22">
        <v>46250</v>
      </c>
      <c r="F30" s="22">
        <v>46017</v>
      </c>
      <c r="G30" t="s">
        <v>52</v>
      </c>
      <c r="H30" t="s">
        <v>35</v>
      </c>
      <c r="I30" s="1" t="s">
        <v>251</v>
      </c>
      <c r="J30" s="2" t="s">
        <v>155</v>
      </c>
      <c r="L30" s="118">
        <v>1</v>
      </c>
      <c r="M30" s="118">
        <v>2</v>
      </c>
      <c r="R30" s="2" t="s">
        <v>21</v>
      </c>
      <c r="S30" s="154">
        <v>3825</v>
      </c>
      <c r="T30" s="2" t="s">
        <v>20</v>
      </c>
    </row>
    <row r="31" spans="1:22" x14ac:dyDescent="0.3">
      <c r="A31" s="135">
        <v>24</v>
      </c>
      <c r="B31" t="s">
        <v>231</v>
      </c>
      <c r="C31" t="s">
        <v>579</v>
      </c>
      <c r="D31" s="22">
        <v>46205</v>
      </c>
      <c r="E31" s="22">
        <v>46208</v>
      </c>
      <c r="F31" s="22">
        <v>46016</v>
      </c>
      <c r="G31" t="s">
        <v>53</v>
      </c>
      <c r="H31" t="s">
        <v>35</v>
      </c>
      <c r="J31" s="2" t="s">
        <v>155</v>
      </c>
      <c r="L31" s="118">
        <v>1</v>
      </c>
      <c r="M31" s="118">
        <v>2</v>
      </c>
      <c r="N31" s="113"/>
      <c r="R31" s="2" t="s">
        <v>21</v>
      </c>
      <c r="S31" s="154">
        <v>3825</v>
      </c>
      <c r="T31" s="2" t="s">
        <v>20</v>
      </c>
    </row>
    <row r="32" spans="1:22" x14ac:dyDescent="0.3">
      <c r="A32" s="136">
        <v>25</v>
      </c>
      <c r="B32" t="s">
        <v>230</v>
      </c>
      <c r="C32" t="s">
        <v>580</v>
      </c>
      <c r="D32" s="22">
        <v>46256</v>
      </c>
      <c r="E32" s="22">
        <v>46261</v>
      </c>
      <c r="F32" s="22">
        <v>46017</v>
      </c>
      <c r="G32" t="s">
        <v>56</v>
      </c>
      <c r="H32" t="s">
        <v>35</v>
      </c>
      <c r="J32" s="2" t="s">
        <v>158</v>
      </c>
      <c r="L32" s="118">
        <v>1</v>
      </c>
      <c r="M32" s="118">
        <v>1</v>
      </c>
      <c r="N32" s="113"/>
      <c r="Q32" s="2" t="s">
        <v>21</v>
      </c>
      <c r="R32" s="2" t="s">
        <v>20</v>
      </c>
      <c r="S32" s="122">
        <v>4250</v>
      </c>
      <c r="T32" s="2" t="s">
        <v>20</v>
      </c>
    </row>
    <row r="33" spans="1:21" x14ac:dyDescent="0.3">
      <c r="A33" s="135">
        <v>26</v>
      </c>
      <c r="B33" t="s">
        <v>229</v>
      </c>
      <c r="C33" t="s">
        <v>581</v>
      </c>
      <c r="D33" s="22">
        <v>46251</v>
      </c>
      <c r="E33" s="22">
        <v>46255</v>
      </c>
      <c r="F33" s="22">
        <v>46019</v>
      </c>
      <c r="G33" t="s">
        <v>52</v>
      </c>
      <c r="H33" t="s">
        <v>35</v>
      </c>
      <c r="I33" s="1" t="s">
        <v>493</v>
      </c>
      <c r="L33" s="118">
        <v>1</v>
      </c>
      <c r="M33" s="118">
        <v>2</v>
      </c>
      <c r="O33" s="174"/>
      <c r="R33" s="2" t="s">
        <v>21</v>
      </c>
      <c r="S33" s="122">
        <v>3450</v>
      </c>
      <c r="T33" s="2" t="s">
        <v>20</v>
      </c>
      <c r="U33" t="s">
        <v>316</v>
      </c>
    </row>
    <row r="34" spans="1:21" x14ac:dyDescent="0.3">
      <c r="A34" s="135">
        <v>27</v>
      </c>
      <c r="B34" t="s">
        <v>227</v>
      </c>
      <c r="C34" t="s">
        <v>582</v>
      </c>
      <c r="D34" s="22">
        <v>46176</v>
      </c>
      <c r="E34" s="22">
        <v>46182</v>
      </c>
      <c r="F34" s="22">
        <v>46021</v>
      </c>
      <c r="G34" t="s">
        <v>52</v>
      </c>
      <c r="H34" t="s">
        <v>6</v>
      </c>
      <c r="J34" s="2" t="s">
        <v>436</v>
      </c>
      <c r="K34" s="197">
        <v>0.1</v>
      </c>
      <c r="L34" s="118">
        <v>1</v>
      </c>
      <c r="M34" s="118">
        <v>2</v>
      </c>
      <c r="N34" s="113" t="s">
        <v>228</v>
      </c>
      <c r="O34" s="173">
        <v>4561283743</v>
      </c>
      <c r="R34" s="2" t="s">
        <v>21</v>
      </c>
      <c r="S34" s="122">
        <v>6210</v>
      </c>
      <c r="T34" s="2" t="s">
        <v>21</v>
      </c>
      <c r="U34" t="s">
        <v>437</v>
      </c>
    </row>
    <row r="35" spans="1:21" x14ac:dyDescent="0.3">
      <c r="A35" s="136">
        <v>28</v>
      </c>
      <c r="B35" t="s">
        <v>226</v>
      </c>
      <c r="C35" t="s">
        <v>582</v>
      </c>
      <c r="D35" s="22">
        <v>46143</v>
      </c>
      <c r="E35" s="22">
        <v>46145</v>
      </c>
      <c r="F35" s="22">
        <v>46021</v>
      </c>
      <c r="G35" t="s">
        <v>52</v>
      </c>
      <c r="H35" t="s">
        <v>35</v>
      </c>
      <c r="L35">
        <v>2</v>
      </c>
      <c r="M35">
        <v>3</v>
      </c>
      <c r="N35" s="113"/>
      <c r="O35" s="147">
        <v>4540843915</v>
      </c>
      <c r="R35" s="2" t="s">
        <v>21</v>
      </c>
      <c r="S35" s="122">
        <v>1900</v>
      </c>
      <c r="T35" s="2" t="s">
        <v>20</v>
      </c>
    </row>
    <row r="36" spans="1:21" x14ac:dyDescent="0.3">
      <c r="A36" s="135">
        <v>29</v>
      </c>
      <c r="B36" t="s">
        <v>243</v>
      </c>
      <c r="C36" t="s">
        <v>583</v>
      </c>
      <c r="D36" s="22">
        <v>46177</v>
      </c>
      <c r="E36" s="22">
        <v>46179</v>
      </c>
      <c r="F36" s="22">
        <v>46023</v>
      </c>
      <c r="G36" t="s">
        <v>57</v>
      </c>
      <c r="H36" t="s">
        <v>263</v>
      </c>
      <c r="L36" s="118"/>
      <c r="M36" s="118"/>
      <c r="N36" s="113"/>
    </row>
    <row r="37" spans="1:21" x14ac:dyDescent="0.3">
      <c r="A37" s="135">
        <v>28</v>
      </c>
      <c r="H37" t="s">
        <v>263</v>
      </c>
      <c r="L37" s="118"/>
      <c r="M37" s="118"/>
      <c r="N37" s="113"/>
    </row>
    <row r="38" spans="1:21" x14ac:dyDescent="0.3">
      <c r="A38" s="135">
        <v>30</v>
      </c>
      <c r="B38" t="s">
        <v>241</v>
      </c>
      <c r="C38" t="s">
        <v>584</v>
      </c>
      <c r="D38" s="22">
        <v>46230</v>
      </c>
      <c r="E38" s="22">
        <v>46234</v>
      </c>
      <c r="F38" s="22">
        <v>46025</v>
      </c>
      <c r="G38" t="s">
        <v>52</v>
      </c>
      <c r="H38" t="s">
        <v>35</v>
      </c>
      <c r="L38" s="118">
        <v>1</v>
      </c>
      <c r="M38" s="118">
        <v>2</v>
      </c>
      <c r="O38" s="173">
        <v>4526241192</v>
      </c>
      <c r="R38" s="2" t="s">
        <v>21</v>
      </c>
      <c r="S38" s="122">
        <v>5100</v>
      </c>
      <c r="T38" s="2" t="s">
        <v>21</v>
      </c>
      <c r="U38" t="s">
        <v>242</v>
      </c>
    </row>
    <row r="39" spans="1:21" x14ac:dyDescent="0.3">
      <c r="A39" s="136">
        <v>31</v>
      </c>
      <c r="B39" t="s">
        <v>244</v>
      </c>
      <c r="C39" t="s">
        <v>585</v>
      </c>
      <c r="D39" s="22">
        <v>46190</v>
      </c>
      <c r="E39" s="22">
        <v>46195</v>
      </c>
      <c r="F39" s="22">
        <v>46029</v>
      </c>
      <c r="G39" t="s">
        <v>52</v>
      </c>
      <c r="H39" t="s">
        <v>6</v>
      </c>
      <c r="K39" s="197">
        <v>0.1</v>
      </c>
      <c r="L39" s="118">
        <v>1</v>
      </c>
      <c r="M39" s="118">
        <v>1</v>
      </c>
      <c r="N39" s="113" t="s">
        <v>245</v>
      </c>
      <c r="O39" s="147">
        <v>4541125671</v>
      </c>
      <c r="Q39" s="2" t="s">
        <v>21</v>
      </c>
      <c r="R39" s="2" t="s">
        <v>21</v>
      </c>
      <c r="S39" s="122">
        <v>4275</v>
      </c>
      <c r="T39" s="2" t="s">
        <v>21</v>
      </c>
      <c r="U39" s="116" t="s">
        <v>246</v>
      </c>
    </row>
    <row r="40" spans="1:21" x14ac:dyDescent="0.3">
      <c r="A40" s="135">
        <v>32</v>
      </c>
      <c r="B40" t="s">
        <v>259</v>
      </c>
      <c r="C40" t="s">
        <v>586</v>
      </c>
      <c r="D40" s="22">
        <v>46240</v>
      </c>
      <c r="E40" s="22">
        <v>46247</v>
      </c>
      <c r="F40" s="22">
        <v>46029</v>
      </c>
      <c r="G40" t="s">
        <v>31</v>
      </c>
      <c r="H40" t="s">
        <v>35</v>
      </c>
      <c r="L40" s="118">
        <v>1</v>
      </c>
      <c r="M40" s="118">
        <v>2</v>
      </c>
      <c r="R40" s="2" t="s">
        <v>21</v>
      </c>
      <c r="S40" s="122">
        <v>8925</v>
      </c>
      <c r="T40" s="2" t="s">
        <v>20</v>
      </c>
    </row>
    <row r="41" spans="1:21" x14ac:dyDescent="0.3">
      <c r="A41" s="135">
        <v>33</v>
      </c>
      <c r="B41" t="s">
        <v>258</v>
      </c>
      <c r="C41" t="s">
        <v>587</v>
      </c>
      <c r="D41" s="22">
        <v>46240</v>
      </c>
      <c r="E41" s="22">
        <v>46247</v>
      </c>
      <c r="F41" s="22">
        <v>46029</v>
      </c>
      <c r="G41" t="s">
        <v>31</v>
      </c>
      <c r="H41" t="s">
        <v>35</v>
      </c>
      <c r="L41" s="118">
        <v>1</v>
      </c>
      <c r="M41" s="118">
        <v>1</v>
      </c>
      <c r="N41" s="113"/>
      <c r="Q41" s="2" t="s">
        <v>21</v>
      </c>
      <c r="R41" s="2" t="s">
        <v>21</v>
      </c>
      <c r="S41" s="122">
        <v>7525</v>
      </c>
      <c r="T41" s="2" t="s">
        <v>20</v>
      </c>
    </row>
    <row r="42" spans="1:21" x14ac:dyDescent="0.3">
      <c r="A42" s="136">
        <v>34</v>
      </c>
      <c r="B42" t="s">
        <v>257</v>
      </c>
      <c r="C42" t="s">
        <v>588</v>
      </c>
      <c r="D42" s="22">
        <v>46198</v>
      </c>
      <c r="E42" s="22">
        <v>46208</v>
      </c>
      <c r="F42" s="22">
        <v>46030</v>
      </c>
      <c r="G42" t="s">
        <v>31</v>
      </c>
      <c r="H42" t="s">
        <v>35</v>
      </c>
      <c r="I42" s="1" t="s">
        <v>360</v>
      </c>
      <c r="J42" s="2" t="s">
        <v>155</v>
      </c>
      <c r="L42" s="118">
        <v>1</v>
      </c>
      <c r="M42" s="118">
        <v>2</v>
      </c>
      <c r="R42" s="2" t="s">
        <v>21</v>
      </c>
      <c r="S42" s="122">
        <v>12375</v>
      </c>
      <c r="T42" s="2" t="s">
        <v>20</v>
      </c>
    </row>
    <row r="43" spans="1:21" x14ac:dyDescent="0.3">
      <c r="A43" s="135">
        <v>35</v>
      </c>
      <c r="B43" t="s">
        <v>253</v>
      </c>
      <c r="C43" t="s">
        <v>589</v>
      </c>
      <c r="D43" s="22">
        <v>46261</v>
      </c>
      <c r="E43" s="22">
        <v>46265</v>
      </c>
      <c r="F43" s="22">
        <v>46030</v>
      </c>
      <c r="G43" t="s">
        <v>53</v>
      </c>
      <c r="H43" t="s">
        <v>6</v>
      </c>
      <c r="J43" s="2" t="s">
        <v>155</v>
      </c>
      <c r="K43" s="197">
        <v>0.1</v>
      </c>
      <c r="L43">
        <v>1</v>
      </c>
      <c r="M43">
        <v>2</v>
      </c>
      <c r="N43" s="155" t="s">
        <v>254</v>
      </c>
      <c r="O43" s="173">
        <v>46733448215</v>
      </c>
      <c r="P43" s="2" t="s">
        <v>255</v>
      </c>
      <c r="R43" s="2" t="s">
        <v>21</v>
      </c>
      <c r="S43" s="122">
        <v>4140</v>
      </c>
      <c r="T43" s="2" t="s">
        <v>38</v>
      </c>
      <c r="U43" t="s">
        <v>256</v>
      </c>
    </row>
    <row r="44" spans="1:21" x14ac:dyDescent="0.3">
      <c r="A44" s="135">
        <v>36</v>
      </c>
      <c r="B44" t="s">
        <v>252</v>
      </c>
      <c r="C44" t="s">
        <v>590</v>
      </c>
      <c r="D44" s="22">
        <v>46209</v>
      </c>
      <c r="E44" s="22">
        <v>46212</v>
      </c>
      <c r="F44" s="22">
        <v>46030</v>
      </c>
      <c r="G44" t="s">
        <v>52</v>
      </c>
      <c r="H44" t="s">
        <v>35</v>
      </c>
      <c r="J44" s="2" t="s">
        <v>158</v>
      </c>
      <c r="L44">
        <v>2</v>
      </c>
      <c r="M44">
        <v>4</v>
      </c>
      <c r="N44" s="113"/>
      <c r="R44" s="2" t="s">
        <v>20</v>
      </c>
      <c r="S44" s="122">
        <v>6450</v>
      </c>
      <c r="T44" s="2" t="s">
        <v>20</v>
      </c>
    </row>
    <row r="45" spans="1:21" x14ac:dyDescent="0.3">
      <c r="A45" s="135">
        <v>36</v>
      </c>
      <c r="H45" t="s">
        <v>35</v>
      </c>
      <c r="N45" s="113"/>
    </row>
    <row r="46" spans="1:21" x14ac:dyDescent="0.3">
      <c r="A46" s="136">
        <v>37</v>
      </c>
      <c r="B46" t="s">
        <v>250</v>
      </c>
      <c r="C46" t="s">
        <v>591</v>
      </c>
      <c r="D46" s="22">
        <v>46195</v>
      </c>
      <c r="E46" s="22">
        <v>46198</v>
      </c>
      <c r="F46" s="22">
        <v>46031</v>
      </c>
      <c r="G46" t="s">
        <v>52</v>
      </c>
      <c r="H46" t="s">
        <v>35</v>
      </c>
      <c r="I46" s="1" t="s">
        <v>251</v>
      </c>
      <c r="L46">
        <v>1</v>
      </c>
      <c r="M46">
        <v>2</v>
      </c>
      <c r="N46" s="113"/>
      <c r="R46" s="2" t="s">
        <v>21</v>
      </c>
      <c r="S46" s="122">
        <v>3450</v>
      </c>
      <c r="T46" s="2" t="s">
        <v>20</v>
      </c>
    </row>
    <row r="47" spans="1:21" x14ac:dyDescent="0.3">
      <c r="A47" s="135">
        <v>38</v>
      </c>
      <c r="B47" t="s">
        <v>249</v>
      </c>
      <c r="C47" t="s">
        <v>592</v>
      </c>
      <c r="D47" s="22">
        <v>46221</v>
      </c>
      <c r="E47" s="22">
        <v>46228</v>
      </c>
      <c r="F47" s="22">
        <v>46031</v>
      </c>
      <c r="G47" t="s">
        <v>56</v>
      </c>
      <c r="H47" t="s">
        <v>35</v>
      </c>
      <c r="J47" s="2" t="s">
        <v>158</v>
      </c>
      <c r="L47">
        <v>1</v>
      </c>
      <c r="M47">
        <v>2</v>
      </c>
      <c r="N47" s="113"/>
      <c r="R47" s="2" t="s">
        <v>20</v>
      </c>
      <c r="S47" s="122">
        <v>7525</v>
      </c>
      <c r="T47" s="2" t="s">
        <v>20</v>
      </c>
    </row>
    <row r="48" spans="1:21" x14ac:dyDescent="0.3">
      <c r="A48" s="2">
        <v>39</v>
      </c>
      <c r="B48" t="s">
        <v>248</v>
      </c>
      <c r="C48" t="s">
        <v>593</v>
      </c>
      <c r="D48" s="22">
        <v>46216</v>
      </c>
      <c r="E48" s="22">
        <v>46220</v>
      </c>
      <c r="F48" s="22">
        <v>46032</v>
      </c>
      <c r="H48" t="s">
        <v>263</v>
      </c>
    </row>
    <row r="49" spans="1:21" x14ac:dyDescent="0.3">
      <c r="A49" s="2">
        <v>40</v>
      </c>
      <c r="B49" t="s">
        <v>247</v>
      </c>
      <c r="C49" t="s">
        <v>594</v>
      </c>
      <c r="D49" s="22">
        <v>46164</v>
      </c>
      <c r="E49" s="22">
        <v>46167</v>
      </c>
      <c r="F49" s="22">
        <v>46033</v>
      </c>
      <c r="G49" t="s">
        <v>52</v>
      </c>
      <c r="H49" t="s">
        <v>263</v>
      </c>
      <c r="N49" s="113"/>
    </row>
    <row r="50" spans="1:21" x14ac:dyDescent="0.3">
      <c r="A50" s="2">
        <v>41</v>
      </c>
      <c r="B50" t="s">
        <v>262</v>
      </c>
      <c r="C50" t="s">
        <v>595</v>
      </c>
      <c r="D50" s="22">
        <v>46282</v>
      </c>
      <c r="E50" s="22">
        <v>46284</v>
      </c>
      <c r="F50" s="22">
        <v>46035</v>
      </c>
      <c r="G50" t="s">
        <v>52</v>
      </c>
      <c r="H50" t="s">
        <v>35</v>
      </c>
      <c r="J50" s="2" t="s">
        <v>158</v>
      </c>
      <c r="L50">
        <v>1</v>
      </c>
      <c r="M50">
        <v>2</v>
      </c>
      <c r="N50" s="113"/>
      <c r="R50" s="2" t="s">
        <v>20</v>
      </c>
      <c r="S50" s="122">
        <v>2850</v>
      </c>
      <c r="T50" s="2" t="s">
        <v>20</v>
      </c>
    </row>
    <row r="51" spans="1:21" x14ac:dyDescent="0.3">
      <c r="A51" s="2">
        <v>42</v>
      </c>
      <c r="B51" t="s">
        <v>261</v>
      </c>
      <c r="C51" t="s">
        <v>596</v>
      </c>
      <c r="D51" s="22">
        <v>46282</v>
      </c>
      <c r="E51" s="22">
        <v>46285</v>
      </c>
      <c r="F51" s="22">
        <v>46036</v>
      </c>
      <c r="G51" t="s">
        <v>53</v>
      </c>
      <c r="H51" t="s">
        <v>35</v>
      </c>
      <c r="L51">
        <v>1</v>
      </c>
      <c r="M51">
        <v>1</v>
      </c>
      <c r="N51" s="113"/>
      <c r="Q51" s="2" t="s">
        <v>21</v>
      </c>
      <c r="R51" s="2" t="s">
        <v>20</v>
      </c>
      <c r="S51" s="122">
        <v>2550</v>
      </c>
      <c r="T51" s="2" t="s">
        <v>20</v>
      </c>
    </row>
    <row r="52" spans="1:21" x14ac:dyDescent="0.3">
      <c r="A52" s="2">
        <v>43</v>
      </c>
      <c r="B52" t="s">
        <v>279</v>
      </c>
      <c r="C52" t="s">
        <v>597</v>
      </c>
      <c r="D52" s="22">
        <v>46216</v>
      </c>
      <c r="E52" s="22">
        <v>46219</v>
      </c>
      <c r="F52" s="22">
        <v>46037</v>
      </c>
      <c r="G52" t="s">
        <v>52</v>
      </c>
      <c r="H52" t="s">
        <v>6</v>
      </c>
      <c r="I52" s="1" t="s">
        <v>251</v>
      </c>
      <c r="J52" s="2" t="s">
        <v>282</v>
      </c>
      <c r="L52">
        <v>1</v>
      </c>
      <c r="M52">
        <v>2</v>
      </c>
      <c r="N52" s="113" t="s">
        <v>281</v>
      </c>
      <c r="O52" s="147">
        <v>4526140610</v>
      </c>
      <c r="R52" s="2" t="s">
        <v>21</v>
      </c>
      <c r="S52" s="122">
        <v>4500</v>
      </c>
      <c r="T52" s="2" t="s">
        <v>20</v>
      </c>
      <c r="U52" t="s">
        <v>280</v>
      </c>
    </row>
    <row r="53" spans="1:21" x14ac:dyDescent="0.3">
      <c r="A53" s="2">
        <v>44</v>
      </c>
      <c r="B53" t="s">
        <v>278</v>
      </c>
      <c r="C53" t="s">
        <v>598</v>
      </c>
      <c r="D53" s="22">
        <v>46222</v>
      </c>
      <c r="E53" s="22">
        <v>46227</v>
      </c>
      <c r="F53" s="22">
        <v>46037</v>
      </c>
      <c r="G53" t="s">
        <v>285</v>
      </c>
      <c r="H53" t="s">
        <v>35</v>
      </c>
      <c r="J53" s="2" t="s">
        <v>155</v>
      </c>
      <c r="L53">
        <v>1</v>
      </c>
      <c r="M53">
        <v>2</v>
      </c>
      <c r="R53" s="2" t="s">
        <v>21</v>
      </c>
      <c r="S53" s="122">
        <v>6375</v>
      </c>
      <c r="T53" s="2" t="s">
        <v>20</v>
      </c>
    </row>
    <row r="54" spans="1:21" x14ac:dyDescent="0.3">
      <c r="A54" s="2">
        <v>45</v>
      </c>
      <c r="B54" t="s">
        <v>277</v>
      </c>
      <c r="C54" t="s">
        <v>599</v>
      </c>
      <c r="D54" s="22">
        <v>46240</v>
      </c>
      <c r="E54" s="22">
        <v>46243</v>
      </c>
      <c r="F54" s="22">
        <v>46038</v>
      </c>
      <c r="G54" t="s">
        <v>53</v>
      </c>
      <c r="H54" t="s">
        <v>35</v>
      </c>
      <c r="L54">
        <v>1</v>
      </c>
      <c r="M54">
        <v>2</v>
      </c>
      <c r="R54" s="2" t="s">
        <v>21</v>
      </c>
      <c r="S54" s="122">
        <v>3825</v>
      </c>
      <c r="T54" s="2" t="s">
        <v>20</v>
      </c>
    </row>
    <row r="55" spans="1:21" x14ac:dyDescent="0.3">
      <c r="A55" s="2">
        <v>46</v>
      </c>
      <c r="B55" t="s">
        <v>274</v>
      </c>
      <c r="C55" t="s">
        <v>582</v>
      </c>
      <c r="D55" s="22">
        <v>46247</v>
      </c>
      <c r="E55" s="22">
        <v>46251</v>
      </c>
      <c r="F55" s="22">
        <v>46037</v>
      </c>
      <c r="G55" t="s">
        <v>52</v>
      </c>
      <c r="H55" t="s">
        <v>35</v>
      </c>
      <c r="I55" s="1" t="s">
        <v>251</v>
      </c>
      <c r="J55" s="2" t="s">
        <v>155</v>
      </c>
      <c r="L55">
        <v>1</v>
      </c>
      <c r="M55">
        <v>2</v>
      </c>
      <c r="N55" s="113"/>
      <c r="R55" s="2" t="s">
        <v>20</v>
      </c>
      <c r="S55" s="122">
        <v>5125</v>
      </c>
      <c r="T55" s="2" t="s">
        <v>276</v>
      </c>
      <c r="U55" t="s">
        <v>275</v>
      </c>
    </row>
    <row r="56" spans="1:21" x14ac:dyDescent="0.3">
      <c r="A56" s="2">
        <v>47</v>
      </c>
      <c r="B56" t="s">
        <v>210</v>
      </c>
      <c r="C56" t="s">
        <v>574</v>
      </c>
      <c r="D56" s="22">
        <v>46281</v>
      </c>
      <c r="E56" s="22">
        <v>46286</v>
      </c>
      <c r="F56" s="22">
        <v>46037</v>
      </c>
      <c r="G56" t="s">
        <v>52</v>
      </c>
      <c r="H56" t="s">
        <v>6</v>
      </c>
      <c r="L56">
        <v>1</v>
      </c>
      <c r="M56">
        <v>2</v>
      </c>
      <c r="N56" s="113" t="s">
        <v>211</v>
      </c>
      <c r="O56" s="173">
        <v>4531909358</v>
      </c>
      <c r="P56" s="175" t="s">
        <v>272</v>
      </c>
      <c r="R56" s="2" t="s">
        <v>21</v>
      </c>
      <c r="T56" s="2" t="s">
        <v>21</v>
      </c>
      <c r="U56" t="s">
        <v>273</v>
      </c>
    </row>
    <row r="57" spans="1:21" x14ac:dyDescent="0.3">
      <c r="A57" s="2">
        <v>48</v>
      </c>
      <c r="B57" t="s">
        <v>271</v>
      </c>
      <c r="C57" t="s">
        <v>600</v>
      </c>
      <c r="D57" s="22">
        <v>46156</v>
      </c>
      <c r="E57" s="22">
        <v>46159</v>
      </c>
      <c r="F57" s="22">
        <v>46040</v>
      </c>
      <c r="G57" t="s">
        <v>52</v>
      </c>
      <c r="H57" t="s">
        <v>263</v>
      </c>
      <c r="N57" s="113"/>
    </row>
    <row r="58" spans="1:21" x14ac:dyDescent="0.3">
      <c r="A58" s="2">
        <v>49</v>
      </c>
      <c r="B58" t="s">
        <v>270</v>
      </c>
      <c r="C58" t="s">
        <v>601</v>
      </c>
      <c r="D58" s="22">
        <v>46228</v>
      </c>
      <c r="E58" s="22">
        <v>46235</v>
      </c>
      <c r="F58" s="22">
        <v>46040</v>
      </c>
      <c r="G58" t="s">
        <v>52</v>
      </c>
      <c r="H58" t="s">
        <v>35</v>
      </c>
      <c r="J58" s="2" t="s">
        <v>155</v>
      </c>
      <c r="L58">
        <v>1</v>
      </c>
      <c r="M58">
        <v>2</v>
      </c>
      <c r="N58" s="113"/>
      <c r="R58" s="2" t="s">
        <v>21</v>
      </c>
      <c r="S58" s="122">
        <v>8925</v>
      </c>
      <c r="T58" s="2" t="s">
        <v>20</v>
      </c>
    </row>
    <row r="59" spans="1:21" x14ac:dyDescent="0.3">
      <c r="A59" s="2">
        <v>50</v>
      </c>
      <c r="B59" t="s">
        <v>269</v>
      </c>
      <c r="C59" t="s">
        <v>602</v>
      </c>
      <c r="D59" s="22">
        <v>46237</v>
      </c>
      <c r="E59" s="22">
        <v>46241</v>
      </c>
      <c r="F59" s="22">
        <v>46039</v>
      </c>
      <c r="G59" t="s">
        <v>52</v>
      </c>
      <c r="H59" t="s">
        <v>35</v>
      </c>
      <c r="J59" s="2" t="s">
        <v>155</v>
      </c>
      <c r="L59">
        <v>1</v>
      </c>
      <c r="M59">
        <v>2</v>
      </c>
      <c r="R59" s="2" t="s">
        <v>21</v>
      </c>
      <c r="S59" s="122">
        <v>5100</v>
      </c>
      <c r="T59" s="2" t="s">
        <v>20</v>
      </c>
    </row>
    <row r="60" spans="1:21" x14ac:dyDescent="0.3">
      <c r="A60" s="2">
        <v>51</v>
      </c>
      <c r="B60" t="s">
        <v>266</v>
      </c>
      <c r="C60" t="s">
        <v>603</v>
      </c>
      <c r="D60" s="22">
        <v>46250</v>
      </c>
      <c r="E60" s="22">
        <v>46255</v>
      </c>
      <c r="F60" s="22">
        <v>46041</v>
      </c>
      <c r="G60" t="s">
        <v>52</v>
      </c>
      <c r="H60" t="s">
        <v>6</v>
      </c>
      <c r="K60" s="197">
        <v>0.1</v>
      </c>
      <c r="L60">
        <v>1</v>
      </c>
      <c r="M60">
        <v>2</v>
      </c>
      <c r="N60" s="155" t="s">
        <v>268</v>
      </c>
      <c r="O60" s="173">
        <v>4540474386</v>
      </c>
      <c r="P60" s="175" t="s">
        <v>267</v>
      </c>
      <c r="R60" s="2" t="s">
        <v>21</v>
      </c>
      <c r="S60" s="181">
        <v>5737.5</v>
      </c>
      <c r="T60" s="2" t="s">
        <v>21</v>
      </c>
      <c r="U60">
        <v>2024</v>
      </c>
    </row>
    <row r="61" spans="1:21" x14ac:dyDescent="0.3">
      <c r="A61" s="2">
        <v>52</v>
      </c>
      <c r="B61" t="s">
        <v>284</v>
      </c>
      <c r="C61" t="s">
        <v>604</v>
      </c>
      <c r="D61" s="22">
        <v>46251</v>
      </c>
      <c r="E61" s="22">
        <v>46255</v>
      </c>
      <c r="F61" s="22">
        <v>46041</v>
      </c>
      <c r="G61" t="s">
        <v>52</v>
      </c>
      <c r="H61" t="s">
        <v>35</v>
      </c>
      <c r="I61" s="1" t="s">
        <v>438</v>
      </c>
      <c r="L61">
        <v>1</v>
      </c>
      <c r="M61">
        <v>2</v>
      </c>
      <c r="N61" s="113"/>
      <c r="R61" s="2" t="s">
        <v>21</v>
      </c>
      <c r="S61" s="122">
        <v>4600</v>
      </c>
      <c r="T61" s="2" t="s">
        <v>20</v>
      </c>
    </row>
    <row r="62" spans="1:21" x14ac:dyDescent="0.3">
      <c r="A62" s="2">
        <v>53</v>
      </c>
      <c r="B62" t="s">
        <v>283</v>
      </c>
      <c r="C62" t="s">
        <v>605</v>
      </c>
      <c r="D62" s="22">
        <v>46155</v>
      </c>
      <c r="E62" s="22">
        <v>46158</v>
      </c>
      <c r="F62" s="22">
        <v>46041</v>
      </c>
      <c r="G62" t="s">
        <v>52</v>
      </c>
      <c r="H62" t="s">
        <v>35</v>
      </c>
      <c r="I62" s="1" t="s">
        <v>368</v>
      </c>
      <c r="J62" s="2" t="s">
        <v>155</v>
      </c>
      <c r="L62">
        <v>1</v>
      </c>
      <c r="M62">
        <v>2</v>
      </c>
      <c r="O62" s="147">
        <v>4521467633</v>
      </c>
      <c r="R62" s="2" t="s">
        <v>20</v>
      </c>
      <c r="S62" s="122">
        <v>2850</v>
      </c>
      <c r="T62" s="2" t="s">
        <v>20</v>
      </c>
    </row>
    <row r="63" spans="1:21" x14ac:dyDescent="0.3">
      <c r="A63" s="2">
        <v>54</v>
      </c>
      <c r="B63" t="s">
        <v>298</v>
      </c>
      <c r="C63" t="s">
        <v>606</v>
      </c>
      <c r="D63" s="22">
        <v>46254</v>
      </c>
      <c r="E63" s="22">
        <v>46257</v>
      </c>
      <c r="F63" s="22">
        <v>46042</v>
      </c>
      <c r="H63" t="s">
        <v>263</v>
      </c>
      <c r="I63" s="1" t="s">
        <v>373</v>
      </c>
      <c r="J63" s="2" t="s">
        <v>434</v>
      </c>
      <c r="N63" s="113"/>
      <c r="S63" s="154"/>
    </row>
    <row r="64" spans="1:21" x14ac:dyDescent="0.3">
      <c r="A64" s="2">
        <v>55</v>
      </c>
      <c r="B64" t="s">
        <v>297</v>
      </c>
      <c r="C64" t="s">
        <v>607</v>
      </c>
      <c r="D64" s="22">
        <v>46230</v>
      </c>
      <c r="E64" s="22">
        <v>46234</v>
      </c>
      <c r="F64" s="22">
        <v>46042</v>
      </c>
      <c r="G64" t="s">
        <v>52</v>
      </c>
      <c r="H64" t="s">
        <v>35</v>
      </c>
      <c r="J64" s="2" t="s">
        <v>155</v>
      </c>
      <c r="L64">
        <v>1</v>
      </c>
      <c r="M64">
        <v>2</v>
      </c>
      <c r="N64" s="113"/>
      <c r="R64" s="2" t="s">
        <v>20</v>
      </c>
      <c r="S64" s="122">
        <v>4300</v>
      </c>
      <c r="T64" s="2" t="s">
        <v>20</v>
      </c>
    </row>
    <row r="65" spans="1:21" x14ac:dyDescent="0.3">
      <c r="A65" s="2">
        <v>56</v>
      </c>
      <c r="B65" t="s">
        <v>294</v>
      </c>
      <c r="C65" t="s">
        <v>608</v>
      </c>
      <c r="D65" s="22">
        <v>46192</v>
      </c>
      <c r="E65" s="22">
        <v>46194</v>
      </c>
      <c r="F65" s="22">
        <v>46043</v>
      </c>
      <c r="G65" t="s">
        <v>52</v>
      </c>
      <c r="H65" t="s">
        <v>35</v>
      </c>
      <c r="I65" s="1" t="s">
        <v>307</v>
      </c>
      <c r="J65" s="2" t="s">
        <v>155</v>
      </c>
      <c r="L65">
        <v>1</v>
      </c>
      <c r="M65">
        <v>2</v>
      </c>
      <c r="N65" s="113"/>
      <c r="R65" s="2" t="s">
        <v>20</v>
      </c>
      <c r="S65" s="122">
        <v>1900</v>
      </c>
      <c r="T65" s="2" t="s">
        <v>20</v>
      </c>
      <c r="U65" t="s">
        <v>296</v>
      </c>
    </row>
    <row r="66" spans="1:21" x14ac:dyDescent="0.3">
      <c r="A66" s="2">
        <v>57</v>
      </c>
      <c r="B66" t="s">
        <v>291</v>
      </c>
      <c r="C66" t="s">
        <v>609</v>
      </c>
      <c r="D66" s="22">
        <v>46232</v>
      </c>
      <c r="E66" s="22">
        <v>46238</v>
      </c>
      <c r="F66" s="22">
        <v>46043</v>
      </c>
      <c r="G66" t="s">
        <v>53</v>
      </c>
      <c r="H66" t="s">
        <v>35</v>
      </c>
      <c r="L66">
        <v>1</v>
      </c>
      <c r="M66">
        <v>2</v>
      </c>
      <c r="O66" s="173">
        <v>466700686</v>
      </c>
      <c r="P66" s="2" t="s">
        <v>292</v>
      </c>
      <c r="R66" s="2" t="s">
        <v>20</v>
      </c>
      <c r="S66" s="154">
        <v>6450</v>
      </c>
      <c r="T66" s="2" t="s">
        <v>38</v>
      </c>
      <c r="U66" t="s">
        <v>293</v>
      </c>
    </row>
    <row r="67" spans="1:21" x14ac:dyDescent="0.3">
      <c r="A67" s="2">
        <v>58</v>
      </c>
      <c r="B67" t="s">
        <v>289</v>
      </c>
      <c r="C67" t="s">
        <v>610</v>
      </c>
      <c r="D67" s="22">
        <v>46229</v>
      </c>
      <c r="E67" s="22">
        <v>46232</v>
      </c>
      <c r="F67" s="22">
        <v>46046</v>
      </c>
      <c r="G67" t="s">
        <v>52</v>
      </c>
      <c r="H67" t="s">
        <v>6</v>
      </c>
      <c r="J67" s="2" t="s">
        <v>158</v>
      </c>
      <c r="K67" s="197">
        <v>0.1</v>
      </c>
      <c r="L67">
        <v>2</v>
      </c>
      <c r="M67">
        <v>2</v>
      </c>
      <c r="N67" s="113"/>
      <c r="R67" s="2" t="s">
        <v>21</v>
      </c>
      <c r="S67" s="154">
        <v>4590</v>
      </c>
      <c r="T67" s="2" t="s">
        <v>38</v>
      </c>
      <c r="U67" t="s">
        <v>290</v>
      </c>
    </row>
    <row r="68" spans="1:21" x14ac:dyDescent="0.3">
      <c r="A68" s="2">
        <v>58</v>
      </c>
      <c r="H68" t="s">
        <v>6</v>
      </c>
      <c r="N68" s="113"/>
      <c r="S68" s="154"/>
    </row>
    <row r="69" spans="1:21" x14ac:dyDescent="0.3">
      <c r="A69" s="2">
        <v>59</v>
      </c>
      <c r="B69" t="s">
        <v>299</v>
      </c>
      <c r="C69" t="s">
        <v>611</v>
      </c>
      <c r="D69" s="22">
        <v>46244</v>
      </c>
      <c r="E69" s="22">
        <v>46248</v>
      </c>
      <c r="F69" s="22">
        <v>46047</v>
      </c>
      <c r="G69" t="s">
        <v>52</v>
      </c>
      <c r="H69" t="s">
        <v>35</v>
      </c>
      <c r="I69" s="1" t="s">
        <v>300</v>
      </c>
      <c r="J69" s="2" t="s">
        <v>155</v>
      </c>
      <c r="L69">
        <v>1</v>
      </c>
      <c r="M69">
        <v>2</v>
      </c>
      <c r="N69" s="113"/>
      <c r="O69" s="147">
        <v>4542401010</v>
      </c>
      <c r="R69" s="2" t="s">
        <v>21</v>
      </c>
      <c r="S69" s="154">
        <v>5100</v>
      </c>
      <c r="T69" s="2" t="s">
        <v>20</v>
      </c>
    </row>
    <row r="70" spans="1:21" x14ac:dyDescent="0.3">
      <c r="A70" s="2">
        <v>60</v>
      </c>
      <c r="B70" t="s">
        <v>306</v>
      </c>
      <c r="C70" t="s">
        <v>585</v>
      </c>
      <c r="D70" s="22">
        <v>46258</v>
      </c>
      <c r="E70" s="22">
        <v>46262</v>
      </c>
      <c r="F70" s="22">
        <v>46047</v>
      </c>
      <c r="G70" t="s">
        <v>52</v>
      </c>
      <c r="H70" t="s">
        <v>35</v>
      </c>
      <c r="L70">
        <v>1</v>
      </c>
      <c r="M70">
        <v>1</v>
      </c>
      <c r="Q70" s="2" t="s">
        <v>21</v>
      </c>
      <c r="R70" s="2" t="s">
        <v>21</v>
      </c>
      <c r="S70" s="154">
        <v>3800</v>
      </c>
      <c r="T70" s="2" t="s">
        <v>20</v>
      </c>
    </row>
    <row r="71" spans="1:21" x14ac:dyDescent="0.3">
      <c r="A71" s="2">
        <v>61</v>
      </c>
      <c r="B71" t="s">
        <v>304</v>
      </c>
      <c r="C71" t="s">
        <v>612</v>
      </c>
      <c r="D71" s="22">
        <v>46199</v>
      </c>
      <c r="E71" s="22">
        <v>46202</v>
      </c>
      <c r="F71" s="22">
        <v>46047</v>
      </c>
      <c r="G71" t="s">
        <v>31</v>
      </c>
      <c r="H71" t="s">
        <v>35</v>
      </c>
      <c r="I71" s="1" t="s">
        <v>305</v>
      </c>
      <c r="J71" s="2" t="s">
        <v>295</v>
      </c>
      <c r="L71">
        <v>1</v>
      </c>
      <c r="M71">
        <v>2</v>
      </c>
      <c r="N71" s="113"/>
      <c r="R71" s="2" t="s">
        <v>20</v>
      </c>
      <c r="S71" s="154">
        <v>2975</v>
      </c>
      <c r="T71" s="2" t="s">
        <v>20</v>
      </c>
    </row>
    <row r="72" spans="1:21" x14ac:dyDescent="0.3">
      <c r="A72" s="2">
        <v>62</v>
      </c>
      <c r="B72" t="s">
        <v>303</v>
      </c>
      <c r="C72" t="s">
        <v>561</v>
      </c>
      <c r="D72" s="22">
        <v>46214</v>
      </c>
      <c r="E72" s="22">
        <v>46222</v>
      </c>
      <c r="F72" s="22">
        <v>46047</v>
      </c>
      <c r="G72" t="s">
        <v>52</v>
      </c>
      <c r="H72" t="s">
        <v>35</v>
      </c>
      <c r="J72" s="2" t="s">
        <v>295</v>
      </c>
      <c r="K72" s="197">
        <v>0.1</v>
      </c>
      <c r="L72">
        <v>1</v>
      </c>
      <c r="M72">
        <v>2</v>
      </c>
      <c r="R72" s="2" t="s">
        <v>21</v>
      </c>
      <c r="S72" s="154">
        <f>8925+3442.5</f>
        <v>12367.5</v>
      </c>
      <c r="T72" s="2" t="s">
        <v>20</v>
      </c>
      <c r="U72" t="s">
        <v>315</v>
      </c>
    </row>
    <row r="73" spans="1:21" x14ac:dyDescent="0.3">
      <c r="A73" s="2">
        <v>63</v>
      </c>
      <c r="B73" t="s">
        <v>301</v>
      </c>
      <c r="C73" t="s">
        <v>613</v>
      </c>
      <c r="D73" s="22">
        <v>46153</v>
      </c>
      <c r="E73" s="22">
        <v>46155</v>
      </c>
      <c r="F73" s="22">
        <v>46048</v>
      </c>
      <c r="G73" t="s">
        <v>53</v>
      </c>
      <c r="H73" t="s">
        <v>6</v>
      </c>
      <c r="I73" s="1" t="s">
        <v>439</v>
      </c>
      <c r="J73" s="2" t="s">
        <v>155</v>
      </c>
      <c r="K73" s="197">
        <v>0.05</v>
      </c>
      <c r="L73">
        <v>1</v>
      </c>
      <c r="M73">
        <v>2</v>
      </c>
      <c r="N73" s="113" t="s">
        <v>302</v>
      </c>
      <c r="O73" s="147">
        <v>460739771649</v>
      </c>
      <c r="R73" s="2" t="s">
        <v>20</v>
      </c>
      <c r="S73" s="154">
        <v>1805</v>
      </c>
      <c r="T73" s="2" t="s">
        <v>20</v>
      </c>
    </row>
    <row r="74" spans="1:21" x14ac:dyDescent="0.3">
      <c r="A74" s="2">
        <v>64</v>
      </c>
      <c r="B74" t="s">
        <v>308</v>
      </c>
      <c r="C74" t="s">
        <v>614</v>
      </c>
      <c r="D74" s="22">
        <v>46198</v>
      </c>
      <c r="E74" s="22">
        <v>46201</v>
      </c>
      <c r="F74" s="22">
        <v>46053</v>
      </c>
      <c r="G74" t="s">
        <v>53</v>
      </c>
      <c r="H74" t="s">
        <v>35</v>
      </c>
      <c r="J74" s="2" t="s">
        <v>158</v>
      </c>
      <c r="L74">
        <v>1</v>
      </c>
      <c r="M74">
        <v>2</v>
      </c>
      <c r="R74" s="2" t="s">
        <v>20</v>
      </c>
      <c r="S74" s="122">
        <v>2850</v>
      </c>
      <c r="T74" s="2" t="s">
        <v>20</v>
      </c>
    </row>
    <row r="75" spans="1:21" x14ac:dyDescent="0.3">
      <c r="A75" s="2">
        <v>65</v>
      </c>
      <c r="B75" t="s">
        <v>312</v>
      </c>
      <c r="C75" t="s">
        <v>607</v>
      </c>
      <c r="D75" s="22">
        <v>46256</v>
      </c>
      <c r="E75" s="22">
        <v>46258</v>
      </c>
      <c r="F75" s="22">
        <v>46054</v>
      </c>
      <c r="G75" t="s">
        <v>52</v>
      </c>
      <c r="H75" t="s">
        <v>35</v>
      </c>
      <c r="J75" s="2" t="s">
        <v>155</v>
      </c>
      <c r="L75">
        <v>1</v>
      </c>
      <c r="M75">
        <v>2</v>
      </c>
      <c r="R75" s="2" t="s">
        <v>20</v>
      </c>
      <c r="S75" s="154">
        <v>2850</v>
      </c>
      <c r="T75" s="2" t="s">
        <v>20</v>
      </c>
    </row>
    <row r="76" spans="1:21" x14ac:dyDescent="0.3">
      <c r="A76" s="2">
        <v>66</v>
      </c>
      <c r="B76" t="s">
        <v>310</v>
      </c>
      <c r="C76" t="s">
        <v>615</v>
      </c>
      <c r="D76" s="22">
        <v>46214</v>
      </c>
      <c r="E76" s="22">
        <v>46222</v>
      </c>
      <c r="F76" s="22">
        <v>46054</v>
      </c>
      <c r="G76" t="s">
        <v>52</v>
      </c>
      <c r="H76" t="s">
        <v>6</v>
      </c>
      <c r="K76" s="197">
        <v>0.1</v>
      </c>
      <c r="L76">
        <v>1</v>
      </c>
      <c r="M76">
        <v>2</v>
      </c>
      <c r="N76" s="113" t="s">
        <v>311</v>
      </c>
      <c r="O76" s="146">
        <v>4521261488</v>
      </c>
      <c r="P76" s="2" t="s">
        <v>178</v>
      </c>
      <c r="R76" s="2" t="s">
        <v>21</v>
      </c>
      <c r="S76" s="154">
        <v>9180</v>
      </c>
      <c r="T76" s="2" t="s">
        <v>38</v>
      </c>
      <c r="U76">
        <v>2021.24</v>
      </c>
    </row>
    <row r="77" spans="1:21" x14ac:dyDescent="0.3">
      <c r="A77" s="2">
        <v>67</v>
      </c>
      <c r="B77" t="s">
        <v>309</v>
      </c>
      <c r="C77" t="s">
        <v>616</v>
      </c>
      <c r="D77" s="22">
        <v>46260</v>
      </c>
      <c r="E77" s="22">
        <v>46265</v>
      </c>
      <c r="F77" s="22">
        <v>46055</v>
      </c>
      <c r="G77" t="s">
        <v>31</v>
      </c>
      <c r="H77" t="s">
        <v>35</v>
      </c>
      <c r="I77" s="1" t="s">
        <v>251</v>
      </c>
      <c r="J77" s="2" t="s">
        <v>155</v>
      </c>
      <c r="L77">
        <v>1</v>
      </c>
      <c r="M77">
        <v>2</v>
      </c>
      <c r="N77" s="113"/>
      <c r="R77" s="2" t="s">
        <v>21</v>
      </c>
      <c r="S77" s="154">
        <v>5750</v>
      </c>
      <c r="T77" s="2" t="s">
        <v>20</v>
      </c>
    </row>
    <row r="78" spans="1:21" x14ac:dyDescent="0.3">
      <c r="A78" s="2">
        <v>68</v>
      </c>
      <c r="B78" t="s">
        <v>314</v>
      </c>
      <c r="C78" t="s">
        <v>617</v>
      </c>
      <c r="D78" s="22">
        <v>46143</v>
      </c>
      <c r="E78" s="22">
        <v>46145</v>
      </c>
      <c r="F78" s="22">
        <v>46055</v>
      </c>
      <c r="G78" t="s">
        <v>52</v>
      </c>
      <c r="H78" t="s">
        <v>35</v>
      </c>
      <c r="I78" s="1" t="s">
        <v>439</v>
      </c>
      <c r="J78" s="2" t="s">
        <v>158</v>
      </c>
      <c r="L78">
        <v>1</v>
      </c>
      <c r="M78">
        <v>1</v>
      </c>
      <c r="O78" s="147">
        <v>4541102606</v>
      </c>
      <c r="Q78" s="2" t="s">
        <v>21</v>
      </c>
      <c r="R78" s="2" t="s">
        <v>20</v>
      </c>
      <c r="S78" s="154">
        <v>1700</v>
      </c>
      <c r="T78" s="2" t="s">
        <v>20</v>
      </c>
    </row>
    <row r="79" spans="1:21" x14ac:dyDescent="0.3">
      <c r="A79" s="2">
        <v>69</v>
      </c>
      <c r="B79" t="s">
        <v>313</v>
      </c>
      <c r="C79" t="s">
        <v>618</v>
      </c>
      <c r="D79" s="22">
        <v>46212</v>
      </c>
      <c r="E79" s="22">
        <v>46215</v>
      </c>
      <c r="F79" s="22">
        <v>46055</v>
      </c>
      <c r="G79" t="s">
        <v>52</v>
      </c>
      <c r="H79" t="s">
        <v>263</v>
      </c>
      <c r="S79" s="154"/>
    </row>
    <row r="80" spans="1:21" x14ac:dyDescent="0.3">
      <c r="A80" s="2">
        <v>70</v>
      </c>
      <c r="B80" t="s">
        <v>321</v>
      </c>
      <c r="C80" t="s">
        <v>594</v>
      </c>
      <c r="D80" s="22">
        <v>46188</v>
      </c>
      <c r="E80" s="22">
        <v>46193</v>
      </c>
      <c r="F80" s="22">
        <v>46056</v>
      </c>
      <c r="G80" t="s">
        <v>52</v>
      </c>
      <c r="H80" t="s">
        <v>6</v>
      </c>
      <c r="L80">
        <v>1</v>
      </c>
      <c r="M80">
        <v>2</v>
      </c>
      <c r="N80" s="113" t="s">
        <v>322</v>
      </c>
      <c r="O80" s="146">
        <v>4561793423</v>
      </c>
      <c r="R80" s="2" t="s">
        <v>21</v>
      </c>
      <c r="S80" s="154">
        <v>5175</v>
      </c>
      <c r="T80" s="2" t="s">
        <v>21</v>
      </c>
      <c r="U80" t="s">
        <v>323</v>
      </c>
    </row>
    <row r="81" spans="1:21" x14ac:dyDescent="0.3">
      <c r="A81" s="2">
        <v>71</v>
      </c>
      <c r="B81" t="s">
        <v>324</v>
      </c>
      <c r="C81" t="s">
        <v>619</v>
      </c>
      <c r="D81" s="22">
        <v>46260</v>
      </c>
      <c r="E81" s="22">
        <v>46264</v>
      </c>
      <c r="F81" s="22">
        <v>46057</v>
      </c>
      <c r="G81" t="s">
        <v>31</v>
      </c>
      <c r="H81" t="s">
        <v>263</v>
      </c>
      <c r="J81" s="2" t="s">
        <v>158</v>
      </c>
    </row>
    <row r="82" spans="1:21" x14ac:dyDescent="0.3">
      <c r="A82" s="2">
        <v>72</v>
      </c>
      <c r="B82" t="s">
        <v>318</v>
      </c>
      <c r="C82" t="s">
        <v>594</v>
      </c>
      <c r="D82" s="22">
        <v>46145</v>
      </c>
      <c r="E82" s="22">
        <v>46152</v>
      </c>
      <c r="F82" s="22">
        <v>46060</v>
      </c>
      <c r="G82" t="s">
        <v>52</v>
      </c>
      <c r="H82" t="s">
        <v>35</v>
      </c>
      <c r="I82" s="1" t="s">
        <v>435</v>
      </c>
      <c r="J82" s="2" t="s">
        <v>158</v>
      </c>
      <c r="L82">
        <v>1</v>
      </c>
      <c r="M82">
        <v>2</v>
      </c>
      <c r="N82" s="155" t="s">
        <v>319</v>
      </c>
      <c r="O82" s="146">
        <v>4527139833</v>
      </c>
      <c r="R82" s="2" t="s">
        <v>21</v>
      </c>
      <c r="S82" s="154">
        <v>8050</v>
      </c>
      <c r="T82" s="2" t="s">
        <v>21</v>
      </c>
      <c r="U82" t="s">
        <v>320</v>
      </c>
    </row>
    <row r="83" spans="1:21" x14ac:dyDescent="0.3">
      <c r="A83" s="2">
        <v>73</v>
      </c>
      <c r="B83" t="s">
        <v>317</v>
      </c>
      <c r="C83" t="s">
        <v>620</v>
      </c>
      <c r="D83" s="22">
        <v>46143</v>
      </c>
      <c r="E83" s="22">
        <v>46145</v>
      </c>
      <c r="F83" s="22">
        <v>46061</v>
      </c>
      <c r="G83" t="s">
        <v>52</v>
      </c>
      <c r="H83" t="s">
        <v>263</v>
      </c>
    </row>
    <row r="84" spans="1:21" x14ac:dyDescent="0.3">
      <c r="A84" s="2">
        <v>74</v>
      </c>
      <c r="B84" t="s">
        <v>327</v>
      </c>
      <c r="C84" t="s">
        <v>561</v>
      </c>
      <c r="D84" s="22">
        <v>46236</v>
      </c>
      <c r="E84" s="22">
        <v>46240</v>
      </c>
      <c r="F84" s="22">
        <v>46063</v>
      </c>
      <c r="G84" t="s">
        <v>52</v>
      </c>
      <c r="H84" t="s">
        <v>6</v>
      </c>
      <c r="K84" s="197">
        <v>0.1</v>
      </c>
      <c r="L84">
        <v>2</v>
      </c>
      <c r="M84">
        <v>3</v>
      </c>
      <c r="N84" s="113" t="s">
        <v>328</v>
      </c>
      <c r="R84" s="2" t="s">
        <v>21</v>
      </c>
      <c r="S84" s="154">
        <v>8460</v>
      </c>
      <c r="T84" s="2" t="s">
        <v>21</v>
      </c>
      <c r="U84" t="s">
        <v>329</v>
      </c>
    </row>
    <row r="85" spans="1:21" x14ac:dyDescent="0.3">
      <c r="A85" s="2">
        <v>74</v>
      </c>
      <c r="H85" t="s">
        <v>6</v>
      </c>
      <c r="N85" s="113"/>
      <c r="S85" s="154"/>
    </row>
    <row r="86" spans="1:21" x14ac:dyDescent="0.3">
      <c r="A86" s="2">
        <v>75</v>
      </c>
      <c r="B86" t="s">
        <v>326</v>
      </c>
      <c r="C86" t="s">
        <v>621</v>
      </c>
      <c r="D86" s="22">
        <v>46276</v>
      </c>
      <c r="E86" s="22">
        <v>46279</v>
      </c>
      <c r="F86" s="22">
        <v>46067</v>
      </c>
      <c r="G86" t="s">
        <v>52</v>
      </c>
      <c r="H86" t="s">
        <v>263</v>
      </c>
      <c r="S86" s="154"/>
    </row>
    <row r="87" spans="1:21" x14ac:dyDescent="0.3">
      <c r="A87" s="2">
        <v>76</v>
      </c>
      <c r="B87" t="s">
        <v>325</v>
      </c>
      <c r="C87" t="s">
        <v>582</v>
      </c>
      <c r="D87" s="22">
        <v>46202</v>
      </c>
      <c r="E87" s="22">
        <v>46206</v>
      </c>
      <c r="F87" s="22">
        <v>46068</v>
      </c>
      <c r="G87" t="s">
        <v>52</v>
      </c>
      <c r="H87" t="s">
        <v>35</v>
      </c>
      <c r="J87" s="2" t="s">
        <v>158</v>
      </c>
      <c r="L87">
        <v>1</v>
      </c>
      <c r="M87">
        <v>2</v>
      </c>
      <c r="R87" s="2" t="s">
        <v>21</v>
      </c>
      <c r="S87" s="154">
        <v>5100</v>
      </c>
      <c r="T87" s="2" t="s">
        <v>20</v>
      </c>
    </row>
    <row r="88" spans="1:21" x14ac:dyDescent="0.3">
      <c r="A88" s="2">
        <v>77</v>
      </c>
      <c r="B88" t="s">
        <v>330</v>
      </c>
      <c r="C88" t="s">
        <v>622</v>
      </c>
      <c r="D88" s="22">
        <v>46200</v>
      </c>
      <c r="E88" s="22">
        <v>46207</v>
      </c>
      <c r="F88" s="22">
        <v>46069</v>
      </c>
      <c r="G88" t="s">
        <v>52</v>
      </c>
      <c r="H88" t="s">
        <v>6</v>
      </c>
      <c r="L88">
        <v>1</v>
      </c>
      <c r="M88">
        <v>2</v>
      </c>
      <c r="N88" s="155" t="s">
        <v>331</v>
      </c>
      <c r="O88" s="146">
        <v>4525240507</v>
      </c>
      <c r="R88" s="2" t="s">
        <v>21</v>
      </c>
      <c r="S88" s="181">
        <v>8032.5</v>
      </c>
      <c r="T88" s="2" t="s">
        <v>21</v>
      </c>
      <c r="U88" t="s">
        <v>332</v>
      </c>
    </row>
    <row r="89" spans="1:21" x14ac:dyDescent="0.3">
      <c r="A89" s="2">
        <v>78</v>
      </c>
      <c r="B89" t="s">
        <v>340</v>
      </c>
      <c r="C89" t="s">
        <v>623</v>
      </c>
      <c r="D89" s="22">
        <v>46260</v>
      </c>
      <c r="E89" s="22">
        <v>46268</v>
      </c>
      <c r="F89" s="22">
        <v>46072</v>
      </c>
      <c r="G89" t="s">
        <v>31</v>
      </c>
      <c r="H89" t="s">
        <v>35</v>
      </c>
      <c r="J89" s="2" t="s">
        <v>155</v>
      </c>
      <c r="L89">
        <v>1</v>
      </c>
      <c r="M89">
        <v>2</v>
      </c>
      <c r="R89" s="2" t="s">
        <v>21</v>
      </c>
      <c r="S89" s="122">
        <v>9200</v>
      </c>
      <c r="T89" s="2" t="s">
        <v>20</v>
      </c>
    </row>
    <row r="90" spans="1:21" x14ac:dyDescent="0.3">
      <c r="A90" s="2">
        <v>79</v>
      </c>
      <c r="B90" t="s">
        <v>36</v>
      </c>
      <c r="C90" t="s">
        <v>624</v>
      </c>
      <c r="D90" s="22">
        <v>46173</v>
      </c>
      <c r="E90" s="22">
        <v>46178</v>
      </c>
      <c r="F90" s="22">
        <v>46073</v>
      </c>
      <c r="G90" t="s">
        <v>52</v>
      </c>
      <c r="H90" t="s">
        <v>6</v>
      </c>
      <c r="K90" s="197">
        <v>0.1</v>
      </c>
      <c r="L90">
        <v>1</v>
      </c>
      <c r="M90">
        <v>2</v>
      </c>
      <c r="N90" s="113" t="s">
        <v>338</v>
      </c>
      <c r="O90" s="146">
        <v>4520646004</v>
      </c>
      <c r="R90" s="2" t="s">
        <v>21</v>
      </c>
      <c r="S90" s="154">
        <v>5175</v>
      </c>
      <c r="T90" s="2" t="s">
        <v>38</v>
      </c>
      <c r="U90" t="s">
        <v>339</v>
      </c>
    </row>
    <row r="91" spans="1:21" x14ac:dyDescent="0.3">
      <c r="A91" s="2">
        <v>80</v>
      </c>
      <c r="B91" t="s">
        <v>335</v>
      </c>
      <c r="C91" t="s">
        <v>625</v>
      </c>
      <c r="D91" s="22">
        <v>46149</v>
      </c>
      <c r="E91" s="22">
        <v>46152</v>
      </c>
      <c r="F91" s="22">
        <v>46074</v>
      </c>
      <c r="G91" t="s">
        <v>52</v>
      </c>
      <c r="H91" t="s">
        <v>6</v>
      </c>
      <c r="J91" s="2" t="s">
        <v>26</v>
      </c>
      <c r="K91" s="197">
        <v>0.1</v>
      </c>
      <c r="L91">
        <v>2</v>
      </c>
      <c r="M91">
        <v>4</v>
      </c>
      <c r="N91" s="113" t="s">
        <v>336</v>
      </c>
      <c r="O91" s="146">
        <v>4520143818</v>
      </c>
      <c r="R91" s="2" t="s">
        <v>21</v>
      </c>
      <c r="S91" s="122">
        <v>10350</v>
      </c>
      <c r="T91" s="2" t="s">
        <v>21</v>
      </c>
      <c r="U91" t="s">
        <v>337</v>
      </c>
    </row>
    <row r="92" spans="1:21" x14ac:dyDescent="0.3">
      <c r="A92" s="2">
        <v>80</v>
      </c>
      <c r="H92" t="s">
        <v>6</v>
      </c>
      <c r="N92" s="113"/>
      <c r="O92" s="146"/>
    </row>
    <row r="93" spans="1:21" x14ac:dyDescent="0.3">
      <c r="A93" s="2">
        <v>81</v>
      </c>
      <c r="B93" t="s">
        <v>341</v>
      </c>
      <c r="C93" t="s">
        <v>582</v>
      </c>
      <c r="D93" s="22">
        <v>46218</v>
      </c>
      <c r="E93" s="22">
        <v>46221</v>
      </c>
      <c r="F93" s="22">
        <v>46074</v>
      </c>
      <c r="G93" t="s">
        <v>52</v>
      </c>
      <c r="H93" t="s">
        <v>35</v>
      </c>
      <c r="L93">
        <v>1</v>
      </c>
      <c r="M93">
        <v>2</v>
      </c>
      <c r="R93" s="2" t="s">
        <v>21</v>
      </c>
      <c r="S93" s="122">
        <v>3825</v>
      </c>
      <c r="T93" s="2" t="s">
        <v>20</v>
      </c>
    </row>
    <row r="94" spans="1:21" x14ac:dyDescent="0.3">
      <c r="A94" s="2">
        <v>82</v>
      </c>
      <c r="B94" s="177" t="s">
        <v>342</v>
      </c>
      <c r="C94" t="s">
        <v>626</v>
      </c>
      <c r="D94" s="22">
        <v>46143</v>
      </c>
      <c r="E94" s="22">
        <v>46145</v>
      </c>
      <c r="F94" s="22">
        <v>46075</v>
      </c>
      <c r="G94" t="s">
        <v>52</v>
      </c>
      <c r="H94" t="s">
        <v>263</v>
      </c>
      <c r="S94" s="154"/>
    </row>
    <row r="95" spans="1:21" x14ac:dyDescent="0.3">
      <c r="A95" s="2">
        <v>83</v>
      </c>
      <c r="B95" s="180" t="s">
        <v>343</v>
      </c>
      <c r="C95" t="s">
        <v>627</v>
      </c>
      <c r="D95" s="22">
        <v>46187</v>
      </c>
      <c r="E95" s="22">
        <v>46191</v>
      </c>
      <c r="F95" s="22">
        <v>46077</v>
      </c>
      <c r="G95" t="s">
        <v>52</v>
      </c>
      <c r="H95" t="s">
        <v>35</v>
      </c>
      <c r="L95">
        <v>1</v>
      </c>
      <c r="M95">
        <v>2</v>
      </c>
      <c r="R95" s="2" t="s">
        <v>21</v>
      </c>
      <c r="S95" s="122">
        <v>4600</v>
      </c>
      <c r="T95" s="2" t="s">
        <v>20</v>
      </c>
    </row>
    <row r="96" spans="1:21" x14ac:dyDescent="0.3">
      <c r="A96" s="2">
        <v>84</v>
      </c>
      <c r="B96" s="177" t="s">
        <v>355</v>
      </c>
      <c r="C96" t="s">
        <v>628</v>
      </c>
      <c r="D96" s="22">
        <v>46212</v>
      </c>
      <c r="E96" s="22">
        <v>46216</v>
      </c>
      <c r="F96" s="22">
        <v>46079</v>
      </c>
      <c r="G96" t="s">
        <v>52</v>
      </c>
      <c r="H96" t="s">
        <v>6</v>
      </c>
      <c r="K96" s="197">
        <v>0.1</v>
      </c>
      <c r="L96">
        <v>1</v>
      </c>
      <c r="M96">
        <v>2</v>
      </c>
      <c r="N96" s="155" t="s">
        <v>356</v>
      </c>
      <c r="O96" s="146">
        <v>4526251564</v>
      </c>
      <c r="P96" s="2" t="s">
        <v>357</v>
      </c>
      <c r="R96" s="2" t="s">
        <v>20</v>
      </c>
      <c r="S96" s="154">
        <v>3870</v>
      </c>
    </row>
    <row r="97" spans="1:21" x14ac:dyDescent="0.3">
      <c r="A97" s="2">
        <v>85</v>
      </c>
      <c r="B97" t="s">
        <v>354</v>
      </c>
      <c r="C97" t="s">
        <v>629</v>
      </c>
      <c r="D97" s="22">
        <v>46143</v>
      </c>
      <c r="E97" s="22">
        <v>46145</v>
      </c>
      <c r="F97" s="22">
        <v>46081</v>
      </c>
      <c r="G97" t="s">
        <v>52</v>
      </c>
      <c r="H97" t="s">
        <v>35</v>
      </c>
      <c r="I97" s="1" t="s">
        <v>251</v>
      </c>
      <c r="J97" s="2" t="s">
        <v>158</v>
      </c>
      <c r="L97">
        <v>1</v>
      </c>
      <c r="M97">
        <v>1</v>
      </c>
      <c r="O97" s="147">
        <v>4552167714</v>
      </c>
      <c r="R97" s="2" t="s">
        <v>20</v>
      </c>
      <c r="S97" s="122">
        <v>1700</v>
      </c>
      <c r="T97" s="2" t="s">
        <v>20</v>
      </c>
    </row>
    <row r="98" spans="1:21" x14ac:dyDescent="0.3">
      <c r="A98" s="2">
        <v>86</v>
      </c>
      <c r="B98" t="s">
        <v>351</v>
      </c>
      <c r="C98" t="s">
        <v>630</v>
      </c>
      <c r="D98" s="22">
        <v>46188</v>
      </c>
      <c r="E98" s="22">
        <v>46195</v>
      </c>
      <c r="F98" s="22">
        <v>46081</v>
      </c>
      <c r="G98" t="s">
        <v>31</v>
      </c>
      <c r="H98" t="s">
        <v>6</v>
      </c>
      <c r="K98" s="197">
        <v>0.1</v>
      </c>
      <c r="L98">
        <v>1</v>
      </c>
      <c r="M98">
        <v>2</v>
      </c>
      <c r="N98" s="113" t="s">
        <v>352</v>
      </c>
      <c r="P98" s="2" t="s">
        <v>353</v>
      </c>
      <c r="R98" s="2" t="s">
        <v>21</v>
      </c>
      <c r="S98" s="122">
        <v>7245</v>
      </c>
      <c r="T98" s="2" t="s">
        <v>21</v>
      </c>
      <c r="U98">
        <v>20.22</v>
      </c>
    </row>
    <row r="99" spans="1:21" x14ac:dyDescent="0.3">
      <c r="A99" s="2">
        <v>87</v>
      </c>
      <c r="B99" t="s">
        <v>358</v>
      </c>
      <c r="C99" t="s">
        <v>631</v>
      </c>
      <c r="D99" s="22">
        <v>46199</v>
      </c>
      <c r="E99" s="22">
        <v>46202</v>
      </c>
      <c r="F99" s="22">
        <v>46083</v>
      </c>
      <c r="G99" t="s">
        <v>31</v>
      </c>
      <c r="H99" t="s">
        <v>35</v>
      </c>
      <c r="L99">
        <v>1</v>
      </c>
      <c r="M99">
        <v>2</v>
      </c>
      <c r="R99" s="2" t="s">
        <v>20</v>
      </c>
      <c r="S99" s="122">
        <v>2975</v>
      </c>
      <c r="T99" s="2" t="s">
        <v>20</v>
      </c>
    </row>
    <row r="100" spans="1:21" x14ac:dyDescent="0.3">
      <c r="A100" s="2">
        <v>88</v>
      </c>
      <c r="B100" t="s">
        <v>365</v>
      </c>
      <c r="C100" t="s">
        <v>632</v>
      </c>
      <c r="D100" s="22">
        <v>46188</v>
      </c>
      <c r="E100" s="22">
        <v>46191</v>
      </c>
      <c r="F100" s="22">
        <v>46089</v>
      </c>
      <c r="G100" t="s">
        <v>31</v>
      </c>
      <c r="H100" t="s">
        <v>263</v>
      </c>
    </row>
    <row r="101" spans="1:21" x14ac:dyDescent="0.3">
      <c r="A101" s="2">
        <v>89</v>
      </c>
      <c r="B101" t="s">
        <v>361</v>
      </c>
      <c r="C101" t="s">
        <v>633</v>
      </c>
      <c r="D101" s="22">
        <v>46276</v>
      </c>
      <c r="E101" s="22">
        <v>46278</v>
      </c>
      <c r="F101" s="22">
        <v>46091</v>
      </c>
      <c r="G101" t="s">
        <v>52</v>
      </c>
      <c r="H101" t="s">
        <v>6</v>
      </c>
      <c r="J101" s="2" t="s">
        <v>158</v>
      </c>
      <c r="K101" s="197">
        <v>0.05</v>
      </c>
      <c r="L101">
        <v>2</v>
      </c>
      <c r="M101">
        <v>3</v>
      </c>
      <c r="N101" s="113" t="s">
        <v>362</v>
      </c>
      <c r="O101">
        <v>4540528447</v>
      </c>
      <c r="P101"/>
      <c r="Q101" s="2" t="s">
        <v>364</v>
      </c>
      <c r="R101" s="2" t="s">
        <v>21</v>
      </c>
      <c r="S101" s="122">
        <f>2185+1805</f>
        <v>3990</v>
      </c>
      <c r="T101" s="2" t="s">
        <v>20</v>
      </c>
      <c r="U101" t="s">
        <v>363</v>
      </c>
    </row>
    <row r="102" spans="1:21" x14ac:dyDescent="0.3">
      <c r="H102" t="s">
        <v>6</v>
      </c>
      <c r="N102" s="113"/>
      <c r="O102"/>
      <c r="P102"/>
    </row>
    <row r="103" spans="1:21" x14ac:dyDescent="0.3">
      <c r="A103" s="2">
        <v>90</v>
      </c>
      <c r="B103" t="s">
        <v>359</v>
      </c>
      <c r="C103" t="s">
        <v>634</v>
      </c>
      <c r="D103" s="22">
        <v>46156</v>
      </c>
      <c r="E103" s="22">
        <v>46159</v>
      </c>
      <c r="F103" s="22">
        <v>46091</v>
      </c>
      <c r="G103" t="s">
        <v>53</v>
      </c>
      <c r="H103" t="s">
        <v>35</v>
      </c>
      <c r="I103" s="1" t="s">
        <v>360</v>
      </c>
      <c r="J103" s="2" t="s">
        <v>155</v>
      </c>
      <c r="K103" s="197">
        <v>0</v>
      </c>
      <c r="L103">
        <v>1</v>
      </c>
      <c r="M103">
        <v>2</v>
      </c>
      <c r="O103">
        <v>46734615843</v>
      </c>
      <c r="P103"/>
      <c r="Q103" s="2" t="s">
        <v>20</v>
      </c>
      <c r="R103" s="2" t="s">
        <v>20</v>
      </c>
      <c r="S103" s="122">
        <v>2850</v>
      </c>
      <c r="T103" s="2" t="s">
        <v>20</v>
      </c>
    </row>
    <row r="104" spans="1:21" x14ac:dyDescent="0.3">
      <c r="A104" s="2">
        <v>91</v>
      </c>
      <c r="B104" t="s">
        <v>366</v>
      </c>
      <c r="C104" t="s">
        <v>635</v>
      </c>
      <c r="D104" s="22">
        <v>46157</v>
      </c>
      <c r="E104" s="22">
        <v>46159</v>
      </c>
      <c r="F104" s="22">
        <v>46095</v>
      </c>
      <c r="G104" t="s">
        <v>52</v>
      </c>
      <c r="H104" t="s">
        <v>6</v>
      </c>
      <c r="K104" s="197">
        <v>0.05</v>
      </c>
      <c r="L104">
        <v>1</v>
      </c>
      <c r="M104">
        <v>2</v>
      </c>
      <c r="O104"/>
      <c r="P104" t="s">
        <v>491</v>
      </c>
      <c r="Q104" s="2" t="s">
        <v>20</v>
      </c>
      <c r="R104" s="2" t="s">
        <v>21</v>
      </c>
      <c r="S104" s="191">
        <v>2185</v>
      </c>
      <c r="T104" s="2" t="s">
        <v>20</v>
      </c>
    </row>
    <row r="105" spans="1:21" x14ac:dyDescent="0.3">
      <c r="A105" s="2">
        <v>92</v>
      </c>
      <c r="B105" t="s">
        <v>367</v>
      </c>
      <c r="C105" t="s">
        <v>636</v>
      </c>
      <c r="D105" s="22">
        <v>46241</v>
      </c>
      <c r="E105" s="22">
        <v>46246</v>
      </c>
      <c r="F105" s="22">
        <v>46095</v>
      </c>
      <c r="G105" t="s">
        <v>52</v>
      </c>
      <c r="H105" t="s">
        <v>6</v>
      </c>
      <c r="I105" s="1" t="s">
        <v>368</v>
      </c>
      <c r="J105" s="2" t="s">
        <v>158</v>
      </c>
      <c r="K105" s="197">
        <v>0.1</v>
      </c>
      <c r="L105">
        <v>1</v>
      </c>
      <c r="M105">
        <v>2</v>
      </c>
      <c r="N105" s="113" t="s">
        <v>369</v>
      </c>
      <c r="O105"/>
      <c r="P105" t="s">
        <v>370</v>
      </c>
      <c r="Q105" s="2" t="s">
        <v>20</v>
      </c>
      <c r="R105" s="2" t="s">
        <v>20</v>
      </c>
      <c r="S105" s="191">
        <v>4837.5</v>
      </c>
      <c r="T105" s="2" t="s">
        <v>38</v>
      </c>
      <c r="U105" t="s">
        <v>371</v>
      </c>
    </row>
    <row r="106" spans="1:21" x14ac:dyDescent="0.3">
      <c r="A106" s="2">
        <v>93</v>
      </c>
      <c r="B106" t="s">
        <v>372</v>
      </c>
      <c r="C106" t="s">
        <v>637</v>
      </c>
      <c r="D106" s="22">
        <v>46255</v>
      </c>
      <c r="E106" s="22">
        <v>46258</v>
      </c>
      <c r="F106" s="22">
        <v>46095</v>
      </c>
      <c r="G106" t="s">
        <v>31</v>
      </c>
      <c r="H106" t="s">
        <v>35</v>
      </c>
      <c r="I106" s="1" t="s">
        <v>373</v>
      </c>
      <c r="J106" s="2" t="s">
        <v>158</v>
      </c>
      <c r="K106" s="197">
        <v>0</v>
      </c>
      <c r="L106">
        <v>1</v>
      </c>
      <c r="M106">
        <v>2</v>
      </c>
      <c r="O106"/>
      <c r="P106"/>
      <c r="Q106" s="2" t="s">
        <v>20</v>
      </c>
      <c r="R106" s="2" t="s">
        <v>20</v>
      </c>
      <c r="S106" s="191">
        <v>2850</v>
      </c>
      <c r="T106" s="2" t="s">
        <v>20</v>
      </c>
    </row>
    <row r="107" spans="1:21" x14ac:dyDescent="0.3">
      <c r="A107" s="2">
        <v>94</v>
      </c>
      <c r="B107" t="s">
        <v>374</v>
      </c>
      <c r="C107" t="s">
        <v>638</v>
      </c>
      <c r="D107" s="22">
        <v>46234</v>
      </c>
      <c r="E107" s="22">
        <v>46237</v>
      </c>
      <c r="F107" s="22">
        <v>46098</v>
      </c>
      <c r="G107" t="s">
        <v>31</v>
      </c>
      <c r="H107" t="s">
        <v>35</v>
      </c>
      <c r="K107" s="197">
        <v>0</v>
      </c>
      <c r="L107">
        <v>1</v>
      </c>
      <c r="M107">
        <v>1</v>
      </c>
      <c r="O107"/>
      <c r="P107"/>
      <c r="Q107" s="2" t="s">
        <v>21</v>
      </c>
      <c r="R107" s="2" t="s">
        <v>20</v>
      </c>
      <c r="S107" s="122">
        <v>2925</v>
      </c>
      <c r="T107" s="2" t="s">
        <v>20</v>
      </c>
    </row>
    <row r="108" spans="1:21" x14ac:dyDescent="0.3">
      <c r="A108" s="2">
        <v>95</v>
      </c>
      <c r="B108" t="s">
        <v>375</v>
      </c>
      <c r="C108" t="s">
        <v>639</v>
      </c>
      <c r="D108" s="22">
        <v>46156</v>
      </c>
      <c r="E108" s="22">
        <v>46159</v>
      </c>
      <c r="F108" s="22">
        <v>46098</v>
      </c>
      <c r="G108" t="s">
        <v>53</v>
      </c>
      <c r="H108" t="s">
        <v>35</v>
      </c>
      <c r="K108" s="197">
        <v>0</v>
      </c>
      <c r="L108">
        <v>1</v>
      </c>
      <c r="M108">
        <v>2</v>
      </c>
      <c r="O108">
        <v>46733747178</v>
      </c>
      <c r="P108"/>
      <c r="Q108" s="2" t="s">
        <v>20</v>
      </c>
      <c r="R108" s="2" t="s">
        <v>21</v>
      </c>
      <c r="S108" s="122">
        <v>3450</v>
      </c>
      <c r="T108" s="2" t="s">
        <v>20</v>
      </c>
    </row>
    <row r="109" spans="1:21" x14ac:dyDescent="0.3">
      <c r="A109" s="2">
        <v>96</v>
      </c>
      <c r="B109" t="s">
        <v>376</v>
      </c>
      <c r="C109" t="s">
        <v>640</v>
      </c>
      <c r="D109" s="22">
        <v>46159</v>
      </c>
      <c r="E109" s="22">
        <v>46163</v>
      </c>
      <c r="F109" s="22">
        <v>46099</v>
      </c>
      <c r="G109" t="s">
        <v>31</v>
      </c>
      <c r="H109" t="s">
        <v>35</v>
      </c>
      <c r="I109" s="1" t="s">
        <v>377</v>
      </c>
      <c r="J109" s="2" t="s">
        <v>155</v>
      </c>
      <c r="K109" s="197">
        <v>0</v>
      </c>
      <c r="L109">
        <v>1</v>
      </c>
      <c r="M109">
        <v>2</v>
      </c>
      <c r="O109" s="74">
        <v>4915201445720</v>
      </c>
      <c r="P109"/>
      <c r="Q109" s="2" t="s">
        <v>20</v>
      </c>
      <c r="R109" s="2" t="s">
        <v>21</v>
      </c>
      <c r="S109">
        <v>4600</v>
      </c>
      <c r="T109" s="2" t="s">
        <v>20</v>
      </c>
    </row>
    <row r="110" spans="1:21" x14ac:dyDescent="0.3">
      <c r="A110" s="2">
        <v>97</v>
      </c>
      <c r="B110" t="s">
        <v>378</v>
      </c>
      <c r="C110" t="s">
        <v>641</v>
      </c>
      <c r="D110" s="22">
        <v>46156</v>
      </c>
      <c r="E110" s="22">
        <v>46159</v>
      </c>
      <c r="F110" s="22">
        <v>46102</v>
      </c>
      <c r="G110" t="s">
        <v>52</v>
      </c>
      <c r="H110" t="s">
        <v>35</v>
      </c>
      <c r="I110" s="1">
        <v>1300</v>
      </c>
      <c r="J110" s="2" t="s">
        <v>155</v>
      </c>
      <c r="K110" s="197">
        <v>0</v>
      </c>
      <c r="L110">
        <v>1</v>
      </c>
      <c r="M110">
        <v>2</v>
      </c>
      <c r="O110">
        <v>4591890094</v>
      </c>
      <c r="P110"/>
      <c r="Q110" s="2" t="s">
        <v>20</v>
      </c>
      <c r="R110" s="2" t="s">
        <v>20</v>
      </c>
      <c r="S110" s="122">
        <v>2850</v>
      </c>
      <c r="T110" s="2" t="s">
        <v>20</v>
      </c>
    </row>
    <row r="111" spans="1:21" x14ac:dyDescent="0.3">
      <c r="A111" s="2">
        <v>98</v>
      </c>
      <c r="B111" t="s">
        <v>379</v>
      </c>
      <c r="C111" t="s">
        <v>642</v>
      </c>
      <c r="D111" s="22">
        <v>46207</v>
      </c>
      <c r="E111" s="22">
        <v>46210</v>
      </c>
      <c r="F111" s="22">
        <v>46103</v>
      </c>
      <c r="G111" t="s">
        <v>52</v>
      </c>
      <c r="H111" t="s">
        <v>263</v>
      </c>
      <c r="K111" s="197">
        <v>0</v>
      </c>
      <c r="O111"/>
      <c r="P111"/>
    </row>
    <row r="112" spans="1:21" x14ac:dyDescent="0.3">
      <c r="A112" s="2">
        <v>99</v>
      </c>
      <c r="B112" t="s">
        <v>380</v>
      </c>
      <c r="C112" t="s">
        <v>643</v>
      </c>
      <c r="D112" s="22">
        <v>46171</v>
      </c>
      <c r="E112" s="22">
        <v>46173</v>
      </c>
      <c r="F112" s="22">
        <v>46104</v>
      </c>
      <c r="G112" t="s">
        <v>52</v>
      </c>
      <c r="H112" t="s">
        <v>263</v>
      </c>
      <c r="N112" s="113" t="s">
        <v>381</v>
      </c>
      <c r="O112" t="s">
        <v>382</v>
      </c>
      <c r="P112" t="s">
        <v>383</v>
      </c>
    </row>
    <row r="113" spans="1:21" x14ac:dyDescent="0.3">
      <c r="A113" s="2">
        <v>100</v>
      </c>
      <c r="B113" t="s">
        <v>384</v>
      </c>
      <c r="C113" t="s">
        <v>644</v>
      </c>
      <c r="D113" s="22">
        <v>46279</v>
      </c>
      <c r="E113" s="22">
        <v>46281</v>
      </c>
      <c r="F113" s="22">
        <v>46104</v>
      </c>
      <c r="G113" t="s">
        <v>52</v>
      </c>
      <c r="H113" t="s">
        <v>35</v>
      </c>
      <c r="I113" s="1" t="s">
        <v>492</v>
      </c>
      <c r="J113" s="2" t="s">
        <v>155</v>
      </c>
      <c r="K113" s="197">
        <v>0</v>
      </c>
      <c r="L113">
        <v>1</v>
      </c>
      <c r="M113">
        <v>2</v>
      </c>
      <c r="O113"/>
      <c r="P113"/>
      <c r="Q113" s="2" t="s">
        <v>20</v>
      </c>
      <c r="R113" s="2" t="s">
        <v>20</v>
      </c>
      <c r="S113" s="122">
        <v>1900</v>
      </c>
      <c r="T113" s="2" t="s">
        <v>20</v>
      </c>
    </row>
    <row r="114" spans="1:21" x14ac:dyDescent="0.3">
      <c r="A114" s="2">
        <v>101</v>
      </c>
      <c r="B114" t="s">
        <v>385</v>
      </c>
      <c r="C114" t="s">
        <v>642</v>
      </c>
      <c r="D114" s="22">
        <v>46279</v>
      </c>
      <c r="E114" s="22">
        <v>46281</v>
      </c>
      <c r="F114" s="22">
        <v>46104</v>
      </c>
      <c r="G114" t="s">
        <v>52</v>
      </c>
      <c r="H114" t="s">
        <v>35</v>
      </c>
      <c r="I114" s="1" t="s">
        <v>492</v>
      </c>
      <c r="J114" s="2" t="s">
        <v>158</v>
      </c>
      <c r="K114" s="197">
        <v>0</v>
      </c>
      <c r="L114">
        <v>1</v>
      </c>
      <c r="M114">
        <v>1</v>
      </c>
      <c r="O114"/>
      <c r="P114"/>
      <c r="Q114" s="2" t="s">
        <v>21</v>
      </c>
      <c r="R114" s="2" t="s">
        <v>20</v>
      </c>
      <c r="S114" s="122">
        <v>1700</v>
      </c>
      <c r="T114" s="2" t="s">
        <v>20</v>
      </c>
    </row>
    <row r="115" spans="1:21" x14ac:dyDescent="0.3">
      <c r="A115" s="2">
        <v>102</v>
      </c>
      <c r="B115" t="s">
        <v>386</v>
      </c>
      <c r="C115" t="s">
        <v>594</v>
      </c>
      <c r="D115" s="22">
        <v>46172</v>
      </c>
      <c r="E115" s="22">
        <v>46174</v>
      </c>
      <c r="F115" s="22">
        <v>46106</v>
      </c>
      <c r="G115" t="s">
        <v>52</v>
      </c>
      <c r="H115" t="s">
        <v>263</v>
      </c>
      <c r="O115"/>
      <c r="P115"/>
    </row>
    <row r="116" spans="1:21" x14ac:dyDescent="0.3">
      <c r="A116" s="2">
        <v>103</v>
      </c>
      <c r="B116" t="s">
        <v>387</v>
      </c>
      <c r="C116" t="s">
        <v>645</v>
      </c>
      <c r="D116" s="22">
        <v>46277</v>
      </c>
      <c r="E116" s="22">
        <v>46284</v>
      </c>
      <c r="F116" s="22">
        <v>46107</v>
      </c>
      <c r="G116" t="s">
        <v>52</v>
      </c>
      <c r="H116" t="s">
        <v>6</v>
      </c>
      <c r="J116" s="2" t="s">
        <v>158</v>
      </c>
      <c r="K116" s="197">
        <v>0.1</v>
      </c>
      <c r="L116">
        <v>1</v>
      </c>
      <c r="M116">
        <v>2</v>
      </c>
      <c r="N116" s="113" t="s">
        <v>388</v>
      </c>
      <c r="O116"/>
      <c r="P116"/>
      <c r="Q116" s="2" t="s">
        <v>20</v>
      </c>
      <c r="R116" s="2" t="s">
        <v>21</v>
      </c>
      <c r="S116" s="122">
        <v>6210</v>
      </c>
      <c r="T116" s="2" t="s">
        <v>20</v>
      </c>
    </row>
    <row r="117" spans="1:21" x14ac:dyDescent="0.3">
      <c r="A117" s="2">
        <v>104</v>
      </c>
      <c r="B117" t="s">
        <v>389</v>
      </c>
      <c r="C117" t="s">
        <v>646</v>
      </c>
      <c r="D117" s="22">
        <v>46204</v>
      </c>
      <c r="E117" s="22">
        <v>46207</v>
      </c>
      <c r="F117" s="22">
        <v>46107</v>
      </c>
      <c r="G117" t="s">
        <v>52</v>
      </c>
      <c r="H117" t="s">
        <v>35</v>
      </c>
      <c r="K117" s="197">
        <v>0</v>
      </c>
      <c r="L117">
        <v>1</v>
      </c>
      <c r="M117">
        <v>2</v>
      </c>
      <c r="O117"/>
      <c r="P117"/>
      <c r="Q117" s="2" t="s">
        <v>20</v>
      </c>
      <c r="R117" s="2" t="s">
        <v>20</v>
      </c>
      <c r="S117" s="122">
        <v>3225</v>
      </c>
      <c r="T117" s="2" t="s">
        <v>20</v>
      </c>
    </row>
    <row r="118" spans="1:21" x14ac:dyDescent="0.3">
      <c r="A118" s="2">
        <v>105</v>
      </c>
      <c r="B118" t="s">
        <v>395</v>
      </c>
      <c r="C118" t="s">
        <v>647</v>
      </c>
      <c r="D118" s="192">
        <v>46260</v>
      </c>
      <c r="E118" s="192">
        <v>46264</v>
      </c>
      <c r="F118" s="192">
        <v>46108</v>
      </c>
      <c r="G118" t="s">
        <v>52</v>
      </c>
      <c r="H118" t="s">
        <v>35</v>
      </c>
      <c r="K118">
        <v>0</v>
      </c>
      <c r="L118">
        <v>1</v>
      </c>
      <c r="M118">
        <v>1</v>
      </c>
      <c r="O118"/>
      <c r="P118"/>
      <c r="Q118" s="2" t="s">
        <v>21</v>
      </c>
      <c r="R118" s="2" t="s">
        <v>20</v>
      </c>
      <c r="S118" s="122">
        <v>3400</v>
      </c>
      <c r="T118" s="2" t="s">
        <v>20</v>
      </c>
    </row>
    <row r="119" spans="1:21" x14ac:dyDescent="0.3">
      <c r="A119" s="2">
        <v>106</v>
      </c>
      <c r="B119" t="s">
        <v>394</v>
      </c>
      <c r="C119" t="s">
        <v>648</v>
      </c>
      <c r="D119" s="192">
        <v>46207</v>
      </c>
      <c r="E119" s="192">
        <v>46210</v>
      </c>
      <c r="F119" s="192">
        <v>46109</v>
      </c>
      <c r="G119" t="s">
        <v>52</v>
      </c>
      <c r="H119" t="s">
        <v>35</v>
      </c>
      <c r="K119">
        <v>0</v>
      </c>
      <c r="L119">
        <v>1</v>
      </c>
      <c r="M119">
        <v>2</v>
      </c>
      <c r="O119"/>
      <c r="P119"/>
      <c r="Q119" s="2" t="s">
        <v>20</v>
      </c>
      <c r="R119" s="2" t="s">
        <v>20</v>
      </c>
      <c r="S119" s="122">
        <v>3225</v>
      </c>
      <c r="T119" s="2" t="s">
        <v>20</v>
      </c>
    </row>
    <row r="120" spans="1:21" x14ac:dyDescent="0.3">
      <c r="A120" s="2">
        <v>107</v>
      </c>
      <c r="B120" t="s">
        <v>391</v>
      </c>
      <c r="C120" t="s">
        <v>649</v>
      </c>
      <c r="D120" s="192">
        <v>46160</v>
      </c>
      <c r="E120" s="192">
        <v>46164</v>
      </c>
      <c r="F120" s="192">
        <v>46109</v>
      </c>
      <c r="G120" t="s">
        <v>392</v>
      </c>
      <c r="H120" t="s">
        <v>6</v>
      </c>
      <c r="I120" s="1">
        <v>1500</v>
      </c>
      <c r="K120" s="197">
        <v>0.05</v>
      </c>
      <c r="L120">
        <v>1</v>
      </c>
      <c r="M120">
        <v>2</v>
      </c>
      <c r="N120" t="s">
        <v>393</v>
      </c>
      <c r="O120"/>
      <c r="P120"/>
      <c r="Q120" s="2" t="s">
        <v>20</v>
      </c>
      <c r="R120" s="2" t="s">
        <v>21</v>
      </c>
      <c r="S120" s="122">
        <v>4370</v>
      </c>
      <c r="T120" s="2" t="s">
        <v>20</v>
      </c>
    </row>
    <row r="121" spans="1:21" x14ac:dyDescent="0.3">
      <c r="A121" s="2">
        <v>108</v>
      </c>
      <c r="B121" t="s">
        <v>428</v>
      </c>
      <c r="C121" t="s">
        <v>650</v>
      </c>
      <c r="D121" s="192">
        <v>46159</v>
      </c>
      <c r="E121" s="192">
        <v>46163</v>
      </c>
      <c r="F121" s="192">
        <v>46118</v>
      </c>
      <c r="G121" t="s">
        <v>52</v>
      </c>
      <c r="H121" t="s">
        <v>6</v>
      </c>
      <c r="K121" s="205">
        <v>0.05</v>
      </c>
      <c r="L121">
        <v>1</v>
      </c>
      <c r="M121">
        <v>2</v>
      </c>
      <c r="N121" t="s">
        <v>429</v>
      </c>
      <c r="O121">
        <v>4520241122</v>
      </c>
      <c r="P121" t="s">
        <v>430</v>
      </c>
      <c r="Q121" s="2" t="s">
        <v>20</v>
      </c>
      <c r="R121" s="2" t="s">
        <v>21</v>
      </c>
      <c r="S121" s="122">
        <v>4370</v>
      </c>
      <c r="T121" s="2" t="s">
        <v>20</v>
      </c>
    </row>
    <row r="122" spans="1:21" x14ac:dyDescent="0.3">
      <c r="A122" s="2">
        <v>109</v>
      </c>
      <c r="B122" t="s">
        <v>432</v>
      </c>
      <c r="C122" t="s">
        <v>651</v>
      </c>
      <c r="D122" s="192">
        <v>46192</v>
      </c>
      <c r="E122" s="192">
        <v>46195</v>
      </c>
      <c r="F122" s="192">
        <v>46115</v>
      </c>
      <c r="G122" t="s">
        <v>31</v>
      </c>
      <c r="H122" t="s">
        <v>35</v>
      </c>
      <c r="J122" s="2" t="s">
        <v>158</v>
      </c>
      <c r="K122">
        <v>0</v>
      </c>
      <c r="L122">
        <v>1</v>
      </c>
      <c r="M122">
        <v>1</v>
      </c>
      <c r="O122"/>
      <c r="P122"/>
      <c r="Q122" s="2" t="s">
        <v>21</v>
      </c>
      <c r="R122" s="2" t="s">
        <v>21</v>
      </c>
      <c r="S122" s="122">
        <v>2850</v>
      </c>
      <c r="T122" s="2" t="s">
        <v>20</v>
      </c>
    </row>
    <row r="123" spans="1:21" x14ac:dyDescent="0.3">
      <c r="A123" s="2">
        <v>110</v>
      </c>
      <c r="B123" t="s">
        <v>433</v>
      </c>
      <c r="C123" t="s">
        <v>652</v>
      </c>
      <c r="D123" s="192">
        <v>46143</v>
      </c>
      <c r="E123" s="192">
        <v>46145</v>
      </c>
      <c r="F123" s="192">
        <v>46117</v>
      </c>
      <c r="G123" t="s">
        <v>455</v>
      </c>
      <c r="H123" t="s">
        <v>35</v>
      </c>
      <c r="J123" s="2" t="s">
        <v>155</v>
      </c>
      <c r="K123">
        <v>0</v>
      </c>
      <c r="L123">
        <v>1</v>
      </c>
      <c r="M123">
        <v>2</v>
      </c>
      <c r="O123">
        <v>4542586202</v>
      </c>
      <c r="P123"/>
      <c r="Q123" s="2" t="s">
        <v>20</v>
      </c>
      <c r="R123" s="2" t="s">
        <v>20</v>
      </c>
      <c r="S123" s="122">
        <v>1900</v>
      </c>
      <c r="T123" s="2" t="s">
        <v>20</v>
      </c>
    </row>
    <row r="124" spans="1:21" x14ac:dyDescent="0.3">
      <c r="A124" s="2">
        <v>111</v>
      </c>
      <c r="B124" t="s">
        <v>440</v>
      </c>
      <c r="C124" t="s">
        <v>653</v>
      </c>
      <c r="D124" s="192">
        <v>46178</v>
      </c>
      <c r="E124" s="192">
        <v>46181</v>
      </c>
      <c r="F124" s="192">
        <v>46120</v>
      </c>
      <c r="G124" t="s">
        <v>52</v>
      </c>
      <c r="H124" t="s">
        <v>263</v>
      </c>
      <c r="K124">
        <v>0</v>
      </c>
      <c r="O124"/>
      <c r="P124"/>
      <c r="Q124"/>
      <c r="R124"/>
      <c r="S124"/>
      <c r="T124"/>
    </row>
    <row r="125" spans="1:21" x14ac:dyDescent="0.3">
      <c r="A125" s="2">
        <v>112</v>
      </c>
      <c r="B125" t="s">
        <v>441</v>
      </c>
      <c r="C125" t="s">
        <v>582</v>
      </c>
      <c r="D125" s="192">
        <v>46195</v>
      </c>
      <c r="E125" s="192">
        <v>46199</v>
      </c>
      <c r="F125" s="192">
        <v>46121</v>
      </c>
      <c r="G125" t="s">
        <v>52</v>
      </c>
      <c r="H125" t="s">
        <v>263</v>
      </c>
      <c r="K125"/>
      <c r="O125"/>
      <c r="P125"/>
    </row>
    <row r="126" spans="1:21" x14ac:dyDescent="0.3">
      <c r="A126" s="2">
        <v>113</v>
      </c>
      <c r="B126" t="s">
        <v>443</v>
      </c>
      <c r="C126" t="s">
        <v>607</v>
      </c>
      <c r="D126" s="192">
        <v>46269</v>
      </c>
      <c r="E126" s="192">
        <v>46271</v>
      </c>
      <c r="F126" s="192">
        <v>46122</v>
      </c>
      <c r="G126" t="s">
        <v>52</v>
      </c>
      <c r="H126" t="s">
        <v>263</v>
      </c>
      <c r="K126">
        <v>0</v>
      </c>
      <c r="O126"/>
      <c r="P126"/>
    </row>
    <row r="127" spans="1:21" x14ac:dyDescent="0.3">
      <c r="A127" s="2">
        <v>114</v>
      </c>
      <c r="B127" t="s">
        <v>444</v>
      </c>
      <c r="C127" t="s">
        <v>654</v>
      </c>
      <c r="D127" s="192">
        <v>46243</v>
      </c>
      <c r="E127" s="192">
        <v>46246</v>
      </c>
      <c r="F127" s="192">
        <v>46125</v>
      </c>
      <c r="G127" t="s">
        <v>52</v>
      </c>
      <c r="H127" t="s">
        <v>6</v>
      </c>
      <c r="K127" s="205">
        <v>0.1</v>
      </c>
      <c r="L127">
        <v>1</v>
      </c>
      <c r="M127">
        <v>2</v>
      </c>
      <c r="O127" t="s">
        <v>445</v>
      </c>
      <c r="P127"/>
      <c r="Q127" s="2" t="s">
        <v>20</v>
      </c>
      <c r="R127" s="2" t="s">
        <v>21</v>
      </c>
      <c r="S127" s="122">
        <v>3442.5</v>
      </c>
      <c r="T127" s="2" t="s">
        <v>21</v>
      </c>
      <c r="U127" t="s">
        <v>446</v>
      </c>
    </row>
    <row r="128" spans="1:21" x14ac:dyDescent="0.3">
      <c r="A128" s="2">
        <v>115</v>
      </c>
      <c r="B128" t="s">
        <v>447</v>
      </c>
      <c r="C128" t="s">
        <v>607</v>
      </c>
      <c r="D128" s="192">
        <v>46233</v>
      </c>
      <c r="E128" s="192">
        <v>46236</v>
      </c>
      <c r="F128" s="192">
        <v>46125</v>
      </c>
      <c r="G128" t="s">
        <v>52</v>
      </c>
      <c r="H128" t="s">
        <v>6</v>
      </c>
      <c r="K128" s="205">
        <v>0.1</v>
      </c>
      <c r="L128">
        <v>1</v>
      </c>
      <c r="M128">
        <v>2</v>
      </c>
      <c r="N128" t="s">
        <v>448</v>
      </c>
      <c r="O128"/>
      <c r="P128"/>
      <c r="Q128" s="2" t="s">
        <v>20</v>
      </c>
      <c r="R128" s="2" t="s">
        <v>21</v>
      </c>
      <c r="S128" s="122">
        <v>3442.5</v>
      </c>
      <c r="T128" s="2" t="s">
        <v>449</v>
      </c>
    </row>
    <row r="129" spans="1:21" x14ac:dyDescent="0.3">
      <c r="A129" s="2">
        <v>116</v>
      </c>
      <c r="B129" t="s">
        <v>452</v>
      </c>
      <c r="C129" t="s">
        <v>644</v>
      </c>
      <c r="D129" s="22">
        <v>46177</v>
      </c>
      <c r="E129" s="22">
        <v>46180</v>
      </c>
      <c r="F129" s="22">
        <v>46126</v>
      </c>
      <c r="G129" t="s">
        <v>52</v>
      </c>
      <c r="H129" t="s">
        <v>35</v>
      </c>
      <c r="L129">
        <v>1</v>
      </c>
      <c r="M129">
        <v>2</v>
      </c>
      <c r="Q129" s="2" t="s">
        <v>20</v>
      </c>
      <c r="R129" s="2" t="s">
        <v>20</v>
      </c>
      <c r="S129" s="122">
        <v>2850</v>
      </c>
      <c r="T129" s="2" t="s">
        <v>20</v>
      </c>
    </row>
    <row r="130" spans="1:21" x14ac:dyDescent="0.3">
      <c r="A130" s="2">
        <v>117</v>
      </c>
      <c r="B130" t="s">
        <v>450</v>
      </c>
      <c r="C130" t="s">
        <v>655</v>
      </c>
      <c r="D130" s="22">
        <v>46173</v>
      </c>
      <c r="E130" s="22">
        <v>46178</v>
      </c>
      <c r="F130" s="22">
        <v>46130</v>
      </c>
      <c r="G130" t="s">
        <v>52</v>
      </c>
      <c r="H130" t="s">
        <v>35</v>
      </c>
      <c r="I130" s="1" t="s">
        <v>451</v>
      </c>
      <c r="J130" s="2" t="s">
        <v>155</v>
      </c>
      <c r="L130">
        <v>1</v>
      </c>
      <c r="M130">
        <v>2</v>
      </c>
      <c r="Q130" s="2" t="s">
        <v>20</v>
      </c>
      <c r="R130" s="2" t="s">
        <v>21</v>
      </c>
      <c r="S130" s="122">
        <v>5750</v>
      </c>
      <c r="T130" s="2" t="s">
        <v>21</v>
      </c>
      <c r="U130">
        <v>2019</v>
      </c>
    </row>
    <row r="131" spans="1:21" x14ac:dyDescent="0.3">
      <c r="A131" s="2">
        <v>118</v>
      </c>
      <c r="B131" t="s">
        <v>453</v>
      </c>
      <c r="C131" t="s">
        <v>656</v>
      </c>
      <c r="D131" s="192">
        <v>46272</v>
      </c>
      <c r="E131" s="192">
        <v>46275</v>
      </c>
      <c r="F131" s="192">
        <v>46132</v>
      </c>
      <c r="G131" t="s">
        <v>52</v>
      </c>
      <c r="H131" t="s">
        <v>263</v>
      </c>
      <c r="I131" s="1" t="s">
        <v>439</v>
      </c>
      <c r="K131">
        <v>0</v>
      </c>
      <c r="O131"/>
      <c r="P131"/>
    </row>
    <row r="132" spans="1:21" x14ac:dyDescent="0.3">
      <c r="A132" s="2">
        <v>119</v>
      </c>
      <c r="B132" t="s">
        <v>454</v>
      </c>
      <c r="C132" t="s">
        <v>657</v>
      </c>
      <c r="D132" s="192">
        <v>46179</v>
      </c>
      <c r="E132" s="192">
        <v>46182</v>
      </c>
      <c r="F132" s="192">
        <v>46135</v>
      </c>
      <c r="G132" t="s">
        <v>455</v>
      </c>
      <c r="H132" t="s">
        <v>263</v>
      </c>
      <c r="K132"/>
      <c r="O132"/>
      <c r="P132"/>
    </row>
    <row r="133" spans="1:21" x14ac:dyDescent="0.3">
      <c r="A133" s="2">
        <v>120</v>
      </c>
      <c r="B133" t="s">
        <v>456</v>
      </c>
      <c r="C133" t="s">
        <v>658</v>
      </c>
      <c r="D133" s="192">
        <v>46257</v>
      </c>
      <c r="E133" s="192">
        <v>46260</v>
      </c>
      <c r="F133" s="192">
        <v>46137</v>
      </c>
      <c r="G133" t="s">
        <v>52</v>
      </c>
      <c r="H133" t="s">
        <v>6</v>
      </c>
      <c r="J133" s="2" t="s">
        <v>295</v>
      </c>
      <c r="K133" s="205">
        <v>0.1</v>
      </c>
      <c r="L133">
        <v>1</v>
      </c>
      <c r="M133">
        <v>2</v>
      </c>
      <c r="N133" t="s">
        <v>457</v>
      </c>
      <c r="O133" t="s">
        <v>458</v>
      </c>
      <c r="P133" t="s">
        <v>459</v>
      </c>
      <c r="Q133" s="2" t="s">
        <v>20</v>
      </c>
      <c r="R133" s="2" t="s">
        <v>21</v>
      </c>
      <c r="S133" s="122">
        <v>0</v>
      </c>
      <c r="T133" s="2" t="s">
        <v>21</v>
      </c>
      <c r="U133" t="s">
        <v>460</v>
      </c>
    </row>
    <row r="134" spans="1:21" x14ac:dyDescent="0.3">
      <c r="A134" s="2">
        <v>121</v>
      </c>
      <c r="B134" t="s">
        <v>461</v>
      </c>
      <c r="C134" t="s">
        <v>659</v>
      </c>
      <c r="D134" s="192">
        <v>46247</v>
      </c>
      <c r="E134" s="192">
        <v>46250</v>
      </c>
      <c r="F134" s="192">
        <v>46137</v>
      </c>
      <c r="G134" t="s">
        <v>52</v>
      </c>
      <c r="H134" t="s">
        <v>6</v>
      </c>
      <c r="K134" s="205">
        <v>0.05</v>
      </c>
      <c r="L134">
        <v>1</v>
      </c>
      <c r="M134">
        <v>2</v>
      </c>
      <c r="N134" t="s">
        <v>462</v>
      </c>
      <c r="O134" t="s">
        <v>463</v>
      </c>
      <c r="P134" t="s">
        <v>464</v>
      </c>
      <c r="Q134" s="2" t="s">
        <v>20</v>
      </c>
      <c r="R134" s="2" t="s">
        <v>21</v>
      </c>
      <c r="S134" s="122">
        <v>3277.5</v>
      </c>
      <c r="T134" s="2" t="s">
        <v>20</v>
      </c>
      <c r="U134" t="s">
        <v>465</v>
      </c>
    </row>
    <row r="135" spans="1:21" x14ac:dyDescent="0.3">
      <c r="A135" s="2">
        <v>122</v>
      </c>
      <c r="B135" t="s">
        <v>466</v>
      </c>
      <c r="C135" t="s">
        <v>660</v>
      </c>
      <c r="D135" s="192">
        <v>46257</v>
      </c>
      <c r="E135" s="192">
        <v>46259</v>
      </c>
      <c r="F135" s="192">
        <v>46140</v>
      </c>
      <c r="G135" t="s">
        <v>52</v>
      </c>
      <c r="H135" t="s">
        <v>6</v>
      </c>
      <c r="K135" s="205">
        <v>0.05</v>
      </c>
      <c r="L135">
        <v>1</v>
      </c>
      <c r="M135">
        <v>2</v>
      </c>
      <c r="N135" t="s">
        <v>467</v>
      </c>
      <c r="O135"/>
      <c r="P135"/>
      <c r="Q135" s="2" t="s">
        <v>20</v>
      </c>
      <c r="R135" s="2" t="s">
        <v>21</v>
      </c>
      <c r="S135" s="122">
        <v>2185</v>
      </c>
      <c r="T135" s="2" t="s">
        <v>20</v>
      </c>
    </row>
    <row r="136" spans="1:21" x14ac:dyDescent="0.3">
      <c r="A136" s="2">
        <v>123</v>
      </c>
      <c r="B136" t="s">
        <v>476</v>
      </c>
      <c r="C136" t="s">
        <v>661</v>
      </c>
      <c r="D136" s="192">
        <v>46262</v>
      </c>
      <c r="E136" s="192">
        <v>46269</v>
      </c>
      <c r="F136" s="192">
        <v>46145</v>
      </c>
      <c r="G136" t="s">
        <v>31</v>
      </c>
      <c r="H136" t="s">
        <v>6</v>
      </c>
      <c r="K136" s="205">
        <v>0.1</v>
      </c>
      <c r="L136">
        <v>1</v>
      </c>
      <c r="M136">
        <v>2</v>
      </c>
      <c r="N136" t="s">
        <v>477</v>
      </c>
      <c r="O136" t="s">
        <v>478</v>
      </c>
      <c r="P136" t="s">
        <v>479</v>
      </c>
      <c r="Q136" s="2" t="s">
        <v>20</v>
      </c>
      <c r="R136" s="2" t="s">
        <v>21</v>
      </c>
      <c r="S136" s="122">
        <v>7245</v>
      </c>
      <c r="T136" s="2" t="s">
        <v>21</v>
      </c>
      <c r="U136" t="s">
        <v>480</v>
      </c>
    </row>
    <row r="137" spans="1:21" x14ac:dyDescent="0.3">
      <c r="A137" s="2">
        <v>124</v>
      </c>
      <c r="B137" t="s">
        <v>481</v>
      </c>
      <c r="C137" t="s">
        <v>662</v>
      </c>
      <c r="D137" s="192">
        <v>46286</v>
      </c>
      <c r="E137" s="192">
        <v>46291</v>
      </c>
      <c r="F137" s="192">
        <v>46146</v>
      </c>
      <c r="G137" t="s">
        <v>31</v>
      </c>
      <c r="H137" t="s">
        <v>35</v>
      </c>
      <c r="K137" s="205">
        <v>0</v>
      </c>
      <c r="L137">
        <v>1</v>
      </c>
      <c r="M137">
        <v>1</v>
      </c>
      <c r="O137"/>
      <c r="P137"/>
      <c r="Q137" s="2" t="s">
        <v>21</v>
      </c>
      <c r="R137" s="2" t="s">
        <v>21</v>
      </c>
      <c r="S137" s="122">
        <v>4750</v>
      </c>
      <c r="T137" s="2" t="s">
        <v>20</v>
      </c>
    </row>
    <row r="138" spans="1:21" x14ac:dyDescent="0.3">
      <c r="A138" s="2">
        <v>125</v>
      </c>
      <c r="B138" t="s">
        <v>482</v>
      </c>
      <c r="C138" t="s">
        <v>607</v>
      </c>
      <c r="D138" s="192">
        <v>46171</v>
      </c>
      <c r="E138" s="192">
        <v>46173</v>
      </c>
      <c r="F138" s="192">
        <v>46149</v>
      </c>
      <c r="G138" t="s">
        <v>52</v>
      </c>
      <c r="H138" t="s">
        <v>35</v>
      </c>
      <c r="I138" s="1">
        <v>1400</v>
      </c>
      <c r="J138" s="2" t="s">
        <v>155</v>
      </c>
      <c r="K138" s="205">
        <v>0</v>
      </c>
      <c r="L138">
        <v>1</v>
      </c>
      <c r="M138">
        <v>2</v>
      </c>
      <c r="O138">
        <v>4540616504</v>
      </c>
      <c r="P138"/>
      <c r="Q138" s="2" t="s">
        <v>20</v>
      </c>
      <c r="R138" s="2" t="s">
        <v>21</v>
      </c>
      <c r="S138" s="122">
        <v>2300</v>
      </c>
      <c r="T138" s="2" t="s">
        <v>20</v>
      </c>
    </row>
    <row r="139" spans="1:21" x14ac:dyDescent="0.3">
      <c r="A139" s="2">
        <v>126</v>
      </c>
      <c r="B139" t="s">
        <v>171</v>
      </c>
      <c r="C139" t="s">
        <v>561</v>
      </c>
      <c r="D139" s="192">
        <v>46266</v>
      </c>
      <c r="E139" s="192">
        <v>46270</v>
      </c>
      <c r="F139" s="192">
        <v>46154</v>
      </c>
      <c r="G139" t="s">
        <v>52</v>
      </c>
      <c r="H139" t="s">
        <v>6</v>
      </c>
      <c r="I139" s="1" t="s">
        <v>251</v>
      </c>
      <c r="J139" s="2" t="s">
        <v>442</v>
      </c>
      <c r="K139" s="205">
        <v>0.1</v>
      </c>
      <c r="L139">
        <v>2</v>
      </c>
      <c r="M139">
        <v>3</v>
      </c>
      <c r="N139" t="s">
        <v>483</v>
      </c>
      <c r="O139" t="s">
        <v>484</v>
      </c>
      <c r="P139"/>
      <c r="Q139" s="2" t="s">
        <v>21</v>
      </c>
      <c r="R139" s="2" t="s">
        <v>21</v>
      </c>
      <c r="S139" s="122">
        <v>7560</v>
      </c>
      <c r="T139" s="2" t="s">
        <v>21</v>
      </c>
      <c r="U139" t="s">
        <v>485</v>
      </c>
    </row>
    <row r="140" spans="1:21" x14ac:dyDescent="0.3">
      <c r="A140" s="2">
        <v>126</v>
      </c>
      <c r="D140" s="192"/>
      <c r="E140" s="192"/>
      <c r="F140" s="192"/>
      <c r="H140" t="s">
        <v>6</v>
      </c>
      <c r="K140" s="205"/>
      <c r="O140"/>
      <c r="P140"/>
    </row>
    <row r="141" spans="1:21" x14ac:dyDescent="0.3">
      <c r="A141" s="2">
        <v>127</v>
      </c>
      <c r="B141" t="s">
        <v>486</v>
      </c>
      <c r="C141" t="s">
        <v>663</v>
      </c>
      <c r="D141" s="192">
        <v>46188</v>
      </c>
      <c r="E141" s="192">
        <v>46191</v>
      </c>
      <c r="F141" s="192">
        <v>46153</v>
      </c>
      <c r="G141" t="s">
        <v>52</v>
      </c>
      <c r="H141" t="s">
        <v>263</v>
      </c>
      <c r="K141" s="205"/>
      <c r="O141"/>
      <c r="P141"/>
    </row>
    <row r="142" spans="1:21" x14ac:dyDescent="0.3">
      <c r="A142" s="2">
        <v>128</v>
      </c>
      <c r="B142" t="s">
        <v>487</v>
      </c>
      <c r="C142" t="s">
        <v>664</v>
      </c>
      <c r="D142" s="192">
        <v>46169</v>
      </c>
      <c r="E142" s="192">
        <v>46173</v>
      </c>
      <c r="F142" s="192">
        <v>46154</v>
      </c>
      <c r="G142" t="s">
        <v>52</v>
      </c>
      <c r="H142" t="s">
        <v>35</v>
      </c>
      <c r="I142" s="1">
        <v>1430</v>
      </c>
      <c r="J142" s="2" t="s">
        <v>158</v>
      </c>
      <c r="K142" s="205">
        <v>0</v>
      </c>
      <c r="L142">
        <v>1</v>
      </c>
      <c r="M142">
        <v>2</v>
      </c>
      <c r="O142">
        <v>4521457974</v>
      </c>
      <c r="P142"/>
      <c r="Q142" s="2" t="s">
        <v>20</v>
      </c>
      <c r="R142" s="2" t="s">
        <v>20</v>
      </c>
      <c r="S142" s="122">
        <v>3800</v>
      </c>
      <c r="T142" s="2" t="s">
        <v>20</v>
      </c>
    </row>
    <row r="143" spans="1:21" x14ac:dyDescent="0.3">
      <c r="A143" s="2">
        <v>129</v>
      </c>
      <c r="B143" t="s">
        <v>489</v>
      </c>
      <c r="C143" t="s">
        <v>665</v>
      </c>
      <c r="D143" s="192">
        <v>46194</v>
      </c>
      <c r="E143" s="192">
        <v>46197</v>
      </c>
      <c r="F143" s="192">
        <v>46154</v>
      </c>
      <c r="G143" t="s">
        <v>53</v>
      </c>
      <c r="H143" t="s">
        <v>35</v>
      </c>
      <c r="K143" s="205">
        <v>0</v>
      </c>
      <c r="L143">
        <v>1</v>
      </c>
      <c r="M143">
        <v>1</v>
      </c>
      <c r="O143"/>
      <c r="P143"/>
      <c r="Q143" s="2" t="s">
        <v>21</v>
      </c>
      <c r="R143" s="2" t="s">
        <v>20</v>
      </c>
      <c r="S143" s="122">
        <v>2550</v>
      </c>
      <c r="T143" s="2" t="s">
        <v>20</v>
      </c>
    </row>
    <row r="144" spans="1:21" x14ac:dyDescent="0.3">
      <c r="A144" s="2">
        <v>130</v>
      </c>
      <c r="B144" t="s">
        <v>488</v>
      </c>
      <c r="C144" t="s">
        <v>666</v>
      </c>
      <c r="D144" s="192">
        <v>46194</v>
      </c>
      <c r="E144" s="192">
        <v>46197</v>
      </c>
      <c r="F144" s="192">
        <v>46159</v>
      </c>
      <c r="G144" t="s">
        <v>53</v>
      </c>
      <c r="H144" t="s">
        <v>35</v>
      </c>
      <c r="K144" s="208">
        <v>0</v>
      </c>
      <c r="L144">
        <v>1</v>
      </c>
      <c r="M144">
        <v>1</v>
      </c>
      <c r="O144"/>
      <c r="P144"/>
      <c r="Q144" s="2" t="s">
        <v>21</v>
      </c>
      <c r="R144" s="2" t="s">
        <v>20</v>
      </c>
      <c r="S144" s="122">
        <v>2550</v>
      </c>
      <c r="T144" s="2" t="s">
        <v>20</v>
      </c>
    </row>
    <row r="145" spans="1:21" x14ac:dyDescent="0.3">
      <c r="A145" s="2">
        <v>131</v>
      </c>
      <c r="B145" t="s">
        <v>490</v>
      </c>
      <c r="C145" t="s">
        <v>667</v>
      </c>
      <c r="D145" s="192">
        <v>46219</v>
      </c>
      <c r="E145" s="192">
        <v>46222</v>
      </c>
      <c r="F145" s="192">
        <v>46157</v>
      </c>
      <c r="G145" t="s">
        <v>52</v>
      </c>
      <c r="H145" t="s">
        <v>263</v>
      </c>
      <c r="K145" s="208">
        <v>0</v>
      </c>
      <c r="O145"/>
      <c r="P145"/>
    </row>
    <row r="146" spans="1:21" x14ac:dyDescent="0.3">
      <c r="A146" s="2">
        <v>132</v>
      </c>
      <c r="B146" t="s">
        <v>494</v>
      </c>
      <c r="C146" t="s">
        <v>668</v>
      </c>
      <c r="D146" s="192">
        <v>46234</v>
      </c>
      <c r="E146" s="192">
        <v>46237</v>
      </c>
      <c r="F146" s="192">
        <v>46159</v>
      </c>
      <c r="G146" t="s">
        <v>53</v>
      </c>
      <c r="H146" t="s">
        <v>263</v>
      </c>
      <c r="I146"/>
      <c r="K146" s="205">
        <v>0</v>
      </c>
      <c r="O146"/>
      <c r="P146"/>
    </row>
    <row r="147" spans="1:21" x14ac:dyDescent="0.3">
      <c r="A147" s="2">
        <v>133</v>
      </c>
      <c r="B147" t="s">
        <v>495</v>
      </c>
      <c r="C147" t="s">
        <v>648</v>
      </c>
      <c r="D147" s="192">
        <v>46252</v>
      </c>
      <c r="E147" s="192">
        <v>46254</v>
      </c>
      <c r="F147" s="192">
        <v>46160</v>
      </c>
      <c r="G147" t="s">
        <v>52</v>
      </c>
      <c r="H147" t="s">
        <v>6</v>
      </c>
      <c r="I147"/>
      <c r="J147" s="2" t="s">
        <v>442</v>
      </c>
      <c r="K147" s="205">
        <v>0.1</v>
      </c>
      <c r="L147">
        <v>1</v>
      </c>
      <c r="M147">
        <v>2</v>
      </c>
      <c r="N147" t="s">
        <v>499</v>
      </c>
      <c r="O147" t="s">
        <v>496</v>
      </c>
      <c r="P147"/>
      <c r="Q147" s="2" t="s">
        <v>20</v>
      </c>
      <c r="R147" s="2" t="s">
        <v>20</v>
      </c>
      <c r="S147" s="122">
        <v>1710</v>
      </c>
      <c r="T147" s="2" t="s">
        <v>20</v>
      </c>
    </row>
    <row r="148" spans="1:21" x14ac:dyDescent="0.3">
      <c r="A148" s="2">
        <v>134</v>
      </c>
      <c r="B148" t="s">
        <v>497</v>
      </c>
      <c r="C148" t="s">
        <v>669</v>
      </c>
      <c r="D148" s="192">
        <v>46274</v>
      </c>
      <c r="E148" s="192">
        <v>46277</v>
      </c>
      <c r="F148" s="192">
        <v>46160</v>
      </c>
      <c r="G148" t="s">
        <v>52</v>
      </c>
      <c r="H148" t="s">
        <v>263</v>
      </c>
      <c r="I148"/>
      <c r="K148" s="205"/>
      <c r="O148"/>
      <c r="P148"/>
    </row>
    <row r="149" spans="1:21" x14ac:dyDescent="0.3">
      <c r="A149" s="2">
        <v>135</v>
      </c>
      <c r="B149" t="s">
        <v>498</v>
      </c>
      <c r="C149" t="s">
        <v>670</v>
      </c>
      <c r="D149" s="192">
        <v>46201</v>
      </c>
      <c r="E149" s="192">
        <v>46205</v>
      </c>
      <c r="F149" s="192">
        <v>46162</v>
      </c>
      <c r="G149" t="s">
        <v>31</v>
      </c>
      <c r="H149" t="s">
        <v>35</v>
      </c>
      <c r="I149">
        <v>1230</v>
      </c>
      <c r="J149" s="2" t="s">
        <v>155</v>
      </c>
      <c r="K149" s="205">
        <v>0</v>
      </c>
      <c r="L149">
        <v>1</v>
      </c>
      <c r="M149">
        <v>2</v>
      </c>
      <c r="O149"/>
      <c r="P149"/>
      <c r="Q149" s="2" t="s">
        <v>20</v>
      </c>
      <c r="R149" s="2" t="s">
        <v>20</v>
      </c>
      <c r="S149" s="122">
        <v>4300</v>
      </c>
      <c r="T149" s="2" t="s">
        <v>20</v>
      </c>
    </row>
    <row r="150" spans="1:21" x14ac:dyDescent="0.3">
      <c r="A150" s="2">
        <v>136</v>
      </c>
      <c r="B150" t="s">
        <v>500</v>
      </c>
      <c r="C150" t="s">
        <v>671</v>
      </c>
      <c r="D150" s="192">
        <v>46170</v>
      </c>
      <c r="E150" s="192">
        <v>46175</v>
      </c>
      <c r="F150" s="192">
        <v>46163</v>
      </c>
      <c r="G150" t="s">
        <v>52</v>
      </c>
      <c r="H150" t="s">
        <v>6</v>
      </c>
      <c r="I150">
        <v>1430</v>
      </c>
      <c r="J150" s="2" t="s">
        <v>155</v>
      </c>
      <c r="K150" s="205">
        <v>0.1</v>
      </c>
      <c r="L150">
        <v>1</v>
      </c>
      <c r="M150">
        <v>2</v>
      </c>
      <c r="O150" t="s">
        <v>501</v>
      </c>
      <c r="P150"/>
      <c r="Q150" s="2" t="s">
        <v>20</v>
      </c>
      <c r="R150" s="2" t="s">
        <v>21</v>
      </c>
      <c r="S150" s="122">
        <v>4140</v>
      </c>
      <c r="T150" s="2" t="s">
        <v>21</v>
      </c>
      <c r="U150" t="s">
        <v>502</v>
      </c>
    </row>
    <row r="151" spans="1:21" x14ac:dyDescent="0.3">
      <c r="A151" s="2">
        <v>137</v>
      </c>
      <c r="B151" t="s">
        <v>183</v>
      </c>
      <c r="C151" t="s">
        <v>565</v>
      </c>
      <c r="D151" s="192">
        <v>46276</v>
      </c>
      <c r="E151" s="192">
        <v>46282</v>
      </c>
      <c r="F151" s="192">
        <v>46166</v>
      </c>
      <c r="G151" t="s">
        <v>52</v>
      </c>
      <c r="H151" t="s">
        <v>6</v>
      </c>
      <c r="I151"/>
      <c r="J151" s="2" t="s">
        <v>295</v>
      </c>
      <c r="K151" s="205">
        <v>0.1</v>
      </c>
      <c r="L151">
        <v>1</v>
      </c>
      <c r="M151">
        <v>2</v>
      </c>
      <c r="N151" t="s">
        <v>184</v>
      </c>
      <c r="O151" t="s">
        <v>503</v>
      </c>
      <c r="P151" t="s">
        <v>185</v>
      </c>
      <c r="Q151" s="2" t="s">
        <v>20</v>
      </c>
      <c r="R151" s="2" t="s">
        <v>20</v>
      </c>
      <c r="S151" s="122">
        <v>7695</v>
      </c>
      <c r="T151" s="2" t="s">
        <v>21</v>
      </c>
      <c r="U151" t="s">
        <v>504</v>
      </c>
    </row>
    <row r="152" spans="1:21" x14ac:dyDescent="0.3">
      <c r="A152" s="2">
        <v>138</v>
      </c>
      <c r="B152" t="s">
        <v>380</v>
      </c>
      <c r="C152" t="s">
        <v>643</v>
      </c>
      <c r="D152" s="192">
        <v>46238</v>
      </c>
      <c r="E152" s="192">
        <v>46240</v>
      </c>
      <c r="F152" s="192">
        <v>46168</v>
      </c>
      <c r="G152" t="s">
        <v>52</v>
      </c>
      <c r="H152" t="s">
        <v>6</v>
      </c>
      <c r="I152"/>
      <c r="K152" s="205">
        <v>0.1</v>
      </c>
      <c r="L152">
        <v>1</v>
      </c>
      <c r="M152">
        <v>2</v>
      </c>
      <c r="N152" t="s">
        <v>381</v>
      </c>
      <c r="O152" t="s">
        <v>382</v>
      </c>
      <c r="P152" t="s">
        <v>383</v>
      </c>
      <c r="Q152" s="2" t="s">
        <v>20</v>
      </c>
      <c r="R152" s="2" t="s">
        <v>21</v>
      </c>
      <c r="S152" s="122">
        <v>2295</v>
      </c>
      <c r="T152" s="2" t="s">
        <v>21</v>
      </c>
      <c r="U152" t="s">
        <v>505</v>
      </c>
    </row>
    <row r="153" spans="1:21" x14ac:dyDescent="0.3">
      <c r="A153" s="2">
        <v>139</v>
      </c>
      <c r="B153" t="s">
        <v>506</v>
      </c>
      <c r="C153" t="s">
        <v>672</v>
      </c>
      <c r="D153" s="192">
        <v>46270</v>
      </c>
      <c r="E153" s="192">
        <v>46274</v>
      </c>
      <c r="F153" s="192">
        <v>46168</v>
      </c>
      <c r="G153" t="s">
        <v>52</v>
      </c>
      <c r="H153" t="s">
        <v>6</v>
      </c>
      <c r="I153"/>
      <c r="K153" s="205">
        <v>0.1</v>
      </c>
      <c r="L153">
        <v>1</v>
      </c>
      <c r="M153">
        <v>2</v>
      </c>
      <c r="N153" t="s">
        <v>507</v>
      </c>
      <c r="O153" t="s">
        <v>508</v>
      </c>
      <c r="P153"/>
      <c r="Q153" s="2" t="s">
        <v>20</v>
      </c>
      <c r="R153" s="2" t="s">
        <v>21</v>
      </c>
      <c r="S153" s="122">
        <v>4140</v>
      </c>
      <c r="T153" s="2" t="s">
        <v>21</v>
      </c>
      <c r="U153" s="116" t="s">
        <v>516</v>
      </c>
    </row>
    <row r="154" spans="1:21" x14ac:dyDescent="0.3">
      <c r="A154" s="2">
        <v>140</v>
      </c>
      <c r="B154" t="s">
        <v>511</v>
      </c>
      <c r="C154" t="s">
        <v>642</v>
      </c>
      <c r="D154" s="192">
        <v>46188</v>
      </c>
      <c r="E154" s="192">
        <v>46190</v>
      </c>
      <c r="F154" s="192">
        <v>46170</v>
      </c>
      <c r="G154" t="s">
        <v>52</v>
      </c>
      <c r="H154" t="s">
        <v>35</v>
      </c>
      <c r="I154"/>
      <c r="K154" s="205">
        <v>0</v>
      </c>
      <c r="L154">
        <v>1</v>
      </c>
      <c r="M154">
        <v>1</v>
      </c>
      <c r="O154"/>
      <c r="P154"/>
      <c r="Q154" s="2" t="s">
        <v>21</v>
      </c>
      <c r="R154" s="2" t="s">
        <v>20</v>
      </c>
      <c r="S154" s="122">
        <v>1700</v>
      </c>
      <c r="T154" s="2" t="s">
        <v>20</v>
      </c>
    </row>
    <row r="155" spans="1:21" x14ac:dyDescent="0.3">
      <c r="A155" s="2">
        <v>141</v>
      </c>
      <c r="B155" t="s">
        <v>512</v>
      </c>
      <c r="C155" t="s">
        <v>673</v>
      </c>
      <c r="D155" s="192">
        <v>46195</v>
      </c>
      <c r="E155" s="192">
        <v>46199</v>
      </c>
      <c r="F155" s="192">
        <v>46171</v>
      </c>
      <c r="G155" t="s">
        <v>61</v>
      </c>
      <c r="H155" t="s">
        <v>35</v>
      </c>
      <c r="I155"/>
      <c r="K155" s="205">
        <v>0</v>
      </c>
      <c r="L155">
        <v>1</v>
      </c>
      <c r="M155">
        <v>2</v>
      </c>
      <c r="O155"/>
      <c r="P155"/>
      <c r="Q155" s="2" t="s">
        <v>20</v>
      </c>
      <c r="R155" s="2" t="s">
        <v>21</v>
      </c>
      <c r="S155" s="122">
        <v>4600</v>
      </c>
      <c r="T155" s="2" t="s">
        <v>20</v>
      </c>
    </row>
    <row r="156" spans="1:21" x14ac:dyDescent="0.3">
      <c r="A156" s="2">
        <v>142</v>
      </c>
      <c r="B156" t="s">
        <v>513</v>
      </c>
      <c r="C156" t="s">
        <v>674</v>
      </c>
      <c r="D156" s="192">
        <v>46268</v>
      </c>
      <c r="E156" s="192">
        <v>46271</v>
      </c>
      <c r="F156" s="192">
        <v>46172</v>
      </c>
      <c r="G156" t="s">
        <v>52</v>
      </c>
      <c r="H156" t="s">
        <v>263</v>
      </c>
      <c r="I156"/>
      <c r="K156" s="205">
        <v>0.05</v>
      </c>
      <c r="N156" t="s">
        <v>514</v>
      </c>
      <c r="O156"/>
      <c r="P156" t="s">
        <v>515</v>
      </c>
    </row>
    <row r="157" spans="1:21" x14ac:dyDescent="0.3">
      <c r="A157" s="2">
        <v>143</v>
      </c>
      <c r="B157" t="s">
        <v>518</v>
      </c>
      <c r="C157" t="s">
        <v>675</v>
      </c>
      <c r="D157" s="192">
        <v>46275</v>
      </c>
      <c r="E157" s="192">
        <v>46278</v>
      </c>
      <c r="F157" s="192">
        <v>46172</v>
      </c>
      <c r="G157" t="s">
        <v>52</v>
      </c>
      <c r="H157" t="s">
        <v>35</v>
      </c>
      <c r="I157"/>
      <c r="J157"/>
      <c r="K157" s="205">
        <v>0</v>
      </c>
      <c r="L157">
        <v>1</v>
      </c>
      <c r="M157">
        <v>2</v>
      </c>
      <c r="O157" t="s">
        <v>519</v>
      </c>
      <c r="P157"/>
      <c r="Q157" s="2" t="s">
        <v>20</v>
      </c>
      <c r="R157" s="2" t="s">
        <v>20</v>
      </c>
      <c r="S157" s="122">
        <v>2850</v>
      </c>
      <c r="T157" s="2" t="s">
        <v>20</v>
      </c>
      <c r="U157" t="s">
        <v>520</v>
      </c>
    </row>
    <row r="158" spans="1:21" x14ac:dyDescent="0.3">
      <c r="A158" s="2">
        <v>144</v>
      </c>
      <c r="B158" t="s">
        <v>524</v>
      </c>
      <c r="C158" t="s">
        <v>676</v>
      </c>
      <c r="D158" s="192">
        <v>46264</v>
      </c>
      <c r="E158" s="192">
        <v>46269</v>
      </c>
      <c r="F158" s="192">
        <v>46182</v>
      </c>
      <c r="G158" t="s">
        <v>52</v>
      </c>
      <c r="H158" t="s">
        <v>35</v>
      </c>
      <c r="I158"/>
      <c r="J158"/>
      <c r="K158" s="205">
        <v>0</v>
      </c>
      <c r="L158">
        <v>1</v>
      </c>
      <c r="M158">
        <v>2</v>
      </c>
      <c r="O158"/>
      <c r="P158"/>
      <c r="Q158" s="2" t="s">
        <v>20</v>
      </c>
      <c r="R158" s="2" t="s">
        <v>20</v>
      </c>
      <c r="S158" s="122">
        <v>4750</v>
      </c>
      <c r="T158" s="2" t="s">
        <v>20</v>
      </c>
    </row>
    <row r="159" spans="1:21" x14ac:dyDescent="0.3">
      <c r="A159" s="2">
        <v>145</v>
      </c>
      <c r="B159" t="s">
        <v>525</v>
      </c>
      <c r="C159" t="s">
        <v>594</v>
      </c>
      <c r="D159" s="192">
        <v>46271</v>
      </c>
      <c r="E159" s="192">
        <v>46276</v>
      </c>
      <c r="F159" s="192">
        <v>46177</v>
      </c>
      <c r="G159" t="s">
        <v>52</v>
      </c>
      <c r="H159" t="s">
        <v>6</v>
      </c>
      <c r="I159"/>
      <c r="J159"/>
      <c r="K159" s="205">
        <v>0.1</v>
      </c>
      <c r="L159">
        <v>1</v>
      </c>
      <c r="M159">
        <v>2</v>
      </c>
      <c r="N159" t="s">
        <v>27</v>
      </c>
      <c r="O159"/>
      <c r="P159" t="s">
        <v>526</v>
      </c>
      <c r="Q159" s="2" t="s">
        <v>20</v>
      </c>
      <c r="R159" s="2" t="s">
        <v>21</v>
      </c>
      <c r="S159" s="122">
        <v>5175</v>
      </c>
      <c r="T159" s="2" t="s">
        <v>38</v>
      </c>
      <c r="U159" t="s">
        <v>527</v>
      </c>
    </row>
    <row r="160" spans="1:21" x14ac:dyDescent="0.3">
      <c r="A160" s="2">
        <v>146</v>
      </c>
      <c r="B160" t="s">
        <v>528</v>
      </c>
      <c r="C160" t="s">
        <v>676</v>
      </c>
      <c r="D160" s="192">
        <v>46285</v>
      </c>
      <c r="E160" s="192">
        <v>46288</v>
      </c>
      <c r="F160" s="192">
        <v>46177</v>
      </c>
      <c r="G160" t="s">
        <v>52</v>
      </c>
      <c r="H160" t="s">
        <v>6</v>
      </c>
      <c r="I160"/>
      <c r="J160"/>
      <c r="K160" s="205">
        <v>0.1</v>
      </c>
      <c r="L160">
        <v>1</v>
      </c>
      <c r="M160">
        <v>2</v>
      </c>
      <c r="N160" t="s">
        <v>37</v>
      </c>
      <c r="O160" t="s">
        <v>529</v>
      </c>
      <c r="P160" t="s">
        <v>530</v>
      </c>
      <c r="Q160" s="2" t="s">
        <v>20</v>
      </c>
      <c r="R160" s="2" t="s">
        <v>21</v>
      </c>
      <c r="S160" s="122">
        <v>5175</v>
      </c>
      <c r="T160" s="2" t="s">
        <v>21</v>
      </c>
      <c r="U160" t="s">
        <v>531</v>
      </c>
    </row>
    <row r="161" spans="1:21" x14ac:dyDescent="0.3">
      <c r="A161" s="2">
        <v>147</v>
      </c>
      <c r="B161" t="s">
        <v>532</v>
      </c>
      <c r="C161" t="s">
        <v>676</v>
      </c>
      <c r="D161" s="192">
        <v>46269</v>
      </c>
      <c r="E161" s="192">
        <v>46271</v>
      </c>
      <c r="F161" s="192">
        <v>46181</v>
      </c>
      <c r="G161" t="s">
        <v>52</v>
      </c>
      <c r="H161" t="s">
        <v>35</v>
      </c>
      <c r="I161" t="s">
        <v>533</v>
      </c>
      <c r="J161"/>
      <c r="K161" s="205">
        <v>0</v>
      </c>
      <c r="L161">
        <v>1</v>
      </c>
      <c r="M161">
        <v>2</v>
      </c>
      <c r="O161"/>
      <c r="P161"/>
      <c r="Q161" s="2" t="s">
        <v>20</v>
      </c>
      <c r="R161" s="2" t="s">
        <v>20</v>
      </c>
      <c r="S161" s="122">
        <v>1900</v>
      </c>
      <c r="T161" s="2" t="s">
        <v>20</v>
      </c>
    </row>
    <row r="162" spans="1:21" x14ac:dyDescent="0.3">
      <c r="A162" s="2">
        <v>148</v>
      </c>
      <c r="B162" t="s">
        <v>535</v>
      </c>
      <c r="C162" t="s">
        <v>677</v>
      </c>
      <c r="D162" s="192">
        <v>46188</v>
      </c>
      <c r="E162" s="192">
        <v>46192</v>
      </c>
      <c r="F162" s="192">
        <v>46181</v>
      </c>
      <c r="G162" t="s">
        <v>52</v>
      </c>
      <c r="H162" t="s">
        <v>35</v>
      </c>
      <c r="I162"/>
      <c r="J162"/>
      <c r="K162" s="205">
        <v>0</v>
      </c>
      <c r="L162">
        <v>1</v>
      </c>
      <c r="M162">
        <v>2</v>
      </c>
      <c r="O162"/>
      <c r="Q162" s="2" t="s">
        <v>20</v>
      </c>
      <c r="R162" s="2" t="s">
        <v>20</v>
      </c>
      <c r="S162" s="122">
        <v>3800</v>
      </c>
      <c r="T162" s="2" t="s">
        <v>20</v>
      </c>
    </row>
    <row r="163" spans="1:21" x14ac:dyDescent="0.3">
      <c r="A163" s="2">
        <v>149</v>
      </c>
      <c r="B163" t="s">
        <v>536</v>
      </c>
      <c r="C163" t="s">
        <v>678</v>
      </c>
      <c r="D163" s="192">
        <v>46196</v>
      </c>
      <c r="E163" s="192">
        <v>46200</v>
      </c>
      <c r="F163" s="192">
        <v>46182</v>
      </c>
      <c r="G163" t="s">
        <v>20</v>
      </c>
      <c r="H163" t="s">
        <v>35</v>
      </c>
      <c r="I163" t="s">
        <v>435</v>
      </c>
      <c r="J163" t="s">
        <v>155</v>
      </c>
      <c r="K163" s="205">
        <v>0</v>
      </c>
      <c r="L163">
        <v>1</v>
      </c>
      <c r="M163">
        <v>2</v>
      </c>
      <c r="O163"/>
      <c r="Q163" s="2" t="s">
        <v>20</v>
      </c>
      <c r="R163" s="2" t="s">
        <v>21</v>
      </c>
      <c r="S163" s="122">
        <v>4600</v>
      </c>
      <c r="T163" s="2" t="s">
        <v>20</v>
      </c>
    </row>
    <row r="164" spans="1:21" x14ac:dyDescent="0.3">
      <c r="A164" s="2">
        <v>150</v>
      </c>
      <c r="B164" t="s">
        <v>537</v>
      </c>
      <c r="C164" t="s">
        <v>582</v>
      </c>
      <c r="D164" s="192">
        <v>46227</v>
      </c>
      <c r="E164" s="192">
        <v>46230</v>
      </c>
      <c r="F164" s="192">
        <v>46185</v>
      </c>
      <c r="G164" t="s">
        <v>52</v>
      </c>
      <c r="H164" t="s">
        <v>35</v>
      </c>
      <c r="I164"/>
      <c r="J164"/>
      <c r="K164" s="205">
        <v>0</v>
      </c>
      <c r="L164">
        <v>1</v>
      </c>
      <c r="M164">
        <v>2</v>
      </c>
      <c r="O164"/>
      <c r="Q164" s="2" t="s">
        <v>20</v>
      </c>
      <c r="R164" s="2" t="s">
        <v>20</v>
      </c>
      <c r="S164" s="122">
        <v>3225</v>
      </c>
      <c r="T164" s="2" t="s">
        <v>20</v>
      </c>
    </row>
    <row r="165" spans="1:21" x14ac:dyDescent="0.3">
      <c r="A165" s="2">
        <v>151</v>
      </c>
      <c r="B165" t="s">
        <v>538</v>
      </c>
      <c r="C165" t="s">
        <v>679</v>
      </c>
      <c r="D165" s="192">
        <v>46283</v>
      </c>
      <c r="E165" s="192">
        <v>46285</v>
      </c>
      <c r="F165" s="192">
        <v>46186</v>
      </c>
      <c r="G165" t="s">
        <v>52</v>
      </c>
      <c r="H165" t="s">
        <v>35</v>
      </c>
      <c r="I165"/>
      <c r="J165"/>
      <c r="K165" s="205">
        <v>0</v>
      </c>
      <c r="L165">
        <v>1</v>
      </c>
      <c r="M165">
        <v>1</v>
      </c>
      <c r="O165"/>
      <c r="P165"/>
      <c r="Q165" s="2" t="s">
        <v>21</v>
      </c>
      <c r="R165" s="2" t="s">
        <v>20</v>
      </c>
      <c r="S165" s="122">
        <v>1700</v>
      </c>
      <c r="T165" s="2" t="s">
        <v>20</v>
      </c>
    </row>
    <row r="166" spans="1:21" x14ac:dyDescent="0.3">
      <c r="A166" s="2">
        <v>152</v>
      </c>
      <c r="B166" t="s">
        <v>539</v>
      </c>
      <c r="C166" t="s">
        <v>680</v>
      </c>
      <c r="D166" s="192">
        <v>46219</v>
      </c>
      <c r="E166" s="192">
        <v>46222</v>
      </c>
      <c r="F166" s="192">
        <v>46192</v>
      </c>
      <c r="G166" t="s">
        <v>52</v>
      </c>
      <c r="H166" t="s">
        <v>35</v>
      </c>
      <c r="I166" t="s">
        <v>368</v>
      </c>
      <c r="J166"/>
      <c r="K166" s="205">
        <v>0</v>
      </c>
      <c r="L166">
        <v>1</v>
      </c>
      <c r="M166">
        <v>2</v>
      </c>
      <c r="O166"/>
      <c r="P166"/>
      <c r="Q166" s="2" t="s">
        <v>20</v>
      </c>
      <c r="R166" s="2" t="s">
        <v>21</v>
      </c>
      <c r="S166" s="122">
        <v>3825</v>
      </c>
      <c r="T166" s="2" t="s">
        <v>20</v>
      </c>
    </row>
    <row r="167" spans="1:21" x14ac:dyDescent="0.3">
      <c r="A167" s="2">
        <v>153</v>
      </c>
      <c r="B167" t="s">
        <v>540</v>
      </c>
      <c r="C167" t="s">
        <v>681</v>
      </c>
      <c r="D167" s="192">
        <v>46284</v>
      </c>
      <c r="E167" s="192">
        <v>46291</v>
      </c>
      <c r="F167" s="192">
        <v>46201</v>
      </c>
      <c r="G167" t="s">
        <v>52</v>
      </c>
      <c r="H167" t="s">
        <v>6</v>
      </c>
      <c r="I167"/>
      <c r="J167" t="s">
        <v>442</v>
      </c>
      <c r="K167" s="205">
        <v>0.1</v>
      </c>
      <c r="L167">
        <v>1</v>
      </c>
      <c r="M167">
        <v>2</v>
      </c>
      <c r="N167" t="s">
        <v>541</v>
      </c>
      <c r="O167"/>
      <c r="P167"/>
      <c r="Q167" s="2" t="s">
        <v>20</v>
      </c>
      <c r="R167" s="2" t="s">
        <v>21</v>
      </c>
      <c r="S167" s="122">
        <v>7245</v>
      </c>
      <c r="T167" s="2" t="s">
        <v>20</v>
      </c>
    </row>
    <row r="168" spans="1:21" x14ac:dyDescent="0.3">
      <c r="A168" s="2">
        <v>154</v>
      </c>
      <c r="B168" t="s">
        <v>543</v>
      </c>
      <c r="C168" t="s">
        <v>682</v>
      </c>
      <c r="D168" s="192">
        <v>46271</v>
      </c>
      <c r="E168" s="192">
        <v>46275</v>
      </c>
      <c r="F168" s="192">
        <v>46203</v>
      </c>
      <c r="G168" t="s">
        <v>53</v>
      </c>
      <c r="H168" t="s">
        <v>6</v>
      </c>
      <c r="I168"/>
      <c r="J168"/>
      <c r="K168" s="205">
        <v>0.1</v>
      </c>
      <c r="L168">
        <v>1</v>
      </c>
      <c r="M168">
        <v>2</v>
      </c>
      <c r="N168" t="s">
        <v>542</v>
      </c>
      <c r="O168"/>
      <c r="P168"/>
      <c r="Q168" s="2" t="s">
        <v>20</v>
      </c>
      <c r="R168" s="2" t="s">
        <v>20</v>
      </c>
      <c r="S168" s="122">
        <v>3420</v>
      </c>
      <c r="T168" s="2" t="s">
        <v>20</v>
      </c>
    </row>
    <row r="169" spans="1:21" x14ac:dyDescent="0.3">
      <c r="A169" s="2">
        <v>155</v>
      </c>
      <c r="B169" t="s">
        <v>544</v>
      </c>
      <c r="C169" t="s">
        <v>683</v>
      </c>
      <c r="D169" s="192">
        <v>46212</v>
      </c>
      <c r="E169" s="192">
        <v>46215</v>
      </c>
      <c r="F169" s="192">
        <v>46205</v>
      </c>
      <c r="G169" t="s">
        <v>52</v>
      </c>
      <c r="H169" s="2" t="s">
        <v>35</v>
      </c>
      <c r="I169"/>
      <c r="J169"/>
      <c r="K169" s="205">
        <v>0</v>
      </c>
      <c r="L169">
        <v>1</v>
      </c>
      <c r="M169">
        <v>1</v>
      </c>
      <c r="O169"/>
      <c r="P169"/>
      <c r="Q169" s="2" t="s">
        <v>21</v>
      </c>
      <c r="R169" s="2" t="s">
        <v>20</v>
      </c>
      <c r="S169" s="122">
        <v>2925</v>
      </c>
      <c r="T169" s="2" t="s">
        <v>20</v>
      </c>
      <c r="U169" t="s">
        <v>545</v>
      </c>
    </row>
    <row r="170" spans="1:21" x14ac:dyDescent="0.3">
      <c r="A170" s="2">
        <v>156</v>
      </c>
      <c r="B170" t="s">
        <v>547</v>
      </c>
      <c r="C170" t="s">
        <v>684</v>
      </c>
      <c r="D170" s="192">
        <v>46250</v>
      </c>
      <c r="E170" s="192">
        <v>46252</v>
      </c>
      <c r="F170" s="192">
        <v>46218</v>
      </c>
      <c r="G170" t="s">
        <v>31</v>
      </c>
      <c r="H170" t="s">
        <v>35</v>
      </c>
      <c r="I170"/>
      <c r="J170"/>
      <c r="K170" s="205">
        <v>0</v>
      </c>
      <c r="L170">
        <v>1</v>
      </c>
      <c r="M170">
        <v>1</v>
      </c>
      <c r="O170"/>
      <c r="P170"/>
      <c r="Q170" s="2" t="s">
        <v>21</v>
      </c>
      <c r="R170" s="2" t="s">
        <v>21</v>
      </c>
      <c r="S170" s="122">
        <v>1900</v>
      </c>
      <c r="T170" s="2" t="s">
        <v>20</v>
      </c>
    </row>
    <row r="171" spans="1:21" x14ac:dyDescent="0.3">
      <c r="A171" s="2">
        <v>157</v>
      </c>
      <c r="B171" t="s">
        <v>549</v>
      </c>
      <c r="C171" t="s">
        <v>685</v>
      </c>
      <c r="D171" s="192">
        <v>46236</v>
      </c>
      <c r="E171" s="192">
        <v>46240</v>
      </c>
      <c r="F171" s="192">
        <v>46233</v>
      </c>
      <c r="G171" t="s">
        <v>52</v>
      </c>
      <c r="H171" t="s">
        <v>35</v>
      </c>
      <c r="I171"/>
      <c r="J171"/>
      <c r="K171" s="205">
        <v>0</v>
      </c>
      <c r="L171">
        <v>1</v>
      </c>
      <c r="M171">
        <v>2</v>
      </c>
      <c r="O171"/>
      <c r="P171"/>
      <c r="Q171" s="2" t="s">
        <v>20</v>
      </c>
      <c r="R171" s="2" t="s">
        <v>20</v>
      </c>
      <c r="S171" s="122">
        <v>4300</v>
      </c>
      <c r="T171" s="2" t="s">
        <v>20</v>
      </c>
    </row>
    <row r="172" spans="1:21" x14ac:dyDescent="0.3">
      <c r="A172" s="2">
        <v>158</v>
      </c>
      <c r="B172" t="s">
        <v>550</v>
      </c>
      <c r="C172" t="s">
        <v>642</v>
      </c>
      <c r="D172" s="192">
        <v>46235</v>
      </c>
      <c r="E172" s="192">
        <v>46239</v>
      </c>
      <c r="F172" s="192">
        <v>46235</v>
      </c>
      <c r="G172" t="s">
        <v>52</v>
      </c>
      <c r="H172" t="s">
        <v>35</v>
      </c>
      <c r="I172"/>
      <c r="J172"/>
      <c r="K172" s="205">
        <v>0</v>
      </c>
      <c r="L172">
        <v>1</v>
      </c>
      <c r="M172">
        <v>2</v>
      </c>
      <c r="O172"/>
      <c r="P172"/>
      <c r="Q172" s="2" t="s">
        <v>20</v>
      </c>
      <c r="R172" s="2" t="s">
        <v>20</v>
      </c>
      <c r="S172" s="122">
        <v>4300</v>
      </c>
      <c r="T172" s="2" t="s">
        <v>20</v>
      </c>
      <c r="U172" t="s">
        <v>551</v>
      </c>
    </row>
    <row r="173" spans="1:21" x14ac:dyDescent="0.3">
      <c r="A173" s="2">
        <v>159</v>
      </c>
      <c r="B173" t="s">
        <v>552</v>
      </c>
      <c r="C173" t="s">
        <v>686</v>
      </c>
      <c r="D173" s="192">
        <v>46254</v>
      </c>
      <c r="E173" s="192">
        <v>46257</v>
      </c>
      <c r="F173" s="192">
        <v>46236</v>
      </c>
      <c r="G173" t="s">
        <v>52</v>
      </c>
      <c r="H173" t="s">
        <v>35</v>
      </c>
      <c r="I173"/>
      <c r="J173"/>
      <c r="K173" s="205">
        <v>0</v>
      </c>
      <c r="L173">
        <v>1</v>
      </c>
      <c r="M173">
        <v>2</v>
      </c>
      <c r="O173"/>
      <c r="P173"/>
      <c r="Q173" s="2" t="s">
        <v>20</v>
      </c>
      <c r="R173" s="2" t="s">
        <v>20</v>
      </c>
      <c r="S173" s="122">
        <v>2850</v>
      </c>
      <c r="T173" s="2" t="s">
        <v>20</v>
      </c>
    </row>
    <row r="174" spans="1:21" x14ac:dyDescent="0.3">
      <c r="A174" s="2">
        <v>160</v>
      </c>
      <c r="B174" t="s">
        <v>553</v>
      </c>
      <c r="C174" t="s">
        <v>687</v>
      </c>
      <c r="D174" s="192">
        <v>46240</v>
      </c>
      <c r="E174" s="192">
        <v>46243</v>
      </c>
      <c r="F174" s="192">
        <v>46237</v>
      </c>
      <c r="G174" t="s">
        <v>20</v>
      </c>
      <c r="H174" t="s">
        <v>35</v>
      </c>
      <c r="I174"/>
      <c r="J174"/>
      <c r="K174" s="205">
        <v>0</v>
      </c>
      <c r="L174">
        <v>1</v>
      </c>
      <c r="M174">
        <v>2</v>
      </c>
      <c r="O174"/>
      <c r="P174"/>
      <c r="Q174" s="2" t="s">
        <v>20</v>
      </c>
      <c r="R174" s="2" t="s">
        <v>21</v>
      </c>
      <c r="S174" s="122">
        <v>3825</v>
      </c>
      <c r="T174" s="2" t="s">
        <v>20</v>
      </c>
    </row>
    <row r="175" spans="1:21" x14ac:dyDescent="0.3">
      <c r="A175" s="2">
        <v>161</v>
      </c>
      <c r="B175" t="s">
        <v>554</v>
      </c>
      <c r="C175" t="s">
        <v>688</v>
      </c>
      <c r="D175" s="192">
        <v>46269</v>
      </c>
      <c r="E175" s="192">
        <v>46271</v>
      </c>
      <c r="F175" s="192">
        <v>46245</v>
      </c>
      <c r="G175" t="s">
        <v>52</v>
      </c>
      <c r="H175" t="s">
        <v>35</v>
      </c>
      <c r="I175"/>
      <c r="J175"/>
      <c r="K175" s="205">
        <v>0</v>
      </c>
      <c r="L175">
        <v>1</v>
      </c>
      <c r="M175">
        <v>2</v>
      </c>
      <c r="O175"/>
      <c r="P175"/>
      <c r="Q175" s="2" t="s">
        <v>20</v>
      </c>
      <c r="R175" s="2" t="s">
        <v>20</v>
      </c>
      <c r="S175" s="122">
        <v>1900</v>
      </c>
      <c r="T175" s="2" t="s">
        <v>20</v>
      </c>
    </row>
  </sheetData>
  <autoFilter ref="A1:W165" xr:uid="{00000000-0001-0000-0100-000000000000}"/>
  <phoneticPr fontId="14" type="noConversion"/>
  <hyperlinks>
    <hyperlink ref="N2" r:id="rId1" xr:uid="{624FEE41-2635-4351-BDF2-ED038D1572E9}"/>
    <hyperlink ref="N4" r:id="rId2" xr:uid="{2DAE3FDC-8324-4E7F-AB7C-C1C500B5D13F}"/>
    <hyperlink ref="N5" r:id="rId3" xr:uid="{24EC788D-5BA0-4F12-8B36-B79A7277D1C5}"/>
    <hyperlink ref="N7" r:id="rId4" xr:uid="{CE357C5B-726B-43BE-94BC-D991DB301C6E}"/>
    <hyperlink ref="N8" r:id="rId5" xr:uid="{E7138309-8365-4A2E-9F93-DA9AB1829544}"/>
    <hyperlink ref="N11" r:id="rId6" xr:uid="{709AA18B-11C6-414C-A6C2-037BD35B2320}"/>
    <hyperlink ref="N12" r:id="rId7" xr:uid="{F28CDDDD-1DD4-408E-B277-AA865A5BB843}"/>
    <hyperlink ref="N13" r:id="rId8" xr:uid="{F0E910B9-FABC-413F-A119-90F65963C99B}"/>
    <hyperlink ref="N14" r:id="rId9" xr:uid="{AFA97668-4748-4B07-B121-5879FCB31B54}"/>
    <hyperlink ref="N15" r:id="rId10" xr:uid="{BB3BB34D-977A-4A99-950E-B9AFB5892392}"/>
    <hyperlink ref="N16" r:id="rId11" xr:uid="{903EC167-C3C0-4C38-8636-2264E8D4AFF9}"/>
    <hyperlink ref="N17" r:id="rId12" xr:uid="{BC33E6DD-D77C-45AB-B36B-1F35C6D96A3D}"/>
    <hyperlink ref="N19" r:id="rId13" xr:uid="{5A5A9B72-DD0F-4B7E-A150-33D23B74A2A7}"/>
    <hyperlink ref="N24" r:id="rId14" xr:uid="{2A53A5B0-A1BF-4068-AABD-9B40242208C9}"/>
    <hyperlink ref="N22" r:id="rId15" xr:uid="{E995200F-FBD3-4B08-9426-B245262F7046}"/>
    <hyperlink ref="N20" r:id="rId16" xr:uid="{4645277A-A081-4BDD-9144-A933014BE289}"/>
    <hyperlink ref="N34" r:id="rId17" xr:uid="{5B48B2D5-9D9D-4F3E-A3C0-27F1495E7A3D}"/>
    <hyperlink ref="N28" r:id="rId18" xr:uid="{FBD0EC83-B974-4D83-A0F8-C3FD74C5C781}"/>
    <hyperlink ref="N25" r:id="rId19" xr:uid="{9786DD08-FDEB-433A-A745-7C1F9CEE4761}"/>
    <hyperlink ref="N39" r:id="rId20" xr:uid="{CD9507AE-2C68-48F7-BE54-E79839C06005}"/>
    <hyperlink ref="N43" r:id="rId21" xr:uid="{54E6FD08-A0B8-4D4F-BBC6-3C4D22A87C5E}"/>
    <hyperlink ref="N56" r:id="rId22" xr:uid="{4422131E-E968-4965-8A5E-52BB5D64F45C}"/>
    <hyperlink ref="N52" r:id="rId23" xr:uid="{ADC77CC0-621B-46A0-8161-45069479E6A3}"/>
    <hyperlink ref="N60" r:id="rId24" xr:uid="{D72A1A44-8FC5-48E1-9693-77A3F9672ADE}"/>
    <hyperlink ref="N73" r:id="rId25" xr:uid="{92305CCC-3FDE-40E7-94AA-AE247EA1B436}"/>
    <hyperlink ref="N76" r:id="rId26" xr:uid="{00858528-A201-4B3C-A740-00B5FC5078CA}"/>
    <hyperlink ref="N80" r:id="rId27" xr:uid="{25143F69-F329-43B3-9B11-F613A3905198}"/>
    <hyperlink ref="N82" r:id="rId28" xr:uid="{085EA66D-D92F-4BED-BE50-F8FF2B578695}"/>
    <hyperlink ref="N84" r:id="rId29" xr:uid="{53EBE199-4E6F-42BB-B705-43937C0AC09F}"/>
    <hyperlink ref="N88" r:id="rId30" xr:uid="{6AF873FD-50BD-489A-856E-22426389F294}"/>
    <hyperlink ref="N91" r:id="rId31" xr:uid="{2A65DCD4-A39B-4E8F-BAA9-EF72EEA13ABD}"/>
    <hyperlink ref="N90" r:id="rId32" xr:uid="{80041C8C-A5E4-4651-9F1B-F58F3E3F8C57}"/>
    <hyperlink ref="N98" r:id="rId33" xr:uid="{924D6528-FDC0-4E05-97D3-5CDBCAB39ED1}"/>
    <hyperlink ref="N96" r:id="rId34" xr:uid="{A0E54DBE-38DE-4F0F-98F3-DEFC2ADB7CC2}"/>
    <hyperlink ref="N101" r:id="rId35" xr:uid="{D6891673-9790-4554-B4CE-3CD063F9ED9D}"/>
    <hyperlink ref="N105" r:id="rId36" xr:uid="{6581294A-1257-451D-8227-52BC1F7BAE57}"/>
    <hyperlink ref="N112" r:id="rId37" xr:uid="{9048247E-9CE5-496B-ABD3-9069EAB7CE30}"/>
    <hyperlink ref="N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Y208"/>
  <sheetViews>
    <sheetView topLeftCell="S1" workbookViewId="0">
      <pane ySplit="1" topLeftCell="A187" activePane="bottomLeft" state="frozen"/>
      <selection pane="bottomLeft" activeCell="AI204" sqref="AI204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Database!F1</f>
        <v>book dato</v>
      </c>
      <c r="C1" t="str">
        <f>Database!L1</f>
        <v>værelser</v>
      </c>
      <c r="D1" t="s">
        <v>58</v>
      </c>
      <c r="F1" t="str">
        <f>Database!M1</f>
        <v>gæster</v>
      </c>
      <c r="G1" t="str">
        <f>Database!G1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Database!F2</f>
        <v>45868</v>
      </c>
      <c r="C2">
        <f>IF(Database!H2="cansl",0,Database!L2)</f>
        <v>1</v>
      </c>
      <c r="D2">
        <f>Database!E2-Database!D2</f>
        <v>6</v>
      </c>
      <c r="F2">
        <f>Database!M2</f>
        <v>2</v>
      </c>
      <c r="G2" t="str">
        <f>Database!G2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Database!F3</f>
        <v>45889</v>
      </c>
      <c r="C3">
        <f>IF(Database!H3="cansl",0,Database!L3)</f>
        <v>0</v>
      </c>
      <c r="D3">
        <f>Database!E3-Database!D3</f>
        <v>8</v>
      </c>
      <c r="F3">
        <f>Database!M3</f>
        <v>0</v>
      </c>
      <c r="G3" t="str">
        <f>Database!G3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Database!F4</f>
        <v>45889</v>
      </c>
      <c r="C4">
        <f>IF(Database!H4="cansl",0,Database!L4)</f>
        <v>0</v>
      </c>
      <c r="D4">
        <f>Database!E4-Database!D4</f>
        <v>2</v>
      </c>
      <c r="F4">
        <f>Database!M4</f>
        <v>0</v>
      </c>
      <c r="G4" t="str">
        <f>Database!G4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Database!F5</f>
        <v>45891</v>
      </c>
      <c r="C5">
        <f>IF(Database!H5="cansl",0,Database!L5)</f>
        <v>2</v>
      </c>
      <c r="D5">
        <f>Database!E5-Database!D5</f>
        <v>4</v>
      </c>
      <c r="F5">
        <f>Database!M5</f>
        <v>4</v>
      </c>
      <c r="G5" t="str">
        <f>Database!G5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4</v>
      </c>
      <c r="B6" s="22">
        <f>Database!F6</f>
        <v>0</v>
      </c>
      <c r="C6">
        <f>IF(Database!H6="cansl",0,Database!L6)</f>
        <v>0</v>
      </c>
      <c r="D6">
        <f>Database!E6-Database!D6</f>
        <v>0</v>
      </c>
      <c r="F6">
        <f>Database!M6</f>
        <v>0</v>
      </c>
      <c r="G6">
        <f>Database!G6</f>
        <v>0</v>
      </c>
      <c r="K6">
        <f t="shared" si="30"/>
        <v>0</v>
      </c>
      <c r="L6">
        <f t="shared" si="31"/>
        <v>0</v>
      </c>
      <c r="M6">
        <f t="shared" si="32"/>
        <v>0</v>
      </c>
      <c r="N6">
        <f t="shared" si="5"/>
        <v>0</v>
      </c>
      <c r="O6">
        <f t="shared" si="5"/>
        <v>0</v>
      </c>
      <c r="P6">
        <f t="shared" si="5"/>
        <v>0</v>
      </c>
      <c r="Q6">
        <f t="shared" si="5"/>
        <v>0</v>
      </c>
      <c r="R6">
        <f t="shared" si="5"/>
        <v>0</v>
      </c>
      <c r="S6">
        <f t="shared" si="5"/>
        <v>0</v>
      </c>
      <c r="T6">
        <f t="shared" si="5"/>
        <v>0</v>
      </c>
      <c r="U6">
        <f t="shared" si="5"/>
        <v>0</v>
      </c>
      <c r="V6">
        <f t="shared" si="5"/>
        <v>0</v>
      </c>
      <c r="W6">
        <f t="shared" si="5"/>
        <v>0</v>
      </c>
      <c r="X6">
        <f t="shared" si="6"/>
        <v>0</v>
      </c>
      <c r="Y6">
        <f t="shared" si="6"/>
        <v>0</v>
      </c>
      <c r="Z6">
        <f t="shared" si="6"/>
        <v>0</v>
      </c>
      <c r="AA6">
        <f t="shared" si="6"/>
        <v>0</v>
      </c>
      <c r="AB6">
        <f t="shared" si="6"/>
        <v>0</v>
      </c>
      <c r="AC6">
        <f t="shared" si="6"/>
        <v>0</v>
      </c>
      <c r="AD6">
        <f t="shared" si="6"/>
        <v>0</v>
      </c>
      <c r="AE6">
        <f t="shared" si="6"/>
        <v>0</v>
      </c>
      <c r="AF6">
        <f t="shared" si="6"/>
        <v>0</v>
      </c>
      <c r="AG6">
        <f t="shared" si="6"/>
        <v>0</v>
      </c>
      <c r="AH6">
        <f t="shared" si="7"/>
        <v>0</v>
      </c>
      <c r="AI6">
        <f t="shared" si="7"/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8"/>
        <v>0</v>
      </c>
      <c r="AS6">
        <f t="shared" si="8"/>
        <v>0</v>
      </c>
      <c r="AT6">
        <f t="shared" si="8"/>
        <v>0</v>
      </c>
      <c r="AU6">
        <f t="shared" si="8"/>
        <v>0</v>
      </c>
      <c r="AV6">
        <f t="shared" si="8"/>
        <v>0</v>
      </c>
      <c r="AW6">
        <f t="shared" si="8"/>
        <v>0</v>
      </c>
      <c r="AX6">
        <f t="shared" si="8"/>
        <v>0</v>
      </c>
      <c r="BB6" s="32">
        <f t="shared" si="9"/>
        <v>0</v>
      </c>
      <c r="BC6" s="32">
        <f t="shared" si="10"/>
        <v>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5</v>
      </c>
      <c r="B7" s="22">
        <f>Database!F7</f>
        <v>45903</v>
      </c>
      <c r="C7">
        <f>IF(Database!H7="cansl",0,Database!L7)</f>
        <v>1</v>
      </c>
      <c r="D7">
        <f>Database!E7-Database!D7</f>
        <v>5</v>
      </c>
      <c r="F7">
        <f>Database!M7</f>
        <v>2</v>
      </c>
      <c r="G7" t="str">
        <f>Database!G7</f>
        <v>DK</v>
      </c>
      <c r="K7">
        <f t="shared" si="30"/>
        <v>5</v>
      </c>
      <c r="L7">
        <f t="shared" si="31"/>
        <v>5</v>
      </c>
      <c r="M7">
        <f t="shared" si="32"/>
        <v>5</v>
      </c>
      <c r="N7">
        <f t="shared" si="5"/>
        <v>5</v>
      </c>
      <c r="O7">
        <f t="shared" si="5"/>
        <v>5</v>
      </c>
      <c r="P7">
        <f t="shared" si="5"/>
        <v>5</v>
      </c>
      <c r="Q7">
        <f t="shared" si="5"/>
        <v>5</v>
      </c>
      <c r="R7">
        <f t="shared" si="5"/>
        <v>5</v>
      </c>
      <c r="S7">
        <f t="shared" si="5"/>
        <v>5</v>
      </c>
      <c r="T7">
        <f t="shared" si="5"/>
        <v>5</v>
      </c>
      <c r="U7">
        <f t="shared" si="5"/>
        <v>5</v>
      </c>
      <c r="V7">
        <f t="shared" si="5"/>
        <v>5</v>
      </c>
      <c r="W7">
        <f t="shared" si="5"/>
        <v>5</v>
      </c>
      <c r="X7">
        <f t="shared" si="6"/>
        <v>5</v>
      </c>
      <c r="Y7">
        <f t="shared" si="6"/>
        <v>5</v>
      </c>
      <c r="Z7">
        <f t="shared" si="6"/>
        <v>5</v>
      </c>
      <c r="AA7">
        <f t="shared" si="6"/>
        <v>5</v>
      </c>
      <c r="AB7">
        <f t="shared" si="6"/>
        <v>5</v>
      </c>
      <c r="AC7">
        <f t="shared" si="6"/>
        <v>5</v>
      </c>
      <c r="AD7">
        <f t="shared" si="6"/>
        <v>5</v>
      </c>
      <c r="AE7">
        <f t="shared" si="6"/>
        <v>5</v>
      </c>
      <c r="AF7">
        <f t="shared" si="6"/>
        <v>5</v>
      </c>
      <c r="AG7">
        <f t="shared" si="6"/>
        <v>5</v>
      </c>
      <c r="AH7">
        <f t="shared" si="7"/>
        <v>5</v>
      </c>
      <c r="AI7">
        <f t="shared" si="7"/>
        <v>5</v>
      </c>
      <c r="AJ7">
        <f t="shared" si="7"/>
        <v>5</v>
      </c>
      <c r="AK7">
        <f t="shared" si="7"/>
        <v>5</v>
      </c>
      <c r="AL7">
        <f t="shared" si="7"/>
        <v>5</v>
      </c>
      <c r="AM7">
        <f t="shared" si="7"/>
        <v>5</v>
      </c>
      <c r="AN7">
        <f t="shared" si="7"/>
        <v>5</v>
      </c>
      <c r="AO7">
        <f t="shared" si="7"/>
        <v>5</v>
      </c>
      <c r="AP7">
        <f t="shared" si="7"/>
        <v>5</v>
      </c>
      <c r="AQ7">
        <f t="shared" si="7"/>
        <v>5</v>
      </c>
      <c r="AR7">
        <f t="shared" si="8"/>
        <v>5</v>
      </c>
      <c r="AS7">
        <f t="shared" si="8"/>
        <v>5</v>
      </c>
      <c r="AT7">
        <f t="shared" si="8"/>
        <v>5</v>
      </c>
      <c r="AU7">
        <f t="shared" si="8"/>
        <v>5</v>
      </c>
      <c r="AV7">
        <f t="shared" si="8"/>
        <v>5</v>
      </c>
      <c r="AW7">
        <f t="shared" si="8"/>
        <v>5</v>
      </c>
      <c r="AX7">
        <f t="shared" si="8"/>
        <v>5</v>
      </c>
      <c r="BB7" s="32">
        <f t="shared" si="9"/>
        <v>2</v>
      </c>
      <c r="BC7" s="32">
        <f t="shared" si="10"/>
        <v>10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6</v>
      </c>
      <c r="B8" s="22">
        <f>Database!F8</f>
        <v>45910</v>
      </c>
      <c r="C8">
        <f>IF(Database!H8="cansl",0,Database!L8)</f>
        <v>2</v>
      </c>
      <c r="D8">
        <f>Database!E8-Database!D8</f>
        <v>2</v>
      </c>
      <c r="F8">
        <f>Database!M8</f>
        <v>4</v>
      </c>
      <c r="G8" t="str">
        <f>Database!G8</f>
        <v>DK</v>
      </c>
      <c r="K8">
        <f t="shared" si="30"/>
        <v>4</v>
      </c>
      <c r="L8">
        <f t="shared" si="31"/>
        <v>4</v>
      </c>
      <c r="M8">
        <f t="shared" si="32"/>
        <v>4</v>
      </c>
      <c r="N8">
        <f t="shared" si="5"/>
        <v>4</v>
      </c>
      <c r="O8">
        <f t="shared" si="5"/>
        <v>4</v>
      </c>
      <c r="P8">
        <f t="shared" si="5"/>
        <v>4</v>
      </c>
      <c r="Q8">
        <f t="shared" si="5"/>
        <v>4</v>
      </c>
      <c r="R8">
        <f t="shared" si="5"/>
        <v>4</v>
      </c>
      <c r="S8">
        <f t="shared" si="5"/>
        <v>4</v>
      </c>
      <c r="T8">
        <f t="shared" si="5"/>
        <v>4</v>
      </c>
      <c r="U8">
        <f t="shared" si="5"/>
        <v>4</v>
      </c>
      <c r="V8">
        <f t="shared" si="5"/>
        <v>4</v>
      </c>
      <c r="W8">
        <f t="shared" si="5"/>
        <v>4</v>
      </c>
      <c r="X8">
        <f t="shared" si="6"/>
        <v>4</v>
      </c>
      <c r="Y8">
        <f t="shared" si="6"/>
        <v>4</v>
      </c>
      <c r="Z8">
        <f t="shared" si="6"/>
        <v>4</v>
      </c>
      <c r="AA8">
        <f t="shared" si="6"/>
        <v>4</v>
      </c>
      <c r="AB8">
        <f t="shared" si="6"/>
        <v>4</v>
      </c>
      <c r="AC8">
        <f t="shared" si="6"/>
        <v>4</v>
      </c>
      <c r="AD8">
        <f t="shared" si="6"/>
        <v>4</v>
      </c>
      <c r="AE8">
        <f t="shared" si="6"/>
        <v>4</v>
      </c>
      <c r="AF8">
        <f t="shared" si="6"/>
        <v>4</v>
      </c>
      <c r="AG8">
        <f t="shared" si="6"/>
        <v>4</v>
      </c>
      <c r="AH8">
        <f t="shared" si="7"/>
        <v>4</v>
      </c>
      <c r="AI8">
        <f t="shared" si="7"/>
        <v>4</v>
      </c>
      <c r="AJ8">
        <f t="shared" si="7"/>
        <v>4</v>
      </c>
      <c r="AK8">
        <f t="shared" si="7"/>
        <v>4</v>
      </c>
      <c r="AL8">
        <f t="shared" si="7"/>
        <v>4</v>
      </c>
      <c r="AM8">
        <f t="shared" si="7"/>
        <v>4</v>
      </c>
      <c r="AN8">
        <f t="shared" si="7"/>
        <v>4</v>
      </c>
      <c r="AO8">
        <f t="shared" si="7"/>
        <v>4</v>
      </c>
      <c r="AP8">
        <f t="shared" si="7"/>
        <v>4</v>
      </c>
      <c r="AQ8">
        <f t="shared" si="7"/>
        <v>4</v>
      </c>
      <c r="AR8">
        <f t="shared" si="8"/>
        <v>4</v>
      </c>
      <c r="AS8">
        <f t="shared" si="8"/>
        <v>4</v>
      </c>
      <c r="AT8">
        <f t="shared" si="8"/>
        <v>4</v>
      </c>
      <c r="AU8">
        <f t="shared" si="8"/>
        <v>4</v>
      </c>
      <c r="AV8">
        <f t="shared" si="8"/>
        <v>4</v>
      </c>
      <c r="AW8">
        <f t="shared" si="8"/>
        <v>4</v>
      </c>
      <c r="AX8">
        <f t="shared" si="8"/>
        <v>4</v>
      </c>
      <c r="BB8" s="32">
        <f t="shared" si="9"/>
        <v>4</v>
      </c>
      <c r="BC8" s="32">
        <f t="shared" si="10"/>
        <v>8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6</v>
      </c>
      <c r="B9" s="22">
        <f>Database!F9</f>
        <v>0</v>
      </c>
      <c r="C9">
        <f>IF(Database!H9="cansl",0,Database!L9)</f>
        <v>0</v>
      </c>
      <c r="D9">
        <f>Database!E9-Database!D9</f>
        <v>0</v>
      </c>
      <c r="F9">
        <f>Database!M9</f>
        <v>0</v>
      </c>
      <c r="G9">
        <f>Database!G9</f>
        <v>0</v>
      </c>
      <c r="K9">
        <f t="shared" si="30"/>
        <v>0</v>
      </c>
      <c r="L9">
        <f t="shared" si="31"/>
        <v>0</v>
      </c>
      <c r="M9">
        <f t="shared" si="32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>
        <f t="shared" si="6"/>
        <v>0</v>
      </c>
      <c r="AH9">
        <f t="shared" si="7"/>
        <v>0</v>
      </c>
      <c r="AI9">
        <f t="shared" si="7"/>
        <v>0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8"/>
        <v>0</v>
      </c>
      <c r="AS9">
        <f t="shared" si="8"/>
        <v>0</v>
      </c>
      <c r="AT9">
        <f t="shared" si="8"/>
        <v>0</v>
      </c>
      <c r="AU9">
        <f t="shared" si="8"/>
        <v>0</v>
      </c>
      <c r="AV9">
        <f t="shared" si="8"/>
        <v>0</v>
      </c>
      <c r="AW9">
        <f t="shared" si="8"/>
        <v>0</v>
      </c>
      <c r="AX9">
        <f t="shared" si="8"/>
        <v>0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0</v>
      </c>
      <c r="BI9" s="32">
        <f t="shared" si="16"/>
        <v>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6</v>
      </c>
      <c r="B10" s="22">
        <f>Database!F10</f>
        <v>0</v>
      </c>
      <c r="C10">
        <f>IF(Database!H10="cansl",0,Database!L10)</f>
        <v>0</v>
      </c>
      <c r="D10">
        <f>Database!E10-Database!D10</f>
        <v>0</v>
      </c>
      <c r="F10">
        <f>Database!M10</f>
        <v>0</v>
      </c>
      <c r="G10">
        <f>Database!G10</f>
        <v>0</v>
      </c>
      <c r="K10">
        <f t="shared" si="30"/>
        <v>0</v>
      </c>
      <c r="L10">
        <f t="shared" si="31"/>
        <v>0</v>
      </c>
      <c r="M10">
        <f t="shared" si="32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6"/>
        <v>0</v>
      </c>
      <c r="Y10">
        <f t="shared" si="6"/>
        <v>0</v>
      </c>
      <c r="Z10">
        <f t="shared" si="6"/>
        <v>0</v>
      </c>
      <c r="AA10">
        <f t="shared" si="6"/>
        <v>0</v>
      </c>
      <c r="AB10">
        <f t="shared" si="6"/>
        <v>0</v>
      </c>
      <c r="AC10">
        <f t="shared" si="6"/>
        <v>0</v>
      </c>
      <c r="AD10">
        <f t="shared" si="6"/>
        <v>0</v>
      </c>
      <c r="AE10">
        <f t="shared" si="6"/>
        <v>0</v>
      </c>
      <c r="AF10">
        <f t="shared" si="6"/>
        <v>0</v>
      </c>
      <c r="AG10">
        <f t="shared" si="6"/>
        <v>0</v>
      </c>
      <c r="AH10">
        <f t="shared" si="7"/>
        <v>0</v>
      </c>
      <c r="AI10">
        <f t="shared" si="7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8"/>
        <v>0</v>
      </c>
      <c r="AS10">
        <f t="shared" si="8"/>
        <v>0</v>
      </c>
      <c r="AT10">
        <f t="shared" si="8"/>
        <v>0</v>
      </c>
      <c r="AU10">
        <f t="shared" si="8"/>
        <v>0</v>
      </c>
      <c r="AV10">
        <f t="shared" si="8"/>
        <v>0</v>
      </c>
      <c r="AW10">
        <f t="shared" si="8"/>
        <v>0</v>
      </c>
      <c r="AX10">
        <f t="shared" si="8"/>
        <v>0</v>
      </c>
      <c r="BB10" s="32">
        <f t="shared" si="9"/>
        <v>0</v>
      </c>
      <c r="BC10" s="32">
        <f t="shared" si="10"/>
        <v>0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7</v>
      </c>
      <c r="B11" s="22">
        <f>Database!F11</f>
        <v>45927</v>
      </c>
      <c r="C11">
        <f>IF(Database!H11="cansl",0,Database!L11)</f>
        <v>1</v>
      </c>
      <c r="D11">
        <f>Database!E11-Database!D11</f>
        <v>7</v>
      </c>
      <c r="F11">
        <f>Database!M11</f>
        <v>2</v>
      </c>
      <c r="G11" t="str">
        <f>Database!G11</f>
        <v>DK</v>
      </c>
      <c r="K11">
        <f t="shared" si="0"/>
        <v>7</v>
      </c>
      <c r="L11">
        <f t="shared" si="1"/>
        <v>7</v>
      </c>
      <c r="M11">
        <f t="shared" si="32"/>
        <v>7</v>
      </c>
      <c r="N11">
        <f t="shared" si="5"/>
        <v>7</v>
      </c>
      <c r="O11">
        <f t="shared" si="5"/>
        <v>7</v>
      </c>
      <c r="P11">
        <f t="shared" si="5"/>
        <v>7</v>
      </c>
      <c r="Q11">
        <f t="shared" si="5"/>
        <v>7</v>
      </c>
      <c r="R11">
        <f t="shared" si="5"/>
        <v>7</v>
      </c>
      <c r="S11">
        <f t="shared" si="5"/>
        <v>7</v>
      </c>
      <c r="T11">
        <f t="shared" si="5"/>
        <v>7</v>
      </c>
      <c r="U11">
        <f t="shared" si="5"/>
        <v>7</v>
      </c>
      <c r="V11">
        <f t="shared" si="5"/>
        <v>7</v>
      </c>
      <c r="W11">
        <f t="shared" si="5"/>
        <v>7</v>
      </c>
      <c r="X11">
        <f t="shared" si="6"/>
        <v>7</v>
      </c>
      <c r="Y11">
        <f t="shared" si="6"/>
        <v>7</v>
      </c>
      <c r="Z11">
        <f t="shared" si="6"/>
        <v>7</v>
      </c>
      <c r="AA11">
        <f t="shared" si="6"/>
        <v>7</v>
      </c>
      <c r="AB11">
        <f t="shared" si="6"/>
        <v>7</v>
      </c>
      <c r="AC11">
        <f t="shared" si="6"/>
        <v>7</v>
      </c>
      <c r="AD11">
        <f t="shared" si="6"/>
        <v>7</v>
      </c>
      <c r="AE11">
        <f t="shared" si="6"/>
        <v>7</v>
      </c>
      <c r="AF11">
        <f t="shared" si="6"/>
        <v>7</v>
      </c>
      <c r="AG11">
        <f t="shared" si="6"/>
        <v>7</v>
      </c>
      <c r="AH11">
        <f t="shared" si="7"/>
        <v>7</v>
      </c>
      <c r="AI11">
        <f t="shared" si="7"/>
        <v>7</v>
      </c>
      <c r="AJ11">
        <f t="shared" si="7"/>
        <v>7</v>
      </c>
      <c r="AK11">
        <f t="shared" si="7"/>
        <v>7</v>
      </c>
      <c r="AL11">
        <f t="shared" si="7"/>
        <v>7</v>
      </c>
      <c r="AM11">
        <f t="shared" si="7"/>
        <v>7</v>
      </c>
      <c r="AN11">
        <f t="shared" si="7"/>
        <v>7</v>
      </c>
      <c r="AO11">
        <f t="shared" si="7"/>
        <v>7</v>
      </c>
      <c r="AP11">
        <f t="shared" si="7"/>
        <v>7</v>
      </c>
      <c r="AQ11">
        <f t="shared" si="7"/>
        <v>7</v>
      </c>
      <c r="AR11">
        <f t="shared" si="8"/>
        <v>7</v>
      </c>
      <c r="AS11">
        <f t="shared" si="8"/>
        <v>7</v>
      </c>
      <c r="AT11">
        <f t="shared" si="8"/>
        <v>7</v>
      </c>
      <c r="AU11">
        <f t="shared" si="8"/>
        <v>7</v>
      </c>
      <c r="AV11">
        <f t="shared" si="8"/>
        <v>7</v>
      </c>
      <c r="AW11">
        <f t="shared" si="8"/>
        <v>7</v>
      </c>
      <c r="AX11">
        <f t="shared" si="8"/>
        <v>7</v>
      </c>
      <c r="BB11" s="32">
        <f t="shared" si="9"/>
        <v>2</v>
      </c>
      <c r="BC11" s="32">
        <f t="shared" si="10"/>
        <v>14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8</v>
      </c>
      <c r="B12" s="22">
        <f>Database!F12</f>
        <v>45953</v>
      </c>
      <c r="C12">
        <f>IF(Database!H12="cansl",0,Database!L12)</f>
        <v>1</v>
      </c>
      <c r="D12">
        <f>Database!E12-Database!D12</f>
        <v>5</v>
      </c>
      <c r="F12">
        <f>Database!M12</f>
        <v>2</v>
      </c>
      <c r="G12" t="str">
        <f>Database!G12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9</v>
      </c>
      <c r="B13" s="22">
        <f>Database!F13</f>
        <v>45954</v>
      </c>
      <c r="C13">
        <f>IF(Database!H13="cansl",0,Database!L13)</f>
        <v>1</v>
      </c>
      <c r="D13">
        <f>Database!E13-Database!D13</f>
        <v>7</v>
      </c>
      <c r="F13">
        <f>Database!M13</f>
        <v>2</v>
      </c>
      <c r="G13" t="str">
        <f>Database!G13</f>
        <v>DK</v>
      </c>
      <c r="K13">
        <f t="shared" si="0"/>
        <v>7</v>
      </c>
      <c r="L13">
        <f t="shared" si="1"/>
        <v>7</v>
      </c>
      <c r="M13">
        <f t="shared" si="32"/>
        <v>7</v>
      </c>
      <c r="N13">
        <f t="shared" ref="N13:W22" si="33">IF($B13&lt;N$1,$C13*$D13,0)</f>
        <v>7</v>
      </c>
      <c r="O13">
        <f t="shared" si="33"/>
        <v>7</v>
      </c>
      <c r="P13">
        <f t="shared" si="33"/>
        <v>7</v>
      </c>
      <c r="Q13">
        <f t="shared" si="33"/>
        <v>7</v>
      </c>
      <c r="R13">
        <f t="shared" si="33"/>
        <v>7</v>
      </c>
      <c r="S13">
        <f t="shared" si="33"/>
        <v>7</v>
      </c>
      <c r="T13">
        <f t="shared" si="33"/>
        <v>7</v>
      </c>
      <c r="U13">
        <f t="shared" si="33"/>
        <v>7</v>
      </c>
      <c r="V13">
        <f t="shared" si="33"/>
        <v>7</v>
      </c>
      <c r="W13">
        <f t="shared" si="33"/>
        <v>7</v>
      </c>
      <c r="X13">
        <f t="shared" ref="X13:AG22" si="34">IF($B13&lt;X$1,$C13*$D13,0)</f>
        <v>7</v>
      </c>
      <c r="Y13">
        <f t="shared" si="34"/>
        <v>7</v>
      </c>
      <c r="Z13">
        <f t="shared" si="34"/>
        <v>7</v>
      </c>
      <c r="AA13">
        <f t="shared" si="34"/>
        <v>7</v>
      </c>
      <c r="AB13">
        <f t="shared" si="34"/>
        <v>7</v>
      </c>
      <c r="AC13">
        <f t="shared" si="34"/>
        <v>7</v>
      </c>
      <c r="AD13">
        <f t="shared" si="34"/>
        <v>7</v>
      </c>
      <c r="AE13">
        <f t="shared" si="34"/>
        <v>7</v>
      </c>
      <c r="AF13">
        <f t="shared" si="34"/>
        <v>7</v>
      </c>
      <c r="AG13">
        <f t="shared" si="34"/>
        <v>7</v>
      </c>
      <c r="AH13">
        <f t="shared" ref="AH13:AQ22" si="35">IF($B13&lt;AH$1,$C13*$D13,0)</f>
        <v>7</v>
      </c>
      <c r="AI13">
        <f t="shared" si="35"/>
        <v>7</v>
      </c>
      <c r="AJ13">
        <f t="shared" si="35"/>
        <v>7</v>
      </c>
      <c r="AK13">
        <f t="shared" si="35"/>
        <v>7</v>
      </c>
      <c r="AL13">
        <f t="shared" si="35"/>
        <v>7</v>
      </c>
      <c r="AM13">
        <f t="shared" si="35"/>
        <v>7</v>
      </c>
      <c r="AN13">
        <f t="shared" si="35"/>
        <v>7</v>
      </c>
      <c r="AO13">
        <f t="shared" si="35"/>
        <v>7</v>
      </c>
      <c r="AP13">
        <f t="shared" si="35"/>
        <v>7</v>
      </c>
      <c r="AQ13">
        <f t="shared" si="35"/>
        <v>7</v>
      </c>
      <c r="AR13">
        <f t="shared" ref="AR13:AX22" si="36">IF($B13&lt;AR$1,$C13*$D13,0)</f>
        <v>7</v>
      </c>
      <c r="AS13">
        <f t="shared" si="36"/>
        <v>7</v>
      </c>
      <c r="AT13">
        <f t="shared" si="36"/>
        <v>7</v>
      </c>
      <c r="AU13">
        <f t="shared" si="36"/>
        <v>7</v>
      </c>
      <c r="AV13">
        <f t="shared" si="36"/>
        <v>7</v>
      </c>
      <c r="AW13">
        <f t="shared" si="36"/>
        <v>7</v>
      </c>
      <c r="AX13">
        <f t="shared" si="36"/>
        <v>7</v>
      </c>
      <c r="BB13" s="32">
        <f t="shared" si="9"/>
        <v>2</v>
      </c>
      <c r="BC13" s="32">
        <f t="shared" si="10"/>
        <v>14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10</v>
      </c>
      <c r="B14" s="22">
        <f>Database!F14</f>
        <v>45932</v>
      </c>
      <c r="C14">
        <f>IF(Database!H14="cansl",0,Database!L14)</f>
        <v>1</v>
      </c>
      <c r="D14">
        <f>Database!E14-Database!D14</f>
        <v>3</v>
      </c>
      <c r="F14">
        <f>Database!M14</f>
        <v>2</v>
      </c>
      <c r="G14" t="str">
        <f>Database!G14</f>
        <v>DK</v>
      </c>
      <c r="K14">
        <f t="shared" si="0"/>
        <v>3</v>
      </c>
      <c r="L14">
        <f t="shared" si="1"/>
        <v>3</v>
      </c>
      <c r="M14">
        <f t="shared" si="32"/>
        <v>3</v>
      </c>
      <c r="N14">
        <f t="shared" si="33"/>
        <v>3</v>
      </c>
      <c r="O14">
        <f t="shared" si="33"/>
        <v>3</v>
      </c>
      <c r="P14">
        <f t="shared" si="33"/>
        <v>3</v>
      </c>
      <c r="Q14">
        <f t="shared" si="33"/>
        <v>3</v>
      </c>
      <c r="R14">
        <f t="shared" si="33"/>
        <v>3</v>
      </c>
      <c r="S14">
        <f t="shared" si="33"/>
        <v>3</v>
      </c>
      <c r="T14">
        <f t="shared" si="33"/>
        <v>3</v>
      </c>
      <c r="U14">
        <f t="shared" si="33"/>
        <v>3</v>
      </c>
      <c r="V14">
        <f t="shared" si="33"/>
        <v>3</v>
      </c>
      <c r="W14">
        <f t="shared" si="33"/>
        <v>3</v>
      </c>
      <c r="X14">
        <f t="shared" si="34"/>
        <v>3</v>
      </c>
      <c r="Y14">
        <f t="shared" si="34"/>
        <v>3</v>
      </c>
      <c r="Z14">
        <f t="shared" si="34"/>
        <v>3</v>
      </c>
      <c r="AA14">
        <f t="shared" si="34"/>
        <v>3</v>
      </c>
      <c r="AB14">
        <f t="shared" si="34"/>
        <v>3</v>
      </c>
      <c r="AC14">
        <f t="shared" si="34"/>
        <v>3</v>
      </c>
      <c r="AD14">
        <f t="shared" si="34"/>
        <v>3</v>
      </c>
      <c r="AE14">
        <f t="shared" si="34"/>
        <v>3</v>
      </c>
      <c r="AF14">
        <f t="shared" si="34"/>
        <v>3</v>
      </c>
      <c r="AG14">
        <f t="shared" si="34"/>
        <v>3</v>
      </c>
      <c r="AH14">
        <f t="shared" si="35"/>
        <v>3</v>
      </c>
      <c r="AI14">
        <f t="shared" si="35"/>
        <v>3</v>
      </c>
      <c r="AJ14">
        <f t="shared" si="35"/>
        <v>3</v>
      </c>
      <c r="AK14">
        <f t="shared" si="35"/>
        <v>3</v>
      </c>
      <c r="AL14">
        <f t="shared" si="35"/>
        <v>3</v>
      </c>
      <c r="AM14">
        <f t="shared" si="35"/>
        <v>3</v>
      </c>
      <c r="AN14">
        <f t="shared" si="35"/>
        <v>3</v>
      </c>
      <c r="AO14">
        <f t="shared" si="35"/>
        <v>3</v>
      </c>
      <c r="AP14">
        <f t="shared" si="35"/>
        <v>3</v>
      </c>
      <c r="AQ14">
        <f t="shared" si="35"/>
        <v>3</v>
      </c>
      <c r="AR14">
        <f t="shared" si="36"/>
        <v>3</v>
      </c>
      <c r="AS14">
        <f t="shared" si="36"/>
        <v>3</v>
      </c>
      <c r="AT14">
        <f t="shared" si="36"/>
        <v>3</v>
      </c>
      <c r="AU14">
        <f t="shared" si="36"/>
        <v>3</v>
      </c>
      <c r="AV14">
        <f t="shared" si="36"/>
        <v>3</v>
      </c>
      <c r="AW14">
        <f t="shared" si="36"/>
        <v>3</v>
      </c>
      <c r="AX14">
        <f t="shared" si="36"/>
        <v>3</v>
      </c>
      <c r="BB14" s="32">
        <f t="shared" si="9"/>
        <v>2</v>
      </c>
      <c r="BC14" s="32">
        <f t="shared" si="10"/>
        <v>6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11</v>
      </c>
      <c r="B15" s="22">
        <f>Database!F15</f>
        <v>45932</v>
      </c>
      <c r="C15">
        <f>IF(Database!H15="cansl",0,Database!L15)</f>
        <v>0</v>
      </c>
      <c r="D15">
        <f>Database!E15-Database!D15</f>
        <v>5</v>
      </c>
      <c r="F15">
        <f>Database!M15</f>
        <v>0</v>
      </c>
      <c r="G15" t="str">
        <f>Database!G15</f>
        <v>D</v>
      </c>
      <c r="K15">
        <f t="shared" si="0"/>
        <v>0</v>
      </c>
      <c r="L15">
        <f t="shared" si="1"/>
        <v>0</v>
      </c>
      <c r="M15">
        <f t="shared" si="32"/>
        <v>0</v>
      </c>
      <c r="N15">
        <f t="shared" si="33"/>
        <v>0</v>
      </c>
      <c r="O15">
        <f t="shared" si="33"/>
        <v>0</v>
      </c>
      <c r="P15">
        <f t="shared" si="33"/>
        <v>0</v>
      </c>
      <c r="Q15">
        <f t="shared" si="33"/>
        <v>0</v>
      </c>
      <c r="R15">
        <f t="shared" si="33"/>
        <v>0</v>
      </c>
      <c r="S15">
        <f t="shared" si="33"/>
        <v>0</v>
      </c>
      <c r="T15">
        <f t="shared" si="33"/>
        <v>0</v>
      </c>
      <c r="U15">
        <f t="shared" si="33"/>
        <v>0</v>
      </c>
      <c r="V15">
        <f t="shared" si="33"/>
        <v>0</v>
      </c>
      <c r="W15">
        <f t="shared" si="33"/>
        <v>0</v>
      </c>
      <c r="X15">
        <f t="shared" si="34"/>
        <v>0</v>
      </c>
      <c r="Y15">
        <f t="shared" si="34"/>
        <v>0</v>
      </c>
      <c r="Z15">
        <f t="shared" si="34"/>
        <v>0</v>
      </c>
      <c r="AA15">
        <f t="shared" si="34"/>
        <v>0</v>
      </c>
      <c r="AB15">
        <f t="shared" si="34"/>
        <v>0</v>
      </c>
      <c r="AC15">
        <f t="shared" si="34"/>
        <v>0</v>
      </c>
      <c r="AD15">
        <f t="shared" si="34"/>
        <v>0</v>
      </c>
      <c r="AE15">
        <f t="shared" si="34"/>
        <v>0</v>
      </c>
      <c r="AF15">
        <f t="shared" si="34"/>
        <v>0</v>
      </c>
      <c r="AG15">
        <f t="shared" si="34"/>
        <v>0</v>
      </c>
      <c r="AH15">
        <f t="shared" si="35"/>
        <v>0</v>
      </c>
      <c r="AI15">
        <f t="shared" si="35"/>
        <v>0</v>
      </c>
      <c r="AJ15">
        <f t="shared" si="35"/>
        <v>0</v>
      </c>
      <c r="AK15">
        <f t="shared" si="35"/>
        <v>0</v>
      </c>
      <c r="AL15">
        <f t="shared" si="35"/>
        <v>0</v>
      </c>
      <c r="AM15">
        <f t="shared" si="35"/>
        <v>0</v>
      </c>
      <c r="AN15">
        <f t="shared" si="35"/>
        <v>0</v>
      </c>
      <c r="AO15">
        <f t="shared" si="35"/>
        <v>0</v>
      </c>
      <c r="AP15">
        <f t="shared" si="35"/>
        <v>0</v>
      </c>
      <c r="AQ15">
        <f t="shared" si="35"/>
        <v>0</v>
      </c>
      <c r="AR15">
        <f t="shared" si="36"/>
        <v>0</v>
      </c>
      <c r="AS15">
        <f t="shared" si="36"/>
        <v>0</v>
      </c>
      <c r="AT15">
        <f t="shared" si="36"/>
        <v>0</v>
      </c>
      <c r="AU15">
        <f t="shared" si="36"/>
        <v>0</v>
      </c>
      <c r="AV15">
        <f t="shared" si="36"/>
        <v>0</v>
      </c>
      <c r="AW15">
        <f t="shared" si="36"/>
        <v>0</v>
      </c>
      <c r="AX15">
        <f t="shared" si="36"/>
        <v>0</v>
      </c>
      <c r="BB15" s="32">
        <f t="shared" si="9"/>
        <v>0</v>
      </c>
      <c r="BC15" s="32">
        <f t="shared" si="10"/>
        <v>0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12</v>
      </c>
      <c r="B16" s="22">
        <f>Database!F16</f>
        <v>45977</v>
      </c>
      <c r="C16">
        <f>IF(Database!H16="cansl",0,Database!L16)</f>
        <v>1</v>
      </c>
      <c r="D16">
        <f>Database!E16-Database!D16</f>
        <v>4</v>
      </c>
      <c r="F16">
        <f>Database!M16</f>
        <v>2</v>
      </c>
      <c r="G16" t="str">
        <f>Database!G16</f>
        <v>DK</v>
      </c>
      <c r="K16">
        <f t="shared" si="0"/>
        <v>4</v>
      </c>
      <c r="L16">
        <f t="shared" si="1"/>
        <v>4</v>
      </c>
      <c r="M16">
        <f t="shared" si="32"/>
        <v>4</v>
      </c>
      <c r="N16">
        <f t="shared" si="33"/>
        <v>4</v>
      </c>
      <c r="O16">
        <f t="shared" si="33"/>
        <v>4</v>
      </c>
      <c r="P16">
        <f t="shared" si="33"/>
        <v>4</v>
      </c>
      <c r="Q16">
        <f t="shared" si="33"/>
        <v>4</v>
      </c>
      <c r="R16">
        <f t="shared" si="33"/>
        <v>4</v>
      </c>
      <c r="S16">
        <f t="shared" si="33"/>
        <v>4</v>
      </c>
      <c r="T16">
        <f t="shared" si="33"/>
        <v>4</v>
      </c>
      <c r="U16">
        <f t="shared" si="33"/>
        <v>4</v>
      </c>
      <c r="V16">
        <f t="shared" si="33"/>
        <v>4</v>
      </c>
      <c r="W16">
        <f t="shared" si="33"/>
        <v>4</v>
      </c>
      <c r="X16">
        <f t="shared" si="34"/>
        <v>4</v>
      </c>
      <c r="Y16">
        <f t="shared" si="34"/>
        <v>4</v>
      </c>
      <c r="Z16">
        <f t="shared" si="34"/>
        <v>4</v>
      </c>
      <c r="AA16">
        <f t="shared" si="34"/>
        <v>4</v>
      </c>
      <c r="AB16">
        <f t="shared" si="34"/>
        <v>4</v>
      </c>
      <c r="AC16">
        <f t="shared" si="34"/>
        <v>4</v>
      </c>
      <c r="AD16">
        <f t="shared" si="34"/>
        <v>4</v>
      </c>
      <c r="AE16">
        <f t="shared" si="34"/>
        <v>4</v>
      </c>
      <c r="AF16">
        <f t="shared" si="34"/>
        <v>4</v>
      </c>
      <c r="AG16">
        <f t="shared" si="34"/>
        <v>4</v>
      </c>
      <c r="AH16">
        <f t="shared" si="35"/>
        <v>4</v>
      </c>
      <c r="AI16">
        <f t="shared" si="35"/>
        <v>4</v>
      </c>
      <c r="AJ16">
        <f t="shared" si="35"/>
        <v>4</v>
      </c>
      <c r="AK16">
        <f t="shared" si="35"/>
        <v>4</v>
      </c>
      <c r="AL16">
        <f t="shared" si="35"/>
        <v>4</v>
      </c>
      <c r="AM16">
        <f t="shared" si="35"/>
        <v>4</v>
      </c>
      <c r="AN16">
        <f t="shared" si="35"/>
        <v>4</v>
      </c>
      <c r="AO16">
        <f t="shared" si="35"/>
        <v>4</v>
      </c>
      <c r="AP16">
        <f t="shared" si="35"/>
        <v>4</v>
      </c>
      <c r="AQ16">
        <f t="shared" si="35"/>
        <v>4</v>
      </c>
      <c r="AR16">
        <f t="shared" si="36"/>
        <v>4</v>
      </c>
      <c r="AS16">
        <f t="shared" si="36"/>
        <v>4</v>
      </c>
      <c r="AT16">
        <f t="shared" si="36"/>
        <v>4</v>
      </c>
      <c r="AU16">
        <f t="shared" si="36"/>
        <v>4</v>
      </c>
      <c r="AV16">
        <f t="shared" si="36"/>
        <v>4</v>
      </c>
      <c r="AW16">
        <f t="shared" si="36"/>
        <v>4</v>
      </c>
      <c r="AX16">
        <f t="shared" si="36"/>
        <v>4</v>
      </c>
      <c r="BB16" s="32">
        <f t="shared" si="9"/>
        <v>2</v>
      </c>
      <c r="BC16" s="32">
        <f t="shared" si="10"/>
        <v>8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13</v>
      </c>
      <c r="B17" s="22">
        <f>Database!F17</f>
        <v>45998</v>
      </c>
      <c r="C17">
        <f>IF(Database!H17="cansl",0,Database!L17)</f>
        <v>1</v>
      </c>
      <c r="D17">
        <f>Database!E17-Database!D17</f>
        <v>7</v>
      </c>
      <c r="F17">
        <f>Database!M17</f>
        <v>2</v>
      </c>
      <c r="G17" t="str">
        <f>Database!G17</f>
        <v>DK</v>
      </c>
      <c r="K17">
        <f t="shared" si="0"/>
        <v>7</v>
      </c>
      <c r="L17">
        <f t="shared" si="1"/>
        <v>7</v>
      </c>
      <c r="M17">
        <f t="shared" si="32"/>
        <v>7</v>
      </c>
      <c r="N17">
        <f t="shared" si="33"/>
        <v>7</v>
      </c>
      <c r="O17">
        <f t="shared" si="33"/>
        <v>7</v>
      </c>
      <c r="P17">
        <f t="shared" si="33"/>
        <v>7</v>
      </c>
      <c r="Q17">
        <f t="shared" si="33"/>
        <v>7</v>
      </c>
      <c r="R17">
        <f t="shared" si="33"/>
        <v>7</v>
      </c>
      <c r="S17">
        <f t="shared" si="33"/>
        <v>7</v>
      </c>
      <c r="T17">
        <f t="shared" si="33"/>
        <v>7</v>
      </c>
      <c r="U17">
        <f t="shared" si="33"/>
        <v>7</v>
      </c>
      <c r="V17">
        <f t="shared" si="33"/>
        <v>7</v>
      </c>
      <c r="W17">
        <f t="shared" si="33"/>
        <v>7</v>
      </c>
      <c r="X17">
        <f t="shared" si="34"/>
        <v>7</v>
      </c>
      <c r="Y17">
        <f t="shared" si="34"/>
        <v>7</v>
      </c>
      <c r="Z17">
        <f t="shared" si="34"/>
        <v>7</v>
      </c>
      <c r="AA17">
        <f t="shared" si="34"/>
        <v>7</v>
      </c>
      <c r="AB17">
        <f t="shared" si="34"/>
        <v>7</v>
      </c>
      <c r="AC17">
        <f t="shared" si="34"/>
        <v>7</v>
      </c>
      <c r="AD17">
        <f t="shared" si="34"/>
        <v>7</v>
      </c>
      <c r="AE17">
        <f t="shared" si="34"/>
        <v>7</v>
      </c>
      <c r="AF17">
        <f t="shared" si="34"/>
        <v>7</v>
      </c>
      <c r="AG17">
        <f t="shared" si="34"/>
        <v>7</v>
      </c>
      <c r="AH17">
        <f t="shared" si="35"/>
        <v>7</v>
      </c>
      <c r="AI17">
        <f t="shared" si="35"/>
        <v>7</v>
      </c>
      <c r="AJ17">
        <f t="shared" si="35"/>
        <v>7</v>
      </c>
      <c r="AK17">
        <f t="shared" si="35"/>
        <v>7</v>
      </c>
      <c r="AL17">
        <f t="shared" si="35"/>
        <v>7</v>
      </c>
      <c r="AM17">
        <f t="shared" si="35"/>
        <v>7</v>
      </c>
      <c r="AN17">
        <f t="shared" si="35"/>
        <v>7</v>
      </c>
      <c r="AO17">
        <f t="shared" si="35"/>
        <v>7</v>
      </c>
      <c r="AP17">
        <f t="shared" si="35"/>
        <v>7</v>
      </c>
      <c r="AQ17">
        <f t="shared" si="35"/>
        <v>7</v>
      </c>
      <c r="AR17">
        <f t="shared" si="36"/>
        <v>7</v>
      </c>
      <c r="AS17">
        <f t="shared" si="36"/>
        <v>7</v>
      </c>
      <c r="AT17">
        <f t="shared" si="36"/>
        <v>7</v>
      </c>
      <c r="AU17">
        <f t="shared" si="36"/>
        <v>7</v>
      </c>
      <c r="AV17">
        <f t="shared" si="36"/>
        <v>7</v>
      </c>
      <c r="AW17">
        <f t="shared" si="36"/>
        <v>7</v>
      </c>
      <c r="AX17">
        <f t="shared" si="36"/>
        <v>7</v>
      </c>
      <c r="BB17" s="32">
        <f t="shared" si="9"/>
        <v>2</v>
      </c>
      <c r="BC17" s="32">
        <f t="shared" si="10"/>
        <v>14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14</v>
      </c>
      <c r="B18" s="22">
        <f>Database!F18</f>
        <v>46001</v>
      </c>
      <c r="C18">
        <f>IF(Database!H18="cansl",0,Database!L18)</f>
        <v>1</v>
      </c>
      <c r="D18">
        <f>Database!E18-Database!D18</f>
        <v>7</v>
      </c>
      <c r="F18">
        <f>Database!M18</f>
        <v>2</v>
      </c>
      <c r="G18" t="str">
        <f>Database!G18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15</v>
      </c>
      <c r="B19" s="22">
        <f>Database!F19</f>
        <v>45866</v>
      </c>
      <c r="C19">
        <f>IF(Database!H19="cansl",0,Database!L19)</f>
        <v>1</v>
      </c>
      <c r="D19">
        <f>Database!E19-Database!D19</f>
        <v>7</v>
      </c>
      <c r="F19">
        <f>Database!M19</f>
        <v>2</v>
      </c>
      <c r="G19" t="str">
        <f>Database!G19</f>
        <v>DK</v>
      </c>
      <c r="K19">
        <f t="shared" si="0"/>
        <v>7</v>
      </c>
      <c r="L19">
        <f t="shared" si="1"/>
        <v>7</v>
      </c>
      <c r="M19">
        <f t="shared" si="32"/>
        <v>7</v>
      </c>
      <c r="N19">
        <f t="shared" si="33"/>
        <v>7</v>
      </c>
      <c r="O19">
        <f t="shared" si="33"/>
        <v>7</v>
      </c>
      <c r="P19">
        <f t="shared" si="33"/>
        <v>7</v>
      </c>
      <c r="Q19">
        <f t="shared" si="33"/>
        <v>7</v>
      </c>
      <c r="R19">
        <f t="shared" si="33"/>
        <v>7</v>
      </c>
      <c r="S19">
        <f t="shared" si="33"/>
        <v>7</v>
      </c>
      <c r="T19">
        <f t="shared" si="33"/>
        <v>7</v>
      </c>
      <c r="U19">
        <f t="shared" si="33"/>
        <v>7</v>
      </c>
      <c r="V19">
        <f t="shared" si="33"/>
        <v>7</v>
      </c>
      <c r="W19">
        <f t="shared" si="33"/>
        <v>7</v>
      </c>
      <c r="X19">
        <f t="shared" si="34"/>
        <v>7</v>
      </c>
      <c r="Y19">
        <f t="shared" si="34"/>
        <v>7</v>
      </c>
      <c r="Z19">
        <f t="shared" si="34"/>
        <v>7</v>
      </c>
      <c r="AA19">
        <f t="shared" si="34"/>
        <v>7</v>
      </c>
      <c r="AB19">
        <f t="shared" si="34"/>
        <v>7</v>
      </c>
      <c r="AC19">
        <f t="shared" si="34"/>
        <v>7</v>
      </c>
      <c r="AD19">
        <f t="shared" si="34"/>
        <v>7</v>
      </c>
      <c r="AE19">
        <f t="shared" si="34"/>
        <v>7</v>
      </c>
      <c r="AF19">
        <f t="shared" si="34"/>
        <v>7</v>
      </c>
      <c r="AG19">
        <f t="shared" si="34"/>
        <v>7</v>
      </c>
      <c r="AH19">
        <f t="shared" si="35"/>
        <v>7</v>
      </c>
      <c r="AI19">
        <f t="shared" si="35"/>
        <v>7</v>
      </c>
      <c r="AJ19">
        <f t="shared" si="35"/>
        <v>7</v>
      </c>
      <c r="AK19">
        <f t="shared" si="35"/>
        <v>7</v>
      </c>
      <c r="AL19">
        <f t="shared" si="35"/>
        <v>7</v>
      </c>
      <c r="AM19">
        <f t="shared" si="35"/>
        <v>7</v>
      </c>
      <c r="AN19">
        <f t="shared" si="35"/>
        <v>7</v>
      </c>
      <c r="AO19">
        <f t="shared" si="35"/>
        <v>7</v>
      </c>
      <c r="AP19">
        <f t="shared" si="35"/>
        <v>7</v>
      </c>
      <c r="AQ19">
        <f t="shared" si="35"/>
        <v>7</v>
      </c>
      <c r="AR19">
        <f t="shared" si="36"/>
        <v>7</v>
      </c>
      <c r="AS19">
        <f t="shared" si="36"/>
        <v>7</v>
      </c>
      <c r="AT19">
        <f t="shared" si="36"/>
        <v>7</v>
      </c>
      <c r="AU19">
        <f t="shared" si="36"/>
        <v>7</v>
      </c>
      <c r="AV19">
        <f t="shared" si="36"/>
        <v>7</v>
      </c>
      <c r="AW19">
        <f t="shared" si="36"/>
        <v>7</v>
      </c>
      <c r="AX19">
        <f t="shared" si="36"/>
        <v>7</v>
      </c>
      <c r="BB19" s="32">
        <f t="shared" si="9"/>
        <v>2</v>
      </c>
      <c r="BC19" s="32">
        <f t="shared" si="10"/>
        <v>14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16</v>
      </c>
      <c r="B20" s="22">
        <f>Database!F20</f>
        <v>45832</v>
      </c>
      <c r="C20">
        <f>IF(Database!H20="cansl",0,Database!L20)</f>
        <v>2</v>
      </c>
      <c r="D20">
        <f>Database!E20-Database!D20</f>
        <v>6</v>
      </c>
      <c r="F20">
        <f>Database!M20</f>
        <v>4</v>
      </c>
      <c r="G20" t="str">
        <f>Database!G20</f>
        <v>DK</v>
      </c>
      <c r="K20">
        <f t="shared" si="0"/>
        <v>12</v>
      </c>
      <c r="L20">
        <f t="shared" si="1"/>
        <v>12</v>
      </c>
      <c r="M20">
        <f t="shared" si="32"/>
        <v>12</v>
      </c>
      <c r="N20">
        <f t="shared" si="33"/>
        <v>12</v>
      </c>
      <c r="O20">
        <f t="shared" si="33"/>
        <v>12</v>
      </c>
      <c r="P20">
        <f t="shared" si="33"/>
        <v>12</v>
      </c>
      <c r="Q20">
        <f t="shared" si="33"/>
        <v>12</v>
      </c>
      <c r="R20">
        <f t="shared" si="33"/>
        <v>12</v>
      </c>
      <c r="S20">
        <f t="shared" si="33"/>
        <v>12</v>
      </c>
      <c r="T20">
        <f t="shared" si="33"/>
        <v>12</v>
      </c>
      <c r="U20">
        <f t="shared" si="33"/>
        <v>12</v>
      </c>
      <c r="V20">
        <f t="shared" si="33"/>
        <v>12</v>
      </c>
      <c r="W20">
        <f t="shared" si="33"/>
        <v>12</v>
      </c>
      <c r="X20">
        <f t="shared" si="34"/>
        <v>12</v>
      </c>
      <c r="Y20">
        <f t="shared" si="34"/>
        <v>12</v>
      </c>
      <c r="Z20">
        <f t="shared" si="34"/>
        <v>12</v>
      </c>
      <c r="AA20">
        <f t="shared" si="34"/>
        <v>12</v>
      </c>
      <c r="AB20">
        <f t="shared" si="34"/>
        <v>12</v>
      </c>
      <c r="AC20">
        <f t="shared" si="34"/>
        <v>12</v>
      </c>
      <c r="AD20">
        <f t="shared" si="34"/>
        <v>12</v>
      </c>
      <c r="AE20">
        <f t="shared" si="34"/>
        <v>12</v>
      </c>
      <c r="AF20">
        <f t="shared" si="34"/>
        <v>12</v>
      </c>
      <c r="AG20">
        <f t="shared" si="34"/>
        <v>12</v>
      </c>
      <c r="AH20">
        <f t="shared" si="35"/>
        <v>12</v>
      </c>
      <c r="AI20">
        <f t="shared" si="35"/>
        <v>12</v>
      </c>
      <c r="AJ20">
        <f t="shared" si="35"/>
        <v>12</v>
      </c>
      <c r="AK20">
        <f t="shared" si="35"/>
        <v>12</v>
      </c>
      <c r="AL20">
        <f t="shared" si="35"/>
        <v>12</v>
      </c>
      <c r="AM20">
        <f t="shared" si="35"/>
        <v>12</v>
      </c>
      <c r="AN20">
        <f t="shared" si="35"/>
        <v>12</v>
      </c>
      <c r="AO20">
        <f t="shared" si="35"/>
        <v>12</v>
      </c>
      <c r="AP20">
        <f t="shared" si="35"/>
        <v>12</v>
      </c>
      <c r="AQ20">
        <f t="shared" si="35"/>
        <v>12</v>
      </c>
      <c r="AR20">
        <f t="shared" si="36"/>
        <v>12</v>
      </c>
      <c r="AS20">
        <f t="shared" si="36"/>
        <v>12</v>
      </c>
      <c r="AT20">
        <f t="shared" si="36"/>
        <v>12</v>
      </c>
      <c r="AU20">
        <f t="shared" si="36"/>
        <v>12</v>
      </c>
      <c r="AV20">
        <f t="shared" si="36"/>
        <v>12</v>
      </c>
      <c r="AW20">
        <f t="shared" si="36"/>
        <v>12</v>
      </c>
      <c r="AX20">
        <f t="shared" si="36"/>
        <v>12</v>
      </c>
      <c r="BB20" s="32">
        <f t="shared" si="9"/>
        <v>4</v>
      </c>
      <c r="BC20" s="32">
        <f t="shared" si="10"/>
        <v>24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16</v>
      </c>
      <c r="B21" s="22">
        <f>Database!F21</f>
        <v>0</v>
      </c>
      <c r="C21">
        <f>IF(Database!H21="cansl",0,Database!L21)</f>
        <v>0</v>
      </c>
      <c r="D21">
        <f>Database!E21-Database!D21</f>
        <v>0</v>
      </c>
      <c r="F21">
        <f>Database!M21</f>
        <v>0</v>
      </c>
      <c r="G21">
        <f>Database!G21</f>
        <v>0</v>
      </c>
      <c r="K21">
        <f t="shared" si="0"/>
        <v>0</v>
      </c>
      <c r="L21">
        <f t="shared" si="1"/>
        <v>0</v>
      </c>
      <c r="M21">
        <f t="shared" si="32"/>
        <v>0</v>
      </c>
      <c r="N21">
        <f t="shared" si="33"/>
        <v>0</v>
      </c>
      <c r="O21">
        <f t="shared" si="33"/>
        <v>0</v>
      </c>
      <c r="P21">
        <f t="shared" si="33"/>
        <v>0</v>
      </c>
      <c r="Q21">
        <f t="shared" si="33"/>
        <v>0</v>
      </c>
      <c r="R21">
        <f t="shared" si="33"/>
        <v>0</v>
      </c>
      <c r="S21">
        <f t="shared" si="33"/>
        <v>0</v>
      </c>
      <c r="T21">
        <f t="shared" si="33"/>
        <v>0</v>
      </c>
      <c r="U21">
        <f t="shared" si="33"/>
        <v>0</v>
      </c>
      <c r="V21">
        <f t="shared" si="33"/>
        <v>0</v>
      </c>
      <c r="W21">
        <f t="shared" si="33"/>
        <v>0</v>
      </c>
      <c r="X21">
        <f t="shared" si="34"/>
        <v>0</v>
      </c>
      <c r="Y21">
        <f t="shared" si="34"/>
        <v>0</v>
      </c>
      <c r="Z21">
        <f t="shared" si="34"/>
        <v>0</v>
      </c>
      <c r="AA21">
        <f t="shared" si="34"/>
        <v>0</v>
      </c>
      <c r="AB21">
        <f t="shared" si="34"/>
        <v>0</v>
      </c>
      <c r="AC21">
        <f t="shared" si="34"/>
        <v>0</v>
      </c>
      <c r="AD21">
        <f t="shared" si="34"/>
        <v>0</v>
      </c>
      <c r="AE21">
        <f t="shared" si="34"/>
        <v>0</v>
      </c>
      <c r="AF21">
        <f t="shared" si="34"/>
        <v>0</v>
      </c>
      <c r="AG21">
        <f t="shared" si="34"/>
        <v>0</v>
      </c>
      <c r="AH21">
        <f t="shared" si="35"/>
        <v>0</v>
      </c>
      <c r="AI21">
        <f t="shared" si="35"/>
        <v>0</v>
      </c>
      <c r="AJ21">
        <f t="shared" si="35"/>
        <v>0</v>
      </c>
      <c r="AK21">
        <f t="shared" si="35"/>
        <v>0</v>
      </c>
      <c r="AL21">
        <f t="shared" si="35"/>
        <v>0</v>
      </c>
      <c r="AM21">
        <f t="shared" si="35"/>
        <v>0</v>
      </c>
      <c r="AN21">
        <f t="shared" si="35"/>
        <v>0</v>
      </c>
      <c r="AO21">
        <f t="shared" si="35"/>
        <v>0</v>
      </c>
      <c r="AP21">
        <f t="shared" si="35"/>
        <v>0</v>
      </c>
      <c r="AQ21">
        <f t="shared" si="35"/>
        <v>0</v>
      </c>
      <c r="AR21">
        <f t="shared" si="36"/>
        <v>0</v>
      </c>
      <c r="AS21">
        <f t="shared" si="36"/>
        <v>0</v>
      </c>
      <c r="AT21">
        <f t="shared" si="36"/>
        <v>0</v>
      </c>
      <c r="AU21">
        <f t="shared" si="36"/>
        <v>0</v>
      </c>
      <c r="AV21">
        <f t="shared" si="36"/>
        <v>0</v>
      </c>
      <c r="AW21">
        <f t="shared" si="36"/>
        <v>0</v>
      </c>
      <c r="AX21">
        <f t="shared" si="36"/>
        <v>0</v>
      </c>
      <c r="BB21" s="32">
        <f t="shared" si="9"/>
        <v>0</v>
      </c>
      <c r="BC21" s="32">
        <f t="shared" si="10"/>
        <v>0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17</v>
      </c>
      <c r="B22" s="22">
        <f>Database!F22</f>
        <v>45824</v>
      </c>
      <c r="C22">
        <f>IF(Database!H22="cansl",0,Database!L22)</f>
        <v>1</v>
      </c>
      <c r="D22">
        <f>Database!E22-Database!D22</f>
        <v>7</v>
      </c>
      <c r="F22">
        <f>Database!M22</f>
        <v>2</v>
      </c>
      <c r="G22" t="str">
        <f>Database!G22</f>
        <v>DK</v>
      </c>
      <c r="K22">
        <f t="shared" si="0"/>
        <v>7</v>
      </c>
      <c r="L22">
        <f t="shared" si="1"/>
        <v>7</v>
      </c>
      <c r="M22">
        <f t="shared" si="32"/>
        <v>7</v>
      </c>
      <c r="N22">
        <f t="shared" si="33"/>
        <v>7</v>
      </c>
      <c r="O22">
        <f t="shared" si="33"/>
        <v>7</v>
      </c>
      <c r="P22">
        <f t="shared" si="33"/>
        <v>7</v>
      </c>
      <c r="Q22">
        <f t="shared" si="33"/>
        <v>7</v>
      </c>
      <c r="R22">
        <f t="shared" si="33"/>
        <v>7</v>
      </c>
      <c r="S22">
        <f t="shared" si="33"/>
        <v>7</v>
      </c>
      <c r="T22">
        <f t="shared" si="33"/>
        <v>7</v>
      </c>
      <c r="U22">
        <f t="shared" si="33"/>
        <v>7</v>
      </c>
      <c r="V22">
        <f t="shared" si="33"/>
        <v>7</v>
      </c>
      <c r="W22">
        <f t="shared" si="33"/>
        <v>7</v>
      </c>
      <c r="X22">
        <f t="shared" si="34"/>
        <v>7</v>
      </c>
      <c r="Y22">
        <f t="shared" si="34"/>
        <v>7</v>
      </c>
      <c r="Z22">
        <f t="shared" si="34"/>
        <v>7</v>
      </c>
      <c r="AA22">
        <f t="shared" si="34"/>
        <v>7</v>
      </c>
      <c r="AB22">
        <f t="shared" si="34"/>
        <v>7</v>
      </c>
      <c r="AC22">
        <f t="shared" si="34"/>
        <v>7</v>
      </c>
      <c r="AD22">
        <f t="shared" si="34"/>
        <v>7</v>
      </c>
      <c r="AE22">
        <f t="shared" si="34"/>
        <v>7</v>
      </c>
      <c r="AF22">
        <f t="shared" si="34"/>
        <v>7</v>
      </c>
      <c r="AG22">
        <f t="shared" si="34"/>
        <v>7</v>
      </c>
      <c r="AH22">
        <f t="shared" si="35"/>
        <v>7</v>
      </c>
      <c r="AI22">
        <f t="shared" si="35"/>
        <v>7</v>
      </c>
      <c r="AJ22">
        <f t="shared" si="35"/>
        <v>7</v>
      </c>
      <c r="AK22">
        <f t="shared" si="35"/>
        <v>7</v>
      </c>
      <c r="AL22">
        <f t="shared" si="35"/>
        <v>7</v>
      </c>
      <c r="AM22">
        <f t="shared" si="35"/>
        <v>7</v>
      </c>
      <c r="AN22">
        <f t="shared" si="35"/>
        <v>7</v>
      </c>
      <c r="AO22">
        <f t="shared" si="35"/>
        <v>7</v>
      </c>
      <c r="AP22">
        <f t="shared" si="35"/>
        <v>7</v>
      </c>
      <c r="AQ22">
        <f t="shared" si="35"/>
        <v>7</v>
      </c>
      <c r="AR22">
        <f t="shared" si="36"/>
        <v>7</v>
      </c>
      <c r="AS22">
        <f t="shared" si="36"/>
        <v>7</v>
      </c>
      <c r="AT22">
        <f t="shared" si="36"/>
        <v>7</v>
      </c>
      <c r="AU22">
        <f t="shared" si="36"/>
        <v>7</v>
      </c>
      <c r="AV22">
        <f t="shared" si="36"/>
        <v>7</v>
      </c>
      <c r="AW22">
        <f t="shared" si="36"/>
        <v>7</v>
      </c>
      <c r="AX22">
        <f t="shared" si="36"/>
        <v>7</v>
      </c>
      <c r="BB22" s="32">
        <f t="shared" si="9"/>
        <v>2</v>
      </c>
      <c r="BC22" s="32">
        <f t="shared" si="10"/>
        <v>14</v>
      </c>
      <c r="BD22" s="32">
        <f t="shared" si="11"/>
        <v>0</v>
      </c>
      <c r="BE22" s="32">
        <f t="shared" si="12"/>
        <v>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18</v>
      </c>
      <c r="B23" s="22">
        <f>Database!F23</f>
        <v>45834</v>
      </c>
      <c r="C23">
        <f>IF(Database!H23="cansl",0,Database!L23)</f>
        <v>1</v>
      </c>
      <c r="D23">
        <f>Database!E23-Database!D23</f>
        <v>5</v>
      </c>
      <c r="F23">
        <f>Database!M23</f>
        <v>2</v>
      </c>
      <c r="G23" t="str">
        <f>Database!G23</f>
        <v>DK</v>
      </c>
      <c r="K23">
        <f t="shared" si="0"/>
        <v>5</v>
      </c>
      <c r="L23">
        <f t="shared" si="1"/>
        <v>5</v>
      </c>
      <c r="M23">
        <f t="shared" si="32"/>
        <v>5</v>
      </c>
      <c r="N23">
        <f t="shared" ref="N23:W32" si="38">IF($B23&lt;N$1,$C23*$D23,0)</f>
        <v>5</v>
      </c>
      <c r="O23">
        <f t="shared" si="38"/>
        <v>5</v>
      </c>
      <c r="P23">
        <f t="shared" si="38"/>
        <v>5</v>
      </c>
      <c r="Q23">
        <f t="shared" si="38"/>
        <v>5</v>
      </c>
      <c r="R23">
        <f t="shared" si="38"/>
        <v>5</v>
      </c>
      <c r="S23">
        <f t="shared" si="38"/>
        <v>5</v>
      </c>
      <c r="T23">
        <f t="shared" si="38"/>
        <v>5</v>
      </c>
      <c r="U23">
        <f t="shared" si="38"/>
        <v>5</v>
      </c>
      <c r="V23">
        <f t="shared" si="38"/>
        <v>5</v>
      </c>
      <c r="W23">
        <f t="shared" si="38"/>
        <v>5</v>
      </c>
      <c r="X23">
        <f t="shared" ref="X23:AG32" si="39">IF($B23&lt;X$1,$C23*$D23,0)</f>
        <v>5</v>
      </c>
      <c r="Y23">
        <f t="shared" si="39"/>
        <v>5</v>
      </c>
      <c r="Z23">
        <f t="shared" si="39"/>
        <v>5</v>
      </c>
      <c r="AA23">
        <f t="shared" si="39"/>
        <v>5</v>
      </c>
      <c r="AB23">
        <f t="shared" si="39"/>
        <v>5</v>
      </c>
      <c r="AC23">
        <f t="shared" si="39"/>
        <v>5</v>
      </c>
      <c r="AD23">
        <f t="shared" si="39"/>
        <v>5</v>
      </c>
      <c r="AE23">
        <f t="shared" si="39"/>
        <v>5</v>
      </c>
      <c r="AF23">
        <f t="shared" si="39"/>
        <v>5</v>
      </c>
      <c r="AG23">
        <f t="shared" si="39"/>
        <v>5</v>
      </c>
      <c r="AH23">
        <f t="shared" ref="AH23:AQ32" si="40">IF($B23&lt;AH$1,$C23*$D23,0)</f>
        <v>5</v>
      </c>
      <c r="AI23">
        <f t="shared" si="40"/>
        <v>5</v>
      </c>
      <c r="AJ23">
        <f t="shared" si="40"/>
        <v>5</v>
      </c>
      <c r="AK23">
        <f t="shared" si="40"/>
        <v>5</v>
      </c>
      <c r="AL23">
        <f t="shared" si="40"/>
        <v>5</v>
      </c>
      <c r="AM23">
        <f t="shared" si="40"/>
        <v>5</v>
      </c>
      <c r="AN23">
        <f t="shared" si="40"/>
        <v>5</v>
      </c>
      <c r="AO23">
        <f t="shared" si="40"/>
        <v>5</v>
      </c>
      <c r="AP23">
        <f t="shared" si="40"/>
        <v>5</v>
      </c>
      <c r="AQ23">
        <f t="shared" si="40"/>
        <v>5</v>
      </c>
      <c r="AR23">
        <f t="shared" ref="AR23:AX32" si="41">IF($B23&lt;AR$1,$C23*$D23,0)</f>
        <v>5</v>
      </c>
      <c r="AS23">
        <f t="shared" si="41"/>
        <v>5</v>
      </c>
      <c r="AT23">
        <f t="shared" si="41"/>
        <v>5</v>
      </c>
      <c r="AU23">
        <f t="shared" si="41"/>
        <v>5</v>
      </c>
      <c r="AV23">
        <f t="shared" si="41"/>
        <v>5</v>
      </c>
      <c r="AW23">
        <f t="shared" si="41"/>
        <v>5</v>
      </c>
      <c r="AX23">
        <f t="shared" si="41"/>
        <v>5</v>
      </c>
      <c r="BB23" s="32">
        <f t="shared" si="9"/>
        <v>2</v>
      </c>
      <c r="BC23" s="32">
        <f t="shared" si="10"/>
        <v>10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0</v>
      </c>
      <c r="BI23" s="32">
        <f t="shared" si="16"/>
        <v>0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19</v>
      </c>
      <c r="B24" s="22">
        <f>Database!F24</f>
        <v>45931</v>
      </c>
      <c r="C24">
        <f>IF(Database!H24="cansl",0,Database!L24)</f>
        <v>1</v>
      </c>
      <c r="D24">
        <f>Database!E24-Database!D24</f>
        <v>14</v>
      </c>
      <c r="F24">
        <f>Database!M24</f>
        <v>1</v>
      </c>
      <c r="G24" t="str">
        <f>Database!G24</f>
        <v>DK</v>
      </c>
      <c r="K24">
        <f t="shared" si="0"/>
        <v>14</v>
      </c>
      <c r="L24">
        <f t="shared" si="1"/>
        <v>14</v>
      </c>
      <c r="M24">
        <f t="shared" si="32"/>
        <v>14</v>
      </c>
      <c r="N24">
        <f t="shared" si="38"/>
        <v>14</v>
      </c>
      <c r="O24">
        <f t="shared" si="38"/>
        <v>14</v>
      </c>
      <c r="P24">
        <f t="shared" si="38"/>
        <v>14</v>
      </c>
      <c r="Q24">
        <f t="shared" si="38"/>
        <v>14</v>
      </c>
      <c r="R24">
        <f t="shared" si="38"/>
        <v>14</v>
      </c>
      <c r="S24">
        <f t="shared" si="38"/>
        <v>14</v>
      </c>
      <c r="T24">
        <f t="shared" si="38"/>
        <v>14</v>
      </c>
      <c r="U24">
        <f t="shared" si="38"/>
        <v>14</v>
      </c>
      <c r="V24">
        <f t="shared" si="38"/>
        <v>14</v>
      </c>
      <c r="W24">
        <f t="shared" si="38"/>
        <v>14</v>
      </c>
      <c r="X24">
        <f t="shared" si="39"/>
        <v>14</v>
      </c>
      <c r="Y24">
        <f t="shared" si="39"/>
        <v>14</v>
      </c>
      <c r="Z24">
        <f t="shared" si="39"/>
        <v>14</v>
      </c>
      <c r="AA24">
        <f t="shared" si="39"/>
        <v>14</v>
      </c>
      <c r="AB24">
        <f t="shared" si="39"/>
        <v>14</v>
      </c>
      <c r="AC24">
        <f t="shared" si="39"/>
        <v>14</v>
      </c>
      <c r="AD24">
        <f t="shared" si="39"/>
        <v>14</v>
      </c>
      <c r="AE24">
        <f t="shared" si="39"/>
        <v>14</v>
      </c>
      <c r="AF24">
        <f t="shared" si="39"/>
        <v>14</v>
      </c>
      <c r="AG24">
        <f t="shared" si="39"/>
        <v>14</v>
      </c>
      <c r="AH24">
        <f t="shared" si="40"/>
        <v>14</v>
      </c>
      <c r="AI24">
        <f t="shared" si="40"/>
        <v>14</v>
      </c>
      <c r="AJ24">
        <f t="shared" si="40"/>
        <v>14</v>
      </c>
      <c r="AK24">
        <f t="shared" si="40"/>
        <v>14</v>
      </c>
      <c r="AL24">
        <f t="shared" si="40"/>
        <v>14</v>
      </c>
      <c r="AM24">
        <f t="shared" si="40"/>
        <v>14</v>
      </c>
      <c r="AN24">
        <f t="shared" si="40"/>
        <v>14</v>
      </c>
      <c r="AO24">
        <f t="shared" si="40"/>
        <v>14</v>
      </c>
      <c r="AP24">
        <f t="shared" si="40"/>
        <v>14</v>
      </c>
      <c r="AQ24">
        <f t="shared" si="40"/>
        <v>14</v>
      </c>
      <c r="AR24">
        <f t="shared" si="41"/>
        <v>14</v>
      </c>
      <c r="AS24">
        <f t="shared" si="41"/>
        <v>14</v>
      </c>
      <c r="AT24">
        <f t="shared" si="41"/>
        <v>14</v>
      </c>
      <c r="AU24">
        <f t="shared" si="41"/>
        <v>14</v>
      </c>
      <c r="AV24">
        <f t="shared" si="41"/>
        <v>14</v>
      </c>
      <c r="AW24">
        <f t="shared" si="41"/>
        <v>14</v>
      </c>
      <c r="AX24">
        <f t="shared" si="41"/>
        <v>14</v>
      </c>
      <c r="BB24" s="32">
        <f t="shared" si="9"/>
        <v>1</v>
      </c>
      <c r="BC24" s="32">
        <f t="shared" si="10"/>
        <v>14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20</v>
      </c>
      <c r="B25" s="22">
        <f>Database!F25</f>
        <v>46008</v>
      </c>
      <c r="C25">
        <f>IF(Database!H25="cansl",0,Database!L25)</f>
        <v>3</v>
      </c>
      <c r="D25">
        <f>Database!E25-Database!D25</f>
        <v>4</v>
      </c>
      <c r="F25">
        <f>Database!M25</f>
        <v>6</v>
      </c>
      <c r="G25" t="str">
        <f>Database!G25</f>
        <v>DK</v>
      </c>
      <c r="K25">
        <f t="shared" si="0"/>
        <v>12</v>
      </c>
      <c r="L25">
        <f t="shared" si="1"/>
        <v>12</v>
      </c>
      <c r="M25">
        <f t="shared" si="32"/>
        <v>12</v>
      </c>
      <c r="N25">
        <f t="shared" si="38"/>
        <v>12</v>
      </c>
      <c r="O25">
        <f t="shared" si="38"/>
        <v>12</v>
      </c>
      <c r="P25">
        <f t="shared" si="38"/>
        <v>12</v>
      </c>
      <c r="Q25">
        <f t="shared" si="38"/>
        <v>12</v>
      </c>
      <c r="R25">
        <f t="shared" si="38"/>
        <v>12</v>
      </c>
      <c r="S25">
        <f t="shared" si="38"/>
        <v>12</v>
      </c>
      <c r="T25">
        <f t="shared" si="38"/>
        <v>12</v>
      </c>
      <c r="U25">
        <f t="shared" si="38"/>
        <v>12</v>
      </c>
      <c r="V25">
        <f t="shared" si="38"/>
        <v>12</v>
      </c>
      <c r="W25">
        <f t="shared" si="38"/>
        <v>12</v>
      </c>
      <c r="X25">
        <f t="shared" si="39"/>
        <v>12</v>
      </c>
      <c r="Y25">
        <f t="shared" si="39"/>
        <v>12</v>
      </c>
      <c r="Z25">
        <f t="shared" si="39"/>
        <v>12</v>
      </c>
      <c r="AA25">
        <f t="shared" si="39"/>
        <v>12</v>
      </c>
      <c r="AB25">
        <f t="shared" si="39"/>
        <v>12</v>
      </c>
      <c r="AC25">
        <f t="shared" si="39"/>
        <v>12</v>
      </c>
      <c r="AD25">
        <f t="shared" si="39"/>
        <v>12</v>
      </c>
      <c r="AE25">
        <f t="shared" si="39"/>
        <v>12</v>
      </c>
      <c r="AF25">
        <f t="shared" si="39"/>
        <v>12</v>
      </c>
      <c r="AG25">
        <f t="shared" si="39"/>
        <v>12</v>
      </c>
      <c r="AH25">
        <f t="shared" si="40"/>
        <v>12</v>
      </c>
      <c r="AI25">
        <f t="shared" si="40"/>
        <v>12</v>
      </c>
      <c r="AJ25">
        <f t="shared" si="40"/>
        <v>12</v>
      </c>
      <c r="AK25">
        <f t="shared" si="40"/>
        <v>12</v>
      </c>
      <c r="AL25">
        <f t="shared" si="40"/>
        <v>12</v>
      </c>
      <c r="AM25">
        <f t="shared" si="40"/>
        <v>12</v>
      </c>
      <c r="AN25">
        <f t="shared" si="40"/>
        <v>12</v>
      </c>
      <c r="AO25">
        <f t="shared" si="40"/>
        <v>12</v>
      </c>
      <c r="AP25">
        <f t="shared" si="40"/>
        <v>12</v>
      </c>
      <c r="AQ25">
        <f t="shared" si="40"/>
        <v>12</v>
      </c>
      <c r="AR25">
        <f t="shared" si="41"/>
        <v>12</v>
      </c>
      <c r="AS25">
        <f t="shared" si="41"/>
        <v>12</v>
      </c>
      <c r="AT25">
        <f t="shared" si="41"/>
        <v>12</v>
      </c>
      <c r="AU25">
        <f t="shared" si="41"/>
        <v>12</v>
      </c>
      <c r="AV25">
        <f t="shared" si="41"/>
        <v>12</v>
      </c>
      <c r="AW25">
        <f t="shared" si="41"/>
        <v>12</v>
      </c>
      <c r="AX25">
        <f t="shared" si="41"/>
        <v>12</v>
      </c>
      <c r="BB25" s="32">
        <f t="shared" si="9"/>
        <v>6</v>
      </c>
      <c r="BC25" s="32">
        <f t="shared" si="10"/>
        <v>24</v>
      </c>
      <c r="BD25" s="32">
        <f t="shared" si="11"/>
        <v>0</v>
      </c>
      <c r="BE25" s="32">
        <f t="shared" si="12"/>
        <v>0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20</v>
      </c>
      <c r="B26" s="22">
        <f>Database!F26</f>
        <v>0</v>
      </c>
      <c r="C26">
        <f>IF(Database!H26="cansl",0,Database!L26)</f>
        <v>0</v>
      </c>
      <c r="D26">
        <f>Database!E26-Database!D26</f>
        <v>0</v>
      </c>
      <c r="F26">
        <f>Database!M26</f>
        <v>0</v>
      </c>
      <c r="G26">
        <f>Database!G26</f>
        <v>0</v>
      </c>
      <c r="K26">
        <f t="shared" si="0"/>
        <v>0</v>
      </c>
      <c r="L26">
        <f t="shared" si="1"/>
        <v>0</v>
      </c>
      <c r="M26">
        <f t="shared" si="32"/>
        <v>0</v>
      </c>
      <c r="N26">
        <f t="shared" si="38"/>
        <v>0</v>
      </c>
      <c r="O26">
        <f t="shared" si="38"/>
        <v>0</v>
      </c>
      <c r="P26">
        <f t="shared" si="38"/>
        <v>0</v>
      </c>
      <c r="Q26">
        <f t="shared" si="38"/>
        <v>0</v>
      </c>
      <c r="R26">
        <f t="shared" si="38"/>
        <v>0</v>
      </c>
      <c r="S26">
        <f t="shared" si="38"/>
        <v>0</v>
      </c>
      <c r="T26">
        <f t="shared" si="38"/>
        <v>0</v>
      </c>
      <c r="U26">
        <f t="shared" si="38"/>
        <v>0</v>
      </c>
      <c r="V26">
        <f t="shared" si="38"/>
        <v>0</v>
      </c>
      <c r="W26">
        <f t="shared" si="38"/>
        <v>0</v>
      </c>
      <c r="X26">
        <f t="shared" si="39"/>
        <v>0</v>
      </c>
      <c r="Y26">
        <f t="shared" si="39"/>
        <v>0</v>
      </c>
      <c r="Z26">
        <f t="shared" si="39"/>
        <v>0</v>
      </c>
      <c r="AA26">
        <f t="shared" si="39"/>
        <v>0</v>
      </c>
      <c r="AB26">
        <f t="shared" si="39"/>
        <v>0</v>
      </c>
      <c r="AC26">
        <f t="shared" si="39"/>
        <v>0</v>
      </c>
      <c r="AD26">
        <f t="shared" si="39"/>
        <v>0</v>
      </c>
      <c r="AE26">
        <f t="shared" si="39"/>
        <v>0</v>
      </c>
      <c r="AF26">
        <f t="shared" si="39"/>
        <v>0</v>
      </c>
      <c r="AG26">
        <f t="shared" si="39"/>
        <v>0</v>
      </c>
      <c r="AH26">
        <f t="shared" si="40"/>
        <v>0</v>
      </c>
      <c r="AI26">
        <f t="shared" si="40"/>
        <v>0</v>
      </c>
      <c r="AJ26">
        <f t="shared" si="40"/>
        <v>0</v>
      </c>
      <c r="AK26">
        <f t="shared" si="40"/>
        <v>0</v>
      </c>
      <c r="AL26">
        <f t="shared" si="40"/>
        <v>0</v>
      </c>
      <c r="AM26">
        <f t="shared" si="40"/>
        <v>0</v>
      </c>
      <c r="AN26">
        <f t="shared" si="40"/>
        <v>0</v>
      </c>
      <c r="AO26">
        <f t="shared" si="40"/>
        <v>0</v>
      </c>
      <c r="AP26">
        <f t="shared" si="40"/>
        <v>0</v>
      </c>
      <c r="AQ26">
        <f t="shared" si="40"/>
        <v>0</v>
      </c>
      <c r="AR26">
        <f t="shared" si="41"/>
        <v>0</v>
      </c>
      <c r="AS26">
        <f t="shared" si="41"/>
        <v>0</v>
      </c>
      <c r="AT26">
        <f t="shared" si="41"/>
        <v>0</v>
      </c>
      <c r="AU26">
        <f t="shared" si="41"/>
        <v>0</v>
      </c>
      <c r="AV26">
        <f t="shared" si="41"/>
        <v>0</v>
      </c>
      <c r="AW26">
        <f t="shared" si="41"/>
        <v>0</v>
      </c>
      <c r="AX26">
        <f t="shared" si="41"/>
        <v>0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0</v>
      </c>
      <c r="BM26" s="32">
        <f t="shared" si="20"/>
        <v>0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0</v>
      </c>
      <c r="BS26">
        <f t="shared" si="23"/>
        <v>0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20</v>
      </c>
      <c r="B27" s="22">
        <f>Database!F27</f>
        <v>0</v>
      </c>
      <c r="C27">
        <f>IF(Database!H27="cansl",0,Database!L27)</f>
        <v>0</v>
      </c>
      <c r="D27">
        <f>Database!E27-Database!D27</f>
        <v>0</v>
      </c>
      <c r="F27">
        <f>Database!M27</f>
        <v>0</v>
      </c>
      <c r="G27">
        <f>Database!G27</f>
        <v>0</v>
      </c>
      <c r="K27">
        <f t="shared" si="0"/>
        <v>0</v>
      </c>
      <c r="L27">
        <f t="shared" si="1"/>
        <v>0</v>
      </c>
      <c r="M27">
        <f t="shared" si="32"/>
        <v>0</v>
      </c>
      <c r="N27">
        <f t="shared" si="38"/>
        <v>0</v>
      </c>
      <c r="O27">
        <f t="shared" si="38"/>
        <v>0</v>
      </c>
      <c r="P27">
        <f t="shared" si="38"/>
        <v>0</v>
      </c>
      <c r="Q27">
        <f t="shared" si="38"/>
        <v>0</v>
      </c>
      <c r="R27">
        <f t="shared" si="38"/>
        <v>0</v>
      </c>
      <c r="S27">
        <f t="shared" si="38"/>
        <v>0</v>
      </c>
      <c r="T27">
        <f t="shared" si="38"/>
        <v>0</v>
      </c>
      <c r="U27">
        <f t="shared" si="38"/>
        <v>0</v>
      </c>
      <c r="V27">
        <f t="shared" si="38"/>
        <v>0</v>
      </c>
      <c r="W27">
        <f t="shared" si="38"/>
        <v>0</v>
      </c>
      <c r="X27">
        <f t="shared" si="39"/>
        <v>0</v>
      </c>
      <c r="Y27">
        <f t="shared" si="39"/>
        <v>0</v>
      </c>
      <c r="Z27">
        <f t="shared" si="39"/>
        <v>0</v>
      </c>
      <c r="AA27">
        <f t="shared" si="39"/>
        <v>0</v>
      </c>
      <c r="AB27">
        <f t="shared" si="39"/>
        <v>0</v>
      </c>
      <c r="AC27">
        <f t="shared" si="39"/>
        <v>0</v>
      </c>
      <c r="AD27">
        <f t="shared" si="39"/>
        <v>0</v>
      </c>
      <c r="AE27">
        <f t="shared" si="39"/>
        <v>0</v>
      </c>
      <c r="AF27">
        <f t="shared" si="39"/>
        <v>0</v>
      </c>
      <c r="AG27">
        <f t="shared" si="39"/>
        <v>0</v>
      </c>
      <c r="AH27">
        <f t="shared" si="40"/>
        <v>0</v>
      </c>
      <c r="AI27">
        <f t="shared" si="40"/>
        <v>0</v>
      </c>
      <c r="AJ27">
        <f t="shared" si="40"/>
        <v>0</v>
      </c>
      <c r="AK27">
        <f t="shared" si="40"/>
        <v>0</v>
      </c>
      <c r="AL27">
        <f t="shared" si="40"/>
        <v>0</v>
      </c>
      <c r="AM27">
        <f t="shared" si="40"/>
        <v>0</v>
      </c>
      <c r="AN27">
        <f t="shared" si="40"/>
        <v>0</v>
      </c>
      <c r="AO27">
        <f t="shared" si="40"/>
        <v>0</v>
      </c>
      <c r="AP27">
        <f t="shared" si="40"/>
        <v>0</v>
      </c>
      <c r="AQ27">
        <f t="shared" si="40"/>
        <v>0</v>
      </c>
      <c r="AR27">
        <f t="shared" si="41"/>
        <v>0</v>
      </c>
      <c r="AS27">
        <f t="shared" si="41"/>
        <v>0</v>
      </c>
      <c r="AT27">
        <f t="shared" si="41"/>
        <v>0</v>
      </c>
      <c r="AU27">
        <f t="shared" si="41"/>
        <v>0</v>
      </c>
      <c r="AV27">
        <f t="shared" si="41"/>
        <v>0</v>
      </c>
      <c r="AW27">
        <f t="shared" si="41"/>
        <v>0</v>
      </c>
      <c r="AX27">
        <f t="shared" si="41"/>
        <v>0</v>
      </c>
      <c r="BB27" s="32">
        <f t="shared" si="9"/>
        <v>0</v>
      </c>
      <c r="BC27" s="32">
        <f t="shared" si="10"/>
        <v>0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21</v>
      </c>
      <c r="B28" s="22">
        <f>Database!F28</f>
        <v>46009</v>
      </c>
      <c r="C28">
        <f>IF(Database!H28="cansl",0,Database!L28)</f>
        <v>1</v>
      </c>
      <c r="D28">
        <f>Database!E28-Database!D28</f>
        <v>5</v>
      </c>
      <c r="F28">
        <f>Database!M28</f>
        <v>2</v>
      </c>
      <c r="G28" t="str">
        <f>Database!G28</f>
        <v>S</v>
      </c>
      <c r="K28">
        <f t="shared" si="0"/>
        <v>5</v>
      </c>
      <c r="L28">
        <f t="shared" si="1"/>
        <v>5</v>
      </c>
      <c r="M28">
        <f t="shared" si="32"/>
        <v>5</v>
      </c>
      <c r="N28">
        <f t="shared" si="38"/>
        <v>5</v>
      </c>
      <c r="O28">
        <f t="shared" si="38"/>
        <v>5</v>
      </c>
      <c r="P28">
        <f t="shared" si="38"/>
        <v>5</v>
      </c>
      <c r="Q28">
        <f t="shared" si="38"/>
        <v>5</v>
      </c>
      <c r="R28">
        <f t="shared" si="38"/>
        <v>5</v>
      </c>
      <c r="S28">
        <f t="shared" si="38"/>
        <v>5</v>
      </c>
      <c r="T28">
        <f t="shared" si="38"/>
        <v>5</v>
      </c>
      <c r="U28">
        <f t="shared" si="38"/>
        <v>5</v>
      </c>
      <c r="V28">
        <f t="shared" si="38"/>
        <v>5</v>
      </c>
      <c r="W28">
        <f t="shared" si="38"/>
        <v>5</v>
      </c>
      <c r="X28">
        <f t="shared" si="39"/>
        <v>5</v>
      </c>
      <c r="Y28">
        <f t="shared" si="39"/>
        <v>5</v>
      </c>
      <c r="Z28">
        <f t="shared" si="39"/>
        <v>5</v>
      </c>
      <c r="AA28">
        <f t="shared" si="39"/>
        <v>5</v>
      </c>
      <c r="AB28">
        <f t="shared" si="39"/>
        <v>5</v>
      </c>
      <c r="AC28">
        <f t="shared" si="39"/>
        <v>5</v>
      </c>
      <c r="AD28">
        <f t="shared" si="39"/>
        <v>5</v>
      </c>
      <c r="AE28">
        <f t="shared" si="39"/>
        <v>5</v>
      </c>
      <c r="AF28">
        <f t="shared" si="39"/>
        <v>5</v>
      </c>
      <c r="AG28">
        <f t="shared" si="39"/>
        <v>5</v>
      </c>
      <c r="AH28">
        <f t="shared" si="40"/>
        <v>5</v>
      </c>
      <c r="AI28">
        <f t="shared" si="40"/>
        <v>5</v>
      </c>
      <c r="AJ28">
        <f t="shared" si="40"/>
        <v>5</v>
      </c>
      <c r="AK28">
        <f t="shared" si="40"/>
        <v>5</v>
      </c>
      <c r="AL28">
        <f t="shared" si="40"/>
        <v>5</v>
      </c>
      <c r="AM28">
        <f t="shared" si="40"/>
        <v>5</v>
      </c>
      <c r="AN28">
        <f t="shared" si="40"/>
        <v>5</v>
      </c>
      <c r="AO28">
        <f t="shared" si="40"/>
        <v>5</v>
      </c>
      <c r="AP28">
        <f t="shared" si="40"/>
        <v>5</v>
      </c>
      <c r="AQ28">
        <f t="shared" si="40"/>
        <v>5</v>
      </c>
      <c r="AR28">
        <f t="shared" si="41"/>
        <v>5</v>
      </c>
      <c r="AS28">
        <f t="shared" si="41"/>
        <v>5</v>
      </c>
      <c r="AT28">
        <f t="shared" si="41"/>
        <v>5</v>
      </c>
      <c r="AU28">
        <f t="shared" si="41"/>
        <v>5</v>
      </c>
      <c r="AV28">
        <f t="shared" si="41"/>
        <v>5</v>
      </c>
      <c r="AW28">
        <f t="shared" si="41"/>
        <v>5</v>
      </c>
      <c r="AX28">
        <f t="shared" si="41"/>
        <v>5</v>
      </c>
      <c r="BB28" s="32">
        <f t="shared" si="9"/>
        <v>0</v>
      </c>
      <c r="BC28" s="32">
        <f t="shared" si="10"/>
        <v>0</v>
      </c>
      <c r="BD28" s="32">
        <f t="shared" si="11"/>
        <v>2</v>
      </c>
      <c r="BE28" s="32">
        <f t="shared" si="12"/>
        <v>10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22</v>
      </c>
      <c r="B29" s="22">
        <f>Database!F29</f>
        <v>46016</v>
      </c>
      <c r="C29">
        <f>IF(Database!H29="cansl",0,Database!L29)</f>
        <v>1</v>
      </c>
      <c r="D29">
        <f>Database!E29-Database!D29</f>
        <v>11</v>
      </c>
      <c r="F29">
        <f>Database!M29</f>
        <v>2</v>
      </c>
      <c r="G29" t="str">
        <f>Database!G29</f>
        <v>D</v>
      </c>
      <c r="K29">
        <f t="shared" si="0"/>
        <v>11</v>
      </c>
      <c r="L29">
        <f t="shared" si="1"/>
        <v>11</v>
      </c>
      <c r="M29">
        <f t="shared" si="32"/>
        <v>11</v>
      </c>
      <c r="N29">
        <f t="shared" si="38"/>
        <v>11</v>
      </c>
      <c r="O29">
        <f t="shared" si="38"/>
        <v>11</v>
      </c>
      <c r="P29">
        <f t="shared" si="38"/>
        <v>11</v>
      </c>
      <c r="Q29">
        <f t="shared" si="38"/>
        <v>11</v>
      </c>
      <c r="R29">
        <f t="shared" si="38"/>
        <v>11</v>
      </c>
      <c r="S29">
        <f t="shared" si="38"/>
        <v>11</v>
      </c>
      <c r="T29">
        <f t="shared" si="38"/>
        <v>11</v>
      </c>
      <c r="U29">
        <f t="shared" si="38"/>
        <v>11</v>
      </c>
      <c r="V29">
        <f t="shared" si="38"/>
        <v>11</v>
      </c>
      <c r="W29">
        <f t="shared" si="38"/>
        <v>11</v>
      </c>
      <c r="X29">
        <f t="shared" si="39"/>
        <v>11</v>
      </c>
      <c r="Y29">
        <f t="shared" si="39"/>
        <v>11</v>
      </c>
      <c r="Z29">
        <f t="shared" si="39"/>
        <v>11</v>
      </c>
      <c r="AA29">
        <f t="shared" si="39"/>
        <v>11</v>
      </c>
      <c r="AB29">
        <f t="shared" si="39"/>
        <v>11</v>
      </c>
      <c r="AC29">
        <f t="shared" si="39"/>
        <v>11</v>
      </c>
      <c r="AD29">
        <f t="shared" si="39"/>
        <v>11</v>
      </c>
      <c r="AE29">
        <f t="shared" si="39"/>
        <v>11</v>
      </c>
      <c r="AF29">
        <f t="shared" si="39"/>
        <v>11</v>
      </c>
      <c r="AG29">
        <f t="shared" si="39"/>
        <v>11</v>
      </c>
      <c r="AH29">
        <f t="shared" si="40"/>
        <v>11</v>
      </c>
      <c r="AI29">
        <f t="shared" si="40"/>
        <v>11</v>
      </c>
      <c r="AJ29">
        <f t="shared" si="40"/>
        <v>11</v>
      </c>
      <c r="AK29">
        <f t="shared" si="40"/>
        <v>11</v>
      </c>
      <c r="AL29">
        <f t="shared" si="40"/>
        <v>11</v>
      </c>
      <c r="AM29">
        <f t="shared" si="40"/>
        <v>11</v>
      </c>
      <c r="AN29">
        <f t="shared" si="40"/>
        <v>11</v>
      </c>
      <c r="AO29">
        <f t="shared" si="40"/>
        <v>11</v>
      </c>
      <c r="AP29">
        <f t="shared" si="40"/>
        <v>11</v>
      </c>
      <c r="AQ29">
        <f t="shared" si="40"/>
        <v>11</v>
      </c>
      <c r="AR29">
        <f t="shared" si="41"/>
        <v>11</v>
      </c>
      <c r="AS29">
        <f t="shared" si="41"/>
        <v>11</v>
      </c>
      <c r="AT29">
        <f t="shared" si="41"/>
        <v>11</v>
      </c>
      <c r="AU29">
        <f t="shared" si="41"/>
        <v>11</v>
      </c>
      <c r="AV29">
        <f t="shared" si="41"/>
        <v>11</v>
      </c>
      <c r="AW29">
        <f t="shared" si="41"/>
        <v>11</v>
      </c>
      <c r="AX29">
        <f t="shared" si="41"/>
        <v>11</v>
      </c>
      <c r="BB29" s="32">
        <f t="shared" si="9"/>
        <v>0</v>
      </c>
      <c r="BC29" s="32">
        <f t="shared" si="10"/>
        <v>0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2</v>
      </c>
      <c r="BI29" s="32">
        <f t="shared" si="16"/>
        <v>22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23</v>
      </c>
      <c r="B30" s="22">
        <f>Database!F30</f>
        <v>46017</v>
      </c>
      <c r="C30">
        <f>IF(Database!H30="cansl",0,Database!L30)</f>
        <v>1</v>
      </c>
      <c r="D30">
        <f>Database!E30-Database!D30</f>
        <v>3</v>
      </c>
      <c r="F30">
        <f>Database!M30</f>
        <v>2</v>
      </c>
      <c r="G30" t="str">
        <f>Database!G30</f>
        <v>DK</v>
      </c>
      <c r="K30">
        <f t="shared" si="0"/>
        <v>3</v>
      </c>
      <c r="L30">
        <f t="shared" si="1"/>
        <v>3</v>
      </c>
      <c r="M30">
        <f t="shared" si="32"/>
        <v>3</v>
      </c>
      <c r="N30">
        <f t="shared" si="38"/>
        <v>3</v>
      </c>
      <c r="O30">
        <f t="shared" si="38"/>
        <v>3</v>
      </c>
      <c r="P30">
        <f t="shared" si="38"/>
        <v>3</v>
      </c>
      <c r="Q30">
        <f t="shared" si="38"/>
        <v>3</v>
      </c>
      <c r="R30">
        <f t="shared" si="38"/>
        <v>3</v>
      </c>
      <c r="S30">
        <f t="shared" si="38"/>
        <v>3</v>
      </c>
      <c r="T30">
        <f t="shared" si="38"/>
        <v>3</v>
      </c>
      <c r="U30">
        <f t="shared" si="38"/>
        <v>3</v>
      </c>
      <c r="V30">
        <f t="shared" si="38"/>
        <v>3</v>
      </c>
      <c r="W30">
        <f t="shared" si="38"/>
        <v>3</v>
      </c>
      <c r="X30">
        <f t="shared" si="39"/>
        <v>3</v>
      </c>
      <c r="Y30">
        <f t="shared" si="39"/>
        <v>3</v>
      </c>
      <c r="Z30">
        <f t="shared" si="39"/>
        <v>3</v>
      </c>
      <c r="AA30">
        <f t="shared" si="39"/>
        <v>3</v>
      </c>
      <c r="AB30">
        <f t="shared" si="39"/>
        <v>3</v>
      </c>
      <c r="AC30">
        <f t="shared" si="39"/>
        <v>3</v>
      </c>
      <c r="AD30">
        <f t="shared" si="39"/>
        <v>3</v>
      </c>
      <c r="AE30">
        <f t="shared" si="39"/>
        <v>3</v>
      </c>
      <c r="AF30">
        <f t="shared" si="39"/>
        <v>3</v>
      </c>
      <c r="AG30">
        <f t="shared" si="39"/>
        <v>3</v>
      </c>
      <c r="AH30">
        <f t="shared" si="40"/>
        <v>3</v>
      </c>
      <c r="AI30">
        <f t="shared" si="40"/>
        <v>3</v>
      </c>
      <c r="AJ30">
        <f t="shared" si="40"/>
        <v>3</v>
      </c>
      <c r="AK30">
        <f t="shared" si="40"/>
        <v>3</v>
      </c>
      <c r="AL30">
        <f t="shared" si="40"/>
        <v>3</v>
      </c>
      <c r="AM30">
        <f t="shared" si="40"/>
        <v>3</v>
      </c>
      <c r="AN30">
        <f t="shared" si="40"/>
        <v>3</v>
      </c>
      <c r="AO30">
        <f t="shared" si="40"/>
        <v>3</v>
      </c>
      <c r="AP30">
        <f t="shared" si="40"/>
        <v>3</v>
      </c>
      <c r="AQ30">
        <f t="shared" si="40"/>
        <v>3</v>
      </c>
      <c r="AR30">
        <f t="shared" si="41"/>
        <v>3</v>
      </c>
      <c r="AS30">
        <f t="shared" si="41"/>
        <v>3</v>
      </c>
      <c r="AT30">
        <f t="shared" si="41"/>
        <v>3</v>
      </c>
      <c r="AU30">
        <f t="shared" si="41"/>
        <v>3</v>
      </c>
      <c r="AV30">
        <f t="shared" si="41"/>
        <v>3</v>
      </c>
      <c r="AW30">
        <f t="shared" si="41"/>
        <v>3</v>
      </c>
      <c r="AX30">
        <f t="shared" si="41"/>
        <v>3</v>
      </c>
      <c r="BB30" s="32">
        <f t="shared" si="9"/>
        <v>2</v>
      </c>
      <c r="BC30" s="32">
        <f t="shared" si="10"/>
        <v>6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24</v>
      </c>
      <c r="B31" s="22">
        <f>Database!F31</f>
        <v>46016</v>
      </c>
      <c r="C31">
        <f>IF(Database!H31="cansl",0,Database!L31)</f>
        <v>1</v>
      </c>
      <c r="D31">
        <f>Database!E31-Database!D31</f>
        <v>3</v>
      </c>
      <c r="F31">
        <f>Database!M31</f>
        <v>2</v>
      </c>
      <c r="G31" t="str">
        <f>Database!G31</f>
        <v>S</v>
      </c>
      <c r="K31">
        <f t="shared" si="0"/>
        <v>3</v>
      </c>
      <c r="L31">
        <f t="shared" si="1"/>
        <v>3</v>
      </c>
      <c r="M31">
        <f t="shared" si="32"/>
        <v>3</v>
      </c>
      <c r="N31">
        <f t="shared" si="38"/>
        <v>3</v>
      </c>
      <c r="O31">
        <f t="shared" si="38"/>
        <v>3</v>
      </c>
      <c r="P31">
        <f t="shared" si="38"/>
        <v>3</v>
      </c>
      <c r="Q31">
        <f t="shared" si="38"/>
        <v>3</v>
      </c>
      <c r="R31">
        <f t="shared" si="38"/>
        <v>3</v>
      </c>
      <c r="S31">
        <f t="shared" si="38"/>
        <v>3</v>
      </c>
      <c r="T31">
        <f t="shared" si="38"/>
        <v>3</v>
      </c>
      <c r="U31">
        <f t="shared" si="38"/>
        <v>3</v>
      </c>
      <c r="V31">
        <f t="shared" si="38"/>
        <v>3</v>
      </c>
      <c r="W31">
        <f t="shared" si="38"/>
        <v>3</v>
      </c>
      <c r="X31">
        <f t="shared" si="39"/>
        <v>3</v>
      </c>
      <c r="Y31">
        <f t="shared" si="39"/>
        <v>3</v>
      </c>
      <c r="Z31">
        <f t="shared" si="39"/>
        <v>3</v>
      </c>
      <c r="AA31">
        <f t="shared" si="39"/>
        <v>3</v>
      </c>
      <c r="AB31">
        <f t="shared" si="39"/>
        <v>3</v>
      </c>
      <c r="AC31">
        <f t="shared" si="39"/>
        <v>3</v>
      </c>
      <c r="AD31">
        <f t="shared" si="39"/>
        <v>3</v>
      </c>
      <c r="AE31">
        <f t="shared" si="39"/>
        <v>3</v>
      </c>
      <c r="AF31">
        <f t="shared" si="39"/>
        <v>3</v>
      </c>
      <c r="AG31">
        <f t="shared" si="39"/>
        <v>3</v>
      </c>
      <c r="AH31">
        <f t="shared" si="40"/>
        <v>3</v>
      </c>
      <c r="AI31">
        <f t="shared" si="40"/>
        <v>3</v>
      </c>
      <c r="AJ31">
        <f t="shared" si="40"/>
        <v>3</v>
      </c>
      <c r="AK31">
        <f t="shared" si="40"/>
        <v>3</v>
      </c>
      <c r="AL31">
        <f t="shared" si="40"/>
        <v>3</v>
      </c>
      <c r="AM31">
        <f t="shared" si="40"/>
        <v>3</v>
      </c>
      <c r="AN31">
        <f t="shared" si="40"/>
        <v>3</v>
      </c>
      <c r="AO31">
        <f t="shared" si="40"/>
        <v>3</v>
      </c>
      <c r="AP31">
        <f t="shared" si="40"/>
        <v>3</v>
      </c>
      <c r="AQ31">
        <f t="shared" si="40"/>
        <v>3</v>
      </c>
      <c r="AR31">
        <f t="shared" si="41"/>
        <v>3</v>
      </c>
      <c r="AS31">
        <f t="shared" si="41"/>
        <v>3</v>
      </c>
      <c r="AT31">
        <f t="shared" si="41"/>
        <v>3</v>
      </c>
      <c r="AU31">
        <f t="shared" si="41"/>
        <v>3</v>
      </c>
      <c r="AV31">
        <f t="shared" si="41"/>
        <v>3</v>
      </c>
      <c r="AW31">
        <f t="shared" si="41"/>
        <v>3</v>
      </c>
      <c r="AX31">
        <f t="shared" si="41"/>
        <v>3</v>
      </c>
      <c r="BB31" s="32">
        <f t="shared" si="9"/>
        <v>0</v>
      </c>
      <c r="BC31" s="32">
        <f t="shared" si="10"/>
        <v>0</v>
      </c>
      <c r="BD31" s="32">
        <f t="shared" si="11"/>
        <v>2</v>
      </c>
      <c r="BE31" s="32">
        <f t="shared" si="12"/>
        <v>6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25</v>
      </c>
      <c r="B32" s="22">
        <f>Database!F32</f>
        <v>46017</v>
      </c>
      <c r="C32">
        <f>IF(Database!H32="cansl",0,Database!L32)</f>
        <v>1</v>
      </c>
      <c r="D32">
        <f>Database!E32-Database!D32</f>
        <v>5</v>
      </c>
      <c r="F32">
        <f>Database!M32</f>
        <v>1</v>
      </c>
      <c r="G32" t="str">
        <f>Database!G32</f>
        <v>CH</v>
      </c>
      <c r="K32">
        <f t="shared" si="0"/>
        <v>5</v>
      </c>
      <c r="L32">
        <f t="shared" si="1"/>
        <v>5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0</v>
      </c>
      <c r="BC32" s="32">
        <f t="shared" si="10"/>
        <v>0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1</v>
      </c>
      <c r="BM32" s="32">
        <f t="shared" si="20"/>
        <v>5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1</v>
      </c>
      <c r="BS32">
        <f t="shared" si="23"/>
        <v>5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26</v>
      </c>
      <c r="B33" s="22">
        <f>Database!F33</f>
        <v>46019</v>
      </c>
      <c r="C33">
        <f>IF(Database!H33="cansl",0,Database!L33)</f>
        <v>1</v>
      </c>
      <c r="D33">
        <f>Database!E33-Database!D33</f>
        <v>4</v>
      </c>
      <c r="F33">
        <f>Database!M33</f>
        <v>2</v>
      </c>
      <c r="G33" t="str">
        <f>Database!G33</f>
        <v>DK</v>
      </c>
      <c r="K33">
        <f t="shared" si="0"/>
        <v>4</v>
      </c>
      <c r="L33">
        <f t="shared" si="1"/>
        <v>4</v>
      </c>
      <c r="M33">
        <f t="shared" si="32"/>
        <v>4</v>
      </c>
      <c r="N33">
        <f t="shared" ref="N33:W42" si="42">IF($B33&lt;N$1,$C33*$D33,0)</f>
        <v>4</v>
      </c>
      <c r="O33">
        <f t="shared" si="42"/>
        <v>4</v>
      </c>
      <c r="P33">
        <f t="shared" si="42"/>
        <v>4</v>
      </c>
      <c r="Q33">
        <f t="shared" si="42"/>
        <v>4</v>
      </c>
      <c r="R33">
        <f t="shared" si="42"/>
        <v>4</v>
      </c>
      <c r="S33">
        <f t="shared" si="42"/>
        <v>4</v>
      </c>
      <c r="T33">
        <f t="shared" si="42"/>
        <v>4</v>
      </c>
      <c r="U33">
        <f t="shared" si="42"/>
        <v>4</v>
      </c>
      <c r="V33">
        <f t="shared" si="42"/>
        <v>4</v>
      </c>
      <c r="W33">
        <f t="shared" si="42"/>
        <v>4</v>
      </c>
      <c r="X33">
        <f t="shared" ref="X33:AG42" si="43">IF($B33&lt;X$1,$C33*$D33,0)</f>
        <v>4</v>
      </c>
      <c r="Y33">
        <f t="shared" si="43"/>
        <v>4</v>
      </c>
      <c r="Z33">
        <f t="shared" si="43"/>
        <v>4</v>
      </c>
      <c r="AA33">
        <f t="shared" si="43"/>
        <v>4</v>
      </c>
      <c r="AB33">
        <f t="shared" si="43"/>
        <v>4</v>
      </c>
      <c r="AC33">
        <f t="shared" si="43"/>
        <v>4</v>
      </c>
      <c r="AD33">
        <f t="shared" si="43"/>
        <v>4</v>
      </c>
      <c r="AE33">
        <f t="shared" si="43"/>
        <v>4</v>
      </c>
      <c r="AF33">
        <f t="shared" si="43"/>
        <v>4</v>
      </c>
      <c r="AG33">
        <f t="shared" si="43"/>
        <v>4</v>
      </c>
      <c r="AH33">
        <f t="shared" ref="AH33:AQ42" si="44">IF($B33&lt;AH$1,$C33*$D33,0)</f>
        <v>4</v>
      </c>
      <c r="AI33">
        <f t="shared" si="44"/>
        <v>4</v>
      </c>
      <c r="AJ33">
        <f t="shared" si="44"/>
        <v>4</v>
      </c>
      <c r="AK33">
        <f t="shared" si="44"/>
        <v>4</v>
      </c>
      <c r="AL33">
        <f t="shared" si="44"/>
        <v>4</v>
      </c>
      <c r="AM33">
        <f t="shared" si="44"/>
        <v>4</v>
      </c>
      <c r="AN33">
        <f t="shared" si="44"/>
        <v>4</v>
      </c>
      <c r="AO33">
        <f t="shared" si="44"/>
        <v>4</v>
      </c>
      <c r="AP33">
        <f t="shared" si="44"/>
        <v>4</v>
      </c>
      <c r="AQ33">
        <f t="shared" si="44"/>
        <v>4</v>
      </c>
      <c r="AR33">
        <f t="shared" ref="AR33:AX42" si="45">IF($B33&lt;AR$1,$C33*$D33,0)</f>
        <v>4</v>
      </c>
      <c r="AS33">
        <f t="shared" si="45"/>
        <v>4</v>
      </c>
      <c r="AT33">
        <f t="shared" si="45"/>
        <v>4</v>
      </c>
      <c r="AU33">
        <f t="shared" si="45"/>
        <v>4</v>
      </c>
      <c r="AV33">
        <f t="shared" si="45"/>
        <v>4</v>
      </c>
      <c r="AW33">
        <f t="shared" si="45"/>
        <v>4</v>
      </c>
      <c r="AX33">
        <f t="shared" si="45"/>
        <v>4</v>
      </c>
      <c r="BB33" s="32">
        <f t="shared" si="9"/>
        <v>2</v>
      </c>
      <c r="BC33" s="32">
        <f t="shared" si="10"/>
        <v>8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0</v>
      </c>
      <c r="BI33" s="32">
        <f t="shared" si="16"/>
        <v>0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27</v>
      </c>
      <c r="B34" s="22">
        <f>Database!F34</f>
        <v>46021</v>
      </c>
      <c r="C34">
        <f>IF(Database!H34="cansl",0,Database!L34)</f>
        <v>1</v>
      </c>
      <c r="D34">
        <f>Database!E34-Database!D34</f>
        <v>6</v>
      </c>
      <c r="F34">
        <f>Database!M34</f>
        <v>2</v>
      </c>
      <c r="G34" t="str">
        <f>Database!G34</f>
        <v>DK</v>
      </c>
      <c r="K34">
        <f t="shared" ref="K34:K65" si="46">IF(B34&lt;$K$1,C34*D34,0)</f>
        <v>0</v>
      </c>
      <c r="L34">
        <f t="shared" ref="L34:L65" si="47">IF(B34&lt;$L$1,C34*D34,0)</f>
        <v>6</v>
      </c>
      <c r="M34">
        <f t="shared" si="32"/>
        <v>6</v>
      </c>
      <c r="N34">
        <f t="shared" si="42"/>
        <v>6</v>
      </c>
      <c r="O34">
        <f t="shared" si="42"/>
        <v>6</v>
      </c>
      <c r="P34">
        <f t="shared" si="42"/>
        <v>6</v>
      </c>
      <c r="Q34">
        <f t="shared" si="42"/>
        <v>6</v>
      </c>
      <c r="R34">
        <f t="shared" si="42"/>
        <v>6</v>
      </c>
      <c r="S34">
        <f t="shared" si="42"/>
        <v>6</v>
      </c>
      <c r="T34">
        <f t="shared" si="42"/>
        <v>6</v>
      </c>
      <c r="U34">
        <f t="shared" si="42"/>
        <v>6</v>
      </c>
      <c r="V34">
        <f t="shared" si="42"/>
        <v>6</v>
      </c>
      <c r="W34">
        <f t="shared" si="42"/>
        <v>6</v>
      </c>
      <c r="X34">
        <f t="shared" si="43"/>
        <v>6</v>
      </c>
      <c r="Y34">
        <f t="shared" si="43"/>
        <v>6</v>
      </c>
      <c r="Z34">
        <f t="shared" si="43"/>
        <v>6</v>
      </c>
      <c r="AA34">
        <f t="shared" si="43"/>
        <v>6</v>
      </c>
      <c r="AB34">
        <f t="shared" si="43"/>
        <v>6</v>
      </c>
      <c r="AC34">
        <f t="shared" si="43"/>
        <v>6</v>
      </c>
      <c r="AD34">
        <f t="shared" si="43"/>
        <v>6</v>
      </c>
      <c r="AE34">
        <f t="shared" si="43"/>
        <v>6</v>
      </c>
      <c r="AF34">
        <f t="shared" si="43"/>
        <v>6</v>
      </c>
      <c r="AG34">
        <f t="shared" si="43"/>
        <v>6</v>
      </c>
      <c r="AH34">
        <f t="shared" si="44"/>
        <v>6</v>
      </c>
      <c r="AI34">
        <f t="shared" si="44"/>
        <v>6</v>
      </c>
      <c r="AJ34">
        <f t="shared" si="44"/>
        <v>6</v>
      </c>
      <c r="AK34">
        <f t="shared" si="44"/>
        <v>6</v>
      </c>
      <c r="AL34">
        <f t="shared" si="44"/>
        <v>6</v>
      </c>
      <c r="AM34">
        <f t="shared" si="44"/>
        <v>6</v>
      </c>
      <c r="AN34">
        <f t="shared" si="44"/>
        <v>6</v>
      </c>
      <c r="AO34">
        <f t="shared" si="44"/>
        <v>6</v>
      </c>
      <c r="AP34">
        <f t="shared" si="44"/>
        <v>6</v>
      </c>
      <c r="AQ34">
        <f t="shared" si="44"/>
        <v>6</v>
      </c>
      <c r="AR34">
        <f t="shared" si="45"/>
        <v>6</v>
      </c>
      <c r="AS34">
        <f t="shared" si="45"/>
        <v>6</v>
      </c>
      <c r="AT34">
        <f t="shared" si="45"/>
        <v>6</v>
      </c>
      <c r="AU34">
        <f t="shared" si="45"/>
        <v>6</v>
      </c>
      <c r="AV34">
        <f t="shared" si="45"/>
        <v>6</v>
      </c>
      <c r="AW34">
        <f t="shared" si="45"/>
        <v>6</v>
      </c>
      <c r="AX34">
        <f t="shared" si="45"/>
        <v>6</v>
      </c>
      <c r="BB34" s="32">
        <f t="shared" si="9"/>
        <v>2</v>
      </c>
      <c r="BC34" s="32">
        <f t="shared" si="10"/>
        <v>12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0</v>
      </c>
      <c r="BI34" s="32">
        <f t="shared" si="16"/>
        <v>0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28</v>
      </c>
      <c r="B35" s="22">
        <f>Database!F35</f>
        <v>46021</v>
      </c>
      <c r="C35">
        <f>IF(Database!H35="cansl",0,Database!L35)</f>
        <v>2</v>
      </c>
      <c r="D35">
        <f>Database!E35-Database!D35</f>
        <v>2</v>
      </c>
      <c r="F35">
        <f>Database!M35</f>
        <v>3</v>
      </c>
      <c r="G35" t="str">
        <f>Database!G35</f>
        <v>DK</v>
      </c>
      <c r="K35">
        <f t="shared" si="46"/>
        <v>0</v>
      </c>
      <c r="L35">
        <f t="shared" si="47"/>
        <v>4</v>
      </c>
      <c r="M35">
        <f t="shared" si="32"/>
        <v>4</v>
      </c>
      <c r="N35">
        <f t="shared" si="42"/>
        <v>4</v>
      </c>
      <c r="O35">
        <f t="shared" si="42"/>
        <v>4</v>
      </c>
      <c r="P35">
        <f t="shared" si="42"/>
        <v>4</v>
      </c>
      <c r="Q35">
        <f t="shared" si="42"/>
        <v>4</v>
      </c>
      <c r="R35">
        <f t="shared" si="42"/>
        <v>4</v>
      </c>
      <c r="S35">
        <f t="shared" si="42"/>
        <v>4</v>
      </c>
      <c r="T35">
        <f t="shared" si="42"/>
        <v>4</v>
      </c>
      <c r="U35">
        <f t="shared" si="42"/>
        <v>4</v>
      </c>
      <c r="V35">
        <f t="shared" si="42"/>
        <v>4</v>
      </c>
      <c r="W35">
        <f t="shared" si="42"/>
        <v>4</v>
      </c>
      <c r="X35">
        <f t="shared" si="43"/>
        <v>4</v>
      </c>
      <c r="Y35">
        <f t="shared" si="43"/>
        <v>4</v>
      </c>
      <c r="Z35">
        <f t="shared" si="43"/>
        <v>4</v>
      </c>
      <c r="AA35">
        <f t="shared" si="43"/>
        <v>4</v>
      </c>
      <c r="AB35">
        <f t="shared" si="43"/>
        <v>4</v>
      </c>
      <c r="AC35">
        <f t="shared" si="43"/>
        <v>4</v>
      </c>
      <c r="AD35">
        <f t="shared" si="43"/>
        <v>4</v>
      </c>
      <c r="AE35">
        <f t="shared" si="43"/>
        <v>4</v>
      </c>
      <c r="AF35">
        <f t="shared" si="43"/>
        <v>4</v>
      </c>
      <c r="AG35">
        <f t="shared" si="43"/>
        <v>4</v>
      </c>
      <c r="AH35">
        <f t="shared" si="44"/>
        <v>4</v>
      </c>
      <c r="AI35">
        <f t="shared" si="44"/>
        <v>4</v>
      </c>
      <c r="AJ35">
        <f t="shared" si="44"/>
        <v>4</v>
      </c>
      <c r="AK35">
        <f t="shared" si="44"/>
        <v>4</v>
      </c>
      <c r="AL35">
        <f t="shared" si="44"/>
        <v>4</v>
      </c>
      <c r="AM35">
        <f t="shared" si="44"/>
        <v>4</v>
      </c>
      <c r="AN35">
        <f t="shared" si="44"/>
        <v>4</v>
      </c>
      <c r="AO35">
        <f t="shared" si="44"/>
        <v>4</v>
      </c>
      <c r="AP35">
        <f t="shared" si="44"/>
        <v>4</v>
      </c>
      <c r="AQ35">
        <f t="shared" si="44"/>
        <v>4</v>
      </c>
      <c r="AR35">
        <f t="shared" si="45"/>
        <v>4</v>
      </c>
      <c r="AS35">
        <f t="shared" si="45"/>
        <v>4</v>
      </c>
      <c r="AT35">
        <f t="shared" si="45"/>
        <v>4</v>
      </c>
      <c r="AU35">
        <f t="shared" si="45"/>
        <v>4</v>
      </c>
      <c r="AV35">
        <f t="shared" si="45"/>
        <v>4</v>
      </c>
      <c r="AW35">
        <f t="shared" si="45"/>
        <v>4</v>
      </c>
      <c r="AX35">
        <f t="shared" si="45"/>
        <v>4</v>
      </c>
      <c r="BB35" s="32">
        <f t="shared" si="9"/>
        <v>3</v>
      </c>
      <c r="BC35" s="32">
        <f t="shared" si="10"/>
        <v>6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0</v>
      </c>
      <c r="BI35" s="32">
        <f t="shared" si="16"/>
        <v>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29</v>
      </c>
      <c r="B36" s="22">
        <f>Database!F36</f>
        <v>46023</v>
      </c>
      <c r="C36">
        <f>IF(Database!H36="cansl",0,Database!L36)</f>
        <v>0</v>
      </c>
      <c r="D36">
        <f>Database!E36-Database!D36</f>
        <v>2</v>
      </c>
      <c r="F36">
        <f>Database!M36</f>
        <v>0</v>
      </c>
      <c r="G36" t="str">
        <f>Database!G36</f>
        <v>PL</v>
      </c>
      <c r="K36">
        <f t="shared" si="46"/>
        <v>0</v>
      </c>
      <c r="L36">
        <f t="shared" si="47"/>
        <v>0</v>
      </c>
      <c r="M36">
        <f t="shared" si="32"/>
        <v>0</v>
      </c>
      <c r="N36">
        <f t="shared" si="42"/>
        <v>0</v>
      </c>
      <c r="O36">
        <f t="shared" si="42"/>
        <v>0</v>
      </c>
      <c r="P36">
        <f t="shared" si="42"/>
        <v>0</v>
      </c>
      <c r="Q36">
        <f t="shared" si="42"/>
        <v>0</v>
      </c>
      <c r="R36">
        <f t="shared" si="42"/>
        <v>0</v>
      </c>
      <c r="S36">
        <f t="shared" si="42"/>
        <v>0</v>
      </c>
      <c r="T36">
        <f t="shared" si="42"/>
        <v>0</v>
      </c>
      <c r="U36">
        <f t="shared" si="42"/>
        <v>0</v>
      </c>
      <c r="V36">
        <f t="shared" si="42"/>
        <v>0</v>
      </c>
      <c r="W36">
        <f t="shared" si="42"/>
        <v>0</v>
      </c>
      <c r="X36">
        <f t="shared" si="43"/>
        <v>0</v>
      </c>
      <c r="Y36">
        <f t="shared" si="43"/>
        <v>0</v>
      </c>
      <c r="Z36">
        <f t="shared" si="43"/>
        <v>0</v>
      </c>
      <c r="AA36">
        <f t="shared" si="43"/>
        <v>0</v>
      </c>
      <c r="AB36">
        <f t="shared" si="43"/>
        <v>0</v>
      </c>
      <c r="AC36">
        <f t="shared" si="43"/>
        <v>0</v>
      </c>
      <c r="AD36">
        <f t="shared" si="43"/>
        <v>0</v>
      </c>
      <c r="AE36">
        <f t="shared" si="43"/>
        <v>0</v>
      </c>
      <c r="AF36">
        <f t="shared" si="43"/>
        <v>0</v>
      </c>
      <c r="AG36">
        <f t="shared" si="43"/>
        <v>0</v>
      </c>
      <c r="AH36">
        <f t="shared" si="44"/>
        <v>0</v>
      </c>
      <c r="AI36">
        <f t="shared" si="44"/>
        <v>0</v>
      </c>
      <c r="AJ36">
        <f t="shared" si="44"/>
        <v>0</v>
      </c>
      <c r="AK36">
        <f t="shared" si="44"/>
        <v>0</v>
      </c>
      <c r="AL36">
        <f t="shared" si="44"/>
        <v>0</v>
      </c>
      <c r="AM36">
        <f t="shared" si="44"/>
        <v>0</v>
      </c>
      <c r="AN36">
        <f t="shared" si="44"/>
        <v>0</v>
      </c>
      <c r="AO36">
        <f t="shared" si="44"/>
        <v>0</v>
      </c>
      <c r="AP36">
        <f t="shared" si="44"/>
        <v>0</v>
      </c>
      <c r="AQ36">
        <f t="shared" si="44"/>
        <v>0</v>
      </c>
      <c r="AR36">
        <f t="shared" si="45"/>
        <v>0</v>
      </c>
      <c r="AS36">
        <f t="shared" si="45"/>
        <v>0</v>
      </c>
      <c r="AT36">
        <f t="shared" si="45"/>
        <v>0</v>
      </c>
      <c r="AU36">
        <f t="shared" si="45"/>
        <v>0</v>
      </c>
      <c r="AV36">
        <f t="shared" si="45"/>
        <v>0</v>
      </c>
      <c r="AW36">
        <f t="shared" si="45"/>
        <v>0</v>
      </c>
      <c r="AX36">
        <f t="shared" si="45"/>
        <v>0</v>
      </c>
      <c r="BB36" s="32">
        <f t="shared" si="9"/>
        <v>0</v>
      </c>
      <c r="BC36" s="32">
        <f t="shared" si="10"/>
        <v>0</v>
      </c>
      <c r="BD36" s="32">
        <f t="shared" si="11"/>
        <v>0</v>
      </c>
      <c r="BE36" s="32">
        <f t="shared" si="12"/>
        <v>0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28</v>
      </c>
      <c r="B37" s="22">
        <f>Database!F37</f>
        <v>0</v>
      </c>
      <c r="C37">
        <f>IF(Database!H37="cansl",0,Database!L37)</f>
        <v>0</v>
      </c>
      <c r="D37">
        <f>Database!E37-Database!D37</f>
        <v>0</v>
      </c>
      <c r="F37">
        <f>Database!M37</f>
        <v>0</v>
      </c>
      <c r="G37">
        <f>Database!G37</f>
        <v>0</v>
      </c>
      <c r="K37">
        <f t="shared" si="46"/>
        <v>0</v>
      </c>
      <c r="L37">
        <f t="shared" si="47"/>
        <v>0</v>
      </c>
      <c r="M37">
        <f t="shared" si="32"/>
        <v>0</v>
      </c>
      <c r="N37">
        <f t="shared" si="42"/>
        <v>0</v>
      </c>
      <c r="O37">
        <f t="shared" si="42"/>
        <v>0</v>
      </c>
      <c r="P37">
        <f t="shared" si="42"/>
        <v>0</v>
      </c>
      <c r="Q37">
        <f t="shared" si="42"/>
        <v>0</v>
      </c>
      <c r="R37">
        <f t="shared" si="42"/>
        <v>0</v>
      </c>
      <c r="S37">
        <f t="shared" si="42"/>
        <v>0</v>
      </c>
      <c r="T37">
        <f t="shared" si="42"/>
        <v>0</v>
      </c>
      <c r="U37">
        <f t="shared" si="42"/>
        <v>0</v>
      </c>
      <c r="V37">
        <f t="shared" si="42"/>
        <v>0</v>
      </c>
      <c r="W37">
        <f t="shared" si="42"/>
        <v>0</v>
      </c>
      <c r="X37">
        <f t="shared" si="43"/>
        <v>0</v>
      </c>
      <c r="Y37">
        <f t="shared" si="43"/>
        <v>0</v>
      </c>
      <c r="Z37">
        <f t="shared" si="43"/>
        <v>0</v>
      </c>
      <c r="AA37">
        <f t="shared" si="43"/>
        <v>0</v>
      </c>
      <c r="AB37">
        <f t="shared" si="43"/>
        <v>0</v>
      </c>
      <c r="AC37">
        <f t="shared" si="43"/>
        <v>0</v>
      </c>
      <c r="AD37">
        <f t="shared" si="43"/>
        <v>0</v>
      </c>
      <c r="AE37">
        <f t="shared" si="43"/>
        <v>0</v>
      </c>
      <c r="AF37">
        <f t="shared" si="43"/>
        <v>0</v>
      </c>
      <c r="AG37">
        <f t="shared" si="43"/>
        <v>0</v>
      </c>
      <c r="AH37">
        <f t="shared" si="44"/>
        <v>0</v>
      </c>
      <c r="AI37">
        <f t="shared" si="44"/>
        <v>0</v>
      </c>
      <c r="AJ37">
        <f t="shared" si="44"/>
        <v>0</v>
      </c>
      <c r="AK37">
        <f t="shared" si="44"/>
        <v>0</v>
      </c>
      <c r="AL37">
        <f t="shared" si="44"/>
        <v>0</v>
      </c>
      <c r="AM37">
        <f t="shared" si="44"/>
        <v>0</v>
      </c>
      <c r="AN37">
        <f t="shared" si="44"/>
        <v>0</v>
      </c>
      <c r="AO37">
        <f t="shared" si="44"/>
        <v>0</v>
      </c>
      <c r="AP37">
        <f t="shared" si="44"/>
        <v>0</v>
      </c>
      <c r="AQ37">
        <f t="shared" si="44"/>
        <v>0</v>
      </c>
      <c r="AR37">
        <f t="shared" si="45"/>
        <v>0</v>
      </c>
      <c r="AS37">
        <f t="shared" si="45"/>
        <v>0</v>
      </c>
      <c r="AT37">
        <f t="shared" si="45"/>
        <v>0</v>
      </c>
      <c r="AU37">
        <f t="shared" si="45"/>
        <v>0</v>
      </c>
      <c r="AV37">
        <f t="shared" si="45"/>
        <v>0</v>
      </c>
      <c r="AW37">
        <f t="shared" si="45"/>
        <v>0</v>
      </c>
      <c r="AX37">
        <f t="shared" si="45"/>
        <v>0</v>
      </c>
      <c r="BB37" s="32">
        <f t="shared" si="9"/>
        <v>0</v>
      </c>
      <c r="BC37" s="32">
        <f t="shared" si="10"/>
        <v>0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30</v>
      </c>
      <c r="B38" s="22">
        <f>Database!F38</f>
        <v>46025</v>
      </c>
      <c r="C38">
        <f>IF(Database!H38="cansl",0,Database!L38)</f>
        <v>1</v>
      </c>
      <c r="D38">
        <f>Database!E38-Database!D38</f>
        <v>4</v>
      </c>
      <c r="F38">
        <f>Database!M38</f>
        <v>2</v>
      </c>
      <c r="G38" t="str">
        <f>Database!G38</f>
        <v>DK</v>
      </c>
      <c r="K38">
        <f t="shared" si="46"/>
        <v>0</v>
      </c>
      <c r="L38">
        <f t="shared" si="47"/>
        <v>4</v>
      </c>
      <c r="M38">
        <f t="shared" si="32"/>
        <v>4</v>
      </c>
      <c r="N38">
        <f t="shared" si="42"/>
        <v>4</v>
      </c>
      <c r="O38">
        <f t="shared" si="42"/>
        <v>4</v>
      </c>
      <c r="P38">
        <f t="shared" si="42"/>
        <v>4</v>
      </c>
      <c r="Q38">
        <f t="shared" si="42"/>
        <v>4</v>
      </c>
      <c r="R38">
        <f t="shared" si="42"/>
        <v>4</v>
      </c>
      <c r="S38">
        <f t="shared" si="42"/>
        <v>4</v>
      </c>
      <c r="T38">
        <f t="shared" si="42"/>
        <v>4</v>
      </c>
      <c r="U38">
        <f t="shared" si="42"/>
        <v>4</v>
      </c>
      <c r="V38">
        <f t="shared" si="42"/>
        <v>4</v>
      </c>
      <c r="W38">
        <f t="shared" si="42"/>
        <v>4</v>
      </c>
      <c r="X38">
        <f t="shared" si="43"/>
        <v>4</v>
      </c>
      <c r="Y38">
        <f t="shared" si="43"/>
        <v>4</v>
      </c>
      <c r="Z38">
        <f t="shared" si="43"/>
        <v>4</v>
      </c>
      <c r="AA38">
        <f t="shared" si="43"/>
        <v>4</v>
      </c>
      <c r="AB38">
        <f t="shared" si="43"/>
        <v>4</v>
      </c>
      <c r="AC38">
        <f t="shared" si="43"/>
        <v>4</v>
      </c>
      <c r="AD38">
        <f t="shared" si="43"/>
        <v>4</v>
      </c>
      <c r="AE38">
        <f t="shared" si="43"/>
        <v>4</v>
      </c>
      <c r="AF38">
        <f t="shared" si="43"/>
        <v>4</v>
      </c>
      <c r="AG38">
        <f t="shared" si="43"/>
        <v>4</v>
      </c>
      <c r="AH38">
        <f t="shared" si="44"/>
        <v>4</v>
      </c>
      <c r="AI38">
        <f t="shared" si="44"/>
        <v>4</v>
      </c>
      <c r="AJ38">
        <f t="shared" si="44"/>
        <v>4</v>
      </c>
      <c r="AK38">
        <f t="shared" si="44"/>
        <v>4</v>
      </c>
      <c r="AL38">
        <f t="shared" si="44"/>
        <v>4</v>
      </c>
      <c r="AM38">
        <f t="shared" si="44"/>
        <v>4</v>
      </c>
      <c r="AN38">
        <f t="shared" si="44"/>
        <v>4</v>
      </c>
      <c r="AO38">
        <f t="shared" si="44"/>
        <v>4</v>
      </c>
      <c r="AP38">
        <f t="shared" si="44"/>
        <v>4</v>
      </c>
      <c r="AQ38">
        <f t="shared" si="44"/>
        <v>4</v>
      </c>
      <c r="AR38">
        <f t="shared" si="45"/>
        <v>4</v>
      </c>
      <c r="AS38">
        <f t="shared" si="45"/>
        <v>4</v>
      </c>
      <c r="AT38">
        <f t="shared" si="45"/>
        <v>4</v>
      </c>
      <c r="AU38">
        <f t="shared" si="45"/>
        <v>4</v>
      </c>
      <c r="AV38">
        <f t="shared" si="45"/>
        <v>4</v>
      </c>
      <c r="AW38">
        <f t="shared" si="45"/>
        <v>4</v>
      </c>
      <c r="AX38">
        <f t="shared" si="45"/>
        <v>4</v>
      </c>
      <c r="BB38" s="32">
        <f t="shared" si="9"/>
        <v>2</v>
      </c>
      <c r="BC38" s="32">
        <f t="shared" si="10"/>
        <v>8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31</v>
      </c>
      <c r="B39" s="22">
        <f>Database!F39</f>
        <v>46029</v>
      </c>
      <c r="C39">
        <f>IF(Database!H39="cansl",0,Database!L39)</f>
        <v>1</v>
      </c>
      <c r="D39">
        <f>Database!E39-Database!D39</f>
        <v>5</v>
      </c>
      <c r="F39">
        <f>Database!M39</f>
        <v>1</v>
      </c>
      <c r="G39" t="str">
        <f>Database!G39</f>
        <v>DK</v>
      </c>
      <c r="K39">
        <f t="shared" si="46"/>
        <v>0</v>
      </c>
      <c r="L39">
        <f t="shared" si="47"/>
        <v>0</v>
      </c>
      <c r="M39">
        <f t="shared" si="32"/>
        <v>5</v>
      </c>
      <c r="N39">
        <f t="shared" si="42"/>
        <v>5</v>
      </c>
      <c r="O39">
        <f t="shared" si="42"/>
        <v>5</v>
      </c>
      <c r="P39">
        <f t="shared" si="42"/>
        <v>5</v>
      </c>
      <c r="Q39">
        <f t="shared" si="42"/>
        <v>5</v>
      </c>
      <c r="R39">
        <f t="shared" si="42"/>
        <v>5</v>
      </c>
      <c r="S39">
        <f t="shared" si="42"/>
        <v>5</v>
      </c>
      <c r="T39">
        <f t="shared" si="42"/>
        <v>5</v>
      </c>
      <c r="U39">
        <f t="shared" si="42"/>
        <v>5</v>
      </c>
      <c r="V39">
        <f t="shared" si="42"/>
        <v>5</v>
      </c>
      <c r="W39">
        <f t="shared" si="42"/>
        <v>5</v>
      </c>
      <c r="X39">
        <f t="shared" si="43"/>
        <v>5</v>
      </c>
      <c r="Y39">
        <f t="shared" si="43"/>
        <v>5</v>
      </c>
      <c r="Z39">
        <f t="shared" si="43"/>
        <v>5</v>
      </c>
      <c r="AA39">
        <f t="shared" si="43"/>
        <v>5</v>
      </c>
      <c r="AB39">
        <f t="shared" si="43"/>
        <v>5</v>
      </c>
      <c r="AC39">
        <f t="shared" si="43"/>
        <v>5</v>
      </c>
      <c r="AD39">
        <f t="shared" si="43"/>
        <v>5</v>
      </c>
      <c r="AE39">
        <f t="shared" si="43"/>
        <v>5</v>
      </c>
      <c r="AF39">
        <f t="shared" si="43"/>
        <v>5</v>
      </c>
      <c r="AG39">
        <f t="shared" si="43"/>
        <v>5</v>
      </c>
      <c r="AH39">
        <f t="shared" si="44"/>
        <v>5</v>
      </c>
      <c r="AI39">
        <f t="shared" si="44"/>
        <v>5</v>
      </c>
      <c r="AJ39">
        <f t="shared" si="44"/>
        <v>5</v>
      </c>
      <c r="AK39">
        <f t="shared" si="44"/>
        <v>5</v>
      </c>
      <c r="AL39">
        <f t="shared" si="44"/>
        <v>5</v>
      </c>
      <c r="AM39">
        <f t="shared" si="44"/>
        <v>5</v>
      </c>
      <c r="AN39">
        <f t="shared" si="44"/>
        <v>5</v>
      </c>
      <c r="AO39">
        <f t="shared" si="44"/>
        <v>5</v>
      </c>
      <c r="AP39">
        <f t="shared" si="44"/>
        <v>5</v>
      </c>
      <c r="AQ39">
        <f t="shared" si="44"/>
        <v>5</v>
      </c>
      <c r="AR39">
        <f t="shared" si="45"/>
        <v>5</v>
      </c>
      <c r="AS39">
        <f t="shared" si="45"/>
        <v>5</v>
      </c>
      <c r="AT39">
        <f t="shared" si="45"/>
        <v>5</v>
      </c>
      <c r="AU39">
        <f t="shared" si="45"/>
        <v>5</v>
      </c>
      <c r="AV39">
        <f t="shared" si="45"/>
        <v>5</v>
      </c>
      <c r="AW39">
        <f t="shared" si="45"/>
        <v>5</v>
      </c>
      <c r="AX39">
        <f t="shared" si="45"/>
        <v>5</v>
      </c>
      <c r="BB39" s="32">
        <f t="shared" si="9"/>
        <v>1</v>
      </c>
      <c r="BC39" s="32">
        <f t="shared" si="10"/>
        <v>5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0</v>
      </c>
      <c r="BM39" s="32">
        <f t="shared" si="20"/>
        <v>0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0</v>
      </c>
      <c r="BS39">
        <f t="shared" si="23"/>
        <v>0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32</v>
      </c>
      <c r="B40" s="22">
        <f>Database!F40</f>
        <v>46029</v>
      </c>
      <c r="C40">
        <f>IF(Database!H40="cansl",0,Database!L40)</f>
        <v>1</v>
      </c>
      <c r="D40">
        <f>Database!E40-Database!D40</f>
        <v>7</v>
      </c>
      <c r="F40">
        <f>Database!M40</f>
        <v>2</v>
      </c>
      <c r="G40" t="str">
        <f>Database!G40</f>
        <v>D</v>
      </c>
      <c r="K40">
        <f t="shared" si="46"/>
        <v>0</v>
      </c>
      <c r="L40">
        <f t="shared" si="47"/>
        <v>0</v>
      </c>
      <c r="M40">
        <f t="shared" si="32"/>
        <v>7</v>
      </c>
      <c r="N40">
        <f t="shared" si="42"/>
        <v>7</v>
      </c>
      <c r="O40">
        <f t="shared" si="42"/>
        <v>7</v>
      </c>
      <c r="P40">
        <f t="shared" si="42"/>
        <v>7</v>
      </c>
      <c r="Q40">
        <f t="shared" si="42"/>
        <v>7</v>
      </c>
      <c r="R40">
        <f t="shared" si="42"/>
        <v>7</v>
      </c>
      <c r="S40">
        <f t="shared" si="42"/>
        <v>7</v>
      </c>
      <c r="T40">
        <f t="shared" si="42"/>
        <v>7</v>
      </c>
      <c r="U40">
        <f t="shared" si="42"/>
        <v>7</v>
      </c>
      <c r="V40">
        <f t="shared" si="42"/>
        <v>7</v>
      </c>
      <c r="W40">
        <f t="shared" si="42"/>
        <v>7</v>
      </c>
      <c r="X40">
        <f t="shared" si="43"/>
        <v>7</v>
      </c>
      <c r="Y40">
        <f t="shared" si="43"/>
        <v>7</v>
      </c>
      <c r="Z40">
        <f t="shared" si="43"/>
        <v>7</v>
      </c>
      <c r="AA40">
        <f t="shared" si="43"/>
        <v>7</v>
      </c>
      <c r="AB40">
        <f t="shared" si="43"/>
        <v>7</v>
      </c>
      <c r="AC40">
        <f t="shared" si="43"/>
        <v>7</v>
      </c>
      <c r="AD40">
        <f t="shared" si="43"/>
        <v>7</v>
      </c>
      <c r="AE40">
        <f t="shared" si="43"/>
        <v>7</v>
      </c>
      <c r="AF40">
        <f t="shared" si="43"/>
        <v>7</v>
      </c>
      <c r="AG40">
        <f t="shared" si="43"/>
        <v>7</v>
      </c>
      <c r="AH40">
        <f t="shared" si="44"/>
        <v>7</v>
      </c>
      <c r="AI40">
        <f t="shared" si="44"/>
        <v>7</v>
      </c>
      <c r="AJ40">
        <f t="shared" si="44"/>
        <v>7</v>
      </c>
      <c r="AK40">
        <f t="shared" si="44"/>
        <v>7</v>
      </c>
      <c r="AL40">
        <f t="shared" si="44"/>
        <v>7</v>
      </c>
      <c r="AM40">
        <f t="shared" si="44"/>
        <v>7</v>
      </c>
      <c r="AN40">
        <f t="shared" si="44"/>
        <v>7</v>
      </c>
      <c r="AO40">
        <f t="shared" si="44"/>
        <v>7</v>
      </c>
      <c r="AP40">
        <f t="shared" si="44"/>
        <v>7</v>
      </c>
      <c r="AQ40">
        <f t="shared" si="44"/>
        <v>7</v>
      </c>
      <c r="AR40">
        <f t="shared" si="45"/>
        <v>7</v>
      </c>
      <c r="AS40">
        <f t="shared" si="45"/>
        <v>7</v>
      </c>
      <c r="AT40">
        <f t="shared" si="45"/>
        <v>7</v>
      </c>
      <c r="AU40">
        <f t="shared" si="45"/>
        <v>7</v>
      </c>
      <c r="AV40">
        <f t="shared" si="45"/>
        <v>7</v>
      </c>
      <c r="AW40">
        <f t="shared" si="45"/>
        <v>7</v>
      </c>
      <c r="AX40">
        <f t="shared" si="45"/>
        <v>7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2</v>
      </c>
      <c r="BI40" s="32">
        <f t="shared" si="16"/>
        <v>14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33</v>
      </c>
      <c r="B41" s="22">
        <f>Database!F41</f>
        <v>46029</v>
      </c>
      <c r="C41">
        <f>IF(Database!H41="cansl",0,Database!L41)</f>
        <v>1</v>
      </c>
      <c r="D41">
        <f>Database!E41-Database!D41</f>
        <v>7</v>
      </c>
      <c r="F41">
        <f>Database!M41</f>
        <v>1</v>
      </c>
      <c r="G41" t="str">
        <f>Database!G41</f>
        <v>D</v>
      </c>
      <c r="K41">
        <f t="shared" si="46"/>
        <v>0</v>
      </c>
      <c r="L41">
        <f t="shared" si="47"/>
        <v>0</v>
      </c>
      <c r="M41">
        <f t="shared" si="32"/>
        <v>7</v>
      </c>
      <c r="N41">
        <f t="shared" si="42"/>
        <v>7</v>
      </c>
      <c r="O41">
        <f t="shared" si="42"/>
        <v>7</v>
      </c>
      <c r="P41">
        <f t="shared" si="42"/>
        <v>7</v>
      </c>
      <c r="Q41">
        <f t="shared" si="42"/>
        <v>7</v>
      </c>
      <c r="R41">
        <f t="shared" si="42"/>
        <v>7</v>
      </c>
      <c r="S41">
        <f t="shared" si="42"/>
        <v>7</v>
      </c>
      <c r="T41">
        <f t="shared" si="42"/>
        <v>7</v>
      </c>
      <c r="U41">
        <f t="shared" si="42"/>
        <v>7</v>
      </c>
      <c r="V41">
        <f t="shared" si="42"/>
        <v>7</v>
      </c>
      <c r="W41">
        <f t="shared" si="42"/>
        <v>7</v>
      </c>
      <c r="X41">
        <f t="shared" si="43"/>
        <v>7</v>
      </c>
      <c r="Y41">
        <f t="shared" si="43"/>
        <v>7</v>
      </c>
      <c r="Z41">
        <f t="shared" si="43"/>
        <v>7</v>
      </c>
      <c r="AA41">
        <f t="shared" si="43"/>
        <v>7</v>
      </c>
      <c r="AB41">
        <f t="shared" si="43"/>
        <v>7</v>
      </c>
      <c r="AC41">
        <f t="shared" si="43"/>
        <v>7</v>
      </c>
      <c r="AD41">
        <f t="shared" si="43"/>
        <v>7</v>
      </c>
      <c r="AE41">
        <f t="shared" si="43"/>
        <v>7</v>
      </c>
      <c r="AF41">
        <f t="shared" si="43"/>
        <v>7</v>
      </c>
      <c r="AG41">
        <f t="shared" si="43"/>
        <v>7</v>
      </c>
      <c r="AH41">
        <f t="shared" si="44"/>
        <v>7</v>
      </c>
      <c r="AI41">
        <f t="shared" si="44"/>
        <v>7</v>
      </c>
      <c r="AJ41">
        <f t="shared" si="44"/>
        <v>7</v>
      </c>
      <c r="AK41">
        <f t="shared" si="44"/>
        <v>7</v>
      </c>
      <c r="AL41">
        <f t="shared" si="44"/>
        <v>7</v>
      </c>
      <c r="AM41">
        <f t="shared" si="44"/>
        <v>7</v>
      </c>
      <c r="AN41">
        <f t="shared" si="44"/>
        <v>7</v>
      </c>
      <c r="AO41">
        <f t="shared" si="44"/>
        <v>7</v>
      </c>
      <c r="AP41">
        <f t="shared" si="44"/>
        <v>7</v>
      </c>
      <c r="AQ41">
        <f t="shared" si="44"/>
        <v>7</v>
      </c>
      <c r="AR41">
        <f t="shared" si="45"/>
        <v>7</v>
      </c>
      <c r="AS41">
        <f t="shared" si="45"/>
        <v>7</v>
      </c>
      <c r="AT41">
        <f t="shared" si="45"/>
        <v>7</v>
      </c>
      <c r="AU41">
        <f t="shared" si="45"/>
        <v>7</v>
      </c>
      <c r="AV41">
        <f t="shared" si="45"/>
        <v>7</v>
      </c>
      <c r="AW41">
        <f t="shared" si="45"/>
        <v>7</v>
      </c>
      <c r="AX41">
        <f t="shared" si="45"/>
        <v>7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1</v>
      </c>
      <c r="BI41" s="32">
        <f t="shared" si="16"/>
        <v>7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34</v>
      </c>
      <c r="B42" s="22">
        <f>Database!F42</f>
        <v>46030</v>
      </c>
      <c r="C42">
        <f>IF(Database!H42="cansl",0,Database!L42)</f>
        <v>1</v>
      </c>
      <c r="D42">
        <f>Database!E42-Database!D42</f>
        <v>10</v>
      </c>
      <c r="F42">
        <f>Database!M42</f>
        <v>2</v>
      </c>
      <c r="G42" t="str">
        <f>Database!G42</f>
        <v>D</v>
      </c>
      <c r="K42">
        <f t="shared" si="46"/>
        <v>0</v>
      </c>
      <c r="L42">
        <f t="shared" si="47"/>
        <v>0</v>
      </c>
      <c r="M42">
        <f t="shared" si="32"/>
        <v>10</v>
      </c>
      <c r="N42">
        <f t="shared" si="42"/>
        <v>10</v>
      </c>
      <c r="O42">
        <f t="shared" si="42"/>
        <v>10</v>
      </c>
      <c r="P42">
        <f t="shared" si="42"/>
        <v>10</v>
      </c>
      <c r="Q42">
        <f t="shared" si="42"/>
        <v>10</v>
      </c>
      <c r="R42">
        <f t="shared" si="42"/>
        <v>10</v>
      </c>
      <c r="S42">
        <f t="shared" si="42"/>
        <v>10</v>
      </c>
      <c r="T42">
        <f t="shared" si="42"/>
        <v>10</v>
      </c>
      <c r="U42">
        <f t="shared" si="42"/>
        <v>10</v>
      </c>
      <c r="V42">
        <f t="shared" si="42"/>
        <v>10</v>
      </c>
      <c r="W42">
        <f t="shared" si="42"/>
        <v>10</v>
      </c>
      <c r="X42">
        <f t="shared" si="43"/>
        <v>10</v>
      </c>
      <c r="Y42">
        <f t="shared" si="43"/>
        <v>10</v>
      </c>
      <c r="Z42">
        <f t="shared" si="43"/>
        <v>10</v>
      </c>
      <c r="AA42">
        <f t="shared" si="43"/>
        <v>10</v>
      </c>
      <c r="AB42">
        <f t="shared" si="43"/>
        <v>10</v>
      </c>
      <c r="AC42">
        <f t="shared" si="43"/>
        <v>10</v>
      </c>
      <c r="AD42">
        <f t="shared" si="43"/>
        <v>10</v>
      </c>
      <c r="AE42">
        <f t="shared" si="43"/>
        <v>10</v>
      </c>
      <c r="AF42">
        <f t="shared" si="43"/>
        <v>10</v>
      </c>
      <c r="AG42">
        <f t="shared" si="43"/>
        <v>10</v>
      </c>
      <c r="AH42">
        <f t="shared" si="44"/>
        <v>10</v>
      </c>
      <c r="AI42">
        <f t="shared" si="44"/>
        <v>10</v>
      </c>
      <c r="AJ42">
        <f t="shared" si="44"/>
        <v>10</v>
      </c>
      <c r="AK42">
        <f t="shared" si="44"/>
        <v>10</v>
      </c>
      <c r="AL42">
        <f t="shared" si="44"/>
        <v>10</v>
      </c>
      <c r="AM42">
        <f t="shared" si="44"/>
        <v>10</v>
      </c>
      <c r="AN42">
        <f t="shared" si="44"/>
        <v>10</v>
      </c>
      <c r="AO42">
        <f t="shared" si="44"/>
        <v>10</v>
      </c>
      <c r="AP42">
        <f t="shared" si="44"/>
        <v>10</v>
      </c>
      <c r="AQ42">
        <f t="shared" si="44"/>
        <v>10</v>
      </c>
      <c r="AR42">
        <f t="shared" si="45"/>
        <v>10</v>
      </c>
      <c r="AS42">
        <f t="shared" si="45"/>
        <v>10</v>
      </c>
      <c r="AT42">
        <f t="shared" si="45"/>
        <v>10</v>
      </c>
      <c r="AU42">
        <f t="shared" si="45"/>
        <v>10</v>
      </c>
      <c r="AV42">
        <f t="shared" si="45"/>
        <v>10</v>
      </c>
      <c r="AW42">
        <f t="shared" si="45"/>
        <v>10</v>
      </c>
      <c r="AX42">
        <f t="shared" si="45"/>
        <v>10</v>
      </c>
      <c r="BB42" s="32">
        <f t="shared" si="9"/>
        <v>0</v>
      </c>
      <c r="BC42" s="32">
        <f t="shared" si="10"/>
        <v>0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2</v>
      </c>
      <c r="BI42" s="32">
        <f t="shared" si="16"/>
        <v>20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35</v>
      </c>
      <c r="B43" s="22">
        <f>Database!F43</f>
        <v>46030</v>
      </c>
      <c r="C43">
        <f>IF(Database!H43="cansl",0,Database!L43)</f>
        <v>1</v>
      </c>
      <c r="D43">
        <f>Database!E43-Database!D43</f>
        <v>4</v>
      </c>
      <c r="F43">
        <f>Database!M43</f>
        <v>2</v>
      </c>
      <c r="G43" t="str">
        <f>Database!G43</f>
        <v>S</v>
      </c>
      <c r="K43">
        <f t="shared" si="46"/>
        <v>0</v>
      </c>
      <c r="L43">
        <f t="shared" si="47"/>
        <v>0</v>
      </c>
      <c r="M43">
        <f t="shared" si="32"/>
        <v>4</v>
      </c>
      <c r="N43">
        <f t="shared" ref="N43:W52" si="48">IF($B43&lt;N$1,$C43*$D43,0)</f>
        <v>4</v>
      </c>
      <c r="O43">
        <f t="shared" si="48"/>
        <v>4</v>
      </c>
      <c r="P43">
        <f t="shared" si="48"/>
        <v>4</v>
      </c>
      <c r="Q43">
        <f t="shared" si="48"/>
        <v>4</v>
      </c>
      <c r="R43">
        <f t="shared" si="48"/>
        <v>4</v>
      </c>
      <c r="S43">
        <f t="shared" si="48"/>
        <v>4</v>
      </c>
      <c r="T43">
        <f t="shared" si="48"/>
        <v>4</v>
      </c>
      <c r="U43">
        <f t="shared" si="48"/>
        <v>4</v>
      </c>
      <c r="V43">
        <f t="shared" si="48"/>
        <v>4</v>
      </c>
      <c r="W43">
        <f t="shared" si="48"/>
        <v>4</v>
      </c>
      <c r="X43">
        <f t="shared" ref="X43:AG52" si="49">IF($B43&lt;X$1,$C43*$D43,0)</f>
        <v>4</v>
      </c>
      <c r="Y43">
        <f t="shared" si="49"/>
        <v>4</v>
      </c>
      <c r="Z43">
        <f t="shared" si="49"/>
        <v>4</v>
      </c>
      <c r="AA43">
        <f t="shared" si="49"/>
        <v>4</v>
      </c>
      <c r="AB43">
        <f t="shared" si="49"/>
        <v>4</v>
      </c>
      <c r="AC43">
        <f t="shared" si="49"/>
        <v>4</v>
      </c>
      <c r="AD43">
        <f t="shared" si="49"/>
        <v>4</v>
      </c>
      <c r="AE43">
        <f t="shared" si="49"/>
        <v>4</v>
      </c>
      <c r="AF43">
        <f t="shared" si="49"/>
        <v>4</v>
      </c>
      <c r="AG43">
        <f t="shared" si="49"/>
        <v>4</v>
      </c>
      <c r="AH43">
        <f t="shared" ref="AH43:AQ52" si="50">IF($B43&lt;AH$1,$C43*$D43,0)</f>
        <v>4</v>
      </c>
      <c r="AI43">
        <f t="shared" si="50"/>
        <v>4</v>
      </c>
      <c r="AJ43">
        <f t="shared" si="50"/>
        <v>4</v>
      </c>
      <c r="AK43">
        <f t="shared" si="50"/>
        <v>4</v>
      </c>
      <c r="AL43">
        <f t="shared" si="50"/>
        <v>4</v>
      </c>
      <c r="AM43">
        <f t="shared" si="50"/>
        <v>4</v>
      </c>
      <c r="AN43">
        <f t="shared" si="50"/>
        <v>4</v>
      </c>
      <c r="AO43">
        <f t="shared" si="50"/>
        <v>4</v>
      </c>
      <c r="AP43">
        <f t="shared" si="50"/>
        <v>4</v>
      </c>
      <c r="AQ43">
        <f t="shared" si="50"/>
        <v>4</v>
      </c>
      <c r="AR43">
        <f t="shared" ref="AR43:AX52" si="51">IF($B43&lt;AR$1,$C43*$D43,0)</f>
        <v>4</v>
      </c>
      <c r="AS43">
        <f t="shared" si="51"/>
        <v>4</v>
      </c>
      <c r="AT43">
        <f t="shared" si="51"/>
        <v>4</v>
      </c>
      <c r="AU43">
        <f t="shared" si="51"/>
        <v>4</v>
      </c>
      <c r="AV43">
        <f t="shared" si="51"/>
        <v>4</v>
      </c>
      <c r="AW43">
        <f t="shared" si="51"/>
        <v>4</v>
      </c>
      <c r="AX43">
        <f t="shared" si="51"/>
        <v>4</v>
      </c>
      <c r="BB43" s="32">
        <f t="shared" si="9"/>
        <v>0</v>
      </c>
      <c r="BC43" s="32">
        <f t="shared" si="10"/>
        <v>0</v>
      </c>
      <c r="BD43" s="32">
        <f t="shared" si="11"/>
        <v>2</v>
      </c>
      <c r="BE43" s="32">
        <f t="shared" si="12"/>
        <v>8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36</v>
      </c>
      <c r="B44" s="22">
        <f>Database!F44</f>
        <v>46030</v>
      </c>
      <c r="C44">
        <f>IF(Database!H44="cansl",0,Database!L44)</f>
        <v>2</v>
      </c>
      <c r="D44">
        <f>Database!E44-Database!D44</f>
        <v>3</v>
      </c>
      <c r="F44">
        <f>Database!M44</f>
        <v>4</v>
      </c>
      <c r="G44" t="str">
        <f>Database!G44</f>
        <v>DK</v>
      </c>
      <c r="K44">
        <f t="shared" si="46"/>
        <v>0</v>
      </c>
      <c r="L44">
        <f t="shared" si="47"/>
        <v>0</v>
      </c>
      <c r="M44">
        <f t="shared" si="32"/>
        <v>6</v>
      </c>
      <c r="N44">
        <f t="shared" si="48"/>
        <v>6</v>
      </c>
      <c r="O44">
        <f t="shared" si="48"/>
        <v>6</v>
      </c>
      <c r="P44">
        <f t="shared" si="48"/>
        <v>6</v>
      </c>
      <c r="Q44">
        <f t="shared" si="48"/>
        <v>6</v>
      </c>
      <c r="R44">
        <f t="shared" si="48"/>
        <v>6</v>
      </c>
      <c r="S44">
        <f t="shared" si="48"/>
        <v>6</v>
      </c>
      <c r="T44">
        <f t="shared" si="48"/>
        <v>6</v>
      </c>
      <c r="U44">
        <f t="shared" si="48"/>
        <v>6</v>
      </c>
      <c r="V44">
        <f t="shared" si="48"/>
        <v>6</v>
      </c>
      <c r="W44">
        <f t="shared" si="48"/>
        <v>6</v>
      </c>
      <c r="X44">
        <f t="shared" si="49"/>
        <v>6</v>
      </c>
      <c r="Y44">
        <f t="shared" si="49"/>
        <v>6</v>
      </c>
      <c r="Z44">
        <f t="shared" si="49"/>
        <v>6</v>
      </c>
      <c r="AA44">
        <f t="shared" si="49"/>
        <v>6</v>
      </c>
      <c r="AB44">
        <f t="shared" si="49"/>
        <v>6</v>
      </c>
      <c r="AC44">
        <f t="shared" si="49"/>
        <v>6</v>
      </c>
      <c r="AD44">
        <f t="shared" si="49"/>
        <v>6</v>
      </c>
      <c r="AE44">
        <f t="shared" si="49"/>
        <v>6</v>
      </c>
      <c r="AF44">
        <f t="shared" si="49"/>
        <v>6</v>
      </c>
      <c r="AG44">
        <f t="shared" si="49"/>
        <v>6</v>
      </c>
      <c r="AH44">
        <f t="shared" si="50"/>
        <v>6</v>
      </c>
      <c r="AI44">
        <f t="shared" si="50"/>
        <v>6</v>
      </c>
      <c r="AJ44">
        <f t="shared" si="50"/>
        <v>6</v>
      </c>
      <c r="AK44">
        <f t="shared" si="50"/>
        <v>6</v>
      </c>
      <c r="AL44">
        <f t="shared" si="50"/>
        <v>6</v>
      </c>
      <c r="AM44">
        <f t="shared" si="50"/>
        <v>6</v>
      </c>
      <c r="AN44">
        <f t="shared" si="50"/>
        <v>6</v>
      </c>
      <c r="AO44">
        <f t="shared" si="50"/>
        <v>6</v>
      </c>
      <c r="AP44">
        <f t="shared" si="50"/>
        <v>6</v>
      </c>
      <c r="AQ44">
        <f t="shared" si="50"/>
        <v>6</v>
      </c>
      <c r="AR44">
        <f t="shared" si="51"/>
        <v>6</v>
      </c>
      <c r="AS44">
        <f t="shared" si="51"/>
        <v>6</v>
      </c>
      <c r="AT44">
        <f t="shared" si="51"/>
        <v>6</v>
      </c>
      <c r="AU44">
        <f t="shared" si="51"/>
        <v>6</v>
      </c>
      <c r="AV44">
        <f t="shared" si="51"/>
        <v>6</v>
      </c>
      <c r="AW44">
        <f t="shared" si="51"/>
        <v>6</v>
      </c>
      <c r="AX44">
        <f t="shared" si="51"/>
        <v>6</v>
      </c>
      <c r="BB44" s="32">
        <f t="shared" si="9"/>
        <v>4</v>
      </c>
      <c r="BC44" s="32">
        <f t="shared" si="10"/>
        <v>12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36</v>
      </c>
      <c r="B45" s="22">
        <f>Database!F45</f>
        <v>0</v>
      </c>
      <c r="C45">
        <f>IF(Database!H45="cansl",0,Database!L45)</f>
        <v>0</v>
      </c>
      <c r="D45">
        <f>Database!E45-Database!D45</f>
        <v>0</v>
      </c>
      <c r="F45">
        <f>Database!M45</f>
        <v>0</v>
      </c>
      <c r="G45">
        <f>Database!G45</f>
        <v>0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0</v>
      </c>
      <c r="BM45" s="32">
        <f t="shared" si="20"/>
        <v>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0</v>
      </c>
      <c r="BU45">
        <f t="shared" si="25"/>
        <v>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37</v>
      </c>
      <c r="B46" s="22">
        <f>Database!F46</f>
        <v>46031</v>
      </c>
      <c r="C46">
        <f>IF(Database!H46="cansl",0,Database!L46)</f>
        <v>1</v>
      </c>
      <c r="D46">
        <f>Database!E46-Database!D46</f>
        <v>3</v>
      </c>
      <c r="F46">
        <f>Database!M46</f>
        <v>2</v>
      </c>
      <c r="G46" t="str">
        <f>Database!G46</f>
        <v>DK</v>
      </c>
      <c r="K46">
        <f t="shared" si="46"/>
        <v>0</v>
      </c>
      <c r="L46">
        <f t="shared" si="47"/>
        <v>0</v>
      </c>
      <c r="M46">
        <f t="shared" si="32"/>
        <v>3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2</v>
      </c>
      <c r="BC46" s="32">
        <f t="shared" si="10"/>
        <v>6</v>
      </c>
      <c r="BD46" s="32">
        <f t="shared" si="11"/>
        <v>0</v>
      </c>
      <c r="BE46" s="32">
        <f t="shared" si="12"/>
        <v>0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38</v>
      </c>
      <c r="B47" s="22">
        <f>Database!F47</f>
        <v>46031</v>
      </c>
      <c r="C47">
        <f>IF(Database!H47="cansl",0,Database!L47)</f>
        <v>1</v>
      </c>
      <c r="D47">
        <f>Database!E47-Database!D47</f>
        <v>7</v>
      </c>
      <c r="F47">
        <f>Database!M47</f>
        <v>2</v>
      </c>
      <c r="G47" t="str">
        <f>Database!G47</f>
        <v>CH</v>
      </c>
      <c r="K47">
        <f t="shared" si="46"/>
        <v>0</v>
      </c>
      <c r="L47">
        <f t="shared" si="47"/>
        <v>0</v>
      </c>
      <c r="M47">
        <f t="shared" si="32"/>
        <v>7</v>
      </c>
      <c r="N47">
        <f t="shared" si="48"/>
        <v>7</v>
      </c>
      <c r="O47">
        <f t="shared" si="48"/>
        <v>7</v>
      </c>
      <c r="P47">
        <f t="shared" si="48"/>
        <v>7</v>
      </c>
      <c r="Q47">
        <f t="shared" si="48"/>
        <v>7</v>
      </c>
      <c r="R47">
        <f t="shared" si="48"/>
        <v>7</v>
      </c>
      <c r="S47">
        <f t="shared" si="48"/>
        <v>7</v>
      </c>
      <c r="T47">
        <f t="shared" si="48"/>
        <v>7</v>
      </c>
      <c r="U47">
        <f t="shared" si="48"/>
        <v>7</v>
      </c>
      <c r="V47">
        <f t="shared" si="48"/>
        <v>7</v>
      </c>
      <c r="W47">
        <f t="shared" si="48"/>
        <v>7</v>
      </c>
      <c r="X47">
        <f t="shared" si="49"/>
        <v>7</v>
      </c>
      <c r="Y47">
        <f t="shared" si="49"/>
        <v>7</v>
      </c>
      <c r="Z47">
        <f t="shared" si="49"/>
        <v>7</v>
      </c>
      <c r="AA47">
        <f t="shared" si="49"/>
        <v>7</v>
      </c>
      <c r="AB47">
        <f t="shared" si="49"/>
        <v>7</v>
      </c>
      <c r="AC47">
        <f t="shared" si="49"/>
        <v>7</v>
      </c>
      <c r="AD47">
        <f t="shared" si="49"/>
        <v>7</v>
      </c>
      <c r="AE47">
        <f t="shared" si="49"/>
        <v>7</v>
      </c>
      <c r="AF47">
        <f t="shared" si="49"/>
        <v>7</v>
      </c>
      <c r="AG47">
        <f t="shared" si="49"/>
        <v>7</v>
      </c>
      <c r="AH47">
        <f t="shared" si="50"/>
        <v>7</v>
      </c>
      <c r="AI47">
        <f t="shared" si="50"/>
        <v>7</v>
      </c>
      <c r="AJ47">
        <f t="shared" si="50"/>
        <v>7</v>
      </c>
      <c r="AK47">
        <f t="shared" si="50"/>
        <v>7</v>
      </c>
      <c r="AL47">
        <f t="shared" si="50"/>
        <v>7</v>
      </c>
      <c r="AM47">
        <f t="shared" si="50"/>
        <v>7</v>
      </c>
      <c r="AN47">
        <f t="shared" si="50"/>
        <v>7</v>
      </c>
      <c r="AO47">
        <f t="shared" si="50"/>
        <v>7</v>
      </c>
      <c r="AP47">
        <f t="shared" si="50"/>
        <v>7</v>
      </c>
      <c r="AQ47">
        <f t="shared" si="50"/>
        <v>7</v>
      </c>
      <c r="AR47">
        <f t="shared" si="51"/>
        <v>7</v>
      </c>
      <c r="AS47">
        <f t="shared" si="51"/>
        <v>7</v>
      </c>
      <c r="AT47">
        <f t="shared" si="51"/>
        <v>7</v>
      </c>
      <c r="AU47">
        <f t="shared" si="51"/>
        <v>7</v>
      </c>
      <c r="AV47">
        <f t="shared" si="51"/>
        <v>7</v>
      </c>
      <c r="AW47">
        <f t="shared" si="51"/>
        <v>7</v>
      </c>
      <c r="AX47">
        <f t="shared" si="51"/>
        <v>7</v>
      </c>
      <c r="BB47" s="32">
        <f t="shared" si="9"/>
        <v>0</v>
      </c>
      <c r="BC47" s="32">
        <f t="shared" si="10"/>
        <v>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2</v>
      </c>
      <c r="BM47" s="32">
        <f t="shared" si="20"/>
        <v>14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2</v>
      </c>
      <c r="BS47">
        <f t="shared" si="23"/>
        <v>14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39</v>
      </c>
      <c r="B48" s="22">
        <f>Database!F48</f>
        <v>46032</v>
      </c>
      <c r="C48">
        <f>IF(Database!H48="cansl",0,Database!L48)</f>
        <v>0</v>
      </c>
      <c r="D48">
        <f>Database!E48-Database!D48</f>
        <v>4</v>
      </c>
      <c r="F48">
        <f>Database!M48</f>
        <v>0</v>
      </c>
      <c r="G48">
        <f>Database!G48</f>
        <v>0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2">
        <f t="shared" si="9"/>
        <v>0</v>
      </c>
      <c r="BC48" s="32">
        <f t="shared" si="10"/>
        <v>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40</v>
      </c>
      <c r="B49" s="22">
        <f>Database!F49</f>
        <v>46033</v>
      </c>
      <c r="C49">
        <f>IF(Database!H49="cansl",0,Database!L49)</f>
        <v>0</v>
      </c>
      <c r="D49">
        <f>Database!E49-Database!D49</f>
        <v>3</v>
      </c>
      <c r="F49">
        <f>Database!M49</f>
        <v>0</v>
      </c>
      <c r="G49" t="str">
        <f>Database!G49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41</v>
      </c>
      <c r="B50" s="22">
        <f>Database!F50</f>
        <v>46035</v>
      </c>
      <c r="C50">
        <f>IF(Database!H50="cansl",0,Database!L50)</f>
        <v>1</v>
      </c>
      <c r="D50">
        <f>Database!E50-Database!D50</f>
        <v>2</v>
      </c>
      <c r="F50">
        <f>Database!M50</f>
        <v>2</v>
      </c>
      <c r="G50" t="str">
        <f>Database!G50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2</v>
      </c>
      <c r="O50">
        <f t="shared" si="48"/>
        <v>2</v>
      </c>
      <c r="P50">
        <f t="shared" si="48"/>
        <v>2</v>
      </c>
      <c r="Q50">
        <f t="shared" si="48"/>
        <v>2</v>
      </c>
      <c r="R50">
        <f t="shared" si="48"/>
        <v>2</v>
      </c>
      <c r="S50">
        <f t="shared" si="48"/>
        <v>2</v>
      </c>
      <c r="T50">
        <f t="shared" si="48"/>
        <v>2</v>
      </c>
      <c r="U50">
        <f t="shared" si="48"/>
        <v>2</v>
      </c>
      <c r="V50">
        <f t="shared" si="48"/>
        <v>2</v>
      </c>
      <c r="W50">
        <f t="shared" si="48"/>
        <v>2</v>
      </c>
      <c r="X50">
        <f t="shared" si="49"/>
        <v>2</v>
      </c>
      <c r="Y50">
        <f t="shared" si="49"/>
        <v>2</v>
      </c>
      <c r="Z50">
        <f t="shared" si="49"/>
        <v>2</v>
      </c>
      <c r="AA50">
        <f t="shared" si="49"/>
        <v>2</v>
      </c>
      <c r="AB50">
        <f t="shared" si="49"/>
        <v>2</v>
      </c>
      <c r="AC50">
        <f t="shared" si="49"/>
        <v>2</v>
      </c>
      <c r="AD50">
        <f t="shared" si="49"/>
        <v>2</v>
      </c>
      <c r="AE50">
        <f t="shared" si="49"/>
        <v>2</v>
      </c>
      <c r="AF50">
        <f t="shared" si="49"/>
        <v>2</v>
      </c>
      <c r="AG50">
        <f t="shared" si="49"/>
        <v>2</v>
      </c>
      <c r="AH50">
        <f t="shared" si="50"/>
        <v>2</v>
      </c>
      <c r="AI50">
        <f t="shared" si="50"/>
        <v>2</v>
      </c>
      <c r="AJ50">
        <f t="shared" si="50"/>
        <v>2</v>
      </c>
      <c r="AK50">
        <f t="shared" si="50"/>
        <v>2</v>
      </c>
      <c r="AL50">
        <f t="shared" si="50"/>
        <v>2</v>
      </c>
      <c r="AM50">
        <f t="shared" si="50"/>
        <v>2</v>
      </c>
      <c r="AN50">
        <f t="shared" si="50"/>
        <v>2</v>
      </c>
      <c r="AO50">
        <f t="shared" si="50"/>
        <v>2</v>
      </c>
      <c r="AP50">
        <f t="shared" si="50"/>
        <v>2</v>
      </c>
      <c r="AQ50">
        <f t="shared" si="50"/>
        <v>2</v>
      </c>
      <c r="AR50">
        <f t="shared" si="51"/>
        <v>2</v>
      </c>
      <c r="AS50">
        <f t="shared" si="51"/>
        <v>2</v>
      </c>
      <c r="AT50">
        <f t="shared" si="51"/>
        <v>2</v>
      </c>
      <c r="AU50">
        <f t="shared" si="51"/>
        <v>2</v>
      </c>
      <c r="AV50">
        <f t="shared" si="51"/>
        <v>2</v>
      </c>
      <c r="AW50">
        <f t="shared" si="51"/>
        <v>2</v>
      </c>
      <c r="AX50">
        <f t="shared" si="51"/>
        <v>2</v>
      </c>
      <c r="BB50" s="32">
        <f t="shared" si="9"/>
        <v>2</v>
      </c>
      <c r="BC50" s="32">
        <f t="shared" si="10"/>
        <v>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42</v>
      </c>
      <c r="B51" s="22">
        <f>Database!F51</f>
        <v>46036</v>
      </c>
      <c r="C51">
        <f>IF(Database!H51="cansl",0,Database!L51)</f>
        <v>1</v>
      </c>
      <c r="D51">
        <f>Database!E51-Database!D51</f>
        <v>3</v>
      </c>
      <c r="F51">
        <f>Database!M51</f>
        <v>1</v>
      </c>
      <c r="G51" t="str">
        <f>Database!G51</f>
        <v>S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3</v>
      </c>
      <c r="O51">
        <f t="shared" si="48"/>
        <v>3</v>
      </c>
      <c r="P51">
        <f t="shared" si="48"/>
        <v>3</v>
      </c>
      <c r="Q51">
        <f t="shared" si="48"/>
        <v>3</v>
      </c>
      <c r="R51">
        <f t="shared" si="48"/>
        <v>3</v>
      </c>
      <c r="S51">
        <f t="shared" si="48"/>
        <v>3</v>
      </c>
      <c r="T51">
        <f t="shared" si="48"/>
        <v>3</v>
      </c>
      <c r="U51">
        <f t="shared" si="48"/>
        <v>3</v>
      </c>
      <c r="V51">
        <f t="shared" si="48"/>
        <v>3</v>
      </c>
      <c r="W51">
        <f t="shared" si="48"/>
        <v>3</v>
      </c>
      <c r="X51">
        <f t="shared" si="49"/>
        <v>3</v>
      </c>
      <c r="Y51">
        <f t="shared" si="49"/>
        <v>3</v>
      </c>
      <c r="Z51">
        <f t="shared" si="49"/>
        <v>3</v>
      </c>
      <c r="AA51">
        <f t="shared" si="49"/>
        <v>3</v>
      </c>
      <c r="AB51">
        <f t="shared" si="49"/>
        <v>3</v>
      </c>
      <c r="AC51">
        <f t="shared" si="49"/>
        <v>3</v>
      </c>
      <c r="AD51">
        <f t="shared" si="49"/>
        <v>3</v>
      </c>
      <c r="AE51">
        <f t="shared" si="49"/>
        <v>3</v>
      </c>
      <c r="AF51">
        <f t="shared" si="49"/>
        <v>3</v>
      </c>
      <c r="AG51">
        <f t="shared" si="49"/>
        <v>3</v>
      </c>
      <c r="AH51">
        <f t="shared" si="50"/>
        <v>3</v>
      </c>
      <c r="AI51">
        <f t="shared" si="50"/>
        <v>3</v>
      </c>
      <c r="AJ51">
        <f t="shared" si="50"/>
        <v>3</v>
      </c>
      <c r="AK51">
        <f t="shared" si="50"/>
        <v>3</v>
      </c>
      <c r="AL51">
        <f t="shared" si="50"/>
        <v>3</v>
      </c>
      <c r="AM51">
        <f t="shared" si="50"/>
        <v>3</v>
      </c>
      <c r="AN51">
        <f t="shared" si="50"/>
        <v>3</v>
      </c>
      <c r="AO51">
        <f t="shared" si="50"/>
        <v>3</v>
      </c>
      <c r="AP51">
        <f t="shared" si="50"/>
        <v>3</v>
      </c>
      <c r="AQ51">
        <f t="shared" si="50"/>
        <v>3</v>
      </c>
      <c r="AR51">
        <f t="shared" si="51"/>
        <v>3</v>
      </c>
      <c r="AS51">
        <f t="shared" si="51"/>
        <v>3</v>
      </c>
      <c r="AT51">
        <f t="shared" si="51"/>
        <v>3</v>
      </c>
      <c r="AU51">
        <f t="shared" si="51"/>
        <v>3</v>
      </c>
      <c r="AV51">
        <f t="shared" si="51"/>
        <v>3</v>
      </c>
      <c r="AW51">
        <f t="shared" si="51"/>
        <v>3</v>
      </c>
      <c r="AX51">
        <f t="shared" si="51"/>
        <v>3</v>
      </c>
      <c r="BB51" s="32">
        <f t="shared" si="9"/>
        <v>0</v>
      </c>
      <c r="BC51" s="32">
        <f t="shared" si="10"/>
        <v>0</v>
      </c>
      <c r="BD51" s="32">
        <f t="shared" si="11"/>
        <v>1</v>
      </c>
      <c r="BE51" s="32">
        <f t="shared" si="12"/>
        <v>3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43</v>
      </c>
      <c r="B52" s="22">
        <f>Database!F52</f>
        <v>46037</v>
      </c>
      <c r="C52">
        <f>IF(Database!H52="cansl",0,Database!L52)</f>
        <v>1</v>
      </c>
      <c r="D52">
        <f>Database!E52-Database!D52</f>
        <v>3</v>
      </c>
      <c r="F52">
        <f>Database!M52</f>
        <v>2</v>
      </c>
      <c r="G52" t="str">
        <f>Database!G52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3</v>
      </c>
      <c r="O52">
        <f t="shared" si="48"/>
        <v>3</v>
      </c>
      <c r="P52">
        <f t="shared" si="48"/>
        <v>3</v>
      </c>
      <c r="Q52">
        <f t="shared" si="48"/>
        <v>3</v>
      </c>
      <c r="R52">
        <f t="shared" si="48"/>
        <v>3</v>
      </c>
      <c r="S52">
        <f t="shared" si="48"/>
        <v>3</v>
      </c>
      <c r="T52">
        <f t="shared" si="48"/>
        <v>3</v>
      </c>
      <c r="U52">
        <f t="shared" si="48"/>
        <v>3</v>
      </c>
      <c r="V52">
        <f t="shared" si="48"/>
        <v>3</v>
      </c>
      <c r="W52">
        <f t="shared" si="48"/>
        <v>3</v>
      </c>
      <c r="X52">
        <f t="shared" si="49"/>
        <v>3</v>
      </c>
      <c r="Y52">
        <f t="shared" si="49"/>
        <v>3</v>
      </c>
      <c r="Z52">
        <f t="shared" si="49"/>
        <v>3</v>
      </c>
      <c r="AA52">
        <f t="shared" si="49"/>
        <v>3</v>
      </c>
      <c r="AB52">
        <f t="shared" si="49"/>
        <v>3</v>
      </c>
      <c r="AC52">
        <f t="shared" si="49"/>
        <v>3</v>
      </c>
      <c r="AD52">
        <f t="shared" si="49"/>
        <v>3</v>
      </c>
      <c r="AE52">
        <f t="shared" si="49"/>
        <v>3</v>
      </c>
      <c r="AF52">
        <f t="shared" si="49"/>
        <v>3</v>
      </c>
      <c r="AG52">
        <f t="shared" si="49"/>
        <v>3</v>
      </c>
      <c r="AH52">
        <f t="shared" si="50"/>
        <v>3</v>
      </c>
      <c r="AI52">
        <f t="shared" si="50"/>
        <v>3</v>
      </c>
      <c r="AJ52">
        <f t="shared" si="50"/>
        <v>3</v>
      </c>
      <c r="AK52">
        <f t="shared" si="50"/>
        <v>3</v>
      </c>
      <c r="AL52">
        <f t="shared" si="50"/>
        <v>3</v>
      </c>
      <c r="AM52">
        <f t="shared" si="50"/>
        <v>3</v>
      </c>
      <c r="AN52">
        <f t="shared" si="50"/>
        <v>3</v>
      </c>
      <c r="AO52">
        <f t="shared" si="50"/>
        <v>3</v>
      </c>
      <c r="AP52">
        <f t="shared" si="50"/>
        <v>3</v>
      </c>
      <c r="AQ52">
        <f t="shared" si="50"/>
        <v>3</v>
      </c>
      <c r="AR52">
        <f t="shared" si="51"/>
        <v>3</v>
      </c>
      <c r="AS52">
        <f t="shared" si="51"/>
        <v>3</v>
      </c>
      <c r="AT52">
        <f t="shared" si="51"/>
        <v>3</v>
      </c>
      <c r="AU52">
        <f t="shared" si="51"/>
        <v>3</v>
      </c>
      <c r="AV52">
        <f t="shared" si="51"/>
        <v>3</v>
      </c>
      <c r="AW52">
        <f t="shared" si="51"/>
        <v>3</v>
      </c>
      <c r="AX52">
        <f t="shared" si="51"/>
        <v>3</v>
      </c>
      <c r="BB52" s="32">
        <f t="shared" si="9"/>
        <v>2</v>
      </c>
      <c r="BC52" s="32">
        <f t="shared" si="10"/>
        <v>6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44</v>
      </c>
      <c r="B53" s="22">
        <f>Database!F53</f>
        <v>46037</v>
      </c>
      <c r="C53">
        <f>IF(Database!H53="cansl",0,Database!L53)</f>
        <v>1</v>
      </c>
      <c r="D53">
        <f>Database!E53-Database!D53</f>
        <v>5</v>
      </c>
      <c r="F53">
        <f>Database!M53</f>
        <v>2</v>
      </c>
      <c r="G53" t="str">
        <f>Database!G53</f>
        <v>CZ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5</v>
      </c>
      <c r="O53">
        <f t="shared" si="52"/>
        <v>5</v>
      </c>
      <c r="P53">
        <f t="shared" si="52"/>
        <v>5</v>
      </c>
      <c r="Q53">
        <f t="shared" si="52"/>
        <v>5</v>
      </c>
      <c r="R53">
        <f t="shared" si="52"/>
        <v>5</v>
      </c>
      <c r="S53">
        <f t="shared" si="52"/>
        <v>5</v>
      </c>
      <c r="T53">
        <f t="shared" si="52"/>
        <v>5</v>
      </c>
      <c r="U53">
        <f t="shared" si="52"/>
        <v>5</v>
      </c>
      <c r="V53">
        <f t="shared" si="52"/>
        <v>5</v>
      </c>
      <c r="W53">
        <f t="shared" si="52"/>
        <v>5</v>
      </c>
      <c r="X53">
        <f t="shared" ref="X53:AG62" si="53">IF($B53&lt;X$1,$C53*$D53,0)</f>
        <v>5</v>
      </c>
      <c r="Y53">
        <f t="shared" si="53"/>
        <v>5</v>
      </c>
      <c r="Z53">
        <f t="shared" si="53"/>
        <v>5</v>
      </c>
      <c r="AA53">
        <f t="shared" si="53"/>
        <v>5</v>
      </c>
      <c r="AB53">
        <f t="shared" si="53"/>
        <v>5</v>
      </c>
      <c r="AC53">
        <f t="shared" si="53"/>
        <v>5</v>
      </c>
      <c r="AD53">
        <f t="shared" si="53"/>
        <v>5</v>
      </c>
      <c r="AE53">
        <f t="shared" si="53"/>
        <v>5</v>
      </c>
      <c r="AF53">
        <f t="shared" si="53"/>
        <v>5</v>
      </c>
      <c r="AG53">
        <f t="shared" si="53"/>
        <v>5</v>
      </c>
      <c r="AH53">
        <f t="shared" ref="AH53:AQ62" si="54">IF($B53&lt;AH$1,$C53*$D53,0)</f>
        <v>5</v>
      </c>
      <c r="AI53">
        <f t="shared" si="54"/>
        <v>5</v>
      </c>
      <c r="AJ53">
        <f t="shared" si="54"/>
        <v>5</v>
      </c>
      <c r="AK53">
        <f t="shared" si="54"/>
        <v>5</v>
      </c>
      <c r="AL53">
        <f t="shared" si="54"/>
        <v>5</v>
      </c>
      <c r="AM53">
        <f t="shared" si="54"/>
        <v>5</v>
      </c>
      <c r="AN53">
        <f t="shared" si="54"/>
        <v>5</v>
      </c>
      <c r="AO53">
        <f t="shared" si="54"/>
        <v>5</v>
      </c>
      <c r="AP53">
        <f t="shared" si="54"/>
        <v>5</v>
      </c>
      <c r="AQ53">
        <f t="shared" si="54"/>
        <v>5</v>
      </c>
      <c r="AR53">
        <f t="shared" ref="AR53:AX62" si="55">IF($B53&lt;AR$1,$C53*$D53,0)</f>
        <v>5</v>
      </c>
      <c r="AS53">
        <f t="shared" si="55"/>
        <v>5</v>
      </c>
      <c r="AT53">
        <f t="shared" si="55"/>
        <v>5</v>
      </c>
      <c r="AU53">
        <f t="shared" si="55"/>
        <v>5</v>
      </c>
      <c r="AV53">
        <f t="shared" si="55"/>
        <v>5</v>
      </c>
      <c r="AW53">
        <f t="shared" si="55"/>
        <v>5</v>
      </c>
      <c r="AX53">
        <f t="shared" si="55"/>
        <v>5</v>
      </c>
      <c r="BB53" s="32">
        <f t="shared" si="9"/>
        <v>0</v>
      </c>
      <c r="BC53" s="32">
        <f t="shared" si="10"/>
        <v>0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2</v>
      </c>
      <c r="BM53" s="32">
        <f t="shared" si="20"/>
        <v>10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2</v>
      </c>
      <c r="BU53">
        <f t="shared" si="25"/>
        <v>10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45</v>
      </c>
      <c r="B54" s="22">
        <f>Database!F54</f>
        <v>46038</v>
      </c>
      <c r="C54">
        <f>IF(Database!H54="cansl",0,Database!L54)</f>
        <v>1</v>
      </c>
      <c r="D54">
        <f>Database!E54-Database!D54</f>
        <v>3</v>
      </c>
      <c r="F54">
        <f>Database!M54</f>
        <v>2</v>
      </c>
      <c r="G54" t="str">
        <f>Database!G54</f>
        <v>S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3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0</v>
      </c>
      <c r="BC54" s="32">
        <f t="shared" si="10"/>
        <v>0</v>
      </c>
      <c r="BD54" s="32">
        <f t="shared" si="11"/>
        <v>2</v>
      </c>
      <c r="BE54" s="32">
        <f t="shared" si="12"/>
        <v>6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46</v>
      </c>
      <c r="B55" s="22">
        <f>Database!F55</f>
        <v>46037</v>
      </c>
      <c r="C55">
        <f>IF(Database!H55="cansl",0,Database!L55)</f>
        <v>1</v>
      </c>
      <c r="D55">
        <f>Database!E55-Database!D55</f>
        <v>4</v>
      </c>
      <c r="F55">
        <f>Database!M55</f>
        <v>2</v>
      </c>
      <c r="G55" t="str">
        <f>Database!G55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4</v>
      </c>
      <c r="O55">
        <f t="shared" si="52"/>
        <v>4</v>
      </c>
      <c r="P55">
        <f t="shared" si="52"/>
        <v>4</v>
      </c>
      <c r="Q55">
        <f t="shared" si="52"/>
        <v>4</v>
      </c>
      <c r="R55">
        <f t="shared" si="52"/>
        <v>4</v>
      </c>
      <c r="S55">
        <f t="shared" si="52"/>
        <v>4</v>
      </c>
      <c r="T55">
        <f t="shared" si="52"/>
        <v>4</v>
      </c>
      <c r="U55">
        <f t="shared" si="52"/>
        <v>4</v>
      </c>
      <c r="V55">
        <f t="shared" si="52"/>
        <v>4</v>
      </c>
      <c r="W55">
        <f t="shared" si="52"/>
        <v>4</v>
      </c>
      <c r="X55">
        <f t="shared" si="53"/>
        <v>4</v>
      </c>
      <c r="Y55">
        <f t="shared" si="53"/>
        <v>4</v>
      </c>
      <c r="Z55">
        <f t="shared" si="53"/>
        <v>4</v>
      </c>
      <c r="AA55">
        <f t="shared" si="53"/>
        <v>4</v>
      </c>
      <c r="AB55">
        <f t="shared" si="53"/>
        <v>4</v>
      </c>
      <c r="AC55">
        <f t="shared" si="53"/>
        <v>4</v>
      </c>
      <c r="AD55">
        <f t="shared" si="53"/>
        <v>4</v>
      </c>
      <c r="AE55">
        <f t="shared" si="53"/>
        <v>4</v>
      </c>
      <c r="AF55">
        <f t="shared" si="53"/>
        <v>4</v>
      </c>
      <c r="AG55">
        <f t="shared" si="53"/>
        <v>4</v>
      </c>
      <c r="AH55">
        <f t="shared" si="54"/>
        <v>4</v>
      </c>
      <c r="AI55">
        <f t="shared" si="54"/>
        <v>4</v>
      </c>
      <c r="AJ55">
        <f t="shared" si="54"/>
        <v>4</v>
      </c>
      <c r="AK55">
        <f t="shared" si="54"/>
        <v>4</v>
      </c>
      <c r="AL55">
        <f t="shared" si="54"/>
        <v>4</v>
      </c>
      <c r="AM55">
        <f t="shared" si="54"/>
        <v>4</v>
      </c>
      <c r="AN55">
        <f t="shared" si="54"/>
        <v>4</v>
      </c>
      <c r="AO55">
        <f t="shared" si="54"/>
        <v>4</v>
      </c>
      <c r="AP55">
        <f t="shared" si="54"/>
        <v>4</v>
      </c>
      <c r="AQ55">
        <f t="shared" si="54"/>
        <v>4</v>
      </c>
      <c r="AR55">
        <f t="shared" si="55"/>
        <v>4</v>
      </c>
      <c r="AS55">
        <f t="shared" si="55"/>
        <v>4</v>
      </c>
      <c r="AT55">
        <f t="shared" si="55"/>
        <v>4</v>
      </c>
      <c r="AU55">
        <f t="shared" si="55"/>
        <v>4</v>
      </c>
      <c r="AV55">
        <f t="shared" si="55"/>
        <v>4</v>
      </c>
      <c r="AW55">
        <f t="shared" si="55"/>
        <v>4</v>
      </c>
      <c r="AX55">
        <f t="shared" si="55"/>
        <v>4</v>
      </c>
      <c r="BB55" s="32">
        <f t="shared" si="9"/>
        <v>2</v>
      </c>
      <c r="BC55" s="32">
        <f t="shared" si="10"/>
        <v>8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47</v>
      </c>
      <c r="B56" s="22">
        <f>Database!F56</f>
        <v>46037</v>
      </c>
      <c r="C56">
        <f>IF(Database!H56="cansl",0,Database!L56)</f>
        <v>1</v>
      </c>
      <c r="D56">
        <f>Database!E56-Database!D56</f>
        <v>5</v>
      </c>
      <c r="F56">
        <f>Database!M56</f>
        <v>2</v>
      </c>
      <c r="G56" t="str">
        <f>Database!G56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5</v>
      </c>
      <c r="O56">
        <f t="shared" si="52"/>
        <v>5</v>
      </c>
      <c r="P56">
        <f t="shared" si="52"/>
        <v>5</v>
      </c>
      <c r="Q56">
        <f t="shared" si="52"/>
        <v>5</v>
      </c>
      <c r="R56">
        <f t="shared" si="52"/>
        <v>5</v>
      </c>
      <c r="S56">
        <f t="shared" si="52"/>
        <v>5</v>
      </c>
      <c r="T56">
        <f t="shared" si="52"/>
        <v>5</v>
      </c>
      <c r="U56">
        <f t="shared" si="52"/>
        <v>5</v>
      </c>
      <c r="V56">
        <f t="shared" si="52"/>
        <v>5</v>
      </c>
      <c r="W56">
        <f t="shared" si="52"/>
        <v>5</v>
      </c>
      <c r="X56">
        <f t="shared" si="53"/>
        <v>5</v>
      </c>
      <c r="Y56">
        <f t="shared" si="53"/>
        <v>5</v>
      </c>
      <c r="Z56">
        <f t="shared" si="53"/>
        <v>5</v>
      </c>
      <c r="AA56">
        <f t="shared" si="53"/>
        <v>5</v>
      </c>
      <c r="AB56">
        <f t="shared" si="53"/>
        <v>5</v>
      </c>
      <c r="AC56">
        <f t="shared" si="53"/>
        <v>5</v>
      </c>
      <c r="AD56">
        <f t="shared" si="53"/>
        <v>5</v>
      </c>
      <c r="AE56">
        <f t="shared" si="53"/>
        <v>5</v>
      </c>
      <c r="AF56">
        <f t="shared" si="53"/>
        <v>5</v>
      </c>
      <c r="AG56">
        <f t="shared" si="53"/>
        <v>5</v>
      </c>
      <c r="AH56">
        <f t="shared" si="54"/>
        <v>5</v>
      </c>
      <c r="AI56">
        <f t="shared" si="54"/>
        <v>5</v>
      </c>
      <c r="AJ56">
        <f t="shared" si="54"/>
        <v>5</v>
      </c>
      <c r="AK56">
        <f t="shared" si="54"/>
        <v>5</v>
      </c>
      <c r="AL56">
        <f t="shared" si="54"/>
        <v>5</v>
      </c>
      <c r="AM56">
        <f t="shared" si="54"/>
        <v>5</v>
      </c>
      <c r="AN56">
        <f t="shared" si="54"/>
        <v>5</v>
      </c>
      <c r="AO56">
        <f t="shared" si="54"/>
        <v>5</v>
      </c>
      <c r="AP56">
        <f t="shared" si="54"/>
        <v>5</v>
      </c>
      <c r="AQ56">
        <f t="shared" si="54"/>
        <v>5</v>
      </c>
      <c r="AR56">
        <f t="shared" si="55"/>
        <v>5</v>
      </c>
      <c r="AS56">
        <f t="shared" si="55"/>
        <v>5</v>
      </c>
      <c r="AT56">
        <f t="shared" si="55"/>
        <v>5</v>
      </c>
      <c r="AU56">
        <f t="shared" si="55"/>
        <v>5</v>
      </c>
      <c r="AV56">
        <f t="shared" si="55"/>
        <v>5</v>
      </c>
      <c r="AW56">
        <f t="shared" si="55"/>
        <v>5</v>
      </c>
      <c r="AX56">
        <f t="shared" si="55"/>
        <v>5</v>
      </c>
      <c r="BB56" s="32">
        <f t="shared" si="9"/>
        <v>2</v>
      </c>
      <c r="BC56" s="32">
        <f t="shared" si="10"/>
        <v>10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48</v>
      </c>
      <c r="B57" s="22">
        <f>Database!F57</f>
        <v>46040</v>
      </c>
      <c r="C57">
        <f>IF(Database!H57="cansl",0,Database!L57)</f>
        <v>0</v>
      </c>
      <c r="D57">
        <f>Database!E57-Database!D57</f>
        <v>3</v>
      </c>
      <c r="F57">
        <f>Database!M57</f>
        <v>0</v>
      </c>
      <c r="G57" t="str">
        <f>Database!G57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2">
        <f t="shared" si="9"/>
        <v>0</v>
      </c>
      <c r="BC57" s="32">
        <f t="shared" si="10"/>
        <v>0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49</v>
      </c>
      <c r="B58" s="22">
        <f>Database!F58</f>
        <v>46040</v>
      </c>
      <c r="C58">
        <f>IF(Database!H58="cansl",0,Database!L58)</f>
        <v>1</v>
      </c>
      <c r="D58">
        <f>Database!E58-Database!D58</f>
        <v>7</v>
      </c>
      <c r="F58">
        <f>Database!M58</f>
        <v>2</v>
      </c>
      <c r="G58" t="str">
        <f>Database!G58</f>
        <v>DK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7</v>
      </c>
      <c r="O58">
        <f t="shared" si="52"/>
        <v>7</v>
      </c>
      <c r="P58">
        <f t="shared" si="52"/>
        <v>7</v>
      </c>
      <c r="Q58">
        <f t="shared" si="52"/>
        <v>7</v>
      </c>
      <c r="R58">
        <f t="shared" si="52"/>
        <v>7</v>
      </c>
      <c r="S58">
        <f t="shared" si="52"/>
        <v>7</v>
      </c>
      <c r="T58">
        <f t="shared" si="52"/>
        <v>7</v>
      </c>
      <c r="U58">
        <f t="shared" si="52"/>
        <v>7</v>
      </c>
      <c r="V58">
        <f t="shared" si="52"/>
        <v>7</v>
      </c>
      <c r="W58">
        <f t="shared" si="52"/>
        <v>7</v>
      </c>
      <c r="X58">
        <f t="shared" si="53"/>
        <v>7</v>
      </c>
      <c r="Y58">
        <f t="shared" si="53"/>
        <v>7</v>
      </c>
      <c r="Z58">
        <f t="shared" si="53"/>
        <v>7</v>
      </c>
      <c r="AA58">
        <f t="shared" si="53"/>
        <v>7</v>
      </c>
      <c r="AB58">
        <f t="shared" si="53"/>
        <v>7</v>
      </c>
      <c r="AC58">
        <f t="shared" si="53"/>
        <v>7</v>
      </c>
      <c r="AD58">
        <f t="shared" si="53"/>
        <v>7</v>
      </c>
      <c r="AE58">
        <f t="shared" si="53"/>
        <v>7</v>
      </c>
      <c r="AF58">
        <f t="shared" si="53"/>
        <v>7</v>
      </c>
      <c r="AG58">
        <f t="shared" si="53"/>
        <v>7</v>
      </c>
      <c r="AH58">
        <f t="shared" si="54"/>
        <v>7</v>
      </c>
      <c r="AI58">
        <f t="shared" si="54"/>
        <v>7</v>
      </c>
      <c r="AJ58">
        <f t="shared" si="54"/>
        <v>7</v>
      </c>
      <c r="AK58">
        <f t="shared" si="54"/>
        <v>7</v>
      </c>
      <c r="AL58">
        <f t="shared" si="54"/>
        <v>7</v>
      </c>
      <c r="AM58">
        <f t="shared" si="54"/>
        <v>7</v>
      </c>
      <c r="AN58">
        <f t="shared" si="54"/>
        <v>7</v>
      </c>
      <c r="AO58">
        <f t="shared" si="54"/>
        <v>7</v>
      </c>
      <c r="AP58">
        <f t="shared" si="54"/>
        <v>7</v>
      </c>
      <c r="AQ58">
        <f t="shared" si="54"/>
        <v>7</v>
      </c>
      <c r="AR58">
        <f t="shared" si="55"/>
        <v>7</v>
      </c>
      <c r="AS58">
        <f t="shared" si="55"/>
        <v>7</v>
      </c>
      <c r="AT58">
        <f t="shared" si="55"/>
        <v>7</v>
      </c>
      <c r="AU58">
        <f t="shared" si="55"/>
        <v>7</v>
      </c>
      <c r="AV58">
        <f t="shared" si="55"/>
        <v>7</v>
      </c>
      <c r="AW58">
        <f t="shared" si="55"/>
        <v>7</v>
      </c>
      <c r="AX58">
        <f t="shared" si="55"/>
        <v>7</v>
      </c>
      <c r="BB58" s="32">
        <f t="shared" si="9"/>
        <v>2</v>
      </c>
      <c r="BC58" s="32">
        <f t="shared" si="10"/>
        <v>14</v>
      </c>
      <c r="BD58" s="32">
        <f t="shared" si="11"/>
        <v>0</v>
      </c>
      <c r="BE58" s="32">
        <f t="shared" si="12"/>
        <v>0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50</v>
      </c>
      <c r="B59" s="22">
        <f>Database!F59</f>
        <v>46039</v>
      </c>
      <c r="C59">
        <f>IF(Database!H59="cansl",0,Database!L59)</f>
        <v>1</v>
      </c>
      <c r="D59">
        <f>Database!E59-Database!D59</f>
        <v>4</v>
      </c>
      <c r="F59">
        <f>Database!M59</f>
        <v>2</v>
      </c>
      <c r="G59" t="str">
        <f>Database!G59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4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51</v>
      </c>
      <c r="B60" s="22">
        <f>Database!F60</f>
        <v>46041</v>
      </c>
      <c r="C60">
        <f>IF(Database!H60="cansl",0,Database!L60)</f>
        <v>1</v>
      </c>
      <c r="D60">
        <f>Database!E60-Database!D60</f>
        <v>5</v>
      </c>
      <c r="F60">
        <f>Database!M60</f>
        <v>2</v>
      </c>
      <c r="G60" t="str">
        <f>Database!G60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5</v>
      </c>
      <c r="P60">
        <f t="shared" si="52"/>
        <v>5</v>
      </c>
      <c r="Q60">
        <f t="shared" si="52"/>
        <v>5</v>
      </c>
      <c r="R60">
        <f t="shared" si="52"/>
        <v>5</v>
      </c>
      <c r="S60">
        <f t="shared" si="52"/>
        <v>5</v>
      </c>
      <c r="T60">
        <f t="shared" si="52"/>
        <v>5</v>
      </c>
      <c r="U60">
        <f t="shared" si="52"/>
        <v>5</v>
      </c>
      <c r="V60">
        <f t="shared" si="52"/>
        <v>5</v>
      </c>
      <c r="W60">
        <f t="shared" si="52"/>
        <v>5</v>
      </c>
      <c r="X60">
        <f t="shared" si="53"/>
        <v>5</v>
      </c>
      <c r="Y60">
        <f t="shared" si="53"/>
        <v>5</v>
      </c>
      <c r="Z60">
        <f t="shared" si="53"/>
        <v>5</v>
      </c>
      <c r="AA60">
        <f t="shared" si="53"/>
        <v>5</v>
      </c>
      <c r="AB60">
        <f t="shared" si="53"/>
        <v>5</v>
      </c>
      <c r="AC60">
        <f t="shared" si="53"/>
        <v>5</v>
      </c>
      <c r="AD60">
        <f t="shared" si="53"/>
        <v>5</v>
      </c>
      <c r="AE60">
        <f t="shared" si="53"/>
        <v>5</v>
      </c>
      <c r="AF60">
        <f t="shared" si="53"/>
        <v>5</v>
      </c>
      <c r="AG60">
        <f t="shared" si="53"/>
        <v>5</v>
      </c>
      <c r="AH60">
        <f t="shared" si="54"/>
        <v>5</v>
      </c>
      <c r="AI60">
        <f t="shared" si="54"/>
        <v>5</v>
      </c>
      <c r="AJ60">
        <f t="shared" si="54"/>
        <v>5</v>
      </c>
      <c r="AK60">
        <f t="shared" si="54"/>
        <v>5</v>
      </c>
      <c r="AL60">
        <f t="shared" si="54"/>
        <v>5</v>
      </c>
      <c r="AM60">
        <f t="shared" si="54"/>
        <v>5</v>
      </c>
      <c r="AN60">
        <f t="shared" si="54"/>
        <v>5</v>
      </c>
      <c r="AO60">
        <f t="shared" si="54"/>
        <v>5</v>
      </c>
      <c r="AP60">
        <f t="shared" si="54"/>
        <v>5</v>
      </c>
      <c r="AQ60">
        <f t="shared" si="54"/>
        <v>5</v>
      </c>
      <c r="AR60">
        <f t="shared" si="55"/>
        <v>5</v>
      </c>
      <c r="AS60">
        <f t="shared" si="55"/>
        <v>5</v>
      </c>
      <c r="AT60">
        <f t="shared" si="55"/>
        <v>5</v>
      </c>
      <c r="AU60">
        <f t="shared" si="55"/>
        <v>5</v>
      </c>
      <c r="AV60">
        <f t="shared" si="55"/>
        <v>5</v>
      </c>
      <c r="AW60">
        <f t="shared" si="55"/>
        <v>5</v>
      </c>
      <c r="AX60">
        <f t="shared" si="55"/>
        <v>5</v>
      </c>
      <c r="BB60" s="32">
        <f t="shared" si="9"/>
        <v>2</v>
      </c>
      <c r="BC60" s="32">
        <f t="shared" si="10"/>
        <v>10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52</v>
      </c>
      <c r="B61" s="22">
        <f>Database!F61</f>
        <v>46041</v>
      </c>
      <c r="C61">
        <f>IF(Database!H61="cansl",0,Database!L61)</f>
        <v>1</v>
      </c>
      <c r="D61">
        <f>Database!E61-Database!D61</f>
        <v>4</v>
      </c>
      <c r="F61">
        <f>Database!M61</f>
        <v>2</v>
      </c>
      <c r="G61" t="str">
        <f>Database!G61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2</v>
      </c>
      <c r="BC61" s="32">
        <f t="shared" si="10"/>
        <v>8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53</v>
      </c>
      <c r="B62" s="22">
        <f>Database!F62</f>
        <v>46041</v>
      </c>
      <c r="C62">
        <f>IF(Database!H62="cansl",0,Database!L62)</f>
        <v>1</v>
      </c>
      <c r="D62">
        <f>Database!E62-Database!D62</f>
        <v>3</v>
      </c>
      <c r="F62">
        <f>Database!M62</f>
        <v>2</v>
      </c>
      <c r="G62" t="str">
        <f>Database!G62</f>
        <v>DK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2</v>
      </c>
      <c r="BC62" s="32">
        <f t="shared" si="10"/>
        <v>6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0</v>
      </c>
      <c r="BI62" s="32">
        <f t="shared" si="16"/>
        <v>0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54</v>
      </c>
      <c r="B63" s="22">
        <f>Database!F63</f>
        <v>46042</v>
      </c>
      <c r="C63">
        <f>IF(Database!H63="cansl",0,Database!L63)</f>
        <v>0</v>
      </c>
      <c r="D63">
        <f>Database!E63-Database!D63</f>
        <v>3</v>
      </c>
      <c r="F63">
        <f>Database!M63</f>
        <v>0</v>
      </c>
      <c r="G63">
        <f>Database!G63</f>
        <v>0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0</v>
      </c>
      <c r="P63">
        <f t="shared" si="56"/>
        <v>0</v>
      </c>
      <c r="Q63">
        <f t="shared" si="56"/>
        <v>0</v>
      </c>
      <c r="R63">
        <f t="shared" si="56"/>
        <v>0</v>
      </c>
      <c r="S63">
        <f t="shared" si="56"/>
        <v>0</v>
      </c>
      <c r="T63">
        <f t="shared" si="56"/>
        <v>0</v>
      </c>
      <c r="U63">
        <f t="shared" si="56"/>
        <v>0</v>
      </c>
      <c r="V63">
        <f t="shared" si="56"/>
        <v>0</v>
      </c>
      <c r="W63">
        <f t="shared" si="56"/>
        <v>0</v>
      </c>
      <c r="X63">
        <f t="shared" ref="X63:AG72" si="57">IF($B63&lt;X$1,$C63*$D63,0)</f>
        <v>0</v>
      </c>
      <c r="Y63">
        <f t="shared" si="57"/>
        <v>0</v>
      </c>
      <c r="Z63">
        <f t="shared" si="57"/>
        <v>0</v>
      </c>
      <c r="AA63">
        <f t="shared" si="57"/>
        <v>0</v>
      </c>
      <c r="AB63">
        <f t="shared" si="57"/>
        <v>0</v>
      </c>
      <c r="AC63">
        <f t="shared" si="57"/>
        <v>0</v>
      </c>
      <c r="AD63">
        <f t="shared" si="57"/>
        <v>0</v>
      </c>
      <c r="AE63">
        <f t="shared" si="57"/>
        <v>0</v>
      </c>
      <c r="AF63">
        <f t="shared" si="57"/>
        <v>0</v>
      </c>
      <c r="AG63">
        <f t="shared" si="57"/>
        <v>0</v>
      </c>
      <c r="AH63">
        <f t="shared" ref="AH63:AQ72" si="58">IF($B63&lt;AH$1,$C63*$D63,0)</f>
        <v>0</v>
      </c>
      <c r="AI63">
        <f t="shared" si="58"/>
        <v>0</v>
      </c>
      <c r="AJ63">
        <f t="shared" si="58"/>
        <v>0</v>
      </c>
      <c r="AK63">
        <f t="shared" si="58"/>
        <v>0</v>
      </c>
      <c r="AL63">
        <f t="shared" si="58"/>
        <v>0</v>
      </c>
      <c r="AM63">
        <f t="shared" si="58"/>
        <v>0</v>
      </c>
      <c r="AN63">
        <f t="shared" si="58"/>
        <v>0</v>
      </c>
      <c r="AO63">
        <f t="shared" si="58"/>
        <v>0</v>
      </c>
      <c r="AP63">
        <f t="shared" si="58"/>
        <v>0</v>
      </c>
      <c r="AQ63">
        <f t="shared" si="58"/>
        <v>0</v>
      </c>
      <c r="AR63">
        <f t="shared" ref="AR63:AX72" si="59">IF($B63&lt;AR$1,$C63*$D63,0)</f>
        <v>0</v>
      </c>
      <c r="AS63">
        <f t="shared" si="59"/>
        <v>0</v>
      </c>
      <c r="AT63">
        <f t="shared" si="59"/>
        <v>0</v>
      </c>
      <c r="AU63">
        <f t="shared" si="59"/>
        <v>0</v>
      </c>
      <c r="AV63">
        <f t="shared" si="59"/>
        <v>0</v>
      </c>
      <c r="AW63">
        <f t="shared" si="59"/>
        <v>0</v>
      </c>
      <c r="AX63">
        <f t="shared" si="59"/>
        <v>0</v>
      </c>
      <c r="BB63" s="32">
        <f t="shared" si="9"/>
        <v>0</v>
      </c>
      <c r="BC63" s="32">
        <f t="shared" si="10"/>
        <v>0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55</v>
      </c>
      <c r="B64" s="22">
        <f>Database!F64</f>
        <v>46042</v>
      </c>
      <c r="C64">
        <f>IF(Database!H64="cansl",0,Database!L64)</f>
        <v>1</v>
      </c>
      <c r="D64">
        <f>Database!E64-Database!D64</f>
        <v>4</v>
      </c>
      <c r="F64">
        <f>Database!M64</f>
        <v>2</v>
      </c>
      <c r="G64" t="str">
        <f>Database!G64</f>
        <v>DK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4</v>
      </c>
      <c r="P64">
        <f t="shared" si="56"/>
        <v>4</v>
      </c>
      <c r="Q64">
        <f t="shared" si="56"/>
        <v>4</v>
      </c>
      <c r="R64">
        <f t="shared" si="56"/>
        <v>4</v>
      </c>
      <c r="S64">
        <f t="shared" si="56"/>
        <v>4</v>
      </c>
      <c r="T64">
        <f t="shared" si="56"/>
        <v>4</v>
      </c>
      <c r="U64">
        <f t="shared" si="56"/>
        <v>4</v>
      </c>
      <c r="V64">
        <f t="shared" si="56"/>
        <v>4</v>
      </c>
      <c r="W64">
        <f t="shared" si="56"/>
        <v>4</v>
      </c>
      <c r="X64">
        <f t="shared" si="57"/>
        <v>4</v>
      </c>
      <c r="Y64">
        <f t="shared" si="57"/>
        <v>4</v>
      </c>
      <c r="Z64">
        <f t="shared" si="57"/>
        <v>4</v>
      </c>
      <c r="AA64">
        <f t="shared" si="57"/>
        <v>4</v>
      </c>
      <c r="AB64">
        <f t="shared" si="57"/>
        <v>4</v>
      </c>
      <c r="AC64">
        <f t="shared" si="57"/>
        <v>4</v>
      </c>
      <c r="AD64">
        <f t="shared" si="57"/>
        <v>4</v>
      </c>
      <c r="AE64">
        <f t="shared" si="57"/>
        <v>4</v>
      </c>
      <c r="AF64">
        <f t="shared" si="57"/>
        <v>4</v>
      </c>
      <c r="AG64">
        <f t="shared" si="57"/>
        <v>4</v>
      </c>
      <c r="AH64">
        <f t="shared" si="58"/>
        <v>4</v>
      </c>
      <c r="AI64">
        <f t="shared" si="58"/>
        <v>4</v>
      </c>
      <c r="AJ64">
        <f t="shared" si="58"/>
        <v>4</v>
      </c>
      <c r="AK64">
        <f t="shared" si="58"/>
        <v>4</v>
      </c>
      <c r="AL64">
        <f t="shared" si="58"/>
        <v>4</v>
      </c>
      <c r="AM64">
        <f t="shared" si="58"/>
        <v>4</v>
      </c>
      <c r="AN64">
        <f t="shared" si="58"/>
        <v>4</v>
      </c>
      <c r="AO64">
        <f t="shared" si="58"/>
        <v>4</v>
      </c>
      <c r="AP64">
        <f t="shared" si="58"/>
        <v>4</v>
      </c>
      <c r="AQ64">
        <f t="shared" si="58"/>
        <v>4</v>
      </c>
      <c r="AR64">
        <f t="shared" si="59"/>
        <v>4</v>
      </c>
      <c r="AS64">
        <f t="shared" si="59"/>
        <v>4</v>
      </c>
      <c r="AT64">
        <f t="shared" si="59"/>
        <v>4</v>
      </c>
      <c r="AU64">
        <f t="shared" si="59"/>
        <v>4</v>
      </c>
      <c r="AV64">
        <f t="shared" si="59"/>
        <v>4</v>
      </c>
      <c r="AW64">
        <f t="shared" si="59"/>
        <v>4</v>
      </c>
      <c r="AX64">
        <f t="shared" si="59"/>
        <v>4</v>
      </c>
      <c r="BB64" s="32">
        <f t="shared" si="9"/>
        <v>2</v>
      </c>
      <c r="BC64" s="32">
        <f t="shared" si="10"/>
        <v>8</v>
      </c>
      <c r="BD64" s="32">
        <f t="shared" si="11"/>
        <v>0</v>
      </c>
      <c r="BE64" s="32">
        <f t="shared" si="12"/>
        <v>0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56</v>
      </c>
      <c r="B65" s="22">
        <f>Database!F65</f>
        <v>46043</v>
      </c>
      <c r="C65">
        <f>IF(Database!H65="cansl",0,Database!L65)</f>
        <v>1</v>
      </c>
      <c r="D65">
        <f>Database!E65-Database!D65</f>
        <v>2</v>
      </c>
      <c r="F65">
        <f>Database!M65</f>
        <v>2</v>
      </c>
      <c r="G65" t="str">
        <f>Database!G65</f>
        <v>DK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2</v>
      </c>
      <c r="P65">
        <f t="shared" si="56"/>
        <v>2</v>
      </c>
      <c r="Q65">
        <f t="shared" si="56"/>
        <v>2</v>
      </c>
      <c r="R65">
        <f t="shared" si="56"/>
        <v>2</v>
      </c>
      <c r="S65">
        <f t="shared" si="56"/>
        <v>2</v>
      </c>
      <c r="T65">
        <f t="shared" si="56"/>
        <v>2</v>
      </c>
      <c r="U65">
        <f t="shared" si="56"/>
        <v>2</v>
      </c>
      <c r="V65">
        <f t="shared" si="56"/>
        <v>2</v>
      </c>
      <c r="W65">
        <f t="shared" si="56"/>
        <v>2</v>
      </c>
      <c r="X65">
        <f t="shared" si="57"/>
        <v>2</v>
      </c>
      <c r="Y65">
        <f t="shared" si="57"/>
        <v>2</v>
      </c>
      <c r="Z65">
        <f t="shared" si="57"/>
        <v>2</v>
      </c>
      <c r="AA65">
        <f t="shared" si="57"/>
        <v>2</v>
      </c>
      <c r="AB65">
        <f t="shared" si="57"/>
        <v>2</v>
      </c>
      <c r="AC65">
        <f t="shared" si="57"/>
        <v>2</v>
      </c>
      <c r="AD65">
        <f t="shared" si="57"/>
        <v>2</v>
      </c>
      <c r="AE65">
        <f t="shared" si="57"/>
        <v>2</v>
      </c>
      <c r="AF65">
        <f t="shared" si="57"/>
        <v>2</v>
      </c>
      <c r="AG65">
        <f t="shared" si="57"/>
        <v>2</v>
      </c>
      <c r="AH65">
        <f t="shared" si="58"/>
        <v>2</v>
      </c>
      <c r="AI65">
        <f t="shared" si="58"/>
        <v>2</v>
      </c>
      <c r="AJ65">
        <f t="shared" si="58"/>
        <v>2</v>
      </c>
      <c r="AK65">
        <f t="shared" si="58"/>
        <v>2</v>
      </c>
      <c r="AL65">
        <f t="shared" si="58"/>
        <v>2</v>
      </c>
      <c r="AM65">
        <f t="shared" si="58"/>
        <v>2</v>
      </c>
      <c r="AN65">
        <f t="shared" si="58"/>
        <v>2</v>
      </c>
      <c r="AO65">
        <f t="shared" si="58"/>
        <v>2</v>
      </c>
      <c r="AP65">
        <f t="shared" si="58"/>
        <v>2</v>
      </c>
      <c r="AQ65">
        <f t="shared" si="58"/>
        <v>2</v>
      </c>
      <c r="AR65">
        <f t="shared" si="59"/>
        <v>2</v>
      </c>
      <c r="AS65">
        <f t="shared" si="59"/>
        <v>2</v>
      </c>
      <c r="AT65">
        <f t="shared" si="59"/>
        <v>2</v>
      </c>
      <c r="AU65">
        <f t="shared" si="59"/>
        <v>2</v>
      </c>
      <c r="AV65">
        <f t="shared" si="59"/>
        <v>2</v>
      </c>
      <c r="AW65">
        <f t="shared" si="59"/>
        <v>2</v>
      </c>
      <c r="AX65">
        <f t="shared" si="59"/>
        <v>2</v>
      </c>
      <c r="BB65" s="32">
        <f t="shared" si="9"/>
        <v>2</v>
      </c>
      <c r="BC65" s="32">
        <f t="shared" si="10"/>
        <v>4</v>
      </c>
      <c r="BD65" s="32">
        <f t="shared" si="11"/>
        <v>0</v>
      </c>
      <c r="BE65" s="32">
        <f t="shared" si="12"/>
        <v>0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57</v>
      </c>
      <c r="B66" s="22">
        <f>Database!F66</f>
        <v>46043</v>
      </c>
      <c r="C66">
        <f>IF(Database!H66="cansl",0,Database!L66)</f>
        <v>1</v>
      </c>
      <c r="D66">
        <f>Database!E66-Database!D66</f>
        <v>6</v>
      </c>
      <c r="F66">
        <f>Database!M66</f>
        <v>2</v>
      </c>
      <c r="G66" t="str">
        <f>Database!G66</f>
        <v>S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6</v>
      </c>
      <c r="P66">
        <f t="shared" si="56"/>
        <v>6</v>
      </c>
      <c r="Q66">
        <f t="shared" si="56"/>
        <v>6</v>
      </c>
      <c r="R66">
        <f t="shared" si="56"/>
        <v>6</v>
      </c>
      <c r="S66">
        <f t="shared" si="56"/>
        <v>6</v>
      </c>
      <c r="T66">
        <f t="shared" si="56"/>
        <v>6</v>
      </c>
      <c r="U66">
        <f t="shared" si="56"/>
        <v>6</v>
      </c>
      <c r="V66">
        <f t="shared" si="56"/>
        <v>6</v>
      </c>
      <c r="W66">
        <f t="shared" si="56"/>
        <v>6</v>
      </c>
      <c r="X66">
        <f t="shared" si="57"/>
        <v>6</v>
      </c>
      <c r="Y66">
        <f t="shared" si="57"/>
        <v>6</v>
      </c>
      <c r="Z66">
        <f t="shared" si="57"/>
        <v>6</v>
      </c>
      <c r="AA66">
        <f t="shared" si="57"/>
        <v>6</v>
      </c>
      <c r="AB66">
        <f t="shared" si="57"/>
        <v>6</v>
      </c>
      <c r="AC66">
        <f t="shared" si="57"/>
        <v>6</v>
      </c>
      <c r="AD66">
        <f t="shared" si="57"/>
        <v>6</v>
      </c>
      <c r="AE66">
        <f t="shared" si="57"/>
        <v>6</v>
      </c>
      <c r="AF66">
        <f t="shared" si="57"/>
        <v>6</v>
      </c>
      <c r="AG66">
        <f t="shared" si="57"/>
        <v>6</v>
      </c>
      <c r="AH66">
        <f t="shared" si="58"/>
        <v>6</v>
      </c>
      <c r="AI66">
        <f t="shared" si="58"/>
        <v>6</v>
      </c>
      <c r="AJ66">
        <f t="shared" si="58"/>
        <v>6</v>
      </c>
      <c r="AK66">
        <f t="shared" si="58"/>
        <v>6</v>
      </c>
      <c r="AL66">
        <f t="shared" si="58"/>
        <v>6</v>
      </c>
      <c r="AM66">
        <f t="shared" si="58"/>
        <v>6</v>
      </c>
      <c r="AN66">
        <f t="shared" si="58"/>
        <v>6</v>
      </c>
      <c r="AO66">
        <f t="shared" si="58"/>
        <v>6</v>
      </c>
      <c r="AP66">
        <f t="shared" si="58"/>
        <v>6</v>
      </c>
      <c r="AQ66">
        <f t="shared" si="58"/>
        <v>6</v>
      </c>
      <c r="AR66">
        <f t="shared" si="59"/>
        <v>6</v>
      </c>
      <c r="AS66">
        <f t="shared" si="59"/>
        <v>6</v>
      </c>
      <c r="AT66">
        <f t="shared" si="59"/>
        <v>6</v>
      </c>
      <c r="AU66">
        <f t="shared" si="59"/>
        <v>6</v>
      </c>
      <c r="AV66">
        <f t="shared" si="59"/>
        <v>6</v>
      </c>
      <c r="AW66">
        <f t="shared" si="59"/>
        <v>6</v>
      </c>
      <c r="AX66">
        <f t="shared" si="59"/>
        <v>6</v>
      </c>
      <c r="BB66" s="32">
        <f t="shared" si="9"/>
        <v>0</v>
      </c>
      <c r="BC66" s="32">
        <f t="shared" si="10"/>
        <v>0</v>
      </c>
      <c r="BD66" s="32">
        <f t="shared" si="11"/>
        <v>2</v>
      </c>
      <c r="BE66" s="32">
        <f t="shared" si="12"/>
        <v>12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58</v>
      </c>
      <c r="B67" s="22">
        <f>Database!F67</f>
        <v>46046</v>
      </c>
      <c r="C67">
        <f>IF(Database!H67="cansl",0,Database!L67)</f>
        <v>2</v>
      </c>
      <c r="D67">
        <f>Database!E67-Database!D67</f>
        <v>3</v>
      </c>
      <c r="F67">
        <f>Database!M67</f>
        <v>2</v>
      </c>
      <c r="G67" t="str">
        <f>Database!G67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6</v>
      </c>
      <c r="P67">
        <f t="shared" si="56"/>
        <v>6</v>
      </c>
      <c r="Q67">
        <f t="shared" si="56"/>
        <v>6</v>
      </c>
      <c r="R67">
        <f t="shared" si="56"/>
        <v>6</v>
      </c>
      <c r="S67">
        <f t="shared" si="56"/>
        <v>6</v>
      </c>
      <c r="T67">
        <f t="shared" si="56"/>
        <v>6</v>
      </c>
      <c r="U67">
        <f t="shared" si="56"/>
        <v>6</v>
      </c>
      <c r="V67">
        <f t="shared" si="56"/>
        <v>6</v>
      </c>
      <c r="W67">
        <f t="shared" si="56"/>
        <v>6</v>
      </c>
      <c r="X67">
        <f t="shared" si="57"/>
        <v>6</v>
      </c>
      <c r="Y67">
        <f t="shared" si="57"/>
        <v>6</v>
      </c>
      <c r="Z67">
        <f t="shared" si="57"/>
        <v>6</v>
      </c>
      <c r="AA67">
        <f t="shared" si="57"/>
        <v>6</v>
      </c>
      <c r="AB67">
        <f t="shared" si="57"/>
        <v>6</v>
      </c>
      <c r="AC67">
        <f t="shared" si="57"/>
        <v>6</v>
      </c>
      <c r="AD67">
        <f t="shared" si="57"/>
        <v>6</v>
      </c>
      <c r="AE67">
        <f t="shared" si="57"/>
        <v>6</v>
      </c>
      <c r="AF67">
        <f t="shared" si="57"/>
        <v>6</v>
      </c>
      <c r="AG67">
        <f t="shared" si="57"/>
        <v>6</v>
      </c>
      <c r="AH67">
        <f t="shared" si="58"/>
        <v>6</v>
      </c>
      <c r="AI67">
        <f t="shared" si="58"/>
        <v>6</v>
      </c>
      <c r="AJ67">
        <f t="shared" si="58"/>
        <v>6</v>
      </c>
      <c r="AK67">
        <f t="shared" si="58"/>
        <v>6</v>
      </c>
      <c r="AL67">
        <f t="shared" si="58"/>
        <v>6</v>
      </c>
      <c r="AM67">
        <f t="shared" si="58"/>
        <v>6</v>
      </c>
      <c r="AN67">
        <f t="shared" si="58"/>
        <v>6</v>
      </c>
      <c r="AO67">
        <f t="shared" si="58"/>
        <v>6</v>
      </c>
      <c r="AP67">
        <f t="shared" si="58"/>
        <v>6</v>
      </c>
      <c r="AQ67">
        <f t="shared" si="58"/>
        <v>6</v>
      </c>
      <c r="AR67">
        <f t="shared" si="59"/>
        <v>6</v>
      </c>
      <c r="AS67">
        <f t="shared" si="59"/>
        <v>6</v>
      </c>
      <c r="AT67">
        <f t="shared" si="59"/>
        <v>6</v>
      </c>
      <c r="AU67">
        <f t="shared" si="59"/>
        <v>6</v>
      </c>
      <c r="AV67">
        <f t="shared" si="59"/>
        <v>6</v>
      </c>
      <c r="AW67">
        <f t="shared" si="59"/>
        <v>6</v>
      </c>
      <c r="AX67">
        <f t="shared" si="59"/>
        <v>6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58</v>
      </c>
      <c r="B68" s="22">
        <f>Database!F68</f>
        <v>0</v>
      </c>
      <c r="C68">
        <f>IF(Database!H68="cansl",0,Database!L68)</f>
        <v>0</v>
      </c>
      <c r="D68">
        <f>Database!E68-Database!D68</f>
        <v>0</v>
      </c>
      <c r="F68">
        <f>Database!M68</f>
        <v>0</v>
      </c>
      <c r="G68">
        <f>Database!G68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0</v>
      </c>
      <c r="BI68" s="32">
        <f t="shared" si="70"/>
        <v>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59</v>
      </c>
      <c r="B69" s="22">
        <f>Database!F69</f>
        <v>46047</v>
      </c>
      <c r="C69">
        <f>IF(Database!H69="cansl",0,Database!L69)</f>
        <v>1</v>
      </c>
      <c r="D69">
        <f>Database!E69-Database!D69</f>
        <v>4</v>
      </c>
      <c r="F69">
        <f>Database!M69</f>
        <v>2</v>
      </c>
      <c r="G69" t="str">
        <f>Database!G69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4</v>
      </c>
      <c r="P69">
        <f t="shared" si="56"/>
        <v>4</v>
      </c>
      <c r="Q69">
        <f t="shared" si="56"/>
        <v>4</v>
      </c>
      <c r="R69">
        <f t="shared" si="56"/>
        <v>4</v>
      </c>
      <c r="S69">
        <f t="shared" si="56"/>
        <v>4</v>
      </c>
      <c r="T69">
        <f t="shared" si="56"/>
        <v>4</v>
      </c>
      <c r="U69">
        <f t="shared" si="56"/>
        <v>4</v>
      </c>
      <c r="V69">
        <f t="shared" si="56"/>
        <v>4</v>
      </c>
      <c r="W69">
        <f t="shared" si="56"/>
        <v>4</v>
      </c>
      <c r="X69">
        <f t="shared" si="57"/>
        <v>4</v>
      </c>
      <c r="Y69">
        <f t="shared" si="57"/>
        <v>4</v>
      </c>
      <c r="Z69">
        <f t="shared" si="57"/>
        <v>4</v>
      </c>
      <c r="AA69">
        <f t="shared" si="57"/>
        <v>4</v>
      </c>
      <c r="AB69">
        <f t="shared" si="57"/>
        <v>4</v>
      </c>
      <c r="AC69">
        <f t="shared" si="57"/>
        <v>4</v>
      </c>
      <c r="AD69">
        <f t="shared" si="57"/>
        <v>4</v>
      </c>
      <c r="AE69">
        <f t="shared" si="57"/>
        <v>4</v>
      </c>
      <c r="AF69">
        <f t="shared" si="57"/>
        <v>4</v>
      </c>
      <c r="AG69">
        <f t="shared" si="57"/>
        <v>4</v>
      </c>
      <c r="AH69">
        <f t="shared" si="58"/>
        <v>4</v>
      </c>
      <c r="AI69">
        <f t="shared" si="58"/>
        <v>4</v>
      </c>
      <c r="AJ69">
        <f t="shared" si="58"/>
        <v>4</v>
      </c>
      <c r="AK69">
        <f t="shared" si="58"/>
        <v>4</v>
      </c>
      <c r="AL69">
        <f t="shared" si="58"/>
        <v>4</v>
      </c>
      <c r="AM69">
        <f t="shared" si="58"/>
        <v>4</v>
      </c>
      <c r="AN69">
        <f t="shared" si="58"/>
        <v>4</v>
      </c>
      <c r="AO69">
        <f t="shared" si="58"/>
        <v>4</v>
      </c>
      <c r="AP69">
        <f t="shared" si="58"/>
        <v>4</v>
      </c>
      <c r="AQ69">
        <f t="shared" si="58"/>
        <v>4</v>
      </c>
      <c r="AR69">
        <f t="shared" si="59"/>
        <v>4</v>
      </c>
      <c r="AS69">
        <f t="shared" si="59"/>
        <v>4</v>
      </c>
      <c r="AT69">
        <f t="shared" si="59"/>
        <v>4</v>
      </c>
      <c r="AU69">
        <f t="shared" si="59"/>
        <v>4</v>
      </c>
      <c r="AV69">
        <f t="shared" si="59"/>
        <v>4</v>
      </c>
      <c r="AW69">
        <f t="shared" si="59"/>
        <v>4</v>
      </c>
      <c r="AX69">
        <f t="shared" si="59"/>
        <v>4</v>
      </c>
      <c r="BB69" s="32">
        <f t="shared" si="63"/>
        <v>2</v>
      </c>
      <c r="BC69" s="32">
        <f t="shared" si="64"/>
        <v>8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60</v>
      </c>
      <c r="B70" s="22">
        <f>Database!F70</f>
        <v>46047</v>
      </c>
      <c r="C70">
        <f>IF(Database!H70="cansl",0,Database!L70)</f>
        <v>1</v>
      </c>
      <c r="D70">
        <f>Database!E70-Database!D70</f>
        <v>4</v>
      </c>
      <c r="F70">
        <f>Database!M70</f>
        <v>1</v>
      </c>
      <c r="G70" t="str">
        <f>Database!G70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4</v>
      </c>
      <c r="P70">
        <f t="shared" si="56"/>
        <v>4</v>
      </c>
      <c r="Q70">
        <f t="shared" si="56"/>
        <v>4</v>
      </c>
      <c r="R70">
        <f t="shared" si="56"/>
        <v>4</v>
      </c>
      <c r="S70">
        <f t="shared" si="56"/>
        <v>4</v>
      </c>
      <c r="T70">
        <f t="shared" si="56"/>
        <v>4</v>
      </c>
      <c r="U70">
        <f t="shared" si="56"/>
        <v>4</v>
      </c>
      <c r="V70">
        <f t="shared" si="56"/>
        <v>4</v>
      </c>
      <c r="W70">
        <f t="shared" si="56"/>
        <v>4</v>
      </c>
      <c r="X70">
        <f t="shared" si="57"/>
        <v>4</v>
      </c>
      <c r="Y70">
        <f t="shared" si="57"/>
        <v>4</v>
      </c>
      <c r="Z70">
        <f t="shared" si="57"/>
        <v>4</v>
      </c>
      <c r="AA70">
        <f t="shared" si="57"/>
        <v>4</v>
      </c>
      <c r="AB70">
        <f t="shared" si="57"/>
        <v>4</v>
      </c>
      <c r="AC70">
        <f t="shared" si="57"/>
        <v>4</v>
      </c>
      <c r="AD70">
        <f t="shared" si="57"/>
        <v>4</v>
      </c>
      <c r="AE70">
        <f t="shared" si="57"/>
        <v>4</v>
      </c>
      <c r="AF70">
        <f t="shared" si="57"/>
        <v>4</v>
      </c>
      <c r="AG70">
        <f t="shared" si="57"/>
        <v>4</v>
      </c>
      <c r="AH70">
        <f t="shared" si="58"/>
        <v>4</v>
      </c>
      <c r="AI70">
        <f t="shared" si="58"/>
        <v>4</v>
      </c>
      <c r="AJ70">
        <f t="shared" si="58"/>
        <v>4</v>
      </c>
      <c r="AK70">
        <f t="shared" si="58"/>
        <v>4</v>
      </c>
      <c r="AL70">
        <f t="shared" si="58"/>
        <v>4</v>
      </c>
      <c r="AM70">
        <f t="shared" si="58"/>
        <v>4</v>
      </c>
      <c r="AN70">
        <f t="shared" si="58"/>
        <v>4</v>
      </c>
      <c r="AO70">
        <f t="shared" si="58"/>
        <v>4</v>
      </c>
      <c r="AP70">
        <f t="shared" si="58"/>
        <v>4</v>
      </c>
      <c r="AQ70">
        <f t="shared" si="58"/>
        <v>4</v>
      </c>
      <c r="AR70">
        <f t="shared" si="59"/>
        <v>4</v>
      </c>
      <c r="AS70">
        <f t="shared" si="59"/>
        <v>4</v>
      </c>
      <c r="AT70">
        <f t="shared" si="59"/>
        <v>4</v>
      </c>
      <c r="AU70">
        <f t="shared" si="59"/>
        <v>4</v>
      </c>
      <c r="AV70">
        <f t="shared" si="59"/>
        <v>4</v>
      </c>
      <c r="AW70">
        <f t="shared" si="59"/>
        <v>4</v>
      </c>
      <c r="AX70">
        <f t="shared" si="59"/>
        <v>4</v>
      </c>
      <c r="BB70" s="32">
        <f t="shared" si="63"/>
        <v>1</v>
      </c>
      <c r="BC70" s="32">
        <f t="shared" si="64"/>
        <v>4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61</v>
      </c>
      <c r="B71" s="22">
        <f>Database!F71</f>
        <v>46047</v>
      </c>
      <c r="C71">
        <f>IF(Database!H71="cansl",0,Database!L71)</f>
        <v>1</v>
      </c>
      <c r="D71">
        <f>Database!E71-Database!D71</f>
        <v>3</v>
      </c>
      <c r="F71">
        <f>Database!M71</f>
        <v>2</v>
      </c>
      <c r="G71" t="str">
        <f>Database!G71</f>
        <v>D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3</v>
      </c>
      <c r="P71">
        <f t="shared" si="56"/>
        <v>3</v>
      </c>
      <c r="Q71">
        <f t="shared" si="56"/>
        <v>3</v>
      </c>
      <c r="R71">
        <f t="shared" si="56"/>
        <v>3</v>
      </c>
      <c r="S71">
        <f t="shared" si="56"/>
        <v>3</v>
      </c>
      <c r="T71">
        <f t="shared" si="56"/>
        <v>3</v>
      </c>
      <c r="U71">
        <f t="shared" si="56"/>
        <v>3</v>
      </c>
      <c r="V71">
        <f t="shared" si="56"/>
        <v>3</v>
      </c>
      <c r="W71">
        <f t="shared" si="56"/>
        <v>3</v>
      </c>
      <c r="X71">
        <f t="shared" si="57"/>
        <v>3</v>
      </c>
      <c r="Y71">
        <f t="shared" si="57"/>
        <v>3</v>
      </c>
      <c r="Z71">
        <f t="shared" si="57"/>
        <v>3</v>
      </c>
      <c r="AA71">
        <f t="shared" si="57"/>
        <v>3</v>
      </c>
      <c r="AB71">
        <f t="shared" si="57"/>
        <v>3</v>
      </c>
      <c r="AC71">
        <f t="shared" si="57"/>
        <v>3</v>
      </c>
      <c r="AD71">
        <f t="shared" si="57"/>
        <v>3</v>
      </c>
      <c r="AE71">
        <f t="shared" si="57"/>
        <v>3</v>
      </c>
      <c r="AF71">
        <f t="shared" si="57"/>
        <v>3</v>
      </c>
      <c r="AG71">
        <f t="shared" si="57"/>
        <v>3</v>
      </c>
      <c r="AH71">
        <f t="shared" si="58"/>
        <v>3</v>
      </c>
      <c r="AI71">
        <f t="shared" si="58"/>
        <v>3</v>
      </c>
      <c r="AJ71">
        <f t="shared" si="58"/>
        <v>3</v>
      </c>
      <c r="AK71">
        <f t="shared" si="58"/>
        <v>3</v>
      </c>
      <c r="AL71">
        <f t="shared" si="58"/>
        <v>3</v>
      </c>
      <c r="AM71">
        <f t="shared" si="58"/>
        <v>3</v>
      </c>
      <c r="AN71">
        <f t="shared" si="58"/>
        <v>3</v>
      </c>
      <c r="AO71">
        <f t="shared" si="58"/>
        <v>3</v>
      </c>
      <c r="AP71">
        <f t="shared" si="58"/>
        <v>3</v>
      </c>
      <c r="AQ71">
        <f t="shared" si="58"/>
        <v>3</v>
      </c>
      <c r="AR71">
        <f t="shared" si="59"/>
        <v>3</v>
      </c>
      <c r="AS71">
        <f t="shared" si="59"/>
        <v>3</v>
      </c>
      <c r="AT71">
        <f t="shared" si="59"/>
        <v>3</v>
      </c>
      <c r="AU71">
        <f t="shared" si="59"/>
        <v>3</v>
      </c>
      <c r="AV71">
        <f t="shared" si="59"/>
        <v>3</v>
      </c>
      <c r="AW71">
        <f t="shared" si="59"/>
        <v>3</v>
      </c>
      <c r="AX71">
        <f t="shared" si="59"/>
        <v>3</v>
      </c>
      <c r="BB71" s="32">
        <f t="shared" si="63"/>
        <v>0</v>
      </c>
      <c r="BC71" s="32">
        <f t="shared" si="64"/>
        <v>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2</v>
      </c>
      <c r="BI71" s="32">
        <f t="shared" si="70"/>
        <v>6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62</v>
      </c>
      <c r="B72" s="22">
        <f>Database!F72</f>
        <v>46047</v>
      </c>
      <c r="C72">
        <f>IF(Database!H72="cansl",0,Database!L72)</f>
        <v>1</v>
      </c>
      <c r="D72">
        <f>Database!E72-Database!D72</f>
        <v>8</v>
      </c>
      <c r="F72">
        <f>Database!M72</f>
        <v>2</v>
      </c>
      <c r="G72" t="str">
        <f>Database!G72</f>
        <v>DK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8</v>
      </c>
      <c r="P72">
        <f t="shared" si="56"/>
        <v>8</v>
      </c>
      <c r="Q72">
        <f t="shared" si="56"/>
        <v>8</v>
      </c>
      <c r="R72">
        <f t="shared" si="56"/>
        <v>8</v>
      </c>
      <c r="S72">
        <f t="shared" si="56"/>
        <v>8</v>
      </c>
      <c r="T72">
        <f t="shared" si="56"/>
        <v>8</v>
      </c>
      <c r="U72">
        <f t="shared" si="56"/>
        <v>8</v>
      </c>
      <c r="V72">
        <f t="shared" si="56"/>
        <v>8</v>
      </c>
      <c r="W72">
        <f t="shared" si="56"/>
        <v>8</v>
      </c>
      <c r="X72">
        <f t="shared" si="57"/>
        <v>8</v>
      </c>
      <c r="Y72">
        <f t="shared" si="57"/>
        <v>8</v>
      </c>
      <c r="Z72">
        <f t="shared" si="57"/>
        <v>8</v>
      </c>
      <c r="AA72">
        <f t="shared" si="57"/>
        <v>8</v>
      </c>
      <c r="AB72">
        <f t="shared" si="57"/>
        <v>8</v>
      </c>
      <c r="AC72">
        <f t="shared" si="57"/>
        <v>8</v>
      </c>
      <c r="AD72">
        <f t="shared" si="57"/>
        <v>8</v>
      </c>
      <c r="AE72">
        <f t="shared" si="57"/>
        <v>8</v>
      </c>
      <c r="AF72">
        <f t="shared" si="57"/>
        <v>8</v>
      </c>
      <c r="AG72">
        <f t="shared" si="57"/>
        <v>8</v>
      </c>
      <c r="AH72">
        <f t="shared" si="58"/>
        <v>8</v>
      </c>
      <c r="AI72">
        <f t="shared" si="58"/>
        <v>8</v>
      </c>
      <c r="AJ72">
        <f t="shared" si="58"/>
        <v>8</v>
      </c>
      <c r="AK72">
        <f t="shared" si="58"/>
        <v>8</v>
      </c>
      <c r="AL72">
        <f t="shared" si="58"/>
        <v>8</v>
      </c>
      <c r="AM72">
        <f t="shared" si="58"/>
        <v>8</v>
      </c>
      <c r="AN72">
        <f t="shared" si="58"/>
        <v>8</v>
      </c>
      <c r="AO72">
        <f t="shared" si="58"/>
        <v>8</v>
      </c>
      <c r="AP72">
        <f t="shared" si="58"/>
        <v>8</v>
      </c>
      <c r="AQ72">
        <f t="shared" si="58"/>
        <v>8</v>
      </c>
      <c r="AR72">
        <f t="shared" si="59"/>
        <v>8</v>
      </c>
      <c r="AS72">
        <f t="shared" si="59"/>
        <v>8</v>
      </c>
      <c r="AT72">
        <f t="shared" si="59"/>
        <v>8</v>
      </c>
      <c r="AU72">
        <f t="shared" si="59"/>
        <v>8</v>
      </c>
      <c r="AV72">
        <f t="shared" si="59"/>
        <v>8</v>
      </c>
      <c r="AW72">
        <f t="shared" si="59"/>
        <v>8</v>
      </c>
      <c r="AX72">
        <f t="shared" si="59"/>
        <v>8</v>
      </c>
      <c r="BB72" s="32">
        <f t="shared" si="63"/>
        <v>2</v>
      </c>
      <c r="BC72" s="32">
        <f t="shared" si="64"/>
        <v>16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63</v>
      </c>
      <c r="B73" s="22">
        <f>Database!F73</f>
        <v>46048</v>
      </c>
      <c r="C73">
        <f>IF(Database!H73="cansl",0,Database!L73)</f>
        <v>1</v>
      </c>
      <c r="D73">
        <f>Database!E73-Database!D73</f>
        <v>2</v>
      </c>
      <c r="F73">
        <f>Database!M73</f>
        <v>2</v>
      </c>
      <c r="G73" t="str">
        <f>Database!G73</f>
        <v>S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2</v>
      </c>
      <c r="Q73">
        <f t="shared" si="85"/>
        <v>2</v>
      </c>
      <c r="R73">
        <f t="shared" si="85"/>
        <v>2</v>
      </c>
      <c r="S73">
        <f t="shared" si="85"/>
        <v>2</v>
      </c>
      <c r="T73">
        <f t="shared" si="85"/>
        <v>2</v>
      </c>
      <c r="U73">
        <f t="shared" si="85"/>
        <v>2</v>
      </c>
      <c r="V73">
        <f t="shared" si="85"/>
        <v>2</v>
      </c>
      <c r="W73">
        <f t="shared" si="85"/>
        <v>2</v>
      </c>
      <c r="X73">
        <f t="shared" ref="X73:AG82" si="86">IF($B73&lt;X$1,$C73*$D73,0)</f>
        <v>2</v>
      </c>
      <c r="Y73">
        <f t="shared" si="86"/>
        <v>2</v>
      </c>
      <c r="Z73">
        <f t="shared" si="86"/>
        <v>2</v>
      </c>
      <c r="AA73">
        <f t="shared" si="86"/>
        <v>2</v>
      </c>
      <c r="AB73">
        <f t="shared" si="86"/>
        <v>2</v>
      </c>
      <c r="AC73">
        <f t="shared" si="86"/>
        <v>2</v>
      </c>
      <c r="AD73">
        <f t="shared" si="86"/>
        <v>2</v>
      </c>
      <c r="AE73">
        <f t="shared" si="86"/>
        <v>2</v>
      </c>
      <c r="AF73">
        <f t="shared" si="86"/>
        <v>2</v>
      </c>
      <c r="AG73">
        <f t="shared" si="86"/>
        <v>2</v>
      </c>
      <c r="AH73">
        <f t="shared" ref="AH73:AQ82" si="87">IF($B73&lt;AH$1,$C73*$D73,0)</f>
        <v>2</v>
      </c>
      <c r="AI73">
        <f t="shared" si="87"/>
        <v>2</v>
      </c>
      <c r="AJ73">
        <f t="shared" si="87"/>
        <v>2</v>
      </c>
      <c r="AK73">
        <f t="shared" si="87"/>
        <v>2</v>
      </c>
      <c r="AL73">
        <f t="shared" si="87"/>
        <v>2</v>
      </c>
      <c r="AM73">
        <f t="shared" si="87"/>
        <v>2</v>
      </c>
      <c r="AN73">
        <f t="shared" si="87"/>
        <v>2</v>
      </c>
      <c r="AO73">
        <f t="shared" si="87"/>
        <v>2</v>
      </c>
      <c r="AP73">
        <f t="shared" si="87"/>
        <v>2</v>
      </c>
      <c r="AQ73">
        <f t="shared" si="87"/>
        <v>2</v>
      </c>
      <c r="AR73">
        <f t="shared" ref="AR73:AX82" si="88">IF($B73&lt;AR$1,$C73*$D73,0)</f>
        <v>2</v>
      </c>
      <c r="AS73">
        <f t="shared" si="88"/>
        <v>2</v>
      </c>
      <c r="AT73">
        <f t="shared" si="88"/>
        <v>2</v>
      </c>
      <c r="AU73">
        <f t="shared" si="88"/>
        <v>2</v>
      </c>
      <c r="AV73">
        <f t="shared" si="88"/>
        <v>2</v>
      </c>
      <c r="AW73">
        <f t="shared" si="88"/>
        <v>2</v>
      </c>
      <c r="AX73">
        <f t="shared" si="88"/>
        <v>2</v>
      </c>
      <c r="BB73" s="32">
        <f t="shared" si="63"/>
        <v>0</v>
      </c>
      <c r="BC73" s="32">
        <f t="shared" si="64"/>
        <v>0</v>
      </c>
      <c r="BD73" s="32">
        <f t="shared" si="65"/>
        <v>2</v>
      </c>
      <c r="BE73" s="32">
        <f t="shared" si="66"/>
        <v>4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64</v>
      </c>
      <c r="B74" s="22">
        <f>Database!F74</f>
        <v>46053</v>
      </c>
      <c r="C74">
        <f>IF(Database!H74="cansl",0,Database!L74)</f>
        <v>1</v>
      </c>
      <c r="D74">
        <f>Database!E74-Database!D74</f>
        <v>3</v>
      </c>
      <c r="F74">
        <f>Database!M74</f>
        <v>2</v>
      </c>
      <c r="G74" t="str">
        <f>Database!G74</f>
        <v>S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3</v>
      </c>
      <c r="Q74">
        <f t="shared" si="85"/>
        <v>3</v>
      </c>
      <c r="R74">
        <f t="shared" si="85"/>
        <v>3</v>
      </c>
      <c r="S74">
        <f t="shared" si="85"/>
        <v>3</v>
      </c>
      <c r="T74">
        <f t="shared" si="85"/>
        <v>3</v>
      </c>
      <c r="U74">
        <f t="shared" si="85"/>
        <v>3</v>
      </c>
      <c r="V74">
        <f t="shared" si="85"/>
        <v>3</v>
      </c>
      <c r="W74">
        <f t="shared" si="85"/>
        <v>3</v>
      </c>
      <c r="X74">
        <f t="shared" si="86"/>
        <v>3</v>
      </c>
      <c r="Y74">
        <f t="shared" si="86"/>
        <v>3</v>
      </c>
      <c r="Z74">
        <f t="shared" si="86"/>
        <v>3</v>
      </c>
      <c r="AA74">
        <f t="shared" si="86"/>
        <v>3</v>
      </c>
      <c r="AB74">
        <f t="shared" si="86"/>
        <v>3</v>
      </c>
      <c r="AC74">
        <f t="shared" si="86"/>
        <v>3</v>
      </c>
      <c r="AD74">
        <f t="shared" si="86"/>
        <v>3</v>
      </c>
      <c r="AE74">
        <f t="shared" si="86"/>
        <v>3</v>
      </c>
      <c r="AF74">
        <f t="shared" si="86"/>
        <v>3</v>
      </c>
      <c r="AG74">
        <f t="shared" si="86"/>
        <v>3</v>
      </c>
      <c r="AH74">
        <f t="shared" si="87"/>
        <v>3</v>
      </c>
      <c r="AI74">
        <f t="shared" si="87"/>
        <v>3</v>
      </c>
      <c r="AJ74">
        <f t="shared" si="87"/>
        <v>3</v>
      </c>
      <c r="AK74">
        <f t="shared" si="87"/>
        <v>3</v>
      </c>
      <c r="AL74">
        <f t="shared" si="87"/>
        <v>3</v>
      </c>
      <c r="AM74">
        <f t="shared" si="87"/>
        <v>3</v>
      </c>
      <c r="AN74">
        <f t="shared" si="87"/>
        <v>3</v>
      </c>
      <c r="AO74">
        <f t="shared" si="87"/>
        <v>3</v>
      </c>
      <c r="AP74">
        <f t="shared" si="87"/>
        <v>3</v>
      </c>
      <c r="AQ74">
        <f t="shared" si="87"/>
        <v>3</v>
      </c>
      <c r="AR74">
        <f t="shared" si="88"/>
        <v>3</v>
      </c>
      <c r="AS74">
        <f t="shared" si="88"/>
        <v>3</v>
      </c>
      <c r="AT74">
        <f t="shared" si="88"/>
        <v>3</v>
      </c>
      <c r="AU74">
        <f t="shared" si="88"/>
        <v>3</v>
      </c>
      <c r="AV74">
        <f t="shared" si="88"/>
        <v>3</v>
      </c>
      <c r="AW74">
        <f t="shared" si="88"/>
        <v>3</v>
      </c>
      <c r="AX74">
        <f t="shared" si="88"/>
        <v>3</v>
      </c>
      <c r="BB74" s="32">
        <f t="shared" si="63"/>
        <v>0</v>
      </c>
      <c r="BC74" s="32">
        <f t="shared" si="64"/>
        <v>0</v>
      </c>
      <c r="BD74" s="32">
        <f t="shared" si="65"/>
        <v>2</v>
      </c>
      <c r="BE74" s="32">
        <f t="shared" si="66"/>
        <v>6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65</v>
      </c>
      <c r="B75" s="22">
        <f>Database!F75</f>
        <v>46054</v>
      </c>
      <c r="C75">
        <f>IF(Database!H75="cansl",0,Database!L75)</f>
        <v>1</v>
      </c>
      <c r="D75">
        <f>Database!E75-Database!D75</f>
        <v>2</v>
      </c>
      <c r="F75">
        <f>Database!M75</f>
        <v>2</v>
      </c>
      <c r="G75" t="str">
        <f>Database!G75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2</v>
      </c>
      <c r="Q75">
        <f t="shared" si="85"/>
        <v>2</v>
      </c>
      <c r="R75">
        <f t="shared" si="85"/>
        <v>2</v>
      </c>
      <c r="S75">
        <f t="shared" si="85"/>
        <v>2</v>
      </c>
      <c r="T75">
        <f t="shared" si="85"/>
        <v>2</v>
      </c>
      <c r="U75">
        <f t="shared" si="85"/>
        <v>2</v>
      </c>
      <c r="V75">
        <f t="shared" si="85"/>
        <v>2</v>
      </c>
      <c r="W75">
        <f t="shared" si="85"/>
        <v>2</v>
      </c>
      <c r="X75">
        <f t="shared" si="86"/>
        <v>2</v>
      </c>
      <c r="Y75">
        <f t="shared" si="86"/>
        <v>2</v>
      </c>
      <c r="Z75">
        <f t="shared" si="86"/>
        <v>2</v>
      </c>
      <c r="AA75">
        <f t="shared" si="86"/>
        <v>2</v>
      </c>
      <c r="AB75">
        <f t="shared" si="86"/>
        <v>2</v>
      </c>
      <c r="AC75">
        <f t="shared" si="86"/>
        <v>2</v>
      </c>
      <c r="AD75">
        <f t="shared" si="86"/>
        <v>2</v>
      </c>
      <c r="AE75">
        <f t="shared" si="86"/>
        <v>2</v>
      </c>
      <c r="AF75">
        <f t="shared" si="86"/>
        <v>2</v>
      </c>
      <c r="AG75">
        <f t="shared" si="86"/>
        <v>2</v>
      </c>
      <c r="AH75">
        <f t="shared" si="87"/>
        <v>2</v>
      </c>
      <c r="AI75">
        <f t="shared" si="87"/>
        <v>2</v>
      </c>
      <c r="AJ75">
        <f t="shared" si="87"/>
        <v>2</v>
      </c>
      <c r="AK75">
        <f t="shared" si="87"/>
        <v>2</v>
      </c>
      <c r="AL75">
        <f t="shared" si="87"/>
        <v>2</v>
      </c>
      <c r="AM75">
        <f t="shared" si="87"/>
        <v>2</v>
      </c>
      <c r="AN75">
        <f t="shared" si="87"/>
        <v>2</v>
      </c>
      <c r="AO75">
        <f t="shared" si="87"/>
        <v>2</v>
      </c>
      <c r="AP75">
        <f t="shared" si="87"/>
        <v>2</v>
      </c>
      <c r="AQ75">
        <f t="shared" si="87"/>
        <v>2</v>
      </c>
      <c r="AR75">
        <f t="shared" si="88"/>
        <v>2</v>
      </c>
      <c r="AS75">
        <f t="shared" si="88"/>
        <v>2</v>
      </c>
      <c r="AT75">
        <f t="shared" si="88"/>
        <v>2</v>
      </c>
      <c r="AU75">
        <f t="shared" si="88"/>
        <v>2</v>
      </c>
      <c r="AV75">
        <f t="shared" si="88"/>
        <v>2</v>
      </c>
      <c r="AW75">
        <f t="shared" si="88"/>
        <v>2</v>
      </c>
      <c r="AX75">
        <f t="shared" si="88"/>
        <v>2</v>
      </c>
      <c r="BB75" s="32">
        <f t="shared" si="63"/>
        <v>2</v>
      </c>
      <c r="BC75" s="32">
        <f t="shared" si="64"/>
        <v>4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66</v>
      </c>
      <c r="B76" s="22">
        <f>Database!F76</f>
        <v>46054</v>
      </c>
      <c r="C76">
        <f>IF(Database!H76="cansl",0,Database!L76)</f>
        <v>1</v>
      </c>
      <c r="D76">
        <f>Database!E76-Database!D76</f>
        <v>8</v>
      </c>
      <c r="F76">
        <f>Database!M76</f>
        <v>2</v>
      </c>
      <c r="G76" t="str">
        <f>Database!G76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8</v>
      </c>
      <c r="Q76">
        <f t="shared" si="85"/>
        <v>8</v>
      </c>
      <c r="R76">
        <f t="shared" si="85"/>
        <v>8</v>
      </c>
      <c r="S76">
        <f t="shared" si="85"/>
        <v>8</v>
      </c>
      <c r="T76">
        <f t="shared" si="85"/>
        <v>8</v>
      </c>
      <c r="U76">
        <f t="shared" si="85"/>
        <v>8</v>
      </c>
      <c r="V76">
        <f t="shared" si="85"/>
        <v>8</v>
      </c>
      <c r="W76">
        <f t="shared" si="85"/>
        <v>8</v>
      </c>
      <c r="X76">
        <f t="shared" si="86"/>
        <v>8</v>
      </c>
      <c r="Y76">
        <f t="shared" si="86"/>
        <v>8</v>
      </c>
      <c r="Z76">
        <f t="shared" si="86"/>
        <v>8</v>
      </c>
      <c r="AA76">
        <f t="shared" si="86"/>
        <v>8</v>
      </c>
      <c r="AB76">
        <f t="shared" si="86"/>
        <v>8</v>
      </c>
      <c r="AC76">
        <f t="shared" si="86"/>
        <v>8</v>
      </c>
      <c r="AD76">
        <f t="shared" si="86"/>
        <v>8</v>
      </c>
      <c r="AE76">
        <f t="shared" si="86"/>
        <v>8</v>
      </c>
      <c r="AF76">
        <f t="shared" si="86"/>
        <v>8</v>
      </c>
      <c r="AG76">
        <f t="shared" si="86"/>
        <v>8</v>
      </c>
      <c r="AH76">
        <f t="shared" si="87"/>
        <v>8</v>
      </c>
      <c r="AI76">
        <f t="shared" si="87"/>
        <v>8</v>
      </c>
      <c r="AJ76">
        <f t="shared" si="87"/>
        <v>8</v>
      </c>
      <c r="AK76">
        <f t="shared" si="87"/>
        <v>8</v>
      </c>
      <c r="AL76">
        <f t="shared" si="87"/>
        <v>8</v>
      </c>
      <c r="AM76">
        <f t="shared" si="87"/>
        <v>8</v>
      </c>
      <c r="AN76">
        <f t="shared" si="87"/>
        <v>8</v>
      </c>
      <c r="AO76">
        <f t="shared" si="87"/>
        <v>8</v>
      </c>
      <c r="AP76">
        <f t="shared" si="87"/>
        <v>8</v>
      </c>
      <c r="AQ76">
        <f t="shared" si="87"/>
        <v>8</v>
      </c>
      <c r="AR76">
        <f t="shared" si="88"/>
        <v>8</v>
      </c>
      <c r="AS76">
        <f t="shared" si="88"/>
        <v>8</v>
      </c>
      <c r="AT76">
        <f t="shared" si="88"/>
        <v>8</v>
      </c>
      <c r="AU76">
        <f t="shared" si="88"/>
        <v>8</v>
      </c>
      <c r="AV76">
        <f t="shared" si="88"/>
        <v>8</v>
      </c>
      <c r="AW76">
        <f t="shared" si="88"/>
        <v>8</v>
      </c>
      <c r="AX76">
        <f t="shared" si="88"/>
        <v>8</v>
      </c>
      <c r="BB76" s="32">
        <f t="shared" si="63"/>
        <v>2</v>
      </c>
      <c r="BC76" s="32">
        <f t="shared" si="64"/>
        <v>16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67</v>
      </c>
      <c r="B77" s="22">
        <f>Database!F77</f>
        <v>46055</v>
      </c>
      <c r="C77">
        <f>IF(Database!H77="cansl",0,Database!L77)</f>
        <v>1</v>
      </c>
      <c r="D77">
        <f>Database!E77-Database!D77</f>
        <v>5</v>
      </c>
      <c r="F77">
        <f>Database!M77</f>
        <v>2</v>
      </c>
      <c r="G77" t="str">
        <f>Database!G77</f>
        <v>D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5</v>
      </c>
      <c r="R77">
        <f t="shared" si="85"/>
        <v>5</v>
      </c>
      <c r="S77">
        <f t="shared" si="85"/>
        <v>5</v>
      </c>
      <c r="T77">
        <f t="shared" si="85"/>
        <v>5</v>
      </c>
      <c r="U77">
        <f t="shared" si="85"/>
        <v>5</v>
      </c>
      <c r="V77">
        <f t="shared" si="85"/>
        <v>5</v>
      </c>
      <c r="W77">
        <f t="shared" si="85"/>
        <v>5</v>
      </c>
      <c r="X77">
        <f t="shared" si="86"/>
        <v>5</v>
      </c>
      <c r="Y77">
        <f t="shared" si="86"/>
        <v>5</v>
      </c>
      <c r="Z77">
        <f t="shared" si="86"/>
        <v>5</v>
      </c>
      <c r="AA77">
        <f t="shared" si="86"/>
        <v>5</v>
      </c>
      <c r="AB77">
        <f t="shared" si="86"/>
        <v>5</v>
      </c>
      <c r="AC77">
        <f t="shared" si="86"/>
        <v>5</v>
      </c>
      <c r="AD77">
        <f t="shared" si="86"/>
        <v>5</v>
      </c>
      <c r="AE77">
        <f t="shared" si="86"/>
        <v>5</v>
      </c>
      <c r="AF77">
        <f t="shared" si="86"/>
        <v>5</v>
      </c>
      <c r="AG77">
        <f t="shared" si="86"/>
        <v>5</v>
      </c>
      <c r="AH77">
        <f t="shared" si="87"/>
        <v>5</v>
      </c>
      <c r="AI77">
        <f t="shared" si="87"/>
        <v>5</v>
      </c>
      <c r="AJ77">
        <f t="shared" si="87"/>
        <v>5</v>
      </c>
      <c r="AK77">
        <f t="shared" si="87"/>
        <v>5</v>
      </c>
      <c r="AL77">
        <f t="shared" si="87"/>
        <v>5</v>
      </c>
      <c r="AM77">
        <f t="shared" si="87"/>
        <v>5</v>
      </c>
      <c r="AN77">
        <f t="shared" si="87"/>
        <v>5</v>
      </c>
      <c r="AO77">
        <f t="shared" si="87"/>
        <v>5</v>
      </c>
      <c r="AP77">
        <f t="shared" si="87"/>
        <v>5</v>
      </c>
      <c r="AQ77">
        <f t="shared" si="87"/>
        <v>5</v>
      </c>
      <c r="AR77">
        <f t="shared" si="88"/>
        <v>5</v>
      </c>
      <c r="AS77">
        <f t="shared" si="88"/>
        <v>5</v>
      </c>
      <c r="AT77">
        <f t="shared" si="88"/>
        <v>5</v>
      </c>
      <c r="AU77">
        <f t="shared" si="88"/>
        <v>5</v>
      </c>
      <c r="AV77">
        <f t="shared" si="88"/>
        <v>5</v>
      </c>
      <c r="AW77">
        <f t="shared" si="88"/>
        <v>5</v>
      </c>
      <c r="AX77">
        <f t="shared" si="88"/>
        <v>5</v>
      </c>
      <c r="BB77" s="32">
        <f t="shared" si="63"/>
        <v>0</v>
      </c>
      <c r="BC77" s="32">
        <f t="shared" si="64"/>
        <v>0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2</v>
      </c>
      <c r="BI77" s="32">
        <f t="shared" si="70"/>
        <v>10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68</v>
      </c>
      <c r="B78" s="22">
        <f>Database!F78</f>
        <v>46055</v>
      </c>
      <c r="C78">
        <f>IF(Database!H78="cansl",0,Database!L78)</f>
        <v>1</v>
      </c>
      <c r="D78">
        <f>Database!E78-Database!D78</f>
        <v>2</v>
      </c>
      <c r="F78">
        <f>Database!M78</f>
        <v>1</v>
      </c>
      <c r="G78" t="str">
        <f>Database!G78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2</v>
      </c>
      <c r="R78">
        <f t="shared" si="85"/>
        <v>2</v>
      </c>
      <c r="S78">
        <f t="shared" si="85"/>
        <v>2</v>
      </c>
      <c r="T78">
        <f t="shared" si="85"/>
        <v>2</v>
      </c>
      <c r="U78">
        <f t="shared" si="85"/>
        <v>2</v>
      </c>
      <c r="V78">
        <f t="shared" si="85"/>
        <v>2</v>
      </c>
      <c r="W78">
        <f t="shared" si="85"/>
        <v>2</v>
      </c>
      <c r="X78">
        <f t="shared" si="86"/>
        <v>2</v>
      </c>
      <c r="Y78">
        <f t="shared" si="86"/>
        <v>2</v>
      </c>
      <c r="Z78">
        <f t="shared" si="86"/>
        <v>2</v>
      </c>
      <c r="AA78">
        <f t="shared" si="86"/>
        <v>2</v>
      </c>
      <c r="AB78">
        <f t="shared" si="86"/>
        <v>2</v>
      </c>
      <c r="AC78">
        <f t="shared" si="86"/>
        <v>2</v>
      </c>
      <c r="AD78">
        <f t="shared" si="86"/>
        <v>2</v>
      </c>
      <c r="AE78">
        <f t="shared" si="86"/>
        <v>2</v>
      </c>
      <c r="AF78">
        <f t="shared" si="86"/>
        <v>2</v>
      </c>
      <c r="AG78">
        <f t="shared" si="86"/>
        <v>2</v>
      </c>
      <c r="AH78">
        <f t="shared" si="87"/>
        <v>2</v>
      </c>
      <c r="AI78">
        <f t="shared" si="87"/>
        <v>2</v>
      </c>
      <c r="AJ78">
        <f t="shared" si="87"/>
        <v>2</v>
      </c>
      <c r="AK78">
        <f t="shared" si="87"/>
        <v>2</v>
      </c>
      <c r="AL78">
        <f t="shared" si="87"/>
        <v>2</v>
      </c>
      <c r="AM78">
        <f t="shared" si="87"/>
        <v>2</v>
      </c>
      <c r="AN78">
        <f t="shared" si="87"/>
        <v>2</v>
      </c>
      <c r="AO78">
        <f t="shared" si="87"/>
        <v>2</v>
      </c>
      <c r="AP78">
        <f t="shared" si="87"/>
        <v>2</v>
      </c>
      <c r="AQ78">
        <f t="shared" si="87"/>
        <v>2</v>
      </c>
      <c r="AR78">
        <f t="shared" si="88"/>
        <v>2</v>
      </c>
      <c r="AS78">
        <f t="shared" si="88"/>
        <v>2</v>
      </c>
      <c r="AT78">
        <f t="shared" si="88"/>
        <v>2</v>
      </c>
      <c r="AU78">
        <f t="shared" si="88"/>
        <v>2</v>
      </c>
      <c r="AV78">
        <f t="shared" si="88"/>
        <v>2</v>
      </c>
      <c r="AW78">
        <f t="shared" si="88"/>
        <v>2</v>
      </c>
      <c r="AX78">
        <f t="shared" si="88"/>
        <v>2</v>
      </c>
      <c r="BB78" s="32">
        <f t="shared" si="63"/>
        <v>1</v>
      </c>
      <c r="BC78" s="32">
        <f t="shared" si="64"/>
        <v>2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69</v>
      </c>
      <c r="B79" s="22">
        <f>Database!F79</f>
        <v>46055</v>
      </c>
      <c r="C79">
        <f>IF(Database!H79="cansl",0,Database!L79)</f>
        <v>0</v>
      </c>
      <c r="D79">
        <f>Database!E79-Database!D79</f>
        <v>3</v>
      </c>
      <c r="F79">
        <f>Database!M79</f>
        <v>0</v>
      </c>
      <c r="G79" t="str">
        <f>Database!G79</f>
        <v>DK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0</v>
      </c>
      <c r="BI79" s="32">
        <f t="shared" si="70"/>
        <v>0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70</v>
      </c>
      <c r="B80" s="22">
        <f>Database!F80</f>
        <v>46056</v>
      </c>
      <c r="C80">
        <f>IF(Database!H80="cansl",0,Database!L80)</f>
        <v>1</v>
      </c>
      <c r="D80">
        <f>Database!E80-Database!D80</f>
        <v>5</v>
      </c>
      <c r="F80">
        <f>Database!M80</f>
        <v>2</v>
      </c>
      <c r="G80" t="str">
        <f>Database!G80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5</v>
      </c>
      <c r="R80">
        <f t="shared" si="85"/>
        <v>5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71</v>
      </c>
      <c r="B81" s="22">
        <f>Database!F81</f>
        <v>46057</v>
      </c>
      <c r="C81">
        <f>IF(Database!H81="cansl",0,Database!L81)</f>
        <v>0</v>
      </c>
      <c r="D81">
        <f>Database!E81-Database!D81</f>
        <v>4</v>
      </c>
      <c r="F81">
        <f>Database!M81</f>
        <v>0</v>
      </c>
      <c r="G81" t="str">
        <f>Database!G81</f>
        <v>D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2">
        <f t="shared" si="63"/>
        <v>0</v>
      </c>
      <c r="BC81" s="32">
        <f t="shared" si="64"/>
        <v>0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72</v>
      </c>
      <c r="B82" s="22">
        <f>Database!F82</f>
        <v>46060</v>
      </c>
      <c r="C82">
        <f>IF(Database!H82="cansl",0,Database!L82)</f>
        <v>1</v>
      </c>
      <c r="D82">
        <f>Database!E82-Database!D82</f>
        <v>7</v>
      </c>
      <c r="F82">
        <f>Database!M82</f>
        <v>2</v>
      </c>
      <c r="G82" t="str">
        <f>Database!G82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7</v>
      </c>
      <c r="R82">
        <f t="shared" si="85"/>
        <v>7</v>
      </c>
      <c r="S82">
        <f t="shared" si="85"/>
        <v>7</v>
      </c>
      <c r="T82">
        <f t="shared" si="85"/>
        <v>7</v>
      </c>
      <c r="U82">
        <f t="shared" si="85"/>
        <v>7</v>
      </c>
      <c r="V82">
        <f t="shared" si="85"/>
        <v>7</v>
      </c>
      <c r="W82">
        <f t="shared" si="85"/>
        <v>7</v>
      </c>
      <c r="X82">
        <f t="shared" si="86"/>
        <v>7</v>
      </c>
      <c r="Y82">
        <f t="shared" si="86"/>
        <v>7</v>
      </c>
      <c r="Z82">
        <f t="shared" si="86"/>
        <v>7</v>
      </c>
      <c r="AA82">
        <f t="shared" si="86"/>
        <v>7</v>
      </c>
      <c r="AB82">
        <f t="shared" si="86"/>
        <v>7</v>
      </c>
      <c r="AC82">
        <f t="shared" si="86"/>
        <v>7</v>
      </c>
      <c r="AD82">
        <f t="shared" si="86"/>
        <v>7</v>
      </c>
      <c r="AE82">
        <f t="shared" si="86"/>
        <v>7</v>
      </c>
      <c r="AF82">
        <f t="shared" si="86"/>
        <v>7</v>
      </c>
      <c r="AG82">
        <f t="shared" si="86"/>
        <v>7</v>
      </c>
      <c r="AH82">
        <f t="shared" si="87"/>
        <v>7</v>
      </c>
      <c r="AI82">
        <f t="shared" si="87"/>
        <v>7</v>
      </c>
      <c r="AJ82">
        <f t="shared" si="87"/>
        <v>7</v>
      </c>
      <c r="AK82">
        <f t="shared" si="87"/>
        <v>7</v>
      </c>
      <c r="AL82">
        <f t="shared" si="87"/>
        <v>7</v>
      </c>
      <c r="AM82">
        <f t="shared" si="87"/>
        <v>7</v>
      </c>
      <c r="AN82">
        <f t="shared" si="87"/>
        <v>7</v>
      </c>
      <c r="AO82">
        <f t="shared" si="87"/>
        <v>7</v>
      </c>
      <c r="AP82">
        <f t="shared" si="87"/>
        <v>7</v>
      </c>
      <c r="AQ82">
        <f t="shared" si="87"/>
        <v>7</v>
      </c>
      <c r="AR82">
        <f t="shared" si="88"/>
        <v>7</v>
      </c>
      <c r="AS82">
        <f t="shared" si="88"/>
        <v>7</v>
      </c>
      <c r="AT82">
        <f t="shared" si="88"/>
        <v>7</v>
      </c>
      <c r="AU82">
        <f t="shared" si="88"/>
        <v>7</v>
      </c>
      <c r="AV82">
        <f t="shared" si="88"/>
        <v>7</v>
      </c>
      <c r="AW82">
        <f t="shared" si="88"/>
        <v>7</v>
      </c>
      <c r="AX82">
        <f t="shared" si="88"/>
        <v>7</v>
      </c>
      <c r="BB82" s="32">
        <f t="shared" si="63"/>
        <v>2</v>
      </c>
      <c r="BC82" s="32">
        <f t="shared" si="64"/>
        <v>14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73</v>
      </c>
      <c r="B83" s="22">
        <f>Database!F83</f>
        <v>46061</v>
      </c>
      <c r="C83">
        <f>IF(Database!H83="cansl",0,Database!L83)</f>
        <v>0</v>
      </c>
      <c r="D83">
        <f>Database!E83-Database!D83</f>
        <v>2</v>
      </c>
      <c r="F83">
        <f>Database!M83</f>
        <v>0</v>
      </c>
      <c r="G83" t="str">
        <f>Database!G83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74</v>
      </c>
      <c r="B84" s="22">
        <f>Database!F84</f>
        <v>46063</v>
      </c>
      <c r="C84">
        <f>IF(Database!H84="cansl",0,Database!L84)</f>
        <v>2</v>
      </c>
      <c r="D84">
        <f>Database!E84-Database!D84</f>
        <v>4</v>
      </c>
      <c r="F84">
        <f>Database!M84</f>
        <v>3</v>
      </c>
      <c r="G84" t="str">
        <f>Database!G84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8</v>
      </c>
      <c r="S84">
        <f t="shared" si="89"/>
        <v>8</v>
      </c>
      <c r="T84">
        <f t="shared" si="89"/>
        <v>8</v>
      </c>
      <c r="U84">
        <f t="shared" si="89"/>
        <v>8</v>
      </c>
      <c r="V84">
        <f t="shared" si="89"/>
        <v>8</v>
      </c>
      <c r="W84">
        <f t="shared" si="89"/>
        <v>8</v>
      </c>
      <c r="X84">
        <f t="shared" si="90"/>
        <v>8</v>
      </c>
      <c r="Y84">
        <f t="shared" si="90"/>
        <v>8</v>
      </c>
      <c r="Z84">
        <f t="shared" si="90"/>
        <v>8</v>
      </c>
      <c r="AA84">
        <f t="shared" si="90"/>
        <v>8</v>
      </c>
      <c r="AB84">
        <f t="shared" si="90"/>
        <v>8</v>
      </c>
      <c r="AC84">
        <f t="shared" si="90"/>
        <v>8</v>
      </c>
      <c r="AD84">
        <f t="shared" si="90"/>
        <v>8</v>
      </c>
      <c r="AE84">
        <f t="shared" si="90"/>
        <v>8</v>
      </c>
      <c r="AF84">
        <f t="shared" si="90"/>
        <v>8</v>
      </c>
      <c r="AG84">
        <f t="shared" si="90"/>
        <v>8</v>
      </c>
      <c r="AH84">
        <f t="shared" si="91"/>
        <v>8</v>
      </c>
      <c r="AI84">
        <f t="shared" si="91"/>
        <v>8</v>
      </c>
      <c r="AJ84">
        <f t="shared" si="91"/>
        <v>8</v>
      </c>
      <c r="AK84">
        <f t="shared" si="91"/>
        <v>8</v>
      </c>
      <c r="AL84">
        <f t="shared" si="91"/>
        <v>8</v>
      </c>
      <c r="AM84">
        <f t="shared" si="91"/>
        <v>8</v>
      </c>
      <c r="AN84">
        <f t="shared" si="91"/>
        <v>8</v>
      </c>
      <c r="AO84">
        <f t="shared" si="91"/>
        <v>8</v>
      </c>
      <c r="AP84">
        <f t="shared" si="91"/>
        <v>8</v>
      </c>
      <c r="AQ84">
        <f t="shared" si="91"/>
        <v>8</v>
      </c>
      <c r="AR84">
        <f t="shared" si="92"/>
        <v>8</v>
      </c>
      <c r="AS84">
        <f t="shared" si="92"/>
        <v>8</v>
      </c>
      <c r="AT84">
        <f t="shared" si="92"/>
        <v>8</v>
      </c>
      <c r="AU84">
        <f t="shared" si="92"/>
        <v>8</v>
      </c>
      <c r="AV84">
        <f t="shared" si="92"/>
        <v>8</v>
      </c>
      <c r="AW84">
        <f t="shared" si="92"/>
        <v>8</v>
      </c>
      <c r="AX84">
        <f t="shared" si="92"/>
        <v>8</v>
      </c>
      <c r="BB84" s="32">
        <f t="shared" si="63"/>
        <v>3</v>
      </c>
      <c r="BC84" s="32">
        <f t="shared" si="64"/>
        <v>12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74</v>
      </c>
      <c r="B85" s="22">
        <f>Database!F85</f>
        <v>0</v>
      </c>
      <c r="C85">
        <f>IF(Database!H85="cansl",0,Database!L85)</f>
        <v>0</v>
      </c>
      <c r="D85">
        <f>Database!E85-Database!D85</f>
        <v>0</v>
      </c>
      <c r="F85">
        <f>Database!M85</f>
        <v>0</v>
      </c>
      <c r="G85">
        <f>Database!G85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2">
        <f t="shared" si="63"/>
        <v>0</v>
      </c>
      <c r="BC85" s="32">
        <f t="shared" si="64"/>
        <v>0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75</v>
      </c>
      <c r="B86" s="22">
        <f>Database!F86</f>
        <v>46067</v>
      </c>
      <c r="C86">
        <f>IF(Database!H86="cansl",0,Database!L86)</f>
        <v>0</v>
      </c>
      <c r="D86">
        <f>Database!E86-Database!D86</f>
        <v>3</v>
      </c>
      <c r="F86">
        <f>Database!M86</f>
        <v>0</v>
      </c>
      <c r="G86" t="str">
        <f>Database!G86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2">
        <f t="shared" si="63"/>
        <v>0</v>
      </c>
      <c r="BC86" s="32">
        <f t="shared" si="64"/>
        <v>0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76</v>
      </c>
      <c r="B87" s="22">
        <f>Database!F87</f>
        <v>46068</v>
      </c>
      <c r="C87">
        <f>IF(Database!H87="cansl",0,Database!L87)</f>
        <v>1</v>
      </c>
      <c r="D87">
        <f>Database!E87-Database!D87</f>
        <v>4</v>
      </c>
      <c r="F87">
        <f>Database!M87</f>
        <v>2</v>
      </c>
      <c r="G87" t="str">
        <f>Database!G87</f>
        <v>DK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4</v>
      </c>
      <c r="S87">
        <f t="shared" si="89"/>
        <v>4</v>
      </c>
      <c r="T87">
        <f t="shared" si="89"/>
        <v>4</v>
      </c>
      <c r="U87">
        <f t="shared" si="89"/>
        <v>4</v>
      </c>
      <c r="V87">
        <f t="shared" si="89"/>
        <v>4</v>
      </c>
      <c r="W87">
        <f t="shared" si="89"/>
        <v>4</v>
      </c>
      <c r="X87">
        <f t="shared" si="90"/>
        <v>4</v>
      </c>
      <c r="Y87">
        <f t="shared" si="90"/>
        <v>4</v>
      </c>
      <c r="Z87">
        <f t="shared" si="90"/>
        <v>4</v>
      </c>
      <c r="AA87">
        <f t="shared" si="90"/>
        <v>4</v>
      </c>
      <c r="AB87">
        <f t="shared" si="90"/>
        <v>4</v>
      </c>
      <c r="AC87">
        <f t="shared" si="90"/>
        <v>4</v>
      </c>
      <c r="AD87">
        <f t="shared" si="90"/>
        <v>4</v>
      </c>
      <c r="AE87">
        <f t="shared" si="90"/>
        <v>4</v>
      </c>
      <c r="AF87">
        <f t="shared" si="90"/>
        <v>4</v>
      </c>
      <c r="AG87">
        <f t="shared" si="90"/>
        <v>4</v>
      </c>
      <c r="AH87">
        <f t="shared" si="91"/>
        <v>4</v>
      </c>
      <c r="AI87">
        <f t="shared" si="91"/>
        <v>4</v>
      </c>
      <c r="AJ87">
        <f t="shared" si="91"/>
        <v>4</v>
      </c>
      <c r="AK87">
        <f t="shared" si="91"/>
        <v>4</v>
      </c>
      <c r="AL87">
        <f t="shared" si="91"/>
        <v>4</v>
      </c>
      <c r="AM87">
        <f t="shared" si="91"/>
        <v>4</v>
      </c>
      <c r="AN87">
        <f t="shared" si="91"/>
        <v>4</v>
      </c>
      <c r="AO87">
        <f t="shared" si="91"/>
        <v>4</v>
      </c>
      <c r="AP87">
        <f t="shared" si="91"/>
        <v>4</v>
      </c>
      <c r="AQ87">
        <f t="shared" si="91"/>
        <v>4</v>
      </c>
      <c r="AR87">
        <f t="shared" si="92"/>
        <v>4</v>
      </c>
      <c r="AS87">
        <f t="shared" si="92"/>
        <v>4</v>
      </c>
      <c r="AT87">
        <f t="shared" si="92"/>
        <v>4</v>
      </c>
      <c r="AU87">
        <f t="shared" si="92"/>
        <v>4</v>
      </c>
      <c r="AV87">
        <f t="shared" si="92"/>
        <v>4</v>
      </c>
      <c r="AW87">
        <f t="shared" si="92"/>
        <v>4</v>
      </c>
      <c r="AX87">
        <f t="shared" si="92"/>
        <v>4</v>
      </c>
      <c r="BB87" s="32">
        <f t="shared" si="63"/>
        <v>2</v>
      </c>
      <c r="BC87" s="32">
        <f t="shared" si="64"/>
        <v>8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0</v>
      </c>
      <c r="BI87" s="32">
        <f t="shared" si="70"/>
        <v>0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77</v>
      </c>
      <c r="B88" s="22">
        <f>Database!F88</f>
        <v>46069</v>
      </c>
      <c r="C88">
        <f>IF(Database!H88="cansl",0,Database!L88)</f>
        <v>1</v>
      </c>
      <c r="D88">
        <f>Database!E88-Database!D88</f>
        <v>7</v>
      </c>
      <c r="F88">
        <f>Database!M88</f>
        <v>2</v>
      </c>
      <c r="G88" t="str">
        <f>Database!G88</f>
        <v>DK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7</v>
      </c>
      <c r="T88">
        <f t="shared" si="89"/>
        <v>7</v>
      </c>
      <c r="U88">
        <f t="shared" si="89"/>
        <v>7</v>
      </c>
      <c r="V88">
        <f t="shared" si="89"/>
        <v>7</v>
      </c>
      <c r="W88">
        <f t="shared" si="89"/>
        <v>7</v>
      </c>
      <c r="X88">
        <f t="shared" si="90"/>
        <v>7</v>
      </c>
      <c r="Y88">
        <f t="shared" si="90"/>
        <v>7</v>
      </c>
      <c r="Z88">
        <f t="shared" si="90"/>
        <v>7</v>
      </c>
      <c r="AA88">
        <f t="shared" si="90"/>
        <v>7</v>
      </c>
      <c r="AB88">
        <f t="shared" si="90"/>
        <v>7</v>
      </c>
      <c r="AC88">
        <f t="shared" si="90"/>
        <v>7</v>
      </c>
      <c r="AD88">
        <f t="shared" si="90"/>
        <v>7</v>
      </c>
      <c r="AE88">
        <f t="shared" si="90"/>
        <v>7</v>
      </c>
      <c r="AF88">
        <f t="shared" si="90"/>
        <v>7</v>
      </c>
      <c r="AG88">
        <f t="shared" si="90"/>
        <v>7</v>
      </c>
      <c r="AH88">
        <f t="shared" si="91"/>
        <v>7</v>
      </c>
      <c r="AI88">
        <f t="shared" si="91"/>
        <v>7</v>
      </c>
      <c r="AJ88">
        <f t="shared" si="91"/>
        <v>7</v>
      </c>
      <c r="AK88">
        <f t="shared" si="91"/>
        <v>7</v>
      </c>
      <c r="AL88">
        <f t="shared" si="91"/>
        <v>7</v>
      </c>
      <c r="AM88">
        <f t="shared" si="91"/>
        <v>7</v>
      </c>
      <c r="AN88">
        <f t="shared" si="91"/>
        <v>7</v>
      </c>
      <c r="AO88">
        <f t="shared" si="91"/>
        <v>7</v>
      </c>
      <c r="AP88">
        <f t="shared" si="91"/>
        <v>7</v>
      </c>
      <c r="AQ88">
        <f t="shared" si="91"/>
        <v>7</v>
      </c>
      <c r="AR88">
        <f t="shared" si="92"/>
        <v>7</v>
      </c>
      <c r="AS88">
        <f t="shared" si="92"/>
        <v>7</v>
      </c>
      <c r="AT88">
        <f t="shared" si="92"/>
        <v>7</v>
      </c>
      <c r="AU88">
        <f t="shared" si="92"/>
        <v>7</v>
      </c>
      <c r="AV88">
        <f t="shared" si="92"/>
        <v>7</v>
      </c>
      <c r="AW88">
        <f t="shared" si="92"/>
        <v>7</v>
      </c>
      <c r="AX88">
        <f t="shared" si="92"/>
        <v>7</v>
      </c>
      <c r="BB88" s="32">
        <f t="shared" si="63"/>
        <v>2</v>
      </c>
      <c r="BC88" s="32">
        <f t="shared" si="64"/>
        <v>14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0</v>
      </c>
      <c r="BI88" s="32">
        <f t="shared" si="70"/>
        <v>0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78</v>
      </c>
      <c r="B89" s="22">
        <f>Database!F89</f>
        <v>46072</v>
      </c>
      <c r="C89">
        <f>IF(Database!H89="cansl",0,Database!L89)</f>
        <v>1</v>
      </c>
      <c r="D89">
        <f>Database!E89-Database!D89</f>
        <v>8</v>
      </c>
      <c r="F89">
        <f>Database!M89</f>
        <v>2</v>
      </c>
      <c r="G89" t="str">
        <f>Database!G89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8</v>
      </c>
      <c r="T89">
        <f t="shared" si="89"/>
        <v>8</v>
      </c>
      <c r="U89">
        <f t="shared" si="89"/>
        <v>8</v>
      </c>
      <c r="V89">
        <f t="shared" si="89"/>
        <v>8</v>
      </c>
      <c r="W89">
        <f t="shared" si="89"/>
        <v>8</v>
      </c>
      <c r="X89">
        <f t="shared" si="90"/>
        <v>8</v>
      </c>
      <c r="Y89">
        <f t="shared" si="90"/>
        <v>8</v>
      </c>
      <c r="Z89">
        <f t="shared" si="90"/>
        <v>8</v>
      </c>
      <c r="AA89">
        <f t="shared" si="90"/>
        <v>8</v>
      </c>
      <c r="AB89">
        <f t="shared" si="90"/>
        <v>8</v>
      </c>
      <c r="AC89">
        <f t="shared" si="90"/>
        <v>8</v>
      </c>
      <c r="AD89">
        <f t="shared" si="90"/>
        <v>8</v>
      </c>
      <c r="AE89">
        <f t="shared" si="90"/>
        <v>8</v>
      </c>
      <c r="AF89">
        <f t="shared" si="90"/>
        <v>8</v>
      </c>
      <c r="AG89">
        <f t="shared" si="90"/>
        <v>8</v>
      </c>
      <c r="AH89">
        <f t="shared" si="91"/>
        <v>8</v>
      </c>
      <c r="AI89">
        <f t="shared" si="91"/>
        <v>8</v>
      </c>
      <c r="AJ89">
        <f t="shared" si="91"/>
        <v>8</v>
      </c>
      <c r="AK89">
        <f t="shared" si="91"/>
        <v>8</v>
      </c>
      <c r="AL89">
        <f t="shared" si="91"/>
        <v>8</v>
      </c>
      <c r="AM89">
        <f t="shared" si="91"/>
        <v>8</v>
      </c>
      <c r="AN89">
        <f t="shared" si="91"/>
        <v>8</v>
      </c>
      <c r="AO89">
        <f t="shared" si="91"/>
        <v>8</v>
      </c>
      <c r="AP89">
        <f t="shared" si="91"/>
        <v>8</v>
      </c>
      <c r="AQ89">
        <f t="shared" si="91"/>
        <v>8</v>
      </c>
      <c r="AR89">
        <f t="shared" si="92"/>
        <v>8</v>
      </c>
      <c r="AS89">
        <f t="shared" si="92"/>
        <v>8</v>
      </c>
      <c r="AT89">
        <f t="shared" si="92"/>
        <v>8</v>
      </c>
      <c r="AU89">
        <f t="shared" si="92"/>
        <v>8</v>
      </c>
      <c r="AV89">
        <f t="shared" si="92"/>
        <v>8</v>
      </c>
      <c r="AW89">
        <f t="shared" si="92"/>
        <v>8</v>
      </c>
      <c r="AX89">
        <f t="shared" si="92"/>
        <v>8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2</v>
      </c>
      <c r="BI89" s="32">
        <f t="shared" si="70"/>
        <v>16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79</v>
      </c>
      <c r="B90" s="22">
        <f>Database!F90</f>
        <v>46073</v>
      </c>
      <c r="C90">
        <f>IF(Database!H90="cansl",0,Database!L90)</f>
        <v>1</v>
      </c>
      <c r="D90">
        <f>Database!E90-Database!D90</f>
        <v>5</v>
      </c>
      <c r="F90">
        <f>Database!M90</f>
        <v>2</v>
      </c>
      <c r="G90" t="str">
        <f>Database!G90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5</v>
      </c>
      <c r="T90">
        <f t="shared" si="89"/>
        <v>5</v>
      </c>
      <c r="U90">
        <f t="shared" si="89"/>
        <v>5</v>
      </c>
      <c r="V90">
        <f t="shared" si="89"/>
        <v>5</v>
      </c>
      <c r="W90">
        <f t="shared" si="89"/>
        <v>5</v>
      </c>
      <c r="X90">
        <f t="shared" si="90"/>
        <v>5</v>
      </c>
      <c r="Y90">
        <f t="shared" si="90"/>
        <v>5</v>
      </c>
      <c r="Z90">
        <f t="shared" si="90"/>
        <v>5</v>
      </c>
      <c r="AA90">
        <f t="shared" si="90"/>
        <v>5</v>
      </c>
      <c r="AB90">
        <f t="shared" si="90"/>
        <v>5</v>
      </c>
      <c r="AC90">
        <f t="shared" si="90"/>
        <v>5</v>
      </c>
      <c r="AD90">
        <f t="shared" si="90"/>
        <v>5</v>
      </c>
      <c r="AE90">
        <f t="shared" si="90"/>
        <v>5</v>
      </c>
      <c r="AF90">
        <f t="shared" si="90"/>
        <v>5</v>
      </c>
      <c r="AG90">
        <f t="shared" si="90"/>
        <v>5</v>
      </c>
      <c r="AH90">
        <f t="shared" si="91"/>
        <v>5</v>
      </c>
      <c r="AI90">
        <f t="shared" si="91"/>
        <v>5</v>
      </c>
      <c r="AJ90">
        <f t="shared" si="91"/>
        <v>5</v>
      </c>
      <c r="AK90">
        <f t="shared" si="91"/>
        <v>5</v>
      </c>
      <c r="AL90">
        <f t="shared" si="91"/>
        <v>5</v>
      </c>
      <c r="AM90">
        <f t="shared" si="91"/>
        <v>5</v>
      </c>
      <c r="AN90">
        <f t="shared" si="91"/>
        <v>5</v>
      </c>
      <c r="AO90">
        <f t="shared" si="91"/>
        <v>5</v>
      </c>
      <c r="AP90">
        <f t="shared" si="91"/>
        <v>5</v>
      </c>
      <c r="AQ90">
        <f t="shared" si="91"/>
        <v>5</v>
      </c>
      <c r="AR90">
        <f t="shared" si="92"/>
        <v>5</v>
      </c>
      <c r="AS90">
        <f t="shared" si="92"/>
        <v>5</v>
      </c>
      <c r="AT90">
        <f t="shared" si="92"/>
        <v>5</v>
      </c>
      <c r="AU90">
        <f t="shared" si="92"/>
        <v>5</v>
      </c>
      <c r="AV90">
        <f t="shared" si="92"/>
        <v>5</v>
      </c>
      <c r="AW90">
        <f t="shared" si="92"/>
        <v>5</v>
      </c>
      <c r="AX90">
        <f t="shared" si="92"/>
        <v>5</v>
      </c>
      <c r="BB90" s="32">
        <f t="shared" si="63"/>
        <v>2</v>
      </c>
      <c r="BC90" s="32">
        <f t="shared" si="64"/>
        <v>10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80</v>
      </c>
      <c r="B91" s="22">
        <f>Database!F91</f>
        <v>46074</v>
      </c>
      <c r="C91">
        <f>IF(Database!H91="cansl",0,Database!L91)</f>
        <v>2</v>
      </c>
      <c r="D91">
        <f>Database!E91-Database!D91</f>
        <v>3</v>
      </c>
      <c r="F91">
        <f>Database!M91</f>
        <v>4</v>
      </c>
      <c r="G91" t="str">
        <f>Database!G91</f>
        <v>DK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6</v>
      </c>
      <c r="T91">
        <f t="shared" si="89"/>
        <v>6</v>
      </c>
      <c r="U91">
        <f t="shared" si="89"/>
        <v>6</v>
      </c>
      <c r="V91">
        <f t="shared" si="89"/>
        <v>6</v>
      </c>
      <c r="W91">
        <f t="shared" si="89"/>
        <v>6</v>
      </c>
      <c r="X91">
        <f t="shared" si="90"/>
        <v>6</v>
      </c>
      <c r="Y91">
        <f t="shared" si="90"/>
        <v>6</v>
      </c>
      <c r="Z91">
        <f t="shared" si="90"/>
        <v>6</v>
      </c>
      <c r="AA91">
        <f t="shared" si="90"/>
        <v>6</v>
      </c>
      <c r="AB91">
        <f t="shared" si="90"/>
        <v>6</v>
      </c>
      <c r="AC91">
        <f t="shared" si="90"/>
        <v>6</v>
      </c>
      <c r="AD91">
        <f t="shared" si="90"/>
        <v>6</v>
      </c>
      <c r="AE91">
        <f t="shared" si="90"/>
        <v>6</v>
      </c>
      <c r="AF91">
        <f t="shared" si="90"/>
        <v>6</v>
      </c>
      <c r="AG91">
        <f t="shared" si="90"/>
        <v>6</v>
      </c>
      <c r="AH91">
        <f t="shared" si="91"/>
        <v>6</v>
      </c>
      <c r="AI91">
        <f t="shared" si="91"/>
        <v>6</v>
      </c>
      <c r="AJ91">
        <f t="shared" si="91"/>
        <v>6</v>
      </c>
      <c r="AK91">
        <f t="shared" si="91"/>
        <v>6</v>
      </c>
      <c r="AL91">
        <f t="shared" si="91"/>
        <v>6</v>
      </c>
      <c r="AM91">
        <f t="shared" si="91"/>
        <v>6</v>
      </c>
      <c r="AN91">
        <f t="shared" si="91"/>
        <v>6</v>
      </c>
      <c r="AO91">
        <f t="shared" si="91"/>
        <v>6</v>
      </c>
      <c r="AP91">
        <f t="shared" si="91"/>
        <v>6</v>
      </c>
      <c r="AQ91">
        <f t="shared" si="91"/>
        <v>6</v>
      </c>
      <c r="AR91">
        <f t="shared" si="92"/>
        <v>6</v>
      </c>
      <c r="AS91">
        <f t="shared" si="92"/>
        <v>6</v>
      </c>
      <c r="AT91">
        <f t="shared" si="92"/>
        <v>6</v>
      </c>
      <c r="AU91">
        <f t="shared" si="92"/>
        <v>6</v>
      </c>
      <c r="AV91">
        <f t="shared" si="92"/>
        <v>6</v>
      </c>
      <c r="AW91">
        <f t="shared" si="92"/>
        <v>6</v>
      </c>
      <c r="AX91">
        <f t="shared" si="92"/>
        <v>6</v>
      </c>
      <c r="BB91" s="32">
        <f t="shared" si="63"/>
        <v>4</v>
      </c>
      <c r="BC91" s="32">
        <f t="shared" si="64"/>
        <v>12</v>
      </c>
      <c r="BD91" s="32">
        <f t="shared" si="65"/>
        <v>0</v>
      </c>
      <c r="BE91" s="32">
        <f t="shared" si="66"/>
        <v>0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80</v>
      </c>
      <c r="B92" s="22">
        <f>Database!F92</f>
        <v>0</v>
      </c>
      <c r="C92">
        <f>IF(Database!H92="cansl",0,Database!L92)</f>
        <v>0</v>
      </c>
      <c r="D92">
        <f>Database!E92-Database!D92</f>
        <v>0</v>
      </c>
      <c r="F92">
        <f>Database!M92</f>
        <v>0</v>
      </c>
      <c r="G92">
        <f>Database!G92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2">
        <f t="shared" si="63"/>
        <v>0</v>
      </c>
      <c r="BC92" s="32">
        <f t="shared" si="64"/>
        <v>0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81</v>
      </c>
      <c r="B93" s="22">
        <f>Database!F93</f>
        <v>46074</v>
      </c>
      <c r="C93">
        <f>IF(Database!H93="cansl",0,Database!L93)</f>
        <v>1</v>
      </c>
      <c r="D93">
        <f>Database!E93-Database!D93</f>
        <v>3</v>
      </c>
      <c r="F93">
        <f>Database!M93</f>
        <v>2</v>
      </c>
      <c r="G93" t="str">
        <f>Database!G93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3</v>
      </c>
      <c r="T93">
        <f t="shared" si="94"/>
        <v>3</v>
      </c>
      <c r="U93">
        <f t="shared" si="94"/>
        <v>3</v>
      </c>
      <c r="V93">
        <f t="shared" si="94"/>
        <v>3</v>
      </c>
      <c r="W93">
        <f t="shared" si="94"/>
        <v>3</v>
      </c>
      <c r="X93">
        <f t="shared" ref="X93:AG102" si="95">IF($B93&lt;X$1,$C93*$D93,0)</f>
        <v>3</v>
      </c>
      <c r="Y93">
        <f t="shared" si="95"/>
        <v>3</v>
      </c>
      <c r="Z93">
        <f t="shared" si="95"/>
        <v>3</v>
      </c>
      <c r="AA93">
        <f t="shared" si="95"/>
        <v>3</v>
      </c>
      <c r="AB93">
        <f t="shared" si="95"/>
        <v>3</v>
      </c>
      <c r="AC93">
        <f t="shared" si="95"/>
        <v>3</v>
      </c>
      <c r="AD93">
        <f t="shared" si="95"/>
        <v>3</v>
      </c>
      <c r="AE93">
        <f t="shared" si="95"/>
        <v>3</v>
      </c>
      <c r="AF93">
        <f t="shared" si="95"/>
        <v>3</v>
      </c>
      <c r="AG93">
        <f t="shared" si="95"/>
        <v>3</v>
      </c>
      <c r="AH93">
        <f t="shared" ref="AH93:AQ102" si="96">IF($B93&lt;AH$1,$C93*$D93,0)</f>
        <v>3</v>
      </c>
      <c r="AI93">
        <f t="shared" si="96"/>
        <v>3</v>
      </c>
      <c r="AJ93">
        <f t="shared" si="96"/>
        <v>3</v>
      </c>
      <c r="AK93">
        <f t="shared" si="96"/>
        <v>3</v>
      </c>
      <c r="AL93">
        <f t="shared" si="96"/>
        <v>3</v>
      </c>
      <c r="AM93">
        <f t="shared" si="96"/>
        <v>3</v>
      </c>
      <c r="AN93">
        <f t="shared" si="96"/>
        <v>3</v>
      </c>
      <c r="AO93">
        <f t="shared" si="96"/>
        <v>3</v>
      </c>
      <c r="AP93">
        <f t="shared" si="96"/>
        <v>3</v>
      </c>
      <c r="AQ93">
        <f t="shared" si="96"/>
        <v>3</v>
      </c>
      <c r="AR93">
        <f t="shared" ref="AR93:AX102" si="97">IF($B93&lt;AR$1,$C93*$D93,0)</f>
        <v>3</v>
      </c>
      <c r="AS93">
        <f t="shared" si="97"/>
        <v>3</v>
      </c>
      <c r="AT93">
        <f t="shared" si="97"/>
        <v>3</v>
      </c>
      <c r="AU93">
        <f t="shared" si="97"/>
        <v>3</v>
      </c>
      <c r="AV93">
        <f t="shared" si="97"/>
        <v>3</v>
      </c>
      <c r="AW93">
        <f t="shared" si="97"/>
        <v>3</v>
      </c>
      <c r="AX93">
        <f t="shared" si="97"/>
        <v>3</v>
      </c>
      <c r="BB93" s="32">
        <f t="shared" si="63"/>
        <v>2</v>
      </c>
      <c r="BC93" s="32">
        <f t="shared" si="64"/>
        <v>6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82</v>
      </c>
      <c r="B94" s="22">
        <f>Database!F94</f>
        <v>46075</v>
      </c>
      <c r="C94">
        <f>IF(Database!H94="cansl",0,Database!L94)</f>
        <v>0</v>
      </c>
      <c r="D94">
        <f>Database!E94-Database!D94</f>
        <v>2</v>
      </c>
      <c r="F94">
        <f>Database!M94</f>
        <v>0</v>
      </c>
      <c r="G94" t="str">
        <f>Database!G94</f>
        <v>DK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0</v>
      </c>
      <c r="BI94" s="32">
        <f t="shared" si="70"/>
        <v>0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83</v>
      </c>
      <c r="B95" s="22">
        <f>Database!F95</f>
        <v>46077</v>
      </c>
      <c r="C95">
        <f>IF(Database!H95="cansl",0,Database!L95)</f>
        <v>1</v>
      </c>
      <c r="D95">
        <f>Database!E95-Database!D95</f>
        <v>4</v>
      </c>
      <c r="F95">
        <f>Database!M95</f>
        <v>2</v>
      </c>
      <c r="G95" t="str">
        <f>Database!G95</f>
        <v>DK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4</v>
      </c>
      <c r="U95">
        <f t="shared" si="94"/>
        <v>4</v>
      </c>
      <c r="V95">
        <f t="shared" si="94"/>
        <v>4</v>
      </c>
      <c r="W95">
        <f t="shared" si="94"/>
        <v>4</v>
      </c>
      <c r="X95">
        <f t="shared" si="95"/>
        <v>4</v>
      </c>
      <c r="Y95">
        <f t="shared" si="95"/>
        <v>4</v>
      </c>
      <c r="Z95">
        <f t="shared" si="95"/>
        <v>4</v>
      </c>
      <c r="AA95">
        <f t="shared" si="95"/>
        <v>4</v>
      </c>
      <c r="AB95">
        <f t="shared" si="95"/>
        <v>4</v>
      </c>
      <c r="AC95">
        <f t="shared" si="95"/>
        <v>4</v>
      </c>
      <c r="AD95">
        <f t="shared" si="95"/>
        <v>4</v>
      </c>
      <c r="AE95">
        <f t="shared" si="95"/>
        <v>4</v>
      </c>
      <c r="AF95">
        <f t="shared" si="95"/>
        <v>4</v>
      </c>
      <c r="AG95">
        <f t="shared" si="95"/>
        <v>4</v>
      </c>
      <c r="AH95">
        <f t="shared" si="96"/>
        <v>4</v>
      </c>
      <c r="AI95">
        <f t="shared" si="96"/>
        <v>4</v>
      </c>
      <c r="AJ95">
        <f t="shared" si="96"/>
        <v>4</v>
      </c>
      <c r="AK95">
        <f t="shared" si="96"/>
        <v>4</v>
      </c>
      <c r="AL95">
        <f t="shared" si="96"/>
        <v>4</v>
      </c>
      <c r="AM95">
        <f t="shared" si="96"/>
        <v>4</v>
      </c>
      <c r="AN95">
        <f t="shared" si="96"/>
        <v>4</v>
      </c>
      <c r="AO95">
        <f t="shared" si="96"/>
        <v>4</v>
      </c>
      <c r="AP95">
        <f t="shared" si="96"/>
        <v>4</v>
      </c>
      <c r="AQ95">
        <f t="shared" si="96"/>
        <v>4</v>
      </c>
      <c r="AR95">
        <f t="shared" si="97"/>
        <v>4</v>
      </c>
      <c r="AS95">
        <f t="shared" si="97"/>
        <v>4</v>
      </c>
      <c r="AT95">
        <f t="shared" si="97"/>
        <v>4</v>
      </c>
      <c r="AU95">
        <f t="shared" si="97"/>
        <v>4</v>
      </c>
      <c r="AV95">
        <f t="shared" si="97"/>
        <v>4</v>
      </c>
      <c r="AW95">
        <f t="shared" si="97"/>
        <v>4</v>
      </c>
      <c r="AX95">
        <f t="shared" si="97"/>
        <v>4</v>
      </c>
      <c r="BB95" s="32">
        <f t="shared" si="63"/>
        <v>2</v>
      </c>
      <c r="BC95" s="32">
        <f t="shared" si="64"/>
        <v>8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0</v>
      </c>
      <c r="BI95" s="32">
        <f t="shared" si="70"/>
        <v>0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84</v>
      </c>
      <c r="B96" s="22">
        <f>Database!F96</f>
        <v>46079</v>
      </c>
      <c r="C96">
        <f>IF(Database!H96="cansl",0,Database!L96)</f>
        <v>1</v>
      </c>
      <c r="D96">
        <f>Database!E96-Database!D96</f>
        <v>4</v>
      </c>
      <c r="F96">
        <f>Database!M96</f>
        <v>2</v>
      </c>
      <c r="G96" t="str">
        <f>Database!G96</f>
        <v>DK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4</v>
      </c>
      <c r="U96">
        <f t="shared" si="94"/>
        <v>4</v>
      </c>
      <c r="V96">
        <f t="shared" si="94"/>
        <v>4</v>
      </c>
      <c r="W96">
        <f t="shared" si="94"/>
        <v>4</v>
      </c>
      <c r="X96">
        <f t="shared" si="95"/>
        <v>4</v>
      </c>
      <c r="Y96">
        <f t="shared" si="95"/>
        <v>4</v>
      </c>
      <c r="Z96">
        <f t="shared" si="95"/>
        <v>4</v>
      </c>
      <c r="AA96">
        <f t="shared" si="95"/>
        <v>4</v>
      </c>
      <c r="AB96">
        <f t="shared" si="95"/>
        <v>4</v>
      </c>
      <c r="AC96">
        <f t="shared" si="95"/>
        <v>4</v>
      </c>
      <c r="AD96">
        <f t="shared" si="95"/>
        <v>4</v>
      </c>
      <c r="AE96">
        <f t="shared" si="95"/>
        <v>4</v>
      </c>
      <c r="AF96">
        <f t="shared" si="95"/>
        <v>4</v>
      </c>
      <c r="AG96">
        <f t="shared" si="95"/>
        <v>4</v>
      </c>
      <c r="AH96">
        <f t="shared" si="96"/>
        <v>4</v>
      </c>
      <c r="AI96">
        <f t="shared" si="96"/>
        <v>4</v>
      </c>
      <c r="AJ96">
        <f t="shared" si="96"/>
        <v>4</v>
      </c>
      <c r="AK96">
        <f t="shared" si="96"/>
        <v>4</v>
      </c>
      <c r="AL96">
        <f t="shared" si="96"/>
        <v>4</v>
      </c>
      <c r="AM96">
        <f t="shared" si="96"/>
        <v>4</v>
      </c>
      <c r="AN96">
        <f t="shared" si="96"/>
        <v>4</v>
      </c>
      <c r="AO96">
        <f t="shared" si="96"/>
        <v>4</v>
      </c>
      <c r="AP96">
        <f t="shared" si="96"/>
        <v>4</v>
      </c>
      <c r="AQ96">
        <f t="shared" si="96"/>
        <v>4</v>
      </c>
      <c r="AR96">
        <f t="shared" si="97"/>
        <v>4</v>
      </c>
      <c r="AS96">
        <f t="shared" si="97"/>
        <v>4</v>
      </c>
      <c r="AT96">
        <f t="shared" si="97"/>
        <v>4</v>
      </c>
      <c r="AU96">
        <f t="shared" si="97"/>
        <v>4</v>
      </c>
      <c r="AV96">
        <f t="shared" si="97"/>
        <v>4</v>
      </c>
      <c r="AW96">
        <f t="shared" si="97"/>
        <v>4</v>
      </c>
      <c r="AX96">
        <f t="shared" si="97"/>
        <v>4</v>
      </c>
      <c r="BB96" s="32">
        <f t="shared" si="63"/>
        <v>2</v>
      </c>
      <c r="BC96" s="32">
        <f t="shared" si="64"/>
        <v>8</v>
      </c>
      <c r="BD96" s="32">
        <f t="shared" si="65"/>
        <v>0</v>
      </c>
      <c r="BE96" s="32">
        <f t="shared" si="66"/>
        <v>0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85</v>
      </c>
      <c r="B97" s="22">
        <f>Database!F97</f>
        <v>46081</v>
      </c>
      <c r="C97">
        <f>IF(Database!H97="cansl",0,Database!L97)</f>
        <v>1</v>
      </c>
      <c r="D97">
        <f>Database!E97-Database!D97</f>
        <v>2</v>
      </c>
      <c r="F97">
        <f>Database!M97</f>
        <v>1</v>
      </c>
      <c r="G97" t="str">
        <f>Database!G97</f>
        <v>DK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2</v>
      </c>
      <c r="U97">
        <f t="shared" si="94"/>
        <v>2</v>
      </c>
      <c r="V97">
        <f t="shared" si="94"/>
        <v>2</v>
      </c>
      <c r="W97">
        <f t="shared" si="94"/>
        <v>2</v>
      </c>
      <c r="X97">
        <f t="shared" si="95"/>
        <v>2</v>
      </c>
      <c r="Y97">
        <f t="shared" si="95"/>
        <v>2</v>
      </c>
      <c r="Z97">
        <f t="shared" si="95"/>
        <v>2</v>
      </c>
      <c r="AA97">
        <f t="shared" si="95"/>
        <v>2</v>
      </c>
      <c r="AB97">
        <f t="shared" si="95"/>
        <v>2</v>
      </c>
      <c r="AC97">
        <f t="shared" si="95"/>
        <v>2</v>
      </c>
      <c r="AD97">
        <f t="shared" si="95"/>
        <v>2</v>
      </c>
      <c r="AE97">
        <f t="shared" si="95"/>
        <v>2</v>
      </c>
      <c r="AF97">
        <f t="shared" si="95"/>
        <v>2</v>
      </c>
      <c r="AG97">
        <f t="shared" si="95"/>
        <v>2</v>
      </c>
      <c r="AH97">
        <f t="shared" si="96"/>
        <v>2</v>
      </c>
      <c r="AI97">
        <f t="shared" si="96"/>
        <v>2</v>
      </c>
      <c r="AJ97">
        <f t="shared" si="96"/>
        <v>2</v>
      </c>
      <c r="AK97">
        <f t="shared" si="96"/>
        <v>2</v>
      </c>
      <c r="AL97">
        <f t="shared" si="96"/>
        <v>2</v>
      </c>
      <c r="AM97">
        <f t="shared" si="96"/>
        <v>2</v>
      </c>
      <c r="AN97">
        <f t="shared" si="96"/>
        <v>2</v>
      </c>
      <c r="AO97">
        <f t="shared" si="96"/>
        <v>2</v>
      </c>
      <c r="AP97">
        <f t="shared" si="96"/>
        <v>2</v>
      </c>
      <c r="AQ97">
        <f t="shared" si="96"/>
        <v>2</v>
      </c>
      <c r="AR97">
        <f t="shared" si="97"/>
        <v>2</v>
      </c>
      <c r="AS97">
        <f t="shared" si="97"/>
        <v>2</v>
      </c>
      <c r="AT97">
        <f t="shared" si="97"/>
        <v>2</v>
      </c>
      <c r="AU97">
        <f t="shared" si="97"/>
        <v>2</v>
      </c>
      <c r="AV97">
        <f t="shared" si="97"/>
        <v>2</v>
      </c>
      <c r="AW97">
        <f t="shared" si="97"/>
        <v>2</v>
      </c>
      <c r="AX97">
        <f t="shared" si="97"/>
        <v>2</v>
      </c>
      <c r="BB97" s="32">
        <f t="shared" si="63"/>
        <v>1</v>
      </c>
      <c r="BC97" s="32">
        <f t="shared" si="64"/>
        <v>2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0</v>
      </c>
      <c r="BI97" s="32">
        <f t="shared" si="70"/>
        <v>0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86</v>
      </c>
      <c r="B98" s="22">
        <f>Database!F98</f>
        <v>46081</v>
      </c>
      <c r="C98">
        <f>IF(Database!H98="cansl",0,Database!L98)</f>
        <v>1</v>
      </c>
      <c r="D98">
        <f>Database!E98-Database!D98</f>
        <v>7</v>
      </c>
      <c r="F98">
        <f>Database!M98</f>
        <v>2</v>
      </c>
      <c r="G98" t="str">
        <f>Database!G98</f>
        <v>D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7</v>
      </c>
      <c r="U98">
        <f t="shared" si="94"/>
        <v>7</v>
      </c>
      <c r="V98">
        <f t="shared" si="94"/>
        <v>7</v>
      </c>
      <c r="W98">
        <f t="shared" si="94"/>
        <v>7</v>
      </c>
      <c r="X98">
        <f t="shared" si="95"/>
        <v>7</v>
      </c>
      <c r="Y98">
        <f t="shared" si="95"/>
        <v>7</v>
      </c>
      <c r="Z98">
        <f t="shared" si="95"/>
        <v>7</v>
      </c>
      <c r="AA98">
        <f t="shared" si="95"/>
        <v>7</v>
      </c>
      <c r="AB98">
        <f t="shared" si="95"/>
        <v>7</v>
      </c>
      <c r="AC98">
        <f t="shared" si="95"/>
        <v>7</v>
      </c>
      <c r="AD98">
        <f t="shared" si="95"/>
        <v>7</v>
      </c>
      <c r="AE98">
        <f t="shared" si="95"/>
        <v>7</v>
      </c>
      <c r="AF98">
        <f t="shared" si="95"/>
        <v>7</v>
      </c>
      <c r="AG98">
        <f t="shared" si="95"/>
        <v>7</v>
      </c>
      <c r="AH98">
        <f t="shared" si="96"/>
        <v>7</v>
      </c>
      <c r="AI98">
        <f t="shared" si="96"/>
        <v>7</v>
      </c>
      <c r="AJ98">
        <f t="shared" si="96"/>
        <v>7</v>
      </c>
      <c r="AK98">
        <f t="shared" si="96"/>
        <v>7</v>
      </c>
      <c r="AL98">
        <f t="shared" si="96"/>
        <v>7</v>
      </c>
      <c r="AM98">
        <f t="shared" si="96"/>
        <v>7</v>
      </c>
      <c r="AN98">
        <f t="shared" si="96"/>
        <v>7</v>
      </c>
      <c r="AO98">
        <f t="shared" si="96"/>
        <v>7</v>
      </c>
      <c r="AP98">
        <f t="shared" si="96"/>
        <v>7</v>
      </c>
      <c r="AQ98">
        <f t="shared" si="96"/>
        <v>7</v>
      </c>
      <c r="AR98">
        <f t="shared" si="97"/>
        <v>7</v>
      </c>
      <c r="AS98">
        <f t="shared" si="97"/>
        <v>7</v>
      </c>
      <c r="AT98">
        <f t="shared" si="97"/>
        <v>7</v>
      </c>
      <c r="AU98">
        <f t="shared" si="97"/>
        <v>7</v>
      </c>
      <c r="AV98">
        <f t="shared" si="97"/>
        <v>7</v>
      </c>
      <c r="AW98">
        <f t="shared" si="97"/>
        <v>7</v>
      </c>
      <c r="AX98">
        <f t="shared" si="97"/>
        <v>7</v>
      </c>
      <c r="BB98" s="32">
        <f t="shared" si="63"/>
        <v>0</v>
      </c>
      <c r="BC98" s="32">
        <f t="shared" si="64"/>
        <v>0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2</v>
      </c>
      <c r="BI98" s="32">
        <f t="shared" si="70"/>
        <v>14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87</v>
      </c>
      <c r="B99" s="22">
        <f>Database!F99</f>
        <v>46083</v>
      </c>
      <c r="C99">
        <f>IF(Database!H99="cansl",0,Database!L99)</f>
        <v>1</v>
      </c>
      <c r="D99">
        <f>Database!E99-Database!D99</f>
        <v>3</v>
      </c>
      <c r="F99">
        <f>Database!M99</f>
        <v>2</v>
      </c>
      <c r="G99" t="str">
        <f>Database!G99</f>
        <v>D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3</v>
      </c>
      <c r="V99">
        <f t="shared" si="94"/>
        <v>3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2</v>
      </c>
      <c r="BI99" s="32">
        <f t="shared" si="70"/>
        <v>6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88</v>
      </c>
      <c r="B100" s="22">
        <f>Database!F100</f>
        <v>46089</v>
      </c>
      <c r="C100">
        <f>IF(Database!H100="cansl",0,Database!L100)</f>
        <v>0</v>
      </c>
      <c r="D100">
        <f>Database!E100-Database!D100</f>
        <v>3</v>
      </c>
      <c r="F100">
        <f>Database!M100</f>
        <v>0</v>
      </c>
      <c r="G100" t="str">
        <f>Database!G100</f>
        <v>D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89</v>
      </c>
      <c r="B101" s="22">
        <f>Database!F101</f>
        <v>46091</v>
      </c>
      <c r="C101">
        <f>IF(Database!H101="cansl",0,Database!L101)</f>
        <v>2</v>
      </c>
      <c r="D101">
        <f>Database!E101-Database!D101</f>
        <v>2</v>
      </c>
      <c r="F101">
        <f>Database!M101</f>
        <v>3</v>
      </c>
      <c r="G101" t="str">
        <f>Database!G101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4</v>
      </c>
      <c r="W101">
        <f t="shared" si="94"/>
        <v>4</v>
      </c>
      <c r="X101">
        <f t="shared" si="95"/>
        <v>4</v>
      </c>
      <c r="Y101">
        <f t="shared" si="95"/>
        <v>4</v>
      </c>
      <c r="Z101">
        <f t="shared" si="95"/>
        <v>4</v>
      </c>
      <c r="AA101">
        <f t="shared" si="95"/>
        <v>4</v>
      </c>
      <c r="AB101">
        <f t="shared" si="95"/>
        <v>4</v>
      </c>
      <c r="AC101">
        <f t="shared" si="95"/>
        <v>4</v>
      </c>
      <c r="AD101">
        <f t="shared" si="95"/>
        <v>4</v>
      </c>
      <c r="AE101">
        <f t="shared" si="95"/>
        <v>4</v>
      </c>
      <c r="AF101">
        <f t="shared" si="95"/>
        <v>4</v>
      </c>
      <c r="AG101">
        <f t="shared" si="95"/>
        <v>4</v>
      </c>
      <c r="AH101">
        <f t="shared" si="96"/>
        <v>4</v>
      </c>
      <c r="AI101">
        <f t="shared" si="96"/>
        <v>4</v>
      </c>
      <c r="AJ101">
        <f t="shared" si="96"/>
        <v>4</v>
      </c>
      <c r="AK101">
        <f t="shared" si="96"/>
        <v>4</v>
      </c>
      <c r="AL101">
        <f t="shared" si="96"/>
        <v>4</v>
      </c>
      <c r="AM101">
        <f t="shared" si="96"/>
        <v>4</v>
      </c>
      <c r="AN101">
        <f t="shared" si="96"/>
        <v>4</v>
      </c>
      <c r="AO101">
        <f t="shared" si="96"/>
        <v>4</v>
      </c>
      <c r="AP101">
        <f t="shared" si="96"/>
        <v>4</v>
      </c>
      <c r="AQ101">
        <f t="shared" si="96"/>
        <v>4</v>
      </c>
      <c r="AR101">
        <f t="shared" si="97"/>
        <v>4</v>
      </c>
      <c r="AS101">
        <f t="shared" si="97"/>
        <v>4</v>
      </c>
      <c r="AT101">
        <f t="shared" si="97"/>
        <v>4</v>
      </c>
      <c r="AU101">
        <f t="shared" si="97"/>
        <v>4</v>
      </c>
      <c r="AV101">
        <f t="shared" si="97"/>
        <v>4</v>
      </c>
      <c r="AW101">
        <f t="shared" si="97"/>
        <v>4</v>
      </c>
      <c r="AX101">
        <f t="shared" si="97"/>
        <v>4</v>
      </c>
      <c r="BB101" s="32">
        <f t="shared" si="63"/>
        <v>3</v>
      </c>
      <c r="BC101" s="32">
        <f t="shared" si="64"/>
        <v>6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2">
        <f>Database!F102</f>
        <v>0</v>
      </c>
      <c r="C102">
        <f>IF(Database!H102="cansl",0,Database!L102)</f>
        <v>0</v>
      </c>
      <c r="D102">
        <f>Database!E102-Database!D102</f>
        <v>0</v>
      </c>
      <c r="F102">
        <f>Database!M102</f>
        <v>0</v>
      </c>
      <c r="G102">
        <f>Database!G102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2">
        <f t="shared" si="63"/>
        <v>0</v>
      </c>
      <c r="BC102" s="32">
        <f t="shared" si="64"/>
        <v>0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90</v>
      </c>
      <c r="B103" s="22">
        <f>Database!F103</f>
        <v>46091</v>
      </c>
      <c r="C103">
        <f>IF(Database!H103="cansl",0,Database!L103)</f>
        <v>1</v>
      </c>
      <c r="D103">
        <f>Database!E103-Database!D103</f>
        <v>3</v>
      </c>
      <c r="F103">
        <f>Database!M103</f>
        <v>2</v>
      </c>
      <c r="G103" t="str">
        <f>Database!G103</f>
        <v>S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3</v>
      </c>
      <c r="W103">
        <f t="shared" si="100"/>
        <v>3</v>
      </c>
      <c r="X103">
        <f t="shared" ref="X103:AG118" si="101">IF($B103&lt;X$1,$C103*$D103,0)</f>
        <v>3</v>
      </c>
      <c r="Y103">
        <f t="shared" si="101"/>
        <v>3</v>
      </c>
      <c r="Z103">
        <f t="shared" si="101"/>
        <v>3</v>
      </c>
      <c r="AA103">
        <f t="shared" si="101"/>
        <v>3</v>
      </c>
      <c r="AB103">
        <f t="shared" si="101"/>
        <v>3</v>
      </c>
      <c r="AC103">
        <f t="shared" si="101"/>
        <v>3</v>
      </c>
      <c r="AD103">
        <f t="shared" si="101"/>
        <v>3</v>
      </c>
      <c r="AE103">
        <f t="shared" si="101"/>
        <v>3</v>
      </c>
      <c r="AF103">
        <f t="shared" si="101"/>
        <v>3</v>
      </c>
      <c r="AG103">
        <f t="shared" si="101"/>
        <v>3</v>
      </c>
      <c r="AH103">
        <f t="shared" ref="AH103:AQ118" si="102">IF($B103&lt;AH$1,$C103*$D103,0)</f>
        <v>3</v>
      </c>
      <c r="AI103">
        <f t="shared" si="102"/>
        <v>3</v>
      </c>
      <c r="AJ103">
        <f t="shared" si="102"/>
        <v>3</v>
      </c>
      <c r="AK103">
        <f t="shared" si="102"/>
        <v>3</v>
      </c>
      <c r="AL103">
        <f t="shared" si="102"/>
        <v>3</v>
      </c>
      <c r="AM103">
        <f t="shared" si="102"/>
        <v>3</v>
      </c>
      <c r="AN103">
        <f t="shared" si="102"/>
        <v>3</v>
      </c>
      <c r="AO103">
        <f t="shared" si="102"/>
        <v>3</v>
      </c>
      <c r="AP103">
        <f t="shared" si="102"/>
        <v>3</v>
      </c>
      <c r="AQ103">
        <f t="shared" si="102"/>
        <v>3</v>
      </c>
      <c r="AR103">
        <f t="shared" ref="AR103:AX118" si="103">IF($B103&lt;AR$1,$C103*$D103,0)</f>
        <v>3</v>
      </c>
      <c r="AS103">
        <f t="shared" si="103"/>
        <v>3</v>
      </c>
      <c r="AT103">
        <f t="shared" si="103"/>
        <v>3</v>
      </c>
      <c r="AU103">
        <f t="shared" si="103"/>
        <v>3</v>
      </c>
      <c r="AV103">
        <f t="shared" si="103"/>
        <v>3</v>
      </c>
      <c r="AW103">
        <f t="shared" si="103"/>
        <v>3</v>
      </c>
      <c r="AX103">
        <f t="shared" si="103"/>
        <v>3</v>
      </c>
      <c r="BB103" s="32">
        <f t="shared" si="63"/>
        <v>0</v>
      </c>
      <c r="BC103" s="32">
        <f t="shared" si="64"/>
        <v>0</v>
      </c>
      <c r="BD103" s="32">
        <f t="shared" si="65"/>
        <v>2</v>
      </c>
      <c r="BE103" s="32">
        <f t="shared" si="66"/>
        <v>6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91</v>
      </c>
      <c r="B104" s="22">
        <f>Database!F104</f>
        <v>46095</v>
      </c>
      <c r="C104">
        <f>IF(Database!H104="cansl",0,Database!L104)</f>
        <v>1</v>
      </c>
      <c r="D104">
        <f>Database!E104-Database!D104</f>
        <v>2</v>
      </c>
      <c r="F104">
        <f>Database!M104</f>
        <v>2</v>
      </c>
      <c r="G104" t="str">
        <f>Database!G104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2</v>
      </c>
      <c r="W104">
        <f t="shared" si="100"/>
        <v>2</v>
      </c>
      <c r="X104">
        <f t="shared" si="101"/>
        <v>2</v>
      </c>
      <c r="Y104">
        <f t="shared" si="101"/>
        <v>2</v>
      </c>
      <c r="Z104">
        <f t="shared" si="101"/>
        <v>2</v>
      </c>
      <c r="AA104">
        <f t="shared" si="101"/>
        <v>2</v>
      </c>
      <c r="AB104">
        <f t="shared" si="101"/>
        <v>2</v>
      </c>
      <c r="AC104">
        <f t="shared" si="101"/>
        <v>2</v>
      </c>
      <c r="AD104">
        <f t="shared" si="101"/>
        <v>2</v>
      </c>
      <c r="AE104">
        <f t="shared" si="101"/>
        <v>2</v>
      </c>
      <c r="AF104">
        <f t="shared" si="101"/>
        <v>2</v>
      </c>
      <c r="AG104">
        <f t="shared" si="101"/>
        <v>2</v>
      </c>
      <c r="AH104">
        <f t="shared" si="102"/>
        <v>2</v>
      </c>
      <c r="AI104">
        <f t="shared" si="102"/>
        <v>2</v>
      </c>
      <c r="AJ104">
        <f t="shared" si="102"/>
        <v>2</v>
      </c>
      <c r="AK104">
        <f t="shared" si="102"/>
        <v>2</v>
      </c>
      <c r="AL104">
        <f t="shared" si="102"/>
        <v>2</v>
      </c>
      <c r="AM104">
        <f t="shared" si="102"/>
        <v>2</v>
      </c>
      <c r="AN104">
        <f t="shared" si="102"/>
        <v>2</v>
      </c>
      <c r="AO104">
        <f t="shared" si="102"/>
        <v>2</v>
      </c>
      <c r="AP104">
        <f t="shared" si="102"/>
        <v>2</v>
      </c>
      <c r="AQ104">
        <f t="shared" si="102"/>
        <v>2</v>
      </c>
      <c r="AR104">
        <f t="shared" si="103"/>
        <v>2</v>
      </c>
      <c r="AS104">
        <f t="shared" si="103"/>
        <v>2</v>
      </c>
      <c r="AT104">
        <f t="shared" si="103"/>
        <v>2</v>
      </c>
      <c r="AU104">
        <f t="shared" si="103"/>
        <v>2</v>
      </c>
      <c r="AV104">
        <f t="shared" si="103"/>
        <v>2</v>
      </c>
      <c r="AW104">
        <f t="shared" si="103"/>
        <v>2</v>
      </c>
      <c r="AX104">
        <f t="shared" si="103"/>
        <v>2</v>
      </c>
      <c r="BB104" s="32">
        <f t="shared" si="63"/>
        <v>2</v>
      </c>
      <c r="BC104" s="32">
        <f t="shared" si="64"/>
        <v>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92</v>
      </c>
      <c r="B105" s="22">
        <f>Database!F105</f>
        <v>46095</v>
      </c>
      <c r="C105">
        <f>IF(Database!H105="cansl",0,Database!L105)</f>
        <v>1</v>
      </c>
      <c r="D105">
        <f>Database!E105-Database!D105</f>
        <v>5</v>
      </c>
      <c r="F105">
        <f>Database!M105</f>
        <v>2</v>
      </c>
      <c r="G105" t="str">
        <f>Database!G105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5</v>
      </c>
      <c r="W105">
        <f t="shared" si="100"/>
        <v>5</v>
      </c>
      <c r="X105">
        <f t="shared" si="101"/>
        <v>5</v>
      </c>
      <c r="Y105">
        <f t="shared" si="101"/>
        <v>5</v>
      </c>
      <c r="Z105">
        <f t="shared" si="101"/>
        <v>5</v>
      </c>
      <c r="AA105">
        <f t="shared" si="101"/>
        <v>5</v>
      </c>
      <c r="AB105">
        <f t="shared" si="101"/>
        <v>5</v>
      </c>
      <c r="AC105">
        <f t="shared" si="101"/>
        <v>5</v>
      </c>
      <c r="AD105">
        <f t="shared" si="101"/>
        <v>5</v>
      </c>
      <c r="AE105">
        <f t="shared" si="101"/>
        <v>5</v>
      </c>
      <c r="AF105">
        <f t="shared" si="101"/>
        <v>5</v>
      </c>
      <c r="AG105">
        <f t="shared" si="101"/>
        <v>5</v>
      </c>
      <c r="AH105">
        <f t="shared" si="102"/>
        <v>5</v>
      </c>
      <c r="AI105">
        <f t="shared" si="102"/>
        <v>5</v>
      </c>
      <c r="AJ105">
        <f t="shared" si="102"/>
        <v>5</v>
      </c>
      <c r="AK105">
        <f t="shared" si="102"/>
        <v>5</v>
      </c>
      <c r="AL105">
        <f t="shared" si="102"/>
        <v>5</v>
      </c>
      <c r="AM105">
        <f t="shared" si="102"/>
        <v>5</v>
      </c>
      <c r="AN105">
        <f t="shared" si="102"/>
        <v>5</v>
      </c>
      <c r="AO105">
        <f t="shared" si="102"/>
        <v>5</v>
      </c>
      <c r="AP105">
        <f t="shared" si="102"/>
        <v>5</v>
      </c>
      <c r="AQ105">
        <f t="shared" si="102"/>
        <v>5</v>
      </c>
      <c r="AR105">
        <f t="shared" si="103"/>
        <v>5</v>
      </c>
      <c r="AS105">
        <f t="shared" si="103"/>
        <v>5</v>
      </c>
      <c r="AT105">
        <f t="shared" si="103"/>
        <v>5</v>
      </c>
      <c r="AU105">
        <f t="shared" si="103"/>
        <v>5</v>
      </c>
      <c r="AV105">
        <f t="shared" si="103"/>
        <v>5</v>
      </c>
      <c r="AW105">
        <f t="shared" si="103"/>
        <v>5</v>
      </c>
      <c r="AX105">
        <f t="shared" si="103"/>
        <v>5</v>
      </c>
      <c r="BB105" s="32">
        <f t="shared" si="63"/>
        <v>2</v>
      </c>
      <c r="BC105" s="32">
        <f t="shared" si="64"/>
        <v>10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93</v>
      </c>
      <c r="B106" s="22">
        <f>Database!F106</f>
        <v>46095</v>
      </c>
      <c r="C106">
        <f>IF(Database!H106="cansl",0,Database!L106)</f>
        <v>1</v>
      </c>
      <c r="D106">
        <f>Database!E106-Database!D106</f>
        <v>3</v>
      </c>
      <c r="F106">
        <f>Database!M106</f>
        <v>2</v>
      </c>
      <c r="G106" t="str">
        <f>Database!G106</f>
        <v>D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3</v>
      </c>
      <c r="W106">
        <f t="shared" si="100"/>
        <v>3</v>
      </c>
      <c r="X106">
        <f t="shared" si="101"/>
        <v>3</v>
      </c>
      <c r="Y106">
        <f t="shared" si="101"/>
        <v>3</v>
      </c>
      <c r="Z106">
        <f t="shared" si="101"/>
        <v>3</v>
      </c>
      <c r="AA106">
        <f t="shared" si="101"/>
        <v>3</v>
      </c>
      <c r="AB106">
        <f t="shared" si="101"/>
        <v>3</v>
      </c>
      <c r="AC106">
        <f t="shared" si="101"/>
        <v>3</v>
      </c>
      <c r="AD106">
        <f t="shared" si="101"/>
        <v>3</v>
      </c>
      <c r="AE106">
        <f t="shared" si="101"/>
        <v>3</v>
      </c>
      <c r="AF106">
        <f t="shared" si="101"/>
        <v>3</v>
      </c>
      <c r="AG106">
        <f t="shared" si="101"/>
        <v>3</v>
      </c>
      <c r="AH106">
        <f t="shared" si="102"/>
        <v>3</v>
      </c>
      <c r="AI106">
        <f t="shared" si="102"/>
        <v>3</v>
      </c>
      <c r="AJ106">
        <f t="shared" si="102"/>
        <v>3</v>
      </c>
      <c r="AK106">
        <f t="shared" si="102"/>
        <v>3</v>
      </c>
      <c r="AL106">
        <f t="shared" si="102"/>
        <v>3</v>
      </c>
      <c r="AM106">
        <f t="shared" si="102"/>
        <v>3</v>
      </c>
      <c r="AN106">
        <f t="shared" si="102"/>
        <v>3</v>
      </c>
      <c r="AO106">
        <f t="shared" si="102"/>
        <v>3</v>
      </c>
      <c r="AP106">
        <f t="shared" si="102"/>
        <v>3</v>
      </c>
      <c r="AQ106">
        <f t="shared" si="102"/>
        <v>3</v>
      </c>
      <c r="AR106">
        <f t="shared" si="103"/>
        <v>3</v>
      </c>
      <c r="AS106">
        <f t="shared" si="103"/>
        <v>3</v>
      </c>
      <c r="AT106">
        <f t="shared" si="103"/>
        <v>3</v>
      </c>
      <c r="AU106">
        <f t="shared" si="103"/>
        <v>3</v>
      </c>
      <c r="AV106">
        <f t="shared" si="103"/>
        <v>3</v>
      </c>
      <c r="AW106">
        <f t="shared" si="103"/>
        <v>3</v>
      </c>
      <c r="AX106">
        <f t="shared" si="103"/>
        <v>3</v>
      </c>
      <c r="BB106" s="32">
        <f t="shared" si="63"/>
        <v>0</v>
      </c>
      <c r="BC106" s="32">
        <f t="shared" si="64"/>
        <v>0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2</v>
      </c>
      <c r="BI106" s="32">
        <f t="shared" si="70"/>
        <v>6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94</v>
      </c>
      <c r="B107" s="22">
        <f>Database!F107</f>
        <v>46098</v>
      </c>
      <c r="C107">
        <f>IF(Database!H107="cansl",0,Database!L107)</f>
        <v>1</v>
      </c>
      <c r="D107">
        <f>Database!E107-Database!D107</f>
        <v>3</v>
      </c>
      <c r="F107">
        <f>Database!M107</f>
        <v>1</v>
      </c>
      <c r="G107" t="str">
        <f>Database!G107</f>
        <v>D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3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0</v>
      </c>
      <c r="BC107" s="32">
        <f t="shared" si="64"/>
        <v>0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1</v>
      </c>
      <c r="BI107" s="32">
        <f t="shared" si="70"/>
        <v>3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95</v>
      </c>
      <c r="B108" s="22">
        <f>Database!F108</f>
        <v>46098</v>
      </c>
      <c r="C108">
        <f>IF(Database!H108="cansl",0,Database!L108)</f>
        <v>1</v>
      </c>
      <c r="D108">
        <f>Database!E108-Database!D108</f>
        <v>3</v>
      </c>
      <c r="F108">
        <f>Database!M108</f>
        <v>2</v>
      </c>
      <c r="G108" t="str">
        <f>Database!G108</f>
        <v>S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3</v>
      </c>
      <c r="X108">
        <f t="shared" si="101"/>
        <v>3</v>
      </c>
      <c r="Y108">
        <f t="shared" si="101"/>
        <v>3</v>
      </c>
      <c r="Z108">
        <f t="shared" si="101"/>
        <v>3</v>
      </c>
      <c r="AA108">
        <f t="shared" si="101"/>
        <v>3</v>
      </c>
      <c r="AB108">
        <f t="shared" si="101"/>
        <v>3</v>
      </c>
      <c r="AC108">
        <f t="shared" si="101"/>
        <v>3</v>
      </c>
      <c r="AD108">
        <f t="shared" si="101"/>
        <v>3</v>
      </c>
      <c r="AE108">
        <f t="shared" si="101"/>
        <v>3</v>
      </c>
      <c r="AF108">
        <f t="shared" si="101"/>
        <v>3</v>
      </c>
      <c r="AG108">
        <f t="shared" si="101"/>
        <v>3</v>
      </c>
      <c r="AH108">
        <f t="shared" si="102"/>
        <v>3</v>
      </c>
      <c r="AI108">
        <f t="shared" si="102"/>
        <v>3</v>
      </c>
      <c r="AJ108">
        <f t="shared" si="102"/>
        <v>3</v>
      </c>
      <c r="AK108">
        <f t="shared" si="102"/>
        <v>3</v>
      </c>
      <c r="AL108">
        <f t="shared" si="102"/>
        <v>3</v>
      </c>
      <c r="AM108">
        <f t="shared" si="102"/>
        <v>3</v>
      </c>
      <c r="AN108">
        <f t="shared" si="102"/>
        <v>3</v>
      </c>
      <c r="AO108">
        <f t="shared" si="102"/>
        <v>3</v>
      </c>
      <c r="AP108">
        <f t="shared" si="102"/>
        <v>3</v>
      </c>
      <c r="AQ108">
        <f t="shared" si="102"/>
        <v>3</v>
      </c>
      <c r="AR108">
        <f t="shared" si="103"/>
        <v>3</v>
      </c>
      <c r="AS108">
        <f t="shared" si="103"/>
        <v>3</v>
      </c>
      <c r="AT108">
        <f t="shared" si="103"/>
        <v>3</v>
      </c>
      <c r="AU108">
        <f t="shared" si="103"/>
        <v>3</v>
      </c>
      <c r="AV108">
        <f t="shared" si="103"/>
        <v>3</v>
      </c>
      <c r="AW108">
        <f t="shared" si="103"/>
        <v>3</v>
      </c>
      <c r="AX108">
        <f t="shared" si="103"/>
        <v>3</v>
      </c>
      <c r="BB108" s="32">
        <f t="shared" si="63"/>
        <v>0</v>
      </c>
      <c r="BC108" s="32">
        <f t="shared" si="64"/>
        <v>0</v>
      </c>
      <c r="BD108" s="32">
        <f t="shared" si="65"/>
        <v>2</v>
      </c>
      <c r="BE108" s="32">
        <f t="shared" si="66"/>
        <v>6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96</v>
      </c>
      <c r="B109" s="22">
        <f>Database!F109</f>
        <v>46099</v>
      </c>
      <c r="C109">
        <f>IF(Database!H109="cansl",0,Database!L109)</f>
        <v>1</v>
      </c>
      <c r="D109">
        <f>Database!E109-Database!D109</f>
        <v>4</v>
      </c>
      <c r="F109">
        <f>Database!M109</f>
        <v>2</v>
      </c>
      <c r="G109" t="str">
        <f>Database!G109</f>
        <v>D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4</v>
      </c>
      <c r="X109">
        <f t="shared" si="101"/>
        <v>4</v>
      </c>
      <c r="Y109">
        <f t="shared" si="101"/>
        <v>4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0</v>
      </c>
      <c r="BC109" s="32">
        <f t="shared" si="64"/>
        <v>0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2</v>
      </c>
      <c r="BI109" s="32">
        <f t="shared" si="70"/>
        <v>8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97</v>
      </c>
      <c r="B110" s="22">
        <f>Database!F110</f>
        <v>46102</v>
      </c>
      <c r="C110">
        <f>IF(Database!H110="cansl",0,Database!L110)</f>
        <v>1</v>
      </c>
      <c r="D110">
        <f>Database!E110-Database!D110</f>
        <v>3</v>
      </c>
      <c r="F110">
        <f>Database!M110</f>
        <v>2</v>
      </c>
      <c r="G110" t="str">
        <f>Database!G110</f>
        <v>DK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3</v>
      </c>
      <c r="X110">
        <f t="shared" si="101"/>
        <v>3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2</v>
      </c>
      <c r="BC110" s="32">
        <f t="shared" si="64"/>
        <v>6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0</v>
      </c>
      <c r="BI110" s="32">
        <f t="shared" si="70"/>
        <v>0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98</v>
      </c>
      <c r="B111" s="22">
        <f>Database!F111</f>
        <v>46103</v>
      </c>
      <c r="C111">
        <f>IF(Database!H111="cansl",0,Database!L111)</f>
        <v>0</v>
      </c>
      <c r="D111">
        <f>Database!E111-Database!D111</f>
        <v>3</v>
      </c>
      <c r="F111">
        <f>Database!M111</f>
        <v>0</v>
      </c>
      <c r="G111" t="str">
        <f>Database!G111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0</v>
      </c>
      <c r="BM111" s="32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99</v>
      </c>
      <c r="B112" s="22">
        <f>Database!F112</f>
        <v>46104</v>
      </c>
      <c r="C112">
        <f>IF(Database!H112="cansl",0,Database!L112)</f>
        <v>0</v>
      </c>
      <c r="D112">
        <f>Database!E112-Database!D112</f>
        <v>2</v>
      </c>
      <c r="F112">
        <f>Database!M112</f>
        <v>0</v>
      </c>
      <c r="G112" t="str">
        <f>Database!G112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100</v>
      </c>
      <c r="B113" s="22">
        <f>Database!F113</f>
        <v>46104</v>
      </c>
      <c r="C113">
        <f>IF(Database!H113="cansl",0,Database!L113)</f>
        <v>1</v>
      </c>
      <c r="D113">
        <f>Database!E113-Database!D113</f>
        <v>2</v>
      </c>
      <c r="F113">
        <f>Database!M113</f>
        <v>2</v>
      </c>
      <c r="G113" t="str">
        <f>Database!G113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2</v>
      </c>
      <c r="Y113">
        <f t="shared" si="101"/>
        <v>2</v>
      </c>
      <c r="Z113">
        <f t="shared" si="101"/>
        <v>2</v>
      </c>
      <c r="AA113">
        <f t="shared" si="101"/>
        <v>2</v>
      </c>
      <c r="AB113">
        <f t="shared" si="101"/>
        <v>2</v>
      </c>
      <c r="AC113">
        <f t="shared" si="101"/>
        <v>2</v>
      </c>
      <c r="AD113">
        <f t="shared" si="101"/>
        <v>2</v>
      </c>
      <c r="AE113">
        <f t="shared" si="101"/>
        <v>2</v>
      </c>
      <c r="AF113">
        <f t="shared" si="101"/>
        <v>2</v>
      </c>
      <c r="AG113">
        <f t="shared" si="101"/>
        <v>2</v>
      </c>
      <c r="AH113">
        <f t="shared" si="102"/>
        <v>2</v>
      </c>
      <c r="AI113">
        <f t="shared" si="102"/>
        <v>2</v>
      </c>
      <c r="AJ113">
        <f t="shared" si="102"/>
        <v>2</v>
      </c>
      <c r="AK113">
        <f t="shared" si="102"/>
        <v>2</v>
      </c>
      <c r="AL113">
        <f t="shared" si="102"/>
        <v>2</v>
      </c>
      <c r="AM113">
        <f t="shared" si="102"/>
        <v>2</v>
      </c>
      <c r="AN113">
        <f t="shared" si="102"/>
        <v>2</v>
      </c>
      <c r="AO113">
        <f t="shared" si="102"/>
        <v>2</v>
      </c>
      <c r="AP113">
        <f t="shared" si="102"/>
        <v>2</v>
      </c>
      <c r="AQ113">
        <f t="shared" si="102"/>
        <v>2</v>
      </c>
      <c r="AR113">
        <f t="shared" si="103"/>
        <v>2</v>
      </c>
      <c r="AS113">
        <f t="shared" si="103"/>
        <v>2</v>
      </c>
      <c r="AT113">
        <f t="shared" si="103"/>
        <v>2</v>
      </c>
      <c r="AU113">
        <f t="shared" si="103"/>
        <v>2</v>
      </c>
      <c r="AV113">
        <f t="shared" si="103"/>
        <v>2</v>
      </c>
      <c r="AW113">
        <f t="shared" si="103"/>
        <v>2</v>
      </c>
      <c r="AX113">
        <f t="shared" si="103"/>
        <v>2</v>
      </c>
      <c r="BB113" s="32">
        <f t="shared" si="63"/>
        <v>2</v>
      </c>
      <c r="BC113" s="32">
        <f t="shared" si="64"/>
        <v>4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101</v>
      </c>
      <c r="B114" s="22">
        <f>Database!F114</f>
        <v>46104</v>
      </c>
      <c r="C114">
        <f>IF(Database!H114="cansl",0,Database!L114)</f>
        <v>1</v>
      </c>
      <c r="D114">
        <f>Database!E114-Database!D114</f>
        <v>2</v>
      </c>
      <c r="F114">
        <f>Database!M114</f>
        <v>1</v>
      </c>
      <c r="G114" t="str">
        <f>Database!G114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2</v>
      </c>
      <c r="Y114">
        <f t="shared" si="101"/>
        <v>2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102</v>
      </c>
      <c r="B115" s="22">
        <f>Database!F115</f>
        <v>46106</v>
      </c>
      <c r="C115">
        <f>IF(Database!H115="cansl",0,Database!L115)</f>
        <v>0</v>
      </c>
      <c r="D115">
        <f>Database!E115-Database!D115</f>
        <v>2</v>
      </c>
      <c r="F115">
        <f>Database!M115</f>
        <v>0</v>
      </c>
      <c r="G115" t="str">
        <f>Database!G115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2">
        <f t="shared" si="63"/>
        <v>0</v>
      </c>
      <c r="BC115" s="32">
        <f t="shared" si="64"/>
        <v>0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103</v>
      </c>
      <c r="B116" s="22">
        <f>Database!F116</f>
        <v>46107</v>
      </c>
      <c r="C116">
        <f>IF(Database!H116="cansl",0,Database!L116)</f>
        <v>1</v>
      </c>
      <c r="D116">
        <f>Database!E116-Database!D116</f>
        <v>7</v>
      </c>
      <c r="F116">
        <f>Database!M116</f>
        <v>2</v>
      </c>
      <c r="G116" t="str">
        <f>Database!G116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7</v>
      </c>
      <c r="Y116">
        <f t="shared" si="101"/>
        <v>7</v>
      </c>
      <c r="Z116">
        <f t="shared" si="101"/>
        <v>7</v>
      </c>
      <c r="AA116">
        <f t="shared" si="101"/>
        <v>7</v>
      </c>
      <c r="AB116">
        <f t="shared" si="101"/>
        <v>7</v>
      </c>
      <c r="AC116">
        <f t="shared" si="101"/>
        <v>7</v>
      </c>
      <c r="AD116">
        <f t="shared" si="101"/>
        <v>7</v>
      </c>
      <c r="AE116">
        <f t="shared" si="101"/>
        <v>7</v>
      </c>
      <c r="AF116">
        <f t="shared" si="101"/>
        <v>7</v>
      </c>
      <c r="AG116">
        <f t="shared" si="101"/>
        <v>7</v>
      </c>
      <c r="AH116">
        <f t="shared" si="102"/>
        <v>7</v>
      </c>
      <c r="AI116">
        <f t="shared" si="102"/>
        <v>7</v>
      </c>
      <c r="AJ116">
        <f t="shared" si="102"/>
        <v>7</v>
      </c>
      <c r="AK116">
        <f t="shared" si="102"/>
        <v>7</v>
      </c>
      <c r="AL116">
        <f t="shared" si="102"/>
        <v>7</v>
      </c>
      <c r="AM116">
        <f t="shared" si="102"/>
        <v>7</v>
      </c>
      <c r="AN116">
        <f t="shared" si="102"/>
        <v>7</v>
      </c>
      <c r="AO116">
        <f t="shared" si="102"/>
        <v>7</v>
      </c>
      <c r="AP116">
        <f t="shared" si="102"/>
        <v>7</v>
      </c>
      <c r="AQ116">
        <f t="shared" si="102"/>
        <v>7</v>
      </c>
      <c r="AR116">
        <f t="shared" si="103"/>
        <v>7</v>
      </c>
      <c r="AS116">
        <f t="shared" si="103"/>
        <v>7</v>
      </c>
      <c r="AT116">
        <f t="shared" si="103"/>
        <v>7</v>
      </c>
      <c r="AU116">
        <f t="shared" si="103"/>
        <v>7</v>
      </c>
      <c r="AV116">
        <f t="shared" si="103"/>
        <v>7</v>
      </c>
      <c r="AW116">
        <f t="shared" si="103"/>
        <v>7</v>
      </c>
      <c r="AX116">
        <f t="shared" si="103"/>
        <v>7</v>
      </c>
      <c r="BB116" s="32">
        <f t="shared" si="63"/>
        <v>2</v>
      </c>
      <c r="BC116" s="32">
        <f t="shared" si="64"/>
        <v>14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104</v>
      </c>
      <c r="B117" s="22">
        <f>Database!F117</f>
        <v>46107</v>
      </c>
      <c r="C117">
        <f>IF(Database!H117="cansl",0,Database!L117)</f>
        <v>1</v>
      </c>
      <c r="D117">
        <f>Database!E117-Database!D117</f>
        <v>3</v>
      </c>
      <c r="F117">
        <f>Database!M117</f>
        <v>2</v>
      </c>
      <c r="G117" t="str">
        <f>Database!G117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105</v>
      </c>
      <c r="B118" s="22">
        <f>Database!F118</f>
        <v>46108</v>
      </c>
      <c r="C118">
        <f>IF(Database!H118="cansl",0,Database!L118)</f>
        <v>1</v>
      </c>
      <c r="D118">
        <f>Database!E118-Database!D118</f>
        <v>4</v>
      </c>
      <c r="F118">
        <f>Database!M118</f>
        <v>1</v>
      </c>
      <c r="G118" t="str">
        <f>Database!G118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4</v>
      </c>
      <c r="Y118">
        <f t="shared" si="101"/>
        <v>4</v>
      </c>
      <c r="Z118">
        <f t="shared" si="101"/>
        <v>4</v>
      </c>
      <c r="AA118">
        <f t="shared" si="101"/>
        <v>4</v>
      </c>
      <c r="AB118">
        <f t="shared" si="101"/>
        <v>4</v>
      </c>
      <c r="AC118">
        <f t="shared" si="101"/>
        <v>4</v>
      </c>
      <c r="AD118">
        <f t="shared" si="101"/>
        <v>4</v>
      </c>
      <c r="AE118">
        <f t="shared" si="101"/>
        <v>4</v>
      </c>
      <c r="AF118">
        <f t="shared" si="101"/>
        <v>4</v>
      </c>
      <c r="AG118">
        <f t="shared" si="101"/>
        <v>4</v>
      </c>
      <c r="AH118">
        <f t="shared" si="102"/>
        <v>4</v>
      </c>
      <c r="AI118">
        <f t="shared" si="102"/>
        <v>4</v>
      </c>
      <c r="AJ118">
        <f t="shared" si="102"/>
        <v>4</v>
      </c>
      <c r="AK118">
        <f t="shared" si="102"/>
        <v>4</v>
      </c>
      <c r="AL118">
        <f t="shared" si="102"/>
        <v>4</v>
      </c>
      <c r="AM118">
        <f t="shared" si="102"/>
        <v>4</v>
      </c>
      <c r="AN118">
        <f t="shared" si="102"/>
        <v>4</v>
      </c>
      <c r="AO118">
        <f t="shared" si="102"/>
        <v>4</v>
      </c>
      <c r="AP118">
        <f t="shared" si="102"/>
        <v>4</v>
      </c>
      <c r="AQ118">
        <f t="shared" si="102"/>
        <v>4</v>
      </c>
      <c r="AR118">
        <f t="shared" si="103"/>
        <v>4</v>
      </c>
      <c r="AS118">
        <f t="shared" si="103"/>
        <v>4</v>
      </c>
      <c r="AT118">
        <f t="shared" si="103"/>
        <v>4</v>
      </c>
      <c r="AU118">
        <f t="shared" si="103"/>
        <v>4</v>
      </c>
      <c r="AV118">
        <f t="shared" si="103"/>
        <v>4</v>
      </c>
      <c r="AW118">
        <f t="shared" si="103"/>
        <v>4</v>
      </c>
      <c r="AX118">
        <f t="shared" si="103"/>
        <v>4</v>
      </c>
      <c r="BB118" s="32">
        <f t="shared" si="63"/>
        <v>1</v>
      </c>
      <c r="BC118" s="32">
        <f t="shared" si="64"/>
        <v>4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106</v>
      </c>
      <c r="B119" s="22">
        <f>Database!F119</f>
        <v>46109</v>
      </c>
      <c r="C119">
        <f>IF(Database!H119="cansl",0,Database!L119)</f>
        <v>1</v>
      </c>
      <c r="D119">
        <f>Database!E119-Database!D119</f>
        <v>3</v>
      </c>
      <c r="F119">
        <f>Database!M119</f>
        <v>2</v>
      </c>
      <c r="G119" t="str">
        <f>Database!G119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3</v>
      </c>
      <c r="Y119">
        <f t="shared" si="106"/>
        <v>3</v>
      </c>
      <c r="Z119">
        <f t="shared" si="106"/>
        <v>3</v>
      </c>
      <c r="AA119">
        <f t="shared" si="106"/>
        <v>3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107</v>
      </c>
      <c r="B120" s="22">
        <f>Database!F120</f>
        <v>46109</v>
      </c>
      <c r="C120">
        <f>IF(Database!H120="cansl",0,Database!L120)</f>
        <v>1</v>
      </c>
      <c r="D120">
        <f>Database!E120-Database!D120</f>
        <v>4</v>
      </c>
      <c r="F120">
        <f>Database!M120</f>
        <v>2</v>
      </c>
      <c r="G120" t="str">
        <f>Database!G120</f>
        <v>USA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4</v>
      </c>
      <c r="Y120">
        <f t="shared" si="106"/>
        <v>4</v>
      </c>
      <c r="Z120">
        <f t="shared" si="106"/>
        <v>4</v>
      </c>
      <c r="AA120">
        <f t="shared" si="106"/>
        <v>4</v>
      </c>
      <c r="AB120">
        <f t="shared" si="106"/>
        <v>4</v>
      </c>
      <c r="AC120">
        <f t="shared" si="106"/>
        <v>4</v>
      </c>
      <c r="AD120">
        <f t="shared" si="107"/>
        <v>4</v>
      </c>
      <c r="AE120">
        <f t="shared" si="107"/>
        <v>4</v>
      </c>
      <c r="AF120">
        <f t="shared" si="107"/>
        <v>4</v>
      </c>
      <c r="AG120">
        <f t="shared" si="107"/>
        <v>4</v>
      </c>
      <c r="AH120">
        <f t="shared" si="107"/>
        <v>4</v>
      </c>
      <c r="AI120">
        <f t="shared" si="107"/>
        <v>4</v>
      </c>
      <c r="AJ120">
        <f t="shared" si="107"/>
        <v>4</v>
      </c>
      <c r="AK120">
        <f t="shared" si="107"/>
        <v>4</v>
      </c>
      <c r="AL120">
        <f t="shared" si="107"/>
        <v>4</v>
      </c>
      <c r="AM120">
        <f t="shared" si="107"/>
        <v>4</v>
      </c>
      <c r="AN120">
        <f t="shared" si="107"/>
        <v>4</v>
      </c>
      <c r="AO120">
        <f t="shared" si="107"/>
        <v>4</v>
      </c>
      <c r="AP120">
        <f t="shared" si="107"/>
        <v>4</v>
      </c>
      <c r="AQ120">
        <f t="shared" si="107"/>
        <v>4</v>
      </c>
      <c r="AR120">
        <f t="shared" si="108"/>
        <v>4</v>
      </c>
      <c r="AS120">
        <f t="shared" si="108"/>
        <v>4</v>
      </c>
      <c r="AT120">
        <f t="shared" si="108"/>
        <v>4</v>
      </c>
      <c r="AU120">
        <f t="shared" si="108"/>
        <v>4</v>
      </c>
      <c r="AV120">
        <f t="shared" si="108"/>
        <v>4</v>
      </c>
      <c r="AW120">
        <f t="shared" si="108"/>
        <v>4</v>
      </c>
      <c r="AX120">
        <f t="shared" si="108"/>
        <v>4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8</v>
      </c>
      <c r="BN120">
        <f t="shared" si="93"/>
        <v>0</v>
      </c>
      <c r="BO120">
        <f t="shared" si="75"/>
        <v>0</v>
      </c>
      <c r="BP120">
        <f t="shared" si="93"/>
        <v>2</v>
      </c>
      <c r="BQ120">
        <f t="shared" si="76"/>
        <v>8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108</v>
      </c>
      <c r="B121" s="22">
        <f>Database!F121</f>
        <v>46118</v>
      </c>
      <c r="C121">
        <f>IF(Database!H121="cansl",0,Database!L121)</f>
        <v>1</v>
      </c>
      <c r="D121">
        <f>Database!E121-Database!D121</f>
        <v>4</v>
      </c>
      <c r="F121">
        <f>Database!M121</f>
        <v>2</v>
      </c>
      <c r="G121" t="str">
        <f>Database!G121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4</v>
      </c>
      <c r="AA121">
        <f t="shared" si="106"/>
        <v>4</v>
      </c>
      <c r="AB121">
        <f t="shared" si="106"/>
        <v>4</v>
      </c>
      <c r="AC121">
        <f t="shared" si="106"/>
        <v>4</v>
      </c>
      <c r="AD121">
        <f t="shared" si="107"/>
        <v>4</v>
      </c>
      <c r="AE121">
        <f t="shared" si="107"/>
        <v>4</v>
      </c>
      <c r="AF121">
        <f t="shared" si="107"/>
        <v>4</v>
      </c>
      <c r="AG121">
        <f t="shared" si="107"/>
        <v>4</v>
      </c>
      <c r="AH121">
        <f t="shared" si="107"/>
        <v>4</v>
      </c>
      <c r="AI121">
        <f t="shared" si="107"/>
        <v>4</v>
      </c>
      <c r="AJ121">
        <f t="shared" si="107"/>
        <v>4</v>
      </c>
      <c r="AK121">
        <f t="shared" si="107"/>
        <v>4</v>
      </c>
      <c r="AL121">
        <f t="shared" si="107"/>
        <v>4</v>
      </c>
      <c r="AM121">
        <f t="shared" si="107"/>
        <v>4</v>
      </c>
      <c r="AN121">
        <f t="shared" si="107"/>
        <v>4</v>
      </c>
      <c r="AO121">
        <f t="shared" si="107"/>
        <v>4</v>
      </c>
      <c r="AP121">
        <f t="shared" si="107"/>
        <v>4</v>
      </c>
      <c r="AQ121">
        <f t="shared" si="107"/>
        <v>4</v>
      </c>
      <c r="AR121">
        <f t="shared" si="108"/>
        <v>4</v>
      </c>
      <c r="AS121">
        <f t="shared" si="108"/>
        <v>4</v>
      </c>
      <c r="AT121">
        <f t="shared" si="108"/>
        <v>4</v>
      </c>
      <c r="AU121">
        <f t="shared" si="108"/>
        <v>4</v>
      </c>
      <c r="AV121">
        <f t="shared" si="108"/>
        <v>4</v>
      </c>
      <c r="AW121">
        <f t="shared" si="108"/>
        <v>4</v>
      </c>
      <c r="AX121">
        <f t="shared" si="108"/>
        <v>4</v>
      </c>
      <c r="BB121" s="32">
        <f t="shared" si="63"/>
        <v>2</v>
      </c>
      <c r="BC121" s="32">
        <f t="shared" si="64"/>
        <v>8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109</v>
      </c>
      <c r="B122" s="22">
        <f>Database!F122</f>
        <v>46115</v>
      </c>
      <c r="C122">
        <f>IF(Database!H122="cansl",0,Database!L122)</f>
        <v>1</v>
      </c>
      <c r="D122">
        <f>Database!E122-Database!D122</f>
        <v>3</v>
      </c>
      <c r="F122">
        <f>Database!M122</f>
        <v>1</v>
      </c>
      <c r="G122" t="str">
        <f>Database!G122</f>
        <v>D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3</v>
      </c>
      <c r="Z122">
        <f t="shared" si="106"/>
        <v>3</v>
      </c>
      <c r="AA122">
        <f t="shared" si="106"/>
        <v>3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0</v>
      </c>
      <c r="BC122" s="32">
        <f t="shared" si="64"/>
        <v>0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1</v>
      </c>
      <c r="BI122" s="32">
        <f t="shared" si="70"/>
        <v>3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110</v>
      </c>
      <c r="B123" s="22">
        <f>Database!F123</f>
        <v>46117</v>
      </c>
      <c r="C123">
        <f>IF(Database!H123="cansl",0,Database!L123)</f>
        <v>1</v>
      </c>
      <c r="D123">
        <f>Database!E123-Database!D123</f>
        <v>2</v>
      </c>
      <c r="F123">
        <f>Database!M123</f>
        <v>2</v>
      </c>
      <c r="G123" t="str">
        <f>Database!G123</f>
        <v>it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2</v>
      </c>
      <c r="Z123">
        <f t="shared" si="106"/>
        <v>2</v>
      </c>
      <c r="AA123">
        <f t="shared" si="106"/>
        <v>2</v>
      </c>
      <c r="AB123">
        <f t="shared" si="106"/>
        <v>2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0</v>
      </c>
      <c r="BC123" s="32">
        <f t="shared" si="64"/>
        <v>0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2</v>
      </c>
      <c r="BM123" s="32">
        <f t="shared" si="74"/>
        <v>4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2</v>
      </c>
      <c r="BW123">
        <f t="shared" si="81"/>
        <v>4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111</v>
      </c>
      <c r="B124" s="22">
        <f>Database!F124</f>
        <v>46120</v>
      </c>
      <c r="C124">
        <f>IF(Database!H124="cansl",0,Database!L124)</f>
        <v>0</v>
      </c>
      <c r="D124">
        <f>Database!E124-Database!D124</f>
        <v>3</v>
      </c>
      <c r="F124">
        <f>Database!M124</f>
        <v>0</v>
      </c>
      <c r="G124" t="str">
        <f>Database!G124</f>
        <v>DK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0</v>
      </c>
      <c r="BI124" s="32">
        <f t="shared" si="70"/>
        <v>0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112</v>
      </c>
      <c r="B125" s="22">
        <f>Database!F125</f>
        <v>46121</v>
      </c>
      <c r="C125">
        <f>IF(Database!H125="cansl",0,Database!L125)</f>
        <v>0</v>
      </c>
      <c r="D125">
        <f>Database!E125-Database!D125</f>
        <v>4</v>
      </c>
      <c r="F125">
        <f>Database!M125</f>
        <v>0</v>
      </c>
      <c r="G125" t="str">
        <f>Database!G125</f>
        <v>DK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0</v>
      </c>
      <c r="BI125" s="32">
        <f t="shared" si="70"/>
        <v>0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113</v>
      </c>
      <c r="B126" s="22">
        <f>Database!F126</f>
        <v>46122</v>
      </c>
      <c r="C126">
        <f>IF(Database!H126="cansl",0,Database!L126)</f>
        <v>0</v>
      </c>
      <c r="D126">
        <f>Database!E126-Database!D126</f>
        <v>2</v>
      </c>
      <c r="F126">
        <f>Database!M126</f>
        <v>0</v>
      </c>
      <c r="G126" t="str">
        <f>Database!G126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2">
        <f t="shared" si="63"/>
        <v>0</v>
      </c>
      <c r="BC126" s="32">
        <f t="shared" si="64"/>
        <v>0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114</v>
      </c>
      <c r="B127" s="22">
        <f>Database!F127</f>
        <v>46125</v>
      </c>
      <c r="C127">
        <f>IF(Database!H127="cansl",0,Database!L127)</f>
        <v>1</v>
      </c>
      <c r="D127">
        <f>Database!E127-Database!D127</f>
        <v>3</v>
      </c>
      <c r="F127">
        <f>Database!M127</f>
        <v>2</v>
      </c>
      <c r="G127" t="str">
        <f>Database!G127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3</v>
      </c>
      <c r="AB127">
        <f t="shared" si="106"/>
        <v>3</v>
      </c>
      <c r="AC127">
        <f t="shared" si="106"/>
        <v>3</v>
      </c>
      <c r="AD127">
        <f t="shared" si="107"/>
        <v>3</v>
      </c>
      <c r="AE127">
        <f t="shared" si="107"/>
        <v>3</v>
      </c>
      <c r="AF127">
        <f t="shared" si="107"/>
        <v>3</v>
      </c>
      <c r="AG127">
        <f t="shared" si="107"/>
        <v>3</v>
      </c>
      <c r="AH127">
        <f t="shared" si="107"/>
        <v>3</v>
      </c>
      <c r="AI127">
        <f t="shared" si="107"/>
        <v>3</v>
      </c>
      <c r="AJ127">
        <f t="shared" si="107"/>
        <v>3</v>
      </c>
      <c r="AK127">
        <f t="shared" si="107"/>
        <v>3</v>
      </c>
      <c r="AL127">
        <f t="shared" si="107"/>
        <v>3</v>
      </c>
      <c r="AM127">
        <f t="shared" si="107"/>
        <v>3</v>
      </c>
      <c r="AN127">
        <f t="shared" si="107"/>
        <v>3</v>
      </c>
      <c r="AO127">
        <f t="shared" si="107"/>
        <v>3</v>
      </c>
      <c r="AP127">
        <f t="shared" si="107"/>
        <v>3</v>
      </c>
      <c r="AQ127">
        <f t="shared" si="107"/>
        <v>3</v>
      </c>
      <c r="AR127">
        <f t="shared" si="108"/>
        <v>3</v>
      </c>
      <c r="AS127">
        <f t="shared" si="108"/>
        <v>3</v>
      </c>
      <c r="AT127">
        <f t="shared" si="108"/>
        <v>3</v>
      </c>
      <c r="AU127">
        <f t="shared" si="108"/>
        <v>3</v>
      </c>
      <c r="AV127">
        <f t="shared" si="108"/>
        <v>3</v>
      </c>
      <c r="AW127">
        <f t="shared" si="108"/>
        <v>3</v>
      </c>
      <c r="AX127">
        <f t="shared" si="108"/>
        <v>3</v>
      </c>
      <c r="BB127" s="32">
        <f t="shared" si="63"/>
        <v>2</v>
      </c>
      <c r="BC127" s="32">
        <f t="shared" si="64"/>
        <v>6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115</v>
      </c>
      <c r="B128" s="22">
        <f>Database!F128</f>
        <v>46125</v>
      </c>
      <c r="C128">
        <f>IF(Database!H128="cansl",0,Database!L128)</f>
        <v>1</v>
      </c>
      <c r="D128">
        <f>Database!E128-Database!D128</f>
        <v>3</v>
      </c>
      <c r="F128">
        <f>Database!M128</f>
        <v>2</v>
      </c>
      <c r="G128" t="str">
        <f>Database!G128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3</v>
      </c>
      <c r="AB128">
        <f t="shared" si="106"/>
        <v>3</v>
      </c>
      <c r="AC128">
        <f t="shared" si="106"/>
        <v>3</v>
      </c>
      <c r="AD128">
        <f t="shared" si="107"/>
        <v>3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2">
        <f t="shared" si="63"/>
        <v>2</v>
      </c>
      <c r="BC128" s="32">
        <f t="shared" si="64"/>
        <v>6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116</v>
      </c>
      <c r="B129" s="22">
        <f>Database!F129</f>
        <v>46126</v>
      </c>
      <c r="C129">
        <f>IF(Database!H129="cansl",0,Database!L129)</f>
        <v>1</v>
      </c>
      <c r="D129">
        <f>Database!E129-Database!D129</f>
        <v>3</v>
      </c>
      <c r="F129">
        <f>Database!M129</f>
        <v>2</v>
      </c>
      <c r="G129" t="str">
        <f>Database!G129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7"/>
        <v>3</v>
      </c>
      <c r="AE129">
        <f t="shared" si="107"/>
        <v>3</v>
      </c>
      <c r="AF129">
        <f t="shared" si="107"/>
        <v>3</v>
      </c>
      <c r="AG129">
        <f t="shared" si="107"/>
        <v>3</v>
      </c>
      <c r="AH129">
        <f t="shared" si="107"/>
        <v>3</v>
      </c>
      <c r="AI129">
        <f t="shared" si="107"/>
        <v>3</v>
      </c>
      <c r="AJ129">
        <f t="shared" si="107"/>
        <v>3</v>
      </c>
      <c r="AK129">
        <f t="shared" si="107"/>
        <v>3</v>
      </c>
      <c r="AL129">
        <f t="shared" si="107"/>
        <v>3</v>
      </c>
      <c r="AM129">
        <f t="shared" si="107"/>
        <v>3</v>
      </c>
      <c r="AN129">
        <f t="shared" si="107"/>
        <v>3</v>
      </c>
      <c r="AO129">
        <f t="shared" si="107"/>
        <v>3</v>
      </c>
      <c r="AP129">
        <f t="shared" si="107"/>
        <v>3</v>
      </c>
      <c r="AQ129">
        <f t="shared" si="107"/>
        <v>3</v>
      </c>
      <c r="AR129">
        <f t="shared" si="108"/>
        <v>3</v>
      </c>
      <c r="AS129">
        <f t="shared" si="108"/>
        <v>3</v>
      </c>
      <c r="AT129">
        <f t="shared" si="108"/>
        <v>3</v>
      </c>
      <c r="AU129">
        <f t="shared" si="108"/>
        <v>3</v>
      </c>
      <c r="AV129">
        <f t="shared" si="108"/>
        <v>3</v>
      </c>
      <c r="AW129">
        <f t="shared" si="108"/>
        <v>3</v>
      </c>
      <c r="AX129">
        <f t="shared" si="108"/>
        <v>3</v>
      </c>
      <c r="BB129" s="32">
        <f t="shared" si="63"/>
        <v>2</v>
      </c>
      <c r="BC129" s="32">
        <f t="shared" si="64"/>
        <v>6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117</v>
      </c>
      <c r="B130" s="22">
        <f>Database!F130</f>
        <v>46130</v>
      </c>
      <c r="C130">
        <f>IF(Database!H130="cansl",0,Database!L130)</f>
        <v>1</v>
      </c>
      <c r="D130">
        <f>Database!E130-Database!D130</f>
        <v>5</v>
      </c>
      <c r="F130">
        <f>Database!M130</f>
        <v>2</v>
      </c>
      <c r="G130" t="str">
        <f>Database!G130</f>
        <v>DK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5</v>
      </c>
      <c r="AB130">
        <f t="shared" si="106"/>
        <v>5</v>
      </c>
      <c r="AC130">
        <f t="shared" si="106"/>
        <v>5</v>
      </c>
      <c r="AD130">
        <f t="shared" si="107"/>
        <v>5</v>
      </c>
      <c r="AE130">
        <f t="shared" si="107"/>
        <v>5</v>
      </c>
      <c r="AF130">
        <f t="shared" si="107"/>
        <v>5</v>
      </c>
      <c r="AG130">
        <f t="shared" si="107"/>
        <v>5</v>
      </c>
      <c r="AH130">
        <f t="shared" si="107"/>
        <v>5</v>
      </c>
      <c r="AI130">
        <f t="shared" si="107"/>
        <v>5</v>
      </c>
      <c r="AJ130">
        <f t="shared" si="107"/>
        <v>5</v>
      </c>
      <c r="AK130">
        <f t="shared" si="107"/>
        <v>5</v>
      </c>
      <c r="AL130">
        <f t="shared" si="107"/>
        <v>5</v>
      </c>
      <c r="AM130">
        <f t="shared" si="107"/>
        <v>5</v>
      </c>
      <c r="AN130">
        <f t="shared" si="107"/>
        <v>5</v>
      </c>
      <c r="AO130">
        <f t="shared" si="107"/>
        <v>5</v>
      </c>
      <c r="AP130">
        <f t="shared" si="107"/>
        <v>5</v>
      </c>
      <c r="AQ130">
        <f t="shared" si="107"/>
        <v>5</v>
      </c>
      <c r="AR130">
        <f t="shared" si="108"/>
        <v>5</v>
      </c>
      <c r="AS130">
        <f t="shared" si="108"/>
        <v>5</v>
      </c>
      <c r="AT130">
        <f t="shared" si="108"/>
        <v>5</v>
      </c>
      <c r="AU130">
        <f t="shared" si="108"/>
        <v>5</v>
      </c>
      <c r="AV130">
        <f t="shared" si="108"/>
        <v>5</v>
      </c>
      <c r="AW130">
        <f t="shared" si="108"/>
        <v>5</v>
      </c>
      <c r="AX130">
        <f t="shared" si="108"/>
        <v>5</v>
      </c>
      <c r="BB130" s="32">
        <f t="shared" si="63"/>
        <v>2</v>
      </c>
      <c r="BC130" s="32">
        <f t="shared" si="64"/>
        <v>10</v>
      </c>
      <c r="BD130" s="32">
        <f t="shared" si="65"/>
        <v>0</v>
      </c>
      <c r="BE130" s="32">
        <f t="shared" si="66"/>
        <v>0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118</v>
      </c>
      <c r="B131" s="22">
        <f>Database!F131</f>
        <v>46132</v>
      </c>
      <c r="C131">
        <f>IF(Database!H131="cansl",0,Database!L131)</f>
        <v>0</v>
      </c>
      <c r="D131">
        <f>Database!E131-Database!D131</f>
        <v>3</v>
      </c>
      <c r="F131">
        <f>Database!M131</f>
        <v>0</v>
      </c>
      <c r="G131" t="str">
        <f>Database!G131</f>
        <v>DK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0</v>
      </c>
      <c r="BE131" s="32">
        <f t="shared" ref="BE131:BE194" si="113">IF(AND($D131&gt;0,$G131=BE$1),$D131*F131,0)</f>
        <v>0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119</v>
      </c>
      <c r="B132" s="22">
        <f>Database!F132</f>
        <v>46135</v>
      </c>
      <c r="C132">
        <f>IF(Database!H132="cansl",0,Database!L132)</f>
        <v>0</v>
      </c>
      <c r="D132">
        <f>Database!E132-Database!D132</f>
        <v>3</v>
      </c>
      <c r="F132">
        <f>Database!M132</f>
        <v>0</v>
      </c>
      <c r="G132" t="str">
        <f>Database!G132</f>
        <v>it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120</v>
      </c>
      <c r="B133" s="22">
        <f>Database!F133</f>
        <v>46137</v>
      </c>
      <c r="C133">
        <f>IF(Database!H133="cansl",0,Database!L133)</f>
        <v>1</v>
      </c>
      <c r="D133">
        <f>Database!E133-Database!D133</f>
        <v>3</v>
      </c>
      <c r="F133">
        <f>Database!M133</f>
        <v>2</v>
      </c>
      <c r="G133" t="str">
        <f>Database!G133</f>
        <v>DK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3</v>
      </c>
      <c r="AC133">
        <f t="shared" si="106"/>
        <v>3</v>
      </c>
      <c r="AD133">
        <f t="shared" si="107"/>
        <v>3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2</v>
      </c>
      <c r="BC133" s="32">
        <f t="shared" si="111"/>
        <v>6</v>
      </c>
      <c r="BD133" s="32">
        <f t="shared" si="112"/>
        <v>0</v>
      </c>
      <c r="BE133" s="32">
        <f t="shared" si="113"/>
        <v>0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121</v>
      </c>
      <c r="B134" s="22">
        <f>Database!F134</f>
        <v>46137</v>
      </c>
      <c r="C134">
        <f>IF(Database!H134="cansl",0,Database!L134)</f>
        <v>1</v>
      </c>
      <c r="D134">
        <f>Database!E134-Database!D134</f>
        <v>3</v>
      </c>
      <c r="F134">
        <f>Database!M134</f>
        <v>2</v>
      </c>
      <c r="G134" t="str">
        <f>Database!G134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3</v>
      </c>
      <c r="AC134">
        <f t="shared" ref="X134:AG159" si="132">IF($B134&lt;AC$1,$C134*$D134,0)</f>
        <v>3</v>
      </c>
      <c r="AD134">
        <f t="shared" si="132"/>
        <v>3</v>
      </c>
      <c r="AE134">
        <f t="shared" si="132"/>
        <v>3</v>
      </c>
      <c r="AF134">
        <f t="shared" si="132"/>
        <v>3</v>
      </c>
      <c r="AG134">
        <f t="shared" si="132"/>
        <v>3</v>
      </c>
      <c r="AH134">
        <f t="shared" si="107"/>
        <v>3</v>
      </c>
      <c r="AI134">
        <f t="shared" si="107"/>
        <v>3</v>
      </c>
      <c r="AJ134">
        <f t="shared" si="107"/>
        <v>3</v>
      </c>
      <c r="AK134">
        <f t="shared" si="107"/>
        <v>3</v>
      </c>
      <c r="AL134">
        <f t="shared" si="107"/>
        <v>3</v>
      </c>
      <c r="AM134">
        <f t="shared" si="107"/>
        <v>3</v>
      </c>
      <c r="AN134">
        <f t="shared" si="107"/>
        <v>3</v>
      </c>
      <c r="AO134">
        <f t="shared" si="107"/>
        <v>3</v>
      </c>
      <c r="AP134">
        <f t="shared" si="107"/>
        <v>3</v>
      </c>
      <c r="AQ134">
        <f t="shared" si="107"/>
        <v>3</v>
      </c>
      <c r="AR134">
        <f t="shared" si="108"/>
        <v>3</v>
      </c>
      <c r="AS134">
        <f t="shared" si="108"/>
        <v>3</v>
      </c>
      <c r="AT134">
        <f t="shared" si="108"/>
        <v>3</v>
      </c>
      <c r="AU134">
        <f t="shared" si="108"/>
        <v>3</v>
      </c>
      <c r="AV134">
        <f t="shared" si="108"/>
        <v>3</v>
      </c>
      <c r="AW134">
        <f t="shared" si="108"/>
        <v>3</v>
      </c>
      <c r="AX134">
        <f t="shared" si="108"/>
        <v>3</v>
      </c>
      <c r="BB134" s="32">
        <f t="shared" si="110"/>
        <v>2</v>
      </c>
      <c r="BC134" s="32">
        <f t="shared" si="111"/>
        <v>6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122</v>
      </c>
      <c r="B135" s="22">
        <f>Database!F135</f>
        <v>46140</v>
      </c>
      <c r="C135">
        <f>IF(Database!H135="cansl",0,Database!L135)</f>
        <v>1</v>
      </c>
      <c r="D135">
        <f>Database!E135-Database!D135</f>
        <v>2</v>
      </c>
      <c r="F135">
        <f>Database!M135</f>
        <v>2</v>
      </c>
      <c r="G135" t="str">
        <f>Database!G135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2</v>
      </c>
      <c r="AD135">
        <f t="shared" si="132"/>
        <v>2</v>
      </c>
      <c r="AE135">
        <f t="shared" si="132"/>
        <v>2</v>
      </c>
      <c r="AF135">
        <f t="shared" si="132"/>
        <v>2</v>
      </c>
      <c r="AG135">
        <f t="shared" si="132"/>
        <v>2</v>
      </c>
      <c r="AH135">
        <f t="shared" si="107"/>
        <v>2</v>
      </c>
      <c r="AI135">
        <f t="shared" si="107"/>
        <v>2</v>
      </c>
      <c r="AJ135">
        <f t="shared" si="107"/>
        <v>2</v>
      </c>
      <c r="AK135">
        <f t="shared" si="107"/>
        <v>2</v>
      </c>
      <c r="AL135">
        <f t="shared" si="107"/>
        <v>2</v>
      </c>
      <c r="AM135">
        <f t="shared" si="107"/>
        <v>2</v>
      </c>
      <c r="AN135">
        <f t="shared" si="107"/>
        <v>2</v>
      </c>
      <c r="AO135">
        <f t="shared" si="107"/>
        <v>2</v>
      </c>
      <c r="AP135">
        <f t="shared" si="107"/>
        <v>2</v>
      </c>
      <c r="AQ135">
        <f t="shared" si="107"/>
        <v>2</v>
      </c>
      <c r="AR135">
        <f t="shared" si="108"/>
        <v>2</v>
      </c>
      <c r="AS135">
        <f t="shared" si="108"/>
        <v>2</v>
      </c>
      <c r="AT135">
        <f t="shared" si="108"/>
        <v>2</v>
      </c>
      <c r="AU135">
        <f t="shared" si="108"/>
        <v>2</v>
      </c>
      <c r="AV135">
        <f t="shared" si="108"/>
        <v>2</v>
      </c>
      <c r="AW135">
        <f t="shared" si="108"/>
        <v>2</v>
      </c>
      <c r="AX135">
        <f t="shared" si="108"/>
        <v>2</v>
      </c>
      <c r="BB135" s="32">
        <f t="shared" si="110"/>
        <v>2</v>
      </c>
      <c r="BC135" s="32">
        <f t="shared" si="111"/>
        <v>4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123</v>
      </c>
      <c r="B136" s="22">
        <f>Database!F136</f>
        <v>46145</v>
      </c>
      <c r="C136">
        <f>IF(Database!H136="cansl",0,Database!L136)</f>
        <v>1</v>
      </c>
      <c r="D136">
        <f>Database!E136-Database!D136</f>
        <v>7</v>
      </c>
      <c r="F136">
        <f>Database!M136</f>
        <v>2</v>
      </c>
      <c r="G136" t="str">
        <f>Database!G136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7</v>
      </c>
      <c r="AD136">
        <f t="shared" si="132"/>
        <v>7</v>
      </c>
      <c r="AE136">
        <f t="shared" si="132"/>
        <v>7</v>
      </c>
      <c r="AF136">
        <f t="shared" si="132"/>
        <v>7</v>
      </c>
      <c r="AG136">
        <f t="shared" si="132"/>
        <v>7</v>
      </c>
      <c r="AH136">
        <f t="shared" si="107"/>
        <v>7</v>
      </c>
      <c r="AI136">
        <f t="shared" si="107"/>
        <v>7</v>
      </c>
      <c r="AJ136">
        <f t="shared" si="107"/>
        <v>7</v>
      </c>
      <c r="AK136">
        <f t="shared" si="107"/>
        <v>7</v>
      </c>
      <c r="AL136">
        <f t="shared" si="107"/>
        <v>7</v>
      </c>
      <c r="AM136">
        <f t="shared" si="107"/>
        <v>7</v>
      </c>
      <c r="AN136">
        <f t="shared" si="107"/>
        <v>7</v>
      </c>
      <c r="AO136">
        <f t="shared" si="107"/>
        <v>7</v>
      </c>
      <c r="AP136">
        <f t="shared" si="107"/>
        <v>7</v>
      </c>
      <c r="AQ136">
        <f t="shared" si="107"/>
        <v>7</v>
      </c>
      <c r="AR136">
        <f t="shared" si="108"/>
        <v>7</v>
      </c>
      <c r="AS136">
        <f t="shared" si="108"/>
        <v>7</v>
      </c>
      <c r="AT136">
        <f t="shared" si="108"/>
        <v>7</v>
      </c>
      <c r="AU136">
        <f t="shared" si="108"/>
        <v>7</v>
      </c>
      <c r="AV136">
        <f t="shared" si="108"/>
        <v>7</v>
      </c>
      <c r="AW136">
        <f t="shared" si="108"/>
        <v>7</v>
      </c>
      <c r="AX136">
        <f t="shared" si="108"/>
        <v>7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14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124</v>
      </c>
      <c r="B137" s="22">
        <f>Database!F137</f>
        <v>46146</v>
      </c>
      <c r="C137">
        <f>IF(Database!H137="cansl",0,Database!L137)</f>
        <v>1</v>
      </c>
      <c r="D137">
        <f>Database!E137-Database!D137</f>
        <v>5</v>
      </c>
      <c r="F137">
        <f>Database!M137</f>
        <v>1</v>
      </c>
      <c r="G137" t="str">
        <f>Database!G137</f>
        <v>D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5</v>
      </c>
      <c r="AE137">
        <f t="shared" si="132"/>
        <v>5</v>
      </c>
      <c r="AF137">
        <f t="shared" si="132"/>
        <v>5</v>
      </c>
      <c r="AG137">
        <f t="shared" si="132"/>
        <v>5</v>
      </c>
      <c r="AH137">
        <f t="shared" si="107"/>
        <v>5</v>
      </c>
      <c r="AI137">
        <f t="shared" si="107"/>
        <v>5</v>
      </c>
      <c r="AJ137">
        <f t="shared" si="107"/>
        <v>5</v>
      </c>
      <c r="AK137">
        <f t="shared" si="107"/>
        <v>5</v>
      </c>
      <c r="AL137">
        <f t="shared" si="107"/>
        <v>5</v>
      </c>
      <c r="AM137">
        <f t="shared" si="107"/>
        <v>5</v>
      </c>
      <c r="AN137">
        <f t="shared" si="107"/>
        <v>5</v>
      </c>
      <c r="AO137">
        <f t="shared" si="107"/>
        <v>5</v>
      </c>
      <c r="AP137">
        <f t="shared" si="107"/>
        <v>5</v>
      </c>
      <c r="AQ137">
        <f t="shared" si="107"/>
        <v>5</v>
      </c>
      <c r="AR137">
        <f t="shared" si="108"/>
        <v>5</v>
      </c>
      <c r="AS137">
        <f t="shared" si="108"/>
        <v>5</v>
      </c>
      <c r="AT137">
        <f t="shared" si="108"/>
        <v>5</v>
      </c>
      <c r="AU137">
        <f t="shared" si="108"/>
        <v>5</v>
      </c>
      <c r="AV137">
        <f t="shared" si="108"/>
        <v>5</v>
      </c>
      <c r="AW137">
        <f t="shared" si="108"/>
        <v>5</v>
      </c>
      <c r="AX137">
        <f t="shared" si="108"/>
        <v>5</v>
      </c>
      <c r="BB137" s="32">
        <f t="shared" si="110"/>
        <v>0</v>
      </c>
      <c r="BC137" s="32">
        <f t="shared" si="111"/>
        <v>0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1</v>
      </c>
      <c r="BI137" s="32">
        <f t="shared" si="117"/>
        <v>5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125</v>
      </c>
      <c r="B138" s="22">
        <f>Database!F138</f>
        <v>46149</v>
      </c>
      <c r="C138">
        <f>IF(Database!H138="cansl",0,Database!L138)</f>
        <v>1</v>
      </c>
      <c r="D138">
        <f>Database!E138-Database!D138</f>
        <v>2</v>
      </c>
      <c r="F138">
        <f>Database!M138</f>
        <v>2</v>
      </c>
      <c r="G138" t="str">
        <f>Database!G138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2</v>
      </c>
      <c r="AE138">
        <f t="shared" si="132"/>
        <v>2</v>
      </c>
      <c r="AF138">
        <f t="shared" si="132"/>
        <v>2</v>
      </c>
      <c r="AG138">
        <f t="shared" si="132"/>
        <v>2</v>
      </c>
      <c r="AH138">
        <f t="shared" si="107"/>
        <v>2</v>
      </c>
      <c r="AI138">
        <f t="shared" si="107"/>
        <v>2</v>
      </c>
      <c r="AJ138">
        <f t="shared" si="107"/>
        <v>2</v>
      </c>
      <c r="AK138">
        <f t="shared" ref="AH138:AQ163" si="134">IF($B138&lt;AK$1,$C138*$D138,0)</f>
        <v>2</v>
      </c>
      <c r="AL138">
        <f t="shared" si="134"/>
        <v>2</v>
      </c>
      <c r="AM138">
        <f t="shared" si="134"/>
        <v>2</v>
      </c>
      <c r="AN138">
        <f t="shared" si="134"/>
        <v>2</v>
      </c>
      <c r="AO138">
        <f t="shared" si="134"/>
        <v>2</v>
      </c>
      <c r="AP138">
        <f t="shared" si="134"/>
        <v>2</v>
      </c>
      <c r="AQ138">
        <f t="shared" si="134"/>
        <v>2</v>
      </c>
      <c r="AR138">
        <f t="shared" si="108"/>
        <v>2</v>
      </c>
      <c r="AS138">
        <f t="shared" si="108"/>
        <v>2</v>
      </c>
      <c r="AT138">
        <f t="shared" si="108"/>
        <v>2</v>
      </c>
      <c r="AU138">
        <f t="shared" si="108"/>
        <v>2</v>
      </c>
      <c r="AV138">
        <f t="shared" si="108"/>
        <v>2</v>
      </c>
      <c r="AW138">
        <f t="shared" si="108"/>
        <v>2</v>
      </c>
      <c r="AX138">
        <f t="shared" si="108"/>
        <v>2</v>
      </c>
      <c r="BB138" s="32">
        <f t="shared" si="110"/>
        <v>2</v>
      </c>
      <c r="BC138" s="32">
        <f t="shared" si="111"/>
        <v>4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126</v>
      </c>
      <c r="B139" s="22">
        <f>Database!F139</f>
        <v>46154</v>
      </c>
      <c r="C139">
        <f>IF(Database!H139="cansl",0,Database!L139)</f>
        <v>2</v>
      </c>
      <c r="D139">
        <f>Database!E139-Database!D139</f>
        <v>4</v>
      </c>
      <c r="F139">
        <f>Database!M139</f>
        <v>3</v>
      </c>
      <c r="G139" t="str">
        <f>Database!G139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8</v>
      </c>
      <c r="AF139">
        <f t="shared" si="132"/>
        <v>8</v>
      </c>
      <c r="AG139">
        <f t="shared" si="132"/>
        <v>8</v>
      </c>
      <c r="AH139">
        <f t="shared" si="134"/>
        <v>8</v>
      </c>
      <c r="AI139">
        <f t="shared" si="134"/>
        <v>8</v>
      </c>
      <c r="AJ139">
        <f t="shared" si="134"/>
        <v>8</v>
      </c>
      <c r="AK139">
        <f t="shared" si="134"/>
        <v>8</v>
      </c>
      <c r="AL139">
        <f t="shared" si="134"/>
        <v>8</v>
      </c>
      <c r="AM139">
        <f t="shared" si="134"/>
        <v>8</v>
      </c>
      <c r="AN139">
        <f t="shared" si="134"/>
        <v>8</v>
      </c>
      <c r="AO139">
        <f t="shared" si="134"/>
        <v>8</v>
      </c>
      <c r="AP139">
        <f t="shared" si="134"/>
        <v>8</v>
      </c>
      <c r="AQ139">
        <f t="shared" si="134"/>
        <v>8</v>
      </c>
      <c r="AR139">
        <f t="shared" si="108"/>
        <v>8</v>
      </c>
      <c r="AS139">
        <f t="shared" si="108"/>
        <v>8</v>
      </c>
      <c r="AT139">
        <f t="shared" si="108"/>
        <v>8</v>
      </c>
      <c r="AU139">
        <f t="shared" si="108"/>
        <v>8</v>
      </c>
      <c r="AV139">
        <f t="shared" si="108"/>
        <v>8</v>
      </c>
      <c r="AW139">
        <f t="shared" si="108"/>
        <v>8</v>
      </c>
      <c r="AX139">
        <f t="shared" si="108"/>
        <v>8</v>
      </c>
      <c r="BB139" s="32">
        <f t="shared" si="110"/>
        <v>3</v>
      </c>
      <c r="BC139" s="32">
        <f t="shared" si="111"/>
        <v>12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126</v>
      </c>
      <c r="B140" s="22">
        <f>Database!F140</f>
        <v>0</v>
      </c>
      <c r="C140">
        <f>IF(Database!H140="cansl",0,Database!L140)</f>
        <v>0</v>
      </c>
      <c r="D140">
        <f>Database!E140-Database!D140</f>
        <v>0</v>
      </c>
      <c r="F140">
        <f>Database!M140</f>
        <v>0</v>
      </c>
      <c r="G140">
        <f>Database!G140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2">
        <f t="shared" si="110"/>
        <v>0</v>
      </c>
      <c r="BC140" s="32">
        <f t="shared" si="111"/>
        <v>0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127</v>
      </c>
      <c r="B141" s="22">
        <f>Database!F141</f>
        <v>46153</v>
      </c>
      <c r="C141">
        <f>IF(Database!H141="cansl",0,Database!L141)</f>
        <v>0</v>
      </c>
      <c r="D141">
        <f>Database!E141-Database!D141</f>
        <v>3</v>
      </c>
      <c r="F141">
        <f>Database!M141</f>
        <v>0</v>
      </c>
      <c r="G141" t="str">
        <f>Database!G141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2">
        <f t="shared" si="110"/>
        <v>0</v>
      </c>
      <c r="BC141" s="32">
        <f t="shared" si="111"/>
        <v>0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128</v>
      </c>
      <c r="B142" s="22">
        <f>Database!F142</f>
        <v>46154</v>
      </c>
      <c r="C142">
        <f>IF(Database!H142="cansl",0,Database!L142)</f>
        <v>1</v>
      </c>
      <c r="D142">
        <f>Database!E142-Database!D142</f>
        <v>4</v>
      </c>
      <c r="F142">
        <f>Database!M142</f>
        <v>2</v>
      </c>
      <c r="G142" t="str">
        <f>Database!G142</f>
        <v>DK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4</v>
      </c>
      <c r="AF142">
        <f t="shared" si="132"/>
        <v>4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2</v>
      </c>
      <c r="BC142" s="32">
        <f t="shared" si="111"/>
        <v>8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0</v>
      </c>
      <c r="BK142" s="32">
        <f t="shared" si="119"/>
        <v>0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129</v>
      </c>
      <c r="B143" s="22">
        <f>Database!F143</f>
        <v>46154</v>
      </c>
      <c r="C143">
        <f>IF(Database!H143="cansl",0,Database!L143)</f>
        <v>1</v>
      </c>
      <c r="D143">
        <f>Database!E143-Database!D143</f>
        <v>3</v>
      </c>
      <c r="F143">
        <f>Database!M143</f>
        <v>1</v>
      </c>
      <c r="G143" t="str">
        <f>Database!G143</f>
        <v>S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3</v>
      </c>
      <c r="AF143">
        <f t="shared" si="132"/>
        <v>3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0</v>
      </c>
      <c r="BC143" s="32">
        <f t="shared" si="111"/>
        <v>0</v>
      </c>
      <c r="BD143" s="32">
        <f t="shared" si="112"/>
        <v>1</v>
      </c>
      <c r="BE143" s="32">
        <f t="shared" si="113"/>
        <v>3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130</v>
      </c>
      <c r="B144" s="22">
        <f>Database!F144</f>
        <v>46159</v>
      </c>
      <c r="C144">
        <f>IF(Database!H144="cansl",0,Database!L144)</f>
        <v>1</v>
      </c>
      <c r="D144">
        <f>Database!E144-Database!D144</f>
        <v>3</v>
      </c>
      <c r="F144">
        <f>Database!M144</f>
        <v>1</v>
      </c>
      <c r="G144" t="str">
        <f>Database!G144</f>
        <v>S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3</v>
      </c>
      <c r="AF144">
        <f t="shared" si="132"/>
        <v>3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0</v>
      </c>
      <c r="BC144" s="32">
        <f t="shared" si="111"/>
        <v>0</v>
      </c>
      <c r="BD144" s="32">
        <f t="shared" si="112"/>
        <v>1</v>
      </c>
      <c r="BE144" s="32">
        <f t="shared" si="113"/>
        <v>3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131</v>
      </c>
      <c r="B145" s="22">
        <f>Database!F145</f>
        <v>46157</v>
      </c>
      <c r="C145">
        <f>IF(Database!H145="cansl",0,Database!L145)</f>
        <v>0</v>
      </c>
      <c r="D145">
        <f>Database!E145-Database!D145</f>
        <v>3</v>
      </c>
      <c r="F145">
        <f>Database!M145</f>
        <v>0</v>
      </c>
      <c r="G145" t="str">
        <f>Database!G145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132</v>
      </c>
      <c r="B146" s="22">
        <f>Database!F146</f>
        <v>46159</v>
      </c>
      <c r="C146">
        <f>IF(Database!H146="cansl",0,Database!L146)</f>
        <v>0</v>
      </c>
      <c r="D146">
        <f>Database!E146-Database!D146</f>
        <v>3</v>
      </c>
      <c r="F146">
        <f>Database!M146</f>
        <v>0</v>
      </c>
      <c r="G146" t="str">
        <f>Database!G146</f>
        <v>S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133</v>
      </c>
      <c r="B147" s="22">
        <f>Database!F147</f>
        <v>46160</v>
      </c>
      <c r="C147">
        <f>IF(Database!H147="cansl",0,Database!L147)</f>
        <v>1</v>
      </c>
      <c r="D147">
        <f>Database!E147-Database!D147</f>
        <v>2</v>
      </c>
      <c r="F147">
        <f>Database!M147</f>
        <v>2</v>
      </c>
      <c r="G147" t="str">
        <f>Database!G147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2</v>
      </c>
      <c r="AG147">
        <f t="shared" si="132"/>
        <v>2</v>
      </c>
      <c r="AH147">
        <f t="shared" si="134"/>
        <v>2</v>
      </c>
      <c r="AI147">
        <f t="shared" si="134"/>
        <v>2</v>
      </c>
      <c r="AJ147">
        <f t="shared" si="134"/>
        <v>2</v>
      </c>
      <c r="AK147">
        <f t="shared" si="134"/>
        <v>2</v>
      </c>
      <c r="AL147">
        <f t="shared" si="134"/>
        <v>2</v>
      </c>
      <c r="AM147">
        <f t="shared" si="134"/>
        <v>2</v>
      </c>
      <c r="AN147">
        <f t="shared" si="134"/>
        <v>2</v>
      </c>
      <c r="AO147">
        <f t="shared" si="134"/>
        <v>2</v>
      </c>
      <c r="AP147">
        <f t="shared" si="134"/>
        <v>2</v>
      </c>
      <c r="AQ147">
        <f t="shared" si="134"/>
        <v>2</v>
      </c>
      <c r="AR147">
        <f t="shared" si="108"/>
        <v>2</v>
      </c>
      <c r="AS147">
        <f t="shared" si="108"/>
        <v>2</v>
      </c>
      <c r="AT147">
        <f t="shared" si="108"/>
        <v>2</v>
      </c>
      <c r="AU147">
        <f t="shared" si="108"/>
        <v>2</v>
      </c>
      <c r="AV147">
        <f t="shared" si="108"/>
        <v>2</v>
      </c>
      <c r="AW147">
        <f t="shared" si="108"/>
        <v>2</v>
      </c>
      <c r="AX147">
        <f t="shared" si="108"/>
        <v>2</v>
      </c>
      <c r="BB147" s="32">
        <f t="shared" si="110"/>
        <v>2</v>
      </c>
      <c r="BC147" s="32">
        <f t="shared" si="111"/>
        <v>4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134</v>
      </c>
      <c r="B148" s="22">
        <f>Database!F148</f>
        <v>46160</v>
      </c>
      <c r="C148">
        <f>IF(Database!H148="cansl",0,Database!L148)</f>
        <v>0</v>
      </c>
      <c r="D148">
        <f>Database!E148-Database!D148</f>
        <v>3</v>
      </c>
      <c r="F148">
        <f>Database!M148</f>
        <v>0</v>
      </c>
      <c r="G148" t="str">
        <f>Database!G148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135</v>
      </c>
      <c r="B149" s="22">
        <f>Database!F149</f>
        <v>46162</v>
      </c>
      <c r="C149">
        <f>IF(Database!H149="cansl",0,Database!L149)</f>
        <v>1</v>
      </c>
      <c r="D149">
        <f>Database!E149-Database!D149</f>
        <v>4</v>
      </c>
      <c r="F149">
        <f>Database!M149</f>
        <v>2</v>
      </c>
      <c r="G149" t="str">
        <f>Database!G149</f>
        <v>D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4</v>
      </c>
      <c r="AG149">
        <f t="shared" si="132"/>
        <v>4</v>
      </c>
      <c r="AH149">
        <f t="shared" si="134"/>
        <v>4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2</v>
      </c>
      <c r="BI149" s="32">
        <f t="shared" si="117"/>
        <v>8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136</v>
      </c>
      <c r="B150" s="22">
        <f>Database!F150</f>
        <v>46163</v>
      </c>
      <c r="C150">
        <f>IF(Database!H150="cansl",0,Database!L150)</f>
        <v>1</v>
      </c>
      <c r="D150">
        <f>Database!E150-Database!D150</f>
        <v>5</v>
      </c>
      <c r="F150">
        <f>Database!M150</f>
        <v>2</v>
      </c>
      <c r="G150" t="str">
        <f>Database!G150</f>
        <v>DK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5</v>
      </c>
      <c r="AG150">
        <f t="shared" si="132"/>
        <v>5</v>
      </c>
      <c r="AH150">
        <f t="shared" si="134"/>
        <v>5</v>
      </c>
      <c r="AI150">
        <f t="shared" si="134"/>
        <v>5</v>
      </c>
      <c r="AJ150">
        <f t="shared" si="134"/>
        <v>5</v>
      </c>
      <c r="AK150">
        <f t="shared" si="134"/>
        <v>5</v>
      </c>
      <c r="AL150">
        <f t="shared" si="134"/>
        <v>5</v>
      </c>
      <c r="AM150">
        <f t="shared" si="134"/>
        <v>5</v>
      </c>
      <c r="AN150">
        <f t="shared" si="134"/>
        <v>5</v>
      </c>
      <c r="AO150">
        <f t="shared" si="134"/>
        <v>5</v>
      </c>
      <c r="AP150">
        <f t="shared" si="134"/>
        <v>5</v>
      </c>
      <c r="AQ150">
        <f t="shared" si="134"/>
        <v>5</v>
      </c>
      <c r="AR150">
        <f t="shared" si="108"/>
        <v>5</v>
      </c>
      <c r="AS150">
        <f t="shared" si="108"/>
        <v>5</v>
      </c>
      <c r="AT150">
        <f t="shared" si="108"/>
        <v>5</v>
      </c>
      <c r="AU150">
        <f t="shared" si="108"/>
        <v>5</v>
      </c>
      <c r="AV150">
        <f t="shared" si="108"/>
        <v>5</v>
      </c>
      <c r="AW150">
        <f t="shared" si="108"/>
        <v>5</v>
      </c>
      <c r="AX150">
        <f t="shared" si="108"/>
        <v>5</v>
      </c>
      <c r="BB150" s="32">
        <f t="shared" si="110"/>
        <v>2</v>
      </c>
      <c r="BC150" s="32">
        <f t="shared" si="111"/>
        <v>10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137</v>
      </c>
      <c r="B151" s="22">
        <f>Database!F151</f>
        <v>46166</v>
      </c>
      <c r="C151">
        <f>IF(Database!H151="cansl",0,Database!L151)</f>
        <v>1</v>
      </c>
      <c r="D151">
        <f>Database!E151-Database!D151</f>
        <v>6</v>
      </c>
      <c r="F151">
        <f>Database!M151</f>
        <v>2</v>
      </c>
      <c r="G151" t="str">
        <f>Database!G151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6</v>
      </c>
      <c r="AG151">
        <f t="shared" si="132"/>
        <v>6</v>
      </c>
      <c r="AH151">
        <f t="shared" si="134"/>
        <v>6</v>
      </c>
      <c r="AI151">
        <f t="shared" si="134"/>
        <v>6</v>
      </c>
      <c r="AJ151">
        <f t="shared" si="134"/>
        <v>6</v>
      </c>
      <c r="AK151">
        <f t="shared" si="134"/>
        <v>6</v>
      </c>
      <c r="AL151">
        <f t="shared" si="134"/>
        <v>6</v>
      </c>
      <c r="AM151">
        <f t="shared" si="134"/>
        <v>6</v>
      </c>
      <c r="AN151">
        <f t="shared" si="134"/>
        <v>6</v>
      </c>
      <c r="AO151">
        <f t="shared" si="134"/>
        <v>6</v>
      </c>
      <c r="AP151">
        <f t="shared" si="134"/>
        <v>6</v>
      </c>
      <c r="AQ151">
        <f t="shared" si="134"/>
        <v>6</v>
      </c>
      <c r="AR151">
        <f t="shared" si="108"/>
        <v>6</v>
      </c>
      <c r="AS151">
        <f t="shared" si="108"/>
        <v>6</v>
      </c>
      <c r="AT151">
        <f t="shared" si="108"/>
        <v>6</v>
      </c>
      <c r="AU151">
        <f t="shared" si="108"/>
        <v>6</v>
      </c>
      <c r="AV151">
        <f t="shared" si="108"/>
        <v>6</v>
      </c>
      <c r="AW151">
        <f t="shared" si="108"/>
        <v>6</v>
      </c>
      <c r="AX151">
        <f t="shared" si="108"/>
        <v>6</v>
      </c>
      <c r="BB151" s="32">
        <f t="shared" si="110"/>
        <v>2</v>
      </c>
      <c r="BC151" s="32">
        <f t="shared" si="111"/>
        <v>12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138</v>
      </c>
      <c r="B152" s="22">
        <f>Database!F152</f>
        <v>46168</v>
      </c>
      <c r="C152">
        <f>IF(Database!H152="cansl",0,Database!L152)</f>
        <v>1</v>
      </c>
      <c r="D152">
        <f>Database!E152-Database!D152</f>
        <v>2</v>
      </c>
      <c r="F152">
        <f>Database!M152</f>
        <v>2</v>
      </c>
      <c r="G152" t="str">
        <f>Database!G152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2</v>
      </c>
      <c r="AH152">
        <f t="shared" si="134"/>
        <v>2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2</v>
      </c>
      <c r="BC152" s="32">
        <f t="shared" si="111"/>
        <v>4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139</v>
      </c>
      <c r="B153" s="22">
        <f>Database!F153</f>
        <v>46168</v>
      </c>
      <c r="C153">
        <f>IF(Database!H153="cansl",0,Database!L153)</f>
        <v>1</v>
      </c>
      <c r="D153">
        <f>Database!E153-Database!D153</f>
        <v>4</v>
      </c>
      <c r="F153">
        <f>Database!M153</f>
        <v>2</v>
      </c>
      <c r="G153" t="str">
        <f>Database!G153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4</v>
      </c>
      <c r="AH153">
        <f t="shared" si="134"/>
        <v>4</v>
      </c>
      <c r="AI153">
        <f t="shared" si="134"/>
        <v>4</v>
      </c>
      <c r="AJ153">
        <f t="shared" si="134"/>
        <v>4</v>
      </c>
      <c r="AK153">
        <f t="shared" si="134"/>
        <v>4</v>
      </c>
      <c r="AL153">
        <f t="shared" si="134"/>
        <v>4</v>
      </c>
      <c r="AM153">
        <f t="shared" si="134"/>
        <v>4</v>
      </c>
      <c r="AN153">
        <f t="shared" si="134"/>
        <v>4</v>
      </c>
      <c r="AO153">
        <f t="shared" si="134"/>
        <v>4</v>
      </c>
      <c r="AP153">
        <f t="shared" si="134"/>
        <v>4</v>
      </c>
      <c r="AQ153">
        <f t="shared" si="134"/>
        <v>4</v>
      </c>
      <c r="AR153">
        <f t="shared" si="108"/>
        <v>4</v>
      </c>
      <c r="AS153">
        <f t="shared" si="108"/>
        <v>4</v>
      </c>
      <c r="AT153">
        <f t="shared" si="108"/>
        <v>4</v>
      </c>
      <c r="AU153">
        <f t="shared" si="108"/>
        <v>4</v>
      </c>
      <c r="AV153">
        <f t="shared" si="108"/>
        <v>4</v>
      </c>
      <c r="AW153">
        <f t="shared" si="108"/>
        <v>4</v>
      </c>
      <c r="AX153">
        <f t="shared" si="108"/>
        <v>4</v>
      </c>
      <c r="BB153" s="32">
        <f t="shared" si="110"/>
        <v>2</v>
      </c>
      <c r="BC153" s="32">
        <f t="shared" si="111"/>
        <v>8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140</v>
      </c>
      <c r="B154" s="22">
        <f>Database!F154</f>
        <v>46170</v>
      </c>
      <c r="C154">
        <f>IF(Database!H154="cansl",0,Database!L154)</f>
        <v>1</v>
      </c>
      <c r="D154">
        <f>Database!E154-Database!D154</f>
        <v>2</v>
      </c>
      <c r="F154">
        <f>Database!M154</f>
        <v>1</v>
      </c>
      <c r="G154" t="str">
        <f>Database!G154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2</v>
      </c>
      <c r="AH154">
        <f t="shared" si="134"/>
        <v>2</v>
      </c>
      <c r="AI154">
        <f t="shared" si="134"/>
        <v>2</v>
      </c>
      <c r="AJ154">
        <f t="shared" si="134"/>
        <v>2</v>
      </c>
      <c r="AK154">
        <f t="shared" si="134"/>
        <v>2</v>
      </c>
      <c r="AL154">
        <f t="shared" si="134"/>
        <v>2</v>
      </c>
      <c r="AM154">
        <f t="shared" si="134"/>
        <v>2</v>
      </c>
      <c r="AN154">
        <f t="shared" si="134"/>
        <v>2</v>
      </c>
      <c r="AO154">
        <f t="shared" si="134"/>
        <v>2</v>
      </c>
      <c r="AP154">
        <f t="shared" si="134"/>
        <v>2</v>
      </c>
      <c r="AQ154">
        <f t="shared" si="134"/>
        <v>2</v>
      </c>
      <c r="AR154">
        <f t="shared" si="108"/>
        <v>2</v>
      </c>
      <c r="AS154">
        <f t="shared" si="108"/>
        <v>2</v>
      </c>
      <c r="AT154">
        <f t="shared" si="108"/>
        <v>2</v>
      </c>
      <c r="AU154">
        <f t="shared" si="108"/>
        <v>2</v>
      </c>
      <c r="AV154">
        <f t="shared" si="108"/>
        <v>2</v>
      </c>
      <c r="AW154">
        <f t="shared" si="108"/>
        <v>2</v>
      </c>
      <c r="AX154">
        <f t="shared" si="108"/>
        <v>2</v>
      </c>
      <c r="BB154" s="32">
        <f t="shared" si="110"/>
        <v>1</v>
      </c>
      <c r="BC154" s="32">
        <f t="shared" si="111"/>
        <v>2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141</v>
      </c>
      <c r="B155" s="22">
        <f>Database!F155</f>
        <v>46171</v>
      </c>
      <c r="C155">
        <f>IF(Database!H155="cansl",0,Database!L155)</f>
        <v>1</v>
      </c>
      <c r="D155">
        <f>Database!E155-Database!D155</f>
        <v>4</v>
      </c>
      <c r="F155">
        <f>Database!M155</f>
        <v>2</v>
      </c>
      <c r="G155" t="str">
        <f>Database!G155</f>
        <v>NL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4</v>
      </c>
      <c r="AH155">
        <f t="shared" si="134"/>
        <v>4</v>
      </c>
      <c r="AI155">
        <f t="shared" si="134"/>
        <v>4</v>
      </c>
      <c r="AJ155">
        <f t="shared" si="134"/>
        <v>4</v>
      </c>
      <c r="AK155">
        <f t="shared" si="134"/>
        <v>4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2</v>
      </c>
      <c r="BK155" s="32">
        <f t="shared" si="119"/>
        <v>8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142</v>
      </c>
      <c r="B156" s="22">
        <f>Database!F156</f>
        <v>46172</v>
      </c>
      <c r="C156">
        <f>IF(Database!H156="cansl",0,Database!L156)</f>
        <v>0</v>
      </c>
      <c r="D156">
        <f>Database!E156-Database!D156</f>
        <v>3</v>
      </c>
      <c r="F156">
        <f>Database!M156</f>
        <v>0</v>
      </c>
      <c r="G156" t="str">
        <f>Database!G156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143</v>
      </c>
      <c r="B157" s="22">
        <f>Database!F157</f>
        <v>46172</v>
      </c>
      <c r="C157">
        <f>IF(Database!H157="cansl",0,Database!L157)</f>
        <v>1</v>
      </c>
      <c r="D157">
        <f>Database!E157-Database!D157</f>
        <v>3</v>
      </c>
      <c r="F157">
        <f>Database!M157</f>
        <v>2</v>
      </c>
      <c r="G157" t="str">
        <f>Database!G157</f>
        <v>DK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3</v>
      </c>
      <c r="AH157">
        <f t="shared" si="134"/>
        <v>3</v>
      </c>
      <c r="AI157">
        <f t="shared" si="134"/>
        <v>3</v>
      </c>
      <c r="AJ157">
        <f t="shared" si="134"/>
        <v>3</v>
      </c>
      <c r="AK157">
        <f t="shared" si="134"/>
        <v>3</v>
      </c>
      <c r="AL157">
        <f t="shared" si="134"/>
        <v>3</v>
      </c>
      <c r="AM157">
        <f t="shared" si="134"/>
        <v>3</v>
      </c>
      <c r="AN157">
        <f t="shared" si="134"/>
        <v>3</v>
      </c>
      <c r="AO157">
        <f t="shared" si="134"/>
        <v>3</v>
      </c>
      <c r="AP157">
        <f t="shared" si="134"/>
        <v>3</v>
      </c>
      <c r="AQ157">
        <f t="shared" si="134"/>
        <v>3</v>
      </c>
      <c r="AR157">
        <f t="shared" si="136"/>
        <v>3</v>
      </c>
      <c r="AS157">
        <f t="shared" si="136"/>
        <v>3</v>
      </c>
      <c r="AT157">
        <f t="shared" si="136"/>
        <v>3</v>
      </c>
      <c r="AU157">
        <f t="shared" si="136"/>
        <v>3</v>
      </c>
      <c r="AV157">
        <f t="shared" si="136"/>
        <v>3</v>
      </c>
      <c r="AW157">
        <f t="shared" si="136"/>
        <v>3</v>
      </c>
      <c r="AX157">
        <f t="shared" si="136"/>
        <v>3</v>
      </c>
      <c r="BB157" s="32">
        <f t="shared" si="110"/>
        <v>2</v>
      </c>
      <c r="BC157" s="32">
        <f t="shared" si="111"/>
        <v>6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144</v>
      </c>
      <c r="B158" s="22">
        <f>Database!F158</f>
        <v>46182</v>
      </c>
      <c r="C158">
        <f>IF(Database!H158="cansl",0,Database!L158)</f>
        <v>1</v>
      </c>
      <c r="D158">
        <f>Database!E158-Database!D158</f>
        <v>5</v>
      </c>
      <c r="F158">
        <f>Database!M158</f>
        <v>2</v>
      </c>
      <c r="G158" t="str">
        <f>Database!G158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5</v>
      </c>
      <c r="AJ158">
        <f t="shared" si="134"/>
        <v>5</v>
      </c>
      <c r="AK158">
        <f t="shared" si="134"/>
        <v>5</v>
      </c>
      <c r="AL158">
        <f t="shared" si="134"/>
        <v>5</v>
      </c>
      <c r="AM158">
        <f t="shared" si="134"/>
        <v>5</v>
      </c>
      <c r="AN158">
        <f t="shared" si="134"/>
        <v>5</v>
      </c>
      <c r="AO158">
        <f t="shared" si="134"/>
        <v>5</v>
      </c>
      <c r="AP158">
        <f t="shared" si="134"/>
        <v>5</v>
      </c>
      <c r="AQ158">
        <f t="shared" si="134"/>
        <v>5</v>
      </c>
      <c r="AR158">
        <f t="shared" si="136"/>
        <v>5</v>
      </c>
      <c r="AS158">
        <f t="shared" si="136"/>
        <v>5</v>
      </c>
      <c r="AT158">
        <f t="shared" si="136"/>
        <v>5</v>
      </c>
      <c r="AU158">
        <f t="shared" si="136"/>
        <v>5</v>
      </c>
      <c r="AV158">
        <f t="shared" si="136"/>
        <v>5</v>
      </c>
      <c r="AW158">
        <f t="shared" si="136"/>
        <v>5</v>
      </c>
      <c r="AX158">
        <f t="shared" si="136"/>
        <v>5</v>
      </c>
      <c r="BB158" s="32">
        <f t="shared" si="110"/>
        <v>2</v>
      </c>
      <c r="BC158" s="32">
        <f t="shared" si="111"/>
        <v>10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145</v>
      </c>
      <c r="B159" s="22">
        <f>Database!F159</f>
        <v>46177</v>
      </c>
      <c r="C159">
        <f>IF(Database!H159="cansl",0,Database!L159)</f>
        <v>1</v>
      </c>
      <c r="D159">
        <f>Database!E159-Database!D159</f>
        <v>5</v>
      </c>
      <c r="F159">
        <f>Database!M159</f>
        <v>2</v>
      </c>
      <c r="G159" t="str">
        <f>Database!G159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5</v>
      </c>
      <c r="AI159">
        <f t="shared" si="134"/>
        <v>5</v>
      </c>
      <c r="AJ159">
        <f t="shared" si="134"/>
        <v>5</v>
      </c>
      <c r="AK159">
        <f t="shared" si="134"/>
        <v>5</v>
      </c>
      <c r="AL159">
        <f t="shared" si="134"/>
        <v>5</v>
      </c>
      <c r="AM159">
        <f t="shared" si="134"/>
        <v>5</v>
      </c>
      <c r="AN159">
        <f t="shared" si="134"/>
        <v>5</v>
      </c>
      <c r="AO159">
        <f t="shared" si="134"/>
        <v>5</v>
      </c>
      <c r="AP159">
        <f t="shared" si="134"/>
        <v>5</v>
      </c>
      <c r="AQ159">
        <f t="shared" si="134"/>
        <v>5</v>
      </c>
      <c r="AR159">
        <f t="shared" si="136"/>
        <v>5</v>
      </c>
      <c r="AS159">
        <f t="shared" si="136"/>
        <v>5</v>
      </c>
      <c r="AT159">
        <f t="shared" si="136"/>
        <v>5</v>
      </c>
      <c r="AU159">
        <f t="shared" si="136"/>
        <v>5</v>
      </c>
      <c r="AV159">
        <f t="shared" si="136"/>
        <v>5</v>
      </c>
      <c r="AW159">
        <f t="shared" si="136"/>
        <v>5</v>
      </c>
      <c r="AX159">
        <f t="shared" si="136"/>
        <v>5</v>
      </c>
      <c r="BB159" s="32">
        <f t="shared" si="110"/>
        <v>2</v>
      </c>
      <c r="BC159" s="32">
        <f t="shared" si="111"/>
        <v>10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146</v>
      </c>
      <c r="B160" s="22">
        <f>Database!F160</f>
        <v>46177</v>
      </c>
      <c r="C160">
        <f>IF(Database!H160="cansl",0,Database!L160)</f>
        <v>1</v>
      </c>
      <c r="D160">
        <f>Database!E160-Database!D160</f>
        <v>3</v>
      </c>
      <c r="F160">
        <f>Database!M160</f>
        <v>2</v>
      </c>
      <c r="G160" t="str">
        <f>Database!G160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3</v>
      </c>
      <c r="AI160">
        <f t="shared" si="134"/>
        <v>3</v>
      </c>
      <c r="AJ160">
        <f t="shared" si="134"/>
        <v>3</v>
      </c>
      <c r="AK160">
        <f t="shared" si="134"/>
        <v>3</v>
      </c>
      <c r="AL160">
        <f t="shared" si="134"/>
        <v>3</v>
      </c>
      <c r="AM160">
        <f t="shared" si="134"/>
        <v>3</v>
      </c>
      <c r="AN160">
        <f t="shared" si="134"/>
        <v>3</v>
      </c>
      <c r="AO160">
        <f t="shared" si="134"/>
        <v>3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147</v>
      </c>
      <c r="B161" s="22">
        <f>Database!F161</f>
        <v>46181</v>
      </c>
      <c r="C161">
        <f>IF(Database!H161="cansl",0,Database!L161)</f>
        <v>1</v>
      </c>
      <c r="D161">
        <f>Database!E161-Database!D161</f>
        <v>2</v>
      </c>
      <c r="F161">
        <f>Database!M161</f>
        <v>2</v>
      </c>
      <c r="G161" t="str">
        <f>Database!G161</f>
        <v>DK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2</v>
      </c>
      <c r="AJ161">
        <f t="shared" si="134"/>
        <v>2</v>
      </c>
      <c r="AK161">
        <f t="shared" si="134"/>
        <v>2</v>
      </c>
      <c r="AL161">
        <f t="shared" si="134"/>
        <v>2</v>
      </c>
      <c r="AM161">
        <f t="shared" si="134"/>
        <v>2</v>
      </c>
      <c r="AN161">
        <f t="shared" si="134"/>
        <v>2</v>
      </c>
      <c r="AO161">
        <f t="shared" si="134"/>
        <v>2</v>
      </c>
      <c r="AP161">
        <f t="shared" si="134"/>
        <v>2</v>
      </c>
      <c r="AQ161">
        <f t="shared" si="134"/>
        <v>2</v>
      </c>
      <c r="AR161">
        <f t="shared" si="136"/>
        <v>2</v>
      </c>
      <c r="AS161">
        <f t="shared" si="136"/>
        <v>2</v>
      </c>
      <c r="AT161">
        <f t="shared" si="136"/>
        <v>2</v>
      </c>
      <c r="AU161">
        <f t="shared" si="136"/>
        <v>2</v>
      </c>
      <c r="AV161">
        <f t="shared" si="136"/>
        <v>2</v>
      </c>
      <c r="AW161">
        <f t="shared" si="136"/>
        <v>2</v>
      </c>
      <c r="AX161">
        <f t="shared" si="136"/>
        <v>2</v>
      </c>
      <c r="BB161" s="32">
        <f t="shared" si="110"/>
        <v>2</v>
      </c>
      <c r="BC161" s="32">
        <f t="shared" si="111"/>
        <v>4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148</v>
      </c>
      <c r="B162" s="22">
        <f>Database!F162</f>
        <v>46181</v>
      </c>
      <c r="C162">
        <f>IF(Database!H162="cansl",0,Database!L162)</f>
        <v>1</v>
      </c>
      <c r="D162">
        <f>Database!E162-Database!D162</f>
        <v>4</v>
      </c>
      <c r="F162">
        <f>Database!M162</f>
        <v>2</v>
      </c>
      <c r="G162" t="str">
        <f>Database!G162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4</v>
      </c>
      <c r="AJ162">
        <f t="shared" si="134"/>
        <v>4</v>
      </c>
      <c r="AK162">
        <f t="shared" si="134"/>
        <v>4</v>
      </c>
      <c r="AL162">
        <f t="shared" si="134"/>
        <v>4</v>
      </c>
      <c r="AM162">
        <f t="shared" si="134"/>
        <v>4</v>
      </c>
      <c r="AN162">
        <f t="shared" si="134"/>
        <v>4</v>
      </c>
      <c r="AO162">
        <f t="shared" si="134"/>
        <v>4</v>
      </c>
      <c r="AP162">
        <f t="shared" si="134"/>
        <v>4</v>
      </c>
      <c r="AQ162">
        <f t="shared" si="134"/>
        <v>4</v>
      </c>
      <c r="AR162">
        <f t="shared" si="136"/>
        <v>4</v>
      </c>
      <c r="AS162">
        <f t="shared" si="136"/>
        <v>4</v>
      </c>
      <c r="AT162">
        <f t="shared" si="136"/>
        <v>4</v>
      </c>
      <c r="AU162">
        <f t="shared" si="136"/>
        <v>4</v>
      </c>
      <c r="AV162">
        <f t="shared" si="136"/>
        <v>4</v>
      </c>
      <c r="AW162">
        <f t="shared" si="136"/>
        <v>4</v>
      </c>
      <c r="AX162">
        <f t="shared" si="136"/>
        <v>4</v>
      </c>
      <c r="BB162" s="32">
        <f t="shared" si="110"/>
        <v>2</v>
      </c>
      <c r="BC162" s="32">
        <f t="shared" si="111"/>
        <v>8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149</v>
      </c>
      <c r="B163" s="22">
        <f>Database!F163</f>
        <v>46182</v>
      </c>
      <c r="C163">
        <f>IF(Database!H163="cansl",0,Database!L163)</f>
        <v>1</v>
      </c>
      <c r="D163">
        <f>Database!E163-Database!D163</f>
        <v>4</v>
      </c>
      <c r="F163">
        <f>Database!M163</f>
        <v>2</v>
      </c>
      <c r="G163" t="str">
        <f>Database!G163</f>
        <v>N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4</v>
      </c>
      <c r="AJ163">
        <f t="shared" si="134"/>
        <v>4</v>
      </c>
      <c r="AK163">
        <f t="shared" si="134"/>
        <v>4</v>
      </c>
      <c r="AL163">
        <f t="shared" si="134"/>
        <v>4</v>
      </c>
      <c r="AM163">
        <f t="shared" si="134"/>
        <v>4</v>
      </c>
      <c r="AN163">
        <f t="shared" si="134"/>
        <v>4</v>
      </c>
      <c r="AO163">
        <f t="shared" si="134"/>
        <v>4</v>
      </c>
      <c r="AP163">
        <f t="shared" ref="AH163:AQ189" si="139">IF($B163&lt;AP$1,$C163*$D163,0)</f>
        <v>4</v>
      </c>
      <c r="AQ163">
        <f t="shared" si="139"/>
        <v>4</v>
      </c>
      <c r="AR163">
        <f t="shared" si="136"/>
        <v>4</v>
      </c>
      <c r="AS163">
        <f t="shared" si="136"/>
        <v>4</v>
      </c>
      <c r="AT163">
        <f t="shared" si="136"/>
        <v>4</v>
      </c>
      <c r="AU163">
        <f t="shared" si="136"/>
        <v>4</v>
      </c>
      <c r="AV163">
        <f t="shared" si="136"/>
        <v>4</v>
      </c>
      <c r="AW163">
        <f t="shared" si="136"/>
        <v>4</v>
      </c>
      <c r="AX163">
        <f t="shared" si="136"/>
        <v>4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2</v>
      </c>
      <c r="BG163" s="32">
        <f t="shared" si="115"/>
        <v>8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150</v>
      </c>
      <c r="B164" s="22">
        <f>Database!F164</f>
        <v>46185</v>
      </c>
      <c r="C164">
        <f>IF(Database!H164="cansl",0,Database!L164)</f>
        <v>1</v>
      </c>
      <c r="D164">
        <f>Database!E164-Database!D164</f>
        <v>3</v>
      </c>
      <c r="F164">
        <f>Database!M164</f>
        <v>2</v>
      </c>
      <c r="G164" t="str">
        <f>Database!G164</f>
        <v>DK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3</v>
      </c>
      <c r="AJ164">
        <f t="shared" si="139"/>
        <v>3</v>
      </c>
      <c r="AK164">
        <f t="shared" si="139"/>
        <v>3</v>
      </c>
      <c r="AL164">
        <f t="shared" si="139"/>
        <v>3</v>
      </c>
      <c r="AM164">
        <f t="shared" si="139"/>
        <v>3</v>
      </c>
      <c r="AN164">
        <f t="shared" si="139"/>
        <v>3</v>
      </c>
      <c r="AO164">
        <f t="shared" si="139"/>
        <v>3</v>
      </c>
      <c r="AP164">
        <f t="shared" si="139"/>
        <v>3</v>
      </c>
      <c r="AQ164">
        <f t="shared" si="139"/>
        <v>3</v>
      </c>
      <c r="AR164">
        <f t="shared" si="136"/>
        <v>3</v>
      </c>
      <c r="AS164">
        <f t="shared" si="136"/>
        <v>3</v>
      </c>
      <c r="AT164">
        <f t="shared" si="136"/>
        <v>3</v>
      </c>
      <c r="AU164">
        <f t="shared" si="136"/>
        <v>3</v>
      </c>
      <c r="AV164">
        <f t="shared" si="136"/>
        <v>3</v>
      </c>
      <c r="AW164">
        <f t="shared" si="136"/>
        <v>3</v>
      </c>
      <c r="AX164">
        <f t="shared" si="136"/>
        <v>3</v>
      </c>
      <c r="BB164" s="32">
        <f t="shared" si="110"/>
        <v>2</v>
      </c>
      <c r="BC164" s="32">
        <f t="shared" si="111"/>
        <v>6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151</v>
      </c>
      <c r="B165" s="22">
        <f>Database!F165</f>
        <v>46186</v>
      </c>
      <c r="C165">
        <f>IF(Database!H165="cansl",0,Database!L165)</f>
        <v>1</v>
      </c>
      <c r="D165">
        <f>Database!E165-Database!D165</f>
        <v>2</v>
      </c>
      <c r="F165">
        <f>Database!M165</f>
        <v>1</v>
      </c>
      <c r="G165" t="str">
        <f>Database!G165</f>
        <v>DK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2</v>
      </c>
      <c r="AJ165">
        <f t="shared" si="139"/>
        <v>2</v>
      </c>
      <c r="AK165">
        <f t="shared" si="139"/>
        <v>2</v>
      </c>
      <c r="AL165">
        <f t="shared" si="139"/>
        <v>2</v>
      </c>
      <c r="AM165">
        <f t="shared" si="139"/>
        <v>2</v>
      </c>
      <c r="AN165">
        <f t="shared" si="139"/>
        <v>2</v>
      </c>
      <c r="AO165">
        <f t="shared" si="139"/>
        <v>2</v>
      </c>
      <c r="AP165">
        <f t="shared" si="139"/>
        <v>2</v>
      </c>
      <c r="AQ165">
        <f t="shared" si="139"/>
        <v>2</v>
      </c>
      <c r="AR165">
        <f t="shared" si="136"/>
        <v>2</v>
      </c>
      <c r="AS165">
        <f t="shared" si="136"/>
        <v>2</v>
      </c>
      <c r="AT165">
        <f t="shared" si="136"/>
        <v>2</v>
      </c>
      <c r="AU165">
        <f t="shared" si="136"/>
        <v>2</v>
      </c>
      <c r="AV165">
        <f t="shared" si="136"/>
        <v>2</v>
      </c>
      <c r="AW165">
        <f t="shared" si="136"/>
        <v>2</v>
      </c>
      <c r="AX165">
        <f t="shared" si="136"/>
        <v>2</v>
      </c>
      <c r="BB165" s="32">
        <f t="shared" si="110"/>
        <v>1</v>
      </c>
      <c r="BC165" s="32">
        <f t="shared" si="111"/>
        <v>2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152</v>
      </c>
      <c r="B166" s="22">
        <f>Database!F166</f>
        <v>46192</v>
      </c>
      <c r="C166">
        <f>IF(Database!H166="cansl",0,Database!L166)</f>
        <v>1</v>
      </c>
      <c r="D166">
        <f>Database!E166-Database!D166</f>
        <v>3</v>
      </c>
      <c r="F166">
        <f>Database!M166</f>
        <v>2</v>
      </c>
      <c r="G166" t="str">
        <f>Database!G166</f>
        <v>DK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3</v>
      </c>
      <c r="AK166">
        <f t="shared" si="139"/>
        <v>3</v>
      </c>
      <c r="AL166">
        <f t="shared" si="139"/>
        <v>3</v>
      </c>
      <c r="AM166">
        <f t="shared" si="139"/>
        <v>3</v>
      </c>
      <c r="AN166">
        <f t="shared" si="139"/>
        <v>3</v>
      </c>
      <c r="AO166">
        <f t="shared" si="139"/>
        <v>3</v>
      </c>
      <c r="AP166">
        <f t="shared" si="139"/>
        <v>3</v>
      </c>
      <c r="AQ166">
        <f t="shared" si="139"/>
        <v>3</v>
      </c>
      <c r="AR166">
        <f t="shared" si="136"/>
        <v>3</v>
      </c>
      <c r="AS166">
        <f t="shared" si="136"/>
        <v>3</v>
      </c>
      <c r="AT166">
        <f t="shared" si="136"/>
        <v>3</v>
      </c>
      <c r="AU166">
        <f t="shared" si="136"/>
        <v>3</v>
      </c>
      <c r="AV166">
        <f t="shared" si="136"/>
        <v>3</v>
      </c>
      <c r="AW166">
        <f t="shared" si="136"/>
        <v>3</v>
      </c>
      <c r="AX166">
        <f t="shared" si="136"/>
        <v>3</v>
      </c>
      <c r="BB166" s="32">
        <f t="shared" si="110"/>
        <v>2</v>
      </c>
      <c r="BC166" s="32">
        <f t="shared" si="111"/>
        <v>6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153</v>
      </c>
      <c r="B167" s="22">
        <f>Database!F167</f>
        <v>46201</v>
      </c>
      <c r="C167">
        <f>IF(Database!H167="cansl",0,Database!L167)</f>
        <v>1</v>
      </c>
      <c r="D167">
        <f>Database!E167-Database!D167</f>
        <v>7</v>
      </c>
      <c r="F167">
        <f>Database!M167</f>
        <v>2</v>
      </c>
      <c r="G167" t="str">
        <f>Database!G167</f>
        <v>DK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7</v>
      </c>
      <c r="AL167">
        <f t="shared" si="139"/>
        <v>7</v>
      </c>
      <c r="AM167">
        <f t="shared" si="139"/>
        <v>7</v>
      </c>
      <c r="AN167">
        <f t="shared" si="139"/>
        <v>7</v>
      </c>
      <c r="AO167">
        <f t="shared" si="139"/>
        <v>7</v>
      </c>
      <c r="AP167">
        <f t="shared" si="139"/>
        <v>7</v>
      </c>
      <c r="AQ167">
        <f t="shared" si="139"/>
        <v>7</v>
      </c>
      <c r="AR167">
        <f t="shared" si="136"/>
        <v>7</v>
      </c>
      <c r="AS167">
        <f t="shared" si="136"/>
        <v>7</v>
      </c>
      <c r="AT167">
        <f t="shared" si="136"/>
        <v>7</v>
      </c>
      <c r="AU167">
        <f t="shared" si="136"/>
        <v>7</v>
      </c>
      <c r="AV167">
        <f t="shared" si="136"/>
        <v>7</v>
      </c>
      <c r="AW167">
        <f t="shared" si="136"/>
        <v>7</v>
      </c>
      <c r="AX167">
        <f t="shared" si="136"/>
        <v>7</v>
      </c>
      <c r="BB167" s="32">
        <f t="shared" si="110"/>
        <v>2</v>
      </c>
      <c r="BC167" s="32">
        <f t="shared" si="111"/>
        <v>14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154</v>
      </c>
      <c r="B168" s="22">
        <f>Database!F168</f>
        <v>46203</v>
      </c>
      <c r="C168">
        <f>IF(Database!H168="cansl",0,Database!L168)</f>
        <v>1</v>
      </c>
      <c r="D168">
        <f>Database!E168-Database!D168</f>
        <v>4</v>
      </c>
      <c r="F168">
        <f>Database!M168</f>
        <v>2</v>
      </c>
      <c r="G168" t="str">
        <f>Database!G168</f>
        <v>S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4</v>
      </c>
      <c r="AM168">
        <f t="shared" si="139"/>
        <v>4</v>
      </c>
      <c r="AN168">
        <f t="shared" si="139"/>
        <v>4</v>
      </c>
      <c r="AO168">
        <f t="shared" si="139"/>
        <v>4</v>
      </c>
      <c r="AP168">
        <f t="shared" si="139"/>
        <v>4</v>
      </c>
      <c r="AQ168">
        <f t="shared" si="139"/>
        <v>4</v>
      </c>
      <c r="AR168">
        <f t="shared" si="136"/>
        <v>4</v>
      </c>
      <c r="AS168">
        <f t="shared" si="136"/>
        <v>4</v>
      </c>
      <c r="AT168">
        <f t="shared" si="136"/>
        <v>4</v>
      </c>
      <c r="AU168">
        <f t="shared" si="136"/>
        <v>4</v>
      </c>
      <c r="AV168">
        <f t="shared" si="136"/>
        <v>4</v>
      </c>
      <c r="AW168">
        <f t="shared" si="136"/>
        <v>4</v>
      </c>
      <c r="AX168">
        <f t="shared" si="136"/>
        <v>4</v>
      </c>
      <c r="BB168" s="32">
        <f t="shared" si="110"/>
        <v>0</v>
      </c>
      <c r="BC168" s="32">
        <f t="shared" si="111"/>
        <v>0</v>
      </c>
      <c r="BD168" s="32">
        <f t="shared" si="112"/>
        <v>2</v>
      </c>
      <c r="BE168" s="32">
        <f t="shared" si="113"/>
        <v>8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155</v>
      </c>
      <c r="B169" s="22">
        <f>Database!F169</f>
        <v>46205</v>
      </c>
      <c r="C169">
        <f>IF(Database!H169="cansl",0,Database!L169)</f>
        <v>1</v>
      </c>
      <c r="D169">
        <f>Database!E169-Database!D169</f>
        <v>3</v>
      </c>
      <c r="F169">
        <f>Database!M169</f>
        <v>1</v>
      </c>
      <c r="G169" t="str">
        <f>Database!G169</f>
        <v>DK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3</v>
      </c>
      <c r="AM169">
        <f t="shared" si="139"/>
        <v>3</v>
      </c>
      <c r="AN169">
        <f t="shared" si="139"/>
        <v>3</v>
      </c>
      <c r="AO169">
        <f t="shared" si="139"/>
        <v>3</v>
      </c>
      <c r="AP169">
        <f t="shared" si="139"/>
        <v>3</v>
      </c>
      <c r="AQ169">
        <f t="shared" si="139"/>
        <v>3</v>
      </c>
      <c r="AR169">
        <f t="shared" si="136"/>
        <v>3</v>
      </c>
      <c r="AS169">
        <f t="shared" si="136"/>
        <v>3</v>
      </c>
      <c r="AT169">
        <f t="shared" si="136"/>
        <v>3</v>
      </c>
      <c r="AU169">
        <f t="shared" si="136"/>
        <v>3</v>
      </c>
      <c r="AV169">
        <f t="shared" si="136"/>
        <v>3</v>
      </c>
      <c r="AW169">
        <f t="shared" si="136"/>
        <v>3</v>
      </c>
      <c r="AX169">
        <f t="shared" si="136"/>
        <v>3</v>
      </c>
      <c r="BB169" s="32">
        <f t="shared" si="110"/>
        <v>1</v>
      </c>
      <c r="BC169" s="32">
        <f t="shared" si="111"/>
        <v>3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156</v>
      </c>
      <c r="B170" s="22">
        <f>Database!F170</f>
        <v>46218</v>
      </c>
      <c r="C170">
        <f>IF(Database!H170="cansl",0,Database!L170)</f>
        <v>1</v>
      </c>
      <c r="D170">
        <f>Database!E170-Database!D170</f>
        <v>2</v>
      </c>
      <c r="F170">
        <f>Database!M170</f>
        <v>1</v>
      </c>
      <c r="G170" t="str">
        <f>Database!G170</f>
        <v>D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2</v>
      </c>
      <c r="AO170">
        <f t="shared" si="139"/>
        <v>2</v>
      </c>
      <c r="AP170">
        <f t="shared" si="139"/>
        <v>2</v>
      </c>
      <c r="AQ170">
        <f t="shared" si="139"/>
        <v>2</v>
      </c>
      <c r="AR170">
        <f t="shared" si="136"/>
        <v>2</v>
      </c>
      <c r="AS170">
        <f t="shared" si="136"/>
        <v>2</v>
      </c>
      <c r="AT170">
        <f t="shared" si="136"/>
        <v>2</v>
      </c>
      <c r="AU170">
        <f t="shared" si="136"/>
        <v>2</v>
      </c>
      <c r="AV170">
        <f t="shared" si="136"/>
        <v>2</v>
      </c>
      <c r="AW170">
        <f t="shared" si="136"/>
        <v>2</v>
      </c>
      <c r="AX170">
        <f t="shared" si="136"/>
        <v>2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1</v>
      </c>
      <c r="BI170" s="32">
        <f t="shared" si="117"/>
        <v>2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157</v>
      </c>
      <c r="B171" s="22">
        <f>Database!F171</f>
        <v>46233</v>
      </c>
      <c r="C171">
        <f>IF(Database!H171="cansl",0,Database!L171)</f>
        <v>1</v>
      </c>
      <c r="D171">
        <f>Database!E171-Database!D171</f>
        <v>4</v>
      </c>
      <c r="F171">
        <f>Database!M171</f>
        <v>2</v>
      </c>
      <c r="G171" t="str">
        <f>Database!G171</f>
        <v>DK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4</v>
      </c>
      <c r="AQ171">
        <f t="shared" si="139"/>
        <v>4</v>
      </c>
      <c r="AR171">
        <f t="shared" si="136"/>
        <v>4</v>
      </c>
      <c r="AS171">
        <f t="shared" si="136"/>
        <v>4</v>
      </c>
      <c r="AT171">
        <f t="shared" si="136"/>
        <v>4</v>
      </c>
      <c r="AU171">
        <f t="shared" si="136"/>
        <v>4</v>
      </c>
      <c r="AV171">
        <f t="shared" si="136"/>
        <v>4</v>
      </c>
      <c r="AW171">
        <f t="shared" si="136"/>
        <v>4</v>
      </c>
      <c r="AX171">
        <f t="shared" si="136"/>
        <v>4</v>
      </c>
      <c r="BB171" s="32">
        <f t="shared" si="110"/>
        <v>2</v>
      </c>
      <c r="BC171" s="32">
        <f t="shared" si="111"/>
        <v>8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158</v>
      </c>
      <c r="B172" s="22">
        <f>Database!F172</f>
        <v>46235</v>
      </c>
      <c r="C172">
        <f>IF(Database!H172="cansl",0,Database!L172)</f>
        <v>1</v>
      </c>
      <c r="D172">
        <f>Database!E172-Database!D172</f>
        <v>4</v>
      </c>
      <c r="F172">
        <f>Database!M172</f>
        <v>2</v>
      </c>
      <c r="G172" t="str">
        <f>Database!G172</f>
        <v>DK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4</v>
      </c>
      <c r="AQ172">
        <f t="shared" si="139"/>
        <v>4</v>
      </c>
      <c r="AR172">
        <f t="shared" si="136"/>
        <v>4</v>
      </c>
      <c r="AS172">
        <f t="shared" si="136"/>
        <v>4</v>
      </c>
      <c r="AT172">
        <f t="shared" si="136"/>
        <v>4</v>
      </c>
      <c r="AU172">
        <f t="shared" si="136"/>
        <v>4</v>
      </c>
      <c r="AV172">
        <f t="shared" si="136"/>
        <v>4</v>
      </c>
      <c r="AW172">
        <f t="shared" si="136"/>
        <v>4</v>
      </c>
      <c r="AX172">
        <f t="shared" si="136"/>
        <v>4</v>
      </c>
      <c r="BB172" s="32">
        <f t="shared" si="110"/>
        <v>2</v>
      </c>
      <c r="BC172" s="32">
        <f t="shared" si="111"/>
        <v>8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159</v>
      </c>
      <c r="B173" s="22">
        <f>Database!F173</f>
        <v>46236</v>
      </c>
      <c r="C173">
        <f>IF(Database!H173="cansl",0,Database!L173)</f>
        <v>1</v>
      </c>
      <c r="D173">
        <f>Database!E173-Database!D173</f>
        <v>3</v>
      </c>
      <c r="F173">
        <f>Database!M173</f>
        <v>2</v>
      </c>
      <c r="G173" t="str">
        <f>Database!G173</f>
        <v>DK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3</v>
      </c>
      <c r="AQ173">
        <f t="shared" si="139"/>
        <v>3</v>
      </c>
      <c r="AR173">
        <f t="shared" si="136"/>
        <v>3</v>
      </c>
      <c r="AS173">
        <f t="shared" si="136"/>
        <v>3</v>
      </c>
      <c r="AT173">
        <f t="shared" si="136"/>
        <v>3</v>
      </c>
      <c r="AU173">
        <f t="shared" si="136"/>
        <v>3</v>
      </c>
      <c r="AV173">
        <f t="shared" si="136"/>
        <v>3</v>
      </c>
      <c r="AW173">
        <f t="shared" si="136"/>
        <v>3</v>
      </c>
      <c r="AX173">
        <f t="shared" si="136"/>
        <v>3</v>
      </c>
      <c r="BB173" s="32">
        <f t="shared" si="110"/>
        <v>2</v>
      </c>
      <c r="BC173" s="32">
        <f t="shared" si="111"/>
        <v>6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160</v>
      </c>
      <c r="B174" s="22">
        <f>Database!F174</f>
        <v>46237</v>
      </c>
      <c r="C174">
        <f>IF(Database!H174="cansl",0,Database!L174)</f>
        <v>1</v>
      </c>
      <c r="D174">
        <f>Database!E174-Database!D174</f>
        <v>3</v>
      </c>
      <c r="F174">
        <f>Database!M174</f>
        <v>2</v>
      </c>
      <c r="G174" t="str">
        <f>Database!G174</f>
        <v>N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3</v>
      </c>
      <c r="AR174">
        <f t="shared" si="136"/>
        <v>3</v>
      </c>
      <c r="AS174">
        <f t="shared" si="136"/>
        <v>3</v>
      </c>
      <c r="AT174">
        <f t="shared" si="136"/>
        <v>3</v>
      </c>
      <c r="AU174">
        <f t="shared" si="136"/>
        <v>3</v>
      </c>
      <c r="AV174">
        <f t="shared" si="136"/>
        <v>3</v>
      </c>
      <c r="AW174">
        <f t="shared" si="136"/>
        <v>3</v>
      </c>
      <c r="AX174">
        <f t="shared" si="136"/>
        <v>3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2</v>
      </c>
      <c r="BG174" s="32">
        <f t="shared" si="115"/>
        <v>6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161</v>
      </c>
      <c r="B175" s="22">
        <f>Database!F175</f>
        <v>46245</v>
      </c>
      <c r="C175">
        <f>IF(Database!H175="cansl",0,Database!L175)</f>
        <v>1</v>
      </c>
      <c r="D175">
        <f>Database!E175-Database!D175</f>
        <v>2</v>
      </c>
      <c r="F175">
        <f>Database!M175</f>
        <v>2</v>
      </c>
      <c r="G175" t="str">
        <f>Database!G175</f>
        <v>DK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2</v>
      </c>
      <c r="AS175">
        <f t="shared" si="136"/>
        <v>2</v>
      </c>
      <c r="AT175">
        <f t="shared" si="136"/>
        <v>2</v>
      </c>
      <c r="AU175">
        <f t="shared" si="136"/>
        <v>2</v>
      </c>
      <c r="AV175">
        <f t="shared" si="136"/>
        <v>2</v>
      </c>
      <c r="AW175">
        <f t="shared" si="136"/>
        <v>2</v>
      </c>
      <c r="AX175">
        <f t="shared" si="136"/>
        <v>2</v>
      </c>
      <c r="BB175" s="32">
        <f t="shared" si="110"/>
        <v>2</v>
      </c>
      <c r="BC175" s="32">
        <f t="shared" si="111"/>
        <v>4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Database!F189</f>
        <v>0</v>
      </c>
      <c r="C176">
        <f>IF(Database!H189="cansl",0,Database!L189)</f>
        <v>0</v>
      </c>
      <c r="D176">
        <f>Database!E189-Database!D189</f>
        <v>0</v>
      </c>
      <c r="F176">
        <f>Database!M189</f>
        <v>0</v>
      </c>
      <c r="G176">
        <f>Database!G189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Database!F190</f>
        <v>0</v>
      </c>
      <c r="C177">
        <f>IF(Database!H190="cansl",0,Database!L190)</f>
        <v>0</v>
      </c>
      <c r="D177">
        <f>Database!E190-Database!D190</f>
        <v>0</v>
      </c>
      <c r="F177">
        <f>Database!M190</f>
        <v>0</v>
      </c>
      <c r="G177">
        <f>Database!G190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Database!F191</f>
        <v>0</v>
      </c>
      <c r="C178">
        <f>IF(Database!H191="cansl",0,Database!L191)</f>
        <v>0</v>
      </c>
      <c r="D178">
        <f>Database!E191-Database!D191</f>
        <v>0</v>
      </c>
      <c r="F178">
        <f>Database!M191</f>
        <v>0</v>
      </c>
      <c r="G178">
        <f>Database!G191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Database!F192</f>
        <v>0</v>
      </c>
      <c r="C179">
        <f>IF(Database!H192="cansl",0,Database!L192)</f>
        <v>0</v>
      </c>
      <c r="D179">
        <f>Database!E192-Database!D192</f>
        <v>0</v>
      </c>
      <c r="F179">
        <f>Database!M192</f>
        <v>0</v>
      </c>
      <c r="G179">
        <f>Database!G192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Database!F193</f>
        <v>0</v>
      </c>
      <c r="C180">
        <f>IF(Database!H193="cansl",0,Database!L193)</f>
        <v>0</v>
      </c>
      <c r="D180">
        <f>Database!E193-Database!D193</f>
        <v>0</v>
      </c>
      <c r="F180">
        <f>Database!M193</f>
        <v>0</v>
      </c>
      <c r="G180">
        <f>Database!G193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Database!F194</f>
        <v>0</v>
      </c>
      <c r="C181">
        <f>IF(Database!H194="cansl",0,Database!L194)</f>
        <v>0</v>
      </c>
      <c r="D181">
        <f>Database!E194-Database!D194</f>
        <v>0</v>
      </c>
      <c r="F181">
        <f>Database!M194</f>
        <v>0</v>
      </c>
      <c r="G181">
        <f>Database!G194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Database!F195</f>
        <v>0</v>
      </c>
      <c r="C182">
        <f>IF(Database!H195="cansl",0,Database!L195)</f>
        <v>0</v>
      </c>
      <c r="D182">
        <f>Database!E195-Database!D195</f>
        <v>0</v>
      </c>
      <c r="F182">
        <f>Database!M195</f>
        <v>0</v>
      </c>
      <c r="G182">
        <f>Database!G195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Database!F196</f>
        <v>0</v>
      </c>
      <c r="C183">
        <f>IF(Database!H196="cansl",0,Database!L196)</f>
        <v>0</v>
      </c>
      <c r="D183">
        <f>Database!E196-Database!D196</f>
        <v>0</v>
      </c>
      <c r="F183">
        <f>Database!M196</f>
        <v>0</v>
      </c>
      <c r="G183">
        <f>Database!G196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Database!F197</f>
        <v>0</v>
      </c>
      <c r="C184">
        <f>IF(Database!H197="cansl",0,Database!L197)</f>
        <v>0</v>
      </c>
      <c r="D184">
        <f>Database!E197-Database!D197</f>
        <v>0</v>
      </c>
      <c r="F184">
        <f>Database!M197</f>
        <v>0</v>
      </c>
      <c r="G184">
        <f>Database!G197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Database!F198</f>
        <v>0</v>
      </c>
      <c r="C185">
        <f>IF(Database!H198="cansl",0,Database!L198)</f>
        <v>0</v>
      </c>
      <c r="D185">
        <f>Database!E198-Database!D198</f>
        <v>0</v>
      </c>
      <c r="F185">
        <f>Database!M198</f>
        <v>0</v>
      </c>
      <c r="G185">
        <f>Database!G198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Database!F199</f>
        <v>0</v>
      </c>
      <c r="C186">
        <f>IF(Database!H199="cansl",0,Database!L199)</f>
        <v>0</v>
      </c>
      <c r="D186">
        <f>Database!E199-Database!D199</f>
        <v>0</v>
      </c>
      <c r="F186">
        <f>Database!M199</f>
        <v>0</v>
      </c>
      <c r="G186">
        <f>Database!G199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Database!F200</f>
        <v>0</v>
      </c>
      <c r="C187">
        <f>IF(Database!H200="cansl",0,Database!L200)</f>
        <v>0</v>
      </c>
      <c r="D187">
        <f>Database!E200-Database!D200</f>
        <v>0</v>
      </c>
      <c r="F187">
        <f>Database!M200</f>
        <v>0</v>
      </c>
      <c r="G187">
        <f>Database!G200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Database!F201</f>
        <v>0</v>
      </c>
      <c r="C188">
        <f>IF(Database!H201="cansl",0,Database!L201)</f>
        <v>0</v>
      </c>
      <c r="D188">
        <f>Database!E201-Database!D201</f>
        <v>0</v>
      </c>
      <c r="F188">
        <f>Database!M201</f>
        <v>0</v>
      </c>
      <c r="G188">
        <f>Database!G201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Database!F202</f>
        <v>0</v>
      </c>
      <c r="C189">
        <f>IF(Database!H202="cansl",0,Database!L202)</f>
        <v>0</v>
      </c>
      <c r="D189">
        <f>Database!E202-Database!D202</f>
        <v>0</v>
      </c>
      <c r="F189">
        <f>Database!M202</f>
        <v>0</v>
      </c>
      <c r="G189">
        <f>Database!G202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Database!F203</f>
        <v>0</v>
      </c>
      <c r="C190">
        <f>IF(Database!H203="cansl",0,Database!L203)</f>
        <v>0</v>
      </c>
      <c r="D190">
        <f>Database!E203-Database!D203</f>
        <v>0</v>
      </c>
      <c r="F190">
        <f>Database!M203</f>
        <v>0</v>
      </c>
      <c r="G190">
        <f>Database!G203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Database!F204</f>
        <v>0</v>
      </c>
      <c r="C191">
        <f>IF(Database!H204="cansl",0,Database!L204)</f>
        <v>0</v>
      </c>
      <c r="D191">
        <f>Database!E204-Database!D204</f>
        <v>0</v>
      </c>
      <c r="F191">
        <f>Database!M204</f>
        <v>0</v>
      </c>
      <c r="G191">
        <f>Database!G204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Database!F205</f>
        <v>0</v>
      </c>
      <c r="C192">
        <f>IF(Database!H205="cansl",0,Database!L205)</f>
        <v>0</v>
      </c>
      <c r="D192">
        <f>Database!E205-Database!D205</f>
        <v>0</v>
      </c>
      <c r="F192">
        <f>Database!M205</f>
        <v>0</v>
      </c>
      <c r="G192">
        <f>Database!G205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Database!F206</f>
        <v>0</v>
      </c>
      <c r="C193">
        <f>IF(Database!H206="cansl",0,Database!L206)</f>
        <v>0</v>
      </c>
      <c r="D193">
        <f>Database!E206-Database!D206</f>
        <v>0</v>
      </c>
      <c r="F193">
        <f>Database!M206</f>
        <v>0</v>
      </c>
      <c r="G193">
        <f>Database!G206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Database!F207</f>
        <v>0</v>
      </c>
      <c r="C194">
        <f>IF(Database!H207="cansl",0,Database!L207)</f>
        <v>0</v>
      </c>
      <c r="D194">
        <f>Database!E207-Database!D207</f>
        <v>0</v>
      </c>
      <c r="F194">
        <f>Database!M207</f>
        <v>0</v>
      </c>
      <c r="G194">
        <f>Database!G207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Database!F208</f>
        <v>0</v>
      </c>
      <c r="C195">
        <f>IF(Database!H208="cansl",0,Database!L208)</f>
        <v>0</v>
      </c>
      <c r="D195" s="23">
        <f>Database!E208-Database!D208</f>
        <v>0</v>
      </c>
      <c r="E195" s="23"/>
      <c r="F195" s="23">
        <f>Database!M208</f>
        <v>0</v>
      </c>
      <c r="G195" s="23">
        <f>Database!G208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C196">
        <f>SUM(C2:C195)</f>
        <v>146</v>
      </c>
      <c r="D196">
        <f>SUM(D2:D195)</f>
        <v>650</v>
      </c>
      <c r="BA196" t="s">
        <v>63</v>
      </c>
      <c r="BB196" s="32">
        <f t="shared" ref="BB196:BY196" si="167">SUM(BB2:BB195)</f>
        <v>198</v>
      </c>
      <c r="BC196" s="32">
        <f t="shared" si="167"/>
        <v>804</v>
      </c>
      <c r="BD196" s="32">
        <f t="shared" si="167"/>
        <v>23</v>
      </c>
      <c r="BE196" s="32">
        <f t="shared" si="167"/>
        <v>81</v>
      </c>
      <c r="BF196" s="32">
        <f t="shared" si="167"/>
        <v>4</v>
      </c>
      <c r="BG196" s="32">
        <f t="shared" si="167"/>
        <v>14</v>
      </c>
      <c r="BH196" s="32">
        <f t="shared" si="167"/>
        <v>31</v>
      </c>
      <c r="BI196" s="32">
        <f t="shared" si="167"/>
        <v>174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7" spans="1:77" x14ac:dyDescent="0.3">
      <c r="K197">
        <f>SUM(K2:K195)</f>
        <v>151</v>
      </c>
      <c r="L197">
        <f>SUM(L2:L195)</f>
        <v>165</v>
      </c>
      <c r="M197">
        <f t="shared" ref="M197:AT197" si="168">SUM(M2:M195)</f>
        <v>214</v>
      </c>
      <c r="N197">
        <f t="shared" si="168"/>
        <v>250</v>
      </c>
      <c r="O197">
        <f t="shared" si="168"/>
        <v>299</v>
      </c>
      <c r="P197">
        <f t="shared" si="168"/>
        <v>314</v>
      </c>
      <c r="Q197">
        <f t="shared" si="168"/>
        <v>333</v>
      </c>
      <c r="R197">
        <f t="shared" si="168"/>
        <v>345</v>
      </c>
      <c r="S197">
        <f t="shared" si="168"/>
        <v>374</v>
      </c>
      <c r="T197">
        <f t="shared" si="168"/>
        <v>391</v>
      </c>
      <c r="U197">
        <f t="shared" si="168"/>
        <v>394</v>
      </c>
      <c r="V197">
        <f t="shared" si="168"/>
        <v>411</v>
      </c>
      <c r="W197">
        <f t="shared" si="168"/>
        <v>424</v>
      </c>
      <c r="X197">
        <f t="shared" si="168"/>
        <v>449</v>
      </c>
      <c r="Y197">
        <f t="shared" si="168"/>
        <v>454</v>
      </c>
      <c r="Z197">
        <f t="shared" si="168"/>
        <v>458</v>
      </c>
      <c r="AA197">
        <f t="shared" si="168"/>
        <v>472</v>
      </c>
      <c r="AB197">
        <f t="shared" si="168"/>
        <v>478</v>
      </c>
      <c r="AC197">
        <f t="shared" si="168"/>
        <v>487</v>
      </c>
      <c r="AD197">
        <f t="shared" si="168"/>
        <v>494</v>
      </c>
      <c r="AE197">
        <f t="shared" si="168"/>
        <v>512</v>
      </c>
      <c r="AF197">
        <f t="shared" si="168"/>
        <v>529</v>
      </c>
      <c r="AG197">
        <f t="shared" si="168"/>
        <v>544</v>
      </c>
      <c r="AH197">
        <f t="shared" si="168"/>
        <v>552</v>
      </c>
      <c r="AI197">
        <f t="shared" si="168"/>
        <v>572</v>
      </c>
      <c r="AJ197">
        <f t="shared" si="168"/>
        <v>575</v>
      </c>
      <c r="AK197">
        <f t="shared" si="168"/>
        <v>582</v>
      </c>
      <c r="AL197">
        <f t="shared" si="168"/>
        <v>589</v>
      </c>
      <c r="AM197">
        <f t="shared" si="168"/>
        <v>589</v>
      </c>
      <c r="AN197">
        <f t="shared" si="168"/>
        <v>591</v>
      </c>
      <c r="AO197">
        <f t="shared" si="168"/>
        <v>591</v>
      </c>
      <c r="AP197">
        <f t="shared" si="168"/>
        <v>602</v>
      </c>
      <c r="AQ197">
        <f t="shared" si="168"/>
        <v>605</v>
      </c>
      <c r="AR197">
        <f t="shared" si="168"/>
        <v>607</v>
      </c>
      <c r="AS197">
        <f t="shared" si="168"/>
        <v>607</v>
      </c>
      <c r="AT197">
        <f t="shared" si="168"/>
        <v>607</v>
      </c>
    </row>
    <row r="198" spans="1:77" x14ac:dyDescent="0.3">
      <c r="J198" t="s">
        <v>152</v>
      </c>
      <c r="K198">
        <f t="shared" ref="K198:AX198" si="169">SUM(K2:K195)</f>
        <v>151</v>
      </c>
      <c r="L198">
        <f t="shared" si="169"/>
        <v>165</v>
      </c>
      <c r="M198">
        <f t="shared" si="169"/>
        <v>214</v>
      </c>
      <c r="N198">
        <f t="shared" si="169"/>
        <v>250</v>
      </c>
      <c r="O198">
        <f t="shared" si="169"/>
        <v>299</v>
      </c>
      <c r="P198">
        <f t="shared" si="169"/>
        <v>314</v>
      </c>
      <c r="Q198">
        <f t="shared" si="169"/>
        <v>333</v>
      </c>
      <c r="R198">
        <f t="shared" si="169"/>
        <v>345</v>
      </c>
      <c r="S198">
        <f t="shared" si="169"/>
        <v>374</v>
      </c>
      <c r="T198">
        <f t="shared" si="169"/>
        <v>391</v>
      </c>
      <c r="U198">
        <f t="shared" si="169"/>
        <v>394</v>
      </c>
      <c r="V198">
        <f t="shared" si="169"/>
        <v>411</v>
      </c>
      <c r="W198">
        <f t="shared" si="169"/>
        <v>424</v>
      </c>
      <c r="X198">
        <f t="shared" si="169"/>
        <v>449</v>
      </c>
      <c r="Y198">
        <f t="shared" si="169"/>
        <v>454</v>
      </c>
      <c r="Z198">
        <f t="shared" si="169"/>
        <v>458</v>
      </c>
      <c r="AA198">
        <f t="shared" si="169"/>
        <v>472</v>
      </c>
      <c r="AB198">
        <f t="shared" si="169"/>
        <v>478</v>
      </c>
      <c r="AC198">
        <f t="shared" si="169"/>
        <v>487</v>
      </c>
      <c r="AD198">
        <f t="shared" si="169"/>
        <v>494</v>
      </c>
      <c r="AE198">
        <f t="shared" si="169"/>
        <v>512</v>
      </c>
      <c r="AF198">
        <f t="shared" si="169"/>
        <v>529</v>
      </c>
      <c r="AG198">
        <f t="shared" si="169"/>
        <v>544</v>
      </c>
      <c r="AH198">
        <f t="shared" si="169"/>
        <v>552</v>
      </c>
      <c r="AI198">
        <f t="shared" si="169"/>
        <v>572</v>
      </c>
      <c r="AJ198">
        <f t="shared" si="169"/>
        <v>575</v>
      </c>
      <c r="AK198">
        <f t="shared" si="169"/>
        <v>582</v>
      </c>
      <c r="AL198">
        <f t="shared" si="169"/>
        <v>589</v>
      </c>
      <c r="AM198">
        <f t="shared" si="169"/>
        <v>589</v>
      </c>
      <c r="AN198">
        <f t="shared" si="169"/>
        <v>591</v>
      </c>
      <c r="AO198">
        <f t="shared" si="169"/>
        <v>591</v>
      </c>
      <c r="AP198">
        <f t="shared" si="169"/>
        <v>602</v>
      </c>
      <c r="AQ198">
        <f t="shared" si="169"/>
        <v>605</v>
      </c>
      <c r="AR198">
        <f t="shared" si="169"/>
        <v>607</v>
      </c>
      <c r="AS198">
        <f t="shared" si="169"/>
        <v>607</v>
      </c>
      <c r="AT198">
        <f t="shared" si="169"/>
        <v>607</v>
      </c>
      <c r="AU198">
        <f t="shared" si="169"/>
        <v>607</v>
      </c>
      <c r="AV198">
        <f t="shared" si="169"/>
        <v>607</v>
      </c>
      <c r="AW198">
        <f t="shared" si="169"/>
        <v>607</v>
      </c>
      <c r="AX198">
        <f t="shared" si="169"/>
        <v>607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70">K198</f>
        <v>151</v>
      </c>
      <c r="L200">
        <f t="shared" si="170"/>
        <v>165</v>
      </c>
      <c r="M200">
        <f t="shared" si="170"/>
        <v>214</v>
      </c>
      <c r="N200">
        <f t="shared" si="170"/>
        <v>250</v>
      </c>
      <c r="O200">
        <f t="shared" si="170"/>
        <v>299</v>
      </c>
      <c r="P200">
        <f t="shared" si="170"/>
        <v>314</v>
      </c>
      <c r="Q200">
        <f t="shared" si="170"/>
        <v>333</v>
      </c>
      <c r="R200">
        <f t="shared" si="170"/>
        <v>345</v>
      </c>
      <c r="S200">
        <f t="shared" si="170"/>
        <v>374</v>
      </c>
      <c r="T200">
        <f t="shared" si="170"/>
        <v>391</v>
      </c>
      <c r="U200">
        <f t="shared" si="170"/>
        <v>394</v>
      </c>
      <c r="V200">
        <f t="shared" si="170"/>
        <v>411</v>
      </c>
      <c r="W200">
        <f t="shared" si="170"/>
        <v>424</v>
      </c>
      <c r="X200">
        <f t="shared" si="170"/>
        <v>449</v>
      </c>
      <c r="Y200">
        <f t="shared" si="170"/>
        <v>454</v>
      </c>
      <c r="Z200">
        <f t="shared" si="170"/>
        <v>458</v>
      </c>
      <c r="AA200">
        <f t="shared" si="170"/>
        <v>472</v>
      </c>
      <c r="AB200">
        <f t="shared" si="170"/>
        <v>478</v>
      </c>
      <c r="AC200">
        <f t="shared" si="170"/>
        <v>487</v>
      </c>
      <c r="AD200">
        <f t="shared" si="170"/>
        <v>494</v>
      </c>
      <c r="AE200">
        <f t="shared" si="170"/>
        <v>512</v>
      </c>
      <c r="AF200">
        <f t="shared" si="170"/>
        <v>529</v>
      </c>
      <c r="AG200">
        <f t="shared" si="170"/>
        <v>544</v>
      </c>
      <c r="AH200">
        <f>AH198</f>
        <v>552</v>
      </c>
      <c r="AI200">
        <f>AI198</f>
        <v>572</v>
      </c>
      <c r="AJ200">
        <f>AJ198</f>
        <v>575</v>
      </c>
      <c r="AK200">
        <f>AK198</f>
        <v>582</v>
      </c>
      <c r="AL200">
        <f t="shared" ref="AL200:AR200" si="171">AL198</f>
        <v>589</v>
      </c>
      <c r="AM200">
        <f t="shared" si="171"/>
        <v>589</v>
      </c>
      <c r="AN200">
        <f t="shared" si="171"/>
        <v>591</v>
      </c>
      <c r="AO200">
        <f t="shared" si="171"/>
        <v>591</v>
      </c>
      <c r="AP200">
        <f t="shared" si="171"/>
        <v>602</v>
      </c>
      <c r="AQ200">
        <f t="shared" si="171"/>
        <v>605</v>
      </c>
      <c r="AR200">
        <f t="shared" si="171"/>
        <v>607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198</v>
      </c>
      <c r="BE202" s="32">
        <f>BD196</f>
        <v>23</v>
      </c>
      <c r="BF202" s="32">
        <f>BF196</f>
        <v>4</v>
      </c>
      <c r="BG202" s="32">
        <f>BH196</f>
        <v>31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804</v>
      </c>
      <c r="BE203" s="38">
        <f>BE196</f>
        <v>81</v>
      </c>
      <c r="BF203" s="38">
        <f>BG196</f>
        <v>14</v>
      </c>
      <c r="BG203" s="38">
        <f>BI196</f>
        <v>174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pageSetup paperSize="9" scale="21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198</v>
      </c>
      <c r="C30" s="32">
        <f>'book stat'!BE202</f>
        <v>23</v>
      </c>
      <c r="D30" s="32">
        <f>'book stat'!BF202</f>
        <v>4</v>
      </c>
      <c r="E30" s="32">
        <f>'book stat'!BG202</f>
        <v>31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804</v>
      </c>
      <c r="C31" s="32">
        <f>'book stat'!BE203</f>
        <v>81</v>
      </c>
      <c r="D31" s="32">
        <f>'book stat'!BF203</f>
        <v>14</v>
      </c>
      <c r="E31" s="32">
        <f>'book stat'!BG203</f>
        <v>174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6" activePane="bottomLeft" state="frozen"/>
      <selection pane="bottomLeft" activeCell="V134" sqref="V134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475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509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534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546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546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534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548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548</v>
      </c>
      <c r="Y108" s="111" t="s">
        <v>548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548</v>
      </c>
      <c r="Y109" s="111" t="s">
        <v>548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548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/>
      <c r="O119" s="18"/>
      <c r="P119" s="8">
        <v>93</v>
      </c>
      <c r="Q119" s="8">
        <v>93</v>
      </c>
      <c r="R119" s="114">
        <v>2</v>
      </c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7">
        <v>122</v>
      </c>
      <c r="J120" s="18"/>
      <c r="K120" s="17" t="s">
        <v>158</v>
      </c>
      <c r="L120" s="111"/>
      <c r="M120" s="138">
        <v>120</v>
      </c>
      <c r="N120" s="18"/>
      <c r="O120" s="18" t="s">
        <v>23</v>
      </c>
      <c r="P120" s="8">
        <v>93</v>
      </c>
      <c r="Q120" s="8">
        <v>93</v>
      </c>
      <c r="R120" s="114">
        <v>2</v>
      </c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2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50">
        <v>122</v>
      </c>
      <c r="I121" s="137">
        <v>122</v>
      </c>
      <c r="J121" s="18">
        <v>2</v>
      </c>
      <c r="K121" s="17"/>
      <c r="L121" s="138">
        <v>120</v>
      </c>
      <c r="M121" s="138">
        <v>120</v>
      </c>
      <c r="N121" s="18">
        <v>2</v>
      </c>
      <c r="O121" s="18" t="s">
        <v>555</v>
      </c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/>
      <c r="E122" s="8"/>
      <c r="F122" s="18"/>
      <c r="G122" s="17"/>
      <c r="H122" s="137">
        <v>122</v>
      </c>
      <c r="I122" s="111"/>
      <c r="J122" s="18">
        <v>2</v>
      </c>
      <c r="K122" s="17"/>
      <c r="L122" s="138">
        <v>120</v>
      </c>
      <c r="M122" s="138">
        <v>120</v>
      </c>
      <c r="N122" s="18">
        <v>2</v>
      </c>
      <c r="O122" s="18" t="s">
        <v>556</v>
      </c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11"/>
      <c r="I123" s="8">
        <v>105</v>
      </c>
      <c r="J123" s="114">
        <v>2</v>
      </c>
      <c r="K123" s="114" t="s">
        <v>32</v>
      </c>
      <c r="L123" s="138">
        <v>120</v>
      </c>
      <c r="M123" s="8">
        <v>78</v>
      </c>
      <c r="N123" s="18">
        <v>2</v>
      </c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5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11"/>
      <c r="N131" s="114">
        <v>2</v>
      </c>
      <c r="O131" s="114"/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0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161</v>
      </c>
      <c r="J132" s="18"/>
      <c r="K132" s="17"/>
      <c r="L132" s="111"/>
      <c r="M132" s="111">
        <v>147</v>
      </c>
      <c r="N132" s="114"/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3</v>
      </c>
      <c r="AA132" s="130">
        <f t="shared" si="12"/>
        <v>4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161</v>
      </c>
      <c r="I133" s="111">
        <v>161</v>
      </c>
      <c r="J133" s="111"/>
      <c r="K133" s="17"/>
      <c r="L133" s="111">
        <v>147</v>
      </c>
      <c r="M133" s="111">
        <v>147</v>
      </c>
      <c r="N133" s="114"/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3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161</v>
      </c>
      <c r="I134" s="138">
        <v>145</v>
      </c>
      <c r="J134" s="18"/>
      <c r="K134" s="132" t="s">
        <v>23</v>
      </c>
      <c r="L134" s="111">
        <v>147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/>
      <c r="W134" s="114"/>
      <c r="X134" s="111"/>
      <c r="Y134" s="111"/>
      <c r="Z134" s="134">
        <f t="shared" si="11"/>
        <v>2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/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0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/>
      <c r="Q136" s="8"/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/>
      <c r="Q137" s="8"/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/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&amp;N&amp;R&amp;D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469</v>
      </c>
      <c r="D1" s="54" t="s">
        <v>129</v>
      </c>
      <c r="E1" s="55" t="s">
        <v>470</v>
      </c>
      <c r="F1" s="54" t="s">
        <v>131</v>
      </c>
      <c r="G1" s="55" t="s">
        <v>471</v>
      </c>
      <c r="H1" s="54" t="s">
        <v>132</v>
      </c>
      <c r="I1" s="55" t="s">
        <v>472</v>
      </c>
      <c r="J1" s="54" t="s">
        <v>133</v>
      </c>
      <c r="K1" s="55" t="s">
        <v>473</v>
      </c>
      <c r="L1" s="54" t="s">
        <v>134</v>
      </c>
      <c r="M1" s="55" t="s">
        <v>474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IFERROR(IF(AND(booking!AB2&gt;0,booking!D2&lt;&gt;booking!E2),VLOOKUP(booking!E2,Database!$A$1:'Database'!$M$188,6,FALSE),"-"),"-")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IFERROR(IF(AND(booking!AB2&gt;0,booking!H2&lt;&gt;booking!I2),VLOOKUP(booking!I2,Database!$A$1:'Database'!$M$188,6,FALSE),"-"),"-")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IFERROR(IF(AND(booking!AB2&gt;0,booking!L2&lt;&gt;booking!M2),VLOOKUP(booking!M2,Database!$A$1:'Database'!$M$188,6,FALSE),"-"),"-")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IFERROR(IF(AND(booking!AB2&gt;0,booking!P2&lt;&gt;booking!Q2),VLOOKUP(booking!Q2,Database!$A$1:'Database'!$M$188,6,FALSE),"-"),"-")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IFERROR(IF(AND(booking!AB2&gt;0,booking!T2&lt;&gt;booking!U2),VLOOKUP(booking!U2,Database!$A$1:'Database'!$M$188,6,FALSE),"-"),"-")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IFERROR(IF(AND(booking!AB3&gt;0,booking!D3&lt;&gt;booking!E3),VLOOKUP(booking!E3,Database!$A$1:'Database'!$M$188,6,FALSE),"-"),"-")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IFERROR(IF(AND(booking!AB3&gt;0,booking!H3&lt;&gt;booking!I3),VLOOKUP(booking!I3,Database!$A$1:'Database'!$M$188,6,FALSE),"-"),"-")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IFERROR(IF(AND(booking!AB3&gt;0,booking!L3&lt;&gt;booking!M3),VLOOKUP(booking!M3,Database!$A$1:'Database'!$M$188,6,FALSE),"-"),"-")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IFERROR(IF(AND(booking!AB3&gt;0,booking!P3&lt;&gt;booking!Q3),VLOOKUP(booking!Q3,Database!$A$1:'Database'!$M$188,6,FALSE),"-"),"-")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IFERROR(IF(AND(booking!AB3&gt;0,booking!T3&lt;&gt;booking!U3),VLOOKUP(booking!U3,Database!$A$1:'Database'!$M$188,6,FALSE),"-"),"-")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IFERROR(IF(AND(booking!AB4&gt;0,booking!D4&lt;&gt;booking!E4),VLOOKUP(booking!E4,Database!$A$1:'Database'!$M$188,6,FALSE),"-"),"-")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IFERROR(IF(AND(booking!AB4&gt;0,booking!H4&lt;&gt;booking!I4),VLOOKUP(booking!I4,Database!$A$1:'Database'!$M$188,6,FALSE),"-"),"-")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IFERROR(IF(AND(booking!AB4&gt;0,booking!L4&lt;&gt;booking!M4),VLOOKUP(booking!M4,Database!$A$1:'Database'!$M$188,6,FALSE),"-"),"-")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IFERROR(IF(AND(booking!AB4&gt;0,booking!P4&lt;&gt;booking!Q4),VLOOKUP(booking!Q4,Database!$A$1:'Database'!$M$188,6,FALSE),"-"),"-")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IFERROR(IF(AND(booking!AB4&gt;0,booking!T4&lt;&gt;booking!U4),VLOOKUP(booking!U4,Database!$A$1:'Database'!$M$188,6,FALSE),"-"),"-")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IFERROR(IF(AND(booking!AB5&gt;0,booking!D5&lt;&gt;booking!E5),VLOOKUP(booking!E5,Database!$A$1:'Database'!$M$188,6,FALSE),"-"),"-")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IFERROR(IF(AND(booking!AB5&gt;0,booking!H5&lt;&gt;booking!I5),VLOOKUP(booking!I5,Database!$A$1:'Database'!$M$188,6,FALSE),"-"),"-")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IFERROR(IF(AND(booking!AB5&gt;0,booking!L5&lt;&gt;booking!M5),VLOOKUP(booking!M5,Database!$A$1:'Database'!$M$188,6,FALSE),"-"),"-")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IFERROR(IF(AND(booking!AB5&gt;0,booking!P5&lt;&gt;booking!Q5),VLOOKUP(booking!Q5,Database!$A$1:'Database'!$M$188,6,FALSE),"-"),"-")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IFERROR(IF(AND(booking!AB5&gt;0,booking!T5&lt;&gt;booking!U5),VLOOKUP(booking!U5,Database!$A$1:'Database'!$M$188,6,FALSE),"-"),"-")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>
        <f>IFERROR(IF(AND(booking!AB6&gt;0,booking!D6&lt;&gt;booking!E6),VLOOKUP(booking!E6,Database!$A$1:'Database'!$M$188,6,FALSE),"-"),"-")</f>
        <v>46081</v>
      </c>
      <c r="F6" s="51" t="str">
        <f>IF(AND(booking!H6&lt;&gt;booking!I6,booking!H6&gt;0),"udc","-")</f>
        <v>-</v>
      </c>
      <c r="G6" s="47">
        <f>IFERROR(IF(AND(booking!AB6&gt;0,booking!H6&lt;&gt;booking!I6),VLOOKUP(booking!I6,Database!$A$1:'Database'!$M$188,6,FALSE),"-"),"-")</f>
        <v>46117</v>
      </c>
      <c r="H6" s="51" t="str">
        <f>IF(AND(booking!L6&lt;&gt;booking!M6,booking!L6&gt;0),"udc","-")</f>
        <v>-</v>
      </c>
      <c r="I6" s="47">
        <f>IFERROR(IF(AND(booking!AB6&gt;0,booking!L6&lt;&gt;booking!M6),VLOOKUP(booking!M6,Database!$A$1:'Database'!$M$188,6,FALSE),"-"),"-")</f>
        <v>46055</v>
      </c>
      <c r="J6" s="51" t="str">
        <f>IF(AND(booking!P6&lt;&gt;booking!Q6,booking!P6&gt;0),"udc","-")</f>
        <v>-</v>
      </c>
      <c r="K6" s="47">
        <f>IFERROR(IF(AND(booking!AB6&gt;0,booking!P6&lt;&gt;booking!Q6),VLOOKUP(booking!Q6,Database!$A$1:'Database'!$M$188,6,FALSE),"-"),"-")</f>
        <v>46021</v>
      </c>
      <c r="L6" s="51" t="str">
        <f>IF(AND(booking!T6&lt;&gt;booking!U6,booking!T6&gt;0),"udc","-")</f>
        <v>-</v>
      </c>
      <c r="M6" s="47">
        <f>IFERROR(IF(AND(booking!AB6&gt;0,booking!T6&lt;&gt;booking!U6),VLOOKUP(booking!U6,Database!$A$1:'Database'!$M$188,6,FALSE),"-"),"-")</f>
        <v>46021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IFERROR(IF(AND(booking!AB7&gt;0,booking!D7&lt;&gt;booking!E7),VLOOKUP(booking!E7,Database!$A$1:'Database'!$M$188,6,FALSE),"-"),"-")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IFERROR(IF(AND(booking!AB7&gt;0,booking!H7&lt;&gt;booking!I7),VLOOKUP(booking!I7,Database!$A$1:'Database'!$M$188,6,FALSE),"-"),"-")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IFERROR(IF(AND(booking!AB7&gt;0,booking!L7&lt;&gt;booking!M7),VLOOKUP(booking!M7,Database!$A$1:'Database'!$M$188,6,FALSE),"-"),"-")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IFERROR(IF(AND(booking!AB7&gt;0,booking!P7&lt;&gt;booking!Q7),VLOOKUP(booking!Q7,Database!$A$1:'Database'!$M$188,6,FALSE),"-"),"-")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IFERROR(IF(AND(booking!AB7&gt;0,booking!T7&lt;&gt;booking!U7),VLOOKUP(booking!U7,Database!$A$1:'Database'!$M$188,6,FALSE),"-"),"-")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IFERROR(IF(AND(booking!AB8&gt;0,booking!D8&lt;&gt;booking!E8),VLOOKUP(booking!E8,Database!$A$1:'Database'!$M$188,6,FALSE),"-"),"-")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IFERROR(IF(AND(booking!AB8&gt;0,booking!H8&lt;&gt;booking!I8),VLOOKUP(booking!I8,Database!$A$1:'Database'!$M$188,6,FALSE),"-"),"-")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IFERROR(IF(AND(booking!AB8&gt;0,booking!L8&lt;&gt;booking!M8),VLOOKUP(booking!M8,Database!$A$1:'Database'!$M$188,6,FALSE),"-"),"-")</f>
        <v>-</v>
      </c>
      <c r="J8" s="51" t="str">
        <f>IF(AND(booking!P8&lt;&gt;booking!Q8,booking!P8&gt;0),"udc","-")</f>
        <v>udc</v>
      </c>
      <c r="K8" s="47">
        <f>IFERROR(IF(AND(booking!AB8&gt;0,booking!P8&lt;&gt;booking!Q8),VLOOKUP(booking!Q8,Database!$A$1:'Database'!$M$188,6,FALSE),"-"),"-")</f>
        <v>46060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IFERROR(IF(AND(booking!AB8&gt;0,booking!T8&lt;&gt;booking!U8),VLOOKUP(booking!U8,Database!$A$1:'Database'!$M$188,6,FALSE),"-"),"-")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IFERROR(IF(AND(booking!AB9&gt;0,booking!D9&lt;&gt;booking!E9),VLOOKUP(booking!E9,Database!$A$1:'Database'!$M$188,6,FALSE),"-"),"-")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IFERROR(IF(AND(booking!AB9&gt;0,booking!H9&lt;&gt;booking!I9),VLOOKUP(booking!I9,Database!$A$1:'Database'!$M$188,6,FALSE),"-"),"-")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IFERROR(IF(AND(booking!AB9&gt;0,booking!L9&lt;&gt;booking!M9),VLOOKUP(booking!M9,Database!$A$1:'Database'!$M$188,6,FALSE),"-"),"-")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IFERROR(IF(AND(booking!AB9&gt;0,booking!P9&lt;&gt;booking!Q9),VLOOKUP(booking!Q9,Database!$A$1:'Database'!$M$188,6,FALSE),"-"),"-")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IFERROR(IF(AND(booking!AB9&gt;0,booking!T9&lt;&gt;booking!U9),VLOOKUP(booking!U9,Database!$A$1:'Database'!$M$188,6,FALSE),"-"),"-")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IFERROR(IF(AND(booking!AB10&gt;0,booking!D10&lt;&gt;booking!E10),VLOOKUP(booking!E10,Database!$A$1:'Database'!$M$188,6,FALSE),"-"),"-")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IFERROR(IF(AND(booking!AB10&gt;0,booking!H10&lt;&gt;booking!I11),VLOOKUP(booking!I11,Database!$A$1:'Database'!$M$188,6,FALSE),"-"),"-")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IFERROR(IF(AND(booking!AB10&gt;0,booking!L10&lt;&gt;booking!M10),VLOOKUP(booking!M10,Database!$A$1:'Database'!$M$188,6,FALSE),"-"),"-")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IFERROR(IF(AND(booking!AB10&gt;0,booking!P10&lt;&gt;booking!Q10),VLOOKUP(booking!Q10,Database!$A$1:'Database'!$M$188,6,FALSE),"-"),"-")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IFERROR(IF(AND(booking!AB10&gt;0,booking!T10&lt;&gt;booking!U10),VLOOKUP(booking!U10,Database!$A$1:'Database'!$M$188,6,FALSE),"-"),"-")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IFERROR(IF(AND(booking!AB11&gt;0,booking!D11&lt;&gt;booking!E11),VLOOKUP(booking!E11,Database!$A$1:'Database'!$M$188,6,FALSE),"-"),"-")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IFERROR(IF(AND(booking!AB11&gt;0,booking!H11&lt;&gt;booking!#REF!),VLOOKUP(booking!#REF!,Database!$A$1:'Database'!$M$188,6,FALSE),"-"),"-")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IFERROR(IF(AND(booking!AB11&gt;0,booking!L11&lt;&gt;booking!M11),VLOOKUP(booking!M11,Database!$A$1:'Database'!$M$188,6,FALSE),"-"),"-")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IFERROR(IF(AND(booking!AB11&gt;0,booking!P11&lt;&gt;booking!Q11),VLOOKUP(booking!Q11,Database!$A$1:'Database'!$M$188,6,FALSE),"-"),"-")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IFERROR(IF(AND(booking!AB11&gt;0,booking!T11&lt;&gt;booking!U11),VLOOKUP(booking!U11,Database!$A$1:'Database'!$M$188,6,FALSE),"-"),"-")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IFERROR(IF(AND(booking!AB12&gt;0,booking!D12&lt;&gt;booking!E12),VLOOKUP(booking!E12,Database!$A$1:'Database'!$M$188,6,FALSE),"-"),"-")</f>
        <v>-</v>
      </c>
      <c r="F12" s="51" t="str">
        <f>IF(AND(booking!H12&lt;&gt;booking!I12,booking!H12&gt;0),"udc","-")</f>
        <v>-</v>
      </c>
      <c r="G12" s="47">
        <f>IFERROR(IF(AND(booking!AB12&gt;0,booking!H12&lt;&gt;booking!I12),VLOOKUP(booking!I12,Database!$A$1:'Database'!$M$188,6,FALSE),"-"),"-")</f>
        <v>46074</v>
      </c>
      <c r="H12" s="51" t="str">
        <f>IF(AND(booking!L12&lt;&gt;booking!M12,booking!L12&gt;0),"udc","-")</f>
        <v>-</v>
      </c>
      <c r="I12" s="47">
        <f>IFERROR(IF(AND(booking!AB12&gt;0,booking!L12&lt;&gt;booking!M12),VLOOKUP(booking!M12,Database!$A$1:'Database'!$M$188,6,FALSE),"-"),"-")</f>
        <v>46074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IFERROR(IF(AND(booking!AB12&gt;0,booking!P12&lt;&gt;booking!Q12),VLOOKUP(booking!Q12,Database!$A$1:'Database'!$M$188,6,FALSE),"-"),"-")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IFERROR(IF(AND(booking!AB12&gt;0,booking!T12&lt;&gt;booking!U12),VLOOKUP(booking!U12,Database!$A$1:'Database'!$M$188,6,FALSE),"-"),"-")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IFERROR(IF(AND(booking!AB13&gt;0,booking!D13&lt;&gt;booking!E13),VLOOKUP(booking!E13,Database!$A$1:'Database'!$M$188,6,FALSE),"-"),"-")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IFERROR(IF(AND(booking!AB13&gt;0,booking!H13&lt;&gt;booking!I13),VLOOKUP(booking!I13,Database!$A$1:'Database'!$M$188,6,FALSE),"-"),"-")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IFERROR(IF(AND(booking!AB13&gt;0,booking!L13&lt;&gt;booking!M13),VLOOKUP(booking!M13,Database!$A$1:'Database'!$M$188,6,FALSE),"-"),"-")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IFERROR(IF(AND(booking!AB13&gt;0,booking!P13&lt;&gt;booking!Q13),VLOOKUP(booking!Q13,Database!$A$1:'Database'!$M$188,6,FALSE),"-"),"-")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IFERROR(IF(AND(booking!AB13&gt;0,booking!T13&lt;&gt;booking!U13),VLOOKUP(booking!U13,Database!$A$1:'Database'!$M$188,6,FALSE),"-"),"-")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IFERROR(IF(AND(booking!AB14&gt;0,booking!#REF!&lt;&gt;booking!D14),VLOOKUP(booking!D14,Database!$A$1:'Database'!$M$188,6,FALSE),"-"),"-")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IFERROR(IF(AND(booking!AB14&gt;0,booking!H14&lt;&gt;booking!I14),VLOOKUP(booking!I14,Database!$A$1:'Database'!$M$188,6,FALSE),"-"),"-")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IFERROR(IF(AND(booking!AB14&gt;0,booking!L14&lt;&gt;booking!M14),VLOOKUP(booking!M14,Database!$A$1:'Database'!$M$188,6,FALSE),"-"),"-")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IFERROR(IF(AND(booking!AB14&gt;0,booking!P14&lt;&gt;booking!Q14),VLOOKUP(booking!Q14,Database!$A$1:'Database'!$M$188,6,FALSE),"-"),"-")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IFERROR(IF(AND(booking!AB14&gt;0,booking!T14&lt;&gt;booking!U14),VLOOKUP(booking!U14,Database!$A$1:'Database'!$M$188,6,FALSE),"-"),"-")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IFERROR(IF(AND(booking!AB15&gt;0,booking!D15&lt;&gt;booking!E15),VLOOKUP(booking!E15,Database!$A$1:'Database'!$M$188,6,FALSE),"-"),"-")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IFERROR(IF(AND(booking!AB15&gt;0,booking!H15&lt;&gt;booking!I15),VLOOKUP(booking!I15,Database!$A$1:'Database'!$M$188,6,FALSE),"-"),"-")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IFERROR(IF(AND(booking!AB15&gt;0,booking!L15&lt;&gt;booking!M15),VLOOKUP(booking!M15,Database!$A$1:'Database'!$M$188,6,FALSE),"-"),"-")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IFERROR(IF(AND(booking!AB15&gt;0,booking!P15&lt;&gt;booking!Q15),VLOOKUP(booking!Q15,Database!$A$1:'Database'!$M$188,6,FALSE),"-"),"-")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IFERROR(IF(AND(booking!AB15&gt;0,booking!T15&lt;&gt;booking!U15),VLOOKUP(booking!U15,Database!$A$1:'Database'!$M$188,6,FALSE),"-"),"-")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IFERROR(IF(AND(booking!AB16&gt;0,booking!D16&lt;&gt;booking!E16),VLOOKUP(booking!E16,Database!$A$1:'Database'!$M$188,6,FALSE),"-"),"-")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IFERROR(IF(AND(booking!AB16&gt;0,booking!H16&lt;&gt;booking!I16),VLOOKUP(booking!I16,Database!$A$1:'Database'!$M$188,6,FALSE),"-"),"-")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IFERROR(IF(AND(booking!AB16&gt;0,booking!L16&lt;&gt;booking!M16),VLOOKUP(booking!M16,Database!$A$1:'Database'!$M$188,6,FALSE),"-"),"-")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IFERROR(IF(AND(booking!AB16&gt;0,booking!P16&lt;&gt;booking!Q16),VLOOKUP(booking!Q16,Database!$A$1:'Database'!$M$188,6,FALSE),"-"),"-")</f>
        <v>-</v>
      </c>
      <c r="L16" s="51" t="str">
        <f>IF(AND(booking!T16&lt;&gt;booking!U16,booking!T16&gt;0),"udc","-")</f>
        <v>-</v>
      </c>
      <c r="M16" s="47">
        <f>IFERROR(IF(AND(booking!AB16&gt;0,booking!T16&lt;&gt;booking!U16),VLOOKUP(booking!U16,Database!$A$1:'Database'!$M$188,6,FALSE),"-"),"-")</f>
        <v>46048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IFERROR(IF(AND(booking!AB17&gt;0,booking!D17&lt;&gt;booking!E17),VLOOKUP(booking!E17,Database!$A$1:'Database'!$M$188,6,FALSE),"-"),"-")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IFERROR(IF(AND(booking!AB17&gt;0,booking!H17&lt;&gt;booking!I17),VLOOKUP(booking!I17,Database!$A$1:'Database'!$M$188,6,FALSE),"-"),"-")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IFERROR(IF(AND(booking!AB17&gt;0,booking!L17&lt;&gt;booking!M17),VLOOKUP(booking!M17,Database!$A$1:'Database'!$M$188,6,FALSE),"-"),"-")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IFERROR(IF(AND(booking!AB17&gt;0,booking!P17&lt;&gt;booking!Q17),VLOOKUP(booking!Q17,Database!$A$1:'Database'!$M$188,6,FALSE),"-"),"-")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IFERROR(IF(AND(booking!AB17&gt;0,booking!T17&lt;&gt;booking!U17),VLOOKUP(booking!U17,Database!$A$1:'Database'!$M$188,6,FALSE),"-"),"-")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>
        <f>IFERROR(IF(AND(booking!AB18&gt;0,booking!D18&lt;&gt;booking!E18),VLOOKUP(booking!E18,Database!$A$1:'Database'!$M$188,6,FALSE),"-"),"-")</f>
        <v>46041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IFERROR(IF(AND(booking!AB18&gt;0,booking!H18&lt;&gt;booking!I18),VLOOKUP(booking!I18,Database!$A$1:'Database'!$M$188,6,FALSE),"-"),"-")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IFERROR(IF(AND(booking!AB18&gt;0,booking!L18&lt;&gt;booking!M18),VLOOKUP(booking!M18,Database!$A$1:'Database'!$M$188,6,FALSE),"-"),"-")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IFERROR(IF(AND(booking!AB18&gt;0,booking!P18&lt;&gt;booking!Q18),VLOOKUP(booking!Q18,Database!$A$1:'Database'!$M$188,6,FALSE),"-"),"-")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IFERROR(IF(AND(booking!AB18&gt;0,booking!T18&lt;&gt;booking!U18),VLOOKUP(booking!U18,Database!$A$1:'Database'!$M$188,6,FALSE),"-"),"-")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IFERROR(IF(AND(booking!AB19&gt;0,booking!D19&lt;&gt;booking!E19),VLOOKUP(booking!E19,Database!$A$1:'Database'!$M$188,6,FALSE),"-"),"-")</f>
        <v>-</v>
      </c>
      <c r="F19" s="51" t="str">
        <f>IF(AND(booking!H19&lt;&gt;booking!I19,booking!H19&gt;0),"udc","-")</f>
        <v>-</v>
      </c>
      <c r="G19" s="47">
        <f>IFERROR(IF(AND(booking!AB19&gt;0,booking!H19&lt;&gt;booking!I19),VLOOKUP(booking!I19,Database!$A$1:'Database'!$M$188,6,FALSE),"-"),"-")</f>
        <v>46091</v>
      </c>
      <c r="H19" s="51" t="str">
        <f>IF(AND(booking!L19&lt;&gt;booking!M19,booking!L19&gt;0),"udc","-")</f>
        <v>-</v>
      </c>
      <c r="I19" s="47">
        <f>IFERROR(IF(AND(booking!AB19&gt;0,booking!L19&lt;&gt;booking!M19),VLOOKUP(booking!M19,Database!$A$1:'Database'!$M$188,6,FALSE),"-"),"-")</f>
        <v>46098</v>
      </c>
      <c r="J19" s="51" t="str">
        <f>IF(AND(booking!P19&lt;&gt;booking!Q19,booking!P19&gt;0),"udc","-")</f>
        <v>-</v>
      </c>
      <c r="K19" s="47">
        <f>IFERROR(IF(AND(booking!AB19&gt;0,booking!P19&lt;&gt;booking!Q19),VLOOKUP(booking!Q19,Database!$A$1:'Database'!$M$188,6,FALSE),"-"),"-")</f>
        <v>46102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IFERROR(IF(AND(booking!AB19&gt;0,booking!T19&lt;&gt;booking!U19),VLOOKUP(booking!U19,Database!$A$1:'Database'!$M$188,6,FALSE),"-"),"-")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IFERROR(IF(AND(booking!AB20&gt;0,booking!D20&lt;&gt;booking!E20),VLOOKUP(booking!E20,Database!$A$1:'Database'!$M$188,6,FALSE),"-"),"-")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IFERROR(IF(AND(booking!AB20&gt;0,booking!H20&lt;&gt;booking!I20),VLOOKUP(booking!I20,Database!$A$1:'Database'!$M$188,6,FALSE),"-"),"-")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IFERROR(IF(AND(booking!AB20&gt;0,booking!L20&lt;&gt;booking!M20),VLOOKUP(booking!M20,Database!$A$1:'Database'!$M$188,6,FALSE),"-"),"-")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IFERROR(IF(AND(booking!AB20&gt;0,booking!P20&lt;&gt;booking!Q20),VLOOKUP(booking!Q20,Database!$A$1:'Database'!$M$188,6,FALSE),"-"),"-")</f>
        <v>-</v>
      </c>
      <c r="L20" s="51" t="str">
        <f>IF(AND(booking!T20&lt;&gt;booking!U20,booking!T20&gt;0),"udc","-")</f>
        <v>-</v>
      </c>
      <c r="M20" s="47">
        <f>IFERROR(IF(AND(booking!AB20&gt;0,booking!T20&lt;&gt;booking!U20),VLOOKUP(booking!U20,Database!$A$1:'Database'!$M$188,6,FALSE),"-"),"-")</f>
        <v>46095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>
        <f>IFERROR(IF(AND(booking!AB21&gt;0,booking!D21&lt;&gt;booking!E21),VLOOKUP(booking!E21,Database!$A$1:'Database'!$M$188,6,FALSE),"-"),"-")</f>
        <v>45953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IFERROR(IF(AND(booking!AB21&gt;0,booking!H21&lt;&gt;booking!I21),VLOOKUP(booking!I21,Database!$A$1:'Database'!$M$188,6,FALSE),"-"),"-")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IFERROR(IF(AND(booking!AB21&gt;0,booking!L21&lt;&gt;booking!M21),VLOOKUP(booking!M21,Database!$A$1:'Database'!$M$188,6,FALSE),"-"),"-")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IFERROR(IF(AND(booking!AB21&gt;0,booking!P21&lt;&gt;booking!Q21),VLOOKUP(booking!Q21,Database!$A$1:'Database'!$M$188,6,FALSE),"-"),"-")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IFERROR(IF(AND(booking!AB21&gt;0,booking!T21&lt;&gt;booking!U21),VLOOKUP(booking!U21,Database!$A$1:'Database'!$M$188,6,FALSE),"-"),"-")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IFERROR(IF(AND(booking!AB22&gt;0,booking!D22&lt;&gt;booking!E22),VLOOKUP(booking!E22,Database!$A$1:'Database'!$M$188,6,FALSE),"-"),"-")</f>
        <v>-</v>
      </c>
      <c r="F22" s="51" t="str">
        <f>IF(AND(booking!H22&lt;&gt;booking!I22,booking!H22&gt;0),"udc","-")</f>
        <v>udc</v>
      </c>
      <c r="G22" s="47">
        <f>IFERROR(IF(AND(booking!AB22&gt;0,booking!H22&lt;&gt;booking!I22),VLOOKUP(booking!I22,Database!$A$1:'Database'!$M$188,6,FALSE),"-"),"-")</f>
        <v>46118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IFERROR(IF(AND(booking!AB22&gt;0,booking!L22&lt;&gt;booking!M22),VLOOKUP(booking!M22,Database!$A$1:'Database'!$M$188,6,FALSE),"-"),"-")</f>
        <v>-</v>
      </c>
      <c r="J22" s="51" t="str">
        <f>IF(AND(booking!P22&lt;&gt;booking!Q22,booking!P22&gt;0),"udc","-")</f>
        <v>udc</v>
      </c>
      <c r="K22" s="47">
        <f>IFERROR(IF(AND(booking!AB22&gt;0,booking!P22&lt;&gt;booking!Q22),VLOOKUP(booking!Q22,Database!$A$1:'Database'!$M$188,6,FALSE),"-"),"-")</f>
        <v>46099</v>
      </c>
      <c r="L22" s="51" t="str">
        <f>IF(AND(booking!T22&lt;&gt;booking!U22,booking!T22&gt;0),"udc","-")</f>
        <v>udc</v>
      </c>
      <c r="M22" s="47">
        <f>IFERROR(IF(AND(booking!AB22&gt;0,booking!T22&lt;&gt;booking!U22),VLOOKUP(booking!U22,Database!$A$1:'Database'!$M$188,6,FALSE),"-"),"-")</f>
        <v>45954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IFERROR(IF(AND(booking!AB23&gt;0,booking!D23&lt;&gt;booking!E23),VLOOKUP(booking!E23,Database!$A$1:'Database'!$M$188,6,FALSE),"-"),"-")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IFERROR(IF(AND(booking!AB23&gt;0,booking!H23&lt;&gt;booking!I23),VLOOKUP(booking!I23,Database!$A$1:'Database'!$M$188,6,FALSE),"-"),"-")</f>
        <v>-</v>
      </c>
      <c r="H23" s="51" t="str">
        <f>IF(AND(booking!L23&lt;&gt;booking!M23,booking!L23&gt;0),"udc","-")</f>
        <v>-</v>
      </c>
      <c r="I23" s="47">
        <f>IFERROR(IF(AND(booking!AB23&gt;0,booking!L23&lt;&gt;booking!M23),VLOOKUP(booking!M23,Database!$A$1:'Database'!$M$188,6,FALSE),"-"),"-")</f>
        <v>46109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IFERROR(IF(AND(booking!AB23&gt;0,booking!P23&lt;&gt;booking!Q23),VLOOKUP(booking!Q23,Database!$A$1:'Database'!$M$188,6,FALSE),"-"),"-")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IFERROR(IF(AND(booking!AB23&gt;0,booking!T23&lt;&gt;booking!U23),VLOOKUP(booking!U23,Database!$A$1:'Database'!$M$188,6,FALSE),"-"),"-")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IFERROR(IF(AND(booking!AB24&gt;0,booking!D24&lt;&gt;booking!E24),VLOOKUP(booking!E24,Database!$A$1:'Database'!$M$188,6,FALSE),"-"),"-")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IFERROR(IF(AND(booking!AB24&gt;0,booking!H24&lt;&gt;booking!I24),VLOOKUP(booking!I24,Database!$A$1:'Database'!$M$188,6,FALSE),"-"),"-")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IFERROR(IF(AND(booking!AB24&gt;0,booking!L24&lt;&gt;booking!M24),VLOOKUP(booking!M24,Database!$A$1:'Database'!$M$188,6,FALSE),"-"),"-")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IFERROR(IF(AND(booking!AB24&gt;0,booking!P24&lt;&gt;booking!Q24),VLOOKUP(booking!Q24,Database!$A$1:'Database'!$M$188,6,FALSE),"-"),"-")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IFERROR(IF(AND(booking!AB24&gt;0,booking!T24&lt;&gt;booking!U24),VLOOKUP(booking!U24,Database!$A$1:'Database'!$M$188,6,FALSE),"-"),"-")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IFERROR(IF(AND(booking!AB25&gt;0,booking!D25&lt;&gt;booking!E25),VLOOKUP(booking!E25,Database!$A$1:'Database'!$M$188,6,FALSE),"-"),"-")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IFERROR(IF(AND(booking!AB25&gt;0,booking!H25&lt;&gt;booking!I25),VLOOKUP(booking!I25,Database!$A$1:'Database'!$M$188,6,FALSE),"-"),"-")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IFERROR(IF(AND(booking!AB25&gt;0,booking!L25&lt;&gt;booking!M25),VLOOKUP(booking!M25,Database!$A$1:'Database'!$M$188,6,FALSE),"-"),"-")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IFERROR(IF(AND(booking!AB25&gt;0,booking!P25&lt;&gt;booking!Q25),VLOOKUP(booking!Q25,Database!$A$1:'Database'!$M$188,6,FALSE),"-"),"-")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IFERROR(IF(AND(booking!AB25&gt;0,booking!T25&lt;&gt;booking!U25),VLOOKUP(booking!U25,Database!$A$1:'Database'!$M$188,6,FALSE),"-"),"-")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>
        <f>IFERROR(IF(AND(booking!AB26&gt;0,booking!D26&lt;&gt;booking!E26),VLOOKUP(booking!E26,Database!$A$1:'Database'!$M$188,6,FALSE),"-"),"-")</f>
        <v>46008</v>
      </c>
      <c r="F26" s="51" t="str">
        <f>IF(AND(booking!H26&lt;&gt;booking!I26,booking!H26&gt;0),"udc","-")</f>
        <v>udc</v>
      </c>
      <c r="G26" s="47">
        <f>IFERROR(IF(AND(booking!AB26&gt;0,booking!H26&lt;&gt;booking!I26),VLOOKUP(booking!I26,Database!$A$1:'Database'!$M$188,6,FALSE),"-"),"-")</f>
        <v>46008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IFERROR(IF(AND(booking!AB26&gt;0,booking!L26&lt;&gt;booking!M26),VLOOKUP(booking!M26,Database!$A$1:'Database'!$M$188,6,FALSE),"-"),"-")</f>
        <v>-</v>
      </c>
      <c r="J26" s="51" t="str">
        <f>IF(AND(booking!P26&lt;&gt;booking!Q26,booking!P26&gt;0),"udc","-")</f>
        <v>udc</v>
      </c>
      <c r="K26" s="47">
        <f>IFERROR(IF(AND(booking!AB26&gt;0,booking!P26&lt;&gt;booking!Q26),VLOOKUP(booking!Q26,Database!$A$1:'Database'!$M$188,6,FALSE),"-"),"-")</f>
        <v>46008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IFERROR(IF(AND(booking!AB26&gt;0,booking!T26&lt;&gt;booking!U26),VLOOKUP(booking!U26,Database!$A$1:'Database'!$M$188,6,FALSE),"-"),"-")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IFERROR(IF(AND(booking!AB27&gt;0,booking!D27&lt;&gt;booking!E27),VLOOKUP(booking!E27,Database!$A$1:'Database'!$M$188,6,FALSE),"-"),"-")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IFERROR(IF(AND(booking!AB27&gt;0,booking!H27&lt;&gt;booking!I27),VLOOKUP(booking!I27,Database!$A$1:'Database'!$M$188,6,FALSE),"-"),"-")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IFERROR(IF(AND(booking!AB27&gt;0,booking!L27&lt;&gt;booking!M27),VLOOKUP(booking!M27,Database!$A$1:'Database'!$M$188,6,FALSE),"-"),"-")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IFERROR(IF(AND(booking!AB27&gt;0,booking!P27&lt;&gt;booking!Q27),VLOOKUP(booking!Q27,Database!$A$1:'Database'!$M$188,6,FALSE),"-"),"-")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IFERROR(IF(AND(booking!AB27&gt;0,booking!T27&lt;&gt;booking!U27),VLOOKUP(booking!U27,Database!$A$1:'Database'!$M$188,6,FALSE),"-"),"-")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IFERROR(IF(AND(booking!AB28&gt;0,booking!D28&lt;&gt;booking!E28),VLOOKUP(booking!E28,Database!$A$1:'Database'!$M$188,6,FALSE),"-"),"-")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IFERROR(IF(AND(booking!AB28&gt;0,booking!H28&lt;&gt;booking!I28),VLOOKUP(booking!I28,Database!$A$1:'Database'!$M$188,6,FALSE),"-"),"-")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IFERROR(IF(AND(booking!AB28&gt;0,booking!L28&lt;&gt;booking!M28),VLOOKUP(booking!M28,Database!$A$1:'Database'!$M$188,6,FALSE),"-"),"-")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IFERROR(IF(AND(booking!AB28&gt;0,booking!P28&lt;&gt;booking!Q28),VLOOKUP(booking!Q28,Database!$A$1:'Database'!$M$188,6,FALSE),"-"),"-")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IFERROR(IF(AND(booking!AB28&gt;0,booking!T28&lt;&gt;booking!U28),VLOOKUP(booking!U28,Database!$A$1:'Database'!$M$188,6,FALSE),"-"),"-")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IFERROR(IF(AND(booking!AB29&gt;0,booking!D29&lt;&gt;booking!E29),VLOOKUP(booking!E29,Database!$A$1:'Database'!$M$188,6,FALSE),"-"),"-")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IFERROR(IF(AND(booking!AB29&gt;0,booking!H29&lt;&gt;booking!I29),VLOOKUP(booking!I29,Database!$A$1:'Database'!$M$188,6,FALSE),"-"),"-")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IFERROR(IF(AND(booking!AB29&gt;0,booking!L29&lt;&gt;booking!M29),VLOOKUP(booking!M29,Database!$A$1:'Database'!$M$188,6,FALSE),"-"),"-")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IFERROR(IF(AND(booking!AB29&gt;0,booking!P29&lt;&gt;booking!Q29),VLOOKUP(booking!Q29,Database!$A$1:'Database'!$M$188,6,FALSE),"-"),"-")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IFERROR(IF(AND(booking!AB29&gt;0,booking!T29&lt;&gt;booking!U29),VLOOKUP(booking!U29,Database!$A$1:'Database'!$M$188,6,FALSE),"-"),"-")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IFERROR(IF(AND(booking!AB30&gt;0,booking!D30&lt;&gt;booking!E30),VLOOKUP(booking!E30,Database!$A$1:'Database'!$M$188,6,FALSE),"-"),"-")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IFERROR(IF(AND(booking!AB30&gt;0,booking!H30&lt;&gt;booking!I30),VLOOKUP(booking!I30,Database!$A$1:'Database'!$M$188,6,FALSE),"-"),"-")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IFERROR(IF(AND(booking!AB30&gt;0,booking!L30&lt;&gt;booking!M30),VLOOKUP(booking!M30,Database!$A$1:'Database'!$M$188,6,FALSE),"-"),"-")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IFERROR(IF(AND(booking!AB30&gt;0,booking!P30&lt;&gt;booking!Q30),VLOOKUP(booking!Q30,Database!$A$1:'Database'!$M$188,6,FALSE),"-"),"-")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IFERROR(IF(AND(booking!AB30&gt;0,booking!T30&lt;&gt;booking!U30),VLOOKUP(booking!U30,Database!$A$1:'Database'!$M$188,6,FALSE),"-"),"-")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IFERROR(IF(AND(booking!AB31&gt;0,booking!D31&lt;&gt;booking!E31),VLOOKUP(booking!E31,Database!$A$1:'Database'!$M$188,6,FALSE),"-"),"-")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IFERROR(IF(AND(booking!AB31&gt;0,booking!H31&lt;&gt;booking!I31),VLOOKUP(booking!I31,Database!$A$1:'Database'!$M$188,6,FALSE),"-"),"-")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IFERROR(IF(AND(booking!AB31&gt;0,booking!L31&lt;&gt;booking!M31),VLOOKUP(booking!M31,Database!$A$1:'Database'!$M$188,6,FALSE),"-"),"-")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IFERROR(IF(AND(booking!AB31&gt;0,booking!P31&lt;&gt;booking!Q31),VLOOKUP(booking!Q31,Database!$A$1:'Database'!$M$188,6,FALSE),"-"),"-")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IFERROR(IF(AND(booking!AB31&gt;0,booking!T31&lt;&gt;booking!U31),VLOOKUP(booking!U31,Database!$A$1:'Database'!$M$188,6,FALSE),"-"),"-")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>
        <f>IFERROR(IF(AND(booking!AB32&gt;0,booking!D32&lt;&gt;booking!E32),VLOOKUP(booking!E32,Database!$A$1:'Database'!$M$188,6,FALSE),"-"),"-")</f>
        <v>46154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IFERROR(IF(AND(booking!AB32&gt;0,booking!H32&lt;&gt;booking!I32),VLOOKUP(booking!I32,Database!$A$1:'Database'!$M$188,6,FALSE),"-"),"-")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IFERROR(IF(AND(booking!AB32&gt;0,booking!L32&lt;&gt;booking!M32),VLOOKUP(booking!M32,Database!$A$1:'Database'!$M$188,6,FALSE),"-"),"-")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IFERROR(IF(AND(booking!AB32&gt;0,booking!P32&lt;&gt;booking!Q32),VLOOKUP(booking!Q32,Database!$A$1:'Database'!$M$188,6,FALSE),"-"),"-")</f>
        <v>-</v>
      </c>
      <c r="L32" s="51" t="str">
        <f>IF(AND(booking!T32&lt;&gt;booking!U32,booking!T32&gt;0),"udc","-")</f>
        <v>-</v>
      </c>
      <c r="M32" s="47">
        <f>IFERROR(IF(AND(booking!AB32&gt;0,booking!T32&lt;&gt;booking!U32),VLOOKUP(booking!U32,Database!$A$1:'Database'!$M$188,6,FALSE),"-"),"-")</f>
        <v>45903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IFERROR(IF(AND(booking!AB33&gt;0,booking!D33&lt;&gt;booking!E33),VLOOKUP(booking!E33,Database!$A$1:'Database'!$M$188,6,FALSE),"-"),"-")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IFERROR(IF(AND(booking!AB33&gt;0,booking!H33&lt;&gt;booking!I33),VLOOKUP(booking!I33,Database!$A$1:'Database'!$M$188,6,FALSE),"-"),"-")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IFERROR(IF(AND(booking!AB33&gt;0,booking!L33&lt;&gt;booking!M33),VLOOKUP(booking!M33,Database!$A$1:'Database'!$M$188,6,FALSE),"-"),"-")</f>
        <v>-</v>
      </c>
      <c r="J33" s="51" t="str">
        <f>IF(AND(booking!P33&lt;&gt;booking!Q33,booking!P33&gt;0),"udc","-")</f>
        <v>-</v>
      </c>
      <c r="K33" s="47">
        <f>IFERROR(IF(AND(booking!AB33&gt;0,booking!P33&lt;&gt;booking!Q33),VLOOKUP(booking!Q33,Database!$A$1:'Database'!$M$188,6,FALSE),"-"),"-")</f>
        <v>46163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IFERROR(IF(AND(booking!AB33&gt;0,booking!T33&lt;&gt;booking!U33),VLOOKUP(booking!U33,Database!$A$1:'Database'!$M$188,6,FALSE),"-"),"-")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IFERROR(IF(AND(booking!AB34&gt;0,booking!D34&lt;&gt;booking!E34),VLOOKUP(booking!E34,Database!$A$1:'Database'!$M$188,6,FALSE),"-"),"-")</f>
        <v>-</v>
      </c>
      <c r="F34" s="51" t="str">
        <f>IF(AND(booking!H34&lt;&gt;booking!I34,booking!H34&gt;0),"udc","-")</f>
        <v>-</v>
      </c>
      <c r="G34" s="47">
        <f>IFERROR(IF(AND(booking!AB34&gt;0,booking!H34&lt;&gt;booking!I34),VLOOKUP(booking!I34,Database!$A$1:'Database'!$M$188,6,FALSE),"-"),"-")</f>
        <v>46149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IFERROR(IF(AND(booking!AB34&gt;0,booking!L34&lt;&gt;booking!M34),VLOOKUP(booking!M34,Database!$A$1:'Database'!$M$188,6,FALSE),"-"),"-")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IFERROR(IF(AND(booking!AB34&gt;0,booking!P34&lt;&gt;booking!Q34),VLOOKUP(booking!Q34,Database!$A$1:'Database'!$M$188,6,FALSE),"-"),"-")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IFERROR(IF(AND(booking!AB34&gt;0,booking!T34&lt;&gt;booking!U34),VLOOKUP(booking!U34,Database!$A$1:'Database'!$M$188,6,FALSE),"-"),"-")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IFERROR(IF(AND(booking!AB35&gt;0,booking!D35&lt;&gt;booking!E35),VLOOKUP(booking!E35,Database!$A$1:'Database'!$M$188,6,FALSE),"-"),"-")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IFERROR(IF(AND(booking!AB35&gt;0,booking!H35&lt;&gt;booking!I35),VLOOKUP(booking!I35,Database!$A$1:'Database'!$M$188,6,FALSE),"-"),"-")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IFERROR(IF(AND(booking!AB35&gt;0,booking!L35&lt;&gt;booking!M35),VLOOKUP(booking!M35,Database!$A$1:'Database'!$M$188,6,FALSE),"-"),"-")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IFERROR(IF(AND(booking!AB35&gt;0,booking!P35&lt;&gt;booking!Q35),VLOOKUP(booking!Q35,Database!$A$1:'Database'!$M$188,6,FALSE),"-"),"-")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IFERROR(IF(AND(booking!AB35&gt;0,booking!T35&lt;&gt;booking!U35),VLOOKUP(booking!U35,Database!$A$1:'Database'!$M$188,6,FALSE),"-"),"-")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>
        <f>IFERROR(IF(AND(booking!AB36&gt;0,booking!D36&lt;&gt;booking!E36),VLOOKUP(booking!E36,Database!$A$1:'Database'!$M$188,6,FALSE),"-"),"-")</f>
        <v>46130</v>
      </c>
      <c r="F36" s="51" t="str">
        <f>IF(AND(booking!H36&lt;&gt;booking!I36,booking!H36&gt;0),"udc","-")</f>
        <v>udc</v>
      </c>
      <c r="G36" s="47">
        <f>IFERROR(IF(AND(booking!AB36&gt;0,booking!H36&lt;&gt;booking!I36),VLOOKUP(booking!I36,Database!$A$1:'Database'!$M$188,6,FALSE),"-"),"-")</f>
        <v>46073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IFERROR(IF(AND(booking!AB36&gt;0,booking!L36&lt;&gt;booking!M36),VLOOKUP(booking!M36,Database!$A$1:'Database'!$M$188,6,FALSE),"-"),"-")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IFERROR(IF(AND(booking!AB36&gt;0,booking!P36&lt;&gt;booking!Q36),VLOOKUP(booking!Q36,Database!$A$1:'Database'!$M$188,6,FALSE),"-"),"-")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IFERROR(IF(AND(booking!AB36&gt;0,booking!T36&lt;&gt;booking!U36),VLOOKUP(booking!U36,Database!$A$1:'Database'!$M$188,6,FALSE),"-"),"-")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IFERROR(IF(AND(booking!AB37&gt;0,booking!D37&lt;&gt;booking!E37),VLOOKUP(booking!E37,Database!$A$1:'Database'!$M$188,6,FALSE),"-"),"-")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IFERROR(IF(AND(booking!AB37&gt;0,booking!H37&lt;&gt;booking!I37),VLOOKUP(booking!I37,Database!$A$1:'Database'!$M$188,6,FALSE),"-"),"-")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IFERROR(IF(AND(booking!AB37&gt;0,booking!L37&lt;&gt;booking!M37),VLOOKUP(booking!M37,Database!$A$1:'Database'!$M$188,6,FALSE),"-"),"-")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IFERROR(IF(AND(booking!AB37&gt;0,booking!P37&lt;&gt;booking!Q37),VLOOKUP(booking!Q37,Database!$A$1:'Database'!$M$188,6,FALSE),"-"),"-")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IFERROR(IF(AND(booking!AB37&gt;0,booking!T37&lt;&gt;booking!U37),VLOOKUP(booking!U37,Database!$A$1:'Database'!$M$188,6,FALSE),"-"),"-")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IFERROR(IF(AND(booking!AB38&gt;0,booking!D38&lt;&gt;booking!E38),VLOOKUP(booking!E38,Database!$A$1:'Database'!$M$188,6,FALSE),"-"),"-")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IFERROR(IF(AND(booking!AB38&gt;0,booking!H38&lt;&gt;booking!I38),VLOOKUP(booking!I38,Database!$A$1:'Database'!$M$188,6,FALSE),"-"),"-")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IFERROR(IF(AND(booking!AB38&gt;0,booking!L38&lt;&gt;booking!M38),VLOOKUP(booking!M38,Database!$A$1:'Database'!$M$188,6,FALSE),"-"),"-")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IFERROR(IF(AND(booking!AB38&gt;0,booking!P38&lt;&gt;booking!Q38),VLOOKUP(booking!Q38,Database!$A$1:'Database'!$M$188,6,FALSE),"-"),"-")</f>
        <v>-</v>
      </c>
      <c r="L38" s="51" t="str">
        <f>IF(AND(booking!T38&lt;&gt;booking!U38,booking!T38&gt;0),"udc","-")</f>
        <v>-</v>
      </c>
      <c r="M38" s="47">
        <f>IFERROR(IF(AND(booking!AB38&gt;0,booking!T38&lt;&gt;booking!U38),VLOOKUP(booking!U38,Database!$A$1:'Database'!$M$188,6,FALSE),"-"),"-")</f>
        <v>45977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IFERROR(IF(AND(booking!AB39&gt;0,booking!D39&lt;&gt;booking!E39),VLOOKUP(booking!E39,Database!$A$1:'Database'!$M$188,6,FALSE),"-"),"-")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IFERROR(IF(AND(booking!AB39&gt;0,booking!H39&lt;&gt;booking!I39),VLOOKUP(booking!I39,Database!$A$1:'Database'!$M$188,6,FALSE),"-"),"-")</f>
        <v>-</v>
      </c>
      <c r="H39" s="51" t="str">
        <f>IF(AND(booking!L39&lt;&gt;booking!M39,booking!L39&gt;0),"udc","-")</f>
        <v>-</v>
      </c>
      <c r="I39" s="47">
        <f>IFERROR(IF(AND(booking!AB39&gt;0,booking!L39&lt;&gt;booking!M39),VLOOKUP(booking!M39,Database!$A$1:'Database'!$M$188,6,FALSE),"-"),"-")</f>
        <v>46021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IFERROR(IF(AND(booking!AB39&gt;0,booking!P39&lt;&gt;booking!Q39),VLOOKUP(booking!Q39,Database!$A$1:'Database'!$M$188,6,FALSE),"-"),"-")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IFERROR(IF(AND(booking!AB39&gt;0,booking!T39&lt;&gt;booking!U39),VLOOKUP(booking!U39,Database!$A$1:'Database'!$M$188,6,FALSE),"-"),"-")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IFERROR(IF(AND(booking!AB40&gt;0,booking!D40&lt;&gt;booking!E40),VLOOKUP(booking!E40,Database!$A$1:'Database'!$M$188,6,FALSE),"-"),"-")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IFERROR(IF(AND(booking!AB40&gt;0,booking!H40&lt;&gt;booking!I40),VLOOKUP(booking!I40,Database!$A$1:'Database'!$M$188,6,FALSE),"-"),"-")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IFERROR(IF(AND(booking!AB40&gt;0,booking!L40&lt;&gt;booking!M40),VLOOKUP(booking!M40,Database!$A$1:'Database'!$M$188,6,FALSE),"-"),"-")</f>
        <v>-</v>
      </c>
      <c r="J40" s="51" t="str">
        <f>IF(AND(booking!P40&lt;&gt;booking!Q40,booking!P40&gt;0),"udc","-")</f>
        <v>-</v>
      </c>
      <c r="K40" s="47">
        <f>IFERROR(IF(AND(booking!AB40&gt;0,booking!P40&lt;&gt;booking!Q40),VLOOKUP(booking!Q40,Database!$A$1:'Database'!$M$188,6,FALSE),"-"),"-")</f>
        <v>46126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IFERROR(IF(AND(booking!AB40&gt;0,booking!T40&lt;&gt;booking!U40),VLOOKUP(booking!U40,Database!$A$1:'Database'!$M$188,6,FALSE),"-"),"-")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>
        <f>IFERROR(IF(AND(booking!AB41&gt;0,booking!D41&lt;&gt;booking!E41),VLOOKUP(booking!E41,Database!$A$1:'Database'!$M$188,6,FALSE),"-"),"-")</f>
        <v>45910</v>
      </c>
      <c r="F41" s="51" t="str">
        <f>IF(AND(booking!H41&lt;&gt;booking!I41,booking!H41&gt;0),"udc","-")</f>
        <v>udc</v>
      </c>
      <c r="G41" s="47">
        <f>IFERROR(IF(AND(booking!AB41&gt;0,booking!H41&lt;&gt;booking!I41),VLOOKUP(booking!I41,Database!$A$1:'Database'!$M$188,6,FALSE),"-"),"-")</f>
        <v>45910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IFERROR(IF(AND(booking!AB41&gt;0,booking!L41&lt;&gt;booking!M41),VLOOKUP(booking!M41,Database!$A$1:'Database'!$M$188,6,FALSE),"-"),"-")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IFERROR(IF(AND(booking!AB41&gt;0,booking!P41&lt;&gt;booking!Q41),VLOOKUP(booking!Q41,Database!$A$1:'Database'!$M$188,6,FALSE),"-"),"-")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IFERROR(IF(AND(booking!AB41&gt;0,booking!T41&lt;&gt;booking!U41),VLOOKUP(booking!U41,Database!$A$1:'Database'!$M$188,6,FALSE),"-"),"-")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IFERROR(IF(AND(booking!AB42&gt;0,booking!D42&lt;&gt;booking!E42),VLOOKUP(booking!E42,Database!$A$1:'Database'!$M$188,6,FALSE),"-"),"-")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IFERROR(IF(AND(booking!AB42&gt;0,booking!H42&lt;&gt;booking!I42),VLOOKUP(booking!I42,Database!$A$1:'Database'!$M$188,6,FALSE),"-"),"-")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IFERROR(IF(AND(booking!AB42&gt;0,booking!L42&lt;&gt;booking!M42),VLOOKUP(booking!M42,Database!$A$1:'Database'!$M$188,6,FALSE),"-"),"-")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IFERROR(IF(AND(booking!AB42&gt;0,booking!P42&lt;&gt;booking!Q42),VLOOKUP(booking!Q42,Database!$A$1:'Database'!$M$188,6,FALSE),"-"),"-")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IFERROR(IF(AND(booking!AB42&gt;0,booking!T42&lt;&gt;booking!U42),VLOOKUP(booking!U42,Database!$A$1:'Database'!$M$188,6,FALSE),"-"),"-")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IFERROR(IF(AND(booking!AB43&gt;0,booking!D43&lt;&gt;booking!E43),VLOOKUP(booking!E43,Database!$A$1:'Database'!$M$188,6,FALSE),"-"),"-")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IFERROR(IF(AND(booking!AB43&gt;0,booking!H43&lt;&gt;booking!I43),VLOOKUP(booking!I43,Database!$A$1:'Database'!$M$188,6,FALSE),"-"),"-")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IFERROR(IF(AND(booking!AB43&gt;0,booking!L43&lt;&gt;booking!M43),VLOOKUP(booking!M43,Database!$A$1:'Database'!$M$188,6,FALSE),"-"),"-")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IFERROR(IF(AND(booking!AB43&gt;0,booking!P43&lt;&gt;booking!Q43),VLOOKUP(booking!Q43,Database!$A$1:'Database'!$M$188,6,FALSE),"-"),"-")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IFERROR(IF(AND(booking!AB43&gt;0,booking!T43&lt;&gt;booking!U43),VLOOKUP(booking!U43,Database!$A$1:'Database'!$M$188,6,FALSE),"-"),"-")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IFERROR(IF(AND(booking!AB44&gt;0,booking!D44&lt;&gt;booking!E44),VLOOKUP(booking!E44,Database!$A$1:'Database'!$M$188,6,FALSE),"-"),"-")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IFERROR(IF(AND(booking!AB44&gt;0,booking!H44&lt;&gt;booking!I44),VLOOKUP(booking!I44,Database!$A$1:'Database'!$M$188,6,FALSE),"-"),"-")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IFERROR(IF(AND(booking!AB44&gt;0,booking!L44&lt;&gt;booking!M44),VLOOKUP(booking!M44,Database!$A$1:'Database'!$M$188,6,FALSE),"-"),"-")</f>
        <v>-</v>
      </c>
      <c r="J44" s="51" t="str">
        <f>IF(AND(booking!P44&lt;&gt;booking!Q44,booking!P44&gt;0),"udc","-")</f>
        <v>-</v>
      </c>
      <c r="K44" s="47">
        <f>IFERROR(IF(AND(booking!AB44&gt;0,booking!P44&lt;&gt;booking!Q44),VLOOKUP(booking!Q44,Database!$A$1:'Database'!$M$188,6,FALSE),"-"),"-")</f>
        <v>45866</v>
      </c>
      <c r="L44" s="51" t="str">
        <f>IF(AND(booking!T44&lt;&gt;booking!U44,booking!T44&gt;0),"udc","-")</f>
        <v>-</v>
      </c>
      <c r="M44" s="47">
        <f>IFERROR(IF(AND(booking!AB44&gt;0,booking!T44&lt;&gt;booking!U44),VLOOKUP(booking!U44,Database!$A$1:'Database'!$M$188,6,FALSE),"-"),"-")</f>
        <v>45824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>
        <f>IFERROR(IF(AND(booking!AB45&gt;0,booking!D45&lt;&gt;booking!E45),VLOOKUP(booking!E45,Database!$A$1:'Database'!$M$188,6,FALSE),"-"),"-")</f>
        <v>45832</v>
      </c>
      <c r="F45" s="51" t="str">
        <f>IF(AND(booking!H45&lt;&gt;booking!I45,booking!H45&gt;0),"udc","-")</f>
        <v>-</v>
      </c>
      <c r="G45" s="47">
        <f>IFERROR(IF(AND(booking!AB45&gt;0,booking!H45&lt;&gt;booking!I45),VLOOKUP(booking!I45,Database!$A$1:'Database'!$M$188,6,FALSE),"-"),"-")</f>
        <v>45832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IFERROR(IF(AND(booking!AB45&gt;0,booking!L45&lt;&gt;booking!#REF!),VLOOKUP(booking!#REF!,Database!$A$1:'Database'!$M$188,6,FALSE),"-"),"-")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IFERROR(IF(AND(booking!AB45&gt;0,booking!P45&lt;&gt;booking!Q45),VLOOKUP(booking!Q45,Database!$A$1:'Database'!$M$188,6,FALSE),"-"),"-")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IFERROR(IF(AND(booking!AB45&gt;0,booking!T45&lt;&gt;booking!U45),VLOOKUP(booking!U45,Database!$A$1:'Database'!$M$188,6,FALSE),"-"),"-")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IFERROR(IF(AND(booking!AB46&gt;0,booking!D46&lt;&gt;booking!E46),VLOOKUP(booking!E46,Database!$A$1:'Database'!$M$188,6,FALSE),"-"),"-")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IFERROR(IF(AND(booking!AB46&gt;0,booking!H46&lt;&gt;booking!I46),VLOOKUP(booking!I46,Database!$A$1:'Database'!$M$188,6,FALSE),"-"),"-")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IFERROR(IF(AND(booking!AB46&gt;0,booking!L46&lt;&gt;booking!M45),VLOOKUP(booking!M45,Database!$A$1:'Database'!$M$188,6,FALSE),"-"),"-")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IFERROR(IF(AND(booking!AB46&gt;0,booking!P46&lt;&gt;booking!Q46),VLOOKUP(booking!Q46,Database!$A$1:'Database'!$M$188,6,FALSE),"-"),"-")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IFERROR(IF(AND(booking!AB46&gt;0,booking!T46&lt;&gt;booking!U46),VLOOKUP(booking!U46,Database!$A$1:'Database'!$M$188,6,FALSE),"-"),"-")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IFERROR(IF(AND(booking!AB47&gt;0,booking!D47&lt;&gt;booking!E47),VLOOKUP(booking!E47,Database!$A$1:'Database'!$M$188,6,FALSE),"-"),"-")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IFERROR(IF(AND(booking!AB47&gt;0,booking!H47&lt;&gt;booking!I47),VLOOKUP(booking!I47,Database!$A$1:'Database'!$M$188,6,FALSE),"-"),"-")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IFERROR(IF(AND(booking!AB47&gt;0,booking!L47&lt;&gt;booking!M47),VLOOKUP(booking!M47,Database!$A$1:'Database'!$M$188,6,FALSE),"-"),"-")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IFERROR(IF(AND(booking!AB47&gt;0,booking!P47&lt;&gt;booking!Q47),VLOOKUP(booking!Q47,Database!$A$1:'Database'!$M$188,6,FALSE),"-"),"-")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IFERROR(IF(AND(booking!AB47&gt;0,booking!T47&lt;&gt;booking!U47),VLOOKUP(booking!U47,Database!$A$1:'Database'!$M$188,6,FALSE),"-"),"-")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IFERROR(IF(AND(booking!AB48&gt;0,booking!D48&lt;&gt;booking!E48),VLOOKUP(booking!E48,Database!$A$1:'Database'!$M$188,6,FALSE),"-"),"-")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IFERROR(IF(AND(booking!AB48&gt;0,booking!H48&lt;&gt;booking!I48),VLOOKUP(booking!I48,Database!$A$1:'Database'!$M$188,6,FALSE),"-"),"-")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IFERROR(IF(AND(booking!AB48&gt;0,booking!L48&lt;&gt;booking!M48),VLOOKUP(booking!M48,Database!$A$1:'Database'!$M$188,6,FALSE),"-"),"-")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IFERROR(IF(AND(booking!AB48&gt;0,booking!P48&lt;&gt;booking!Q48),VLOOKUP(booking!Q48,Database!$A$1:'Database'!$M$188,6,FALSE),"-"),"-")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IFERROR(IF(AND(booking!AB48&gt;0,booking!T48&lt;&gt;booking!U48),VLOOKUP(booking!U48,Database!$A$1:'Database'!$M$188,6,FALSE),"-"),"-")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IFERROR(IF(AND(booking!AB49&gt;0,booking!D49&lt;&gt;booking!E49),VLOOKUP(booking!E49,Database!$A$1:'Database'!$M$188,6,FALSE),"-"),"-")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IFERROR(IF(AND(booking!AB49&gt;0,booking!H49&lt;&gt;booking!I49),VLOOKUP(booking!I49,Database!$A$1:'Database'!$M$188,6,FALSE),"-"),"-")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IFERROR(IF(AND(booking!AB49&gt;0,booking!L49&lt;&gt;booking!M49),VLOOKUP(booking!M49,Database!$A$1:'Database'!$M$188,6,FALSE),"-"),"-")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IFERROR(IF(AND(booking!AB49&gt;0,booking!P49&lt;&gt;booking!Q49),VLOOKUP(booking!Q49,Database!$A$1:'Database'!$M$188,6,FALSE),"-"),"-")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IFERROR(IF(AND(booking!AB49&gt;0,booking!T49&lt;&gt;booking!U49),VLOOKUP(booking!U49,Database!$A$1:'Database'!$M$188,6,FALSE),"-"),"-")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IFERROR(IF(AND(booking!AB50&gt;0,booking!D50&lt;&gt;booking!E50),VLOOKUP(booking!E50,Database!$A$1:'Database'!$M$188,6,FALSE),"-"),"-")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IFERROR(IF(AND(booking!AB50&gt;0,booking!H50&lt;&gt;booking!I50),VLOOKUP(booking!I50,Database!$A$1:'Database'!$M$188,6,FALSE),"-"),"-")</f>
        <v>-</v>
      </c>
      <c r="H50" s="51" t="str">
        <f>IF(AND(booking!L50&lt;&gt;booking!M50,booking!L50&gt;0),"udc","-")</f>
        <v>udc</v>
      </c>
      <c r="I50" s="47">
        <f>IFERROR(IF(AND(booking!AB50&gt;0,booking!L50&lt;&gt;booking!M50),VLOOKUP(booking!M50,Database!$A$1:'Database'!$M$188,6,FALSE),"-"),"-")</f>
        <v>46077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IFERROR(IF(AND(booking!AB50&gt;0,booking!P50&lt;&gt;booking!Q50),VLOOKUP(booking!Q50,Database!$A$1:'Database'!$M$188,6,FALSE),"-"),"-")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IFERROR(IF(AND(booking!AB50&gt;0,booking!T50&lt;&gt;booking!U50),VLOOKUP(booking!U50,Database!$A$1:'Database'!$M$188,6,FALSE),"-"),"-")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>
        <f>IFERROR(IF(AND(booking!AB51&gt;0,booking!D51&lt;&gt;booking!E51),VLOOKUP(booking!E51,Database!$A$1:'Database'!$M$188,6,FALSE),"-"),"-")</f>
        <v>46170</v>
      </c>
      <c r="F51" s="51" t="str">
        <f>IF(AND(booking!H51&lt;&gt;booking!I51,booking!H51&gt;0),"udc","-")</f>
        <v>udc</v>
      </c>
      <c r="G51" s="47">
        <f>IFERROR(IF(AND(booking!AB51&gt;0,booking!H51&lt;&gt;booking!I51),VLOOKUP(booking!I51,Database!$A$1:'Database'!$M$188,6,FALSE),"-"),"-")</f>
        <v>46181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IFERROR(IF(AND(booking!AB51&gt;0,booking!L51&lt;&gt;booking!M51),VLOOKUP(booking!M51,Database!$A$1:'Database'!$M$188,6,FALSE),"-"),"-")</f>
        <v>-</v>
      </c>
      <c r="J51" s="51" t="str">
        <f>IF(AND(booking!P51&lt;&gt;booking!Q51,booking!P51&gt;0),"udc","-")</f>
        <v>udc</v>
      </c>
      <c r="K51" s="47">
        <f>IFERROR(IF(AND(booking!AB51&gt;0,booking!P51&lt;&gt;booking!Q51),VLOOKUP(booking!Q51,Database!$A$1:'Database'!$M$188,6,FALSE),"-"),"-")</f>
        <v>46056</v>
      </c>
      <c r="L51" s="51" t="str">
        <f>IF(AND(booking!T51&lt;&gt;booking!U51,booking!T51&gt;0),"udc","-")</f>
        <v>udc</v>
      </c>
      <c r="M51" s="47">
        <f>IFERROR(IF(AND(booking!AB51&gt;0,booking!T51&lt;&gt;booking!U51),VLOOKUP(booking!U51,Database!$A$1:'Database'!$M$188,6,FALSE),"-"),"-")</f>
        <v>46081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IFERROR(IF(AND(booking!AB52&gt;0,booking!D52&lt;&gt;booking!E52),VLOOKUP(booking!E52,Database!$A$1:'Database'!$M$188,6,FALSE),"-"),"-")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IFERROR(IF(AND(booking!AB52&gt;0,booking!H52&lt;&gt;booking!I52),VLOOKUP(booking!I52,Database!$A$1:'Database'!$M$188,6,FALSE),"-"),"-")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IFERROR(IF(AND(booking!AB52&gt;0,booking!L52&lt;&gt;booking!M52),VLOOKUP(booking!M52,Database!$A$1:'Database'!$M$188,6,FALSE),"-"),"-")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IFERROR(IF(AND(booking!AB52&gt;0,booking!P52&lt;&gt;booking!Q52),VLOOKUP(booking!Q52,Database!$A$1:'Database'!$M$188,6,FALSE),"-"),"-")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IFERROR(IF(AND(booking!AB52&gt;0,booking!T52&lt;&gt;booking!U52),VLOOKUP(booking!U52,Database!$A$1:'Database'!$M$188,6,FALSE),"-"),"-")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>
        <f>IFERROR(IF(AND(booking!AB53&gt;0,booking!D53&lt;&gt;booking!E53),VLOOKUP(booking!E53,Database!$A$1:'Database'!$M$188,6,FALSE),"-"),"-")</f>
        <v>46029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IFERROR(IF(AND(booking!AB53&gt;0,booking!H53&lt;&gt;booking!I53),VLOOKUP(booking!I53,Database!$A$1:'Database'!$M$188,6,FALSE),"-"),"-")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IFERROR(IF(AND(booking!AB53&gt;0,booking!L53&lt;&gt;booking!M53),VLOOKUP(booking!M53,Database!$A$1:'Database'!$M$188,6,FALSE),"-"),"-")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IFERROR(IF(AND(booking!AB53&gt;0,booking!P53&lt;&gt;booking!Q53),VLOOKUP(booking!Q53,Database!$A$1:'Database'!$M$188,6,FALSE),"-"),"-")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IFERROR(IF(AND(booking!AB53&gt;0,booking!T53&lt;&gt;booking!U53),VLOOKUP(booking!U53,Database!$A$1:'Database'!$M$188,6,FALSE),"-"),"-")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IFERROR(IF(AND(booking!AB54&gt;0,booking!D54&lt;&gt;booking!E54),VLOOKUP(booking!E54,Database!$A$1:'Database'!$M$188,6,FALSE),"-"),"-")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IFERROR(IF(AND(booking!AB54&gt;0,booking!H54&lt;&gt;booking!I54),VLOOKUP(booking!I54,Database!$A$1:'Database'!$M$188,6,FALSE),"-"),"-")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IFERROR(IF(AND(booking!AB54&gt;0,booking!L54&lt;&gt;booking!M54),VLOOKUP(booking!M54,Database!$A$1:'Database'!$M$188,6,FALSE),"-"),"-")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IFERROR(IF(AND(booking!AB54&gt;0,booking!P54&lt;&gt;booking!Q54),VLOOKUP(booking!Q54,Database!$A$1:'Database'!$M$188,6,FALSE),"-"),"-")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IFERROR(IF(AND(booking!AB54&gt;0,booking!T54&lt;&gt;booking!U54),VLOOKUP(booking!U54,Database!$A$1:'Database'!$M$188,6,FALSE),"-"),"-")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IFERROR(IF(AND(booking!AB55&gt;0,booking!D55&lt;&gt;booking!E55),VLOOKUP(booking!E55,Database!$A$1:'Database'!$M$188,6,FALSE),"-"),"-")</f>
        <v>-</v>
      </c>
      <c r="F55" s="51" t="str">
        <f>IF(AND(booking!H55&lt;&gt;booking!I55,booking!H55&gt;0),"udc","-")</f>
        <v>udc</v>
      </c>
      <c r="G55" s="47">
        <f>IFERROR(IF(AND(booking!AB55&gt;0,booking!H55&lt;&gt;booking!I55),VLOOKUP(booking!I55,Database!$A$1:'Database'!$M$188,6,FALSE),"-"),"-")</f>
        <v>46115</v>
      </c>
      <c r="H55" s="51" t="str">
        <f>IF(AND(booking!L55&lt;&gt;booking!M55,booking!L55&gt;0),"udc","-")</f>
        <v>-</v>
      </c>
      <c r="I55" s="47">
        <f>IFERROR(IF(AND(booking!AB55&gt;0,booking!L55&lt;&gt;booking!M55),VLOOKUP(booking!M55,Database!$A$1:'Database'!$M$188,6,FALSE),"-"),"-")</f>
        <v>46043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IFERROR(IF(AND(booking!AB55&gt;0,booking!P55&lt;&gt;booking!Q55),VLOOKUP(booking!Q55,Database!$A$1:'Database'!$M$188,6,FALSE),"-"),"-")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IFERROR(IF(AND(booking!AB55&gt;0,booking!T55&lt;&gt;booking!U55),VLOOKUP(booking!U55,Database!$A$1:'Database'!$M$188,6,FALSE),"-"),"-")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IFERROR(IF(AND(booking!AB56&gt;0,booking!D56&lt;&gt;booking!E56),VLOOKUP(booking!E56,Database!$A$1:'Database'!$M$188,6,FALSE),"-"),"-")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IFERROR(IF(AND(booking!AB56&gt;0,booking!H56&lt;&gt;booking!I56),VLOOKUP(booking!I56,Database!$A$1:'Database'!$M$188,6,FALSE),"-"),"-")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IFERROR(IF(AND(booking!AB56&gt;0,booking!L56&lt;&gt;booking!M56),VLOOKUP(booking!M56,Database!$A$1:'Database'!$M$188,6,FALSE),"-"),"-")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IFERROR(IF(AND(booking!AB56&gt;0,booking!P56&lt;&gt;booking!Q56),VLOOKUP(booking!Q56,Database!$A$1:'Database'!$M$188,6,FALSE),"-"),"-")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IFERROR(IF(AND(booking!AB56&gt;0,booking!T56&lt;&gt;booking!U56),VLOOKUP(booking!U56,Database!$A$1:'Database'!$M$188,6,FALSE),"-"),"-")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IFERROR(IF(AND(booking!AB57&gt;0,booking!D57&lt;&gt;booking!E57),VLOOKUP(booking!E57,Database!$A$1:'Database'!$M$188,6,FALSE),"-"),"-")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IFERROR(IF(AND(booking!AB57&gt;0,booking!H57&lt;&gt;booking!I57),VLOOKUP(booking!I57,Database!$A$1:'Database'!$M$188,6,FALSE),"-"),"-")</f>
        <v>-</v>
      </c>
      <c r="H57" s="51" t="str">
        <f>IF(AND(booking!L57&lt;&gt;booking!M57,booking!L57&gt;0),"udc","-")</f>
        <v>udc</v>
      </c>
      <c r="I57" s="47">
        <f>IFERROR(IF(AND(booking!AB57&gt;0,booking!L57&lt;&gt;booking!M57),VLOOKUP(booking!M57,Database!$A$1:'Database'!$M$188,6,FALSE),"-"),"-")</f>
        <v>46154</v>
      </c>
      <c r="J57" s="51" t="str">
        <f>IF(AND(booking!P57&lt;&gt;booking!Q57,booking!P57&gt;0),"udc","-")</f>
        <v>-</v>
      </c>
      <c r="K57" s="47">
        <f>IFERROR(IF(AND(booking!AB57&gt;0,booking!P57&lt;&gt;booking!Q57),VLOOKUP(booking!Q57,Database!$A$1:'Database'!$M$188,6,FALSE),"-"),"-")</f>
        <v>46159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IFERROR(IF(AND(booking!AB57&gt;0,booking!T57&lt;&gt;booking!U57),VLOOKUP(booking!U57,Database!$A$1:'Database'!$M$188,6,FALSE),"-"),"-")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>
        <f>IFERROR(IF(AND(booking!AB58&gt;0,booking!D58&lt;&gt;booking!E58),VLOOKUP(booking!E58,Database!$A$1:'Database'!$M$188,6,FALSE),"-"),"-")</f>
        <v>46031</v>
      </c>
      <c r="F58" s="51" t="str">
        <f>IF(AND(booking!H58&lt;&gt;booking!I58,booking!H58&gt;0),"udc","-")</f>
        <v>udc</v>
      </c>
      <c r="G58" s="47">
        <f>IFERROR(IF(AND(booking!AB58&gt;0,booking!H58&lt;&gt;booking!I58),VLOOKUP(booking!I58,Database!$A$1:'Database'!$M$188,6,FALSE),"-"),"-")</f>
        <v>46171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IFERROR(IF(AND(booking!AB58&gt;0,booking!L58&lt;&gt;booking!M58),VLOOKUP(booking!M58,Database!$A$1:'Database'!$M$188,6,FALSE),"-"),"-")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IFERROR(IF(AND(booking!AB58&gt;0,booking!P58&lt;&gt;booking!Q58),VLOOKUP(booking!Q58,Database!$A$1:'Database'!$M$188,6,FALSE),"-"),"-")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IFERROR(IF(AND(booking!AB58&gt;0,booking!T58&lt;&gt;booking!U58),VLOOKUP(booking!U58,Database!$A$1:'Database'!$M$188,6,FALSE),"-"),"-")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IFERROR(IF(AND(booking!AB59&gt;0,booking!D59&lt;&gt;booking!E59),VLOOKUP(booking!E59,Database!$A$1:'Database'!$M$188,6,FALSE),"-"),"-")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IFERROR(IF(AND(booking!AB59&gt;0,booking!H59&lt;&gt;booking!I59),VLOOKUP(booking!I59,Database!$A$1:'Database'!$M$188,6,FALSE),"-"),"-")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IFERROR(IF(AND(booking!AB59&gt;0,booking!L59&lt;&gt;booking!M59),VLOOKUP(booking!M59,Database!$A$1:'Database'!$M$188,6,FALSE),"-"),"-")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IFERROR(IF(AND(booking!AB59&gt;0,booking!P59&lt;&gt;booking!Q59),VLOOKUP(booking!Q59,Database!$A$1:'Database'!$M$188,6,FALSE),"-"),"-")</f>
        <v>-</v>
      </c>
      <c r="L59" s="51" t="str">
        <f>IF(AND(booking!T59&lt;&gt;booking!U59,booking!T59&gt;0),"udc","-")</f>
        <v>-</v>
      </c>
      <c r="M59" s="47">
        <f>IFERROR(IF(AND(booking!AB59&gt;0,booking!T59&lt;&gt;booking!U59),VLOOKUP(booking!U59,Database!$A$1:'Database'!$M$188,6,FALSE),"-"),"-")</f>
        <v>46182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IFERROR(IF(AND(booking!AB60&gt;0,booking!D60&lt;&gt;booking!E60),VLOOKUP(booking!E60,Database!$A$1:'Database'!$M$188,6,FALSE),"-"),"-")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IFERROR(IF(AND(booking!AB60&gt;0,booking!H60&lt;&gt;booking!I60),VLOOKUP(booking!I60,Database!$A$1:'Database'!$M$188,6,FALSE),"-"),"-")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IFERROR(IF(AND(booking!AB60&gt;0,booking!L60&lt;&gt;booking!M60),VLOOKUP(booking!M60,Database!$A$1:'Database'!$M$188,6,FALSE),"-"),"-")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IFERROR(IF(AND(booking!AB60&gt;0,booking!P60&lt;&gt;booking!Q60),VLOOKUP(booking!Q60,Database!$A$1:'Database'!$M$188,6,FALSE),"-"),"-")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IFERROR(IF(AND(booking!AB60&gt;0,booking!T60&lt;&gt;booking!U60),VLOOKUP(booking!U60,Database!$A$1:'Database'!$M$188,6,FALSE),"-"),"-")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>
        <f>IFERROR(IF(AND(booking!AB61&gt;0,booking!D61&lt;&gt;booking!E61),VLOOKUP(booking!E61,Database!$A$1:'Database'!$M$188,6,FALSE),"-"),"-")</f>
        <v>46053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IFERROR(IF(AND(booking!AB61&gt;0,booking!H61&lt;&gt;booking!I61),VLOOKUP(booking!I61,Database!$A$1:'Database'!$M$188,6,FALSE),"-"),"-")</f>
        <v>-</v>
      </c>
      <c r="H61" s="51" t="str">
        <f>IF(AND(booking!L61&lt;&gt;booking!M61,booking!L61&gt;0),"udc","-")</f>
        <v>-</v>
      </c>
      <c r="I61" s="47">
        <f>IFERROR(IF(AND(booking!AB61&gt;0,booking!L61&lt;&gt;booking!M61),VLOOKUP(booking!M61,Database!$A$1:'Database'!$M$188,6,FALSE),"-"),"-")</f>
        <v>46030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IFERROR(IF(AND(booking!AB61&gt;0,booking!P61&lt;&gt;booking!Q61),VLOOKUP(booking!Q61,Database!$A$1:'Database'!$M$188,6,FALSE),"-"),"-")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IFERROR(IF(AND(booking!AB61&gt;0,booking!T61&lt;&gt;booking!U61),VLOOKUP(booking!U61,Database!$A$1:'Database'!$M$188,6,FALSE),"-"),"-")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IFERROR(IF(AND(booking!AB62&gt;0,booking!D62&lt;&gt;booking!E62),VLOOKUP(booking!E62,Database!$A$1:'Database'!$M$188,6,FALSE),"-"),"-")</f>
        <v>-</v>
      </c>
      <c r="F62" s="51" t="str">
        <f>IF(AND(booking!H62&lt;&gt;booking!I62,booking!H62&gt;0),"udc","-")</f>
        <v>udc</v>
      </c>
      <c r="G62" s="47">
        <f>IFERROR(IF(AND(booking!AB62&gt;0,booking!H62&lt;&gt;booking!I62),VLOOKUP(booking!I62,Database!$A$1:'Database'!$M$188,6,FALSE),"-"),"-")</f>
        <v>46047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IFERROR(IF(AND(booking!AB62&gt;0,booking!L62&lt;&gt;booking!M62),VLOOKUP(booking!M62,Database!$A$1:'Database'!$M$188,6,FALSE),"-"),"-")</f>
        <v>-</v>
      </c>
      <c r="J62" s="51" t="str">
        <f>IF(AND(booking!P62&lt;&gt;booking!Q62,booking!P62&gt;0),"udc","-")</f>
        <v>-</v>
      </c>
      <c r="K62" s="47">
        <f>IFERROR(IF(AND(booking!AB62&gt;0,booking!P62&lt;&gt;booking!Q62),VLOOKUP(booking!Q62,Database!$A$1:'Database'!$M$188,6,FALSE),"-"),"-")</f>
        <v>46083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IFERROR(IF(AND(booking!AB62&gt;0,booking!T62&lt;&gt;booking!U62),VLOOKUP(booking!U62,Database!$A$1:'Database'!$M$188,6,FALSE),"-"),"-")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IFERROR(IF(AND(booking!AB63&gt;0,booking!D63&lt;&gt;booking!E63),VLOOKUP(booking!E63,Database!$A$1:'Database'!$M$188,6,FALSE),"-"),"-")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IFERROR(IF(AND(booking!AB63&gt;0,booking!H63&lt;&gt;booking!I63),VLOOKUP(booking!I63,Database!$A$1:'Database'!$M$188,6,FALSE),"-"),"-")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IFERROR(IF(AND(booking!AB63&gt;0,booking!L63&lt;&gt;booking!M63),VLOOKUP(booking!M63,Database!$A$1:'Database'!$M$188,6,FALSE),"-"),"-")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IFERROR(IF(AND(booking!AB63&gt;0,booking!P63&lt;&gt;booking!Q63),VLOOKUP(booking!Q63,Database!$A$1:'Database'!$M$188,6,FALSE),"-"),"-")</f>
        <v>-</v>
      </c>
      <c r="L63" s="51" t="str">
        <f>IF(AND(booking!T63&lt;&gt;booking!U63,booking!T63&gt;0),"udc","-")</f>
        <v>udc</v>
      </c>
      <c r="M63" s="47">
        <f>IFERROR(IF(AND(booking!AB63&gt;0,booking!T63&lt;&gt;booking!U63),VLOOKUP(booking!U63,Database!$A$1:'Database'!$M$188,6,FALSE),"-"),"-")</f>
        <v>46069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>
        <f>IFERROR(IF(AND(booking!AB64&gt;0,booking!D64&lt;&gt;booking!E64),VLOOKUP(booking!E64,Database!$A$1:'Database'!$M$188,6,FALSE),"-"),"-")</f>
        <v>46162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IFERROR(IF(AND(booking!AB64&gt;0,booking!H64&lt;&gt;booking!I64),VLOOKUP(booking!I64,Database!$A$1:'Database'!$M$188,6,FALSE),"-"),"-")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IFERROR(IF(AND(booking!AB64&gt;0,booking!L64&lt;&gt;booking!M64),VLOOKUP(booking!M64,Database!$A$1:'Database'!$M$188,6,FALSE),"-"),"-")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IFERROR(IF(AND(booking!AB64&gt;0,booking!P64&lt;&gt;booking!Q64),VLOOKUP(booking!Q64,Database!$A$1:'Database'!$M$188,6,FALSE),"-"),"-")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IFERROR(IF(AND(booking!AB64&gt;0,booking!T64&lt;&gt;booking!U64),VLOOKUP(booking!U64,Database!$A$1:'Database'!$M$188,6,FALSE),"-"),"-")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IFERROR(IF(AND(booking!AB65&gt;0,booking!D65&lt;&gt;booking!E65),VLOOKUP(booking!E65,Database!$A$1:'Database'!$M$188,6,FALSE),"-"),"-")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IFERROR(IF(AND(booking!AB65&gt;0,booking!H65&lt;&gt;booking!I65),VLOOKUP(booking!I65,Database!$A$1:'Database'!$M$188,6,FALSE),"-"),"-")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IFERROR(IF(AND(booking!AB65&gt;0,booking!L65&lt;&gt;booking!M65),VLOOKUP(booking!M65,Database!$A$1:'Database'!$M$188,6,FALSE),"-"),"-")</f>
        <v>-</v>
      </c>
      <c r="J65" s="51" t="str">
        <f>IF(AND(booking!P65&lt;&gt;booking!Q65,booking!P65&gt;0),"udc","-")</f>
        <v>udc</v>
      </c>
      <c r="K65" s="47">
        <f>IFERROR(IF(AND(booking!AB65&gt;0,booking!P65&lt;&gt;booking!Q65),VLOOKUP(booking!Q65,Database!$A$1:'Database'!$M$188,6,FALSE),"-"),"-")</f>
        <v>46068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IFERROR(IF(AND(booking!AB65&gt;0,booking!T65&lt;&gt;booking!U65),VLOOKUP(booking!U65,Database!$A$1:'Database'!$M$188,6,FALSE),"-"),"-")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IFERROR(IF(AND(booking!AB66&gt;0,booking!D66&lt;&gt;booking!E66),VLOOKUP(booking!E66,Database!$A$1:'Database'!$M$188,6,FALSE),"-"),"-")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IFERROR(IF(AND(booking!AB66&gt;0,booking!H66&lt;&gt;booking!I66),VLOOKUP(booking!I66,Database!$A$1:'Database'!$M$188,6,FALSE),"-"),"-")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IFERROR(IF(AND(booking!AB66&gt;0,booking!L66&lt;&gt;booking!M66),VLOOKUP(booking!M66,Database!$A$1:'Database'!$M$188,6,FALSE),"-"),"-")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IFERROR(IF(AND(booking!AB66&gt;0,booking!P66&lt;&gt;booking!Q66),VLOOKUP(booking!Q66,Database!$A$1:'Database'!$M$188,6,FALSE),"-"),"-")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IFERROR(IF(AND(booking!AB66&gt;0,booking!T66&lt;&gt;booking!U66),VLOOKUP(booking!U66,Database!$A$1:'Database'!$M$188,6,FALSE),"-"),"-")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IFERROR(IF(AND(booking!AB67&gt;0,booking!D67&lt;&gt;booking!E67),VLOOKUP(booking!E67,Database!$A$1:'Database'!$M$188,6,FALSE),"-"),"-")</f>
        <v>-</v>
      </c>
      <c r="F67" s="51" t="str">
        <f>IF(AND(booking!H67&lt;&gt;booking!I67,booking!H67&gt;0),"udc","-")</f>
        <v>-</v>
      </c>
      <c r="G67" s="47">
        <f>IFERROR(IF(AND(booking!AB67&gt;0,booking!H67&lt;&gt;booking!I67),VLOOKUP(booking!I67,Database!$A$1:'Database'!$M$188,6,FALSE),"-"),"-")</f>
        <v>46107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IFERROR(IF(AND(booking!AB67&gt;0,booking!L67&lt;&gt;booking!M67),VLOOKUP(booking!M67,Database!$A$1:'Database'!$M$188,6,FALSE),"-"),"-")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IFERROR(IF(AND(booking!AB67&gt;0,booking!P67&lt;&gt;booking!Q67),VLOOKUP(booking!Q67,Database!$A$1:'Database'!$M$188,6,FALSE),"-"),"-")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IFERROR(IF(AND(booking!AB67&gt;0,booking!T67&lt;&gt;booking!U67),VLOOKUP(booking!U67,Database!$A$1:'Database'!$M$188,6,FALSE),"-"),"-")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>
        <f>IFERROR(IF(AND(booking!AB68&gt;0,booking!D68&lt;&gt;booking!E68),VLOOKUP(booking!E68,Database!$A$1:'Database'!$M$188,6,FALSE),"-"),"-")</f>
        <v>46016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IFERROR(IF(AND(booking!AB68&gt;0,booking!H68&lt;&gt;booking!I68),VLOOKUP(booking!I68,Database!$A$1:'Database'!$M$188,6,FALSE),"-"),"-")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IFERROR(IF(AND(booking!AB68&gt;0,booking!L68&lt;&gt;booking!M68),VLOOKUP(booking!M68,Database!$A$1:'Database'!$M$188,6,FALSE),"-"),"-")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IFERROR(IF(AND(booking!AB68&gt;0,booking!P68&lt;&gt;booking!Q68),VLOOKUP(booking!Q68,Database!$A$1:'Database'!$M$188,6,FALSE),"-"),"-")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IFERROR(IF(AND(booking!AB68&gt;0,booking!T68&lt;&gt;booking!U68),VLOOKUP(booking!U68,Database!$A$1:'Database'!$M$188,6,FALSE),"-"),"-")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IFERROR(IF(AND(booking!AB69&gt;0,booking!D69&lt;&gt;booking!E69),VLOOKUP(booking!E69,Database!$A$1:'Database'!$M$188,6,FALSE),"-"),"-")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IFERROR(IF(AND(booking!AB69&gt;0,booking!H69&lt;&gt;booking!I69),VLOOKUP(booking!I69,Database!$A$1:'Database'!$M$188,6,FALSE),"-"),"-")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IFERROR(IF(AND(booking!AB69&gt;0,booking!L69&lt;&gt;booking!M69),VLOOKUP(booking!M69,Database!$A$1:'Database'!$M$188,6,FALSE),"-"),"-")</f>
        <v>-</v>
      </c>
      <c r="J69" s="51" t="str">
        <f>IF(AND(booking!P69&lt;&gt;booking!Q69,booking!P69&gt;0),"udc","-")</f>
        <v>udc</v>
      </c>
      <c r="K69" s="47">
        <f>IFERROR(IF(AND(booking!AB69&gt;0,booking!P69&lt;&gt;booking!Q69),VLOOKUP(booking!Q69,Database!$A$1:'Database'!$M$188,6,FALSE),"-"),"-")</f>
        <v>46001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IFERROR(IF(AND(booking!AB69&gt;0,booking!T69&lt;&gt;booking!U69),VLOOKUP(booking!U69,Database!$A$1:'Database'!$M$188,6,FALSE),"-"),"-")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IFERROR(IF(AND(booking!AB70&gt;0,booking!D70&lt;&gt;booking!E70),VLOOKUP(booking!E70,Database!$A$1:'Database'!$M$188,6,FALSE),"-"),"-")</f>
        <v>-</v>
      </c>
      <c r="F70" s="51" t="str">
        <f>IF(AND(booking!H70&lt;&gt;booking!I70,booking!H70&gt;0),"udc","-")</f>
        <v>udc</v>
      </c>
      <c r="G70" s="47">
        <f>IFERROR(IF(AND(booking!AB70&gt;0,booking!H70&lt;&gt;booking!I70),VLOOKUP(booking!I70,Database!$A$1:'Database'!$M$188,6,FALSE),"-"),"-")</f>
        <v>46109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IFERROR(IF(AND(booking!AB70&gt;0,booking!L70&lt;&gt;booking!M70),VLOOKUP(booking!M70,Database!$A$1:'Database'!$M$188,6,FALSE),"-"),"-")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IFERROR(IF(AND(booking!AB70&gt;0,booking!P70&lt;&gt;booking!Q70),VLOOKUP(booking!Q70,Database!$A$1:'Database'!$M$188,6,FALSE),"-"),"-")</f>
        <v>-</v>
      </c>
      <c r="L70" s="51" t="str">
        <f>IF(AND(booking!T70&lt;&gt;booking!U70,booking!T70&gt;0),"udc","-")</f>
        <v>udc</v>
      </c>
      <c r="M70" s="47">
        <f>IFERROR(IF(AND(booking!AB70&gt;0,booking!T70&lt;&gt;booking!U70),VLOOKUP(booking!U70,Database!$A$1:'Database'!$M$188,6,FALSE),"-"),"-")</f>
        <v>45927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IFERROR(IF(AND(booking!AB71&gt;0,booking!D71&lt;&gt;booking!E71),VLOOKUP(booking!E71,Database!$A$1:'Database'!$M$188,6,FALSE),"-"),"-")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IFERROR(IF(AND(booking!AB71&gt;0,booking!H71&lt;&gt;booking!I71),VLOOKUP(booking!I71,Database!$A$1:'Database'!$M$188,6,FALSE),"-"),"-")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IFERROR(IF(AND(booking!AB71&gt;0,booking!L71&lt;&gt;booking!M71),VLOOKUP(booking!M71,Database!$A$1:'Database'!$M$188,6,FALSE),"-"),"-")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IFERROR(IF(AND(booking!AB71&gt;0,booking!P71&lt;&gt;booking!Q71),VLOOKUP(booking!Q71,Database!$A$1:'Database'!$M$188,6,FALSE),"-"),"-")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IFERROR(IF(AND(booking!AB71&gt;0,booking!T71&lt;&gt;booking!U71),VLOOKUP(booking!U71,Database!$A$1:'Database'!$M$188,6,FALSE),"-"),"-")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>
        <f>IFERROR(IF(AND(booking!AB72&gt;0,booking!D72&lt;&gt;booking!E72),VLOOKUP(booking!E72,Database!$A$1:'Database'!$M$188,6,FALSE),"-"),"-")</f>
        <v>46030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IFERROR(IF(AND(booking!AB72&gt;0,booking!H72&lt;&gt;booking!I72),VLOOKUP(booking!I72,Database!$A$1:'Database'!$M$188,6,FALSE),"-"),"-")</f>
        <v>-</v>
      </c>
      <c r="H72" s="51" t="str">
        <f>IF(AND(booking!L72&lt;&gt;booking!M72,booking!L72&gt;0),"udc","-")</f>
        <v>-</v>
      </c>
      <c r="I72" s="47">
        <f>IFERROR(IF(AND(booking!AB72&gt;0,booking!L72&lt;&gt;booking!M72),VLOOKUP(booking!M72,Database!$A$1:'Database'!$M$188,6,FALSE),"-"),"-")</f>
        <v>46030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IFERROR(IF(AND(booking!AB72&gt;0,booking!P72&lt;&gt;booking!Q72),VLOOKUP(booking!Q72,Database!$A$1:'Database'!$M$188,6,FALSE),"-"),"-")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IFERROR(IF(AND(booking!AB72&gt;0,booking!T72&lt;&gt;booking!U72),VLOOKUP(booking!U72,Database!$A$1:'Database'!$M$188,6,FALSE),"-"),"-")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IFERROR(IF(AND(booking!AB73&gt;0,booking!D73&lt;&gt;booking!E73),VLOOKUP(booking!E73,Database!$A$1:'Database'!$M$188,6,FALSE),"-"),"-")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IFERROR(IF(AND(booking!AB73&gt;0,booking!H73&lt;&gt;booking!I73),VLOOKUP(booking!I73,Database!$A$1:'Database'!$M$188,6,FALSE),"-"),"-")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IFERROR(IF(AND(booking!AB73&gt;0,booking!L73&lt;&gt;booking!M73),VLOOKUP(booking!M73,Database!$A$1:'Database'!$M$188,6,FALSE),"-"),"-")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IFERROR(IF(AND(booking!AB73&gt;0,booking!P73&lt;&gt;booking!Q73),VLOOKUP(booking!Q73,Database!$A$1:'Database'!$M$188,6,FALSE),"-"),"-")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IFERROR(IF(AND(booking!AB73&gt;0,booking!T73&lt;&gt;booking!U73),VLOOKUP(booking!U73,Database!$A$1:'Database'!$M$188,6,FALSE),"-"),"-")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IFERROR(IF(AND(booking!AB74&gt;0,booking!D74&lt;&gt;booking!E74),VLOOKUP(booking!E74,Database!$A$1:'Database'!$M$188,6,FALSE),"-"),"-")</f>
        <v>-</v>
      </c>
      <c r="F74" s="51" t="str">
        <f>IF(AND(booking!H74&lt;&gt;booking!I74,booking!H74&gt;0),"udc","-")</f>
        <v>-</v>
      </c>
      <c r="G74" s="47">
        <f>IFERROR(IF(AND(booking!AB74&gt;0,booking!H74&lt;&gt;booking!I74),VLOOKUP(booking!I74,Database!$A$1:'Database'!$M$188,6,FALSE),"-"),"-")</f>
        <v>45998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IFERROR(IF(AND(booking!AB74&gt;0,booking!L74&lt;&gt;booking!M74),VLOOKUP(booking!M74,Database!$A$1:'Database'!$M$188,6,FALSE),"-"),"-")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IFERROR(IF(AND(booking!AB74&gt;0,booking!P74&lt;&gt;booking!Q74),VLOOKUP(booking!Q74,Database!$A$1:'Database'!$M$188,6,FALSE),"-"),"-")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IFERROR(IF(AND(booking!AB74&gt;0,booking!T74&lt;&gt;booking!U74),VLOOKUP(booking!U74,Database!$A$1:'Database'!$M$188,6,FALSE),"-"),"-")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>
        <f>IFERROR(IF(AND(booking!AB75&gt;0,booking!D75&lt;&gt;booking!E75),VLOOKUP(booking!E75,Database!$A$1:'Database'!$M$188,6,FALSE),"-"),"-")</f>
        <v>46205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IFERROR(IF(AND(booking!AB75&gt;0,booking!H75&lt;&gt;booking!I75),VLOOKUP(booking!I75,Database!$A$1:'Database'!$M$188,6,FALSE),"-"),"-")</f>
        <v>-</v>
      </c>
      <c r="H75" s="51" t="str">
        <f>IF(AND(booking!L75&lt;&gt;booking!M75,booking!L75&gt;0),"udc","-")</f>
        <v>udc</v>
      </c>
      <c r="I75" s="47">
        <f>IFERROR(IF(AND(booking!AB75&gt;0,booking!L75&lt;&gt;booking!M75),VLOOKUP(booking!M75,Database!$A$1:'Database'!$M$188,6,FALSE),"-"),"-")</f>
        <v>46079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IFERROR(IF(AND(booking!AB75&gt;0,booking!P75&lt;&gt;booking!Q75),VLOOKUP(booking!Q75,Database!$A$1:'Database'!$M$188,6,FALSE),"-"),"-")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IFERROR(IF(AND(booking!AB75&gt;0,booking!T75&lt;&gt;booking!U75),VLOOKUP(booking!U75,Database!$A$1:'Database'!$M$188,6,FALSE),"-"),"-")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IFERROR(IF(AND(booking!AB76&gt;0,booking!D76&lt;&gt;booking!E76),VLOOKUP(booking!E76,Database!$A$1:'Database'!$M$188,6,FALSE),"-"),"-")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IFERROR(IF(AND(booking!AB76&gt;0,booking!H76&lt;&gt;booking!I76),VLOOKUP(booking!I76,Database!$A$1:'Database'!$M$188,6,FALSE),"-"),"-")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IFERROR(IF(AND(booking!AB76&gt;0,booking!L76&lt;&gt;booking!M76),VLOOKUP(booking!M76,Database!$A$1:'Database'!$M$188,6,FALSE),"-"),"-")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IFERROR(IF(AND(booking!AB76&gt;0,booking!P76&lt;&gt;booking!Q76),VLOOKUP(booking!Q76,Database!$A$1:'Database'!$M$188,6,FALSE),"-"),"-")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IFERROR(IF(AND(booking!AB76&gt;0,booking!T76&lt;&gt;booking!U76),VLOOKUP(booking!U76,Database!$A$1:'Database'!$M$188,6,FALSE),"-"),"-")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IFERROR(IF(AND(booking!AB77&gt;0,booking!D77&lt;&gt;booking!E77),VLOOKUP(booking!E77,Database!$A$1:'Database'!$M$188,6,FALSE),"-"),"-")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IFERROR(IF(AND(booking!AB77&gt;0,booking!H77&lt;&gt;booking!I77),VLOOKUP(booking!I77,Database!$A$1:'Database'!$M$188,6,FALSE),"-"),"-")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IFERROR(IF(AND(booking!AB77&gt;0,booking!L77&lt;&gt;booking!M77),VLOOKUP(booking!M77,Database!$A$1:'Database'!$M$188,6,FALSE),"-"),"-")</f>
        <v>-</v>
      </c>
      <c r="J77" s="51" t="str">
        <f>IF(AND(booking!P77&lt;&gt;booking!Q77,booking!P77&gt;0),"udc","-")</f>
        <v>-</v>
      </c>
      <c r="K77" s="47">
        <f>IFERROR(IF(AND(booking!AB77&gt;0,booking!P77&lt;&gt;booking!Q77),VLOOKUP(booking!Q77,Database!$A$1:'Database'!$M$188,6,FALSE),"-"),"-")</f>
        <v>46054</v>
      </c>
      <c r="L77" s="51" t="str">
        <f>IF(AND(booking!T77&lt;&gt;booking!U77,booking!T77&gt;0),"udc","-")</f>
        <v>udc</v>
      </c>
      <c r="M77" s="47">
        <f>IFERROR(IF(AND(booking!AB77&gt;0,booking!T77&lt;&gt;booking!U77),VLOOKUP(booking!U77,Database!$A$1:'Database'!$M$188,6,FALSE),"-"),"-")</f>
        <v>46047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>
        <f>IFERROR(IF(AND(booking!AB78&gt;0,booking!D78&lt;&gt;booking!E78),VLOOKUP(booking!E78,Database!$A$1:'Database'!$M$188,6,FALSE),"-"),"-")</f>
        <v>45931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IFERROR(IF(AND(booking!AB78&gt;0,booking!H78&lt;&gt;booking!I78),VLOOKUP(booking!I78,Database!$A$1:'Database'!$M$188,6,FALSE),"-"),"-")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IFERROR(IF(AND(booking!AB78&gt;0,booking!L78&lt;&gt;booking!M78),VLOOKUP(booking!M78,Database!$A$1:'Database'!$M$188,6,FALSE),"-"),"-")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IFERROR(IF(AND(booking!AB78&gt;0,booking!P78&lt;&gt;booking!Q78),VLOOKUP(booking!Q78,Database!$A$1:'Database'!$M$188,6,FALSE),"-"),"-")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IFERROR(IF(AND(booking!AB78&gt;0,booking!T78&lt;&gt;booking!U78),VLOOKUP(booking!U78,Database!$A$1:'Database'!$M$188,6,FALSE),"-"),"-")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IFERROR(IF(AND(booking!AB79&gt;0,booking!D79&lt;&gt;booking!E79),VLOOKUP(booking!E79,Database!$A$1:'Database'!$M$188,6,FALSE),"-"),"-")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IFERROR(IF(AND(booking!AB79&gt;0,booking!H79&lt;&gt;booking!I79),VLOOKUP(booking!I79,Database!$A$1:'Database'!$M$188,6,FALSE),"-"),"-")</f>
        <v>-</v>
      </c>
      <c r="H79" s="51" t="str">
        <f>IF(AND(booking!L79&lt;&gt;booking!M79,booking!L79&gt;0),"udc","-")</f>
        <v>udc</v>
      </c>
      <c r="I79" s="47">
        <f>IFERROR(IF(AND(booking!AB79&gt;0,booking!L79&lt;&gt;booking!M79),VLOOKUP(booking!M79,Database!$A$1:'Database'!$M$188,6,FALSE),"-"),"-")</f>
        <v>46037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IFERROR(IF(AND(booking!AB79&gt;0,booking!P79&lt;&gt;booking!Q79),VLOOKUP(booking!Q79,Database!$A$1:'Database'!$M$188,6,FALSE),"-"),"-")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IFERROR(IF(AND(booking!AB79&gt;0,booking!T79&lt;&gt;booking!U79),VLOOKUP(booking!U79,Database!$A$1:'Database'!$M$188,6,FALSE),"-"),"-")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IFERROR(IF(AND(booking!AB80&gt;0,booking!D80&lt;&gt;booking!E80),VLOOKUP(booking!E80,Database!$A$1:'Database'!$M$188,6,FALSE),"-"),"-")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IFERROR(IF(AND(booking!AB80&gt;0,booking!H80&lt;&gt;booking!I80),VLOOKUP(booking!I80,Database!$A$1:'Database'!$M$188,6,FALSE),"-"),"-")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IFERROR(IF(AND(booking!AB80&gt;0,booking!L80&lt;&gt;booking!M80),VLOOKUP(booking!M80,Database!$A$1:'Database'!$M$188,6,FALSE),"-"),"-")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IFERROR(IF(AND(booking!AB80&gt;0,booking!P80&lt;&gt;booking!Q80),VLOOKUP(booking!Q80,Database!$A$1:'Database'!$M$188,6,FALSE),"-"),"-")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IFERROR(IF(AND(booking!AB80&gt;0,booking!T80&lt;&gt;booking!U80),VLOOKUP(booking!U80,Database!$A$1:'Database'!$M$188,6,FALSE),"-"),"-")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IFERROR(IF(AND(booking!AB81&gt;0,booking!D81&lt;&gt;booking!E81),VLOOKUP(booking!E81,Database!$A$1:'Database'!$M$188,6,FALSE),"-"),"-")</f>
        <v>-</v>
      </c>
      <c r="F81" s="51" t="str">
        <f>IF(AND(booking!H81&lt;&gt;booking!I81,booking!H81&gt;0),"udc","-")</f>
        <v>udc</v>
      </c>
      <c r="G81" s="47">
        <f>IFERROR(IF(AND(booking!AB81&gt;0,booking!H81&lt;&gt;booking!I81),VLOOKUP(booking!I81,Database!$A$1:'Database'!$M$188,6,FALSE),"-"),"-")</f>
        <v>46074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IFERROR(IF(AND(booking!AB81&gt;0,booking!L81&lt;&gt;booking!M81),VLOOKUP(booking!M81,Database!$A$1:'Database'!$M$188,6,FALSE),"-"),"-")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IFERROR(IF(AND(booking!AB81&gt;0,booking!P81&lt;&gt;booking!Q81),VLOOKUP(booking!Q81,Database!$A$1:'Database'!$M$188,6,FALSE),"-"),"-")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IFERROR(IF(AND(booking!AB81&gt;0,booking!T81&lt;&gt;booking!U81),VLOOKUP(booking!U81,Database!$A$1:'Database'!$M$188,6,FALSE),"-"),"-")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IFERROR(IF(AND(booking!AB82&gt;0,booking!D82&lt;&gt;booking!E82),VLOOKUP(booking!E82,Database!$A$1:'Database'!$M$188,6,FALSE),"-"),"-")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IFERROR(IF(AND(booking!AB82&gt;0,booking!H82&lt;&gt;booking!I82),VLOOKUP(booking!I82,Database!$A$1:'Database'!$M$188,6,FALSE),"-"),"-")</f>
        <v>-</v>
      </c>
      <c r="H82" s="51" t="str">
        <f>IF(AND(booking!L82&lt;&gt;booking!M82,booking!L82&gt;0),"udc","-")</f>
        <v>udc</v>
      </c>
      <c r="I82" s="47">
        <f>IFERROR(IF(AND(booking!AB82&gt;0,booking!L82&lt;&gt;booking!M82),VLOOKUP(booking!M82,Database!$A$1:'Database'!$M$188,6,FALSE),"-"),"-")</f>
        <v>46192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IFERROR(IF(AND(booking!AB82&gt;0,booking!P82&lt;&gt;booking!Q82),VLOOKUP(booking!Q82,Database!$A$1:'Database'!$M$188,6,FALSE),"-"),"-")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IFERROR(IF(AND(booking!AB82&gt;0,booking!T82&lt;&gt;booking!U82),VLOOKUP(booking!U82,Database!$A$1:'Database'!$M$188,6,FALSE),"-"),"-")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IFERROR(IF(AND(booking!AB83&gt;0,booking!D83&lt;&gt;booking!E83),VLOOKUP(booking!E83,Database!$A$1:'Database'!$M$188,6,FALSE),"-"),"-")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IFERROR(IF(AND(booking!AB83&gt;0,booking!H83&lt;&gt;booking!I83),VLOOKUP(booking!I83,Database!$A$1:'Database'!$M$188,6,FALSE),"-"),"-")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IFERROR(IF(AND(booking!AB83&gt;0,booking!L83&lt;&gt;booking!M83),VLOOKUP(booking!M83,Database!$A$1:'Database'!$M$188,6,FALSE),"-"),"-")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IFERROR(IF(AND(booking!AB83&gt;0,booking!P83&lt;&gt;booking!Q83),VLOOKUP(booking!Q83,Database!$A$1:'Database'!$M$188,6,FALSE),"-"),"-")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IFERROR(IF(AND(booking!AB83&gt;0,booking!T83&lt;&gt;booking!U83),VLOOKUP(booking!U83,Database!$A$1:'Database'!$M$188,6,FALSE),"-"),"-")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IFERROR(IF(AND(booking!AB84&gt;0,booking!D84&lt;&gt;booking!E84),VLOOKUP(booking!E84,Database!$A$1:'Database'!$M$188,6,FALSE),"-"),"-")</f>
        <v>-</v>
      </c>
      <c r="F84" s="51" t="str">
        <f>IF(AND(booking!H84&lt;&gt;booking!I84,booking!H84&gt;0),"udc","-")</f>
        <v>udc</v>
      </c>
      <c r="G84" s="47">
        <f>IFERROR(IF(AND(booking!AB84&gt;0,booking!H84&lt;&gt;booking!I84),VLOOKUP(booking!I84,Database!$A$1:'Database'!$M$188,6,FALSE),"-"),"-")</f>
        <v>46031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IFERROR(IF(AND(booking!AB84&gt;0,booking!L84&lt;&gt;booking!M84),VLOOKUP(booking!M84,Database!$A$1:'Database'!$M$188,6,FALSE),"-"),"-")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IFERROR(IF(AND(booking!AB84&gt;0,booking!P84&lt;&gt;booking!Q84),VLOOKUP(booking!Q84,Database!$A$1:'Database'!$M$188,6,FALSE),"-"),"-")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IFERROR(IF(AND(booking!AB84&gt;0,booking!T84&lt;&gt;booking!U84),VLOOKUP(booking!U84,Database!$A$1:'Database'!$M$188,6,FALSE),"-"),"-")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IFERROR(IF(AND(booking!AB85&gt;0,booking!D85&lt;&gt;booking!E85),VLOOKUP(booking!E85,Database!$A$1:'Database'!$M$188,6,FALSE),"-"),"-")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IFERROR(IF(AND(booking!AB85&gt;0,booking!H85&lt;&gt;booking!I85),VLOOKUP(booking!I85,Database!$A$1:'Database'!$M$188,6,FALSE),"-"),"-")</f>
        <v>-</v>
      </c>
      <c r="H85" s="51" t="str">
        <f>IF(AND(booking!L85&lt;&gt;booking!M85,booking!L85&gt;0),"udc","-")</f>
        <v>udc</v>
      </c>
      <c r="I85" s="47">
        <f>IFERROR(IF(AND(booking!AB85&gt;0,booking!L85&lt;&gt;booking!M85),VLOOKUP(booking!M85,Database!$A$1:'Database'!$M$188,6,FALSE),"-"),"-")</f>
        <v>46037</v>
      </c>
      <c r="J85" s="51" t="str">
        <f>IF(AND(booking!P85&lt;&gt;booking!Q85,booking!P85&gt;0),"udc","-")</f>
        <v>udc</v>
      </c>
      <c r="K85" s="47">
        <f>IFERROR(IF(AND(booking!AB85&gt;0,booking!P85&lt;&gt;booking!Q85),VLOOKUP(booking!Q85,Database!$A$1:'Database'!$M$188,6,FALSE),"-"),"-")</f>
        <v>45868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IFERROR(IF(AND(booking!AB85&gt;0,booking!T85&lt;&gt;booking!U85),VLOOKUP(booking!U85,Database!$A$1:'Database'!$M$188,6,FALSE),"-"),"-")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IFERROR(IF(AND(booking!AB86&gt;0,booking!D86&lt;&gt;booking!E86),VLOOKUP(booking!E86,Database!$A$1:'Database'!$M$188,6,FALSE),"-"),"-")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IFERROR(IF(AND(booking!AB86&gt;0,booking!H86&lt;&gt;booking!I86),VLOOKUP(booking!I86,Database!$A$1:'Database'!$M$188,6,FALSE),"-"),"-")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IFERROR(IF(AND(booking!AB86&gt;0,booking!L86&lt;&gt;booking!M86),VLOOKUP(booking!M86,Database!$A$1:'Database'!$M$188,6,FALSE),"-"),"-")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IFERROR(IF(AND(booking!AB86&gt;0,booking!P86&lt;&gt;booking!Q86),VLOOKUP(booking!Q86,Database!$A$1:'Database'!$M$188,6,FALSE),"-"),"-")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IFERROR(IF(AND(booking!AB86&gt;0,booking!T86&lt;&gt;booking!U86),VLOOKUP(booking!U86,Database!$A$1:'Database'!$M$188,6,FALSE),"-"),"-")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IFERROR(IF(AND(booking!AB87&gt;0,booking!D87&lt;&gt;booking!E87),VLOOKUP(booking!E87,Database!$A$1:'Database'!$M$188,6,FALSE),"-"),"-")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IFERROR(IF(AND(booking!AB87&gt;0,booking!H87&lt;&gt;booking!I87),VLOOKUP(booking!I87,Database!$A$1:'Database'!$M$188,6,FALSE),"-"),"-")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IFERROR(IF(AND(booking!AB87&gt;0,booking!L87&lt;&gt;booking!M87),VLOOKUP(booking!M87,Database!$A$1:'Database'!$M$188,6,FALSE),"-"),"-")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IFERROR(IF(AND(booking!AB87&gt;0,booking!P87&lt;&gt;booking!Q87),VLOOKUP(booking!Q87,Database!$A$1:'Database'!$M$188,6,FALSE),"-"),"-")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IFERROR(IF(AND(booking!AB87&gt;0,booking!T87&lt;&gt;booking!U87),VLOOKUP(booking!U87,Database!$A$1:'Database'!$M$188,6,FALSE),"-"),"-")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IFERROR(IF(AND(booking!AB88&gt;0,booking!D88&lt;&gt;booking!E88),VLOOKUP(booking!E88,Database!$A$1:'Database'!$M$188,6,FALSE),"-"),"-")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IFERROR(IF(AND(booking!AB88&gt;0,booking!H88&lt;&gt;booking!I88),VLOOKUP(booking!I88,Database!$A$1:'Database'!$M$188,6,FALSE),"-"),"-")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IFERROR(IF(AND(booking!AB88&gt;0,booking!L88&lt;&gt;booking!M88),VLOOKUP(booking!M88,Database!$A$1:'Database'!$M$188,6,FALSE),"-"),"-")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IFERROR(IF(AND(booking!AB88&gt;0,booking!P88&lt;&gt;booking!Q88),VLOOKUP(booking!Q88,Database!$A$1:'Database'!$M$188,6,FALSE),"-"),"-")</f>
        <v>-</v>
      </c>
      <c r="L88" s="51" t="str">
        <f>IF(AND(booking!T88&lt;&gt;booking!U88,booking!T88&gt;0),"udc","-")</f>
        <v>-</v>
      </c>
      <c r="M88" s="47">
        <f>IFERROR(IF(AND(booking!AB88&gt;0,booking!T88&lt;&gt;booking!U88),VLOOKUP(booking!U88,Database!$A$1:'Database'!$M$188,6,FALSE),"-"),"-")</f>
        <v>45932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IFERROR(IF(AND(booking!AB89&gt;0,booking!D89&lt;&gt;booking!E89),VLOOKUP(booking!E89,Database!$A$1:'Database'!$M$188,6,FALSE),"-"),"-")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IFERROR(IF(AND(booking!AB89&gt;0,booking!H89&lt;&gt;booking!I89),VLOOKUP(booking!I89,Database!$A$1:'Database'!$M$188,6,FALSE),"-"),"-")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IFERROR(IF(AND(booking!AB89&gt;0,booking!L89&lt;&gt;booking!M89),VLOOKUP(booking!M89,Database!$A$1:'Database'!$M$188,6,FALSE),"-"),"-")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IFERROR(IF(AND(booking!AB89&gt;0,booking!P89&lt;&gt;booking!Q89),VLOOKUP(booking!Q89,Database!$A$1:'Database'!$M$188,6,FALSE),"-"),"-")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IFERROR(IF(AND(booking!AB89&gt;0,booking!T89&lt;&gt;booking!U89),VLOOKUP(booking!U89,Database!$A$1:'Database'!$M$188,6,FALSE),"-"),"-")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IFERROR(IF(AND(booking!AB90&gt;0,booking!D90&lt;&gt;booking!E90),VLOOKUP(booking!E90,Database!$A$1:'Database'!$M$188,6,FALSE),"-"),"-")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IFERROR(IF(AND(booking!AB90&gt;0,booking!H90&lt;&gt;booking!I90),VLOOKUP(booking!I90,Database!$A$1:'Database'!$M$188,6,FALSE),"-"),"-")</f>
        <v>-</v>
      </c>
      <c r="H90" s="51" t="str">
        <f>IF(AND(booking!L90&lt;&gt;booking!M90,booking!L90&gt;0),"udc","-")</f>
        <v>udc</v>
      </c>
      <c r="I90" s="47">
        <f>IFERROR(IF(AND(booking!AB90&gt;0,booking!L90&lt;&gt;booking!M90),VLOOKUP(booking!M90,Database!$A$1:'Database'!$M$188,6,FALSE),"-"),"-")</f>
        <v>46185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IFERROR(IF(AND(booking!AB90&gt;0,booking!P90&lt;&gt;booking!Q90),VLOOKUP(booking!Q90,Database!$A$1:'Database'!$M$188,6,FALSE),"-"),"-")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IFERROR(IF(AND(booking!AB90&gt;0,booking!T90&lt;&gt;booking!U90),VLOOKUP(booking!U90,Database!$A$1:'Database'!$M$188,6,FALSE),"-"),"-")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IFERROR(IF(AND(booking!AB91&gt;0,booking!D91&lt;&gt;booking!E91),VLOOKUP(booking!E91,Database!$A$1:'Database'!$M$188,6,FALSE),"-"),"-")</f>
        <v>-</v>
      </c>
      <c r="F91" s="51" t="str">
        <f>IF(AND(booking!H91&lt;&gt;booking!I91,booking!H91&gt;0),"udc","-")</f>
        <v>udc</v>
      </c>
      <c r="G91" s="47">
        <f>IFERROR(IF(AND(booking!AB91&gt;0,booking!H91&lt;&gt;booking!I91),VLOOKUP(booking!I91,Database!$A$1:'Database'!$M$188,6,FALSE),"-"),"-")</f>
        <v>46040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IFERROR(IF(AND(booking!AB91&gt;0,booking!L91&lt;&gt;booking!M91),VLOOKUP(booking!M91,Database!$A$1:'Database'!$M$188,6,FALSE),"-"),"-")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IFERROR(IF(AND(booking!AB91&gt;0,booking!P91&lt;&gt;booking!Q91),VLOOKUP(booking!Q91,Database!$A$1:'Database'!$M$188,6,FALSE),"-"),"-")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IFERROR(IF(AND(booking!AB91&gt;0,booking!T91&lt;&gt;booking!U91),VLOOKUP(booking!U91,Database!$A$1:'Database'!$M$188,6,FALSE),"-"),"-")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>
        <f>IFERROR(IF(AND(booking!AB92&gt;0,booking!D92&lt;&gt;booking!E92),VLOOKUP(booking!E92,Database!$A$1:'Database'!$M$188,6,FALSE),"-"),"-")</f>
        <v>46046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IFERROR(IF(AND(booking!AB92&gt;0,booking!H92&lt;&gt;booking!I92),VLOOKUP(booking!I92,Database!$A$1:'Database'!$M$188,6,FALSE),"-"),"-")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IFERROR(IF(AND(booking!AB92&gt;0,booking!L92&lt;&gt;booking!M92),VLOOKUP(booking!M92,Database!$A$1:'Database'!$M$188,6,FALSE),"-"),"-")</f>
        <v>-</v>
      </c>
      <c r="J92" s="51" t="str">
        <f>IF(AND(booking!P92&lt;&gt;booking!Q92,booking!P92&gt;0),"udc","-")</f>
        <v>-</v>
      </c>
      <c r="K92" s="47">
        <f>IFERROR(IF(AND(booking!AB92&gt;0,booking!P92&lt;&gt;booking!Q92),VLOOKUP(booking!Q92,Database!$A$1:'Database'!$M$188,6,FALSE),"-"),"-")</f>
        <v>46046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IFERROR(IF(AND(booking!AB92&gt;0,booking!T92&lt;&gt;booking!U92),VLOOKUP(booking!U92,Database!$A$1:'Database'!$M$188,6,FALSE),"-"),"-")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IFERROR(IF(AND(booking!AB93&gt;0,booking!D93&lt;&gt;booking!E93),VLOOKUP(booking!E93,Database!$A$1:'Database'!$M$188,6,FALSE),"-"),"-")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IFERROR(IF(AND(booking!AB93&gt;0,booking!H93&lt;&gt;booking!I93),VLOOKUP(booking!I93,Database!$A$1:'Database'!$M$188,6,FALSE),"-"),"-")</f>
        <v>-</v>
      </c>
      <c r="H93" s="51" t="str">
        <f>IF(AND(booking!L93&lt;&gt;booking!M93,booking!L93&gt;0),"udc","-")</f>
        <v>udc</v>
      </c>
      <c r="I93" s="47">
        <f>IFERROR(IF(AND(booking!AB93&gt;0,booking!L93&lt;&gt;booking!M93),VLOOKUP(booking!M93,Database!$A$1:'Database'!$M$188,6,FALSE),"-"),"-")</f>
        <v>46042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IFERROR(IF(AND(booking!AB93&gt;0,booking!P93&lt;&gt;booking!Q93),VLOOKUP(booking!Q93,Database!$A$1:'Database'!$M$188,6,FALSE),"-"),"-")</f>
        <v>-</v>
      </c>
      <c r="L93" s="51" t="str">
        <f>IF(AND(booking!T93&lt;&gt;booking!U93,booking!T93&gt;0),"udc","-")</f>
        <v>-</v>
      </c>
      <c r="M93" s="47">
        <f>IFERROR(IF(AND(booking!AB93&gt;0,booking!T93&lt;&gt;booking!U93),VLOOKUP(booking!U93,Database!$A$1:'Database'!$M$188,6,FALSE),"-"),"-")</f>
        <v>46025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IFERROR(IF(AND(booking!AB94&gt;0,booking!D94&lt;&gt;booking!E94),VLOOKUP(booking!E94,Database!$A$1:'Database'!$M$188,6,FALSE),"-"),"-")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IFERROR(IF(AND(booking!AB94&gt;0,booking!H94&lt;&gt;booking!I94),VLOOKUP(booking!I94,Database!$A$1:'Database'!$M$188,6,FALSE),"-"),"-")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IFERROR(IF(AND(booking!AB94&gt;0,booking!L94&lt;&gt;booking!M94),VLOOKUP(booking!M94,Database!$A$1:'Database'!$M$188,6,FALSE),"-"),"-")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IFERROR(IF(AND(booking!AB94&gt;0,booking!P94&lt;&gt;booking!Q94),VLOOKUP(booking!Q94,Database!$A$1:'Database'!$M$188,6,FALSE),"-"),"-")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IFERROR(IF(AND(booking!AB94&gt;0,booking!T94&lt;&gt;booking!U94),VLOOKUP(booking!U94,Database!$A$1:'Database'!$M$188,6,FALSE),"-"),"-")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IFERROR(IF(AND(booking!AB95&gt;0,booking!D95&lt;&gt;booking!E95),VLOOKUP(booking!E95,Database!$A$1:'Database'!$M$188,6,FALSE),"-"),"-")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IFERROR(IF(AND(booking!AB95&gt;0,booking!H95&lt;&gt;booking!I95),VLOOKUP(booking!I95,Database!$A$1:'Database'!$M$188,6,FALSE),"-"),"-")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IFERROR(IF(AND(booking!AB95&gt;0,booking!L95&lt;&gt;booking!M95),VLOOKUP(booking!M95,Database!$A$1:'Database'!$M$188,6,FALSE),"-"),"-")</f>
        <v>-</v>
      </c>
      <c r="J95" s="51" t="str">
        <f>IF(AND(booking!P95&lt;&gt;booking!Q95,booking!P95&gt;0),"udc","-")</f>
        <v>udc</v>
      </c>
      <c r="K95" s="47">
        <f>IFERROR(IF(AND(booking!AB95&gt;0,booking!P95&lt;&gt;booking!Q95),VLOOKUP(booking!Q95,Database!$A$1:'Database'!$M$188,6,FALSE),"-"),"-")</f>
        <v>46043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IFERROR(IF(AND(booking!AB95&gt;0,booking!T95&lt;&gt;booking!U95),VLOOKUP(booking!U95,Database!$A$1:'Database'!$M$188,6,FALSE),"-"),"-")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>
        <f>IFERROR(IF(AND(booking!AB96&gt;0,booking!D96&lt;&gt;booking!E96),VLOOKUP(booking!E96,Database!$A$1:'Database'!$M$188,6,FALSE),"-"),"-")</f>
        <v>46125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IFERROR(IF(AND(booking!AB96&gt;0,booking!H96&lt;&gt;booking!I96),VLOOKUP(booking!I96,Database!$A$1:'Database'!$M$188,6,FALSE),"-"),"-")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IFERROR(IF(AND(booking!AB96&gt;0,booking!L96&lt;&gt;booking!M96),VLOOKUP(booking!M96,Database!$A$1:'Database'!$M$188,6,FALSE),"-"),"-")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IFERROR(IF(AND(booking!AB96&gt;0,booking!P96&lt;&gt;booking!Q96),VLOOKUP(booking!Q96,Database!$A$1:'Database'!$M$188,6,FALSE),"-"),"-")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IFERROR(IF(AND(booking!AB96&gt;0,booking!T96&lt;&gt;booking!U96),VLOOKUP(booking!U96,Database!$A$1:'Database'!$M$188,6,FALSE),"-"),"-")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IFERROR(IF(AND(booking!AB97&gt;0,booking!D97&lt;&gt;booking!E97),VLOOKUP(booking!E97,Database!$A$1:'Database'!$M$188,6,FALSE),"-"),"-")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IFERROR(IF(AND(booking!AB97&gt;0,booking!H97&lt;&gt;booking!I97),VLOOKUP(booking!I97,Database!$A$1:'Database'!$M$188,6,FALSE),"-"),"-")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IFERROR(IF(AND(booking!AB97&gt;0,booking!L97&lt;&gt;booking!M97),VLOOKUP(booking!M97,Database!$A$1:'Database'!$M$188,6,FALSE),"-"),"-")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IFERROR(IF(AND(booking!AB97&gt;0,booking!P97&lt;&gt;booking!Q97),VLOOKUP(booking!Q97,Database!$A$1:'Database'!$M$188,6,FALSE),"-"),"-")</f>
        <v>-</v>
      </c>
      <c r="L97" s="51" t="str">
        <f>IF(AND(booking!T97&lt;&gt;booking!U97,booking!T97&gt;0),"udc","-")</f>
        <v>udc</v>
      </c>
      <c r="M97" s="47">
        <f>IFERROR(IF(AND(booking!AB97&gt;0,booking!T97&lt;&gt;booking!U97),VLOOKUP(booking!U97,Database!$A$1:'Database'!$M$188,6,FALSE),"-"),"-")</f>
        <v>46098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IFERROR(IF(AND(booking!AB98&gt;0,booking!D98&lt;&gt;booking!E98),VLOOKUP(booking!E98,Database!$A$1:'Database'!$M$188,6,FALSE),"-"),"-")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IFERROR(IF(AND(booking!AB98&gt;0,booking!H98&lt;&gt;booking!I98),VLOOKUP(booking!I98,Database!$A$1:'Database'!$M$188,6,FALSE),"-"),"-")</f>
        <v>-</v>
      </c>
      <c r="H98" s="51" t="str">
        <f>IF(AND(booking!L98&lt;&gt;booking!M98,booking!L98&gt;0),"udc","-")</f>
        <v>-</v>
      </c>
      <c r="I98" s="47">
        <f>IFERROR(IF(AND(booking!AB98&gt;0,booking!L98&lt;&gt;booking!M98),VLOOKUP(booking!M98,Database!$A$1:'Database'!$M$188,6,FALSE),"-"),"-")</f>
        <v>46235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IFERROR(IF(AND(booking!AB98&gt;0,booking!P98&lt;&gt;booking!Q98),VLOOKUP(booking!Q98,Database!$A$1:'Database'!$M$188,6,FALSE),"-"),"-")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IFERROR(IF(AND(booking!AB98&gt;0,booking!T98&lt;&gt;booking!U98),VLOOKUP(booking!U98,Database!$A$1:'Database'!$M$188,6,FALSE),"-"),"-")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>
        <f>IFERROR(IF(AND(booking!AB99&gt;0,booking!D99&lt;&gt;booking!E99),VLOOKUP(booking!E99,Database!$A$1:'Database'!$M$188,6,FALSE),"-"),"-")</f>
        <v>46063</v>
      </c>
      <c r="F99" s="51" t="str">
        <f>IF(AND(booking!H99&lt;&gt;booking!I99,booking!H99&gt;0),"udc","-")</f>
        <v>-</v>
      </c>
      <c r="G99" s="47">
        <f>IFERROR(IF(AND(booking!AB99&gt;0,booking!H99&lt;&gt;booking!I99),VLOOKUP(booking!I99,Database!$A$1:'Database'!$M$188,6,FALSE),"-"),"-")</f>
        <v>46233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IFERROR(IF(AND(booking!AB99&gt;0,booking!L99&lt;&gt;booking!M99),VLOOKUP(booking!M99,Database!$A$1:'Database'!$M$188,6,FALSE),"-"),"-")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IFERROR(IF(AND(booking!AB99&gt;0,booking!P99&lt;&gt;booking!Q99),VLOOKUP(booking!Q99,Database!$A$1:'Database'!$M$188,6,FALSE),"-"),"-")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IFERROR(IF(AND(booking!AB99&gt;0,booking!#REF!&lt;&gt;booking!U99),VLOOKUP(booking!U99,Database!$A$1:'Database'!$M$188,6,FALSE),"-"),"-")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IFERROR(IF(AND(booking!AB100&gt;0,booking!D100&lt;&gt;booking!E100),VLOOKUP(booking!E100,Database!$A$1:'Database'!$M$188,6,FALSE),"-"),"-")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IFERROR(IF(AND(booking!AB100&gt;0,booking!H100&lt;&gt;booking!I100),VLOOKUP(booking!I100,Database!$A$1:'Database'!$M$188,6,FALSE),"-"),"-")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IFERROR(IF(AND(booking!AB100&gt;0,booking!L100&lt;&gt;booking!M100),VLOOKUP(booking!M100,Database!$A$1:'Database'!$M$188,6,FALSE),"-"),"-")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IFERROR(IF(AND(booking!AB100&gt;0,booking!P100&lt;&gt;booking!Q100),VLOOKUP(booking!Q100,Database!$A$1:'Database'!$M$188,6,FALSE),"-"),"-")</f>
        <v>-</v>
      </c>
      <c r="L100" s="51" t="str">
        <f>IF(AND(booking!T99&lt;&gt;booking!U100,booking!T99&gt;0),"udc","-")</f>
        <v>udc</v>
      </c>
      <c r="M100" s="47">
        <f>IFERROR(IF(AND(booking!AB100&gt;0,booking!T99&lt;&gt;booking!U100),VLOOKUP(booking!U100,Database!$A$1:'Database'!$M$188,6,FALSE),"-"),"-")</f>
        <v>46039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IFERROR(IF(AND(booking!AB101&gt;0,booking!D101&lt;&gt;booking!E101),VLOOKUP(booking!E101,Database!$A$1:'Database'!$M$188,6,FALSE),"-"),"-")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IFERROR(IF(AND(booking!AB101&gt;0,booking!H101&lt;&gt;booking!I101),VLOOKUP(booking!I101,Database!$A$1:'Database'!$M$188,6,FALSE),"-"),"-")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IFERROR(IF(AND(booking!AB101&gt;0,booking!L101&lt;&gt;booking!M101),VLOOKUP(booking!M101,Database!$A$1:'Database'!$M$188,6,FALSE),"-"),"-")</f>
        <v>-</v>
      </c>
      <c r="J101" s="51" t="str">
        <f>IF(AND(booking!P101&lt;&gt;booking!Q101,booking!P101&gt;0),"udc","-")</f>
        <v>udc</v>
      </c>
      <c r="K101" s="47">
        <f>IFERROR(IF(AND(booking!AB101&gt;0,booking!P101&lt;&gt;booking!Q101),VLOOKUP(booking!Q101,Database!$A$1:'Database'!$M$188,6,FALSE),"-"),"-")</f>
        <v>46168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IFERROR(IF(AND(booking!AB101&gt;0,booking!T101&lt;&gt;booking!U101),VLOOKUP(booking!U101,Database!$A$1:'Database'!$M$188,6,FALSE),"-"),"-")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IFERROR(IF(AND(booking!AB102&gt;0,booking!D102&lt;&gt;booking!E102),VLOOKUP(booking!E102,Database!$A$1:'Database'!$M$188,6,FALSE),"-"),"-")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IFERROR(IF(AND(booking!AB102&gt;0,booking!H102&lt;&gt;booking!I102),VLOOKUP(booking!I102,Database!$A$1:'Database'!$M$188,6,FALSE),"-"),"-")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IFERROR(IF(AND(booking!AB102&gt;0,booking!L102&lt;&gt;booking!M102),VLOOKUP(booking!M102,Database!$A$1:'Database'!$M$188,6,FALSE),"-"),"-")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IFERROR(IF(AND(booking!AB102&gt;0,booking!P102&lt;&gt;booking!Q102),VLOOKUP(booking!Q102,Database!$A$1:'Database'!$M$188,6,FALSE),"-"),"-")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IFERROR(IF(AND(booking!AB102&gt;0,booking!T102&lt;&gt;booking!U102),VLOOKUP(booking!U102,Database!$A$1:'Database'!$M$188,6,FALSE),"-"),"-")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>
        <f>IFERROR(IF(AND(booking!AB103&gt;0,booking!D103&lt;&gt;booking!E103),VLOOKUP(booking!E103,Database!$A$1:'Database'!$M$188,6,FALSE),"-"),"-")</f>
        <v>46029</v>
      </c>
      <c r="F103" s="51" t="str">
        <f>IF(AND(booking!H103&lt;&gt;booking!I103,booking!H103&gt;0),"udc","-")</f>
        <v>udc</v>
      </c>
      <c r="G103" s="47">
        <f>IFERROR(IF(AND(booking!AB103&gt;0,booking!H103&lt;&gt;booking!I103),VLOOKUP(booking!I103,Database!$A$1:'Database'!$M$188,6,FALSE),"-"),"-")</f>
        <v>46029</v>
      </c>
      <c r="H103" s="51" t="str">
        <f>IF(AND(booking!L103&lt;&gt;booking!M103,booking!L103&gt;0),"udc","-")</f>
        <v>-</v>
      </c>
      <c r="I103" s="47">
        <f>IFERROR(IF(AND(booking!AB103&gt;0,booking!L103&lt;&gt;booking!M103),VLOOKUP(booking!M103,Database!$A$1:'Database'!$M$188,6,FALSE),"-"),"-")</f>
        <v>46237</v>
      </c>
      <c r="J103" s="51" t="str">
        <f>IF(AND(booking!P103&lt;&gt;booking!Q103,booking!P103&gt;0),"udc","-")</f>
        <v>udc</v>
      </c>
      <c r="K103" s="47">
        <f>IFERROR(IF(AND(booking!AB103&gt;0,booking!P103&lt;&gt;booking!Q103),VLOOKUP(booking!Q103,Database!$A$1:'Database'!$M$188,6,FALSE),"-"),"-")</f>
        <v>46038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IFERROR(IF(AND(booking!AB103&gt;0,booking!T103&lt;&gt;booking!U103),VLOOKUP(booking!U103,Database!$A$1:'Database'!$M$188,6,FALSE),"-"),"-")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IFERROR(IF(AND(booking!AB104&gt;0,booking!D104&lt;&gt;booking!E104),VLOOKUP(booking!E104,Database!$A$1:'Database'!$M$188,6,FALSE),"-"),"-")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IFERROR(IF(AND(booking!AB104&gt;0,booking!H104&lt;&gt;booking!I104),VLOOKUP(booking!I104,Database!$A$1:'Database'!$M$188,6,FALSE),"-"),"-")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IFERROR(IF(AND(booking!AB104&gt;0,booking!L104&lt;&gt;booking!M104),VLOOKUP(booking!M104,Database!$A$1:'Database'!$M$188,6,FALSE),"-"),"-")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IFERROR(IF(AND(booking!AB104&gt;0,booking!P104&lt;&gt;booking!Q104),VLOOKUP(booking!Q104,Database!$A$1:'Database'!$M$188,6,FALSE),"-"),"-")</f>
        <v>-</v>
      </c>
      <c r="L104" s="51" t="str">
        <f>IF(AND(booking!T104&lt;&gt;booking!U104,booking!T104&gt;0),"udc","-")</f>
        <v>udc</v>
      </c>
      <c r="M104" s="47">
        <f>IFERROR(IF(AND(booking!AB104&gt;0,booking!T104&lt;&gt;booking!U104),VLOOKUP(booking!U104,Database!$A$1:'Database'!$M$188,6,FALSE),"-"),"-")</f>
        <v>46095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IFERROR(IF(AND(booking!AB105&gt;0,booking!D105&lt;&gt;booking!E105),VLOOKUP(booking!E105,Database!$A$1:'Database'!$M$188,6,FALSE),"-"),"-")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IFERROR(IF(AND(booking!AB105&gt;0,booking!H105&lt;&gt;booking!I105),VLOOKUP(booking!I105,Database!$A$1:'Database'!$M$188,6,FALSE),"-"),"-")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IFERROR(IF(AND(booking!AB105&gt;0,booking!L105&lt;&gt;booking!M105),VLOOKUP(booking!M105,Database!$A$1:'Database'!$M$188,6,FALSE),"-"),"-")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IFERROR(IF(AND(booking!AB105&gt;0,booking!P105&lt;&gt;booking!Q105),VLOOKUP(booking!Q105,Database!$A$1:'Database'!$M$188,6,FALSE),"-"),"-")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IFERROR(IF(AND(booking!AB105&gt;0,booking!T105&lt;&gt;booking!U105),VLOOKUP(booking!U105,Database!$A$1:'Database'!$M$188,6,FALSE),"-"),"-")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IFERROR(IF(AND(booking!AB106&gt;0,booking!D106&lt;&gt;booking!E106),VLOOKUP(booking!E106,Database!$A$1:'Database'!$M$188,6,FALSE),"-"),"-")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IFERROR(IF(AND(booking!AB106&gt;0,booking!H106&lt;&gt;booking!I106),VLOOKUP(booking!I106,Database!$A$1:'Database'!$M$188,6,FALSE),"-"),"-")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IFERROR(IF(AND(booking!AB106&gt;0,booking!L106&lt;&gt;booking!M106),VLOOKUP(booking!M106,Database!$A$1:'Database'!$M$188,6,FALSE),"-"),"-")</f>
        <v>-</v>
      </c>
      <c r="J106" s="51" t="str">
        <f>IF(AND(booking!P106&lt;&gt;booking!Q106,booking!P106&gt;0),"udc","-")</f>
        <v>udc</v>
      </c>
      <c r="K106" s="47">
        <f>IFERROR(IF(AND(booking!AB106&gt;0,booking!P106&lt;&gt;booking!Q106),VLOOKUP(booking!Q106,Database!$A$1:'Database'!$M$188,6,FALSE),"-"),"-")</f>
        <v>46125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IFERROR(IF(AND(booking!AB106&gt;0,booking!T106&lt;&gt;booking!U106),VLOOKUP(booking!U106,Database!$A$1:'Database'!$M$188,6,FALSE),"-"),"-")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IFERROR(IF(AND(booking!AB107&gt;0,booking!D107&lt;&gt;booking!E107),VLOOKUP(booking!E107,Database!$A$1:'Database'!$M$188,6,FALSE),"-"),"-")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IFERROR(IF(AND(booking!AB107&gt;0,booking!H107&lt;&gt;booking!I107),VLOOKUP(booking!I107,Database!$A$1:'Database'!$M$188,6,FALSE),"-"),"-")</f>
        <v>-</v>
      </c>
      <c r="H107" s="51" t="str">
        <f>IF(AND(booking!L107&lt;&gt;booking!M107,booking!L107&gt;0),"udc","-")</f>
        <v>-</v>
      </c>
      <c r="I107" s="47">
        <f>IFERROR(IF(AND(booking!AB107&gt;0,booking!L107&lt;&gt;booking!M107),VLOOKUP(booking!M107,Database!$A$1:'Database'!$M$188,6,FALSE),"-"),"-")</f>
        <v>46047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IFERROR(IF(AND(booking!AB107&gt;0,booking!P107&lt;&gt;booking!Q107),VLOOKUP(booking!Q107,Database!$A$1:'Database'!$M$188,6,FALSE),"-"),"-")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IFERROR(IF(AND(booking!AB107&gt;0,booking!T107&lt;&gt;booking!U107),VLOOKUP(booking!U107,Database!$A$1:'Database'!$M$188,6,FALSE),"-"),"-")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IFERROR(IF(AND(booking!AB108&gt;0,booking!D108&lt;&gt;booking!E108),VLOOKUP(booking!E108,Database!$A$1:'Database'!$M$188,6,FALSE),"-"),"-")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IFERROR(IF(AND(booking!AB108&gt;0,booking!H108&lt;&gt;booking!I108),VLOOKUP(booking!I108,Database!$A$1:'Database'!$M$188,6,FALSE),"-"),"-")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IFERROR(IF(AND(booking!AB108&gt;0,booking!L108&lt;&gt;booking!M108),VLOOKUP(booking!M108,Database!$A$1:'Database'!$M$188,6,FALSE),"-"),"-")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IFERROR(IF(AND(booking!AB108&gt;0,booking!P108&lt;&gt;booking!Q108),VLOOKUP(booking!Q108,Database!$A$1:'Database'!$M$188,6,FALSE),"-"),"-")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IFERROR(IF(AND(booking!AB108&gt;0,booking!T108&lt;&gt;booking!U108),VLOOKUP(booking!U108,Database!$A$1:'Database'!$M$188,6,FALSE),"-"),"-")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IFERROR(IF(AND(booking!AB109&gt;0,booking!D109&lt;&gt;booking!E109),VLOOKUP(booking!E109,Database!$A$1:'Database'!$M$188,6,FALSE),"-"),"-")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IFERROR(IF(AND(booking!AB109&gt;0,booking!H109&lt;&gt;booking!I109),VLOOKUP(booking!I109,Database!$A$1:'Database'!$M$188,6,FALSE),"-"),"-")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IFERROR(IF(AND(booking!AB109&gt;0,booking!L109&lt;&gt;booking!M109),VLOOKUP(booking!M109,Database!$A$1:'Database'!$M$188,6,FALSE),"-"),"-")</f>
        <v>-</v>
      </c>
      <c r="J109" s="51" t="str">
        <f>IF(AND(booking!P109&lt;&gt;booking!Q109,booking!P109&gt;0),"udc","-")</f>
        <v>udc</v>
      </c>
      <c r="K109" s="47">
        <f>IFERROR(IF(AND(booking!AB109&gt;0,booking!P109&lt;&gt;booking!Q109),VLOOKUP(booking!Q109,Database!$A$1:'Database'!$M$188,6,FALSE),"-"),"-")</f>
        <v>45891</v>
      </c>
      <c r="L109" s="51" t="str">
        <f>IF(AND(booking!T109&lt;&gt;booking!U109,booking!T109&gt;0),"udc","-")</f>
        <v>udc</v>
      </c>
      <c r="M109" s="47">
        <f>IFERROR(IF(AND(booking!AB109&gt;0,booking!T109&lt;&gt;booking!U109),VLOOKUP(booking!U109,Database!$A$1:'Database'!$M$188,6,FALSE),"-"),"-")</f>
        <v>45891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>
        <f>IFERROR(IF(AND(booking!AB110&gt;0,booking!D110&lt;&gt;booking!E110),VLOOKUP(booking!E110,Database!$A$1:'Database'!$M$188,6,FALSE),"-"),"-")</f>
        <v>46037</v>
      </c>
      <c r="F110" s="51" t="str">
        <f>IF(AND(booking!H110&lt;&gt;booking!I110,booking!H110&gt;0),"udc","-")</f>
        <v>udc</v>
      </c>
      <c r="G110" s="47">
        <f>IFERROR(IF(AND(booking!AB110&gt;0,booking!H110&lt;&gt;booking!I110),VLOOKUP(booking!I110,Database!$A$1:'Database'!$M$188,6,FALSE),"-"),"-")</f>
        <v>46017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IFERROR(IF(AND(booking!AB110&gt;0,booking!L110&lt;&gt;booking!M110),VLOOKUP(booking!M110,Database!$A$1:'Database'!$M$188,6,FALSE),"-"),"-")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IFERROR(IF(AND(booking!AB110&gt;0,booking!P110&lt;&gt;booking!Q110),VLOOKUP(booking!Q110,Database!$A$1:'Database'!$M$188,6,FALSE),"-"),"-")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IFERROR(IF(AND(booking!AB110&gt;0,booking!T110&lt;&gt;booking!U110),VLOOKUP(booking!U110,Database!$A$1:'Database'!$M$188,6,FALSE),"-"),"-")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IFERROR(IF(AND(booking!AB111&gt;0,booking!D111&lt;&gt;booking!E111),VLOOKUP(booking!E111,Database!$A$1:'Database'!$M$188,6,FALSE),"-"),"-")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IFERROR(IF(AND(booking!AB111&gt;0,booking!H111&lt;&gt;booking!I111),VLOOKUP(booking!I111,Database!$A$1:'Database'!$M$188,6,FALSE),"-"),"-")</f>
        <v>-</v>
      </c>
      <c r="H111" s="51" t="str">
        <f>IF(AND(booking!L111&lt;&gt;booking!M111,booking!L111&gt;0),"udc","-")</f>
        <v>udc</v>
      </c>
      <c r="I111" s="47">
        <f>IFERROR(IF(AND(booking!AB111&gt;0,booking!L111&lt;&gt;booking!M111),VLOOKUP(booking!M111,Database!$A$1:'Database'!$M$188,6,FALSE),"-"),"-")</f>
        <v>46137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IFERROR(IF(AND(booking!AB111&gt;0,booking!P111&lt;&gt;booking!Q111),VLOOKUP(booking!Q111,Database!$A$1:'Database'!$M$188,6,FALSE),"-"),"-")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IFERROR(IF(AND(booking!AB111&gt;0,booking!T111&lt;&gt;booking!U111),VLOOKUP(booking!U111,Database!$A$1:'Database'!$M$188,6,FALSE),"-"),"-")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IFERROR(IF(AND(booking!AB112&gt;0,booking!D112&lt;&gt;booking!E112),VLOOKUP(booking!E112,Database!$A$1:'Database'!$M$188,6,FALSE),"-"),"-")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IFERROR(IF(AND(booking!AB112&gt;0,booking!H112&lt;&gt;booking!I112),VLOOKUP(booking!I112,Database!$A$1:'Database'!$M$188,6,FALSE),"-"),"-")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IFERROR(IF(AND(booking!AB112&gt;0,booking!L112&lt;&gt;booking!M112),VLOOKUP(booking!M112,Database!$A$1:'Database'!$M$188,6,FALSE),"-"),"-")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IFERROR(IF(AND(booking!AB112&gt;0,booking!P112&lt;&gt;booking!Q112),VLOOKUP(booking!Q112,Database!$A$1:'Database'!$M$188,6,FALSE),"-"),"-")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IFERROR(IF(AND(booking!AB112&gt;0,booking!T112&lt;&gt;booking!U112),VLOOKUP(booking!U112,Database!$A$1:'Database'!$M$188,6,FALSE),"-"),"-")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IFERROR(IF(AND(booking!AB113&gt;0,booking!D113&lt;&gt;booking!E113),VLOOKUP(booking!E113,Database!$A$1:'Database'!$M$188,6,FALSE),"-"),"-")</f>
        <v>-</v>
      </c>
      <c r="F113" s="51" t="str">
        <f>IF(AND(booking!H113&lt;&gt;booking!I113,booking!H113&gt;0),"udc","-")</f>
        <v>udc</v>
      </c>
      <c r="G113" s="47">
        <f>IFERROR(IF(AND(booking!AB113&gt;0,booking!H113&lt;&gt;booking!I113),VLOOKUP(booking!I113,Database!$A$1:'Database'!$M$188,6,FALSE),"-"),"-")</f>
        <v>46218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IFERROR(IF(AND(booking!AB113&gt;0,booking!L113&lt;&gt;booking!M113),VLOOKUP(booking!M113,Database!$A$1:'Database'!$M$188,6,FALSE),"-"),"-")</f>
        <v>-</v>
      </c>
      <c r="J113" s="51" t="str">
        <f>IF(AND(booking!P113&lt;&gt;booking!Q113,booking!P113&gt;0),"udc","-")</f>
        <v>udc</v>
      </c>
      <c r="K113" s="47">
        <f>IFERROR(IF(AND(booking!AB113&gt;0,booking!P113&lt;&gt;booking!Q113),VLOOKUP(booking!Q113,Database!$A$1:'Database'!$M$188,6,FALSE),"-"),"-")</f>
        <v>46041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IFERROR(IF(AND(booking!AB113&gt;0,booking!T113&lt;&gt;booking!U113),VLOOKUP(booking!U113,Database!$A$1:'Database'!$M$188,6,FALSE),"-"),"-")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>
        <f>IFERROR(IF(AND(booking!AB114&gt;0,booking!D114&lt;&gt;booking!E114),VLOOKUP(booking!E114,Database!$A$1:'Database'!$M$188,6,FALSE),"-"),"-")</f>
        <v>46019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IFERROR(IF(AND(booking!AB114&gt;0,booking!H114&lt;&gt;booking!I114),VLOOKUP(booking!I114,Database!$A$1:'Database'!$M$188,6,FALSE),"-"),"-")</f>
        <v>-</v>
      </c>
      <c r="H114" s="51" t="str">
        <f>IF(AND(booking!L114&lt;&gt;booking!M114,booking!L114&gt;0),"udc","-")</f>
        <v>-</v>
      </c>
      <c r="I114" s="47">
        <f>IFERROR(IF(AND(booking!AB114&gt;0,booking!L114&lt;&gt;booking!M114),VLOOKUP(booking!M114,Database!$A$1:'Database'!$M$188,6,FALSE),"-"),"-")</f>
        <v>46041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IFERROR(IF(AND(booking!AB114&gt;0,booking!P114&lt;&gt;booking!Q114),VLOOKUP(booking!Q114,Database!$A$1:'Database'!$M$188,6,FALSE),"-"),"-")</f>
        <v>-</v>
      </c>
      <c r="L114" s="51" t="str">
        <f>IF(AND(booking!T114&lt;&gt;booking!U114,booking!T114&gt;0),"udc","-")</f>
        <v>-</v>
      </c>
      <c r="M114" s="47">
        <f>IFERROR(IF(AND(booking!AB114&gt;0,booking!T114&lt;&gt;booking!U114),VLOOKUP(booking!U114,Database!$A$1:'Database'!$M$188,6,FALSE),"-"),"-")</f>
        <v>46009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IFERROR(IF(AND(booking!AB115&gt;0,booking!D115&lt;&gt;booking!E115),VLOOKUP(booking!E115,Database!$A$1:'Database'!$M$188,6,FALSE),"-"),"-")</f>
        <v>-</v>
      </c>
      <c r="F115" s="51" t="str">
        <f>IF(AND(booking!H115&lt;&gt;booking!I115,booking!H115&gt;0),"udc","-")</f>
        <v>udc</v>
      </c>
      <c r="G115" s="47">
        <f>IFERROR(IF(AND(booking!AB115&gt;0,booking!H115&lt;&gt;booking!I115),VLOOKUP(booking!I115,Database!$A$1:'Database'!$M$188,6,FALSE),"-"),"-")</f>
        <v>46160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IFERROR(IF(AND(booking!AB115&gt;0,booking!L115&lt;&gt;booking!M115),VLOOKUP(booking!M115,Database!$A$1:'Database'!$M$188,6,FALSE),"-"),"-")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IFERROR(IF(AND(booking!AB115&gt;0,booking!P115&lt;&gt;booking!Q115),VLOOKUP(booking!Q115,Database!$A$1:'Database'!$M$188,6,FALSE),"-"),"-")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IFERROR(IF(AND(booking!AB115&gt;0,booking!T115&lt;&gt;booking!U115),VLOOKUP(booking!U115,Database!$A$1:'Database'!$M$188,6,FALSE),"-"),"-")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IFERROR(IF(AND(booking!AB116&gt;0,booking!D116&lt;&gt;booking!E116),VLOOKUP(booking!E116,Database!$A$1:'Database'!$M$188,6,FALSE),"-"),"-")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IFERROR(IF(AND(booking!AB116&gt;0,booking!H116&lt;&gt;booking!I116),VLOOKUP(booking!I116,Database!$A$1:'Database'!$M$188,6,FALSE),"-"),"-")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IFERROR(IF(AND(booking!AB116&gt;0,booking!L116&lt;&gt;booking!M116),VLOOKUP(booking!M116,Database!$A$1:'Database'!$M$188,6,FALSE),"-"),"-")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IFERROR(IF(AND(booking!AB116&gt;0,booking!P116&lt;&gt;booking!Q116),VLOOKUP(booking!Q116,Database!$A$1:'Database'!$M$188,6,FALSE),"-"),"-")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IFERROR(IF(AND(booking!AB116&gt;0,booking!T116&lt;&gt;booking!U116),VLOOKUP(booking!U116,Database!$A$1:'Database'!$M$188,6,FALSE),"-"),"-")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IFERROR(IF(AND(booking!AB117&gt;0,booking!D117&lt;&gt;booking!E117),VLOOKUP(booking!E117,Database!$A$1:'Database'!$M$188,6,FALSE),"-"),"-")</f>
        <v>-</v>
      </c>
      <c r="F117" s="51" t="str">
        <f>IF(AND(booking!H117&lt;&gt;booking!I117,booking!H117&gt;0),"udc","-")</f>
        <v>udc</v>
      </c>
      <c r="G117" s="47">
        <f>IFERROR(IF(AND(booking!AB117&gt;0,booking!H117&lt;&gt;booking!I117),VLOOKUP(booking!I117,Database!$A$1:'Database'!$M$188,6,FALSE),"-"),"-")</f>
        <v>46236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IFERROR(IF(AND(booking!AB117&gt;0,booking!L117&lt;&gt;booking!M117),VLOOKUP(booking!M117,Database!$A$1:'Database'!$M$188,6,FALSE),"-"),"-")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IFERROR(IF(AND(booking!AB117&gt;0,booking!P117&lt;&gt;booking!Q117),VLOOKUP(booking!Q117,Database!$A$1:'Database'!$M$188,6,FALSE),"-"),"-")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IFERROR(IF(AND(booking!AB117&gt;0,booking!T117&lt;&gt;booking!U117),VLOOKUP(booking!U117,Database!$A$1:'Database'!$M$188,6,FALSE),"-"),"-")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IFERROR(IF(AND(booking!AB118&gt;0,booking!D118&lt;&gt;booking!E118),VLOOKUP(booking!E118,Database!$A$1:'Database'!$M$188,6,FALSE),"-"),"-")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IFERROR(IF(AND(booking!AB118&gt;0,booking!H118&lt;&gt;booking!I118),VLOOKUP(booking!I118,Database!$A$1:'Database'!$M$188,6,FALSE),"-"),"-")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IFERROR(IF(AND(booking!AB118&gt;0,booking!L118&lt;&gt;booking!M118),VLOOKUP(booking!M118,Database!$A$1:'Database'!$M$188,6,FALSE),"-"),"-")</f>
        <v>-</v>
      </c>
      <c r="J118" s="51" t="str">
        <f>IF(AND(booking!P118&lt;&gt;booking!Q118,booking!P118&gt;0),"udc","-")</f>
        <v>udc</v>
      </c>
      <c r="K118" s="47">
        <f>IFERROR(IF(AND(booking!AB118&gt;0,booking!P118&lt;&gt;booking!Q118),VLOOKUP(booking!Q118,Database!$A$1:'Database'!$M$188,6,FALSE),"-"),"-")</f>
        <v>46095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IFERROR(IF(AND(booking!AB118&gt;0,booking!T118&lt;&gt;booking!U118),VLOOKUP(booking!U118,Database!$A$1:'Database'!$M$188,6,FALSE),"-"),"-")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>
        <f>IFERROR(IF(AND(booking!AB119&gt;0,booking!D119&lt;&gt;booking!E119),VLOOKUP(booking!E119,Database!$A$1:'Database'!$M$188,6,FALSE),"-"),"-")</f>
        <v>46054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IFERROR(IF(AND(booking!AB119&gt;0,booking!H119&lt;&gt;booking!I119),VLOOKUP(booking!I119,Database!$A$1:'Database'!$M$188,6,FALSE),"-"),"-")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IFERROR(IF(AND(booking!AB119&gt;0,booking!L119&lt;&gt;booking!M119),VLOOKUP(booking!M119,Database!$A$1:'Database'!$M$188,6,FALSE),"-"),"-")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IFERROR(IF(AND(booking!AB119&gt;0,booking!P119&lt;&gt;booking!Q119),VLOOKUP(booking!Q119,Database!$A$1:'Database'!$M$188,6,FALSE),"-"),"-")</f>
        <v>-</v>
      </c>
      <c r="L119" s="51" t="str">
        <f>IF(AND(booking!T119&lt;&gt;booking!U119,booking!T119&gt;0),"udc","-")</f>
        <v>udc</v>
      </c>
      <c r="M119" s="47">
        <f>IFERROR(IF(AND(booking!AB119&gt;0,booking!T119&lt;&gt;booking!U119),VLOOKUP(booking!U119,Database!$A$1:'Database'!$M$188,6,FALSE),"-"),"-")</f>
        <v>46017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IFERROR(IF(AND(booking!AB120&gt;0,booking!D120&lt;&gt;booking!E120),VLOOKUP(booking!E120,Database!$A$1:'Database'!$M$188,6,FALSE),"-"),"-")</f>
        <v>-</v>
      </c>
      <c r="F120" s="51" t="str">
        <f>IF(AND(booking!H120&lt;&gt;booking!I120,booking!H120&gt;0),"udc","-")</f>
        <v>udc</v>
      </c>
      <c r="G120" s="47">
        <f>IFERROR(IF(AND(booking!AB120&gt;0,booking!H120&lt;&gt;booking!I120),VLOOKUP(booking!I120,Database!$A$1:'Database'!$M$188,6,FALSE),"-"),"-")</f>
        <v>46140</v>
      </c>
      <c r="H120" s="51" t="str">
        <f>IF(AND(booking!L120&lt;&gt;booking!M120,booking!L120&gt;0),"udc","-")</f>
        <v>-</v>
      </c>
      <c r="I120" s="47">
        <f>IFERROR(IF(AND(booking!AB120&gt;0,booking!L120&lt;&gt;booking!M120),VLOOKUP(booking!M120,Database!$A$1:'Database'!$M$188,6,FALSE),"-"),"-")</f>
        <v>46137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IFERROR(IF(AND(booking!AB120&gt;0,booking!P120&lt;&gt;booking!Q120),VLOOKUP(booking!Q120,Database!$A$1:'Database'!$M$188,6,FALSE),"-"),"-")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IFERROR(IF(AND(booking!AB120&gt;0,booking!T120&lt;&gt;booking!U120),VLOOKUP(booking!U120,Database!$A$1:'Database'!$M$188,6,FALSE),"-"),"-")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IFERROR(IF(AND(booking!AB121&gt;0,booking!D121&lt;&gt;booking!E121),VLOOKUP(booking!E121,Database!$A$1:'Database'!$M$188,6,FALSE),"-"),"-")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IFERROR(IF(AND(booking!AB121&gt;0,booking!H121&lt;&gt;booking!I121),VLOOKUP(booking!I121,Database!$A$1:'Database'!$M$188,6,FALSE),"-"),"-")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IFERROR(IF(AND(booking!AB121&gt;0,booking!L121&lt;&gt;booking!M121),VLOOKUP(booking!M121,Database!$A$1:'Database'!$M$188,6,FALSE),"-"),"-")</f>
        <v>-</v>
      </c>
      <c r="J121" s="51" t="str">
        <f>IF(AND(booking!P121&lt;&gt;booking!Q121,booking!P121&gt;0),"udc","-")</f>
        <v>udc</v>
      </c>
      <c r="K121" s="47">
        <f>IFERROR(IF(AND(booking!AB121&gt;0,booking!P121&lt;&gt;booking!Q121),VLOOKUP(booking!Q121,Database!$A$1:'Database'!$M$188,6,FALSE),"-"),"-")</f>
        <v>46047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IFERROR(IF(AND(booking!AB121&gt;0,booking!T121&lt;&gt;booking!U121),VLOOKUP(booking!U121,Database!$A$1:'Database'!$M$188,6,FALSE),"-"),"-")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IFERROR(IF(AND(booking!AB122&gt;0,booking!D122&lt;&gt;booking!E122),VLOOKUP(booking!E122,Database!$A$1:'Database'!$M$188,6,FALSE),"-"),"-")</f>
        <v>-</v>
      </c>
      <c r="F122" s="51" t="str">
        <f>IF(AND(booking!H122&lt;&gt;booking!I122,booking!H122&gt;0),"udc","-")</f>
        <v>udc</v>
      </c>
      <c r="G122" s="47" t="str">
        <f>IFERROR(IF(AND(booking!AB122&gt;0,booking!H122&lt;&gt;booking!I122),VLOOKUP(booking!I122,Database!$A$1:'Database'!$M$188,6,FALSE),"-"),"-")</f>
        <v>-</v>
      </c>
      <c r="H122" s="51" t="str">
        <f>IF(AND(booking!L122&lt;&gt;booking!M122,booking!L122&gt;0),"udc","-")</f>
        <v>-</v>
      </c>
      <c r="I122" s="47" t="str">
        <f>IFERROR(IF(AND(booking!AB122&gt;0,booking!L122&lt;&gt;booking!M122),VLOOKUP(booking!M122,Database!$A$1:'Database'!$M$188,6,FALSE),"-"),"-")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IFERROR(IF(AND(booking!AB122&gt;0,booking!P122&lt;&gt;booking!Q122),VLOOKUP(booking!Q122,Database!$A$1:'Database'!$M$188,6,FALSE),"-"),"-")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IFERROR(IF(AND(booking!AB122&gt;0,booking!T122&lt;&gt;booking!U122),VLOOKUP(booking!U122,Database!$A$1:'Database'!$M$188,6,FALSE),"-"),"-")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>
        <f>IFERROR(IF(AND(booking!AB123&gt;0,booking!D123&lt;&gt;booking!E123),VLOOKUP(booking!E123,Database!$A$1:'Database'!$M$188,6,FALSE),"-"),"-")</f>
        <v>46055</v>
      </c>
      <c r="F123" s="51" t="str">
        <f>IF(AND(booking!H123&lt;&gt;booking!I123,booking!H123&gt;0),"udc","-")</f>
        <v>-</v>
      </c>
      <c r="G123" s="47">
        <f>IFERROR(IF(AND(booking!AB123&gt;0,booking!H123&lt;&gt;booking!I123),VLOOKUP(booking!I123,Database!$A$1:'Database'!$M$188,6,FALSE),"-"),"-")</f>
        <v>46108</v>
      </c>
      <c r="H123" s="51" t="str">
        <f>IF(AND(booking!L123&lt;&gt;booking!M123,booking!L123&gt;0),"udc","-")</f>
        <v>udc</v>
      </c>
      <c r="I123" s="47">
        <f>IFERROR(IF(AND(booking!AB123&gt;0,booking!L123&lt;&gt;booking!M123),VLOOKUP(booking!M123,Database!$A$1:'Database'!$M$188,6,FALSE),"-"),"-")</f>
        <v>46072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IFERROR(IF(AND(booking!AB123&gt;0,booking!P123&lt;&gt;booking!Q123),VLOOKUP(booking!Q123,Database!$A$1:'Database'!$M$188,6,FALSE),"-"),"-")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IFERROR(IF(AND(booking!AB123&gt;0,booking!T123&lt;&gt;booking!U123),VLOOKUP(booking!U123,Database!$A$1:'Database'!$M$188,6,FALSE),"-"),"-")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IFERROR(IF(AND(booking!AB124&gt;0,booking!D124&lt;&gt;booking!E124),VLOOKUP(booking!E124,Database!$A$1:'Database'!$M$188,6,FALSE),"-"),"-")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IFERROR(IF(AND(booking!AB124&gt;0,booking!H124&lt;&gt;booking!I124),VLOOKUP(booking!I124,Database!$A$1:'Database'!$M$188,6,FALSE),"-"),"-")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IFERROR(IF(AND(booking!AB124&gt;0,booking!L124&lt;&gt;booking!M124),VLOOKUP(booking!M124,Database!$A$1:'Database'!$M$188,6,FALSE),"-"),"-")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IFERROR(IF(AND(booking!AB124&gt;0,booking!P124&lt;&gt;booking!Q124),VLOOKUP(booking!Q124,Database!$A$1:'Database'!$M$188,6,FALSE),"-"),"-")</f>
        <v>-</v>
      </c>
      <c r="L124" s="51" t="str">
        <f>IF(AND(booking!T124&lt;&gt;booking!U124,booking!T124&gt;0),"udc","-")</f>
        <v>udc</v>
      </c>
      <c r="M124" s="47">
        <f>IFERROR(IF(AND(booking!AB124&gt;0,booking!T124&lt;&gt;booking!U124),VLOOKUP(booking!U124,Database!$A$1:'Database'!$M$188,6,FALSE),"-"),"-")</f>
        <v>46030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IFERROR(IF(AND(booking!AB125&gt;0,booking!D125&lt;&gt;booking!E125),VLOOKUP(booking!E125,Database!$A$1:'Database'!$M$188,6,FALSE),"-"),"-")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IFERROR(IF(AND(booking!AB125&gt;0,booking!H125&lt;&gt;booking!I125),VLOOKUP(booking!I125,Database!$A$1:'Database'!$M$188,6,FALSE),"-"),"-")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IFERROR(IF(AND(booking!AB125&gt;0,booking!L125&lt;&gt;booking!M125),VLOOKUP(booking!M125,Database!$A$1:'Database'!$M$188,6,FALSE),"-"),"-")</f>
        <v>-</v>
      </c>
      <c r="J125" s="51" t="str">
        <f>IF(AND(booking!P125&lt;&gt;booking!Q125,booking!P125&gt;0),"udc","-")</f>
        <v>udc</v>
      </c>
      <c r="K125" s="47">
        <f>IFERROR(IF(AND(booking!AB125&gt;0,booking!P125&lt;&gt;booking!Q125),VLOOKUP(booking!Q125,Database!$A$1:'Database'!$M$188,6,FALSE),"-"),"-")</f>
        <v>46145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IFERROR(IF(AND(booking!AB125&gt;0,booking!T125&lt;&gt;booking!U125),VLOOKUP(booking!U125,Database!$A$1:'Database'!$M$188,6,FALSE),"-"),"-")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IFERROR(IF(AND(booking!AB126&gt;0,booking!D126&lt;&gt;booking!E126),VLOOKUP(booking!E126,Database!$A$1:'Database'!$M$188,6,FALSE),"-"),"-")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IFERROR(IF(AND(booking!AB126&gt;0,booking!H126&lt;&gt;booking!I126),VLOOKUP(booking!I126,Database!$A$1:'Database'!$M$188,6,FALSE),"-"),"-")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IFERROR(IF(AND(booking!AB126&gt;0,booking!L126&lt;&gt;booking!M126),VLOOKUP(booking!M126,Database!$A$1:'Database'!$M$188,6,FALSE),"-"),"-")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IFERROR(IF(AND(booking!AB126&gt;0,booking!P126&lt;&gt;booking!Q126),VLOOKUP(booking!Q126,Database!$A$1:'Database'!$M$188,6,FALSE),"-"),"-")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IFERROR(IF(AND(booking!AB126&gt;0,booking!T126&lt;&gt;booking!U126),VLOOKUP(booking!U126,Database!$A$1:'Database'!$M$188,6,FALSE),"-"),"-")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IFERROR(IF(AND(booking!AB127&gt;0,booking!D127&lt;&gt;booking!E127),VLOOKUP(booking!E127,Database!$A$1:'Database'!$M$188,6,FALSE),"-"),"-")</f>
        <v>-</v>
      </c>
      <c r="F127" s="51" t="str">
        <f>IF(AND(booking!H127&lt;&gt;booking!I127,booking!H127&gt;0),"udc","-")</f>
        <v>udc</v>
      </c>
      <c r="G127" s="47">
        <f>IFERROR(IF(AND(booking!AB127&gt;0,booking!H127&lt;&gt;booking!I127),VLOOKUP(booking!I127,Database!$A$1:'Database'!$M$188,6,FALSE),"-"),"-")</f>
        <v>46182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IFERROR(IF(AND(booking!AB127&gt;0,booking!L127&lt;&gt;booking!M127),VLOOKUP(booking!M127,Database!$A$1:'Database'!$M$188,6,FALSE),"-"),"-")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IFERROR(IF(AND(booking!AB127&gt;0,booking!P127&lt;&gt;booking!Q127),VLOOKUP(booking!Q127,Database!$A$1:'Database'!$M$188,6,FALSE),"-"),"-")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IFERROR(IF(AND(booking!AB127&gt;0,booking!T127&lt;&gt;booking!U127),VLOOKUP(booking!U127,Database!$A$1:'Database'!$M$188,6,FALSE),"-"),"-")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IFERROR(IF(AND(booking!AB128&gt;0,booking!D128&lt;&gt;booking!E128),VLOOKUP(booking!E128,Database!$A$1:'Database'!$M$188,6,FALSE),"-"),"-")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IFERROR(IF(AND(booking!AB128&gt;0,booking!H128&lt;&gt;booking!I128),VLOOKUP(booking!I128,Database!$A$1:'Database'!$M$188,6,FALSE),"-"),"-")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IFERROR(IF(AND(booking!AB128&gt;0,booking!L128&lt;&gt;booking!M128),VLOOKUP(booking!M128,Database!$A$1:'Database'!$M$188,6,FALSE),"-"),"-")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IFERROR(IF(AND(booking!AB128&gt;0,booking!P128&lt;&gt;booking!Q128),VLOOKUP(booking!Q128,Database!$A$1:'Database'!$M$188,6,FALSE),"-"),"-")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IFERROR(IF(AND(booking!AB128&gt;0,booking!T128&lt;&gt;booking!U128),VLOOKUP(booking!U128,Database!$A$1:'Database'!$M$188,6,FALSE),"-"),"-")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>
        <f>IFERROR(IF(AND(booking!AB129&gt;0,booking!D129&lt;&gt;booking!E129),VLOOKUP(booking!E129,Database!$A$1:'Database'!$M$188,6,FALSE),"-"),"-")</f>
        <v>46154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IFERROR(IF(AND(booking!AB129&gt;0,booking!H129&lt;&gt;booking!I129),VLOOKUP(booking!I129,Database!$A$1:'Database'!$M$188,6,FALSE),"-"),"-")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IFERROR(IF(AND(booking!AB129&gt;0,booking!L129&lt;&gt;booking!M129),VLOOKUP(booking!M129,Database!$A$1:'Database'!$M$188,6,FALSE),"-"),"-")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IFERROR(IF(AND(booking!AB129&gt;0,booking!P129&lt;&gt;booking!Q129),VLOOKUP(booking!Q129,Database!$A$1:'Database'!$M$188,6,FALSE),"-"),"-")</f>
        <v>-</v>
      </c>
      <c r="L129" s="51" t="str">
        <f>IF(AND(booking!T129&lt;&gt;booking!U129,booking!T129&gt;0),"udc","-")</f>
        <v>-</v>
      </c>
      <c r="M129" s="47">
        <f>IFERROR(IF(AND(booking!AB129&gt;0,booking!T129&lt;&gt;booking!U129),VLOOKUP(booking!U129,Database!$A$1:'Database'!$M$188,6,FALSE),"-"),"-")</f>
        <v>46154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IFERROR(IF(AND(booking!AB130&gt;0,booking!D130&lt;&gt;booking!E130),VLOOKUP(booking!E130,Database!$A$1:'Database'!$M$188,6,FALSE),"-"),"-")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IFERROR(IF(AND(booking!AB130&gt;0,booking!H130&lt;&gt;booking!I130),VLOOKUP(booking!I130,Database!$A$1:'Database'!$M$188,6,FALSE),"-"),"-")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IFERROR(IF(AND(booking!AB130&gt;0,booking!L130&lt;&gt;booking!M130),VLOOKUP(booking!M130,Database!$A$1:'Database'!$M$188,6,FALSE),"-"),"-")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IFERROR(IF(AND(booking!AB130&gt;0,booking!P130&lt;&gt;booking!Q130),VLOOKUP(booking!Q130,Database!$A$1:'Database'!$M$188,6,FALSE),"-"),"-")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IFERROR(IF(AND(booking!AB130&gt;0,booking!T130&lt;&gt;booking!U130),VLOOKUP(booking!U130,Database!$A$1:'Database'!$M$188,6,FALSE),"-"),"-")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IFERROR(IF(AND(booking!AB131&gt;0,booking!D131&lt;&gt;booking!E131),VLOOKUP(booking!E131,Database!$A$1:'Database'!$M$188,6,FALSE),"-"),"-")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IFERROR(IF(AND(booking!AB131&gt;0,booking!H131&lt;&gt;booking!I131),VLOOKUP(booking!I131,Database!$A$1:'Database'!$M$188,6,FALSE),"-"),"-")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IFERROR(IF(AND(booking!AB131&gt;0,booking!L131&lt;&gt;booking!M131),VLOOKUP(booking!M131,Database!$A$1:'Database'!$M$188,6,FALSE),"-"),"-")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IFERROR(IF(AND(booking!AB131&gt;0,booking!P131&lt;&gt;booking!Q131),VLOOKUP(booking!Q131,Database!$A$1:'Database'!$M$188,6,FALSE),"-"),"-")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IFERROR(IF(AND(booking!AB131&gt;0,booking!T131&lt;&gt;booking!U131),VLOOKUP(booking!U131,Database!$A$1:'Database'!$M$188,6,FALSE),"-"),"-")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IFERROR(IF(AND(booking!AB132&gt;0,booking!D132&lt;&gt;booking!E132),VLOOKUP(booking!E132,Database!$A$1:'Database'!$M$188,6,FALSE),"-"),"-")</f>
        <v>-</v>
      </c>
      <c r="F132" s="51" t="str">
        <f>IF(AND(booking!H132&lt;&gt;booking!I132,booking!H132&gt;0),"udc","-")</f>
        <v>udc</v>
      </c>
      <c r="G132" s="47">
        <f>IFERROR(IF(AND(booking!AB132&gt;0,booking!H132&lt;&gt;booking!I132),VLOOKUP(booking!I132,Database!$A$1:'Database'!$M$188,6,FALSE),"-"),"-")</f>
        <v>46245</v>
      </c>
      <c r="H132" s="51" t="str">
        <f>IF(AND(booking!L132&lt;&gt;booking!M132,booking!L132&gt;0),"udc","-")</f>
        <v>-</v>
      </c>
      <c r="I132" s="47">
        <f>IFERROR(IF(AND(booking!AB132&gt;0,booking!L132&lt;&gt;booking!M132),VLOOKUP(booking!M132,Database!$A$1:'Database'!$M$188,6,FALSE),"-"),"-")</f>
        <v>46181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IFERROR(IF(AND(booking!AB132&gt;0,booking!P132&lt;&gt;booking!Q132),VLOOKUP(booking!Q132,Database!$A$1:'Database'!$M$188,6,FALSE),"-"),"-")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IFERROR(IF(AND(booking!AB132&gt;0,booking!T132&lt;&gt;booking!U132),VLOOKUP(booking!U132,Database!$A$1:'Database'!$M$188,6,FALSE),"-"),"-")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>
        <f>IFERROR(IF(AND(booking!AB133&gt;0,booking!D133&lt;&gt;booking!E133),VLOOKUP(booking!E133,Database!$A$1:'Database'!$M$188,6,FALSE),"-"),"-")</f>
        <v>46168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IFERROR(IF(AND(booking!AB133&gt;0,booking!H133&lt;&gt;booking!I133),VLOOKUP(booking!I133,Database!$A$1:'Database'!$M$188,6,FALSE),"-"),"-")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IFERROR(IF(AND(booking!AB133&gt;0,booking!L133&lt;&gt;booking!M133),VLOOKUP(booking!M133,Database!$A$1:'Database'!$M$188,6,FALSE),"-"),"-")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IFERROR(IF(AND(booking!AB133&gt;0,booking!P133&lt;&gt;booking!Q133),VLOOKUP(booking!Q133,Database!$A$1:'Database'!$M$188,6,FALSE),"-"),"-")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IFERROR(IF(AND(booking!AB133&gt;0,booking!T133&lt;&gt;booking!U133),VLOOKUP(booking!U133,Database!$A$1:'Database'!$M$188,6,FALSE),"-"),"-")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IFERROR(IF(AND(booking!AB134&gt;0,booking!D134&lt;&gt;booking!E134),VLOOKUP(booking!E134,Database!$A$1:'Database'!$M$188,6,FALSE),"-"),"-")</f>
        <v>-</v>
      </c>
      <c r="F134" s="51" t="str">
        <f>IF(AND(booking!H134&lt;&gt;booking!I134,booking!H134&gt;0),"udc","-")</f>
        <v>udc</v>
      </c>
      <c r="G134" s="47">
        <f>IFERROR(IF(AND(booking!AB134&gt;0,booking!H134&lt;&gt;booking!I134),VLOOKUP(booking!I134,Database!$A$1:'Database'!$M$188,6,FALSE),"-"),"-")</f>
        <v>46177</v>
      </c>
      <c r="H134" s="51" t="str">
        <f>IF(AND(booking!L134&lt;&gt;booking!M134,booking!L134&gt;0),"udc","-")</f>
        <v>udc</v>
      </c>
      <c r="I134" s="47">
        <f>IFERROR(IF(AND(booking!AB134&gt;0,booking!L134&lt;&gt;booking!M134),VLOOKUP(booking!M134,Database!$A$1:'Database'!$M$188,6,FALSE),"-"),"-")</f>
        <v>46203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IFERROR(IF(AND(booking!AB134&gt;0,booking!P134&lt;&gt;booking!Q134),VLOOKUP(booking!Q134,Database!$A$1:'Database'!$M$188,6,FALSE),"-"),"-")</f>
        <v>-</v>
      </c>
      <c r="L134" s="51" t="str">
        <f>IF(AND(booking!T134&lt;&gt;booking!U134,booking!T134&gt;0),"udc","-")</f>
        <v>-</v>
      </c>
      <c r="M134" s="47">
        <f>IFERROR(IF(AND(booking!AB134&gt;0,booking!T134&lt;&gt;booking!U134),VLOOKUP(booking!U134,Database!$A$1:'Database'!$M$188,6,FALSE),"-"),"-")</f>
        <v>46016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IFERROR(IF(AND(booking!AB135&gt;0,booking!D135&lt;&gt;booking!E135),VLOOKUP(booking!E135,Database!$A$1:'Database'!$M$188,6,FALSE),"-"),"-")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IFERROR(IF(AND(booking!AB135&gt;0,booking!H135&lt;&gt;booking!I135),VLOOKUP(booking!I135,Database!$A$1:'Database'!$M$188,6,FALSE),"-"),"-")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IFERROR(IF(AND(booking!AB135&gt;0,booking!L135&lt;&gt;booking!M135),VLOOKUP(booking!M135,Database!$A$1:'Database'!$M$188,6,FALSE),"-"),"-")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IFERROR(IF(AND(booking!AB135&gt;0,booking!P135&lt;&gt;booking!Q135),VLOOKUP(booking!Q135,Database!$A$1:'Database'!$M$188,6,FALSE),"-"),"-")</f>
        <v>-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IFERROR(IF(AND(booking!AB135&gt;0,booking!T135&lt;&gt;booking!U135),VLOOKUP(booking!U135,Database!$A$1:'Database'!$M$188,6,FALSE),"-"),"-")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IFERROR(IF(AND(booking!AB136&gt;0,booking!D136&lt;&gt;booking!E136),VLOOKUP(booking!E136,Database!$A$1:'Database'!$M$188,6,FALSE),"-"),"-")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IFERROR(IF(AND(booking!AB136&gt;0,booking!H136&lt;&gt;booking!I136),VLOOKUP(booking!I136,Database!$A$1:'Database'!$M$188,6,FALSE),"-"),"-")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IFERROR(IF(AND(booking!AB136&gt;0,booking!L136&lt;&gt;booking!M136),VLOOKUP(booking!M136,Database!$A$1:'Database'!$M$188,6,FALSE),"-"),"-")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IFERROR(IF(AND(booking!AB136&gt;0,booking!P136&lt;&gt;booking!Q136),VLOOKUP(booking!Q136,Database!$A$1:'Database'!$M$188,6,FALSE),"-"),"-")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IFERROR(IF(AND(booking!AB136&gt;0,booking!T136&lt;&gt;booking!U136),VLOOKUP(booking!U136,Database!$A$1:'Database'!$M$188,6,FALSE),"-"),"-")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IFERROR(IF(AND(booking!AB137&gt;0,booking!D137&lt;&gt;booking!E137),VLOOKUP(booking!E137,Database!$A$1:'Database'!$M$188,6,FALSE),"-"),"-")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IFERROR(IF(AND(booking!AB137&gt;0,booking!H137&lt;&gt;booking!I137),VLOOKUP(booking!I137,Database!$A$1:'Database'!$M$188,6,FALSE),"-"),"-")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IFERROR(IF(AND(booking!AB137&gt;0,booking!L137&lt;&gt;booking!M137),VLOOKUP(booking!M137,Database!$A$1:'Database'!$M$188,6,FALSE),"-"),"-")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IFERROR(IF(AND(booking!AB137&gt;0,booking!P137&lt;&gt;booking!Q137),VLOOKUP(booking!Q137,Database!$A$1:'Database'!$M$188,6,FALSE),"-"),"-")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IFERROR(IF(AND(booking!AB137&gt;0,booking!T137&lt;&gt;booking!U137),VLOOKUP(booking!U137,Database!$A$1:'Database'!$M$188,6,FALSE),"-"),"-")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IFERROR(IF(AND(booking!AB138&gt;0,booking!D138&lt;&gt;booking!E138),VLOOKUP(booking!E138,Database!$A$1:'Database'!$M$188,6,FALSE),"-"),"-")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IFERROR(IF(AND(booking!AB138&gt;0,booking!H138&lt;&gt;booking!I138),VLOOKUP(booking!I138,Database!$A$1:'Database'!$M$188,6,FALSE),"-"),"-")</f>
        <v>-</v>
      </c>
      <c r="H138" s="51" t="str">
        <f>IF(AND(booking!L138&lt;&gt;booking!M138,booking!L138&gt;0),"udc","-")</f>
        <v>udc</v>
      </c>
      <c r="I138" s="47">
        <f>IFERROR(IF(AND(booking!AB138&gt;0,booking!L138&lt;&gt;booking!M138),VLOOKUP(booking!M138,Database!$A$1:'Database'!$M$188,6,FALSE),"-"),"-")</f>
        <v>46172</v>
      </c>
      <c r="J138" s="51" t="str">
        <f>IF(AND(booking!P138&lt;&gt;booking!Q138,booking!P138&gt;0),"udc","-")</f>
        <v>-</v>
      </c>
      <c r="K138" s="47" t="str">
        <f>IFERROR(IF(AND(booking!AB138&gt;0,booking!P138&lt;&gt;booking!Q138),VLOOKUP(booking!Q138,Database!$A$1:'Database'!$M$188,6,FALSE),"-"),"-")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IFERROR(IF(AND(booking!AB138&gt;0,booking!T138&lt;&gt;booking!U138),VLOOKUP(booking!U138,Database!$A$1:'Database'!$M$188,6,FALSE),"-"),"-")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>
        <f>IFERROR(IF(AND(booking!AB139&gt;0,booking!D139&lt;&gt;booking!E139),VLOOKUP(booking!E139,Database!$A$1:'Database'!$M$188,6,FALSE),"-"),"-")</f>
        <v>46091</v>
      </c>
      <c r="F139" s="51" t="str">
        <f>IF(AND(booking!H139&lt;&gt;booking!I139,booking!H139&gt;0),"udc","-")</f>
        <v>udc</v>
      </c>
      <c r="G139" s="47">
        <f>IFERROR(IF(AND(booking!AB139&gt;0,booking!H139&lt;&gt;booking!I139),VLOOKUP(booking!I139,Database!$A$1:'Database'!$M$188,6,FALSE),"-"),"-")</f>
        <v>46091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IFERROR(IF(AND(booking!AB139&gt;0,booking!L139&lt;&gt;booking!M139),VLOOKUP(booking!M139,Database!$A$1:'Database'!$M$188,6,FALSE),"-"),"-")</f>
        <v>-</v>
      </c>
      <c r="J139" s="51" t="str">
        <f>IF(AND(booking!P139&lt;&gt;booking!Q139,booking!P139&gt;0),"udc","-")</f>
        <v>-</v>
      </c>
      <c r="K139" s="47">
        <f>IFERROR(IF(AND(booking!AB139&gt;0,booking!P139&lt;&gt;booking!Q139),VLOOKUP(booking!Q139,Database!$A$1:'Database'!$M$188,6,FALSE),"-"),"-")</f>
        <v>46166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IFERROR(IF(AND(booking!AB139&gt;0,booking!T139&lt;&gt;booking!U139),VLOOKUP(booking!U139,Database!$A$1:'Database'!$M$188,6,FALSE),"-"),"-")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IFERROR(IF(AND(booking!AB140&gt;0,booking!D140&lt;&gt;booking!E140),VLOOKUP(booking!E140,Database!$A$1:'Database'!$M$188,6,FALSE),"-"),"-")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IFERROR(IF(AND(booking!AB140&gt;0,booking!H140&lt;&gt;booking!I140),VLOOKUP(booking!I140,Database!$A$1:'Database'!$M$188,6,FALSE),"-"),"-")</f>
        <v>-</v>
      </c>
      <c r="H140" s="51" t="str">
        <f>IF(AND(booking!L140&lt;&gt;booking!M140,booking!L140&gt;0),"udc","-")</f>
        <v>udc</v>
      </c>
      <c r="I140" s="47">
        <f>IFERROR(IF(AND(booking!AB140&gt;0,booking!L140&lt;&gt;booking!M140),VLOOKUP(booking!M140,Database!$A$1:'Database'!$M$188,6,FALSE),"-"),"-")</f>
        <v>46107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IFERROR(IF(AND(booking!AB140&gt;0,booking!P140&lt;&gt;booking!Q140),VLOOKUP(booking!Q140,Database!$A$1:'Database'!$M$188,6,FALSE),"-"),"-")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IFERROR(IF(AND(booking!AB140&gt;0,booking!T140&lt;&gt;booking!U140),VLOOKUP(booking!U140,Database!$A$1:'Database'!$M$188,6,FALSE),"-"),"-")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IFERROR(IF(AND(booking!AB141&gt;0,booking!D141&lt;&gt;booking!E141),VLOOKUP(booking!E141,Database!$A$1:'Database'!$M$188,6,FALSE),"-"),"-")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IFERROR(IF(AND(booking!AB141&gt;0,booking!H141&lt;&gt;booking!I141),VLOOKUP(booking!I141,Database!$A$1:'Database'!$M$188,6,FALSE),"-"),"-")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IFERROR(IF(AND(booking!AB141&gt;0,booking!L141&lt;&gt;booking!M141),VLOOKUP(booking!M141,Database!$A$1:'Database'!$M$188,6,FALSE),"-"),"-")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IFERROR(IF(AND(booking!AB141&gt;0,booking!P141&lt;&gt;booking!Q141),VLOOKUP(booking!Q141,Database!$A$1:'Database'!$M$188,6,FALSE),"-"),"-")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IFERROR(IF(AND(booking!AB141&gt;0,booking!T141&lt;&gt;booking!U141),VLOOKUP(booking!U141,Database!$A$1:'Database'!$M$188,6,FALSE),"-"),"-")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>
        <f>IFERROR(IF(AND(booking!AB142&gt;0,booking!D142&lt;&gt;booking!E142),VLOOKUP(booking!E142,Database!$A$1:'Database'!$M$188,6,FALSE),"-"),"-")</f>
        <v>46104</v>
      </c>
      <c r="F142" s="51" t="str">
        <f>IF(AND(booking!H142&lt;&gt;booking!I142,booking!H142&gt;0),"udc","-")</f>
        <v>-</v>
      </c>
      <c r="G142" s="47">
        <f>IFERROR(IF(AND(booking!AB142&gt;0,booking!H142&lt;&gt;booking!I142),VLOOKUP(booking!I142,Database!$A$1:'Database'!$M$188,6,FALSE),"-"),"-")</f>
        <v>46104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IFERROR(IF(AND(booking!AB142&gt;0,booking!L142&lt;&gt;booking!M142),VLOOKUP(booking!M142,Database!$A$1:'Database'!$M$188,6,FALSE),"-"),"-")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IFERROR(IF(AND(booking!AB142&gt;0,booking!P142&lt;&gt;booking!Q142),VLOOKUP(booking!Q142,Database!$A$1:'Database'!$M$188,6,FALSE),"-"),"-")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IFERROR(IF(AND(booking!AB142&gt;0,booking!T142&lt;&gt;booking!U142),VLOOKUP(booking!U142,Database!$A$1:'Database'!$M$188,6,FALSE),"-"),"-")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IFERROR(IF(AND(booking!AB143&gt;0,booking!D143&lt;&gt;booking!E143),VLOOKUP(booking!E143,Database!$A$1:'Database'!$M$188,6,FALSE),"-"),"-")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IFERROR(IF(AND(booking!AB143&gt;0,booking!H143&lt;&gt;booking!I143),VLOOKUP(booking!I143,Database!$A$1:'Database'!$M$188,6,FALSE),"-"),"-")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IFERROR(IF(AND(booking!AB143&gt;0,booking!L143&lt;&gt;booking!M143),VLOOKUP(booking!M143,Database!$A$1:'Database'!$M$188,6,FALSE),"-"),"-")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IFERROR(IF(AND(booking!AB143&gt;0,booking!P143&lt;&gt;booking!Q143),VLOOKUP(booking!Q143,Database!$A$1:'Database'!$M$188,6,FALSE),"-"),"-")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IFERROR(IF(AND(booking!AB143&gt;0,booking!T143&lt;&gt;booking!U143),VLOOKUP(booking!U143,Database!$A$1:'Database'!$M$188,6,FALSE),"-"),"-")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IFERROR(IF(AND(booking!AB144&gt;0,booking!D144&lt;&gt;booking!E144),VLOOKUP(booking!E144,Database!$A$1:'Database'!$M$188,6,FALSE),"-"),"-")</f>
        <v>-</v>
      </c>
      <c r="F144" s="51" t="str">
        <f>IF(AND(booking!H144&lt;&gt;booking!I144,booking!H144&gt;0),"udc","-")</f>
        <v>udc</v>
      </c>
      <c r="G144" s="47">
        <f>IFERROR(IF(AND(booking!AB144&gt;0,booking!H144&lt;&gt;booking!I144),VLOOKUP(booking!I144,Database!$A$1:'Database'!$M$188,6,FALSE),"-"),"-")</f>
        <v>46037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IFERROR(IF(AND(booking!AB144&gt;0,booking!L144&lt;&gt;booking!M144),VLOOKUP(booking!M144,Database!$A$1:'Database'!$M$188,6,FALSE),"-"),"-")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IFERROR(IF(AND(booking!AB144&gt;0,booking!P144&lt;&gt;booking!Q144),VLOOKUP(booking!Q144,Database!$A$1:'Database'!$M$188,6,FALSE),"-"),"-")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IFERROR(IF(AND(booking!AB144&gt;0,booking!T144&lt;&gt;booking!U144),VLOOKUP(booking!U144,Database!$A$1:'Database'!$M$188,6,FALSE),"-"),"-")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IFERROR(IF(AND(booking!AB145&gt;0,booking!D145&lt;&gt;booking!E145),VLOOKUP(booking!E145,Database!$A$1:'Database'!$M$188,6,FALSE),"-"),"-")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IFERROR(IF(AND(booking!AB145&gt;0,booking!H145&lt;&gt;booking!I145),VLOOKUP(booking!I145,Database!$A$1:'Database'!$M$188,6,FALSE),"-"),"-")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IFERROR(IF(AND(booking!AB145&gt;0,booking!L145&lt;&gt;booking!M145),VLOOKUP(booking!M145,Database!$A$1:'Database'!$M$188,6,FALSE),"-"),"-")</f>
        <v>-</v>
      </c>
      <c r="J145" s="51" t="str">
        <f>IF(AND(booking!P145&lt;&gt;booking!Q145,booking!P145&gt;0),"udc","-")</f>
        <v>udc</v>
      </c>
      <c r="K145" s="47">
        <f>IFERROR(IF(AND(booking!AB145&gt;0,booking!P145&lt;&gt;booking!Q145),VLOOKUP(booking!Q145,Database!$A$1:'Database'!$M$188,6,FALSE),"-"),"-")</f>
        <v>46035</v>
      </c>
      <c r="L145" s="51" t="str">
        <f>IF(AND(booking!T145&lt;&gt;booking!U145,booking!T145&gt;0),"udc","-")</f>
        <v>udc</v>
      </c>
      <c r="M145" s="47">
        <f>IFERROR(IF(AND(booking!AB145&gt;0,booking!T145&lt;&gt;booking!U145),VLOOKUP(booking!U145,Database!$A$1:'Database'!$M$188,6,FALSE),"-"),"-")</f>
        <v>46036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>
        <f>IFERROR(IF(AND(booking!AB146&gt;0,booking!D146&lt;&gt;booking!E146),VLOOKUP(booking!E146,Database!$A$1:'Database'!$M$188,6,FALSE),"-"),"-")</f>
        <v>46186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IFERROR(IF(AND(booking!AB146&gt;0,booking!H146&lt;&gt;booking!I146),VLOOKUP(booking!I146,Database!$A$1:'Database'!$M$188,6,FALSE),"-"),"-")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IFERROR(IF(AND(booking!AB146&gt;0,booking!L146&lt;&gt;booking!M146),VLOOKUP(booking!M146,Database!$A$1:'Database'!$M$188,6,FALSE),"-"),"-")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IFERROR(IF(AND(booking!AB146&gt;0,booking!P146&lt;&gt;booking!Q146),VLOOKUP(booking!Q146,Database!$A$1:'Database'!$M$188,6,FALSE),"-"),"-")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IFERROR(IF(AND(booking!AB146&gt;0,booking!T146&lt;&gt;booking!U146),VLOOKUP(booking!U146,Database!$A$1:'Database'!$M$188,6,FALSE),"-"),"-")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IFERROR(IF(AND(booking!AB147&gt;0,booking!D147&lt;&gt;booking!E147),VLOOKUP(booking!E147,Database!$A$1:'Database'!$M$188,6,FALSE),"-"),"-")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IFERROR(IF(AND(booking!AB147&gt;0,booking!H147&lt;&gt;booking!I147),VLOOKUP(booking!I147,Database!$A$1:'Database'!$M$188,6,FALSE),"-"),"-")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IFERROR(IF(AND(booking!AB147&gt;0,booking!L147&lt;&gt;booking!M147),VLOOKUP(booking!M147,Database!$A$1:'Database'!$M$188,6,FALSE),"-"),"-")</f>
        <v>-</v>
      </c>
      <c r="J147" s="51" t="str">
        <f>IF(AND(booking!P147&lt;&gt;booking!Q147,booking!P147&gt;0),"udc","-")</f>
        <v>udc</v>
      </c>
      <c r="K147" s="47">
        <f>IFERROR(IF(AND(booking!AB147&gt;0,booking!P147&lt;&gt;booking!Q147),VLOOKUP(booking!Q147,Database!$A$1:'Database'!$M$188,6,FALSE),"-"),"-")</f>
        <v>46201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IFERROR(IF(AND(booking!AB147&gt;0,booking!T147&lt;&gt;booking!U147),VLOOKUP(booking!U147,Database!$A$1:'Database'!$M$188,6,FALSE),"-"),"-")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IFERROR(IF(AND(booking!AB148&gt;0,booking!D148&lt;&gt;booking!E148),VLOOKUP(booking!E148,Database!$A$1:'Database'!$M$188,6,FALSE),"-"),"-")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IFERROR(IF(AND(booking!AB148&gt;0,booking!H148&lt;&gt;booking!I148),VLOOKUP(booking!I148,Database!$A$1:'Database'!$M$188,6,FALSE),"-"),"-")</f>
        <v>-</v>
      </c>
      <c r="H148" s="51" t="str">
        <f>IF(AND(booking!L148&lt;&gt;booking!M148,booking!L148&gt;0),"udc","-")</f>
        <v>-</v>
      </c>
      <c r="I148" s="47">
        <f>IFERROR(IF(AND(booking!AB148&gt;0,booking!L148&lt;&gt;booking!M148),VLOOKUP(booking!M148,Database!$A$1:'Database'!$M$188,6,FALSE),"-"),"-")</f>
        <v>46177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IFERROR(IF(AND(booking!AB148&gt;0,booking!P148&lt;&gt;booking!Q148),VLOOKUP(booking!Q148,Database!$A$1:'Database'!$M$188,6,FALSE),"-"),"-")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IFERROR(IF(AND(booking!AB148&gt;0,booking!T148&lt;&gt;booking!U148),VLOOKUP(booking!U148,Database!$A$1:'Database'!$M$188,6,FALSE),"-"),"-")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IFERROR(IF(AND(booking!AB149&gt;0,booking!D149&lt;&gt;booking!E149),VLOOKUP(booking!E149,Database!$A$1:'Database'!$M$188,6,FALSE),"-"),"-")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IFERROR(IF(AND(booking!AB149&gt;0,booking!H149&lt;&gt;booking!I149),VLOOKUP(booking!I149,Database!$A$1:'Database'!$M$188,6,FALSE),"-"),"-")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IFERROR(IF(AND(booking!AB149&gt;0,booking!L149&lt;&gt;booking!M149),VLOOKUP(booking!M149,Database!$A$1:'Database'!$M$188,6,FALSE),"-"),"-")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IFERROR(IF(AND(booking!AB149&gt;0,booking!P149&lt;&gt;booking!Q149),VLOOKUP(booking!Q149,Database!$A$1:'Database'!$M$188,6,FALSE),"-"),"-")</f>
        <v>-</v>
      </c>
      <c r="L149" s="51" t="str">
        <f>IF(AND(booking!T149&lt;&gt;booking!U149,booking!T149&gt;0),"udc","-")</f>
        <v>-</v>
      </c>
      <c r="M149" s="47">
        <f>IFERROR(IF(AND(booking!AB149&gt;0,booking!T149&lt;&gt;booking!U149),VLOOKUP(booking!U149,Database!$A$1:'Database'!$M$188,6,FALSE),"-"),"-")</f>
        <v>46146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IFERROR(IF(AND(booking!AB150&gt;0,booking!D150&lt;&gt;booking!E150),VLOOKUP(booking!E150,Database!$A$1:'Database'!$M$188,6,FALSE),"-"),"-")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IFERROR(IF(AND(booking!AB150&gt;0,booking!H150&lt;&gt;booking!I150),VLOOKUP(booking!I150,Database!$A$1:'Database'!$M$188,6,FALSE),"-"),"-")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IFERROR(IF(AND(booking!AB150&gt;0,booking!L150&lt;&gt;booking!M150),VLOOKUP(booking!M150,Database!$A$1:'Database'!$M$188,6,FALSE),"-"),"-")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IFERROR(IF(AND(booking!AB150&gt;0,booking!P150&lt;&gt;booking!Q150),VLOOKUP(booking!Q150,Database!$A$1:'Database'!$M$188,6,FALSE),"-"),"-")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IFERROR(IF(AND(booking!AB150&gt;0,booking!T150&lt;&gt;booking!U150),VLOOKUP(booking!U150,Database!$A$1:'Database'!$M$188,6,FALSE),"-"),"-")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IFERROR(IF(AND(booking!AB151&gt;0,booking!D151&lt;&gt;booking!E151),VLOOKUP(booking!E151,Database!$A$1:'Database'!$M$188,6,FALSE),"-"),"-")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IFERROR(IF(AND(booking!AB151&gt;0,booking!H151&lt;&gt;booking!I151),VLOOKUP(booking!I151,Database!$A$1:'Database'!$M$188,6,FALSE),"-"),"-")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IFERROR(IF(AND(booking!AB151&gt;0,booking!L151&lt;&gt;booking!M151),VLOOKUP(booking!M151,Database!$A$1:'Database'!$M$188,6,FALSE),"-"),"-")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IFERROR(IF(AND(booking!AB151&gt;0,booking!P151&lt;&gt;booking!Q151),VLOOKUP(booking!Q151,Database!$A$1:'Database'!$M$188,6,FALSE),"-"),"-")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IFERROR(IF(AND(booking!AB151&gt;0,booking!T151&lt;&gt;booking!U151),VLOOKUP(booking!U151,Database!$A$1:'Database'!$M$188,6,FALSE),"-"),"-")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IFERROR(IF(AND(booking!AB152&gt;0,booking!D152&lt;&gt;booking!E152),VLOOKUP(booking!E152,Database!$A$1:'Database'!$M$188,6,FALSE),"-"),"-")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IFERROR(IF(AND(booking!AB152&gt;0,booking!H152&lt;&gt;booking!I152),VLOOKUP(booking!I152,Database!$A$1:'Database'!$M$188,6,FALSE),"-"),"-")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IFERROR(IF(AND(booking!AB152&gt;0,booking!L152&lt;&gt;booking!M152),VLOOKUP(booking!M152,Database!$A$1:'Database'!$M$188,6,FALSE),"-"),"-")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IFERROR(IF(AND(booking!AB152&gt;0,booking!P152&lt;&gt;booking!Q152),VLOOKUP(booking!Q152,Database!$A$1:'Database'!$M$188,6,FALSE),"-"),"-")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IFERROR(IF(AND(booking!AB152&gt;0,booking!T152&lt;&gt;booking!U152),VLOOKUP(booking!U152,Database!$A$1:'Database'!$M$188,6,FALSE),"-"),"-")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IFERROR(IF(AND(booking!AB153&gt;0,booking!D153&lt;&gt;booking!E153),VLOOKUP(booking!E153,Database!$A$1:'Database'!$M$188,6,FALSE),"-"),"-")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IFERROR(IF(AND(booking!AB153&gt;0,booking!H153&lt;&gt;booking!I153),VLOOKUP(booking!I153,Database!$A$1:'Database'!$M$188,6,FALSE),"-"),"-")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IFERROR(IF(AND(booking!AB153&gt;0,booking!L153&lt;&gt;booking!M153),VLOOKUP(booking!M153,Database!$A$1:'Database'!$M$188,6,FALSE),"-"),"-")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IFERROR(IF(AND(booking!AB153&gt;0,booking!P153&lt;&gt;booking!Q153),VLOOKUP(booking!Q153,Database!$A$1:'Database'!$M$188,6,FALSE),"-"),"-")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IFERROR(IF(AND(booking!AB153&gt;0,booking!T153&lt;&gt;booking!U153),VLOOKUP(booking!U153,Database!$A$1:'Database'!$M$188,6,FALSE),"-"),"-")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IFERROR(IF(AND(booking!AB154&gt;0,booking!D154&lt;&gt;booking!E154),VLOOKUP(booking!E154,Database!$A$1:'Database'!$M$188,6,FALSE),"-"),"-")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IFERROR(IF(AND(booking!AB154&gt;0,booking!H154&lt;&gt;booking!I154),VLOOKUP(booking!I154,Database!$A$1:'Database'!$M$188,6,FALSE),"-"),"-")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IFERROR(IF(AND(booking!AB154&gt;0,booking!L154&lt;&gt;booking!M154),VLOOKUP(booking!M154,Database!$A$1:'Database'!$M$188,6,FALSE),"-"),"-")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IFERROR(IF(AND(booking!AB154&gt;0,booking!P154&lt;&gt;booking!Q154),VLOOKUP(booking!Q154,Database!$A$1:'Database'!$M$188,6,FALSE),"-"),"-")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IFERROR(IF(AND(booking!AB154&gt;0,booking!T154&lt;&gt;booking!U154),VLOOKUP(booking!U154,Database!$A$1:'Database'!$M$188,6,FALSE),"-"),"-")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IFERROR(IF(AND(booking!AB155&gt;0,booking!D155&lt;&gt;booking!E155),VLOOKUP(booking!E155,Database!$A$1:'Database'!$M$188,6,FALSE),"-"),"-")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IFERROR(IF(AND(booking!AB155&gt;0,booking!H155&lt;&gt;booking!I155),VLOOKUP(booking!I155,Database!$A$1:'Database'!$M$188,6,FALSE),"-"),"-")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IFERROR(IF(AND(booking!AB155&gt;0,booking!L155&lt;&gt;booking!M155),VLOOKUP(booking!M155,Database!$A$1:'Database'!$M$188,6,FALSE),"-"),"-")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IFERROR(IF(AND(booking!AB155&gt;0,booking!P155&lt;&gt;booking!Q155),VLOOKUP(booking!Q155,Database!$A$1:'Database'!$M$188,6,FALSE),"-"),"-")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IFERROR(IF(AND(booking!AB155&gt;0,booking!T155&lt;&gt;booking!U155),VLOOKUP(booking!U155,Database!$A$1:'Database'!$M$188,6,FALSE),"-"),"-")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IFERROR(IF(AND(booking!AB156&gt;0,booking!D156&lt;&gt;booking!E156),VLOOKUP(booking!E156,Database!$A$1:'Database'!$M$188,6,FALSE),"-"),"-")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IFERROR(IF(AND(booking!AB156&gt;0,booking!H156&lt;&gt;booking!I156),VLOOKUP(booking!I156,Database!$A$1:'Database'!$M$188,6,FALSE),"-"),"-")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IFERROR(IF(AND(booking!AB156&gt;0,booking!L156&lt;&gt;booking!M156),VLOOKUP(booking!M156,Database!$A$1:'Database'!$M$188,6,FALSE),"-"),"-")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IFERROR(IF(AND(booking!AB156&gt;0,booking!P156&lt;&gt;booking!Q156),VLOOKUP(booking!Q156,Database!$A$1:'Database'!$M$188,6,FALSE),"-"),"-")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IFERROR(IF(AND(booking!AB156&gt;0,booking!T156&lt;&gt;booking!U156),VLOOKUP(booking!U156,Database!$A$1:'Database'!$M$188,6,FALSE),"-"),"-")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IFERROR(IF(AND(booking!AB157&gt;0,booking!D157&lt;&gt;booking!E157),VLOOKUP(booking!E157,Database!$A$1:'Database'!$M$188,6,FALSE),"-"),"-")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IFERROR(IF(AND(booking!AB157&gt;0,booking!H157&lt;&gt;booking!I157),VLOOKUP(booking!I157,Database!$A$1:'Database'!$M$188,6,FALSE),"-"),"-")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IFERROR(IF(AND(booking!AB157&gt;0,booking!L157&lt;&gt;booking!M157),VLOOKUP(booking!M157,Database!$A$1:'Database'!$M$188,6,FALSE),"-"),"-")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IFERROR(IF(AND(booking!AB157&gt;0,booking!P157&lt;&gt;booking!Q157),VLOOKUP(booking!Q157,Database!$A$1:'Database'!$M$188,6,FALSE),"-"),"-")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IFERROR(IF(AND(booking!AB157&gt;0,booking!T157&lt;&gt;booking!U157),VLOOKUP(booking!U157,Database!$A$1:'Database'!$M$188,6,FALSE),"-"),"-")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IFERROR(IF(AND(booking!AB158&gt;0,booking!D158&lt;&gt;booking!E158),VLOOKUP(booking!E158,Database!$A$1:'Database'!$M$188,6,FALSE),"-"),"-")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IFERROR(IF(AND(booking!AB158&gt;0,booking!H158&lt;&gt;booking!I158),VLOOKUP(booking!I158,Database!$A$1:'Database'!$M$188,6,FALSE),"-"),"-")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IFERROR(IF(AND(booking!AB158&gt;0,booking!L158&lt;&gt;booking!M158),VLOOKUP(booking!M158,Database!$A$1:'Database'!$M$188,6,FALSE),"-"),"-")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IFERROR(IF(AND(booking!AB158&gt;0,booking!P158&lt;&gt;booking!Q158),VLOOKUP(booking!Q158,Database!$A$1:'Database'!$M$188,6,FALSE),"-"),"-")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IFERROR(IF(AND(booking!AB158&gt;0,booking!T158&lt;&gt;booking!U158),VLOOKUP(booking!U158,Database!$A$1:'Database'!$M$188,6,FALSE),"-"),"-")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IFERROR(IF(AND(booking!AB159&gt;0,booking!D159&lt;&gt;booking!E159),VLOOKUP(booking!E159,Database!$A$1:'Database'!$M$188,6,FALSE),"-"),"-")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IFERROR(IF(AND(booking!AB159&gt;0,booking!H159&lt;&gt;booking!I159),VLOOKUP(booking!I159,Database!$A$1:'Database'!$M$188,6,FALSE),"-"),"-")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IFERROR(IF(AND(booking!AB159&gt;0,booking!L159&lt;&gt;booking!M159),VLOOKUP(booking!M159,Database!$A$1:'Database'!$M$188,6,FALSE),"-"),"-")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IFERROR(IF(AND(booking!AB159&gt;0,booking!P159&lt;&gt;booking!Q159),VLOOKUP(booking!Q159,Database!$A$1:'Database'!$M$188,6,FALSE),"-"),"-")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IFERROR(IF(AND(booking!AB159&gt;0,booking!T159&lt;&gt;booking!U159),VLOOKUP(booking!U159,Database!$A$1:'Database'!$M$188,6,FALSE),"-"),"-")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IFERROR(IF(AND(booking!AB160&gt;0,booking!D160&lt;&gt;booking!E160),VLOOKUP(booking!E160,Database!$A$1:'Database'!$M$188,6,FALSE),"-"),"-")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IFERROR(IF(AND(booking!AB160&gt;0,booking!H160&lt;&gt;booking!I160),VLOOKUP(booking!I160,Database!$A$1:'Database'!$M$188,6,FALSE),"-"),"-")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IFERROR(IF(AND(booking!AB160&gt;0,booking!L160&lt;&gt;booking!M160),VLOOKUP(booking!M160,Database!$A$1:'Database'!$M$188,6,FALSE),"-"),"-")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IFERROR(IF(AND(booking!AB160&gt;0,booking!P160&lt;&gt;booking!Q160),VLOOKUP(booking!Q160,Database!$A$1:'Database'!$M$188,6,FALSE),"-"),"-")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IFERROR(IF(AND(booking!AB160&gt;0,booking!T160&lt;&gt;booking!U160),VLOOKUP(booking!U160,Database!$A$1:'Database'!$M$188,6,FALSE),"-"),"-")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IFERROR(IF(AND(booking!AB161&gt;0,booking!D161&lt;&gt;booking!E161),VLOOKUP(booking!E161,Database!$A$1:'Database'!$M$188,6,FALSE),"-"),"-")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IFERROR(IF(AND(booking!AB161&gt;0,booking!H161&lt;&gt;booking!I161),VLOOKUP(booking!I161,Database!$A$1:'Database'!$M$188,6,FALSE),"-"),"-")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IFERROR(IF(AND(booking!AB161&gt;0,booking!L161&lt;&gt;booking!M161),VLOOKUP(booking!M161,Database!$A$1:'Database'!$M$188,6,FALSE),"-"),"-")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IFERROR(IF(AND(booking!AB161&gt;0,booking!P161&lt;&gt;booking!Q161),VLOOKUP(booking!Q161,Database!$A$1:'Database'!$M$188,6,FALSE),"-"),"-")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IFERROR(IF(AND(booking!AB161&gt;0,booking!T161&lt;&gt;booking!U161),VLOOKUP(booking!U161,Database!$A$1:'Database'!$M$188,6,FALSE),"-"),"-")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IFERROR(IF(AND(booking!AB162&gt;0,booking!D162&lt;&gt;booking!E162),VLOOKUP(booking!E162,Database!$A$1:'Database'!$M$188,6,FALSE),"-"),"-")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IFERROR(IF(AND(booking!AB162&gt;0,booking!H162&lt;&gt;booking!I162),VLOOKUP(booking!I162,Database!$A$1:'Database'!$M$188,6,FALSE),"-"),"-")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IFERROR(IF(AND(booking!AB162&gt;0,booking!L162&lt;&gt;booking!M162),VLOOKUP(booking!M162,Database!$A$1:'Database'!$M$188,6,FALSE),"-"),"-")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IFERROR(IF(AND(booking!AB162&gt;0,booking!P162&lt;&gt;booking!Q162),VLOOKUP(booking!Q162,Database!$A$1:'Database'!$M$188,6,FALSE),"-"),"-")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IFERROR(IF(AND(booking!AB162&gt;0,booking!T162&lt;&gt;booking!U162),VLOOKUP(booking!U162,Database!$A$1:'Database'!$M$188,6,FALSE),"-"),"-")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IFERROR(IF(AND(booking!AB163&gt;0,booking!D163&lt;&gt;booking!E163),VLOOKUP(booking!E163,Database!$A$1:'Database'!$M$188,6,FALSE),"-"),"-")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IFERROR(IF(AND(booking!AB163&gt;0,booking!H163&lt;&gt;booking!I163),VLOOKUP(booking!I163,Database!$A$1:'Database'!$M$188,6,FALSE),"-"),"-")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IFERROR(IF(AND(booking!AB163&gt;0,booking!L163&lt;&gt;booking!M163),VLOOKUP(booking!M163,Database!$A$1:'Database'!$M$188,6,FALSE),"-"),"-")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IFERROR(IF(AND(booking!AB163&gt;0,booking!P163&lt;&gt;booking!Q163),VLOOKUP(booking!Q163,Database!$A$1:'Database'!$M$188,6,FALSE),"-"),"-")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IFERROR(IF(AND(booking!AB163&gt;0,booking!T163&lt;&gt;booking!U163),VLOOKUP(booking!U163,Database!$A$1:'Database'!$M$188,6,FALSE),"-"),"-")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IFERROR(IF(AND(booking!AB164&gt;0,booking!D164&lt;&gt;booking!E164),VLOOKUP(booking!E164,Database!$A$1:'Database'!$M$188,6,FALSE),"-"),"-")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IFERROR(IF(AND(booking!AB164&gt;0,booking!H164&lt;&gt;booking!I164),VLOOKUP(booking!I164,Database!$A$1:'Database'!$M$188,6,FALSE),"-"),"-")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IFERROR(IF(AND(booking!AB164&gt;0,booking!L164&lt;&gt;booking!M164),VLOOKUP(booking!M164,Database!$A$1:'Database'!$M$188,6,FALSE),"-"),"-")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IFERROR(IF(AND(booking!AB164&gt;0,booking!P164&lt;&gt;booking!Q164),VLOOKUP(booking!Q164,Database!$A$1:'Database'!$M$188,6,FALSE),"-"),"-")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IFERROR(IF(AND(booking!AB164&gt;0,booking!T164&lt;&gt;booking!U164),VLOOKUP(booking!U164,Database!$A$1:'Database'!$M$188,6,FALSE),"-"),"-")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IFERROR(IF(AND(booking!AB165&gt;0,booking!D165&lt;&gt;booking!E165),VLOOKUP(booking!E165,Database!$A$1:'Database'!$M$188,6,FALSE),"-"),"-")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IFERROR(IF(AND(booking!AB165&gt;0,booking!H165&lt;&gt;booking!I165),VLOOKUP(booking!I165,Database!$A$1:'Database'!$M$188,6,FALSE),"-"),"-")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IFERROR(IF(AND(booking!AB165&gt;0,booking!L165&lt;&gt;booking!M165),VLOOKUP(booking!M165,Database!$A$1:'Database'!$M$188,6,FALSE),"-"),"-")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IFERROR(IF(AND(booking!AB165&gt;0,booking!P165&lt;&gt;booking!Q165),VLOOKUP(booking!Q165,Database!$A$1:'Database'!$M$188,6,FALSE),"-"),"-")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IFERROR(IF(AND(booking!AB165&gt;0,booking!T165&lt;&gt;booking!U165),VLOOKUP(booking!U165,Database!$A$1:'Database'!$M$188,6,FALSE),"-"),"-")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IFERROR(IF(AND(booking!AB166&gt;0,booking!D166&lt;&gt;booking!E166),VLOOKUP(booking!E166,Database!$A$1:'Database'!$M$188,6,FALSE),"-"),"-")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IFERROR(IF(AND(booking!AB166&gt;0,booking!H166&lt;&gt;booking!I166),VLOOKUP(booking!I166,Database!$A$1:'Database'!$M$188,6,FALSE),"-"),"-")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IFERROR(IF(AND(booking!AB166&gt;0,booking!L166&lt;&gt;booking!M166),VLOOKUP(booking!M166,Database!$A$1:'Database'!$M$188,6,FALSE),"-"),"-")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IFERROR(IF(AND(booking!AB166&gt;0,booking!P166&lt;&gt;booking!Q166),VLOOKUP(booking!Q166,Database!$A$1:'Database'!$M$188,6,FALSE),"-"),"-")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IFERROR(IF(AND(booking!AB166&gt;0,booking!T166&lt;&gt;booking!U166),VLOOKUP(booking!U166,Database!$A$1:'Database'!$M$188,6,FALSE),"-"),"-")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IFERROR(IF(AND(booking!AB167&gt;0,booking!D167&lt;&gt;booking!E167),VLOOKUP(booking!E167,Database!$A$1:'Database'!$M$188,6,FALSE),"-"),"-")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IFERROR(IF(AND(booking!AB167&gt;0,booking!H167&lt;&gt;booking!I167),VLOOKUP(booking!I167,Database!$A$1:'Database'!$M$188,6,FALSE),"-"),"-")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IFERROR(IF(AND(booking!AB167&gt;0,booking!L167&lt;&gt;booking!M167),VLOOKUP(booking!M167,Database!$A$1:'Database'!$M$188,6,FALSE),"-"),"-")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IFERROR(IF(AND(booking!AB167&gt;0,booking!P167&lt;&gt;booking!Q167),VLOOKUP(booking!Q167,Database!$A$1:'Database'!$M$188,6,FALSE),"-"),"-")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IFERROR(IF(AND(booking!AB167&gt;0,booking!T167&lt;&gt;booking!U167),VLOOKUP(booking!U167,Database!$A$1:'Database'!$M$188,6,FALSE),"-"),"-")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IFERROR(IF(AND(booking!AB168&gt;0,booking!D168&lt;&gt;booking!E168),VLOOKUP(booking!E168,Database!$A$1:'Database'!$M$188,6,FALSE),"-"),"-")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IFERROR(IF(AND(booking!AB168&gt;0,booking!H168&lt;&gt;booking!I168),VLOOKUP(booking!I168,Database!$A$1:'Database'!$M$188,6,FALSE),"-"),"-")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IFERROR(IF(AND(booking!AB168&gt;0,booking!L168&lt;&gt;booking!M168),VLOOKUP(booking!M168,Database!$A$1:'Database'!$M$188,6,FALSE),"-"),"-")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IFERROR(IF(AND(booking!AB168&gt;0,booking!P168&lt;&gt;booking!Q168),VLOOKUP(booking!Q168,Database!$A$1:'Database'!$M$188,6,FALSE),"-"),"-")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IFERROR(IF(AND(booking!AB168&gt;0,booking!T168&lt;&gt;booking!U168),VLOOKUP(booking!U168,Database!$A$1:'Database'!$M$188,6,FALSE),"-"),"-")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IFERROR(IF(AND(booking!AB169&gt;0,booking!D169&lt;&gt;booking!E169),VLOOKUP(booking!E169,Database!$A$1:'Database'!$M$188,6,FALSE),"-"),"-")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IFERROR(IF(AND(booking!AB169&gt;0,booking!H169&lt;&gt;booking!I169),VLOOKUP(booking!I169,Database!$A$1:'Database'!$M$188,6,FALSE),"-"),"-")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IFERROR(IF(AND(booking!AB169&gt;0,booking!L169&lt;&gt;booking!M169),VLOOKUP(booking!M169,Database!$A$1:'Database'!$M$188,6,FALSE),"-"),"-")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IFERROR(IF(AND(booking!AB169&gt;0,booking!P169&lt;&gt;booking!Q169),VLOOKUP(booking!Q169,Database!$A$1:'Database'!$M$188,6,FALSE),"-"),"-")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IFERROR(IF(AND(booking!AB169&gt;0,booking!T169&lt;&gt;booking!U169),VLOOKUP(booking!U169,Database!$A$1:'Database'!$M$188,6,FALSE),"-"),"-")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IFERROR(IF(AND(booking!AB170&gt;0,booking!D170&lt;&gt;booking!E170),VLOOKUP(booking!E170,Database!$A$1:'Database'!$M$188,6,FALSE),"-"),"-")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IFERROR(IF(AND(booking!AB170&gt;0,booking!H170&lt;&gt;booking!I170),VLOOKUP(booking!I170,Database!$A$1:'Database'!$M$188,6,FALSE),"-"),"-")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IFERROR(IF(AND(booking!AB170&gt;0,booking!L170&lt;&gt;booking!M170),VLOOKUP(booking!M170,Database!$A$1:'Database'!$M$188,6,FALSE),"-"),"-")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IFERROR(IF(AND(booking!AB170&gt;0,booking!P170&lt;&gt;booking!Q170),VLOOKUP(booking!Q170,Database!$A$1:'Database'!$M$188,6,FALSE),"-"),"-")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IFERROR(IF(AND(booking!AB170&gt;0,booking!T170&lt;&gt;booking!U170),VLOOKUP(booking!U170,Database!$A$1:'Database'!$M$188,6,FALSE),"-"),"-")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IFERROR(IF(AND(booking!AB171&gt;0,booking!D171&lt;&gt;booking!E171),VLOOKUP(booking!E171,Database!$A$1:'Database'!$M$188,6,FALSE),"-"),"-")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IFERROR(IF(AND(booking!AB171&gt;0,booking!H171&lt;&gt;booking!I171),VLOOKUP(booking!I171,Database!$A$1:'Database'!$M$188,6,FALSE),"-"),"-")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IFERROR(IF(AND(booking!AB171&gt;0,booking!L171&lt;&gt;booking!M171),VLOOKUP(booking!M171,Database!$A$1:'Database'!$M$188,6,FALSE),"-"),"-")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IFERROR(IF(AND(booking!AB171&gt;0,booking!P171&lt;&gt;booking!Q171),VLOOKUP(booking!Q171,Database!$A$1:'Database'!$M$188,6,FALSE),"-"),"-")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IFERROR(IF(AND(booking!AB171&gt;0,booking!T171&lt;&gt;booking!U171),VLOOKUP(booking!U171,Database!$A$1:'Database'!$M$188,6,FALSE),"-"),"-")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510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IFERROR(VLOOKUP(E2,Database!$A$2:$M$188,6,FALSE),"-")</f>
        <v>-</v>
      </c>
      <c r="H2" s="90" t="str">
        <f>IFERROR(VLOOKUP(E2,Database!$A$2:$M$188,9,FALSE),"-")</f>
        <v>-</v>
      </c>
      <c r="I2" s="109" t="str">
        <f>IFERROR(VLOOKUP(E2,Database!$A$2:$T$188,19,FALSE),"-")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IFERROR(VLOOKUP(J2,Database!$A$2:$M$188,8,FALSE),"-")</f>
        <v>-</v>
      </c>
      <c r="L2" s="77" t="str">
        <f>IFERROR(VLOOKUP(J2,Database!$A$2:$M$188,6,FALSE),"-")</f>
        <v>-</v>
      </c>
      <c r="M2" s="90" t="str">
        <f>IFERROR(VLOOKUP(J2,Database!$A$2:$M$188,9,FALSE),"-")</f>
        <v>-</v>
      </c>
      <c r="N2" s="203" t="str">
        <f>IFERROR(VLOOKUP(J2,Database!$A$2:$T$188,19,FALSE),"-")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IFERROR(VLOOKUP(O2,Database!$A$2:$M$188,8,FALSE),"-")</f>
        <v>-</v>
      </c>
      <c r="Q2" s="77" t="str">
        <f>IFERROR(VLOOKUP(O2,Database!$A$2:$M$188,6,FALSE),"-")</f>
        <v>-</v>
      </c>
      <c r="R2" s="79" t="str">
        <f>IFERROR(VLOOKUP(O2,Database!$A$2:$M$188,9,FALSE),"-")</f>
        <v>-</v>
      </c>
      <c r="S2" s="203" t="str">
        <f>IFERROR(VLOOKUP(O2,Database!$A$2:$T$188,19,FALSE),"-")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IFERROR(VLOOKUP(T2,Database!$A$2:$M$188,8,FALSE),"-")</f>
        <v>-</v>
      </c>
      <c r="V2" s="77" t="str">
        <f>IFERROR(VLOOKUP(T2,Database!$A$2:$M$188,6,FALSE),"-")</f>
        <v>-</v>
      </c>
      <c r="W2" s="79" t="str">
        <f>IFERROR(VLOOKUP(T2,Database!$A$2:$M$188,9,FALSE),"-")</f>
        <v>-</v>
      </c>
      <c r="X2" s="203" t="str">
        <f>IFERROR(VLOOKUP(T2,Database!$A$2:$T$188,19,FALSE),"-")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IFERROR(VLOOKUP(Y2,Database!$A$2:$M$188,8,FALSE),"-")</f>
        <v>-</v>
      </c>
      <c r="AA2" s="77" t="str">
        <f>IFERROR(VLOOKUP(Y2,Database!$A$2:$M$188,6,FALSE),"-")</f>
        <v>-</v>
      </c>
      <c r="AB2" s="90" t="str">
        <f>IFERROR(VLOOKUP(Y2,Database!$A$2:$M$188,9,FALSE),"-")</f>
        <v>-</v>
      </c>
      <c r="AC2" s="8" t="str">
        <f>IFERROR(VLOOKUP(Y2,Database!$A$2:$T$188,19,FALSE),"-")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IFERROR(VLOOKUP(E3,Database!$A$2:$M$188,6,FALSE),"-")</f>
        <v>-</v>
      </c>
      <c r="H3" s="91" t="str">
        <f>IFERROR(VLOOKUP(E3,Database!$A$2:$M$188,9,FALSE),"-")</f>
        <v>-</v>
      </c>
      <c r="I3" s="109" t="str">
        <f>IFERROR(VLOOKUP(E3,Database!$A$2:$T$188,19,FALSE),"-")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IFERROR(VLOOKUP(J3,Database!$A$2:$M$188,8,FALSE),"-")</f>
        <v>-</v>
      </c>
      <c r="L3" s="76" t="str">
        <f>IFERROR(VLOOKUP(J3,Database!$A$2:$M$188,6,FALSE),"-")</f>
        <v>-</v>
      </c>
      <c r="M3" s="91" t="str">
        <f>IFERROR(VLOOKUP(J3,Database!$A$2:$M$188,9,FALSE),"-")</f>
        <v>-</v>
      </c>
      <c r="N3" s="203" t="str">
        <f>IFERROR(VLOOKUP(J3,Database!$A$2:$T$188,19,FALSE),"-")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IFERROR(VLOOKUP(O3,Database!$A$2:$M$188,8,FALSE),"-")</f>
        <v>-</v>
      </c>
      <c r="Q3" s="76" t="str">
        <f>IFERROR(VLOOKUP(O3,Database!$A$2:$M$188,6,FALSE),"-")</f>
        <v>-</v>
      </c>
      <c r="R3" s="80" t="str">
        <f>IFERROR(VLOOKUP(O3,Database!$A$2:$M$188,9,FALSE),"-")</f>
        <v>-</v>
      </c>
      <c r="S3" s="203" t="str">
        <f>IFERROR(VLOOKUP(O3,Database!$A$2:$T$188,19,FALSE),"-")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IFERROR(VLOOKUP(T3,Database!$A$2:$M$188,8,FALSE),"-")</f>
        <v>-</v>
      </c>
      <c r="V3" s="76" t="str">
        <f>IFERROR(VLOOKUP(T3,Database!$A$2:$M$188,6,FALSE),"-")</f>
        <v>-</v>
      </c>
      <c r="W3" s="80" t="str">
        <f>IFERROR(VLOOKUP(T3,Database!$A$2:$M$188,9,FALSE),"-")</f>
        <v>-</v>
      </c>
      <c r="X3" s="203" t="str">
        <f>IFERROR(VLOOKUP(T3,Database!$A$2:$T$188,19,FALSE),"-")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IFERROR(VLOOKUP(Y3,Database!$A$2:$M$188,8,FALSE),"-")</f>
        <v>-</v>
      </c>
      <c r="AA3" s="77" t="str">
        <f>IFERROR(VLOOKUP(Y3,Database!$A$2:$M$188,6,FALSE),"-")</f>
        <v>-</v>
      </c>
      <c r="AB3" s="90" t="str">
        <f>IFERROR(VLOOKUP(Y3,Database!$A$2:$M$188,9,FALSE),"-")</f>
        <v>-</v>
      </c>
      <c r="AC3" s="8" t="str">
        <f>IFERROR(VLOOKUP(Y3,Database!$A$2:$T$188,19,FALSE),"-")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IFERROR(VLOOKUP(E4,Database!$A$2:$M$188,8,FALSE),"-")</f>
        <v>-</v>
      </c>
      <c r="G4" s="76" t="str">
        <f>IFERROR(VLOOKUP(E4,Database!$A$2:$M$188,6,FALSE),"-")</f>
        <v>-</v>
      </c>
      <c r="H4" s="91" t="str">
        <f>IFERROR(VLOOKUP(E4,Database!$A$2:$M$188,9,FALSE),"-")</f>
        <v>-</v>
      </c>
      <c r="I4" s="109" t="str">
        <f>IFERROR(VLOOKUP(E4,Database!$A$2:$T$188,19,FALSE),"-")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IFERROR(VLOOKUP(J4,Database!$A$2:$M$188,8,FALSE),"-")</f>
        <v>-</v>
      </c>
      <c r="L4" s="76" t="str">
        <f>IFERROR(VLOOKUP(J4,Database!$A$2:$M$188,6,FALSE),"-")</f>
        <v>-</v>
      </c>
      <c r="M4" s="91" t="str">
        <f>IFERROR(VLOOKUP(J4,Database!$A$2:$M$188,9,FALSE),"-")</f>
        <v>-</v>
      </c>
      <c r="N4" s="203" t="str">
        <f>IFERROR(VLOOKUP(J4,Database!$A$2:$T$188,19,FALSE),"-")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IFERROR(VLOOKUP(O4,Database!$A$2:$M$188,8,FALSE),"-")</f>
        <v>-</v>
      </c>
      <c r="Q4" s="76" t="str">
        <f>IFERROR(VLOOKUP(O4,Database!$A$2:$M$188,6,FALSE),"-")</f>
        <v>-</v>
      </c>
      <c r="R4" s="80" t="str">
        <f>IFERROR(VLOOKUP(O4,Database!$A$2:$M$188,9,FALSE),"-")</f>
        <v>-</v>
      </c>
      <c r="S4" s="203" t="str">
        <f>IFERROR(VLOOKUP(O4,Database!$A$2:$T$188,19,FALSE),"-")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IFERROR(VLOOKUP(T4,Database!$A$2:$M$188,8,FALSE),"-")</f>
        <v>-</v>
      </c>
      <c r="V4" s="76" t="str">
        <f>IFERROR(VLOOKUP(T4,Database!$A$2:$M$188,6,FALSE),"-")</f>
        <v>-</v>
      </c>
      <c r="W4" s="80" t="str">
        <f>IFERROR(VLOOKUP(T4,Database!$A$2:$M$188,9,FALSE),"-")</f>
        <v>-</v>
      </c>
      <c r="X4" s="203" t="str">
        <f>IFERROR(VLOOKUP(T4,Database!$A$2:$T$188,19,FALSE),"-")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IFERROR(VLOOKUP(Y4,Database!$A$2:$M$188,8,FALSE),"-")</f>
        <v>-</v>
      </c>
      <c r="AA4" s="77" t="str">
        <f>IFERROR(VLOOKUP(Y4,Database!$A$2:$M$188,6,FALSE),"-")</f>
        <v>-</v>
      </c>
      <c r="AB4" s="90" t="str">
        <f>IFERROR(VLOOKUP(Y4,Database!$A$2:$M$188,9,FALSE),"-")</f>
        <v>-</v>
      </c>
      <c r="AC4" s="8" t="str">
        <f>IFERROR(VLOOKUP(Y4,Database!$A$2:$T$188,19,FALSE),"-")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IFERROR(VLOOKUP(E5,Database!$A$2:$M$188,8,FALSE),"-")</f>
        <v>-</v>
      </c>
      <c r="G5" s="76" t="str">
        <f>IFERROR(VLOOKUP(E5,Database!$A$2:$M$188,6,FALSE),"-")</f>
        <v>-</v>
      </c>
      <c r="H5" s="91" t="str">
        <f>IFERROR(VLOOKUP(E5,Database!$A$2:$M$188,9,FALSE),"-")</f>
        <v>-</v>
      </c>
      <c r="I5" s="109" t="str">
        <f>IFERROR(VLOOKUP(E5,Database!$A$2:$T$188,19,FALSE),"-")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IFERROR(VLOOKUP(J5,Database!$A$2:$M$188,8,FALSE),"-")</f>
        <v>-</v>
      </c>
      <c r="L5" s="76" t="str">
        <f>IFERROR(VLOOKUP(J5,Database!$A$2:$M$188,6,FALSE),"-")</f>
        <v>-</v>
      </c>
      <c r="M5" s="91" t="str">
        <f>IFERROR(VLOOKUP(J5,Database!$A$2:$M$188,9,FALSE),"-")</f>
        <v>-</v>
      </c>
      <c r="N5" s="203" t="str">
        <f>IFERROR(VLOOKUP(J5,Database!$A$2:$T$188,19,FALSE),"-")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IFERROR(VLOOKUP(O5,Database!$A$2:$M$188,8,FALSE),"-")</f>
        <v>-</v>
      </c>
      <c r="Q5" s="76" t="str">
        <f>IFERROR(VLOOKUP(O5,Database!$A$2:$M$188,6,FALSE),"-")</f>
        <v>-</v>
      </c>
      <c r="R5" s="80" t="str">
        <f>IFERROR(VLOOKUP(O5,Database!$A$2:$M$188,9,FALSE),"-")</f>
        <v>-</v>
      </c>
      <c r="S5" s="203" t="str">
        <f>IFERROR(VLOOKUP(O5,Database!$A$2:$T$188,19,FALSE),"-")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IFERROR(VLOOKUP(T5,Database!$A$2:$M$188,8,FALSE),"-")</f>
        <v>-</v>
      </c>
      <c r="V5" s="76" t="str">
        <f>IFERROR(VLOOKUP(T5,Database!$A$2:$M$188,6,FALSE),"-")</f>
        <v>-</v>
      </c>
      <c r="W5" s="80" t="str">
        <f>IFERROR(VLOOKUP(T5,Database!$A$2:$M$188,9,FALSE),"-")</f>
        <v>-</v>
      </c>
      <c r="X5" s="203" t="str">
        <f>IFERROR(VLOOKUP(T5,Database!$A$2:$T$188,19,FALSE),"-")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IFERROR(VLOOKUP(Y5,Database!$A$2:$M$188,8,FALSE),"-")</f>
        <v>-</v>
      </c>
      <c r="AA5" s="77" t="str">
        <f>IFERROR(VLOOKUP(Y5,Database!$A$2:$M$188,6,FALSE),"-")</f>
        <v>-</v>
      </c>
      <c r="AB5" s="90" t="str">
        <f>IFERROR(VLOOKUP(Y5,Database!$A$2:$M$188,9,FALSE),"-")</f>
        <v>-</v>
      </c>
      <c r="AC5" s="8" t="str">
        <f>IFERROR(VLOOKUP(Y5,Database!$A$2:$T$188,19,FALSE),"-")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IFERROR(VLOOKUP(E6,Database!$A$2:$M$188,8,FALSE),"-")</f>
        <v>bc</v>
      </c>
      <c r="G6" s="76">
        <f>IFERROR(VLOOKUP(E6,Database!$A$2:$M$188,6,FALSE),"-")</f>
        <v>46081</v>
      </c>
      <c r="H6" s="91" t="str">
        <f>IFERROR(VLOOKUP(E6,Database!$A$2:$M$188,9,FALSE),"-")</f>
        <v>1430</v>
      </c>
      <c r="I6" s="109">
        <f>IFERROR(VLOOKUP(E6,Database!$A$2:$T$188,19,FALSE),"-")</f>
        <v>1700</v>
      </c>
      <c r="J6" s="94">
        <f>IF(AND(D6="Y",booking!H6&lt;&gt;booking!I6,booking!I6&gt;0),booking!I6,"-")</f>
        <v>110</v>
      </c>
      <c r="K6" s="76" t="str">
        <f>IFERROR(VLOOKUP(J6,Database!$A$2:$M$188,8,FALSE),"-")</f>
        <v>bc</v>
      </c>
      <c r="L6" s="76">
        <f>IFERROR(VLOOKUP(J6,Database!$A$2:$M$188,6,FALSE),"-")</f>
        <v>46117</v>
      </c>
      <c r="M6" s="91">
        <f>IFERROR(VLOOKUP(J6,Database!$A$2:$M$188,9,FALSE),"-")</f>
        <v>0</v>
      </c>
      <c r="N6" s="203">
        <f>IFERROR(VLOOKUP(J6,Database!$A$2:$T$188,19,FALSE),"-")</f>
        <v>1900</v>
      </c>
      <c r="O6" s="94">
        <f>IF(AND(D6="Y",booking!L6&lt;&gt;booking!M6,booking!M6&gt;0),booking!M6,"-")</f>
        <v>68</v>
      </c>
      <c r="P6" s="76" t="str">
        <f>IFERROR(VLOOKUP(O6,Database!$A$2:$M$188,8,FALSE),"-")</f>
        <v>bc</v>
      </c>
      <c r="Q6" s="76">
        <f>IFERROR(VLOOKUP(O6,Database!$A$2:$M$188,6,FALSE),"-")</f>
        <v>46055</v>
      </c>
      <c r="R6" s="80" t="str">
        <f>IFERROR(VLOOKUP(O6,Database!$A$2:$M$188,9,FALSE),"-")</f>
        <v>1500</v>
      </c>
      <c r="S6" s="203">
        <f>IFERROR(VLOOKUP(O6,Database!$A$2:$T$188,19,FALSE),"-")</f>
        <v>1700</v>
      </c>
      <c r="T6" s="95">
        <f>IF(AND(D6="Y",booking!P6&lt;&gt;booking!Q6,booking!Q6&gt;0),booking!Q6,"-")</f>
        <v>28</v>
      </c>
      <c r="U6" s="76" t="str">
        <f>IFERROR(VLOOKUP(T6,Database!$A$2:$M$188,8,FALSE),"-")</f>
        <v>bc</v>
      </c>
      <c r="V6" s="76">
        <f>IFERROR(VLOOKUP(T6,Database!$A$2:$M$188,6,FALSE),"-")</f>
        <v>46021</v>
      </c>
      <c r="W6" s="80">
        <f>IFERROR(VLOOKUP(T6,Database!$A$2:$M$188,9,FALSE),"-")</f>
        <v>0</v>
      </c>
      <c r="X6" s="203">
        <f>IFERROR(VLOOKUP(T6,Database!$A$2:$T$188,19,FALSE),"-")</f>
        <v>1900</v>
      </c>
      <c r="Y6" s="94">
        <f>IF(AND(D6="Y",booking!T6&lt;&gt;booking!U6,booking!U6&gt;0),booking!U6,"-")</f>
        <v>28</v>
      </c>
      <c r="Z6" s="77" t="str">
        <f>IFERROR(VLOOKUP(Y6,Database!$A$2:$M$188,8,FALSE),"-")</f>
        <v>bc</v>
      </c>
      <c r="AA6" s="77">
        <f>IFERROR(VLOOKUP(Y6,Database!$A$2:$M$188,6,FALSE),"-")</f>
        <v>46021</v>
      </c>
      <c r="AB6" s="90">
        <f>IFERROR(VLOOKUP(Y6,Database!$A$2:$M$188,9,FALSE),"-")</f>
        <v>0</v>
      </c>
      <c r="AC6" s="8">
        <f>IFERROR(VLOOKUP(Y6,Database!$A$2:$T$188,19,FALSE),"-")</f>
        <v>1900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IFERROR(VLOOKUP(E7,Database!$A$2:$M$188,8,FALSE),"-")</f>
        <v>-</v>
      </c>
      <c r="G7" s="76" t="str">
        <f>IFERROR(VLOOKUP(E7,Database!$A$2:$M$188,6,FALSE),"-")</f>
        <v>-</v>
      </c>
      <c r="H7" s="91" t="str">
        <f>IFERROR(VLOOKUP(E7,Database!$A$2:$M$188,9,FALSE),"-")</f>
        <v>-</v>
      </c>
      <c r="I7" s="109" t="str">
        <f>IFERROR(VLOOKUP(E7,Database!$A$2:$T$188,19,FALSE),"-")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IFERROR(VLOOKUP(J7,Database!$A$2:$M$188,8,FALSE),"-")</f>
        <v>-</v>
      </c>
      <c r="L7" s="76" t="str">
        <f>IFERROR(VLOOKUP(J7,Database!$A$2:$M$188,6,FALSE),"-")</f>
        <v>-</v>
      </c>
      <c r="M7" s="91" t="str">
        <f>IFERROR(VLOOKUP(J7,Database!$A$2:$M$188,9,FALSE),"-")</f>
        <v>-</v>
      </c>
      <c r="N7" s="203" t="str">
        <f>IFERROR(VLOOKUP(J7,Database!$A$2:$T$188,19,FALSE),"-")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IFERROR(VLOOKUP(O7,Database!$A$2:$M$188,8,FALSE),"-")</f>
        <v>-</v>
      </c>
      <c r="Q7" s="76" t="str">
        <f>IFERROR(VLOOKUP(O7,Database!$A$2:$M$188,6,FALSE),"-")</f>
        <v>-</v>
      </c>
      <c r="R7" s="80" t="str">
        <f>IFERROR(VLOOKUP(O7,Database!$A$2:$M$188,9,FALSE),"-")</f>
        <v>-</v>
      </c>
      <c r="S7" s="203" t="str">
        <f>IFERROR(VLOOKUP(O7,Database!$A$2:$T$188,19,FALSE),"-")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IFERROR(VLOOKUP(T7,Database!$A$2:$M$188,8,FALSE),"-")</f>
        <v>-</v>
      </c>
      <c r="V7" s="76" t="str">
        <f>IFERROR(VLOOKUP(T7,Database!$A$2:$M$188,6,FALSE),"-")</f>
        <v>-</v>
      </c>
      <c r="W7" s="80" t="str">
        <f>IFERROR(VLOOKUP(T7,Database!$A$2:$M$188,9,FALSE),"-")</f>
        <v>-</v>
      </c>
      <c r="X7" s="203" t="str">
        <f>IFERROR(VLOOKUP(T7,Database!$A$2:$T$188,19,FALSE),"-")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IFERROR(VLOOKUP(Y7,Database!$A$2:$M$188,8,FALSE),"-")</f>
        <v>-</v>
      </c>
      <c r="AA7" s="77" t="str">
        <f>IFERROR(VLOOKUP(Y7,Database!$A$2:$M$188,6,FALSE),"-")</f>
        <v>-</v>
      </c>
      <c r="AB7" s="90" t="str">
        <f>IFERROR(VLOOKUP(Y7,Database!$A$2:$M$188,9,FALSE),"-")</f>
        <v>-</v>
      </c>
      <c r="AC7" s="8" t="str">
        <f>IFERROR(VLOOKUP(Y7,Database!$A$2:$T$188,19,FALSE),"-")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IFERROR(VLOOKUP(E8,Database!$A$2:$M$188,8,FALSE),"-")</f>
        <v>-</v>
      </c>
      <c r="G8" s="76" t="str">
        <f>IFERROR(VLOOKUP(E8,Database!$A$2:$M$188,6,FALSE),"-")</f>
        <v>-</v>
      </c>
      <c r="H8" s="91" t="str">
        <f>IFERROR(VLOOKUP(E8,Database!$A$2:$M$188,9,FALSE),"-")</f>
        <v>-</v>
      </c>
      <c r="I8" s="109" t="str">
        <f>IFERROR(VLOOKUP(E8,Database!$A$2:$T$188,19,FALSE),"-")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IFERROR(VLOOKUP(J8,Database!$A$2:$M$188,8,FALSE),"-")</f>
        <v>-</v>
      </c>
      <c r="L8" s="76" t="str">
        <f>IFERROR(VLOOKUP(J8,Database!$A$2:$M$188,6,FALSE),"-")</f>
        <v>-</v>
      </c>
      <c r="M8" s="91" t="str">
        <f>IFERROR(VLOOKUP(J8,Database!$A$2:$M$188,9,FALSE),"-")</f>
        <v>-</v>
      </c>
      <c r="N8" s="203" t="str">
        <f>IFERROR(VLOOKUP(J8,Database!$A$2:$T$188,19,FALSE),"-")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IFERROR(VLOOKUP(O8,Database!$A$2:$M$188,8,FALSE),"-")</f>
        <v>-</v>
      </c>
      <c r="Q8" s="76" t="str">
        <f>IFERROR(VLOOKUP(O8,Database!$A$2:$M$188,6,FALSE),"-")</f>
        <v>-</v>
      </c>
      <c r="R8" s="80" t="str">
        <f>IFERROR(VLOOKUP(O8,Database!$A$2:$M$188,9,FALSE),"-")</f>
        <v>-</v>
      </c>
      <c r="S8" s="203" t="str">
        <f>IFERROR(VLOOKUP(O8,Database!$A$2:$T$188,19,FALSE),"-")</f>
        <v>-</v>
      </c>
      <c r="T8" s="95">
        <f>IF(AND(D8="Y",booking!P8&lt;&gt;booking!Q8,booking!Q8&gt;0),booking!Q8,"-")</f>
        <v>72</v>
      </c>
      <c r="U8" s="76" t="str">
        <f>IFERROR(VLOOKUP(T8,Database!$A$2:$M$188,8,FALSE),"-")</f>
        <v>bc</v>
      </c>
      <c r="V8" s="76">
        <f>IFERROR(VLOOKUP(T8,Database!$A$2:$M$188,6,FALSE),"-")</f>
        <v>46060</v>
      </c>
      <c r="W8" s="80" t="str">
        <f>IFERROR(VLOOKUP(T8,Database!$A$2:$M$188,9,FALSE),"-")</f>
        <v>2030</v>
      </c>
      <c r="X8" s="203">
        <f>IFERROR(VLOOKUP(T8,Database!$A$2:$T$188,19,FALSE),"-")</f>
        <v>8050</v>
      </c>
      <c r="Y8" s="94" t="str">
        <f>IF(AND(D8="Y",booking!T8&lt;&gt;booking!U8,booking!U8&gt;0),booking!U8,"-")</f>
        <v>-</v>
      </c>
      <c r="Z8" s="77" t="str">
        <f>IFERROR(VLOOKUP(Y8,Database!$A$2:$M$188,8,FALSE),"-")</f>
        <v>-</v>
      </c>
      <c r="AA8" s="77" t="str">
        <f>IFERROR(VLOOKUP(Y8,Database!$A$2:$M$188,6,FALSE),"-")</f>
        <v>-</v>
      </c>
      <c r="AB8" s="90" t="str">
        <f>IFERROR(VLOOKUP(Y8,Database!$A$2:$M$188,9,FALSE),"-")</f>
        <v>-</v>
      </c>
      <c r="AC8" s="8" t="str">
        <f>IFERROR(VLOOKUP(Y8,Database!$A$2:$T$188,19,FALSE),"-")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IFERROR(VLOOKUP(E9,Database!$A$2:$M$188,8,FALSE),"-")</f>
        <v>-</v>
      </c>
      <c r="G9" s="76" t="str">
        <f>IFERROR(VLOOKUP(E9,Database!$A$2:$M$188,6,FALSE),"-")</f>
        <v>-</v>
      </c>
      <c r="H9" s="91" t="str">
        <f>IFERROR(VLOOKUP(E9,Database!$A$2:$M$188,9,FALSE),"-")</f>
        <v>-</v>
      </c>
      <c r="I9" s="109" t="str">
        <f>IFERROR(VLOOKUP(E9,Database!$A$2:$T$188,19,FALSE),"-")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IFERROR(VLOOKUP(J9,Database!$A$2:$M$188,8,FALSE),"-")</f>
        <v>-</v>
      </c>
      <c r="L9" s="76" t="str">
        <f>IFERROR(VLOOKUP(J9,Database!$A$2:$M$188,6,FALSE),"-")</f>
        <v>-</v>
      </c>
      <c r="M9" s="91" t="str">
        <f>IFERROR(VLOOKUP(J9,Database!$A$2:$M$188,9,FALSE),"-")</f>
        <v>-</v>
      </c>
      <c r="N9" s="203" t="str">
        <f>IFERROR(VLOOKUP(J9,Database!$A$2:$T$188,19,FALSE),"-")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IFERROR(VLOOKUP(O9,Database!$A$2:$M$188,8,FALSE),"-")</f>
        <v>-</v>
      </c>
      <c r="Q9" s="76" t="str">
        <f>IFERROR(VLOOKUP(O9,Database!$A$2:$M$188,6,FALSE),"-")</f>
        <v>-</v>
      </c>
      <c r="R9" s="80" t="str">
        <f>IFERROR(VLOOKUP(O9,Database!$A$2:$M$188,9,FALSE),"-")</f>
        <v>-</v>
      </c>
      <c r="S9" s="203" t="str">
        <f>IFERROR(VLOOKUP(O9,Database!$A$2:$T$188,19,FALSE),"-")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IFERROR(VLOOKUP(T9,Database!$A$2:$M$188,8,FALSE),"-")</f>
        <v>-</v>
      </c>
      <c r="V9" s="76" t="str">
        <f>IFERROR(VLOOKUP(T9,Database!$A$2:$M$188,6,FALSE),"-")</f>
        <v>-</v>
      </c>
      <c r="W9" s="80" t="str">
        <f>IFERROR(VLOOKUP(T9,Database!$A$2:$M$188,9,FALSE),"-")</f>
        <v>-</v>
      </c>
      <c r="X9" s="203" t="str">
        <f>IFERROR(VLOOKUP(T9,Database!$A$2:$T$188,19,FALSE),"-")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IFERROR(VLOOKUP(Y9,Database!$A$2:$M$188,8,FALSE),"-")</f>
        <v>-</v>
      </c>
      <c r="AA9" s="77" t="str">
        <f>IFERROR(VLOOKUP(Y9,Database!$A$2:$M$188,6,FALSE),"-")</f>
        <v>-</v>
      </c>
      <c r="AB9" s="90" t="str">
        <f>IFERROR(VLOOKUP(Y9,Database!$A$2:$M$188,9,FALSE),"-")</f>
        <v>-</v>
      </c>
      <c r="AC9" s="8" t="str">
        <f>IFERROR(VLOOKUP(Y9,Database!$A$2:$T$188,19,FALSE),"-")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IFERROR(VLOOKUP(E10,Database!$A$2:$M$188,8,FALSE),"-")</f>
        <v>-</v>
      </c>
      <c r="G10" s="76" t="str">
        <f>IFERROR(VLOOKUP(E10,Database!$A$2:$M$188,6,FALSE),"-")</f>
        <v>-</v>
      </c>
      <c r="H10" s="91" t="str">
        <f>IFERROR(VLOOKUP(E10,Database!$A$2:$M$188,9,FALSE),"-")</f>
        <v>-</v>
      </c>
      <c r="I10" s="109" t="str">
        <f>IFERROR(VLOOKUP(E10,Database!$A$2:$T$188,19,FALSE),"-")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IFERROR(VLOOKUP(J10,Database!$A$2:$M$188,8,FALSE),"-")</f>
        <v>-</v>
      </c>
      <c r="L10" s="76" t="str">
        <f>IFERROR(VLOOKUP(J10,Database!$A$2:$M$188,6,FALSE),"-")</f>
        <v>-</v>
      </c>
      <c r="M10" s="91" t="str">
        <f>IFERROR(VLOOKUP(J10,Database!$A$2:$M$188,9,FALSE),"-")</f>
        <v>-</v>
      </c>
      <c r="N10" s="203" t="str">
        <f>IFERROR(VLOOKUP(J10,Database!$A$2:$T$188,19,FALSE),"-")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IFERROR(VLOOKUP(O10,Database!$A$2:$M$188,8,FALSE),"-")</f>
        <v>-</v>
      </c>
      <c r="Q10" s="76" t="str">
        <f>IFERROR(VLOOKUP(O10,Database!$A$2:$M$188,6,FALSE),"-")</f>
        <v>-</v>
      </c>
      <c r="R10" s="80" t="str">
        <f>IFERROR(VLOOKUP(O10,Database!$A$2:$M$188,9,FALSE),"-")</f>
        <v>-</v>
      </c>
      <c r="S10" s="203" t="str">
        <f>IFERROR(VLOOKUP(O10,Database!$A$2:$T$188,19,FALSE),"-")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IFERROR(VLOOKUP(T10,Database!$A$2:$M$188,8,FALSE),"-")</f>
        <v>-</v>
      </c>
      <c r="V10" s="76" t="str">
        <f>IFERROR(VLOOKUP(T10,Database!$A$2:$M$188,6,FALSE),"-")</f>
        <v>-</v>
      </c>
      <c r="W10" s="80" t="str">
        <f>IFERROR(VLOOKUP(T10,Database!$A$2:$M$188,9,FALSE),"-")</f>
        <v>-</v>
      </c>
      <c r="X10" s="203" t="str">
        <f>IFERROR(VLOOKUP(T10,Database!$A$2:$T$188,19,FALSE),"-")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IFERROR(VLOOKUP(Y10,Database!$A$2:$M$188,8,FALSE),"-")</f>
        <v>-</v>
      </c>
      <c r="AA10" s="77" t="str">
        <f>IFERROR(VLOOKUP(Y10,Database!$A$2:$M$188,6,FALSE),"-")</f>
        <v>-</v>
      </c>
      <c r="AB10" s="90" t="str">
        <f>IFERROR(VLOOKUP(Y10,Database!$A$2:$M$188,9,FALSE),"-")</f>
        <v>-</v>
      </c>
      <c r="AC10" s="8" t="str">
        <f>IFERROR(VLOOKUP(Y10,Database!$A$2:$T$188,19,FALSE),"-")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IFERROR(VLOOKUP(E11,Database!$A$2:$M$188,8,FALSE),"-")</f>
        <v>-</v>
      </c>
      <c r="G11" s="76" t="str">
        <f>IFERROR(VLOOKUP(E11,Database!$A$2:$M$188,6,FALSE),"-")</f>
        <v>-</v>
      </c>
      <c r="H11" s="91" t="str">
        <f>IFERROR(VLOOKUP(E11,Database!$A$2:$M$188,9,FALSE),"-")</f>
        <v>-</v>
      </c>
      <c r="I11" s="109" t="str">
        <f>IFERROR(VLOOKUP(E11,Database!$A$2:$T$188,19,FALSE),"-")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IFERROR(VLOOKUP(J11,Database!$A$2:$M$188,8,FALSE),"-")</f>
        <v>-</v>
      </c>
      <c r="L11" s="76" t="str">
        <f>IFERROR(VLOOKUP(J11,Database!$A$2:$M$188,6,FALSE),"-")</f>
        <v>-</v>
      </c>
      <c r="M11" s="91" t="str">
        <f>IFERROR(VLOOKUP(J11,Database!$A$2:$M$188,9,FALSE),"-")</f>
        <v>-</v>
      </c>
      <c r="N11" s="203" t="str">
        <f>IFERROR(VLOOKUP(J11,Database!$A$2:$T$188,19,FALSE),"-")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IFERROR(VLOOKUP(O11,Database!$A$2:$M$188,8,FALSE),"-")</f>
        <v>-</v>
      </c>
      <c r="Q11" s="76" t="str">
        <f>IFERROR(VLOOKUP(O11,Database!$A$2:$M$188,6,FALSE),"-")</f>
        <v>-</v>
      </c>
      <c r="R11" s="80" t="str">
        <f>IFERROR(VLOOKUP(O11,Database!$A$2:$M$188,9,FALSE),"-")</f>
        <v>-</v>
      </c>
      <c r="S11" s="203" t="str">
        <f>IFERROR(VLOOKUP(O11,Database!$A$2:$T$188,19,FALSE),"-")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IFERROR(VLOOKUP(T11,Database!$A$2:$M$188,8,FALSE),"-")</f>
        <v>-</v>
      </c>
      <c r="V11" s="76" t="str">
        <f>IFERROR(VLOOKUP(T11,Database!$A$2:$M$188,6,FALSE),"-")</f>
        <v>-</v>
      </c>
      <c r="W11" s="80" t="str">
        <f>IFERROR(VLOOKUP(T11,Database!$A$2:$M$188,9,FALSE),"-")</f>
        <v>-</v>
      </c>
      <c r="X11" s="203" t="str">
        <f>IFERROR(VLOOKUP(T11,Database!$A$2:$T$188,19,FALSE),"-")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IFERROR(VLOOKUP(Y11,Database!$A$2:$M$188,8,FALSE),"-")</f>
        <v>-</v>
      </c>
      <c r="AA11" s="77" t="str">
        <f>IFERROR(VLOOKUP(Y11,Database!$A$2:$M$188,6,FALSE),"-")</f>
        <v>-</v>
      </c>
      <c r="AB11" s="90" t="str">
        <f>IFERROR(VLOOKUP(Y11,Database!$A$2:$M$188,9,FALSE),"-")</f>
        <v>-</v>
      </c>
      <c r="AC11" s="8" t="str">
        <f>IFERROR(VLOOKUP(Y11,Database!$A$2:$T$188,19,FALSE),"-")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IFERROR(VLOOKUP(E12,Database!$A$2:$M$188,8,FALSE),"-")</f>
        <v>-</v>
      </c>
      <c r="G12" s="76" t="str">
        <f>IFERROR(VLOOKUP(E12,Database!$A$2:$M$188,6,FALSE),"-")</f>
        <v>-</v>
      </c>
      <c r="H12" s="91" t="str">
        <f>IFERROR(VLOOKUP(E12,Database!$A$2:$M$188,9,FALSE),"-")</f>
        <v>-</v>
      </c>
      <c r="I12" s="109" t="str">
        <f>IFERROR(VLOOKUP(E12,Database!$A$2:$T$188,19,FALSE),"-")</f>
        <v>-</v>
      </c>
      <c r="J12" s="94">
        <f>IF(AND(D12="Y",booking!H12&lt;&gt;booking!I12,booking!I12&gt;0),booking!I12,"-")</f>
        <v>80</v>
      </c>
      <c r="K12" s="76" t="str">
        <f>IFERROR(VLOOKUP(J12,Database!$A$2:$M$188,8,FALSE),"-")</f>
        <v>web</v>
      </c>
      <c r="L12" s="76">
        <f>IFERROR(VLOOKUP(J12,Database!$A$2:$M$188,6,FALSE),"-")</f>
        <v>46074</v>
      </c>
      <c r="M12" s="91">
        <f>IFERROR(VLOOKUP(J12,Database!$A$2:$M$188,9,FALSE),"-")</f>
        <v>0</v>
      </c>
      <c r="N12" s="203">
        <f>IFERROR(VLOOKUP(J12,Database!$A$2:$T$188,19,FALSE),"-")</f>
        <v>10350</v>
      </c>
      <c r="O12" s="94">
        <f>IF(AND(D12="Y",booking!L12&lt;&gt;booking!M12,booking!M12&gt;0),booking!M12,"-")</f>
        <v>80</v>
      </c>
      <c r="P12" s="76" t="str">
        <f>IFERROR(VLOOKUP(O12,Database!$A$2:$M$188,8,FALSE),"-")</f>
        <v>web</v>
      </c>
      <c r="Q12" s="76">
        <f>IFERROR(VLOOKUP(O12,Database!$A$2:$M$188,6,FALSE),"-")</f>
        <v>46074</v>
      </c>
      <c r="R12" s="80">
        <f>IFERROR(VLOOKUP(O12,Database!$A$2:$M$188,9,FALSE),"-")</f>
        <v>0</v>
      </c>
      <c r="S12" s="203">
        <f>IFERROR(VLOOKUP(O12,Database!$A$2:$T$188,19,FALSE),"-")</f>
        <v>10350</v>
      </c>
      <c r="T12" s="95" t="str">
        <f>IF(AND(D12="Y",booking!P12&lt;&gt;booking!Q12,booking!Q12&gt;0),booking!Q12,"-")</f>
        <v>-</v>
      </c>
      <c r="U12" s="76" t="str">
        <f>IFERROR(VLOOKUP(T12,Database!$A$2:$M$188,8,FALSE),"-")</f>
        <v>-</v>
      </c>
      <c r="V12" s="76" t="str">
        <f>IFERROR(VLOOKUP(T12,Database!$A$2:$M$188,6,FALSE),"-")</f>
        <v>-</v>
      </c>
      <c r="W12" s="80" t="str">
        <f>IFERROR(VLOOKUP(T12,Database!$A$2:$M$188,9,FALSE),"-")</f>
        <v>-</v>
      </c>
      <c r="X12" s="203" t="str">
        <f>IFERROR(VLOOKUP(T12,Database!$A$2:$T$188,19,FALSE),"-")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IFERROR(VLOOKUP(Y12,Database!$A$2:$M$188,8,FALSE),"-")</f>
        <v>-</v>
      </c>
      <c r="AA12" s="77" t="str">
        <f>IFERROR(VLOOKUP(Y12,Database!$A$2:$M$188,6,FALSE),"-")</f>
        <v>-</v>
      </c>
      <c r="AB12" s="90" t="str">
        <f>IFERROR(VLOOKUP(Y12,Database!$A$2:$M$188,9,FALSE),"-")</f>
        <v>-</v>
      </c>
      <c r="AC12" s="8" t="str">
        <f>IFERROR(VLOOKUP(Y12,Database!$A$2:$T$188,19,FALSE),"-")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IFERROR(VLOOKUP(E13,Database!$A$2:$M$188,8,FALSE),"-")</f>
        <v>-</v>
      </c>
      <c r="G13" s="76" t="str">
        <f>IFERROR(VLOOKUP(E13,Database!$A$2:$M$188,6,FALSE),"-")</f>
        <v>-</v>
      </c>
      <c r="H13" s="91" t="str">
        <f>IFERROR(VLOOKUP(E13,Database!$A$2:$M$188,9,FALSE),"-")</f>
        <v>-</v>
      </c>
      <c r="I13" s="109" t="str">
        <f>IFERROR(VLOOKUP(E13,Database!$A$2:$T$188,19,FALSE),"-")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IFERROR(VLOOKUP(J13,Database!$A$2:$M$188,8,FALSE),"-")</f>
        <v>-</v>
      </c>
      <c r="L13" s="76" t="str">
        <f>IFERROR(VLOOKUP(J13,Database!$A$2:$M$188,6,FALSE),"-")</f>
        <v>-</v>
      </c>
      <c r="M13" s="91" t="str">
        <f>IFERROR(VLOOKUP(J13,Database!$A$2:$M$188,9,FALSE),"-")</f>
        <v>-</v>
      </c>
      <c r="N13" s="203" t="str">
        <f>IFERROR(VLOOKUP(J13,Database!$A$2:$T$188,19,FALSE),"-")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IFERROR(VLOOKUP(O13,Database!$A$2:$M$188,8,FALSE),"-")</f>
        <v>-</v>
      </c>
      <c r="Q13" s="76" t="str">
        <f>IFERROR(VLOOKUP(O13,Database!$A$2:$M$188,6,FALSE),"-")</f>
        <v>-</v>
      </c>
      <c r="R13" s="80" t="str">
        <f>IFERROR(VLOOKUP(O13,Database!$A$2:$M$188,9,FALSE),"-")</f>
        <v>-</v>
      </c>
      <c r="S13" s="203" t="str">
        <f>IFERROR(VLOOKUP(O13,Database!$A$2:$T$188,19,FALSE),"-")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IFERROR(VLOOKUP(T13,Database!$A$2:$M$188,8,FALSE),"-")</f>
        <v>-</v>
      </c>
      <c r="V13" s="76" t="str">
        <f>IFERROR(VLOOKUP(T13,Database!$A$2:$M$188,6,FALSE),"-")</f>
        <v>-</v>
      </c>
      <c r="W13" s="80" t="str">
        <f>IFERROR(VLOOKUP(T13,Database!$A$2:$M$188,9,FALSE),"-")</f>
        <v>-</v>
      </c>
      <c r="X13" s="203" t="str">
        <f>IFERROR(VLOOKUP(T13,Database!$A$2:$T$188,19,FALSE),"-")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IFERROR(VLOOKUP(Y13,Database!$A$2:$M$188,8,FALSE),"-")</f>
        <v>-</v>
      </c>
      <c r="AA13" s="77" t="str">
        <f>IFERROR(VLOOKUP(Y13,Database!$A$2:$M$188,6,FALSE),"-")</f>
        <v>-</v>
      </c>
      <c r="AB13" s="90" t="str">
        <f>IFERROR(VLOOKUP(Y13,Database!$A$2:$M$188,9,FALSE),"-")</f>
        <v>-</v>
      </c>
      <c r="AC13" s="8" t="str">
        <f>IFERROR(VLOOKUP(Y13,Database!$A$2:$T$188,19,FALSE),"-")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IFERROR(VLOOKUP(E14,Database!$A$2:$M$188,8,FALSE),"-")</f>
        <v>-</v>
      </c>
      <c r="G14" s="76" t="str">
        <f>IFERROR(VLOOKUP(E14,Database!$A$2:$M$188,6,FALSE),"-")</f>
        <v>-</v>
      </c>
      <c r="H14" s="91" t="str">
        <f>IFERROR(VLOOKUP(E14,Database!$A$2:$M$188,9,FALSE),"-")</f>
        <v>-</v>
      </c>
      <c r="I14" s="109" t="str">
        <f>IFERROR(VLOOKUP(E14,Database!$A$2:$T$188,19,FALSE),"-")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IFERROR(VLOOKUP(J14,Database!$A$2:$M$188,8,FALSE),"-")</f>
        <v>-</v>
      </c>
      <c r="L14" s="76" t="str">
        <f>IFERROR(VLOOKUP(J14,Database!$A$2:$M$188,6,FALSE),"-")</f>
        <v>-</v>
      </c>
      <c r="M14" s="91" t="str">
        <f>IFERROR(VLOOKUP(J14,Database!$A$2:$M$188,9,FALSE),"-")</f>
        <v>-</v>
      </c>
      <c r="N14" s="203" t="str">
        <f>IFERROR(VLOOKUP(J14,Database!$A$2:$T$188,19,FALSE),"-")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IFERROR(VLOOKUP(O14,Database!$A$2:$M$188,8,FALSE),"-")</f>
        <v>-</v>
      </c>
      <c r="Q14" s="76" t="str">
        <f>IFERROR(VLOOKUP(O14,Database!$A$2:$M$188,6,FALSE),"-")</f>
        <v>-</v>
      </c>
      <c r="R14" s="80" t="str">
        <f>IFERROR(VLOOKUP(O14,Database!$A$2:$M$188,9,FALSE),"-")</f>
        <v>-</v>
      </c>
      <c r="S14" s="203" t="str">
        <f>IFERROR(VLOOKUP(O14,Database!$A$2:$T$188,19,FALSE),"-")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IFERROR(VLOOKUP(T14,Database!$A$2:$M$188,8,FALSE),"-")</f>
        <v>-</v>
      </c>
      <c r="V14" s="76" t="str">
        <f>IFERROR(VLOOKUP(T14,Database!$A$2:$M$188,6,FALSE),"-")</f>
        <v>-</v>
      </c>
      <c r="W14" s="80" t="str">
        <f>IFERROR(VLOOKUP(T14,Database!$A$2:$M$188,9,FALSE),"-")</f>
        <v>-</v>
      </c>
      <c r="X14" s="203" t="str">
        <f>IFERROR(VLOOKUP(T14,Database!$A$2:$T$188,19,FALSE),"-")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IFERROR(VLOOKUP(Y14,Database!$A$2:$M$188,8,FALSE),"-")</f>
        <v>-</v>
      </c>
      <c r="AA14" s="77" t="str">
        <f>IFERROR(VLOOKUP(Y14,Database!$A$2:$M$188,6,FALSE),"-")</f>
        <v>-</v>
      </c>
      <c r="AB14" s="90" t="str">
        <f>IFERROR(VLOOKUP(Y14,Database!$A$2:$M$188,9,FALSE),"-")</f>
        <v>-</v>
      </c>
      <c r="AC14" s="8" t="str">
        <f>IFERROR(VLOOKUP(Y14,Database!$A$2:$T$188,19,FALSE),"-")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IFERROR(VLOOKUP(E15,Database!$A$2:$M$188,8,FALSE),"-")</f>
        <v>-</v>
      </c>
      <c r="G15" s="76" t="str">
        <f>IFERROR(VLOOKUP(E15,Database!$A$2:$M$188,6,FALSE),"-")</f>
        <v>-</v>
      </c>
      <c r="H15" s="91" t="str">
        <f>IFERROR(VLOOKUP(E15,Database!$A$2:$M$188,9,FALSE),"-")</f>
        <v>-</v>
      </c>
      <c r="I15" s="109" t="str">
        <f>IFERROR(VLOOKUP(E15,Database!$A$2:$T$188,19,FALSE),"-")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IFERROR(VLOOKUP(J15,Database!$A$2:$M$188,8,FALSE),"-")</f>
        <v>-</v>
      </c>
      <c r="L15" s="76" t="str">
        <f>IFERROR(VLOOKUP(J15,Database!$A$2:$M$188,6,FALSE),"-")</f>
        <v>-</v>
      </c>
      <c r="M15" s="91" t="str">
        <f>IFERROR(VLOOKUP(J15,Database!$A$2:$M$188,9,FALSE),"-")</f>
        <v>-</v>
      </c>
      <c r="N15" s="203" t="str">
        <f>IFERROR(VLOOKUP(J15,Database!$A$2:$T$188,19,FALSE),"-")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IFERROR(VLOOKUP(O15,Database!$A$2:$M$188,8,FALSE),"-")</f>
        <v>-</v>
      </c>
      <c r="Q15" s="76" t="str">
        <f>IFERROR(VLOOKUP(O15,Database!$A$2:$M$188,6,FALSE),"-")</f>
        <v>-</v>
      </c>
      <c r="R15" s="80" t="str">
        <f>IFERROR(VLOOKUP(O15,Database!$A$2:$M$188,9,FALSE),"-")</f>
        <v>-</v>
      </c>
      <c r="S15" s="203" t="str">
        <f>IFERROR(VLOOKUP(O15,Database!$A$2:$T$188,19,FALSE),"-")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IFERROR(VLOOKUP(T15,Database!$A$2:$M$188,8,FALSE),"-")</f>
        <v>-</v>
      </c>
      <c r="V15" s="76" t="str">
        <f>IFERROR(VLOOKUP(T15,Database!$A$2:$M$188,6,FALSE),"-")</f>
        <v>-</v>
      </c>
      <c r="W15" s="80" t="str">
        <f>IFERROR(VLOOKUP(T15,Database!$A$2:$M$188,9,FALSE),"-")</f>
        <v>-</v>
      </c>
      <c r="X15" s="203" t="str">
        <f>IFERROR(VLOOKUP(T15,Database!$A$2:$T$188,19,FALSE),"-")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IFERROR(VLOOKUP(Y15,Database!$A$2:$M$188,8,FALSE),"-")</f>
        <v>-</v>
      </c>
      <c r="AA15" s="77" t="str">
        <f>IFERROR(VLOOKUP(Y15,Database!$A$2:$M$188,6,FALSE),"-")</f>
        <v>-</v>
      </c>
      <c r="AB15" s="90" t="str">
        <f>IFERROR(VLOOKUP(Y15,Database!$A$2:$M$188,9,FALSE),"-")</f>
        <v>-</v>
      </c>
      <c r="AC15" s="8" t="str">
        <f>IFERROR(VLOOKUP(Y15,Database!$A$2:$T$188,19,FALSE),"-")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IFERROR(VLOOKUP(E16,Database!$A$2:$M$188,8,FALSE),"-")</f>
        <v>-</v>
      </c>
      <c r="G16" s="76" t="str">
        <f>IFERROR(VLOOKUP(E16,Database!$A$2:$M$188,6,FALSE),"-")</f>
        <v>-</v>
      </c>
      <c r="H16" s="91" t="str">
        <f>IFERROR(VLOOKUP(E16,Database!$A$2:$M$188,9,FALSE),"-")</f>
        <v>-</v>
      </c>
      <c r="I16" s="109" t="str">
        <f>IFERROR(VLOOKUP(E16,Database!$A$2:$T$188,19,FALSE),"-")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IFERROR(VLOOKUP(J16,Database!$A$2:$M$188,8,FALSE),"-")</f>
        <v>-</v>
      </c>
      <c r="L16" s="76" t="str">
        <f>IFERROR(VLOOKUP(J16,Database!$A$2:$M$188,6,FALSE),"-")</f>
        <v>-</v>
      </c>
      <c r="M16" s="91" t="str">
        <f>IFERROR(VLOOKUP(J16,Database!$A$2:$M$188,9,FALSE),"-")</f>
        <v>-</v>
      </c>
      <c r="N16" s="203" t="str">
        <f>IFERROR(VLOOKUP(J16,Database!$A$2:$T$188,19,FALSE),"-")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IFERROR(VLOOKUP(O16,Database!$A$2:$M$188,8,FALSE),"-")</f>
        <v>-</v>
      </c>
      <c r="Q16" s="76" t="str">
        <f>IFERROR(VLOOKUP(O16,Database!$A$2:$M$188,6,FALSE),"-")</f>
        <v>-</v>
      </c>
      <c r="R16" s="80" t="str">
        <f>IFERROR(VLOOKUP(O16,Database!$A$2:$M$188,9,FALSE),"-")</f>
        <v>-</v>
      </c>
      <c r="S16" s="203" t="str">
        <f>IFERROR(VLOOKUP(O16,Database!$A$2:$T$188,19,FALSE),"-")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IFERROR(VLOOKUP(T16,Database!$A$2:$M$188,8,FALSE),"-")</f>
        <v>-</v>
      </c>
      <c r="V16" s="76" t="str">
        <f>IFERROR(VLOOKUP(T16,Database!$A$2:$M$188,6,FALSE),"-")</f>
        <v>-</v>
      </c>
      <c r="W16" s="80" t="str">
        <f>IFERROR(VLOOKUP(T16,Database!$A$2:$M$188,9,FALSE),"-")</f>
        <v>-</v>
      </c>
      <c r="X16" s="203" t="str">
        <f>IFERROR(VLOOKUP(T16,Database!$A$2:$T$188,19,FALSE),"-")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IFERROR(VLOOKUP(Y16,Database!$A$2:$M$188,8,FALSE),"-")</f>
        <v>web</v>
      </c>
      <c r="AA16" s="77">
        <f>IFERROR(VLOOKUP(Y16,Database!$A$2:$M$188,6,FALSE),"-")</f>
        <v>46048</v>
      </c>
      <c r="AB16" s="90" t="str">
        <f>IFERROR(VLOOKUP(Y16,Database!$A$2:$M$188,9,FALSE),"-")</f>
        <v>1500</v>
      </c>
      <c r="AC16" s="8">
        <f>IFERROR(VLOOKUP(Y16,Database!$A$2:$T$188,19,FALSE),"-")</f>
        <v>1805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IFERROR(VLOOKUP(E17,Database!$A$2:$M$188,8,FALSE),"-")</f>
        <v>-</v>
      </c>
      <c r="G17" s="76" t="str">
        <f>IFERROR(VLOOKUP(E17,Database!$A$2:$M$188,6,FALSE),"-")</f>
        <v>-</v>
      </c>
      <c r="H17" s="91" t="str">
        <f>IFERROR(VLOOKUP(E17,Database!$A$2:$M$188,9,FALSE),"-")</f>
        <v>-</v>
      </c>
      <c r="I17" s="109" t="str">
        <f>IFERROR(VLOOKUP(E17,Database!$A$2:$T$188,19,FALSE),"-")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IFERROR(VLOOKUP(J17,Database!$A$2:$M$188,8,FALSE),"-")</f>
        <v>-</v>
      </c>
      <c r="L17" s="76" t="str">
        <f>IFERROR(VLOOKUP(J17,Database!$A$2:$M$188,6,FALSE),"-")</f>
        <v>-</v>
      </c>
      <c r="M17" s="91" t="str">
        <f>IFERROR(VLOOKUP(J17,Database!$A$2:$M$188,9,FALSE),"-")</f>
        <v>-</v>
      </c>
      <c r="N17" s="203" t="str">
        <f>IFERROR(VLOOKUP(J17,Database!$A$2:$T$188,19,FALSE),"-")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IFERROR(VLOOKUP(O17,Database!$A$2:$M$188,8,FALSE),"-")</f>
        <v>-</v>
      </c>
      <c r="Q17" s="76" t="str">
        <f>IFERROR(VLOOKUP(O17,Database!$A$2:$M$188,6,FALSE),"-")</f>
        <v>-</v>
      </c>
      <c r="R17" s="80" t="str">
        <f>IFERROR(VLOOKUP(O17,Database!$A$2:$M$188,9,FALSE),"-")</f>
        <v>-</v>
      </c>
      <c r="S17" s="203" t="str">
        <f>IFERROR(VLOOKUP(O17,Database!$A$2:$T$188,19,FALSE),"-")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IFERROR(VLOOKUP(T17,Database!$A$2:$M$188,8,FALSE),"-")</f>
        <v>-</v>
      </c>
      <c r="V17" s="76" t="str">
        <f>IFERROR(VLOOKUP(T17,Database!$A$2:$M$188,6,FALSE),"-")</f>
        <v>-</v>
      </c>
      <c r="W17" s="80" t="str">
        <f>IFERROR(VLOOKUP(T17,Database!$A$2:$M$188,9,FALSE),"-")</f>
        <v>-</v>
      </c>
      <c r="X17" s="203" t="str">
        <f>IFERROR(VLOOKUP(T17,Database!$A$2:$T$188,19,FALSE),"-")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IFERROR(VLOOKUP(Y17,Database!$A$2:$M$188,8,FALSE),"-")</f>
        <v>-</v>
      </c>
      <c r="AA17" s="77" t="str">
        <f>IFERROR(VLOOKUP(Y17,Database!$A$2:$M$188,6,FALSE),"-")</f>
        <v>-</v>
      </c>
      <c r="AB17" s="90" t="str">
        <f>IFERROR(VLOOKUP(Y17,Database!$A$2:$M$188,9,FALSE),"-")</f>
        <v>-</v>
      </c>
      <c r="AC17" s="8" t="str">
        <f>IFERROR(VLOOKUP(Y17,Database!$A$2:$T$188,19,FALSE),"-")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IFERROR(VLOOKUP(E18,Database!$A$2:$M$188,8,FALSE),"-")</f>
        <v>bc</v>
      </c>
      <c r="G18" s="76">
        <f>IFERROR(VLOOKUP(E18,Database!$A$2:$M$188,6,FALSE),"-")</f>
        <v>46041</v>
      </c>
      <c r="H18" s="91" t="str">
        <f>IFERROR(VLOOKUP(E18,Database!$A$2:$M$188,9,FALSE),"-")</f>
        <v>1400</v>
      </c>
      <c r="I18" s="109">
        <f>IFERROR(VLOOKUP(E18,Database!$A$2:$T$188,19,FALSE),"-")</f>
        <v>2850</v>
      </c>
      <c r="J18" s="94" t="str">
        <f>IF(AND(D18="Y",booking!H18&lt;&gt;booking!I18,booking!I18&gt;0),booking!I18,"-")</f>
        <v>-</v>
      </c>
      <c r="K18" s="76" t="str">
        <f>IFERROR(VLOOKUP(J18,Database!$A$2:$M$188,8,FALSE),"-")</f>
        <v>-</v>
      </c>
      <c r="L18" s="76" t="str">
        <f>IFERROR(VLOOKUP(J18,Database!$A$2:$M$188,6,FALSE),"-")</f>
        <v>-</v>
      </c>
      <c r="M18" s="91" t="str">
        <f>IFERROR(VLOOKUP(J18,Database!$A$2:$M$188,9,FALSE),"-")</f>
        <v>-</v>
      </c>
      <c r="N18" s="203" t="str">
        <f>IFERROR(VLOOKUP(J18,Database!$A$2:$T$188,19,FALSE),"-")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IFERROR(VLOOKUP(O18,Database!$A$2:$M$188,8,FALSE),"-")</f>
        <v>-</v>
      </c>
      <c r="Q18" s="76" t="str">
        <f>IFERROR(VLOOKUP(O18,Database!$A$2:$M$188,6,FALSE),"-")</f>
        <v>-</v>
      </c>
      <c r="R18" s="80" t="str">
        <f>IFERROR(VLOOKUP(O18,Database!$A$2:$M$188,9,FALSE),"-")</f>
        <v>-</v>
      </c>
      <c r="S18" s="203" t="str">
        <f>IFERROR(VLOOKUP(O18,Database!$A$2:$T$188,19,FALSE),"-")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IFERROR(VLOOKUP(T18,Database!$A$2:$M$188,8,FALSE),"-")</f>
        <v>-</v>
      </c>
      <c r="V18" s="76" t="str">
        <f>IFERROR(VLOOKUP(T18,Database!$A$2:$M$188,6,FALSE),"-")</f>
        <v>-</v>
      </c>
      <c r="W18" s="80" t="str">
        <f>IFERROR(VLOOKUP(T18,Database!$A$2:$M$188,9,FALSE),"-")</f>
        <v>-</v>
      </c>
      <c r="X18" s="203" t="str">
        <f>IFERROR(VLOOKUP(T18,Database!$A$2:$T$188,19,FALSE),"-")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IFERROR(VLOOKUP(Y18,Database!$A$2:$M$188,8,FALSE),"-")</f>
        <v>-</v>
      </c>
      <c r="AA18" s="77" t="str">
        <f>IFERROR(VLOOKUP(Y18,Database!$A$2:$M$188,6,FALSE),"-")</f>
        <v>-</v>
      </c>
      <c r="AB18" s="90" t="str">
        <f>IFERROR(VLOOKUP(Y18,Database!$A$2:$M$188,9,FALSE),"-")</f>
        <v>-</v>
      </c>
      <c r="AC18" s="8" t="str">
        <f>IFERROR(VLOOKUP(Y18,Database!$A$2:$T$188,19,FALSE),"-")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IFERROR(VLOOKUP(E19,Database!$A$2:$M$188,8,FALSE),"-")</f>
        <v>-</v>
      </c>
      <c r="G19" s="76" t="str">
        <f>IFERROR(VLOOKUP(E19,Database!$A$2:$M$188,6,FALSE),"-")</f>
        <v>-</v>
      </c>
      <c r="H19" s="91" t="str">
        <f>IFERROR(VLOOKUP(E19,Database!$A$2:$M$188,9,FALSE),"-")</f>
        <v>-</v>
      </c>
      <c r="I19" s="109" t="str">
        <f>IFERROR(VLOOKUP(E19,Database!$A$2:$T$188,19,FALSE),"-")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IFERROR(VLOOKUP(J19,Database!$A$2:$M$188,8,FALSE),"-")</f>
        <v>bc</v>
      </c>
      <c r="L19" s="76">
        <f>IFERROR(VLOOKUP(J19,Database!$A$2:$M$188,6,FALSE),"-")</f>
        <v>46091</v>
      </c>
      <c r="M19" s="91" t="str">
        <f>IFERROR(VLOOKUP(J19,Database!$A$2:$M$188,9,FALSE),"-")</f>
        <v>1630</v>
      </c>
      <c r="N19" s="203">
        <f>IFERROR(VLOOKUP(J19,Database!$A$2:$T$188,19,FALSE),"-")</f>
        <v>2850</v>
      </c>
      <c r="O19" s="94">
        <f>IF(AND(D19="Y",booking!L19&lt;&gt;booking!M19,booking!M19&gt;0),booking!M19,"-")</f>
        <v>95</v>
      </c>
      <c r="P19" s="76" t="str">
        <f>IFERROR(VLOOKUP(O19,Database!$A$2:$M$188,8,FALSE),"-")</f>
        <v>bc</v>
      </c>
      <c r="Q19" s="76">
        <f>IFERROR(VLOOKUP(O19,Database!$A$2:$M$188,6,FALSE),"-")</f>
        <v>46098</v>
      </c>
      <c r="R19" s="80">
        <f>IFERROR(VLOOKUP(O19,Database!$A$2:$M$188,9,FALSE),"-")</f>
        <v>0</v>
      </c>
      <c r="S19" s="203">
        <f>IFERROR(VLOOKUP(O19,Database!$A$2:$T$188,19,FALSE),"-")</f>
        <v>3450</v>
      </c>
      <c r="T19" s="95">
        <f>IF(AND(D19="Y",booking!P19&lt;&gt;booking!Q19,booking!Q19&gt;0),booking!Q19,"-")</f>
        <v>97</v>
      </c>
      <c r="U19" s="76" t="str">
        <f>IFERROR(VLOOKUP(T19,Database!$A$2:$M$188,8,FALSE),"-")</f>
        <v>bc</v>
      </c>
      <c r="V19" s="76">
        <f>IFERROR(VLOOKUP(T19,Database!$A$2:$M$188,6,FALSE),"-")</f>
        <v>46102</v>
      </c>
      <c r="W19" s="80">
        <f>IFERROR(VLOOKUP(T19,Database!$A$2:$M$188,9,FALSE),"-")</f>
        <v>1300</v>
      </c>
      <c r="X19" s="203">
        <f>IFERROR(VLOOKUP(T19,Database!$A$2:$T$188,19,FALSE),"-")</f>
        <v>2850</v>
      </c>
      <c r="Y19" s="94" t="str">
        <f>IF(AND(D19="Y",booking!T19&lt;&gt;booking!U19,booking!U19&gt;0),booking!U19,"-")</f>
        <v>-</v>
      </c>
      <c r="Z19" s="77" t="str">
        <f>IFERROR(VLOOKUP(Y19,Database!$A$2:$M$188,8,FALSE),"-")</f>
        <v>-</v>
      </c>
      <c r="AA19" s="77" t="str">
        <f>IFERROR(VLOOKUP(Y19,Database!$A$2:$M$188,6,FALSE),"-")</f>
        <v>-</v>
      </c>
      <c r="AB19" s="90" t="str">
        <f>IFERROR(VLOOKUP(Y19,Database!$A$2:$M$188,9,FALSE),"-")</f>
        <v>-</v>
      </c>
      <c r="AC19" s="8" t="str">
        <f>IFERROR(VLOOKUP(Y19,Database!$A$2:$T$188,19,FALSE),"-")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IFERROR(VLOOKUP(E20,Database!$A$2:$M$188,8,FALSE),"-")</f>
        <v>-</v>
      </c>
      <c r="G20" s="76" t="str">
        <f>IFERROR(VLOOKUP(E20,Database!$A$2:$M$188,6,FALSE),"-")</f>
        <v>-</v>
      </c>
      <c r="H20" s="91" t="str">
        <f>IFERROR(VLOOKUP(E20,Database!$A$2:$M$188,9,FALSE),"-")</f>
        <v>-</v>
      </c>
      <c r="I20" s="109" t="str">
        <f>IFERROR(VLOOKUP(E20,Database!$A$2:$T$188,19,FALSE),"-")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IFERROR(VLOOKUP(J20,Database!$A$2:$M$188,8,FALSE),"-")</f>
        <v>-</v>
      </c>
      <c r="L20" s="76" t="str">
        <f>IFERROR(VLOOKUP(J20,Database!$A$2:$M$188,6,FALSE),"-")</f>
        <v>-</v>
      </c>
      <c r="M20" s="91" t="str">
        <f>IFERROR(VLOOKUP(J20,Database!$A$2:$M$188,9,FALSE),"-")</f>
        <v>-</v>
      </c>
      <c r="N20" s="203" t="str">
        <f>IFERROR(VLOOKUP(J20,Database!$A$2:$T$188,19,FALSE),"-")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IFERROR(VLOOKUP(O20,Database!$A$2:$M$188,8,FALSE),"-")</f>
        <v>-</v>
      </c>
      <c r="Q20" s="76" t="str">
        <f>IFERROR(VLOOKUP(O20,Database!$A$2:$M$188,6,FALSE),"-")</f>
        <v>-</v>
      </c>
      <c r="R20" s="80" t="str">
        <f>IFERROR(VLOOKUP(O20,Database!$A$2:$M$188,9,FALSE),"-")</f>
        <v>-</v>
      </c>
      <c r="S20" s="203" t="str">
        <f>IFERROR(VLOOKUP(O20,Database!$A$2:$T$188,19,FALSE),"-")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IFERROR(VLOOKUP(T20,Database!$A$2:$M$188,8,FALSE),"-")</f>
        <v>-</v>
      </c>
      <c r="V20" s="76" t="str">
        <f>IFERROR(VLOOKUP(T20,Database!$A$2:$M$188,6,FALSE),"-")</f>
        <v>-</v>
      </c>
      <c r="W20" s="80" t="str">
        <f>IFERROR(VLOOKUP(T20,Database!$A$2:$M$188,9,FALSE),"-")</f>
        <v>-</v>
      </c>
      <c r="X20" s="203" t="str">
        <f>IFERROR(VLOOKUP(T20,Database!$A$2:$T$188,19,FALSE),"-")</f>
        <v>-</v>
      </c>
      <c r="Y20" s="94">
        <f>IF(AND(D20="Y",booking!T20&lt;&gt;booking!U20,booking!U20&gt;0),booking!U20,"-")</f>
        <v>91</v>
      </c>
      <c r="Z20" s="77" t="str">
        <f>IFERROR(VLOOKUP(Y20,Database!$A$2:$M$188,8,FALSE),"-")</f>
        <v>web</v>
      </c>
      <c r="AA20" s="77">
        <f>IFERROR(VLOOKUP(Y20,Database!$A$2:$M$188,6,FALSE),"-")</f>
        <v>46095</v>
      </c>
      <c r="AB20" s="90">
        <f>IFERROR(VLOOKUP(Y20,Database!$A$2:$M$188,9,FALSE),"-")</f>
        <v>0</v>
      </c>
      <c r="AC20" s="8">
        <f>IFERROR(VLOOKUP(Y20,Database!$A$2:$T$188,19,FALSE),"-")</f>
        <v>2185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 t="str">
        <f>IFERROR(VLOOKUP(E21,Database!$A$2:$M$188,8,FALSE),"-")</f>
        <v>web</v>
      </c>
      <c r="G21" s="76">
        <f>IFERROR(VLOOKUP(E21,Database!$A$2:$M$188,6,FALSE),"-")</f>
        <v>45953</v>
      </c>
      <c r="H21" s="91">
        <f>IFERROR(VLOOKUP(E21,Database!$A$2:$M$188,9,FALSE),"-")</f>
        <v>0</v>
      </c>
      <c r="I21" s="109">
        <f>IFERROR(VLOOKUP(E21,Database!$A$2:$T$188,19,FALSE),"-")</f>
        <v>4275</v>
      </c>
      <c r="J21" s="94" t="str">
        <f>IF(AND(D21="Y",booking!H21&lt;&gt;booking!I21,booking!I21&gt;0),booking!I21,"-")</f>
        <v>-</v>
      </c>
      <c r="K21" s="76" t="str">
        <f>IFERROR(VLOOKUP(J21,Database!$A$2:$M$188,8,FALSE),"-")</f>
        <v>-</v>
      </c>
      <c r="L21" s="76" t="str">
        <f>IFERROR(VLOOKUP(J21,Database!$A$2:$M$188,6,FALSE),"-")</f>
        <v>-</v>
      </c>
      <c r="M21" s="91" t="str">
        <f>IFERROR(VLOOKUP(J21,Database!$A$2:$M$188,9,FALSE),"-")</f>
        <v>-</v>
      </c>
      <c r="N21" s="203" t="str">
        <f>IFERROR(VLOOKUP(J21,Database!$A$2:$T$188,19,FALSE),"-")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IFERROR(VLOOKUP(O21,Database!$A$2:$M$188,8,FALSE),"-")</f>
        <v>-</v>
      </c>
      <c r="Q21" s="76" t="str">
        <f>IFERROR(VLOOKUP(O21,Database!$A$2:$M$188,6,FALSE),"-")</f>
        <v>-</v>
      </c>
      <c r="R21" s="80" t="str">
        <f>IFERROR(VLOOKUP(O21,Database!$A$2:$M$188,9,FALSE),"-")</f>
        <v>-</v>
      </c>
      <c r="S21" s="203" t="str">
        <f>IFERROR(VLOOKUP(O21,Database!$A$2:$T$188,19,FALSE),"-")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IFERROR(VLOOKUP(T21,Database!$A$2:$M$188,8,FALSE),"-")</f>
        <v>-</v>
      </c>
      <c r="V21" s="76" t="str">
        <f>IFERROR(VLOOKUP(T21,Database!$A$2:$M$188,6,FALSE),"-")</f>
        <v>-</v>
      </c>
      <c r="W21" s="80" t="str">
        <f>IFERROR(VLOOKUP(T21,Database!$A$2:$M$188,9,FALSE),"-")</f>
        <v>-</v>
      </c>
      <c r="X21" s="203" t="str">
        <f>IFERROR(VLOOKUP(T21,Database!$A$2:$T$188,19,FALSE),"-")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IFERROR(VLOOKUP(Y21,Database!$A$2:$M$188,8,FALSE),"-")</f>
        <v>-</v>
      </c>
      <c r="AA21" s="77" t="str">
        <f>IFERROR(VLOOKUP(Y21,Database!$A$2:$M$188,6,FALSE),"-")</f>
        <v>-</v>
      </c>
      <c r="AB21" s="90" t="str">
        <f>IFERROR(VLOOKUP(Y21,Database!$A$2:$M$188,9,FALSE),"-")</f>
        <v>-</v>
      </c>
      <c r="AC21" s="8" t="str">
        <f>IFERROR(VLOOKUP(Y21,Database!$A$2:$T$188,19,FALSE),"-")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IFERROR(VLOOKUP(E22,Database!$A$2:$M$188,8,FALSE),"-")</f>
        <v>-</v>
      </c>
      <c r="G22" s="76" t="str">
        <f>IFERROR(VLOOKUP(E22,Database!$A$2:$M$188,6,FALSE),"-")</f>
        <v>-</v>
      </c>
      <c r="H22" s="91" t="str">
        <f>IFERROR(VLOOKUP(E22,Database!$A$2:$M$188,9,FALSE),"-")</f>
        <v>-</v>
      </c>
      <c r="I22" s="109" t="str">
        <f>IFERROR(VLOOKUP(E22,Database!$A$2:$T$188,19,FALSE),"-")</f>
        <v>-</v>
      </c>
      <c r="J22" s="94">
        <f>IF(AND(D22="Y",booking!H22&lt;&gt;booking!I22,booking!I22&gt;0),booking!I22,"-")</f>
        <v>108</v>
      </c>
      <c r="K22" s="76" t="str">
        <f>IFERROR(VLOOKUP(J22,Database!$A$2:$M$188,8,FALSE),"-")</f>
        <v>web</v>
      </c>
      <c r="L22" s="76">
        <f>IFERROR(VLOOKUP(J22,Database!$A$2:$M$188,6,FALSE),"-")</f>
        <v>46118</v>
      </c>
      <c r="M22" s="91">
        <f>IFERROR(VLOOKUP(J22,Database!$A$2:$M$188,9,FALSE),"-")</f>
        <v>0</v>
      </c>
      <c r="N22" s="203">
        <f>IFERROR(VLOOKUP(J22,Database!$A$2:$T$188,19,FALSE),"-")</f>
        <v>4370</v>
      </c>
      <c r="O22" s="94" t="str">
        <f>IF(AND(D22="Y",booking!L22&lt;&gt;booking!M22,booking!M22&gt;0),booking!M22,"-")</f>
        <v>-</v>
      </c>
      <c r="P22" s="76" t="str">
        <f>IFERROR(VLOOKUP(O22,Database!$A$2:$M$188,8,FALSE),"-")</f>
        <v>-</v>
      </c>
      <c r="Q22" s="76" t="str">
        <f>IFERROR(VLOOKUP(O22,Database!$A$2:$M$188,6,FALSE),"-")</f>
        <v>-</v>
      </c>
      <c r="R22" s="80" t="str">
        <f>IFERROR(VLOOKUP(O22,Database!$A$2:$M$188,9,FALSE),"-")</f>
        <v>-</v>
      </c>
      <c r="S22" s="203" t="str">
        <f>IFERROR(VLOOKUP(O22,Database!$A$2:$T$188,19,FALSE),"-")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IFERROR(VLOOKUP(T22,Database!$A$2:$M$188,8,FALSE),"-")</f>
        <v>bc</v>
      </c>
      <c r="V22" s="76">
        <f>IFERROR(VLOOKUP(T22,Database!$A$2:$M$188,6,FALSE),"-")</f>
        <v>46099</v>
      </c>
      <c r="W22" s="80" t="str">
        <f>IFERROR(VLOOKUP(T22,Database!$A$2:$M$188,9,FALSE),"-")</f>
        <v>1700</v>
      </c>
      <c r="X22" s="203">
        <f>IFERROR(VLOOKUP(T22,Database!$A$2:$T$188,19,FALSE),"-")</f>
        <v>4600</v>
      </c>
      <c r="Y22" s="94">
        <f>IF(AND(D22="Y",booking!T22&lt;&gt;booking!U22,booking!U22&gt;0),booking!U22,"-")</f>
        <v>9</v>
      </c>
      <c r="Z22" s="77" t="str">
        <f>IFERROR(VLOOKUP(Y22,Database!$A$2:$M$188,8,FALSE),"-")</f>
        <v>web</v>
      </c>
      <c r="AA22" s="77">
        <f>IFERROR(VLOOKUP(Y22,Database!$A$2:$M$188,6,FALSE),"-")</f>
        <v>45954</v>
      </c>
      <c r="AB22" s="90">
        <f>IFERROR(VLOOKUP(Y22,Database!$A$2:$M$188,9,FALSE),"-")</f>
        <v>1430</v>
      </c>
      <c r="AC22" s="8">
        <f>IFERROR(VLOOKUP(Y22,Database!$A$2:$T$188,19,FALSE),"-")</f>
        <v>7245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IFERROR(VLOOKUP(E23,Database!$A$2:$M$188,8,FALSE),"-")</f>
        <v>-</v>
      </c>
      <c r="G23" s="76" t="str">
        <f>IFERROR(VLOOKUP(E23,Database!$A$2:$M$188,6,FALSE),"-")</f>
        <v>-</v>
      </c>
      <c r="H23" s="91" t="str">
        <f>IFERROR(VLOOKUP(E23,Database!$A$2:$M$188,9,FALSE),"-")</f>
        <v>-</v>
      </c>
      <c r="I23" s="109" t="str">
        <f>IFERROR(VLOOKUP(E23,Database!$A$2:$T$188,19,FALSE),"-")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IFERROR(VLOOKUP(J23,Database!$A$2:$M$188,8,FALSE),"-")</f>
        <v>-</v>
      </c>
      <c r="L23" s="76" t="str">
        <f>IFERROR(VLOOKUP(J23,Database!$A$2:$M$188,6,FALSE),"-")</f>
        <v>-</v>
      </c>
      <c r="M23" s="91" t="str">
        <f>IFERROR(VLOOKUP(J23,Database!$A$2:$M$188,9,FALSE),"-")</f>
        <v>-</v>
      </c>
      <c r="N23" s="203" t="str">
        <f>IFERROR(VLOOKUP(J23,Database!$A$2:$T$188,19,FALSE),"-")</f>
        <v>-</v>
      </c>
      <c r="O23" s="94">
        <f>IF(AND(D23="Y",booking!L23&lt;&gt;booking!M23,booking!M23&gt;0),booking!M23,"-")</f>
        <v>107</v>
      </c>
      <c r="P23" s="76" t="str">
        <f>IFERROR(VLOOKUP(O23,Database!$A$2:$M$188,8,FALSE),"-")</f>
        <v>web</v>
      </c>
      <c r="Q23" s="76">
        <f>IFERROR(VLOOKUP(O23,Database!$A$2:$M$188,6,FALSE),"-")</f>
        <v>46109</v>
      </c>
      <c r="R23" s="80">
        <f>IFERROR(VLOOKUP(O23,Database!$A$2:$M$188,9,FALSE),"-")</f>
        <v>1500</v>
      </c>
      <c r="S23" s="203">
        <f>IFERROR(VLOOKUP(O23,Database!$A$2:$T$188,19,FALSE),"-")</f>
        <v>4370</v>
      </c>
      <c r="T23" s="95" t="str">
        <f>IF(AND(D23="Y",booking!P23&lt;&gt;booking!Q23,booking!Q23&gt;0),booking!Q23,"-")</f>
        <v>-</v>
      </c>
      <c r="U23" s="76" t="str">
        <f>IFERROR(VLOOKUP(T23,Database!$A$2:$M$188,8,FALSE),"-")</f>
        <v>-</v>
      </c>
      <c r="V23" s="76" t="str">
        <f>IFERROR(VLOOKUP(T23,Database!$A$2:$M$188,6,FALSE),"-")</f>
        <v>-</v>
      </c>
      <c r="W23" s="80" t="str">
        <f>IFERROR(VLOOKUP(T23,Database!$A$2:$M$188,9,FALSE),"-")</f>
        <v>-</v>
      </c>
      <c r="X23" s="203" t="str">
        <f>IFERROR(VLOOKUP(T23,Database!$A$2:$T$188,19,FALSE),"-")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IFERROR(VLOOKUP(Y23,Database!$A$2:$M$188,8,FALSE),"-")</f>
        <v>-</v>
      </c>
      <c r="AA23" s="77" t="str">
        <f>IFERROR(VLOOKUP(Y23,Database!$A$2:$M$188,6,FALSE),"-")</f>
        <v>-</v>
      </c>
      <c r="AB23" s="90" t="str">
        <f>IFERROR(VLOOKUP(Y23,Database!$A$2:$M$188,9,FALSE),"-")</f>
        <v>-</v>
      </c>
      <c r="AC23" s="8" t="str">
        <f>IFERROR(VLOOKUP(Y23,Database!$A$2:$T$188,19,FALSE),"-")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IFERROR(VLOOKUP(E24,Database!$A$2:$M$188,8,FALSE),"-")</f>
        <v>-</v>
      </c>
      <c r="G24" s="76" t="str">
        <f>IFERROR(VLOOKUP(E24,Database!$A$2:$M$188,6,FALSE),"-")</f>
        <v>-</v>
      </c>
      <c r="H24" s="91" t="str">
        <f>IFERROR(VLOOKUP(E24,Database!$A$2:$M$188,9,FALSE),"-")</f>
        <v>-</v>
      </c>
      <c r="I24" s="109" t="str">
        <f>IFERROR(VLOOKUP(E24,Database!$A$2:$T$188,19,FALSE),"-")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IFERROR(VLOOKUP(J24,Database!$A$2:$M$188,8,FALSE),"-")</f>
        <v>-</v>
      </c>
      <c r="L24" s="76" t="str">
        <f>IFERROR(VLOOKUP(J24,Database!$A$2:$M$188,6,FALSE),"-")</f>
        <v>-</v>
      </c>
      <c r="M24" s="91" t="str">
        <f>IFERROR(VLOOKUP(J24,Database!$A$2:$M$188,9,FALSE),"-")</f>
        <v>-</v>
      </c>
      <c r="N24" s="203" t="str">
        <f>IFERROR(VLOOKUP(J24,Database!$A$2:$T$188,19,FALSE),"-")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IFERROR(VLOOKUP(O24,Database!$A$2:$M$188,8,FALSE),"-")</f>
        <v>-</v>
      </c>
      <c r="Q24" s="76" t="str">
        <f>IFERROR(VLOOKUP(O24,Database!$A$2:$M$188,6,FALSE),"-")</f>
        <v>-</v>
      </c>
      <c r="R24" s="80" t="str">
        <f>IFERROR(VLOOKUP(O24,Database!$A$2:$M$188,9,FALSE),"-")</f>
        <v>-</v>
      </c>
      <c r="S24" s="203" t="str">
        <f>IFERROR(VLOOKUP(O24,Database!$A$2:$T$188,19,FALSE),"-")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IFERROR(VLOOKUP(T24,Database!$A$2:$M$188,8,FALSE),"-")</f>
        <v>-</v>
      </c>
      <c r="V24" s="76" t="str">
        <f>IFERROR(VLOOKUP(T24,Database!$A$2:$M$188,6,FALSE),"-")</f>
        <v>-</v>
      </c>
      <c r="W24" s="80" t="str">
        <f>IFERROR(VLOOKUP(T24,Database!$A$2:$M$188,9,FALSE),"-")</f>
        <v>-</v>
      </c>
      <c r="X24" s="203" t="str">
        <f>IFERROR(VLOOKUP(T24,Database!$A$2:$T$188,19,FALSE),"-")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IFERROR(VLOOKUP(Y24,Database!$A$2:$M$188,8,FALSE),"-")</f>
        <v>-</v>
      </c>
      <c r="AA24" s="77" t="str">
        <f>IFERROR(VLOOKUP(Y24,Database!$A$2:$M$188,6,FALSE),"-")</f>
        <v>-</v>
      </c>
      <c r="AB24" s="90" t="str">
        <f>IFERROR(VLOOKUP(Y24,Database!$A$2:$M$188,9,FALSE),"-")</f>
        <v>-</v>
      </c>
      <c r="AC24" s="8" t="str">
        <f>IFERROR(VLOOKUP(Y24,Database!$A$2:$T$188,19,FALSE),"-")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IFERROR(VLOOKUP(E25,Database!$A$2:$M$188,8,FALSE),"-")</f>
        <v>-</v>
      </c>
      <c r="G25" s="76" t="str">
        <f>IFERROR(VLOOKUP(E25,Database!$A$2:$M$188,6,FALSE),"-")</f>
        <v>-</v>
      </c>
      <c r="H25" s="91" t="str">
        <f>IFERROR(VLOOKUP(E25,Database!$A$2:$M$188,9,FALSE),"-")</f>
        <v>-</v>
      </c>
      <c r="I25" s="109" t="str">
        <f>IFERROR(VLOOKUP(E25,Database!$A$2:$T$188,19,FALSE),"-")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IFERROR(VLOOKUP(J25,Database!$A$2:$M$188,8,FALSE),"-")</f>
        <v>-</v>
      </c>
      <c r="L25" s="76" t="str">
        <f>IFERROR(VLOOKUP(J25,Database!$A$2:$M$188,6,FALSE),"-")</f>
        <v>-</v>
      </c>
      <c r="M25" s="91" t="str">
        <f>IFERROR(VLOOKUP(J25,Database!$A$2:$M$188,9,FALSE),"-")</f>
        <v>-</v>
      </c>
      <c r="N25" s="203" t="str">
        <f>IFERROR(VLOOKUP(J25,Database!$A$2:$T$188,19,FALSE),"-")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IFERROR(VLOOKUP(O25,Database!$A$2:$M$188,8,FALSE),"-")</f>
        <v>-</v>
      </c>
      <c r="Q25" s="76" t="str">
        <f>IFERROR(VLOOKUP(O25,Database!$A$2:$M$188,6,FALSE),"-")</f>
        <v>-</v>
      </c>
      <c r="R25" s="80" t="str">
        <f>IFERROR(VLOOKUP(O25,Database!$A$2:$M$188,9,FALSE),"-")</f>
        <v>-</v>
      </c>
      <c r="S25" s="203" t="str">
        <f>IFERROR(VLOOKUP(O25,Database!$A$2:$T$188,19,FALSE),"-")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IFERROR(VLOOKUP(T25,Database!$A$2:$M$188,8,FALSE),"-")</f>
        <v>-</v>
      </c>
      <c r="V25" s="76" t="str">
        <f>IFERROR(VLOOKUP(T25,Database!$A$2:$M$188,6,FALSE),"-")</f>
        <v>-</v>
      </c>
      <c r="W25" s="80" t="str">
        <f>IFERROR(VLOOKUP(T25,Database!$A$2:$M$188,9,FALSE),"-")</f>
        <v>-</v>
      </c>
      <c r="X25" s="203" t="str">
        <f>IFERROR(VLOOKUP(T25,Database!$A$2:$T$188,19,FALSE),"-")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IFERROR(VLOOKUP(Y25,Database!$A$2:$M$188,8,FALSE),"-")</f>
        <v>-</v>
      </c>
      <c r="AA25" s="77" t="str">
        <f>IFERROR(VLOOKUP(Y25,Database!$A$2:$M$188,6,FALSE),"-")</f>
        <v>-</v>
      </c>
      <c r="AB25" s="90" t="str">
        <f>IFERROR(VLOOKUP(Y25,Database!$A$2:$M$188,9,FALSE),"-")</f>
        <v>-</v>
      </c>
      <c r="AC25" s="8" t="str">
        <f>IFERROR(VLOOKUP(Y25,Database!$A$2:$T$188,19,FALSE),"-")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 t="str">
        <f>IFERROR(VLOOKUP(E26,Database!$A$2:$M$188,8,FALSE),"-")</f>
        <v>web</v>
      </c>
      <c r="G26" s="76">
        <f>IFERROR(VLOOKUP(E26,Database!$A$2:$M$188,6,FALSE),"-")</f>
        <v>46008</v>
      </c>
      <c r="H26" s="91">
        <f>IFERROR(VLOOKUP(E26,Database!$A$2:$M$188,9,FALSE),"-")</f>
        <v>0</v>
      </c>
      <c r="I26" s="109">
        <f>IFERROR(VLOOKUP(E26,Database!$A$2:$T$188,19,FALSE),"-")</f>
        <v>12420</v>
      </c>
      <c r="J26" s="94">
        <f>IF(AND(D26="Y",booking!H26&lt;&gt;booking!I26,booking!I26&gt;0),booking!I26,"-")</f>
        <v>20</v>
      </c>
      <c r="K26" s="76" t="str">
        <f>IFERROR(VLOOKUP(J26,Database!$A$2:$M$188,8,FALSE),"-")</f>
        <v>web</v>
      </c>
      <c r="L26" s="76">
        <f>IFERROR(VLOOKUP(J26,Database!$A$2:$M$188,6,FALSE),"-")</f>
        <v>46008</v>
      </c>
      <c r="M26" s="91">
        <f>IFERROR(VLOOKUP(J26,Database!$A$2:$M$188,9,FALSE),"-")</f>
        <v>0</v>
      </c>
      <c r="N26" s="203">
        <f>IFERROR(VLOOKUP(J26,Database!$A$2:$T$188,19,FALSE),"-")</f>
        <v>12420</v>
      </c>
      <c r="O26" s="94" t="str">
        <f>IF(AND(D26="Y",booking!L26&lt;&gt;booking!M26,booking!M26&gt;0),booking!M26,"-")</f>
        <v>-</v>
      </c>
      <c r="P26" s="76" t="str">
        <f>IFERROR(VLOOKUP(O26,Database!$A$2:$M$188,8,FALSE),"-")</f>
        <v>-</v>
      </c>
      <c r="Q26" s="76" t="str">
        <f>IFERROR(VLOOKUP(O26,Database!$A$2:$M$188,6,FALSE),"-")</f>
        <v>-</v>
      </c>
      <c r="R26" s="80" t="str">
        <f>IFERROR(VLOOKUP(O26,Database!$A$2:$M$188,9,FALSE),"-")</f>
        <v>-</v>
      </c>
      <c r="S26" s="203" t="str">
        <f>IFERROR(VLOOKUP(O26,Database!$A$2:$T$188,19,FALSE),"-")</f>
        <v>-</v>
      </c>
      <c r="T26" s="95">
        <f>IF(AND(D26="Y",booking!P26&lt;&gt;booking!Q26,booking!Q26&gt;0),booking!Q26,"-")</f>
        <v>20</v>
      </c>
      <c r="U26" s="76" t="str">
        <f>IFERROR(VLOOKUP(T26,Database!$A$2:$M$188,8,FALSE),"-")</f>
        <v>web</v>
      </c>
      <c r="V26" s="76">
        <f>IFERROR(VLOOKUP(T26,Database!$A$2:$M$188,6,FALSE),"-")</f>
        <v>46008</v>
      </c>
      <c r="W26" s="80">
        <f>IFERROR(VLOOKUP(T26,Database!$A$2:$M$188,9,FALSE),"-")</f>
        <v>0</v>
      </c>
      <c r="X26" s="203">
        <f>IFERROR(VLOOKUP(T26,Database!$A$2:$T$188,19,FALSE),"-")</f>
        <v>12420</v>
      </c>
      <c r="Y26" s="94" t="str">
        <f>IF(AND(D26="Y",booking!T26&lt;&gt;booking!U26,booking!U26&gt;0),booking!U26,"-")</f>
        <v>-</v>
      </c>
      <c r="Z26" s="77" t="str">
        <f>IFERROR(VLOOKUP(Y26,Database!$A$2:$M$188,8,FALSE),"-")</f>
        <v>-</v>
      </c>
      <c r="AA26" s="77" t="str">
        <f>IFERROR(VLOOKUP(Y26,Database!$A$2:$M$188,6,FALSE),"-")</f>
        <v>-</v>
      </c>
      <c r="AB26" s="90" t="str">
        <f>IFERROR(VLOOKUP(Y26,Database!$A$2:$M$188,9,FALSE),"-")</f>
        <v>-</v>
      </c>
      <c r="AC26" s="8" t="str">
        <f>IFERROR(VLOOKUP(Y26,Database!$A$2:$T$188,19,FALSE),"-")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IFERROR(VLOOKUP(E27,Database!$A$2:$M$188,8,FALSE),"-")</f>
        <v>-</v>
      </c>
      <c r="G27" s="76" t="str">
        <f>IFERROR(VLOOKUP(E27,Database!$A$2:$M$188,6,FALSE),"-")</f>
        <v>-</v>
      </c>
      <c r="H27" s="91" t="str">
        <f>IFERROR(VLOOKUP(E27,Database!$A$2:$M$188,9,FALSE),"-")</f>
        <v>-</v>
      </c>
      <c r="I27" s="109" t="str">
        <f>IFERROR(VLOOKUP(E27,Database!$A$2:$T$188,19,FALSE),"-")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IFERROR(VLOOKUP(J27,Database!$A$2:$M$188,8,FALSE),"-")</f>
        <v>-</v>
      </c>
      <c r="L27" s="76" t="str">
        <f>IFERROR(VLOOKUP(J27,Database!$A$2:$M$188,6,FALSE),"-")</f>
        <v>-</v>
      </c>
      <c r="M27" s="91" t="str">
        <f>IFERROR(VLOOKUP(J27,Database!$A$2:$M$188,9,FALSE),"-")</f>
        <v>-</v>
      </c>
      <c r="N27" s="203" t="str">
        <f>IFERROR(VLOOKUP(J27,Database!$A$2:$T$188,19,FALSE),"-")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IFERROR(VLOOKUP(O27,Database!$A$2:$M$188,8,FALSE),"-")</f>
        <v>-</v>
      </c>
      <c r="Q27" s="76" t="str">
        <f>IFERROR(VLOOKUP(O27,Database!$A$2:$M$188,6,FALSE),"-")</f>
        <v>-</v>
      </c>
      <c r="R27" s="80" t="str">
        <f>IFERROR(VLOOKUP(O27,Database!$A$2:$M$188,9,FALSE),"-")</f>
        <v>-</v>
      </c>
      <c r="S27" s="203" t="str">
        <f>IFERROR(VLOOKUP(O27,Database!$A$2:$T$188,19,FALSE),"-")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IFERROR(VLOOKUP(T27,Database!$A$2:$M$188,8,FALSE),"-")</f>
        <v>-</v>
      </c>
      <c r="V27" s="76" t="str">
        <f>IFERROR(VLOOKUP(T27,Database!$A$2:$M$188,6,FALSE),"-")</f>
        <v>-</v>
      </c>
      <c r="W27" s="80" t="str">
        <f>IFERROR(VLOOKUP(T27,Database!$A$2:$M$188,9,FALSE),"-")</f>
        <v>-</v>
      </c>
      <c r="X27" s="203" t="str">
        <f>IFERROR(VLOOKUP(T27,Database!$A$2:$T$188,19,FALSE),"-")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IFERROR(VLOOKUP(Y27,Database!$A$2:$M$188,8,FALSE),"-")</f>
        <v>-</v>
      </c>
      <c r="AA27" s="77" t="str">
        <f>IFERROR(VLOOKUP(Y27,Database!$A$2:$M$188,6,FALSE),"-")</f>
        <v>-</v>
      </c>
      <c r="AB27" s="90" t="str">
        <f>IFERROR(VLOOKUP(Y27,Database!$A$2:$M$188,9,FALSE),"-")</f>
        <v>-</v>
      </c>
      <c r="AC27" s="8" t="str">
        <f>IFERROR(VLOOKUP(Y27,Database!$A$2:$T$188,19,FALSE),"-")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IFERROR(VLOOKUP(E28,Database!$A$2:$M$188,8,FALSE),"-")</f>
        <v>-</v>
      </c>
      <c r="G28" s="76" t="str">
        <f>IFERROR(VLOOKUP(E28,Database!$A$2:$M$188,6,FALSE),"-")</f>
        <v>-</v>
      </c>
      <c r="H28" s="91" t="str">
        <f>IFERROR(VLOOKUP(E28,Database!$A$2:$M$188,9,FALSE),"-")</f>
        <v>-</v>
      </c>
      <c r="I28" s="109" t="str">
        <f>IFERROR(VLOOKUP(E28,Database!$A$2:$T$188,19,FALSE),"-")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IFERROR(VLOOKUP(J28,Database!$A$2:$M$188,8,FALSE),"-")</f>
        <v>-</v>
      </c>
      <c r="L28" s="76" t="str">
        <f>IFERROR(VLOOKUP(J28,Database!$A$2:$M$188,6,FALSE),"-")</f>
        <v>-</v>
      </c>
      <c r="M28" s="91" t="str">
        <f>IFERROR(VLOOKUP(J28,Database!$A$2:$M$188,9,FALSE),"-")</f>
        <v>-</v>
      </c>
      <c r="N28" s="203" t="str">
        <f>IFERROR(VLOOKUP(J28,Database!$A$2:$T$188,19,FALSE),"-")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IFERROR(VLOOKUP(O28,Database!$A$2:$M$188,8,FALSE),"-")</f>
        <v>-</v>
      </c>
      <c r="Q28" s="76" t="str">
        <f>IFERROR(VLOOKUP(O28,Database!$A$2:$M$188,6,FALSE),"-")</f>
        <v>-</v>
      </c>
      <c r="R28" s="80" t="str">
        <f>IFERROR(VLOOKUP(O28,Database!$A$2:$M$188,9,FALSE),"-")</f>
        <v>-</v>
      </c>
      <c r="S28" s="203" t="str">
        <f>IFERROR(VLOOKUP(O28,Database!$A$2:$T$188,19,FALSE),"-")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IFERROR(VLOOKUP(T28,Database!$A$2:$M$188,8,FALSE),"-")</f>
        <v>-</v>
      </c>
      <c r="V28" s="76" t="str">
        <f>IFERROR(VLOOKUP(T28,Database!$A$2:$M$188,6,FALSE),"-")</f>
        <v>-</v>
      </c>
      <c r="W28" s="80" t="str">
        <f>IFERROR(VLOOKUP(T28,Database!$A$2:$M$188,9,FALSE),"-")</f>
        <v>-</v>
      </c>
      <c r="X28" s="203" t="str">
        <f>IFERROR(VLOOKUP(T28,Database!$A$2:$T$188,19,FALSE),"-")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IFERROR(VLOOKUP(Y28,Database!$A$2:$M$188,8,FALSE),"-")</f>
        <v>-</v>
      </c>
      <c r="AA28" s="77" t="str">
        <f>IFERROR(VLOOKUP(Y28,Database!$A$2:$M$188,6,FALSE),"-")</f>
        <v>-</v>
      </c>
      <c r="AB28" s="90" t="str">
        <f>IFERROR(VLOOKUP(Y28,Database!$A$2:$M$188,9,FALSE),"-")</f>
        <v>-</v>
      </c>
      <c r="AC28" s="8" t="str">
        <f>IFERROR(VLOOKUP(Y28,Database!$A$2:$T$188,19,FALSE),"-")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IFERROR(VLOOKUP(E29,Database!$A$2:$M$188,8,FALSE),"-")</f>
        <v>-</v>
      </c>
      <c r="G29" s="76" t="str">
        <f>IFERROR(VLOOKUP(E29,Database!$A$2:$M$188,6,FALSE),"-")</f>
        <v>-</v>
      </c>
      <c r="H29" s="91" t="str">
        <f>IFERROR(VLOOKUP(E29,Database!$A$2:$M$188,9,FALSE),"-")</f>
        <v>-</v>
      </c>
      <c r="I29" s="109" t="str">
        <f>IFERROR(VLOOKUP(E29,Database!$A$2:$T$188,19,FALSE),"-")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IFERROR(VLOOKUP(J29,Database!$A$2:$M$188,8,FALSE),"-")</f>
        <v>-</v>
      </c>
      <c r="L29" s="76" t="str">
        <f>IFERROR(VLOOKUP(J29,Database!$A$2:$M$188,6,FALSE),"-")</f>
        <v>-</v>
      </c>
      <c r="M29" s="91" t="str">
        <f>IFERROR(VLOOKUP(J29,Database!$A$2:$M$188,9,FALSE),"-")</f>
        <v>-</v>
      </c>
      <c r="N29" s="203" t="str">
        <f>IFERROR(VLOOKUP(J29,Database!$A$2:$T$188,19,FALSE),"-")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IFERROR(VLOOKUP(O29,Database!$A$2:$M$188,8,FALSE),"-")</f>
        <v>-</v>
      </c>
      <c r="Q29" s="76" t="str">
        <f>IFERROR(VLOOKUP(O29,Database!$A$2:$M$188,6,FALSE),"-")</f>
        <v>-</v>
      </c>
      <c r="R29" s="80" t="str">
        <f>IFERROR(VLOOKUP(O29,Database!$A$2:$M$188,9,FALSE),"-")</f>
        <v>-</v>
      </c>
      <c r="S29" s="203" t="str">
        <f>IFERROR(VLOOKUP(O29,Database!$A$2:$T$188,19,FALSE),"-")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IFERROR(VLOOKUP(T29,Database!$A$2:$M$188,8,FALSE),"-")</f>
        <v>-</v>
      </c>
      <c r="V29" s="76" t="str">
        <f>IFERROR(VLOOKUP(T29,Database!$A$2:$M$188,6,FALSE),"-")</f>
        <v>-</v>
      </c>
      <c r="W29" s="80" t="str">
        <f>IFERROR(VLOOKUP(T29,Database!$A$2:$M$188,9,FALSE),"-")</f>
        <v>-</v>
      </c>
      <c r="X29" s="203" t="str">
        <f>IFERROR(VLOOKUP(T29,Database!$A$2:$T$188,19,FALSE),"-")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IFERROR(VLOOKUP(Y29,Database!$A$2:$M$188,8,FALSE),"-")</f>
        <v>-</v>
      </c>
      <c r="AA29" s="77" t="str">
        <f>IFERROR(VLOOKUP(Y29,Database!$A$2:$M$188,6,FALSE),"-")</f>
        <v>-</v>
      </c>
      <c r="AB29" s="90" t="str">
        <f>IFERROR(VLOOKUP(Y29,Database!$A$2:$M$188,9,FALSE),"-")</f>
        <v>-</v>
      </c>
      <c r="AC29" s="8" t="str">
        <f>IFERROR(VLOOKUP(Y29,Database!$A$2:$T$188,19,FALSE),"-")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IFERROR(VLOOKUP(E30,Database!$A$2:$M$188,8,FALSE),"-")</f>
        <v>-</v>
      </c>
      <c r="G30" s="76" t="str">
        <f>IFERROR(VLOOKUP(E30,Database!$A$2:$M$188,6,FALSE),"-")</f>
        <v>-</v>
      </c>
      <c r="H30" s="91" t="str">
        <f>IFERROR(VLOOKUP(E30,Database!$A$2:$M$188,9,FALSE),"-")</f>
        <v>-</v>
      </c>
      <c r="I30" s="109" t="str">
        <f>IFERROR(VLOOKUP(E30,Database!$A$2:$T$188,19,FALSE),"-")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IFERROR(VLOOKUP(J30,Database!$A$2:$M$188,8,FALSE),"-")</f>
        <v>-</v>
      </c>
      <c r="L30" s="76" t="str">
        <f>IFERROR(VLOOKUP(J30,Database!$A$2:$M$188,6,FALSE),"-")</f>
        <v>-</v>
      </c>
      <c r="M30" s="91" t="str">
        <f>IFERROR(VLOOKUP(J30,Database!$A$2:$M$188,9,FALSE),"-")</f>
        <v>-</v>
      </c>
      <c r="N30" s="203" t="str">
        <f>IFERROR(VLOOKUP(J30,Database!$A$2:$T$188,19,FALSE),"-")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IFERROR(VLOOKUP(O30,Database!$A$2:$M$188,8,FALSE),"-")</f>
        <v>-</v>
      </c>
      <c r="Q30" s="76" t="str">
        <f>IFERROR(VLOOKUP(O30,Database!$A$2:$M$188,6,FALSE),"-")</f>
        <v>-</v>
      </c>
      <c r="R30" s="80" t="str">
        <f>IFERROR(VLOOKUP(O30,Database!$A$2:$M$188,9,FALSE),"-")</f>
        <v>-</v>
      </c>
      <c r="S30" s="203" t="str">
        <f>IFERROR(VLOOKUP(O30,Database!$A$2:$T$188,19,FALSE),"-")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IFERROR(VLOOKUP(T30,Database!$A$2:$M$188,8,FALSE),"-")</f>
        <v>-</v>
      </c>
      <c r="V30" s="76" t="str">
        <f>IFERROR(VLOOKUP(T30,Database!$A$2:$M$188,6,FALSE),"-")</f>
        <v>-</v>
      </c>
      <c r="W30" s="80" t="str">
        <f>IFERROR(VLOOKUP(T30,Database!$A$2:$M$188,9,FALSE),"-")</f>
        <v>-</v>
      </c>
      <c r="X30" s="203" t="str">
        <f>IFERROR(VLOOKUP(T30,Database!$A$2:$T$188,19,FALSE),"-")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IFERROR(VLOOKUP(Y30,Database!$A$2:$M$188,8,FALSE),"-")</f>
        <v>-</v>
      </c>
      <c r="AA30" s="77" t="str">
        <f>IFERROR(VLOOKUP(Y30,Database!$A$2:$M$188,6,FALSE),"-")</f>
        <v>-</v>
      </c>
      <c r="AB30" s="90" t="str">
        <f>IFERROR(VLOOKUP(Y30,Database!$A$2:$M$188,9,FALSE),"-")</f>
        <v>-</v>
      </c>
      <c r="AC30" s="8" t="str">
        <f>IFERROR(VLOOKUP(Y30,Database!$A$2:$T$188,19,FALSE),"-")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IFERROR(VLOOKUP(E31,Database!$A$2:$M$188,8,FALSE),"-")</f>
        <v>-</v>
      </c>
      <c r="G31" s="76" t="str">
        <f>IFERROR(VLOOKUP(E31,Database!$A$2:$M$188,6,FALSE),"-")</f>
        <v>-</v>
      </c>
      <c r="H31" s="91" t="str">
        <f>IFERROR(VLOOKUP(E31,Database!$A$2:$M$188,9,FALSE),"-")</f>
        <v>-</v>
      </c>
      <c r="I31" s="109" t="str">
        <f>IFERROR(VLOOKUP(E31,Database!$A$2:$T$188,19,FALSE),"-")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IFERROR(VLOOKUP(J31,Database!$A$2:$M$188,8,FALSE),"-")</f>
        <v>-</v>
      </c>
      <c r="L31" s="76" t="str">
        <f>IFERROR(VLOOKUP(J31,Database!$A$2:$M$188,6,FALSE),"-")</f>
        <v>-</v>
      </c>
      <c r="M31" s="91" t="str">
        <f>IFERROR(VLOOKUP(J31,Database!$A$2:$M$188,9,FALSE),"-")</f>
        <v>-</v>
      </c>
      <c r="N31" s="203" t="str">
        <f>IFERROR(VLOOKUP(J31,Database!$A$2:$T$188,19,FALSE),"-")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IFERROR(VLOOKUP(O31,Database!$A$2:$M$188,8,FALSE),"-")</f>
        <v>-</v>
      </c>
      <c r="Q31" s="76" t="str">
        <f>IFERROR(VLOOKUP(O31,Database!$A$2:$M$188,6,FALSE),"-")</f>
        <v>-</v>
      </c>
      <c r="R31" s="80" t="str">
        <f>IFERROR(VLOOKUP(O31,Database!$A$2:$M$188,9,FALSE),"-")</f>
        <v>-</v>
      </c>
      <c r="S31" s="203" t="str">
        <f>IFERROR(VLOOKUP(O31,Database!$A$2:$T$188,19,FALSE),"-")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IFERROR(VLOOKUP(T31,Database!$A$2:$M$188,8,FALSE),"-")</f>
        <v>-</v>
      </c>
      <c r="V31" s="76" t="str">
        <f>IFERROR(VLOOKUP(T31,Database!$A$2:$M$188,6,FALSE),"-")</f>
        <v>-</v>
      </c>
      <c r="W31" s="80" t="str">
        <f>IFERROR(VLOOKUP(T31,Database!$A$2:$M$188,9,FALSE),"-")</f>
        <v>-</v>
      </c>
      <c r="X31" s="203" t="str">
        <f>IFERROR(VLOOKUP(T31,Database!$A$2:$T$188,19,FALSE),"-")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IFERROR(VLOOKUP(Y31,Database!$A$2:$M$188,8,FALSE),"-")</f>
        <v>-</v>
      </c>
      <c r="AA31" s="77" t="str">
        <f>IFERROR(VLOOKUP(Y31,Database!$A$2:$M$188,6,FALSE),"-")</f>
        <v>-</v>
      </c>
      <c r="AB31" s="90" t="str">
        <f>IFERROR(VLOOKUP(Y31,Database!$A$2:$M$188,9,FALSE),"-")</f>
        <v>-</v>
      </c>
      <c r="AC31" s="8" t="str">
        <f>IFERROR(VLOOKUP(Y31,Database!$A$2:$T$188,19,FALSE),"-")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 t="str">
        <f>IFERROR(VLOOKUP(E32,Database!$A$2:$M$188,8,FALSE),"-")</f>
        <v>bc</v>
      </c>
      <c r="G32" s="76">
        <f>IFERROR(VLOOKUP(E32,Database!$A$2:$M$188,6,FALSE),"-")</f>
        <v>46154</v>
      </c>
      <c r="H32" s="91">
        <f>IFERROR(VLOOKUP(E32,Database!$A$2:$M$188,9,FALSE),"-")</f>
        <v>1430</v>
      </c>
      <c r="I32" s="109">
        <f>IFERROR(VLOOKUP(E32,Database!$A$2:$T$188,19,FALSE),"-")</f>
        <v>3800</v>
      </c>
      <c r="J32" s="94" t="str">
        <f>IF(AND(D32="Y",booking!H32&lt;&gt;booking!I32,booking!I32&gt;0),booking!I32,"-")</f>
        <v>-</v>
      </c>
      <c r="K32" s="76" t="str">
        <f>IFERROR(VLOOKUP(J32,Database!$A$2:$M$188,8,FALSE),"-")</f>
        <v>-</v>
      </c>
      <c r="L32" s="76" t="str">
        <f>IFERROR(VLOOKUP(J32,Database!$A$2:$M$188,6,FALSE),"-")</f>
        <v>-</v>
      </c>
      <c r="M32" s="91" t="str">
        <f>IFERROR(VLOOKUP(J32,Database!$A$2:$M$188,9,FALSE),"-")</f>
        <v>-</v>
      </c>
      <c r="N32" s="203" t="str">
        <f>IFERROR(VLOOKUP(J32,Database!$A$2:$T$188,19,FALSE),"-")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IFERROR(VLOOKUP(O32,Database!$A$2:$M$188,8,FALSE),"-")</f>
        <v>-</v>
      </c>
      <c r="Q32" s="76" t="str">
        <f>IFERROR(VLOOKUP(O32,Database!$A$2:$M$188,6,FALSE),"-")</f>
        <v>-</v>
      </c>
      <c r="R32" s="80" t="str">
        <f>IFERROR(VLOOKUP(O32,Database!$A$2:$M$188,9,FALSE),"-")</f>
        <v>-</v>
      </c>
      <c r="S32" s="203" t="str">
        <f>IFERROR(VLOOKUP(O32,Database!$A$2:$T$188,19,FALSE),"-")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IFERROR(VLOOKUP(T32,Database!$A$2:$M$188,8,FALSE),"-")</f>
        <v>-</v>
      </c>
      <c r="V32" s="76" t="str">
        <f>IFERROR(VLOOKUP(T32,Database!$A$2:$M$188,6,FALSE),"-")</f>
        <v>-</v>
      </c>
      <c r="W32" s="80" t="str">
        <f>IFERROR(VLOOKUP(T32,Database!$A$2:$M$188,9,FALSE),"-")</f>
        <v>-</v>
      </c>
      <c r="X32" s="203" t="str">
        <f>IFERROR(VLOOKUP(T32,Database!$A$2:$T$188,19,FALSE),"-")</f>
        <v>-</v>
      </c>
      <c r="Y32" s="94">
        <f>IF(AND(D32="Y",booking!T32&lt;&gt;booking!U32,booking!U32&gt;0),booking!U32,"-")</f>
        <v>5</v>
      </c>
      <c r="Z32" s="77" t="str">
        <f>IFERROR(VLOOKUP(Y32,Database!$A$2:$M$188,8,FALSE),"-")</f>
        <v>web</v>
      </c>
      <c r="AA32" s="77">
        <f>IFERROR(VLOOKUP(Y32,Database!$A$2:$M$188,6,FALSE),"-")</f>
        <v>45903</v>
      </c>
      <c r="AB32" s="90">
        <f>IFERROR(VLOOKUP(Y32,Database!$A$2:$M$188,9,FALSE),"-")</f>
        <v>1430</v>
      </c>
      <c r="AC32" s="8">
        <f>IFERROR(VLOOKUP(Y32,Database!$A$2:$T$188,19,FALSE),"-")</f>
        <v>5175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IFERROR(VLOOKUP(E33,Database!$A$2:$M$188,8,FALSE),"-")</f>
        <v>-</v>
      </c>
      <c r="G33" s="76" t="str">
        <f>IFERROR(VLOOKUP(E33,Database!$A$2:$M$188,6,FALSE),"-")</f>
        <v>-</v>
      </c>
      <c r="H33" s="91" t="str">
        <f>IFERROR(VLOOKUP(E33,Database!$A$2:$M$188,9,FALSE),"-")</f>
        <v>-</v>
      </c>
      <c r="I33" s="109" t="str">
        <f>IFERROR(VLOOKUP(E33,Database!$A$2:$T$188,19,FALSE),"-")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IFERROR(VLOOKUP(J33,Database!$A$2:$M$188,8,FALSE),"-")</f>
        <v>-</v>
      </c>
      <c r="L33" s="76" t="str">
        <f>IFERROR(VLOOKUP(J33,Database!$A$2:$M$188,6,FALSE),"-")</f>
        <v>-</v>
      </c>
      <c r="M33" s="91" t="str">
        <f>IFERROR(VLOOKUP(J33,Database!$A$2:$M$188,9,FALSE),"-")</f>
        <v>-</v>
      </c>
      <c r="N33" s="203" t="str">
        <f>IFERROR(VLOOKUP(J33,Database!$A$2:$T$188,19,FALSE),"-")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IFERROR(VLOOKUP(O33,Database!$A$2:$M$188,8,FALSE),"-")</f>
        <v>-</v>
      </c>
      <c r="Q33" s="76" t="str">
        <f>IFERROR(VLOOKUP(O33,Database!$A$2:$M$188,6,FALSE),"-")</f>
        <v>-</v>
      </c>
      <c r="R33" s="80" t="str">
        <f>IFERROR(VLOOKUP(O33,Database!$A$2:$M$188,9,FALSE),"-")</f>
        <v>-</v>
      </c>
      <c r="S33" s="203" t="str">
        <f>IFERROR(VLOOKUP(O33,Database!$A$2:$T$188,19,FALSE),"-")</f>
        <v>-</v>
      </c>
      <c r="T33" s="95">
        <f>IF(AND(D33="Y",booking!P33&lt;&gt;booking!Q33,booking!Q33&gt;0),booking!Q33,"-")</f>
        <v>136</v>
      </c>
      <c r="U33" s="76" t="str">
        <f>IFERROR(VLOOKUP(T33,Database!$A$2:$M$188,8,FALSE),"-")</f>
        <v>web</v>
      </c>
      <c r="V33" s="76">
        <f>IFERROR(VLOOKUP(T33,Database!$A$2:$M$188,6,FALSE),"-")</f>
        <v>46163</v>
      </c>
      <c r="W33" s="80">
        <f>IFERROR(VLOOKUP(T33,Database!$A$2:$M$188,9,FALSE),"-")</f>
        <v>1430</v>
      </c>
      <c r="X33" s="203">
        <f>IFERROR(VLOOKUP(T33,Database!$A$2:$T$188,19,FALSE),"-")</f>
        <v>4140</v>
      </c>
      <c r="Y33" s="94" t="str">
        <f>IF(AND(D33="Y",booking!T33&lt;&gt;booking!U33,booking!U33&gt;0),booking!U33,"-")</f>
        <v>-</v>
      </c>
      <c r="Z33" s="77" t="str">
        <f>IFERROR(VLOOKUP(Y33,Database!$A$2:$M$188,8,FALSE),"-")</f>
        <v>-</v>
      </c>
      <c r="AA33" s="77" t="str">
        <f>IFERROR(VLOOKUP(Y33,Database!$A$2:$M$188,6,FALSE),"-")</f>
        <v>-</v>
      </c>
      <c r="AB33" s="90" t="str">
        <f>IFERROR(VLOOKUP(Y33,Database!$A$2:$M$188,9,FALSE),"-")</f>
        <v>-</v>
      </c>
      <c r="AC33" s="8" t="str">
        <f>IFERROR(VLOOKUP(Y33,Database!$A$2:$T$188,19,FALSE),"-")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IFERROR(VLOOKUP(E34,Database!$A$2:$M$188,8,FALSE),"-")</f>
        <v>-</v>
      </c>
      <c r="G34" s="76" t="str">
        <f>IFERROR(VLOOKUP(E34,Database!$A$2:$M$188,6,FALSE),"-")</f>
        <v>-</v>
      </c>
      <c r="H34" s="91" t="str">
        <f>IFERROR(VLOOKUP(E34,Database!$A$2:$M$188,9,FALSE),"-")</f>
        <v>-</v>
      </c>
      <c r="I34" s="109" t="str">
        <f>IFERROR(VLOOKUP(E34,Database!$A$2:$T$188,19,FALSE),"-")</f>
        <v>-</v>
      </c>
      <c r="J34" s="94">
        <f>IF(AND(D34="Y",booking!H34&lt;&gt;booking!I34,booking!I34&gt;0),booking!I34,"-")</f>
        <v>125</v>
      </c>
      <c r="K34" s="76" t="str">
        <f>IFERROR(VLOOKUP(J34,Database!$A$2:$M$188,8,FALSE),"-")</f>
        <v>bc</v>
      </c>
      <c r="L34" s="76">
        <f>IFERROR(VLOOKUP(J34,Database!$A$2:$M$188,6,FALSE),"-")</f>
        <v>46149</v>
      </c>
      <c r="M34" s="91">
        <f>IFERROR(VLOOKUP(J34,Database!$A$2:$M$188,9,FALSE),"-")</f>
        <v>1400</v>
      </c>
      <c r="N34" s="203">
        <f>IFERROR(VLOOKUP(J34,Database!$A$2:$T$188,19,FALSE),"-")</f>
        <v>2300</v>
      </c>
      <c r="O34" s="94" t="str">
        <f>IF(AND(D34="Y",booking!L34&lt;&gt;booking!M34,booking!M34&gt;0),booking!M34,"-")</f>
        <v>-</v>
      </c>
      <c r="P34" s="76" t="str">
        <f>IFERROR(VLOOKUP(O34,Database!$A$2:$M$188,8,FALSE),"-")</f>
        <v>-</v>
      </c>
      <c r="Q34" s="76" t="str">
        <f>IFERROR(VLOOKUP(O34,Database!$A$2:$M$188,6,FALSE),"-")</f>
        <v>-</v>
      </c>
      <c r="R34" s="80" t="str">
        <f>IFERROR(VLOOKUP(O34,Database!$A$2:$M$188,9,FALSE),"-")</f>
        <v>-</v>
      </c>
      <c r="S34" s="203" t="str">
        <f>IFERROR(VLOOKUP(O34,Database!$A$2:$T$188,19,FALSE),"-")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IFERROR(VLOOKUP(T34,Database!$A$2:$M$188,8,FALSE),"-")</f>
        <v>-</v>
      </c>
      <c r="V34" s="76" t="str">
        <f>IFERROR(VLOOKUP(T34,Database!$A$2:$M$188,6,FALSE),"-")</f>
        <v>-</v>
      </c>
      <c r="W34" s="80" t="str">
        <f>IFERROR(VLOOKUP(T34,Database!$A$2:$M$188,9,FALSE),"-")</f>
        <v>-</v>
      </c>
      <c r="X34" s="203" t="str">
        <f>IFERROR(VLOOKUP(T34,Database!$A$2:$T$188,19,FALSE),"-")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IFERROR(VLOOKUP(Y34,Database!$A$2:$M$188,8,FALSE),"-")</f>
        <v>-</v>
      </c>
      <c r="AA34" s="77" t="str">
        <f>IFERROR(VLOOKUP(Y34,Database!$A$2:$M$188,6,FALSE),"-")</f>
        <v>-</v>
      </c>
      <c r="AB34" s="90" t="str">
        <f>IFERROR(VLOOKUP(Y34,Database!$A$2:$M$188,9,FALSE),"-")</f>
        <v>-</v>
      </c>
      <c r="AC34" s="8" t="str">
        <f>IFERROR(VLOOKUP(Y34,Database!$A$2:$T$188,19,FALSE),"-")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IFERROR(VLOOKUP(E35,Database!$A$2:$M$188,8,FALSE),"-")</f>
        <v>-</v>
      </c>
      <c r="G35" s="76" t="str">
        <f>IFERROR(VLOOKUP(E35,Database!$A$2:$M$188,6,FALSE),"-")</f>
        <v>-</v>
      </c>
      <c r="H35" s="91" t="str">
        <f>IFERROR(VLOOKUP(E35,Database!$A$2:$M$188,9,FALSE),"-")</f>
        <v>-</v>
      </c>
      <c r="I35" s="109" t="str">
        <f>IFERROR(VLOOKUP(E35,Database!$A$2:$T$188,19,FALSE),"-")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IFERROR(VLOOKUP(J35,Database!$A$2:$M$188,8,FALSE),"-")</f>
        <v>-</v>
      </c>
      <c r="L35" s="76" t="str">
        <f>IFERROR(VLOOKUP(J35,Database!$A$2:$M$188,6,FALSE),"-")</f>
        <v>-</v>
      </c>
      <c r="M35" s="91" t="str">
        <f>IFERROR(VLOOKUP(J35,Database!$A$2:$M$188,9,FALSE),"-")</f>
        <v>-</v>
      </c>
      <c r="N35" s="203" t="str">
        <f>IFERROR(VLOOKUP(J35,Database!$A$2:$T$188,19,FALSE),"-")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IFERROR(VLOOKUP(O35,Database!$A$2:$M$188,8,FALSE),"-")</f>
        <v>-</v>
      </c>
      <c r="Q35" s="76" t="str">
        <f>IFERROR(VLOOKUP(O35,Database!$A$2:$M$188,6,FALSE),"-")</f>
        <v>-</v>
      </c>
      <c r="R35" s="80" t="str">
        <f>IFERROR(VLOOKUP(O35,Database!$A$2:$M$188,9,FALSE),"-")</f>
        <v>-</v>
      </c>
      <c r="S35" s="203" t="str">
        <f>IFERROR(VLOOKUP(O35,Database!$A$2:$T$188,19,FALSE),"-")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IFERROR(VLOOKUP(T35,Database!$A$2:$M$188,8,FALSE),"-")</f>
        <v>-</v>
      </c>
      <c r="V35" s="76" t="str">
        <f>IFERROR(VLOOKUP(T35,Database!$A$2:$M$188,6,FALSE),"-")</f>
        <v>-</v>
      </c>
      <c r="W35" s="80" t="str">
        <f>IFERROR(VLOOKUP(T35,Database!$A$2:$M$188,9,FALSE),"-")</f>
        <v>-</v>
      </c>
      <c r="X35" s="203" t="str">
        <f>IFERROR(VLOOKUP(T35,Database!$A$2:$T$188,19,FALSE),"-")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IFERROR(VLOOKUP(Y35,Database!$A$2:$M$188,8,FALSE),"-")</f>
        <v>-</v>
      </c>
      <c r="AA35" s="77" t="str">
        <f>IFERROR(VLOOKUP(Y35,Database!$A$2:$M$188,6,FALSE),"-")</f>
        <v>-</v>
      </c>
      <c r="AB35" s="90" t="str">
        <f>IFERROR(VLOOKUP(Y35,Database!$A$2:$M$188,9,FALSE),"-")</f>
        <v>-</v>
      </c>
      <c r="AC35" s="8" t="str">
        <f>IFERROR(VLOOKUP(Y35,Database!$A$2:$T$188,19,FALSE),"-")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IFERROR(VLOOKUP(E36,Database!$A$2:$M$188,8,FALSE),"-")</f>
        <v>bc</v>
      </c>
      <c r="G36" s="76">
        <f>IFERROR(VLOOKUP(E36,Database!$A$2:$M$188,6,FALSE),"-")</f>
        <v>46130</v>
      </c>
      <c r="H36" s="91" t="str">
        <f>IFERROR(VLOOKUP(E36,Database!$A$2:$M$188,9,FALSE),"-")</f>
        <v>1830</v>
      </c>
      <c r="I36" s="109">
        <f>IFERROR(VLOOKUP(E36,Database!$A$2:$T$188,19,FALSE),"-")</f>
        <v>5750</v>
      </c>
      <c r="J36" s="94">
        <f>IF(AND(D36="Y",booking!H36&lt;&gt;booking!I36,booking!I36&gt;0),booking!I36,"-")</f>
        <v>79</v>
      </c>
      <c r="K36" s="76" t="str">
        <f>IFERROR(VLOOKUP(J36,Database!$A$2:$M$188,8,FALSE),"-")</f>
        <v>web</v>
      </c>
      <c r="L36" s="76">
        <f>IFERROR(VLOOKUP(J36,Database!$A$2:$M$188,6,FALSE),"-")</f>
        <v>46073</v>
      </c>
      <c r="M36" s="91">
        <f>IFERROR(VLOOKUP(J36,Database!$A$2:$M$188,9,FALSE),"-")</f>
        <v>0</v>
      </c>
      <c r="N36" s="203">
        <f>IFERROR(VLOOKUP(J36,Database!$A$2:$T$188,19,FALSE),"-")</f>
        <v>5175</v>
      </c>
      <c r="O36" s="94" t="str">
        <f>IF(AND(D36="Y",booking!L36&lt;&gt;booking!M36,booking!M36&gt;0),booking!M36,"-")</f>
        <v>-</v>
      </c>
      <c r="P36" s="76" t="str">
        <f>IFERROR(VLOOKUP(O36,Database!$A$2:$M$188,8,FALSE),"-")</f>
        <v>-</v>
      </c>
      <c r="Q36" s="76" t="str">
        <f>IFERROR(VLOOKUP(O36,Database!$A$2:$M$188,6,FALSE),"-")</f>
        <v>-</v>
      </c>
      <c r="R36" s="80" t="str">
        <f>IFERROR(VLOOKUP(O36,Database!$A$2:$M$188,9,FALSE),"-")</f>
        <v>-</v>
      </c>
      <c r="S36" s="203" t="str">
        <f>IFERROR(VLOOKUP(O36,Database!$A$2:$T$188,19,FALSE),"-")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IFERROR(VLOOKUP(T36,Database!$A$2:$M$188,8,FALSE),"-")</f>
        <v>-</v>
      </c>
      <c r="V36" s="76" t="str">
        <f>IFERROR(VLOOKUP(T36,Database!$A$2:$M$188,6,FALSE),"-")</f>
        <v>-</v>
      </c>
      <c r="W36" s="80" t="str">
        <f>IFERROR(VLOOKUP(T36,Database!$A$2:$M$188,9,FALSE),"-")</f>
        <v>-</v>
      </c>
      <c r="X36" s="203" t="str">
        <f>IFERROR(VLOOKUP(T36,Database!$A$2:$T$188,19,FALSE),"-")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IFERROR(VLOOKUP(Y36,Database!$A$2:$M$188,8,FALSE),"-")</f>
        <v>-</v>
      </c>
      <c r="AA36" s="77" t="str">
        <f>IFERROR(VLOOKUP(Y36,Database!$A$2:$M$188,6,FALSE),"-")</f>
        <v>-</v>
      </c>
      <c r="AB36" s="90" t="str">
        <f>IFERROR(VLOOKUP(Y36,Database!$A$2:$M$188,9,FALSE),"-")</f>
        <v>-</v>
      </c>
      <c r="AC36" s="8" t="str">
        <f>IFERROR(VLOOKUP(Y36,Database!$A$2:$T$188,19,FALSE),"-")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IFERROR(VLOOKUP(E37,Database!$A$2:$M$188,8,FALSE),"-")</f>
        <v>-</v>
      </c>
      <c r="G37" s="76" t="str">
        <f>IFERROR(VLOOKUP(E37,Database!$A$2:$M$188,6,FALSE),"-")</f>
        <v>-</v>
      </c>
      <c r="H37" s="91" t="str">
        <f>IFERROR(VLOOKUP(E37,Database!$A$2:$M$188,9,FALSE),"-")</f>
        <v>-</v>
      </c>
      <c r="I37" s="109" t="str">
        <f>IFERROR(VLOOKUP(E37,Database!$A$2:$T$188,19,FALSE),"-")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IFERROR(VLOOKUP(J37,Database!$A$2:$M$188,8,FALSE),"-")</f>
        <v>-</v>
      </c>
      <c r="L37" s="76" t="str">
        <f>IFERROR(VLOOKUP(J37,Database!$A$2:$M$188,6,FALSE),"-")</f>
        <v>-</v>
      </c>
      <c r="M37" s="91" t="str">
        <f>IFERROR(VLOOKUP(J37,Database!$A$2:$M$188,9,FALSE),"-")</f>
        <v>-</v>
      </c>
      <c r="N37" s="203" t="str">
        <f>IFERROR(VLOOKUP(J37,Database!$A$2:$T$188,19,FALSE),"-")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IFERROR(VLOOKUP(O37,Database!$A$2:$M$188,8,FALSE),"-")</f>
        <v>-</v>
      </c>
      <c r="Q37" s="76" t="str">
        <f>IFERROR(VLOOKUP(O37,Database!$A$2:$M$188,6,FALSE),"-")</f>
        <v>-</v>
      </c>
      <c r="R37" s="80" t="str">
        <f>IFERROR(VLOOKUP(O37,Database!$A$2:$M$188,9,FALSE),"-")</f>
        <v>-</v>
      </c>
      <c r="S37" s="203" t="str">
        <f>IFERROR(VLOOKUP(O37,Database!$A$2:$T$188,19,FALSE),"-")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IFERROR(VLOOKUP(T37,Database!$A$2:$M$188,8,FALSE),"-")</f>
        <v>-</v>
      </c>
      <c r="V37" s="76" t="str">
        <f>IFERROR(VLOOKUP(T37,Database!$A$2:$M$188,6,FALSE),"-")</f>
        <v>-</v>
      </c>
      <c r="W37" s="80" t="str">
        <f>IFERROR(VLOOKUP(T37,Database!$A$2:$M$188,9,FALSE),"-")</f>
        <v>-</v>
      </c>
      <c r="X37" s="203" t="str">
        <f>IFERROR(VLOOKUP(T37,Database!$A$2:$T$188,19,FALSE),"-")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IFERROR(VLOOKUP(Y37,Database!$A$2:$M$188,8,FALSE),"-")</f>
        <v>-</v>
      </c>
      <c r="AA37" s="77" t="str">
        <f>IFERROR(VLOOKUP(Y37,Database!$A$2:$M$188,6,FALSE),"-")</f>
        <v>-</v>
      </c>
      <c r="AB37" s="90" t="str">
        <f>IFERROR(VLOOKUP(Y37,Database!$A$2:$M$188,9,FALSE),"-")</f>
        <v>-</v>
      </c>
      <c r="AC37" s="8" t="str">
        <f>IFERROR(VLOOKUP(Y37,Database!$A$2:$T$188,19,FALSE),"-")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IFERROR(VLOOKUP(E38,Database!$A$2:$M$188,8,FALSE),"-")</f>
        <v>-</v>
      </c>
      <c r="G38" s="76" t="str">
        <f>IFERROR(VLOOKUP(E38,Database!$A$2:$M$188,6,FALSE),"-")</f>
        <v>-</v>
      </c>
      <c r="H38" s="91" t="str">
        <f>IFERROR(VLOOKUP(E38,Database!$A$2:$M$188,9,FALSE),"-")</f>
        <v>-</v>
      </c>
      <c r="I38" s="109" t="str">
        <f>IFERROR(VLOOKUP(E38,Database!$A$2:$T$188,19,FALSE),"-")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IFERROR(VLOOKUP(J38,Database!$A$2:$M$188,8,FALSE),"-")</f>
        <v>-</v>
      </c>
      <c r="L38" s="76" t="str">
        <f>IFERROR(VLOOKUP(J38,Database!$A$2:$M$188,6,FALSE),"-")</f>
        <v>-</v>
      </c>
      <c r="M38" s="91" t="str">
        <f>IFERROR(VLOOKUP(J38,Database!$A$2:$M$188,9,FALSE),"-")</f>
        <v>-</v>
      </c>
      <c r="N38" s="203" t="str">
        <f>IFERROR(VLOOKUP(J38,Database!$A$2:$T$188,19,FALSE),"-")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IFERROR(VLOOKUP(O38,Database!$A$2:$M$188,8,FALSE),"-")</f>
        <v>-</v>
      </c>
      <c r="Q38" s="76" t="str">
        <f>IFERROR(VLOOKUP(O38,Database!$A$2:$M$188,6,FALSE),"-")</f>
        <v>-</v>
      </c>
      <c r="R38" s="80" t="str">
        <f>IFERROR(VLOOKUP(O38,Database!$A$2:$M$188,9,FALSE),"-")</f>
        <v>-</v>
      </c>
      <c r="S38" s="203" t="str">
        <f>IFERROR(VLOOKUP(O38,Database!$A$2:$T$188,19,FALSE),"-")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IFERROR(VLOOKUP(T38,Database!$A$2:$M$188,8,FALSE),"-")</f>
        <v>-</v>
      </c>
      <c r="V38" s="76" t="str">
        <f>IFERROR(VLOOKUP(T38,Database!$A$2:$M$188,6,FALSE),"-")</f>
        <v>-</v>
      </c>
      <c r="W38" s="80" t="str">
        <f>IFERROR(VLOOKUP(T38,Database!$A$2:$M$188,9,FALSE),"-")</f>
        <v>-</v>
      </c>
      <c r="X38" s="203" t="str">
        <f>IFERROR(VLOOKUP(T38,Database!$A$2:$T$188,19,FALSE),"-")</f>
        <v>-</v>
      </c>
      <c r="Y38" s="94">
        <f>IF(AND(D38="Y",booking!T38&lt;&gt;booking!U38,booking!U38&gt;0),booking!U38,"-")</f>
        <v>12</v>
      </c>
      <c r="Z38" s="77" t="str">
        <f>IFERROR(VLOOKUP(Y38,Database!$A$2:$M$188,8,FALSE),"-")</f>
        <v>web</v>
      </c>
      <c r="AA38" s="77">
        <f>IFERROR(VLOOKUP(Y38,Database!$A$2:$M$188,6,FALSE),"-")</f>
        <v>45977</v>
      </c>
      <c r="AB38" s="90">
        <f>IFERROR(VLOOKUP(Y38,Database!$A$2:$M$188,9,FALSE),"-")</f>
        <v>0</v>
      </c>
      <c r="AC38" s="8">
        <f>IFERROR(VLOOKUP(Y38,Database!$A$2:$T$188,19,FALSE),"-")</f>
        <v>4140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IFERROR(VLOOKUP(E39,Database!$A$2:$M$188,8,FALSE),"-")</f>
        <v>-</v>
      </c>
      <c r="G39" s="76" t="str">
        <f>IFERROR(VLOOKUP(E39,Database!$A$2:$M$188,6,FALSE),"-")</f>
        <v>-</v>
      </c>
      <c r="H39" s="91" t="str">
        <f>IFERROR(VLOOKUP(E39,Database!$A$2:$M$188,9,FALSE),"-")</f>
        <v>-</v>
      </c>
      <c r="I39" s="109" t="str">
        <f>IFERROR(VLOOKUP(E39,Database!$A$2:$T$188,19,FALSE),"-")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IFERROR(VLOOKUP(J39,Database!$A$2:$M$188,8,FALSE),"-")</f>
        <v>-</v>
      </c>
      <c r="L39" s="76" t="str">
        <f>IFERROR(VLOOKUP(J39,Database!$A$2:$M$188,6,FALSE),"-")</f>
        <v>-</v>
      </c>
      <c r="M39" s="91" t="str">
        <f>IFERROR(VLOOKUP(J39,Database!$A$2:$M$188,9,FALSE),"-")</f>
        <v>-</v>
      </c>
      <c r="N39" s="203" t="str">
        <f>IFERROR(VLOOKUP(J39,Database!$A$2:$T$188,19,FALSE),"-")</f>
        <v>-</v>
      </c>
      <c r="O39" s="94">
        <f>IF(AND(D39="Y",booking!L39&lt;&gt;booking!M39,booking!M39&gt;0),booking!M39,"-")</f>
        <v>27</v>
      </c>
      <c r="P39" s="76" t="str">
        <f>IFERROR(VLOOKUP(O39,Database!$A$2:$M$188,8,FALSE),"-")</f>
        <v>web</v>
      </c>
      <c r="Q39" s="76">
        <f>IFERROR(VLOOKUP(O39,Database!$A$2:$M$188,6,FALSE),"-")</f>
        <v>46021</v>
      </c>
      <c r="R39" s="80">
        <f>IFERROR(VLOOKUP(O39,Database!$A$2:$M$188,9,FALSE),"-")</f>
        <v>0</v>
      </c>
      <c r="S39" s="203">
        <f>IFERROR(VLOOKUP(O39,Database!$A$2:$T$188,19,FALSE),"-")</f>
        <v>6210</v>
      </c>
      <c r="T39" s="95" t="str">
        <f>IF(AND(D39="Y",booking!P39&lt;&gt;booking!Q39,booking!Q39&gt;0),booking!Q39,"-")</f>
        <v>-</v>
      </c>
      <c r="U39" s="76" t="str">
        <f>IFERROR(VLOOKUP(T39,Database!$A$2:$M$188,8,FALSE),"-")</f>
        <v>-</v>
      </c>
      <c r="V39" s="76" t="str">
        <f>IFERROR(VLOOKUP(T39,Database!$A$2:$M$188,6,FALSE),"-")</f>
        <v>-</v>
      </c>
      <c r="W39" s="80" t="str">
        <f>IFERROR(VLOOKUP(T39,Database!$A$2:$M$188,9,FALSE),"-")</f>
        <v>-</v>
      </c>
      <c r="X39" s="203" t="str">
        <f>IFERROR(VLOOKUP(T39,Database!$A$2:$T$188,19,FALSE),"-")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IFERROR(VLOOKUP(Y39,Database!$A$2:$M$188,8,FALSE),"-")</f>
        <v>-</v>
      </c>
      <c r="AA39" s="77" t="str">
        <f>IFERROR(VLOOKUP(Y39,Database!$A$2:$M$188,6,FALSE),"-")</f>
        <v>-</v>
      </c>
      <c r="AB39" s="90" t="str">
        <f>IFERROR(VLOOKUP(Y39,Database!$A$2:$M$188,9,FALSE),"-")</f>
        <v>-</v>
      </c>
      <c r="AC39" s="8" t="str">
        <f>IFERROR(VLOOKUP(Y39,Database!$A$2:$T$188,19,FALSE),"-")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IFERROR(VLOOKUP(E40,Database!$A$2:$M$188,8,FALSE),"-")</f>
        <v>-</v>
      </c>
      <c r="G40" s="76" t="str">
        <f>IFERROR(VLOOKUP(E40,Database!$A$2:$M$188,6,FALSE),"-")</f>
        <v>-</v>
      </c>
      <c r="H40" s="91" t="str">
        <f>IFERROR(VLOOKUP(E40,Database!$A$2:$M$188,9,FALSE),"-")</f>
        <v>-</v>
      </c>
      <c r="I40" s="109" t="str">
        <f>IFERROR(VLOOKUP(E40,Database!$A$2:$T$188,19,FALSE),"-")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IFERROR(VLOOKUP(J40,Database!$A$2:$M$188,8,FALSE),"-")</f>
        <v>-</v>
      </c>
      <c r="L40" s="76" t="str">
        <f>IFERROR(VLOOKUP(J40,Database!$A$2:$M$188,6,FALSE),"-")</f>
        <v>-</v>
      </c>
      <c r="M40" s="91" t="str">
        <f>IFERROR(VLOOKUP(J40,Database!$A$2:$M$188,9,FALSE),"-")</f>
        <v>-</v>
      </c>
      <c r="N40" s="203" t="str">
        <f>IFERROR(VLOOKUP(J40,Database!$A$2:$T$188,19,FALSE),"-")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IFERROR(VLOOKUP(O40,Database!$A$2:$M$188,8,FALSE),"-")</f>
        <v>-</v>
      </c>
      <c r="Q40" s="76" t="str">
        <f>IFERROR(VLOOKUP(O40,Database!$A$2:$M$188,6,FALSE),"-")</f>
        <v>-</v>
      </c>
      <c r="R40" s="80" t="str">
        <f>IFERROR(VLOOKUP(O40,Database!$A$2:$M$188,9,FALSE),"-")</f>
        <v>-</v>
      </c>
      <c r="S40" s="203" t="str">
        <f>IFERROR(VLOOKUP(O40,Database!$A$2:$T$188,19,FALSE),"-")</f>
        <v>-</v>
      </c>
      <c r="T40" s="95">
        <f>IF(AND(D40="Y",booking!P40&lt;&gt;booking!Q40,booking!Q40&gt;0),booking!Q40,"-")</f>
        <v>116</v>
      </c>
      <c r="U40" s="76" t="str">
        <f>IFERROR(VLOOKUP(T40,Database!$A$2:$M$188,8,FALSE),"-")</f>
        <v>bc</v>
      </c>
      <c r="V40" s="76">
        <f>IFERROR(VLOOKUP(T40,Database!$A$2:$M$188,6,FALSE),"-")</f>
        <v>46126</v>
      </c>
      <c r="W40" s="80">
        <f>IFERROR(VLOOKUP(T40,Database!$A$2:$M$188,9,FALSE),"-")</f>
        <v>0</v>
      </c>
      <c r="X40" s="203">
        <f>IFERROR(VLOOKUP(T40,Database!$A$2:$T$188,19,FALSE),"-")</f>
        <v>2850</v>
      </c>
      <c r="Y40" s="94" t="str">
        <f>IF(AND(D40="Y",booking!T40&lt;&gt;booking!U40,booking!U40&gt;0),booking!U40,"-")</f>
        <v>-</v>
      </c>
      <c r="Z40" s="77" t="str">
        <f>IFERROR(VLOOKUP(Y40,Database!$A$2:$M$188,8,FALSE),"-")</f>
        <v>-</v>
      </c>
      <c r="AA40" s="77" t="str">
        <f>IFERROR(VLOOKUP(Y40,Database!$A$2:$M$188,6,FALSE),"-")</f>
        <v>-</v>
      </c>
      <c r="AB40" s="90" t="str">
        <f>IFERROR(VLOOKUP(Y40,Database!$A$2:$M$188,9,FALSE),"-")</f>
        <v>-</v>
      </c>
      <c r="AC40" s="8" t="str">
        <f>IFERROR(VLOOKUP(Y40,Database!$A$2:$T$188,19,FALSE),"-")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 t="str">
        <f>IFERROR(VLOOKUP(E41,Database!$A$2:$M$188,8,FALSE),"-")</f>
        <v>web</v>
      </c>
      <c r="G41" s="76">
        <f>IFERROR(VLOOKUP(E41,Database!$A$2:$M$188,6,FALSE),"-")</f>
        <v>45910</v>
      </c>
      <c r="H41" s="91">
        <f>IFERROR(VLOOKUP(E41,Database!$A$2:$M$188,9,FALSE),"-")</f>
        <v>0</v>
      </c>
      <c r="I41" s="109">
        <f>IFERROR(VLOOKUP(E41,Database!$A$2:$T$188,19,FALSE),"-")</f>
        <v>4140</v>
      </c>
      <c r="J41" s="94">
        <f>IF(AND(D41="Y",booking!H41&lt;&gt;booking!I41,booking!I41&gt;0),booking!I41,"-")</f>
        <v>6</v>
      </c>
      <c r="K41" s="76" t="str">
        <f>IFERROR(VLOOKUP(J41,Database!$A$2:$M$188,8,FALSE),"-")</f>
        <v>web</v>
      </c>
      <c r="L41" s="76">
        <f>IFERROR(VLOOKUP(J41,Database!$A$2:$M$188,6,FALSE),"-")</f>
        <v>45910</v>
      </c>
      <c r="M41" s="91">
        <f>IFERROR(VLOOKUP(J41,Database!$A$2:$M$188,9,FALSE),"-")</f>
        <v>0</v>
      </c>
      <c r="N41" s="203">
        <f>IFERROR(VLOOKUP(J41,Database!$A$2:$T$188,19,FALSE),"-")</f>
        <v>4140</v>
      </c>
      <c r="O41" s="94" t="str">
        <f>IF(AND(D41="Y",booking!L41&lt;&gt;booking!M41,booking!M41&gt;0),booking!M41,"-")</f>
        <v>-</v>
      </c>
      <c r="P41" s="76" t="str">
        <f>IFERROR(VLOOKUP(O41,Database!$A$2:$M$188,8,FALSE),"-")</f>
        <v>-</v>
      </c>
      <c r="Q41" s="76" t="str">
        <f>IFERROR(VLOOKUP(O41,Database!$A$2:$M$188,6,FALSE),"-")</f>
        <v>-</v>
      </c>
      <c r="R41" s="80" t="str">
        <f>IFERROR(VLOOKUP(O41,Database!$A$2:$M$188,9,FALSE),"-")</f>
        <v>-</v>
      </c>
      <c r="S41" s="203" t="str">
        <f>IFERROR(VLOOKUP(O41,Database!$A$2:$T$188,19,FALSE),"-")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IFERROR(VLOOKUP(T41,Database!$A$2:$M$188,8,FALSE),"-")</f>
        <v>-</v>
      </c>
      <c r="V41" s="76" t="str">
        <f>IFERROR(VLOOKUP(T41,Database!$A$2:$M$188,6,FALSE),"-")</f>
        <v>-</v>
      </c>
      <c r="W41" s="80" t="str">
        <f>IFERROR(VLOOKUP(T41,Database!$A$2:$M$188,9,FALSE),"-")</f>
        <v>-</v>
      </c>
      <c r="X41" s="203" t="str">
        <f>IFERROR(VLOOKUP(T41,Database!$A$2:$T$188,19,FALSE),"-")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IFERROR(VLOOKUP(Y41,Database!$A$2:$M$188,8,FALSE),"-")</f>
        <v>-</v>
      </c>
      <c r="AA41" s="77" t="str">
        <f>IFERROR(VLOOKUP(Y41,Database!$A$2:$M$188,6,FALSE),"-")</f>
        <v>-</v>
      </c>
      <c r="AB41" s="90" t="str">
        <f>IFERROR(VLOOKUP(Y41,Database!$A$2:$M$188,9,FALSE),"-")</f>
        <v>-</v>
      </c>
      <c r="AC41" s="8" t="str">
        <f>IFERROR(VLOOKUP(Y41,Database!$A$2:$T$188,19,FALSE),"-")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IFERROR(VLOOKUP(E42,Database!$A$2:$M$188,8,FALSE),"-")</f>
        <v>-</v>
      </c>
      <c r="G42" s="76" t="str">
        <f>IFERROR(VLOOKUP(E42,Database!$A$2:$M$188,6,FALSE),"-")</f>
        <v>-</v>
      </c>
      <c r="H42" s="91" t="str">
        <f>IFERROR(VLOOKUP(E42,Database!$A$2:$M$188,9,FALSE),"-")</f>
        <v>-</v>
      </c>
      <c r="I42" s="109" t="str">
        <f>IFERROR(VLOOKUP(E42,Database!$A$2:$T$188,19,FALSE),"-")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IFERROR(VLOOKUP(J42,Database!$A$2:$M$188,8,FALSE),"-")</f>
        <v>-</v>
      </c>
      <c r="L42" s="76" t="str">
        <f>IFERROR(VLOOKUP(J42,Database!$A$2:$M$188,6,FALSE),"-")</f>
        <v>-</v>
      </c>
      <c r="M42" s="91" t="str">
        <f>IFERROR(VLOOKUP(J42,Database!$A$2:$M$188,9,FALSE),"-")</f>
        <v>-</v>
      </c>
      <c r="N42" s="203" t="str">
        <f>IFERROR(VLOOKUP(J42,Database!$A$2:$T$188,19,FALSE),"-")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IFERROR(VLOOKUP(O42,Database!$A$2:$M$188,8,FALSE),"-")</f>
        <v>-</v>
      </c>
      <c r="Q42" s="76" t="str">
        <f>IFERROR(VLOOKUP(O42,Database!$A$2:$M$188,6,FALSE),"-")</f>
        <v>-</v>
      </c>
      <c r="R42" s="80" t="str">
        <f>IFERROR(VLOOKUP(O42,Database!$A$2:$M$188,9,FALSE),"-")</f>
        <v>-</v>
      </c>
      <c r="S42" s="203" t="str">
        <f>IFERROR(VLOOKUP(O42,Database!$A$2:$T$188,19,FALSE),"-")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IFERROR(VLOOKUP(T42,Database!$A$2:$M$188,8,FALSE),"-")</f>
        <v>-</v>
      </c>
      <c r="V42" s="76" t="str">
        <f>IFERROR(VLOOKUP(T42,Database!$A$2:$M$188,6,FALSE),"-")</f>
        <v>-</v>
      </c>
      <c r="W42" s="80" t="str">
        <f>IFERROR(VLOOKUP(T42,Database!$A$2:$M$188,9,FALSE),"-")</f>
        <v>-</v>
      </c>
      <c r="X42" s="203" t="str">
        <f>IFERROR(VLOOKUP(T42,Database!$A$2:$T$188,19,FALSE),"-")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IFERROR(VLOOKUP(Y42,Database!$A$2:$M$188,8,FALSE),"-")</f>
        <v>-</v>
      </c>
      <c r="AA42" s="77" t="str">
        <f>IFERROR(VLOOKUP(Y42,Database!$A$2:$M$188,6,FALSE),"-")</f>
        <v>-</v>
      </c>
      <c r="AB42" s="90" t="str">
        <f>IFERROR(VLOOKUP(Y42,Database!$A$2:$M$188,9,FALSE),"-")</f>
        <v>-</v>
      </c>
      <c r="AC42" s="8" t="str">
        <f>IFERROR(VLOOKUP(Y42,Database!$A$2:$T$188,19,FALSE),"-")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IFERROR(VLOOKUP(E43,Database!$A$2:$M$188,8,FALSE),"-")</f>
        <v>-</v>
      </c>
      <c r="G43" s="76" t="str">
        <f>IFERROR(VLOOKUP(E43,Database!$A$2:$M$188,6,FALSE),"-")</f>
        <v>-</v>
      </c>
      <c r="H43" s="91" t="str">
        <f>IFERROR(VLOOKUP(E43,Database!$A$2:$M$188,9,FALSE),"-")</f>
        <v>-</v>
      </c>
      <c r="I43" s="109" t="str">
        <f>IFERROR(VLOOKUP(E43,Database!$A$2:$T$188,19,FALSE),"-")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IFERROR(VLOOKUP(J43,Database!$A$2:$M$188,8,FALSE),"-")</f>
        <v>-</v>
      </c>
      <c r="L43" s="76" t="str">
        <f>IFERROR(VLOOKUP(J43,Database!$A$2:$M$188,6,FALSE),"-")</f>
        <v>-</v>
      </c>
      <c r="M43" s="91" t="str">
        <f>IFERROR(VLOOKUP(J43,Database!$A$2:$M$188,9,FALSE),"-")</f>
        <v>-</v>
      </c>
      <c r="N43" s="203" t="str">
        <f>IFERROR(VLOOKUP(J43,Database!$A$2:$T$188,19,FALSE),"-")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IFERROR(VLOOKUP(O43,Database!$A$2:$M$188,8,FALSE),"-")</f>
        <v>-</v>
      </c>
      <c r="Q43" s="76" t="str">
        <f>IFERROR(VLOOKUP(O43,Database!$A$2:$M$188,6,FALSE),"-")</f>
        <v>-</v>
      </c>
      <c r="R43" s="80" t="str">
        <f>IFERROR(VLOOKUP(O43,Database!$A$2:$M$188,9,FALSE),"-")</f>
        <v>-</v>
      </c>
      <c r="S43" s="203" t="str">
        <f>IFERROR(VLOOKUP(O43,Database!$A$2:$T$188,19,FALSE),"-")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IFERROR(VLOOKUP(T43,Database!$A$2:$M$188,8,FALSE),"-")</f>
        <v>-</v>
      </c>
      <c r="V43" s="76" t="str">
        <f>IFERROR(VLOOKUP(T43,Database!$A$2:$M$188,6,FALSE),"-")</f>
        <v>-</v>
      </c>
      <c r="W43" s="80" t="str">
        <f>IFERROR(VLOOKUP(T43,Database!$A$2:$M$188,9,FALSE),"-")</f>
        <v>-</v>
      </c>
      <c r="X43" s="203" t="str">
        <f>IFERROR(VLOOKUP(T43,Database!$A$2:$T$188,19,FALSE),"-")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IFERROR(VLOOKUP(Y43,Database!$A$2:$M$188,8,FALSE),"-")</f>
        <v>-</v>
      </c>
      <c r="AA43" s="77" t="str">
        <f>IFERROR(VLOOKUP(Y43,Database!$A$2:$M$188,6,FALSE),"-")</f>
        <v>-</v>
      </c>
      <c r="AB43" s="90" t="str">
        <f>IFERROR(VLOOKUP(Y43,Database!$A$2:$M$188,9,FALSE),"-")</f>
        <v>-</v>
      </c>
      <c r="AC43" s="8" t="str">
        <f>IFERROR(VLOOKUP(Y43,Database!$A$2:$T$188,19,FALSE),"-")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IFERROR(VLOOKUP(E44,Database!$A$2:$M$188,8,FALSE),"-")</f>
        <v>-</v>
      </c>
      <c r="G44" s="76" t="str">
        <f>IFERROR(VLOOKUP(E44,Database!$A$2:$M$188,6,FALSE),"-")</f>
        <v>-</v>
      </c>
      <c r="H44" s="91" t="str">
        <f>IFERROR(VLOOKUP(E44,Database!$A$2:$M$188,9,FALSE),"-")</f>
        <v>-</v>
      </c>
      <c r="I44" s="109" t="str">
        <f>IFERROR(VLOOKUP(E44,Database!$A$2:$T$188,19,FALSE),"-")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IFERROR(VLOOKUP(J44,Database!$A$2:$M$188,8,FALSE),"-")</f>
        <v>-</v>
      </c>
      <c r="L44" s="76" t="str">
        <f>IFERROR(VLOOKUP(J44,Database!$A$2:$M$188,6,FALSE),"-")</f>
        <v>-</v>
      </c>
      <c r="M44" s="91" t="str">
        <f>IFERROR(VLOOKUP(J44,Database!$A$2:$M$188,9,FALSE),"-")</f>
        <v>-</v>
      </c>
      <c r="N44" s="203" t="str">
        <f>IFERROR(VLOOKUP(J44,Database!$A$2:$T$188,19,FALSE),"-")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IFERROR(VLOOKUP(O44,Database!$A$2:$M$188,8,FALSE),"-")</f>
        <v>-</v>
      </c>
      <c r="Q44" s="76" t="str">
        <f>IFERROR(VLOOKUP(O44,Database!$A$2:$M$188,6,FALSE),"-")</f>
        <v>-</v>
      </c>
      <c r="R44" s="80" t="str">
        <f>IFERROR(VLOOKUP(O44,Database!$A$2:$M$188,9,FALSE),"-")</f>
        <v>-</v>
      </c>
      <c r="S44" s="203" t="str">
        <f>IFERROR(VLOOKUP(O44,Database!$A$2:$T$188,19,FALSE),"-")</f>
        <v>-</v>
      </c>
      <c r="T44" s="95">
        <f>IF(AND(D44="Y",booking!P44&lt;&gt;booking!Q44,booking!Q44&gt;0),booking!Q44,"-")</f>
        <v>15</v>
      </c>
      <c r="U44" s="76" t="str">
        <f>IFERROR(VLOOKUP(T44,Database!$A$2:$M$188,8,FALSE),"-")</f>
        <v>FM</v>
      </c>
      <c r="V44" s="76">
        <f>IFERROR(VLOOKUP(T44,Database!$A$2:$M$188,6,FALSE),"-")</f>
        <v>45866</v>
      </c>
      <c r="W44" s="80">
        <f>IFERROR(VLOOKUP(T44,Database!$A$2:$M$188,9,FALSE),"-")</f>
        <v>0</v>
      </c>
      <c r="X44" s="203">
        <f>IFERROR(VLOOKUP(T44,Database!$A$2:$T$188,19,FALSE),"-")</f>
        <v>8925</v>
      </c>
      <c r="Y44" s="94">
        <f>IF(AND(D44="Y",booking!T44&lt;&gt;booking!U44,booking!U44&gt;0),booking!U44,"-")</f>
        <v>17</v>
      </c>
      <c r="Z44" s="77" t="str">
        <f>IFERROR(VLOOKUP(Y44,Database!$A$2:$M$188,8,FALSE),"-")</f>
        <v>FM</v>
      </c>
      <c r="AA44" s="77">
        <f>IFERROR(VLOOKUP(Y44,Database!$A$2:$M$188,6,FALSE),"-")</f>
        <v>45824</v>
      </c>
      <c r="AB44" s="90">
        <f>IFERROR(VLOOKUP(Y44,Database!$A$2:$M$188,9,FALSE),"-")</f>
        <v>0</v>
      </c>
      <c r="AC44" s="8">
        <f>IFERROR(VLOOKUP(Y44,Database!$A$2:$T$188,19,FALSE),"-")</f>
        <v>8925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IFERROR(VLOOKUP(E45,Database!$A$2:$M$188,8,FALSE),"-")</f>
        <v>FM</v>
      </c>
      <c r="G45" s="76">
        <f>IFERROR(VLOOKUP(E45,Database!$A$2:$M$188,6,FALSE),"-")</f>
        <v>45832</v>
      </c>
      <c r="H45" s="91" t="str">
        <f>IFERROR(VLOOKUP(E45,Database!$A$2:$M$188,9,FALSE),"-")</f>
        <v>2030</v>
      </c>
      <c r="I45" s="109">
        <f>IFERROR(VLOOKUP(E45,Database!$A$2:$T$188,19,FALSE),"-")</f>
        <v>17850</v>
      </c>
      <c r="J45" s="94">
        <f>IF(AND(D45="Y",booking!H45&lt;&gt;booking!I45,booking!I45&gt;0),booking!I45,"-")</f>
        <v>16</v>
      </c>
      <c r="K45" s="76" t="str">
        <f>IFERROR(VLOOKUP(J45,Database!$A$2:$M$188,8,FALSE),"-")</f>
        <v>FM</v>
      </c>
      <c r="L45" s="76">
        <f>IFERROR(VLOOKUP(J45,Database!$A$2:$M$188,6,FALSE),"-")</f>
        <v>45832</v>
      </c>
      <c r="M45" s="91" t="str">
        <f>IFERROR(VLOOKUP(J45,Database!$A$2:$M$188,9,FALSE),"-")</f>
        <v>2030</v>
      </c>
      <c r="N45" s="203">
        <f>IFERROR(VLOOKUP(J45,Database!$A$2:$T$188,19,FALSE),"-")</f>
        <v>17850</v>
      </c>
      <c r="O45" s="94">
        <f>IF(AND(D45="Y",booking!L45&lt;&gt;booking!M45,booking!M45&gt;0),booking!M45,"-")</f>
        <v>18</v>
      </c>
      <c r="P45" s="76" t="str">
        <f>IFERROR(VLOOKUP(O45,Database!$A$2:$M$188,8,FALSE),"-")</f>
        <v>FM</v>
      </c>
      <c r="Q45" s="76">
        <f>IFERROR(VLOOKUP(O45,Database!$A$2:$M$188,6,FALSE),"-")</f>
        <v>45834</v>
      </c>
      <c r="R45" s="80">
        <f>IFERROR(VLOOKUP(O45,Database!$A$2:$M$188,9,FALSE),"-")</f>
        <v>0</v>
      </c>
      <c r="S45" s="203">
        <f>IFERROR(VLOOKUP(O45,Database!$A$2:$T$188,19,FALSE),"-")</f>
        <v>6375</v>
      </c>
      <c r="T45" s="95" t="str">
        <f>IF(AND(D45="Y",booking!P45&lt;&gt;booking!Q45,booking!Q45&gt;0),booking!Q45,"-")</f>
        <v>-</v>
      </c>
      <c r="U45" s="76" t="str">
        <f>IFERROR(VLOOKUP(T45,Database!$A$2:$M$188,8,FALSE),"-")</f>
        <v>-</v>
      </c>
      <c r="V45" s="76" t="str">
        <f>IFERROR(VLOOKUP(T45,Database!$A$2:$M$188,6,FALSE),"-")</f>
        <v>-</v>
      </c>
      <c r="W45" s="80" t="str">
        <f>IFERROR(VLOOKUP(T45,Database!$A$2:$M$188,9,FALSE),"-")</f>
        <v>-</v>
      </c>
      <c r="X45" s="203" t="str">
        <f>IFERROR(VLOOKUP(T45,Database!$A$2:$T$188,19,FALSE),"-")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IFERROR(VLOOKUP(Y45,Database!$A$2:$M$188,8,FALSE),"-")</f>
        <v>-</v>
      </c>
      <c r="AA45" s="77" t="str">
        <f>IFERROR(VLOOKUP(Y45,Database!$A$2:$M$188,6,FALSE),"-")</f>
        <v>-</v>
      </c>
      <c r="AB45" s="90" t="str">
        <f>IFERROR(VLOOKUP(Y45,Database!$A$2:$M$188,9,FALSE),"-")</f>
        <v>-</v>
      </c>
      <c r="AC45" s="8" t="str">
        <f>IFERROR(VLOOKUP(Y45,Database!$A$2:$T$188,19,FALSE),"-")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IFERROR(VLOOKUP(E46,Database!$A$2:$M$188,8,FALSE),"-")</f>
        <v>-</v>
      </c>
      <c r="G46" s="76" t="str">
        <f>IFERROR(VLOOKUP(E46,Database!$A$2:$M$188,6,FALSE),"-")</f>
        <v>-</v>
      </c>
      <c r="H46" s="91" t="str">
        <f>IFERROR(VLOOKUP(E46,Database!$A$2:$M$188,9,FALSE),"-")</f>
        <v>-</v>
      </c>
      <c r="I46" s="109" t="str">
        <f>IFERROR(VLOOKUP(E46,Database!$A$2:$T$188,19,FALSE),"-")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IFERROR(VLOOKUP(J46,Database!$A$2:$M$188,8,FALSE),"-")</f>
        <v>-</v>
      </c>
      <c r="L46" s="76" t="str">
        <f>IFERROR(VLOOKUP(J46,Database!$A$2:$M$188,6,FALSE),"-")</f>
        <v>-</v>
      </c>
      <c r="M46" s="91" t="str">
        <f>IFERROR(VLOOKUP(J46,Database!$A$2:$M$188,9,FALSE),"-")</f>
        <v>-</v>
      </c>
      <c r="N46" s="203" t="str">
        <f>IFERROR(VLOOKUP(J46,Database!$A$2:$T$188,19,FALSE),"-")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IFERROR(VLOOKUP(O46,Database!$A$2:$M$188,8,FALSE),"-")</f>
        <v>-</v>
      </c>
      <c r="Q46" s="76" t="str">
        <f>IFERROR(VLOOKUP(O46,Database!$A$2:$M$188,6,FALSE),"-")</f>
        <v>-</v>
      </c>
      <c r="R46" s="80" t="str">
        <f>IFERROR(VLOOKUP(O46,Database!$A$2:$M$188,9,FALSE),"-")</f>
        <v>-</v>
      </c>
      <c r="S46" s="203" t="str">
        <f>IFERROR(VLOOKUP(O46,Database!$A$2:$T$188,19,FALSE),"-")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IFERROR(VLOOKUP(T46,Database!$A$2:$M$188,8,FALSE),"-")</f>
        <v>-</v>
      </c>
      <c r="V46" s="76" t="str">
        <f>IFERROR(VLOOKUP(T46,Database!$A$2:$M$188,6,FALSE),"-")</f>
        <v>-</v>
      </c>
      <c r="W46" s="80" t="str">
        <f>IFERROR(VLOOKUP(T46,Database!$A$2:$M$188,9,FALSE),"-")</f>
        <v>-</v>
      </c>
      <c r="X46" s="203" t="str">
        <f>IFERROR(VLOOKUP(T46,Database!$A$2:$T$188,19,FALSE),"-")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IFERROR(VLOOKUP(Y46,Database!$A$2:$M$188,8,FALSE),"-")</f>
        <v>-</v>
      </c>
      <c r="AA46" s="77" t="str">
        <f>IFERROR(VLOOKUP(Y46,Database!$A$2:$M$188,6,FALSE),"-")</f>
        <v>-</v>
      </c>
      <c r="AB46" s="90" t="str">
        <f>IFERROR(VLOOKUP(Y46,Database!$A$2:$M$188,9,FALSE),"-")</f>
        <v>-</v>
      </c>
      <c r="AC46" s="8" t="str">
        <f>IFERROR(VLOOKUP(Y46,Database!$A$2:$T$188,19,FALSE),"-")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IFERROR(VLOOKUP(E47,Database!$A$2:$M$188,8,FALSE),"-")</f>
        <v>-</v>
      </c>
      <c r="G47" s="76" t="str">
        <f>IFERROR(VLOOKUP(E47,Database!$A$2:$M$188,6,FALSE),"-")</f>
        <v>-</v>
      </c>
      <c r="H47" s="91" t="str">
        <f>IFERROR(VLOOKUP(E47,Database!$A$2:$M$188,9,FALSE),"-")</f>
        <v>-</v>
      </c>
      <c r="I47" s="109" t="str">
        <f>IFERROR(VLOOKUP(E47,Database!$A$2:$T$188,19,FALSE),"-")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IFERROR(VLOOKUP(J47,Database!$A$2:$M$188,8,FALSE),"-")</f>
        <v>-</v>
      </c>
      <c r="L47" s="76" t="str">
        <f>IFERROR(VLOOKUP(J47,Database!$A$2:$M$188,6,FALSE),"-")</f>
        <v>-</v>
      </c>
      <c r="M47" s="91" t="str">
        <f>IFERROR(VLOOKUP(J47,Database!$A$2:$M$188,9,FALSE),"-")</f>
        <v>-</v>
      </c>
      <c r="N47" s="203" t="str">
        <f>IFERROR(VLOOKUP(J47,Database!$A$2:$T$188,19,FALSE),"-")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IFERROR(VLOOKUP(O47,Database!$A$2:$M$188,8,FALSE),"-")</f>
        <v>-</v>
      </c>
      <c r="Q47" s="76" t="str">
        <f>IFERROR(VLOOKUP(O47,Database!$A$2:$M$188,6,FALSE),"-")</f>
        <v>-</v>
      </c>
      <c r="R47" s="80" t="str">
        <f>IFERROR(VLOOKUP(O47,Database!$A$2:$M$188,9,FALSE),"-")</f>
        <v>-</v>
      </c>
      <c r="S47" s="203" t="str">
        <f>IFERROR(VLOOKUP(O47,Database!$A$2:$T$188,19,FALSE),"-")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IFERROR(VLOOKUP(T47,Database!$A$2:$M$188,8,FALSE),"-")</f>
        <v>-</v>
      </c>
      <c r="V47" s="76" t="str">
        <f>IFERROR(VLOOKUP(T47,Database!$A$2:$M$188,6,FALSE),"-")</f>
        <v>-</v>
      </c>
      <c r="W47" s="80" t="str">
        <f>IFERROR(VLOOKUP(T47,Database!$A$2:$M$188,9,FALSE),"-")</f>
        <v>-</v>
      </c>
      <c r="X47" s="203" t="str">
        <f>IFERROR(VLOOKUP(T47,Database!$A$2:$T$188,19,FALSE),"-")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IFERROR(VLOOKUP(Y47,Database!$A$2:$M$188,8,FALSE),"-")</f>
        <v>-</v>
      </c>
      <c r="AA47" s="77" t="str">
        <f>IFERROR(VLOOKUP(Y47,Database!$A$2:$M$188,6,FALSE),"-")</f>
        <v>-</v>
      </c>
      <c r="AB47" s="90" t="str">
        <f>IFERROR(VLOOKUP(Y47,Database!$A$2:$M$188,9,FALSE),"-")</f>
        <v>-</v>
      </c>
      <c r="AC47" s="8" t="str">
        <f>IFERROR(VLOOKUP(Y47,Database!$A$2:$T$188,19,FALSE),"-")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IFERROR(VLOOKUP(E48,Database!$A$2:$M$188,8,FALSE),"-")</f>
        <v>-</v>
      </c>
      <c r="G48" s="76" t="str">
        <f>IFERROR(VLOOKUP(E48,Database!$A$2:$M$188,6,FALSE),"-")</f>
        <v>-</v>
      </c>
      <c r="H48" s="91" t="str">
        <f>IFERROR(VLOOKUP(E48,Database!$A$2:$M$188,9,FALSE),"-")</f>
        <v>-</v>
      </c>
      <c r="I48" s="109" t="str">
        <f>IFERROR(VLOOKUP(E48,Database!$A$2:$T$188,19,FALSE),"-")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IFERROR(VLOOKUP(J48,Database!$A$2:$M$188,8,FALSE),"-")</f>
        <v>-</v>
      </c>
      <c r="L48" s="76" t="str">
        <f>IFERROR(VLOOKUP(J48,Database!$A$2:$M$188,6,FALSE),"-")</f>
        <v>-</v>
      </c>
      <c r="M48" s="91" t="str">
        <f>IFERROR(VLOOKUP(J48,Database!$A$2:$M$188,9,FALSE),"-")</f>
        <v>-</v>
      </c>
      <c r="N48" s="203" t="str">
        <f>IFERROR(VLOOKUP(J48,Database!$A$2:$T$188,19,FALSE),"-")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IFERROR(VLOOKUP(O48,Database!$A$2:$M$188,8,FALSE),"-")</f>
        <v>-</v>
      </c>
      <c r="Q48" s="76" t="str">
        <f>IFERROR(VLOOKUP(O48,Database!$A$2:$M$188,6,FALSE),"-")</f>
        <v>-</v>
      </c>
      <c r="R48" s="80" t="str">
        <f>IFERROR(VLOOKUP(O48,Database!$A$2:$M$188,9,FALSE),"-")</f>
        <v>-</v>
      </c>
      <c r="S48" s="203" t="str">
        <f>IFERROR(VLOOKUP(O48,Database!$A$2:$T$188,19,FALSE),"-")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IFERROR(VLOOKUP(T48,Database!$A$2:$M$188,8,FALSE),"-")</f>
        <v>-</v>
      </c>
      <c r="V48" s="76" t="str">
        <f>IFERROR(VLOOKUP(T48,Database!$A$2:$M$188,6,FALSE),"-")</f>
        <v>-</v>
      </c>
      <c r="W48" s="80" t="str">
        <f>IFERROR(VLOOKUP(T48,Database!$A$2:$M$188,9,FALSE),"-")</f>
        <v>-</v>
      </c>
      <c r="X48" s="203" t="str">
        <f>IFERROR(VLOOKUP(T48,Database!$A$2:$T$188,19,FALSE),"-")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IFERROR(VLOOKUP(Y48,Database!$A$2:$M$188,8,FALSE),"-")</f>
        <v>-</v>
      </c>
      <c r="AA48" s="77" t="str">
        <f>IFERROR(VLOOKUP(Y48,Database!$A$2:$M$188,6,FALSE),"-")</f>
        <v>-</v>
      </c>
      <c r="AB48" s="90" t="str">
        <f>IFERROR(VLOOKUP(Y48,Database!$A$2:$M$188,9,FALSE),"-")</f>
        <v>-</v>
      </c>
      <c r="AC48" s="8" t="str">
        <f>IFERROR(VLOOKUP(Y48,Database!$A$2:$T$188,19,FALSE),"-")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IFERROR(VLOOKUP(E49,Database!$A$2:$M$188,8,FALSE),"-")</f>
        <v>-</v>
      </c>
      <c r="G49" s="76" t="str">
        <f>IFERROR(VLOOKUP(E49,Database!$A$2:$M$188,6,FALSE),"-")</f>
        <v>-</v>
      </c>
      <c r="H49" s="91" t="str">
        <f>IFERROR(VLOOKUP(E49,Database!$A$2:$M$188,9,FALSE),"-")</f>
        <v>-</v>
      </c>
      <c r="I49" s="109" t="str">
        <f>IFERROR(VLOOKUP(E49,Database!$A$2:$T$188,19,FALSE),"-")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IFERROR(VLOOKUP(J49,Database!$A$2:$M$188,8,FALSE),"-")</f>
        <v>-</v>
      </c>
      <c r="L49" s="76" t="str">
        <f>IFERROR(VLOOKUP(J49,Database!$A$2:$M$188,6,FALSE),"-")</f>
        <v>-</v>
      </c>
      <c r="M49" s="91" t="str">
        <f>IFERROR(VLOOKUP(J49,Database!$A$2:$M$188,9,FALSE),"-")</f>
        <v>-</v>
      </c>
      <c r="N49" s="203" t="str">
        <f>IFERROR(VLOOKUP(J49,Database!$A$2:$T$188,19,FALSE),"-")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IFERROR(VLOOKUP(O49,Database!$A$2:$M$188,8,FALSE),"-")</f>
        <v>-</v>
      </c>
      <c r="Q49" s="76" t="str">
        <f>IFERROR(VLOOKUP(O49,Database!$A$2:$M$188,6,FALSE),"-")</f>
        <v>-</v>
      </c>
      <c r="R49" s="80" t="str">
        <f>IFERROR(VLOOKUP(O49,Database!$A$2:$M$188,9,FALSE),"-")</f>
        <v>-</v>
      </c>
      <c r="S49" s="203" t="str">
        <f>IFERROR(VLOOKUP(O49,Database!$A$2:$T$188,19,FALSE),"-")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IFERROR(VLOOKUP(T49,Database!$A$2:$M$188,8,FALSE),"-")</f>
        <v>-</v>
      </c>
      <c r="V49" s="76" t="str">
        <f>IFERROR(VLOOKUP(T49,Database!$A$2:$M$188,6,FALSE),"-")</f>
        <v>-</v>
      </c>
      <c r="W49" s="80" t="str">
        <f>IFERROR(VLOOKUP(T49,Database!$A$2:$M$188,9,FALSE),"-")</f>
        <v>-</v>
      </c>
      <c r="X49" s="203" t="str">
        <f>IFERROR(VLOOKUP(T49,Database!$A$2:$T$188,19,FALSE),"-")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IFERROR(VLOOKUP(Y49,Database!$A$2:$M$188,8,FALSE),"-")</f>
        <v>-</v>
      </c>
      <c r="AA49" s="77" t="str">
        <f>IFERROR(VLOOKUP(Y49,Database!$A$2:$M$188,6,FALSE),"-")</f>
        <v>-</v>
      </c>
      <c r="AB49" s="90" t="str">
        <f>IFERROR(VLOOKUP(Y49,Database!$A$2:$M$188,9,FALSE),"-")</f>
        <v>-</v>
      </c>
      <c r="AC49" s="8" t="str">
        <f>IFERROR(VLOOKUP(Y49,Database!$A$2:$T$188,19,FALSE),"-")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IFERROR(VLOOKUP(E50,Database!$A$2:$M$188,8,FALSE),"-")</f>
        <v>-</v>
      </c>
      <c r="G50" s="76" t="str">
        <f>IFERROR(VLOOKUP(E50,Database!$A$2:$M$188,6,FALSE),"-")</f>
        <v>-</v>
      </c>
      <c r="H50" s="91" t="str">
        <f>IFERROR(VLOOKUP(E50,Database!$A$2:$M$188,9,FALSE),"-")</f>
        <v>-</v>
      </c>
      <c r="I50" s="109" t="str">
        <f>IFERROR(VLOOKUP(E50,Database!$A$2:$T$188,19,FALSE),"-")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IFERROR(VLOOKUP(J50,Database!$A$2:$M$188,8,FALSE),"-")</f>
        <v>-</v>
      </c>
      <c r="L50" s="76" t="str">
        <f>IFERROR(VLOOKUP(J50,Database!$A$2:$M$188,6,FALSE),"-")</f>
        <v>-</v>
      </c>
      <c r="M50" s="91" t="str">
        <f>IFERROR(VLOOKUP(J50,Database!$A$2:$M$188,9,FALSE),"-")</f>
        <v>-</v>
      </c>
      <c r="N50" s="203" t="str">
        <f>IFERROR(VLOOKUP(J50,Database!$A$2:$T$188,19,FALSE),"-")</f>
        <v>-</v>
      </c>
      <c r="O50" s="94">
        <f>IF(AND(D50="Y",booking!L50&lt;&gt;booking!M50,booking!M50&gt;0),booking!M50,"-")</f>
        <v>83</v>
      </c>
      <c r="P50" s="76" t="str">
        <f>IFERROR(VLOOKUP(O50,Database!$A$2:$M$188,8,FALSE),"-")</f>
        <v>bc</v>
      </c>
      <c r="Q50" s="76">
        <f>IFERROR(VLOOKUP(O50,Database!$A$2:$M$188,6,FALSE),"-")</f>
        <v>46077</v>
      </c>
      <c r="R50" s="80">
        <f>IFERROR(VLOOKUP(O50,Database!$A$2:$M$188,9,FALSE),"-")</f>
        <v>0</v>
      </c>
      <c r="S50" s="203">
        <f>IFERROR(VLOOKUP(O50,Database!$A$2:$T$188,19,FALSE),"-")</f>
        <v>4600</v>
      </c>
      <c r="T50" s="95" t="str">
        <f>IF(AND(D50="Y",booking!P50&lt;&gt;booking!Q50,booking!Q50&gt;0),booking!Q50,"-")</f>
        <v>-</v>
      </c>
      <c r="U50" s="76" t="str">
        <f>IFERROR(VLOOKUP(T50,Database!$A$2:$M$188,8,FALSE),"-")</f>
        <v>-</v>
      </c>
      <c r="V50" s="76" t="str">
        <f>IFERROR(VLOOKUP(T50,Database!$A$2:$M$188,6,FALSE),"-")</f>
        <v>-</v>
      </c>
      <c r="W50" s="80" t="str">
        <f>IFERROR(VLOOKUP(T50,Database!$A$2:$M$188,9,FALSE),"-")</f>
        <v>-</v>
      </c>
      <c r="X50" s="203" t="str">
        <f>IFERROR(VLOOKUP(T50,Database!$A$2:$T$188,19,FALSE),"-")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IFERROR(VLOOKUP(Y50,Database!$A$2:$M$188,8,FALSE),"-")</f>
        <v>-</v>
      </c>
      <c r="AA50" s="77" t="str">
        <f>IFERROR(VLOOKUP(Y50,Database!$A$2:$M$188,6,FALSE),"-")</f>
        <v>-</v>
      </c>
      <c r="AB50" s="90" t="str">
        <f>IFERROR(VLOOKUP(Y50,Database!$A$2:$M$188,9,FALSE),"-")</f>
        <v>-</v>
      </c>
      <c r="AC50" s="8" t="str">
        <f>IFERROR(VLOOKUP(Y50,Database!$A$2:$T$188,19,FALSE),"-")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 t="str">
        <f>IFERROR(VLOOKUP(E51,Database!$A$2:$M$188,8,FALSE),"-")</f>
        <v>bc</v>
      </c>
      <c r="G51" s="76">
        <f>IFERROR(VLOOKUP(E51,Database!$A$2:$M$188,6,FALSE),"-")</f>
        <v>46170</v>
      </c>
      <c r="H51" s="91">
        <f>IFERROR(VLOOKUP(E51,Database!$A$2:$M$188,9,FALSE),"-")</f>
        <v>0</v>
      </c>
      <c r="I51" s="109">
        <f>IFERROR(VLOOKUP(E51,Database!$A$2:$T$188,19,FALSE),"-")</f>
        <v>1700</v>
      </c>
      <c r="J51" s="94">
        <f>IF(AND(D51="Y",booking!H51&lt;&gt;booking!I51,booking!I51&gt;0),booking!I51,"-")</f>
        <v>148</v>
      </c>
      <c r="K51" s="76" t="str">
        <f>IFERROR(VLOOKUP(J51,Database!$A$2:$M$188,8,FALSE),"-")</f>
        <v>bc</v>
      </c>
      <c r="L51" s="76">
        <f>IFERROR(VLOOKUP(J51,Database!$A$2:$M$188,6,FALSE),"-")</f>
        <v>46181</v>
      </c>
      <c r="M51" s="91">
        <f>IFERROR(VLOOKUP(J51,Database!$A$2:$M$188,9,FALSE),"-")</f>
        <v>0</v>
      </c>
      <c r="N51" s="203">
        <f>IFERROR(VLOOKUP(J51,Database!$A$2:$T$188,19,FALSE),"-")</f>
        <v>3800</v>
      </c>
      <c r="O51" s="94" t="str">
        <f>IF(AND(D51="Y",booking!L51&lt;&gt;booking!M51,booking!M51&gt;0),booking!M51,"-")</f>
        <v>-</v>
      </c>
      <c r="P51" s="76" t="str">
        <f>IFERROR(VLOOKUP(O51,Database!$A$2:$M$188,8,FALSE),"-")</f>
        <v>-</v>
      </c>
      <c r="Q51" s="76" t="str">
        <f>IFERROR(VLOOKUP(O51,Database!$A$2:$M$188,6,FALSE),"-")</f>
        <v>-</v>
      </c>
      <c r="R51" s="80" t="str">
        <f>IFERROR(VLOOKUP(O51,Database!$A$2:$M$188,9,FALSE),"-")</f>
        <v>-</v>
      </c>
      <c r="S51" s="203" t="str">
        <f>IFERROR(VLOOKUP(O51,Database!$A$2:$T$188,19,FALSE),"-")</f>
        <v>-</v>
      </c>
      <c r="T51" s="95">
        <f>IF(AND(D51="Y",booking!P51&lt;&gt;booking!Q51,booking!Q51&gt;0),booking!Q51,"-")</f>
        <v>70</v>
      </c>
      <c r="U51" s="76" t="str">
        <f>IFERROR(VLOOKUP(T51,Database!$A$2:$M$188,8,FALSE),"-")</f>
        <v>web</v>
      </c>
      <c r="V51" s="76">
        <f>IFERROR(VLOOKUP(T51,Database!$A$2:$M$188,6,FALSE),"-")</f>
        <v>46056</v>
      </c>
      <c r="W51" s="80">
        <f>IFERROR(VLOOKUP(T51,Database!$A$2:$M$188,9,FALSE),"-")</f>
        <v>0</v>
      </c>
      <c r="X51" s="203">
        <f>IFERROR(VLOOKUP(T51,Database!$A$2:$T$188,19,FALSE),"-")</f>
        <v>5175</v>
      </c>
      <c r="Y51" s="94">
        <f>IF(AND(D51="Y",booking!T51&lt;&gt;booking!U51,booking!U51&gt;0),booking!U51,"-")</f>
        <v>86</v>
      </c>
      <c r="Z51" s="77" t="str">
        <f>IFERROR(VLOOKUP(Y51,Database!$A$2:$M$188,8,FALSE),"-")</f>
        <v>web</v>
      </c>
      <c r="AA51" s="77">
        <f>IFERROR(VLOOKUP(Y51,Database!$A$2:$M$188,6,FALSE),"-")</f>
        <v>46081</v>
      </c>
      <c r="AB51" s="90">
        <f>IFERROR(VLOOKUP(Y51,Database!$A$2:$M$188,9,FALSE),"-")</f>
        <v>0</v>
      </c>
      <c r="AC51" s="8">
        <f>IFERROR(VLOOKUP(Y51,Database!$A$2:$T$188,19,FALSE),"-")</f>
        <v>7245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IFERROR(VLOOKUP(E52,Database!$A$2:$M$188,8,FALSE),"-")</f>
        <v>-</v>
      </c>
      <c r="G52" s="76" t="str">
        <f>IFERROR(VLOOKUP(E52,Database!$A$2:$M$188,6,FALSE),"-")</f>
        <v>-</v>
      </c>
      <c r="H52" s="91" t="str">
        <f>IFERROR(VLOOKUP(E52,Database!$A$2:$M$188,9,FALSE),"-")</f>
        <v>-</v>
      </c>
      <c r="I52" s="109" t="str">
        <f>IFERROR(VLOOKUP(E52,Database!$A$2:$T$188,19,FALSE),"-")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IFERROR(VLOOKUP(J52,Database!$A$2:$M$188,8,FALSE),"-")</f>
        <v>-</v>
      </c>
      <c r="L52" s="76" t="str">
        <f>IFERROR(VLOOKUP(J52,Database!$A$2:$M$188,6,FALSE),"-")</f>
        <v>-</v>
      </c>
      <c r="M52" s="91" t="str">
        <f>IFERROR(VLOOKUP(J52,Database!$A$2:$M$188,9,FALSE),"-")</f>
        <v>-</v>
      </c>
      <c r="N52" s="203" t="str">
        <f>IFERROR(VLOOKUP(J52,Database!$A$2:$T$188,19,FALSE),"-")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IFERROR(VLOOKUP(O52,Database!$A$2:$M$188,8,FALSE),"-")</f>
        <v>-</v>
      </c>
      <c r="Q52" s="76" t="str">
        <f>IFERROR(VLOOKUP(O52,Database!$A$2:$M$188,6,FALSE),"-")</f>
        <v>-</v>
      </c>
      <c r="R52" s="80" t="str">
        <f>IFERROR(VLOOKUP(O52,Database!$A$2:$M$188,9,FALSE),"-")</f>
        <v>-</v>
      </c>
      <c r="S52" s="203" t="str">
        <f>IFERROR(VLOOKUP(O52,Database!$A$2:$T$188,19,FALSE),"-")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IFERROR(VLOOKUP(T52,Database!$A$2:$M$188,8,FALSE),"-")</f>
        <v>-</v>
      </c>
      <c r="V52" s="76" t="str">
        <f>IFERROR(VLOOKUP(T52,Database!$A$2:$M$188,6,FALSE),"-")</f>
        <v>-</v>
      </c>
      <c r="W52" s="80" t="str">
        <f>IFERROR(VLOOKUP(T52,Database!$A$2:$M$188,9,FALSE),"-")</f>
        <v>-</v>
      </c>
      <c r="X52" s="203" t="str">
        <f>IFERROR(VLOOKUP(T52,Database!$A$2:$T$188,19,FALSE),"-")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IFERROR(VLOOKUP(Y52,Database!$A$2:$M$188,8,FALSE),"-")</f>
        <v>-</v>
      </c>
      <c r="AA52" s="77" t="str">
        <f>IFERROR(VLOOKUP(Y52,Database!$A$2:$M$188,6,FALSE),"-")</f>
        <v>-</v>
      </c>
      <c r="AB52" s="90" t="str">
        <f>IFERROR(VLOOKUP(Y52,Database!$A$2:$M$188,9,FALSE),"-")</f>
        <v>-</v>
      </c>
      <c r="AC52" s="8" t="str">
        <f>IFERROR(VLOOKUP(Y52,Database!$A$2:$T$188,19,FALSE),"-")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 t="str">
        <f>IFERROR(VLOOKUP(E53,Database!$A$2:$M$188,8,FALSE),"-")</f>
        <v>web</v>
      </c>
      <c r="G53" s="76">
        <f>IFERROR(VLOOKUP(E53,Database!$A$2:$M$188,6,FALSE),"-")</f>
        <v>46029</v>
      </c>
      <c r="H53" s="91">
        <f>IFERROR(VLOOKUP(E53,Database!$A$2:$M$188,9,FALSE),"-")</f>
        <v>0</v>
      </c>
      <c r="I53" s="109">
        <f>IFERROR(VLOOKUP(E53,Database!$A$2:$T$188,19,FALSE),"-")</f>
        <v>4275</v>
      </c>
      <c r="J53" s="94" t="str">
        <f>IF(AND(D53="Y",booking!H53&lt;&gt;booking!I53,booking!I53&gt;0),booking!I53,"-")</f>
        <v>-</v>
      </c>
      <c r="K53" s="76" t="str">
        <f>IFERROR(VLOOKUP(J53,Database!$A$2:$M$188,8,FALSE),"-")</f>
        <v>-</v>
      </c>
      <c r="L53" s="76" t="str">
        <f>IFERROR(VLOOKUP(J53,Database!$A$2:$M$188,6,FALSE),"-")</f>
        <v>-</v>
      </c>
      <c r="M53" s="91" t="str">
        <f>IFERROR(VLOOKUP(J53,Database!$A$2:$M$188,9,FALSE),"-")</f>
        <v>-</v>
      </c>
      <c r="N53" s="203" t="str">
        <f>IFERROR(VLOOKUP(J53,Database!$A$2:$T$188,19,FALSE),"-")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IFERROR(VLOOKUP(O53,Database!$A$2:$M$188,8,FALSE),"-")</f>
        <v>-</v>
      </c>
      <c r="Q53" s="76" t="str">
        <f>IFERROR(VLOOKUP(O53,Database!$A$2:$M$188,6,FALSE),"-")</f>
        <v>-</v>
      </c>
      <c r="R53" s="80" t="str">
        <f>IFERROR(VLOOKUP(O53,Database!$A$2:$M$188,9,FALSE),"-")</f>
        <v>-</v>
      </c>
      <c r="S53" s="203" t="str">
        <f>IFERROR(VLOOKUP(O53,Database!$A$2:$T$188,19,FALSE),"-")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IFERROR(VLOOKUP(T53,Database!$A$2:$M$188,8,FALSE),"-")</f>
        <v>-</v>
      </c>
      <c r="V53" s="76" t="str">
        <f>IFERROR(VLOOKUP(T53,Database!$A$2:$M$188,6,FALSE),"-")</f>
        <v>-</v>
      </c>
      <c r="W53" s="80" t="str">
        <f>IFERROR(VLOOKUP(T53,Database!$A$2:$M$188,9,FALSE),"-")</f>
        <v>-</v>
      </c>
      <c r="X53" s="203" t="str">
        <f>IFERROR(VLOOKUP(T53,Database!$A$2:$T$188,19,FALSE),"-")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IFERROR(VLOOKUP(Y53,Database!$A$2:$M$188,8,FALSE),"-")</f>
        <v>-</v>
      </c>
      <c r="AA53" s="77" t="str">
        <f>IFERROR(VLOOKUP(Y53,Database!$A$2:$M$188,6,FALSE),"-")</f>
        <v>-</v>
      </c>
      <c r="AB53" s="90" t="str">
        <f>IFERROR(VLOOKUP(Y53,Database!$A$2:$M$188,9,FALSE),"-")</f>
        <v>-</v>
      </c>
      <c r="AC53" s="8" t="str">
        <f>IFERROR(VLOOKUP(Y53,Database!$A$2:$T$188,19,FALSE),"-")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IFERROR(VLOOKUP(E54,Database!$A$2:$M$188,8,FALSE),"-")</f>
        <v>-</v>
      </c>
      <c r="G54" s="76" t="str">
        <f>IFERROR(VLOOKUP(E54,Database!$A$2:$M$188,6,FALSE),"-")</f>
        <v>-</v>
      </c>
      <c r="H54" s="91" t="str">
        <f>IFERROR(VLOOKUP(E54,Database!$A$2:$M$188,9,FALSE),"-")</f>
        <v>-</v>
      </c>
      <c r="I54" s="109" t="str">
        <f>IFERROR(VLOOKUP(E54,Database!$A$2:$T$188,19,FALSE),"-")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IFERROR(VLOOKUP(J54,Database!$A$2:$M$188,8,FALSE),"-")</f>
        <v>-</v>
      </c>
      <c r="L54" s="76" t="str">
        <f>IFERROR(VLOOKUP(J54,Database!$A$2:$M$188,6,FALSE),"-")</f>
        <v>-</v>
      </c>
      <c r="M54" s="91" t="str">
        <f>IFERROR(VLOOKUP(J54,Database!$A$2:$M$188,9,FALSE),"-")</f>
        <v>-</v>
      </c>
      <c r="N54" s="203" t="str">
        <f>IFERROR(VLOOKUP(J54,Database!$A$2:$T$188,19,FALSE),"-")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IFERROR(VLOOKUP(O54,Database!$A$2:$M$188,8,FALSE),"-")</f>
        <v>-</v>
      </c>
      <c r="Q54" s="76" t="str">
        <f>IFERROR(VLOOKUP(O54,Database!$A$2:$M$188,6,FALSE),"-")</f>
        <v>-</v>
      </c>
      <c r="R54" s="80" t="str">
        <f>IFERROR(VLOOKUP(O54,Database!$A$2:$M$188,9,FALSE),"-")</f>
        <v>-</v>
      </c>
      <c r="S54" s="203" t="str">
        <f>IFERROR(VLOOKUP(O54,Database!$A$2:$T$188,19,FALSE),"-")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IFERROR(VLOOKUP(T54,Database!$A$2:$M$188,8,FALSE),"-")</f>
        <v>-</v>
      </c>
      <c r="V54" s="76" t="str">
        <f>IFERROR(VLOOKUP(T54,Database!$A$2:$M$188,6,FALSE),"-")</f>
        <v>-</v>
      </c>
      <c r="W54" s="80" t="str">
        <f>IFERROR(VLOOKUP(T54,Database!$A$2:$M$188,9,FALSE),"-")</f>
        <v>-</v>
      </c>
      <c r="X54" s="203" t="str">
        <f>IFERROR(VLOOKUP(T54,Database!$A$2:$T$188,19,FALSE),"-")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IFERROR(VLOOKUP(Y54,Database!$A$2:$M$188,8,FALSE),"-")</f>
        <v>-</v>
      </c>
      <c r="AA54" s="77" t="str">
        <f>IFERROR(VLOOKUP(Y54,Database!$A$2:$M$188,6,FALSE),"-")</f>
        <v>-</v>
      </c>
      <c r="AB54" s="90" t="str">
        <f>IFERROR(VLOOKUP(Y54,Database!$A$2:$M$188,9,FALSE),"-")</f>
        <v>-</v>
      </c>
      <c r="AC54" s="8" t="str">
        <f>IFERROR(VLOOKUP(Y54,Database!$A$2:$T$188,19,FALSE),"-")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IFERROR(VLOOKUP(E55,Database!$A$2:$M$188,8,FALSE),"-")</f>
        <v>-</v>
      </c>
      <c r="G55" s="76" t="str">
        <f>IFERROR(VLOOKUP(E55,Database!$A$2:$M$188,6,FALSE),"-")</f>
        <v>-</v>
      </c>
      <c r="H55" s="91" t="str">
        <f>IFERROR(VLOOKUP(E55,Database!$A$2:$M$188,9,FALSE),"-")</f>
        <v>-</v>
      </c>
      <c r="I55" s="109" t="str">
        <f>IFERROR(VLOOKUP(E55,Database!$A$2:$T$188,19,FALSE),"-")</f>
        <v>-</v>
      </c>
      <c r="J55" s="94">
        <f>IF(AND(D55="Y",booking!H55&lt;&gt;booking!I55,booking!I55&gt;0),booking!I55,"-")</f>
        <v>109</v>
      </c>
      <c r="K55" s="76" t="str">
        <f>IFERROR(VLOOKUP(J55,Database!$A$2:$M$188,8,FALSE),"-")</f>
        <v>bc</v>
      </c>
      <c r="L55" s="76">
        <f>IFERROR(VLOOKUP(J55,Database!$A$2:$M$188,6,FALSE),"-")</f>
        <v>46115</v>
      </c>
      <c r="M55" s="91">
        <f>IFERROR(VLOOKUP(J55,Database!$A$2:$M$188,9,FALSE),"-")</f>
        <v>0</v>
      </c>
      <c r="N55" s="203">
        <f>IFERROR(VLOOKUP(J55,Database!$A$2:$T$188,19,FALSE),"-")</f>
        <v>2850</v>
      </c>
      <c r="O55" s="94">
        <f>IF(AND(D55="Y",booking!L55&lt;&gt;booking!M55,booking!M55&gt;0),booking!M55,"-")</f>
        <v>56</v>
      </c>
      <c r="P55" s="76" t="str">
        <f>IFERROR(VLOOKUP(O55,Database!$A$2:$M$188,8,FALSE),"-")</f>
        <v>bc</v>
      </c>
      <c r="Q55" s="76">
        <f>IFERROR(VLOOKUP(O55,Database!$A$2:$M$188,6,FALSE),"-")</f>
        <v>46043</v>
      </c>
      <c r="R55" s="80" t="str">
        <f>IFERROR(VLOOKUP(O55,Database!$A$2:$M$188,9,FALSE),"-")</f>
        <v>2000</v>
      </c>
      <c r="S55" s="203">
        <f>IFERROR(VLOOKUP(O55,Database!$A$2:$T$188,19,FALSE),"-")</f>
        <v>1900</v>
      </c>
      <c r="T55" s="95" t="str">
        <f>IF(AND(D55="Y",booking!P55&lt;&gt;booking!Q55,booking!Q55&gt;0),booking!Q55,"-")</f>
        <v>-</v>
      </c>
      <c r="U55" s="76" t="str">
        <f>IFERROR(VLOOKUP(T55,Database!$A$2:$M$188,8,FALSE),"-")</f>
        <v>-</v>
      </c>
      <c r="V55" s="76" t="str">
        <f>IFERROR(VLOOKUP(T55,Database!$A$2:$M$188,6,FALSE),"-")</f>
        <v>-</v>
      </c>
      <c r="W55" s="80" t="str">
        <f>IFERROR(VLOOKUP(T55,Database!$A$2:$M$188,9,FALSE),"-")</f>
        <v>-</v>
      </c>
      <c r="X55" s="203" t="str">
        <f>IFERROR(VLOOKUP(T55,Database!$A$2:$T$188,19,FALSE),"-")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IFERROR(VLOOKUP(Y55,Database!$A$2:$M$188,8,FALSE),"-")</f>
        <v>-</v>
      </c>
      <c r="AA55" s="77" t="str">
        <f>IFERROR(VLOOKUP(Y55,Database!$A$2:$M$188,6,FALSE),"-")</f>
        <v>-</v>
      </c>
      <c r="AB55" s="90" t="str">
        <f>IFERROR(VLOOKUP(Y55,Database!$A$2:$M$188,9,FALSE),"-")</f>
        <v>-</v>
      </c>
      <c r="AC55" s="8" t="str">
        <f>IFERROR(VLOOKUP(Y55,Database!$A$2:$T$188,19,FALSE),"-")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IFERROR(VLOOKUP(E56,Database!$A$2:$M$188,8,FALSE),"-")</f>
        <v>-</v>
      </c>
      <c r="G56" s="76" t="str">
        <f>IFERROR(VLOOKUP(E56,Database!$A$2:$M$188,6,FALSE),"-")</f>
        <v>-</v>
      </c>
      <c r="H56" s="91" t="str">
        <f>IFERROR(VLOOKUP(E56,Database!$A$2:$M$188,9,FALSE),"-")</f>
        <v>-</v>
      </c>
      <c r="I56" s="109" t="str">
        <f>IFERROR(VLOOKUP(E56,Database!$A$2:$T$188,19,FALSE),"-")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IFERROR(VLOOKUP(J56,Database!$A$2:$M$188,8,FALSE),"-")</f>
        <v>-</v>
      </c>
      <c r="L56" s="76" t="str">
        <f>IFERROR(VLOOKUP(J56,Database!$A$2:$M$188,6,FALSE),"-")</f>
        <v>-</v>
      </c>
      <c r="M56" s="91" t="str">
        <f>IFERROR(VLOOKUP(J56,Database!$A$2:$M$188,9,FALSE),"-")</f>
        <v>-</v>
      </c>
      <c r="N56" s="203" t="str">
        <f>IFERROR(VLOOKUP(J56,Database!$A$2:$T$188,19,FALSE),"-")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IFERROR(VLOOKUP(O56,Database!$A$2:$M$188,8,FALSE),"-")</f>
        <v>-</v>
      </c>
      <c r="Q56" s="76" t="str">
        <f>IFERROR(VLOOKUP(O56,Database!$A$2:$M$188,6,FALSE),"-")</f>
        <v>-</v>
      </c>
      <c r="R56" s="80" t="str">
        <f>IFERROR(VLOOKUP(O56,Database!$A$2:$M$188,9,FALSE),"-")</f>
        <v>-</v>
      </c>
      <c r="S56" s="203" t="str">
        <f>IFERROR(VLOOKUP(O56,Database!$A$2:$T$188,19,FALSE),"-")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IFERROR(VLOOKUP(T56,Database!$A$2:$M$188,8,FALSE),"-")</f>
        <v>-</v>
      </c>
      <c r="V56" s="76" t="str">
        <f>IFERROR(VLOOKUP(T56,Database!$A$2:$M$188,6,FALSE),"-")</f>
        <v>-</v>
      </c>
      <c r="W56" s="80" t="str">
        <f>IFERROR(VLOOKUP(T56,Database!$A$2:$M$188,9,FALSE),"-")</f>
        <v>-</v>
      </c>
      <c r="X56" s="203" t="str">
        <f>IFERROR(VLOOKUP(T56,Database!$A$2:$T$188,19,FALSE),"-")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IFERROR(VLOOKUP(Y56,Database!$A$2:$M$188,8,FALSE),"-")</f>
        <v>-</v>
      </c>
      <c r="AA56" s="77" t="str">
        <f>IFERROR(VLOOKUP(Y56,Database!$A$2:$M$188,6,FALSE),"-")</f>
        <v>-</v>
      </c>
      <c r="AB56" s="90" t="str">
        <f>IFERROR(VLOOKUP(Y56,Database!$A$2:$M$188,9,FALSE),"-")</f>
        <v>-</v>
      </c>
      <c r="AC56" s="8" t="str">
        <f>IFERROR(VLOOKUP(Y56,Database!$A$2:$T$188,19,FALSE),"-")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IFERROR(VLOOKUP(E57,Database!$A$2:$M$188,8,FALSE),"-")</f>
        <v>-</v>
      </c>
      <c r="G57" s="76" t="str">
        <f>IFERROR(VLOOKUP(E57,Database!$A$2:$M$188,6,FALSE),"-")</f>
        <v>-</v>
      </c>
      <c r="H57" s="91" t="str">
        <f>IFERROR(VLOOKUP(E57,Database!$A$2:$M$188,9,FALSE),"-")</f>
        <v>-</v>
      </c>
      <c r="I57" s="109" t="str">
        <f>IFERROR(VLOOKUP(E57,Database!$A$2:$T$188,19,FALSE),"-")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IFERROR(VLOOKUP(J57,Database!$A$2:$M$188,8,FALSE),"-")</f>
        <v>-</v>
      </c>
      <c r="L57" s="76" t="str">
        <f>IFERROR(VLOOKUP(J57,Database!$A$2:$M$188,6,FALSE),"-")</f>
        <v>-</v>
      </c>
      <c r="M57" s="91" t="str">
        <f>IFERROR(VLOOKUP(J57,Database!$A$2:$M$188,9,FALSE),"-")</f>
        <v>-</v>
      </c>
      <c r="N57" s="203" t="str">
        <f>IFERROR(VLOOKUP(J57,Database!$A$2:$T$188,19,FALSE),"-")</f>
        <v>-</v>
      </c>
      <c r="O57" s="94">
        <f>IF(AND(D57="Y",booking!L57&lt;&gt;booking!M57,booking!M57&gt;0),booking!M57,"-")</f>
        <v>129</v>
      </c>
      <c r="P57" s="76" t="str">
        <f>IFERROR(VLOOKUP(O57,Database!$A$2:$M$188,8,FALSE),"-")</f>
        <v>bc</v>
      </c>
      <c r="Q57" s="76">
        <f>IFERROR(VLOOKUP(O57,Database!$A$2:$M$188,6,FALSE),"-")</f>
        <v>46154</v>
      </c>
      <c r="R57" s="80">
        <f>IFERROR(VLOOKUP(O57,Database!$A$2:$M$188,9,FALSE),"-")</f>
        <v>0</v>
      </c>
      <c r="S57" s="203">
        <f>IFERROR(VLOOKUP(O57,Database!$A$2:$T$188,19,FALSE),"-")</f>
        <v>2550</v>
      </c>
      <c r="T57" s="95">
        <f>IF(AND(D57="Y",booking!P57&lt;&gt;booking!Q57,booking!Q57&gt;0),booking!Q57,"-")</f>
        <v>130</v>
      </c>
      <c r="U57" s="76" t="str">
        <f>IFERROR(VLOOKUP(T57,Database!$A$2:$M$188,8,FALSE),"-")</f>
        <v>bc</v>
      </c>
      <c r="V57" s="76">
        <f>IFERROR(VLOOKUP(T57,Database!$A$2:$M$188,6,FALSE),"-")</f>
        <v>46159</v>
      </c>
      <c r="W57" s="80">
        <f>IFERROR(VLOOKUP(T57,Database!$A$2:$M$188,9,FALSE),"-")</f>
        <v>0</v>
      </c>
      <c r="X57" s="203">
        <f>IFERROR(VLOOKUP(T57,Database!$A$2:$T$188,19,FALSE),"-")</f>
        <v>2550</v>
      </c>
      <c r="Y57" s="94" t="str">
        <f>IF(AND(D57="Y",booking!T57&lt;&gt;booking!U57,booking!U57&gt;0),booking!U57,"-")</f>
        <v>-</v>
      </c>
      <c r="Z57" s="77" t="str">
        <f>IFERROR(VLOOKUP(Y57,Database!$A$2:$M$188,8,FALSE),"-")</f>
        <v>-</v>
      </c>
      <c r="AA57" s="77" t="str">
        <f>IFERROR(VLOOKUP(Y57,Database!$A$2:$M$188,6,FALSE),"-")</f>
        <v>-</v>
      </c>
      <c r="AB57" s="90" t="str">
        <f>IFERROR(VLOOKUP(Y57,Database!$A$2:$M$188,9,FALSE),"-")</f>
        <v>-</v>
      </c>
      <c r="AC57" s="8" t="str">
        <f>IFERROR(VLOOKUP(Y57,Database!$A$2:$T$188,19,FALSE),"-")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IFERROR(VLOOKUP(E58,Database!$A$2:$M$188,8,FALSE),"-")</f>
        <v>bc</v>
      </c>
      <c r="G58" s="76">
        <f>IFERROR(VLOOKUP(E58,Database!$A$2:$M$188,6,FALSE),"-")</f>
        <v>46031</v>
      </c>
      <c r="H58" s="91" t="str">
        <f>IFERROR(VLOOKUP(E58,Database!$A$2:$M$188,9,FALSE),"-")</f>
        <v>1430</v>
      </c>
      <c r="I58" s="109">
        <f>IFERROR(VLOOKUP(E58,Database!$A$2:$T$188,19,FALSE),"-")</f>
        <v>3450</v>
      </c>
      <c r="J58" s="94">
        <f>IF(AND(D58="Y",booking!H58&lt;&gt;booking!I58,booking!I58&gt;0),booking!I58,"-")</f>
        <v>141</v>
      </c>
      <c r="K58" s="76" t="str">
        <f>IFERROR(VLOOKUP(J58,Database!$A$2:$M$188,8,FALSE),"-")</f>
        <v>bc</v>
      </c>
      <c r="L58" s="76">
        <f>IFERROR(VLOOKUP(J58,Database!$A$2:$M$188,6,FALSE),"-")</f>
        <v>46171</v>
      </c>
      <c r="M58" s="91">
        <f>IFERROR(VLOOKUP(J58,Database!$A$2:$M$188,9,FALSE),"-")</f>
        <v>0</v>
      </c>
      <c r="N58" s="203">
        <f>IFERROR(VLOOKUP(J58,Database!$A$2:$T$188,19,FALSE),"-")</f>
        <v>4600</v>
      </c>
      <c r="O58" s="94" t="str">
        <f>IF(AND(D58="Y",booking!L58&lt;&gt;booking!M58,booking!M58&gt;0),booking!M58,"-")</f>
        <v>-</v>
      </c>
      <c r="P58" s="76" t="str">
        <f>IFERROR(VLOOKUP(O58,Database!$A$2:$M$188,8,FALSE),"-")</f>
        <v>-</v>
      </c>
      <c r="Q58" s="76" t="str">
        <f>IFERROR(VLOOKUP(O58,Database!$A$2:$M$188,6,FALSE),"-")</f>
        <v>-</v>
      </c>
      <c r="R58" s="80" t="str">
        <f>IFERROR(VLOOKUP(O58,Database!$A$2:$M$188,9,FALSE),"-")</f>
        <v>-</v>
      </c>
      <c r="S58" s="203" t="str">
        <f>IFERROR(VLOOKUP(O58,Database!$A$2:$T$188,19,FALSE),"-")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IFERROR(VLOOKUP(T58,Database!$A$2:$M$188,8,FALSE),"-")</f>
        <v>-</v>
      </c>
      <c r="V58" s="76" t="str">
        <f>IFERROR(VLOOKUP(T58,Database!$A$2:$M$188,6,FALSE),"-")</f>
        <v>-</v>
      </c>
      <c r="W58" s="80" t="str">
        <f>IFERROR(VLOOKUP(T58,Database!$A$2:$M$188,9,FALSE),"-")</f>
        <v>-</v>
      </c>
      <c r="X58" s="203" t="str">
        <f>IFERROR(VLOOKUP(T58,Database!$A$2:$T$188,19,FALSE),"-")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IFERROR(VLOOKUP(Y58,Database!$A$2:$M$188,8,FALSE),"-")</f>
        <v>-</v>
      </c>
      <c r="AA58" s="77" t="str">
        <f>IFERROR(VLOOKUP(Y58,Database!$A$2:$M$188,6,FALSE),"-")</f>
        <v>-</v>
      </c>
      <c r="AB58" s="90" t="str">
        <f>IFERROR(VLOOKUP(Y58,Database!$A$2:$M$188,9,FALSE),"-")</f>
        <v>-</v>
      </c>
      <c r="AC58" s="8" t="str">
        <f>IFERROR(VLOOKUP(Y58,Database!$A$2:$T$188,19,FALSE),"-")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IFERROR(VLOOKUP(E59,Database!$A$2:$M$188,8,FALSE),"-")</f>
        <v>-</v>
      </c>
      <c r="G59" s="76" t="str">
        <f>IFERROR(VLOOKUP(E59,Database!$A$2:$M$188,6,FALSE),"-")</f>
        <v>-</v>
      </c>
      <c r="H59" s="91" t="str">
        <f>IFERROR(VLOOKUP(E59,Database!$A$2:$M$188,9,FALSE),"-")</f>
        <v>-</v>
      </c>
      <c r="I59" s="109" t="str">
        <f>IFERROR(VLOOKUP(E59,Database!$A$2:$T$188,19,FALSE),"-")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IFERROR(VLOOKUP(J59,Database!$A$2:$M$188,8,FALSE),"-")</f>
        <v>-</v>
      </c>
      <c r="L59" s="76" t="str">
        <f>IFERROR(VLOOKUP(J59,Database!$A$2:$M$188,6,FALSE),"-")</f>
        <v>-</v>
      </c>
      <c r="M59" s="91" t="str">
        <f>IFERROR(VLOOKUP(J59,Database!$A$2:$M$188,9,FALSE),"-")</f>
        <v>-</v>
      </c>
      <c r="N59" s="203" t="str">
        <f>IFERROR(VLOOKUP(J59,Database!$A$2:$T$188,19,FALSE),"-")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IFERROR(VLOOKUP(O59,Database!$A$2:$M$188,8,FALSE),"-")</f>
        <v>-</v>
      </c>
      <c r="Q59" s="76" t="str">
        <f>IFERROR(VLOOKUP(O59,Database!$A$2:$M$188,6,FALSE),"-")</f>
        <v>-</v>
      </c>
      <c r="R59" s="80" t="str">
        <f>IFERROR(VLOOKUP(O59,Database!$A$2:$M$188,9,FALSE),"-")</f>
        <v>-</v>
      </c>
      <c r="S59" s="203" t="str">
        <f>IFERROR(VLOOKUP(O59,Database!$A$2:$T$188,19,FALSE),"-")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IFERROR(VLOOKUP(T59,Database!$A$2:$M$188,8,FALSE),"-")</f>
        <v>-</v>
      </c>
      <c r="V59" s="76" t="str">
        <f>IFERROR(VLOOKUP(T59,Database!$A$2:$M$188,6,FALSE),"-")</f>
        <v>-</v>
      </c>
      <c r="W59" s="80" t="str">
        <f>IFERROR(VLOOKUP(T59,Database!$A$2:$M$188,9,FALSE),"-")</f>
        <v>-</v>
      </c>
      <c r="X59" s="203" t="str">
        <f>IFERROR(VLOOKUP(T59,Database!$A$2:$T$188,19,FALSE),"-")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IFERROR(VLOOKUP(Y59,Database!$A$2:$M$188,8,FALSE),"-")</f>
        <v>bc</v>
      </c>
      <c r="AA59" s="77">
        <f>IFERROR(VLOOKUP(Y59,Database!$A$2:$M$188,6,FALSE),"-")</f>
        <v>46182</v>
      </c>
      <c r="AB59" s="90" t="str">
        <f>IFERROR(VLOOKUP(Y59,Database!$A$2:$M$188,9,FALSE),"-")</f>
        <v>2030</v>
      </c>
      <c r="AC59" s="8">
        <f>IFERROR(VLOOKUP(Y59,Database!$A$2:$T$188,19,FALSE),"-")</f>
        <v>4600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IFERROR(VLOOKUP(E60,Database!$A$2:$M$188,8,FALSE),"-")</f>
        <v>-</v>
      </c>
      <c r="G60" s="76" t="str">
        <f>IFERROR(VLOOKUP(E60,Database!$A$2:$M$188,6,FALSE),"-")</f>
        <v>-</v>
      </c>
      <c r="H60" s="91" t="str">
        <f>IFERROR(VLOOKUP(E60,Database!$A$2:$M$188,9,FALSE),"-")</f>
        <v>-</v>
      </c>
      <c r="I60" s="109" t="str">
        <f>IFERROR(VLOOKUP(E60,Database!$A$2:$T$188,19,FALSE),"-")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IFERROR(VLOOKUP(J60,Database!$A$2:$M$188,8,FALSE),"-")</f>
        <v>-</v>
      </c>
      <c r="L60" s="76" t="str">
        <f>IFERROR(VLOOKUP(J60,Database!$A$2:$M$188,6,FALSE),"-")</f>
        <v>-</v>
      </c>
      <c r="M60" s="91" t="str">
        <f>IFERROR(VLOOKUP(J60,Database!$A$2:$M$188,9,FALSE),"-")</f>
        <v>-</v>
      </c>
      <c r="N60" s="203" t="str">
        <f>IFERROR(VLOOKUP(J60,Database!$A$2:$T$188,19,FALSE),"-")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IFERROR(VLOOKUP(O60,Database!$A$2:$M$188,8,FALSE),"-")</f>
        <v>-</v>
      </c>
      <c r="Q60" s="76" t="str">
        <f>IFERROR(VLOOKUP(O60,Database!$A$2:$M$188,6,FALSE),"-")</f>
        <v>-</v>
      </c>
      <c r="R60" s="80" t="str">
        <f>IFERROR(VLOOKUP(O60,Database!$A$2:$M$188,9,FALSE),"-")</f>
        <v>-</v>
      </c>
      <c r="S60" s="203" t="str">
        <f>IFERROR(VLOOKUP(O60,Database!$A$2:$T$188,19,FALSE),"-")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IFERROR(VLOOKUP(T60,Database!$A$2:$M$188,8,FALSE),"-")</f>
        <v>-</v>
      </c>
      <c r="V60" s="76" t="str">
        <f>IFERROR(VLOOKUP(T60,Database!$A$2:$M$188,6,FALSE),"-")</f>
        <v>-</v>
      </c>
      <c r="W60" s="80" t="str">
        <f>IFERROR(VLOOKUP(T60,Database!$A$2:$M$188,9,FALSE),"-")</f>
        <v>-</v>
      </c>
      <c r="X60" s="203" t="str">
        <f>IFERROR(VLOOKUP(T60,Database!$A$2:$T$188,19,FALSE),"-")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IFERROR(VLOOKUP(Y60,Database!$A$2:$M$188,8,FALSE),"-")</f>
        <v>-</v>
      </c>
      <c r="AA60" s="77" t="str">
        <f>IFERROR(VLOOKUP(Y60,Database!$A$2:$M$188,6,FALSE),"-")</f>
        <v>-</v>
      </c>
      <c r="AB60" s="90" t="str">
        <f>IFERROR(VLOOKUP(Y60,Database!$A$2:$M$188,9,FALSE),"-")</f>
        <v>-</v>
      </c>
      <c r="AC60" s="8" t="str">
        <f>IFERROR(VLOOKUP(Y60,Database!$A$2:$T$188,19,FALSE),"-")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 t="str">
        <f>IFERROR(VLOOKUP(E61,Database!$A$2:$M$188,8,FALSE),"-")</f>
        <v>bc</v>
      </c>
      <c r="G61" s="76">
        <f>IFERROR(VLOOKUP(E61,Database!$A$2:$M$188,6,FALSE),"-")</f>
        <v>46053</v>
      </c>
      <c r="H61" s="91">
        <f>IFERROR(VLOOKUP(E61,Database!$A$2:$M$188,9,FALSE),"-")</f>
        <v>0</v>
      </c>
      <c r="I61" s="109">
        <f>IFERROR(VLOOKUP(E61,Database!$A$2:$T$188,19,FALSE),"-")</f>
        <v>2850</v>
      </c>
      <c r="J61" s="94" t="str">
        <f>IF(AND(D61="Y",booking!H61&lt;&gt;booking!I61,booking!I61&gt;0),booking!I61,"-")</f>
        <v>-</v>
      </c>
      <c r="K61" s="76" t="str">
        <f>IFERROR(VLOOKUP(J61,Database!$A$2:$M$188,8,FALSE),"-")</f>
        <v>-</v>
      </c>
      <c r="L61" s="76" t="str">
        <f>IFERROR(VLOOKUP(J61,Database!$A$2:$M$188,6,FALSE),"-")</f>
        <v>-</v>
      </c>
      <c r="M61" s="91" t="str">
        <f>IFERROR(VLOOKUP(J61,Database!$A$2:$M$188,9,FALSE),"-")</f>
        <v>-</v>
      </c>
      <c r="N61" s="203" t="str">
        <f>IFERROR(VLOOKUP(J61,Database!$A$2:$T$188,19,FALSE),"-")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IFERROR(VLOOKUP(O61,Database!$A$2:$M$188,8,FALSE),"-")</f>
        <v>bc</v>
      </c>
      <c r="Q61" s="76">
        <f>IFERROR(VLOOKUP(O61,Database!$A$2:$M$188,6,FALSE),"-")</f>
        <v>46030</v>
      </c>
      <c r="R61" s="80" t="str">
        <f>IFERROR(VLOOKUP(O61,Database!$A$2:$M$188,9,FALSE),"-")</f>
        <v>1630</v>
      </c>
      <c r="S61" s="203">
        <f>IFERROR(VLOOKUP(O61,Database!$A$2:$T$188,19,FALSE),"-")</f>
        <v>12375</v>
      </c>
      <c r="T61" s="95" t="str">
        <f>IF(AND(D61="Y",booking!P61&lt;&gt;booking!Q61,booking!Q61&gt;0),booking!Q61,"-")</f>
        <v>-</v>
      </c>
      <c r="U61" s="76" t="str">
        <f>IFERROR(VLOOKUP(T61,Database!$A$2:$M$188,8,FALSE),"-")</f>
        <v>-</v>
      </c>
      <c r="V61" s="76" t="str">
        <f>IFERROR(VLOOKUP(T61,Database!$A$2:$M$188,6,FALSE),"-")</f>
        <v>-</v>
      </c>
      <c r="W61" s="80" t="str">
        <f>IFERROR(VLOOKUP(T61,Database!$A$2:$M$188,9,FALSE),"-")</f>
        <v>-</v>
      </c>
      <c r="X61" s="203" t="str">
        <f>IFERROR(VLOOKUP(T61,Database!$A$2:$T$188,19,FALSE),"-")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IFERROR(VLOOKUP(Y61,Database!$A$2:$M$188,8,FALSE),"-")</f>
        <v>-</v>
      </c>
      <c r="AA61" s="77" t="str">
        <f>IFERROR(VLOOKUP(Y61,Database!$A$2:$M$188,6,FALSE),"-")</f>
        <v>-</v>
      </c>
      <c r="AB61" s="90" t="str">
        <f>IFERROR(VLOOKUP(Y61,Database!$A$2:$M$188,9,FALSE),"-")</f>
        <v>-</v>
      </c>
      <c r="AC61" s="8" t="str">
        <f>IFERROR(VLOOKUP(Y61,Database!$A$2:$T$188,19,FALSE),"-")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IFERROR(VLOOKUP(E62,Database!$A$2:$M$188,8,FALSE),"-")</f>
        <v>-</v>
      </c>
      <c r="G62" s="76" t="str">
        <f>IFERROR(VLOOKUP(E62,Database!$A$2:$M$188,6,FALSE),"-")</f>
        <v>-</v>
      </c>
      <c r="H62" s="91" t="str">
        <f>IFERROR(VLOOKUP(E62,Database!$A$2:$M$188,9,FALSE),"-")</f>
        <v>-</v>
      </c>
      <c r="I62" s="109" t="str">
        <f>IFERROR(VLOOKUP(E62,Database!$A$2:$T$188,19,FALSE),"-")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IFERROR(VLOOKUP(J62,Database!$A$2:$M$188,8,FALSE),"-")</f>
        <v>bc</v>
      </c>
      <c r="L62" s="76">
        <f>IFERROR(VLOOKUP(J62,Database!$A$2:$M$188,6,FALSE),"-")</f>
        <v>46047</v>
      </c>
      <c r="M62" s="91" t="str">
        <f>IFERROR(VLOOKUP(J62,Database!$A$2:$M$188,9,FALSE),"-")</f>
        <v>1230</v>
      </c>
      <c r="N62" s="203">
        <f>IFERROR(VLOOKUP(J62,Database!$A$2:$T$188,19,FALSE),"-")</f>
        <v>2975</v>
      </c>
      <c r="O62" s="94" t="str">
        <f>IF(AND(D62="Y",booking!L62&lt;&gt;booking!M62,booking!M62&gt;0),booking!M62,"-")</f>
        <v>-</v>
      </c>
      <c r="P62" s="76" t="str">
        <f>IFERROR(VLOOKUP(O62,Database!$A$2:$M$188,8,FALSE),"-")</f>
        <v>-</v>
      </c>
      <c r="Q62" s="76" t="str">
        <f>IFERROR(VLOOKUP(O62,Database!$A$2:$M$188,6,FALSE),"-")</f>
        <v>-</v>
      </c>
      <c r="R62" s="80" t="str">
        <f>IFERROR(VLOOKUP(O62,Database!$A$2:$M$188,9,FALSE),"-")</f>
        <v>-</v>
      </c>
      <c r="S62" s="203" t="str">
        <f>IFERROR(VLOOKUP(O62,Database!$A$2:$T$188,19,FALSE),"-")</f>
        <v>-</v>
      </c>
      <c r="T62" s="95">
        <f>IF(AND(D62="Y",booking!P62&lt;&gt;booking!Q62,booking!Q62&gt;0),booking!Q62,"-")</f>
        <v>87</v>
      </c>
      <c r="U62" s="76" t="str">
        <f>IFERROR(VLOOKUP(T62,Database!$A$2:$M$188,8,FALSE),"-")</f>
        <v>bc</v>
      </c>
      <c r="V62" s="76">
        <f>IFERROR(VLOOKUP(T62,Database!$A$2:$M$188,6,FALSE),"-")</f>
        <v>46083</v>
      </c>
      <c r="W62" s="80">
        <f>IFERROR(VLOOKUP(T62,Database!$A$2:$M$188,9,FALSE),"-")</f>
        <v>0</v>
      </c>
      <c r="X62" s="203">
        <f>IFERROR(VLOOKUP(T62,Database!$A$2:$T$188,19,FALSE),"-")</f>
        <v>2975</v>
      </c>
      <c r="Y62" s="94" t="str">
        <f>IF(AND(D62="Y",booking!T62&lt;&gt;booking!U62,booking!U62&gt;0),booking!U62,"-")</f>
        <v>-</v>
      </c>
      <c r="Z62" s="77" t="str">
        <f>IFERROR(VLOOKUP(Y62,Database!$A$2:$M$188,8,FALSE),"-")</f>
        <v>-</v>
      </c>
      <c r="AA62" s="77" t="str">
        <f>IFERROR(VLOOKUP(Y62,Database!$A$2:$M$188,6,FALSE),"-")</f>
        <v>-</v>
      </c>
      <c r="AB62" s="90" t="str">
        <f>IFERROR(VLOOKUP(Y62,Database!$A$2:$M$188,9,FALSE),"-")</f>
        <v>-</v>
      </c>
      <c r="AC62" s="8" t="str">
        <f>IFERROR(VLOOKUP(Y62,Database!$A$2:$T$188,19,FALSE),"-")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IFERROR(VLOOKUP(E63,Database!$A$2:$M$188,8,FALSE),"-")</f>
        <v>-</v>
      </c>
      <c r="G63" s="76" t="str">
        <f>IFERROR(VLOOKUP(E63,Database!$A$2:$M$188,6,FALSE),"-")</f>
        <v>-</v>
      </c>
      <c r="H63" s="91" t="str">
        <f>IFERROR(VLOOKUP(E63,Database!$A$2:$M$188,9,FALSE),"-")</f>
        <v>-</v>
      </c>
      <c r="I63" s="109" t="str">
        <f>IFERROR(VLOOKUP(E63,Database!$A$2:$T$188,19,FALSE),"-")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IFERROR(VLOOKUP(J63,Database!$A$2:$M$188,8,FALSE),"-")</f>
        <v>-</v>
      </c>
      <c r="L63" s="76" t="str">
        <f>IFERROR(VLOOKUP(J63,Database!$A$2:$M$188,6,FALSE),"-")</f>
        <v>-</v>
      </c>
      <c r="M63" s="91" t="str">
        <f>IFERROR(VLOOKUP(J63,Database!$A$2:$M$188,9,FALSE),"-")</f>
        <v>-</v>
      </c>
      <c r="N63" s="203" t="str">
        <f>IFERROR(VLOOKUP(J63,Database!$A$2:$T$188,19,FALSE),"-")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IFERROR(VLOOKUP(O63,Database!$A$2:$M$188,8,FALSE),"-")</f>
        <v>-</v>
      </c>
      <c r="Q63" s="76" t="str">
        <f>IFERROR(VLOOKUP(O63,Database!$A$2:$M$188,6,FALSE),"-")</f>
        <v>-</v>
      </c>
      <c r="R63" s="80" t="str">
        <f>IFERROR(VLOOKUP(O63,Database!$A$2:$M$188,9,FALSE),"-")</f>
        <v>-</v>
      </c>
      <c r="S63" s="203" t="str">
        <f>IFERROR(VLOOKUP(O63,Database!$A$2:$T$188,19,FALSE),"-")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IFERROR(VLOOKUP(T63,Database!$A$2:$M$188,8,FALSE),"-")</f>
        <v>-</v>
      </c>
      <c r="V63" s="76" t="str">
        <f>IFERROR(VLOOKUP(T63,Database!$A$2:$M$188,6,FALSE),"-")</f>
        <v>-</v>
      </c>
      <c r="W63" s="80" t="str">
        <f>IFERROR(VLOOKUP(T63,Database!$A$2:$M$188,9,FALSE),"-")</f>
        <v>-</v>
      </c>
      <c r="X63" s="203" t="str">
        <f>IFERROR(VLOOKUP(T63,Database!$A$2:$T$188,19,FALSE),"-")</f>
        <v>-</v>
      </c>
      <c r="Y63" s="94">
        <f>IF(AND(D63="Y",booking!T63&lt;&gt;booking!U63,booking!U63&gt;0),booking!U63,"-")</f>
        <v>77</v>
      </c>
      <c r="Z63" s="77" t="str">
        <f>IFERROR(VLOOKUP(Y63,Database!$A$2:$M$188,8,FALSE),"-")</f>
        <v>web</v>
      </c>
      <c r="AA63" s="77">
        <f>IFERROR(VLOOKUP(Y63,Database!$A$2:$M$188,6,FALSE),"-")</f>
        <v>46069</v>
      </c>
      <c r="AB63" s="90">
        <f>IFERROR(VLOOKUP(Y63,Database!$A$2:$M$188,9,FALSE),"-")</f>
        <v>0</v>
      </c>
      <c r="AC63" s="8">
        <f>IFERROR(VLOOKUP(Y63,Database!$A$2:$T$188,19,FALSE),"-")</f>
        <v>8032.5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 t="str">
        <f>IFERROR(VLOOKUP(E64,Database!$A$2:$M$188,8,FALSE),"-")</f>
        <v>bc</v>
      </c>
      <c r="G64" s="76">
        <f>IFERROR(VLOOKUP(E64,Database!$A$2:$M$188,6,FALSE),"-")</f>
        <v>46162</v>
      </c>
      <c r="H64" s="91">
        <f>IFERROR(VLOOKUP(E64,Database!$A$2:$M$188,9,FALSE),"-")</f>
        <v>1230</v>
      </c>
      <c r="I64" s="109">
        <f>IFERROR(VLOOKUP(E64,Database!$A$2:$T$188,19,FALSE),"-")</f>
        <v>4300</v>
      </c>
      <c r="J64" s="94" t="str">
        <f>IF(AND(D64="Y",booking!H64&lt;&gt;booking!I64,booking!I64&gt;0),booking!I64,"-")</f>
        <v>-</v>
      </c>
      <c r="K64" s="76" t="str">
        <f>IFERROR(VLOOKUP(J64,Database!$A$2:$M$188,8,FALSE),"-")</f>
        <v>-</v>
      </c>
      <c r="L64" s="76" t="str">
        <f>IFERROR(VLOOKUP(J64,Database!$A$2:$M$188,6,FALSE),"-")</f>
        <v>-</v>
      </c>
      <c r="M64" s="91" t="str">
        <f>IFERROR(VLOOKUP(J64,Database!$A$2:$M$188,9,FALSE),"-")</f>
        <v>-</v>
      </c>
      <c r="N64" s="203" t="str">
        <f>IFERROR(VLOOKUP(J64,Database!$A$2:$T$188,19,FALSE),"-")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IFERROR(VLOOKUP(O64,Database!$A$2:$M$188,8,FALSE),"-")</f>
        <v>-</v>
      </c>
      <c r="Q64" s="76" t="str">
        <f>IFERROR(VLOOKUP(O64,Database!$A$2:$M$188,6,FALSE),"-")</f>
        <v>-</v>
      </c>
      <c r="R64" s="80" t="str">
        <f>IFERROR(VLOOKUP(O64,Database!$A$2:$M$188,9,FALSE),"-")</f>
        <v>-</v>
      </c>
      <c r="S64" s="203" t="str">
        <f>IFERROR(VLOOKUP(O64,Database!$A$2:$T$188,19,FALSE),"-")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IFERROR(VLOOKUP(T64,Database!$A$2:$M$188,8,FALSE),"-")</f>
        <v>-</v>
      </c>
      <c r="V64" s="76" t="str">
        <f>IFERROR(VLOOKUP(T64,Database!$A$2:$M$188,6,FALSE),"-")</f>
        <v>-</v>
      </c>
      <c r="W64" s="80" t="str">
        <f>IFERROR(VLOOKUP(T64,Database!$A$2:$M$188,9,FALSE),"-")</f>
        <v>-</v>
      </c>
      <c r="X64" s="203" t="str">
        <f>IFERROR(VLOOKUP(T64,Database!$A$2:$T$188,19,FALSE),"-")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IFERROR(VLOOKUP(Y64,Database!$A$2:$M$188,8,FALSE),"-")</f>
        <v>-</v>
      </c>
      <c r="AA64" s="77" t="str">
        <f>IFERROR(VLOOKUP(Y64,Database!$A$2:$M$188,6,FALSE),"-")</f>
        <v>-</v>
      </c>
      <c r="AB64" s="90" t="str">
        <f>IFERROR(VLOOKUP(Y64,Database!$A$2:$M$188,9,FALSE),"-")</f>
        <v>-</v>
      </c>
      <c r="AC64" s="8" t="str">
        <f>IFERROR(VLOOKUP(Y64,Database!$A$2:$T$188,19,FALSE),"-")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IFERROR(VLOOKUP(E65,Database!$A$2:$M$188,8,FALSE),"-")</f>
        <v>-</v>
      </c>
      <c r="G65" s="76" t="str">
        <f>IFERROR(VLOOKUP(E65,Database!$A$2:$M$188,6,FALSE),"-")</f>
        <v>-</v>
      </c>
      <c r="H65" s="91" t="str">
        <f>IFERROR(VLOOKUP(E65,Database!$A$2:$M$188,9,FALSE),"-")</f>
        <v>-</v>
      </c>
      <c r="I65" s="109" t="str">
        <f>IFERROR(VLOOKUP(E65,Database!$A$2:$T$188,19,FALSE),"-")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IFERROR(VLOOKUP(J65,Database!$A$2:$M$188,8,FALSE),"-")</f>
        <v>-</v>
      </c>
      <c r="L65" s="76" t="str">
        <f>IFERROR(VLOOKUP(J65,Database!$A$2:$M$188,6,FALSE),"-")</f>
        <v>-</v>
      </c>
      <c r="M65" s="91" t="str">
        <f>IFERROR(VLOOKUP(J65,Database!$A$2:$M$188,9,FALSE),"-")</f>
        <v>-</v>
      </c>
      <c r="N65" s="203" t="str">
        <f>IFERROR(VLOOKUP(J65,Database!$A$2:$T$188,19,FALSE),"-")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IFERROR(VLOOKUP(O65,Database!$A$2:$M$188,8,FALSE),"-")</f>
        <v>-</v>
      </c>
      <c r="Q65" s="76" t="str">
        <f>IFERROR(VLOOKUP(O65,Database!$A$2:$M$188,6,FALSE),"-")</f>
        <v>-</v>
      </c>
      <c r="R65" s="80" t="str">
        <f>IFERROR(VLOOKUP(O65,Database!$A$2:$M$188,9,FALSE),"-")</f>
        <v>-</v>
      </c>
      <c r="S65" s="203" t="str">
        <f>IFERROR(VLOOKUP(O65,Database!$A$2:$T$188,19,FALSE),"-")</f>
        <v>-</v>
      </c>
      <c r="T65" s="95">
        <f>IF(AND(D65="Y",booking!P65&lt;&gt;booking!Q65,booking!Q65&gt;0),booking!Q65,"-")</f>
        <v>76</v>
      </c>
      <c r="U65" s="76" t="str">
        <f>IFERROR(VLOOKUP(T65,Database!$A$2:$M$188,8,FALSE),"-")</f>
        <v>bc</v>
      </c>
      <c r="V65" s="76">
        <f>IFERROR(VLOOKUP(T65,Database!$A$2:$M$188,6,FALSE),"-")</f>
        <v>46068</v>
      </c>
      <c r="W65" s="80">
        <f>IFERROR(VLOOKUP(T65,Database!$A$2:$M$188,9,FALSE),"-")</f>
        <v>0</v>
      </c>
      <c r="X65" s="203">
        <f>IFERROR(VLOOKUP(T65,Database!$A$2:$T$188,19,FALSE),"-")</f>
        <v>5100</v>
      </c>
      <c r="Y65" s="94" t="str">
        <f>IF(AND(D65="Y",booking!T65&lt;&gt;booking!U65,booking!U65&gt;0),booking!U65,"-")</f>
        <v>-</v>
      </c>
      <c r="Z65" s="77" t="str">
        <f>IFERROR(VLOOKUP(Y65,Database!$A$2:$M$188,8,FALSE),"-")</f>
        <v>-</v>
      </c>
      <c r="AA65" s="77" t="str">
        <f>IFERROR(VLOOKUP(Y65,Database!$A$2:$M$188,6,FALSE),"-")</f>
        <v>-</v>
      </c>
      <c r="AB65" s="90" t="str">
        <f>IFERROR(VLOOKUP(Y65,Database!$A$2:$M$188,9,FALSE),"-")</f>
        <v>-</v>
      </c>
      <c r="AC65" s="8" t="str">
        <f>IFERROR(VLOOKUP(Y65,Database!$A$2:$T$188,19,FALSE),"-")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IFERROR(VLOOKUP(E66,Database!$A$2:$M$188,8,FALSE),"-")</f>
        <v>-</v>
      </c>
      <c r="G66" s="76" t="str">
        <f>IFERROR(VLOOKUP(E66,Database!$A$2:$M$188,6,FALSE),"-")</f>
        <v>-</v>
      </c>
      <c r="H66" s="91" t="str">
        <f>IFERROR(VLOOKUP(E66,Database!$A$2:$M$188,9,FALSE),"-")</f>
        <v>-</v>
      </c>
      <c r="I66" s="109" t="str">
        <f>IFERROR(VLOOKUP(E66,Database!$A$2:$T$188,19,FALSE),"-")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IFERROR(VLOOKUP(J66,Database!$A$2:$M$188,8,FALSE),"-")</f>
        <v>-</v>
      </c>
      <c r="L66" s="76" t="str">
        <f>IFERROR(VLOOKUP(J66,Database!$A$2:$M$188,6,FALSE),"-")</f>
        <v>-</v>
      </c>
      <c r="M66" s="91" t="str">
        <f>IFERROR(VLOOKUP(J66,Database!$A$2:$M$188,9,FALSE),"-")</f>
        <v>-</v>
      </c>
      <c r="N66" s="203" t="str">
        <f>IFERROR(VLOOKUP(J66,Database!$A$2:$T$188,19,FALSE),"-")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IFERROR(VLOOKUP(O66,Database!$A$2:$M$188,8,FALSE),"-")</f>
        <v>-</v>
      </c>
      <c r="Q66" s="76" t="str">
        <f>IFERROR(VLOOKUP(O66,Database!$A$2:$M$188,6,FALSE),"-")</f>
        <v>-</v>
      </c>
      <c r="R66" s="80" t="str">
        <f>IFERROR(VLOOKUP(O66,Database!$A$2:$M$188,9,FALSE),"-")</f>
        <v>-</v>
      </c>
      <c r="S66" s="203" t="str">
        <f>IFERROR(VLOOKUP(O66,Database!$A$2:$T$188,19,FALSE),"-")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IFERROR(VLOOKUP(T66,Database!$A$2:$M$188,8,FALSE),"-")</f>
        <v>-</v>
      </c>
      <c r="V66" s="76" t="str">
        <f>IFERROR(VLOOKUP(T66,Database!$A$2:$M$188,6,FALSE),"-")</f>
        <v>-</v>
      </c>
      <c r="W66" s="80" t="str">
        <f>IFERROR(VLOOKUP(T66,Database!$A$2:$M$188,9,FALSE),"-")</f>
        <v>-</v>
      </c>
      <c r="X66" s="203" t="str">
        <f>IFERROR(VLOOKUP(T66,Database!$A$2:$T$188,19,FALSE),"-")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IFERROR(VLOOKUP(Y66,Database!$A$2:$M$188,8,FALSE),"-")</f>
        <v>-</v>
      </c>
      <c r="AA66" s="77" t="str">
        <f>IFERROR(VLOOKUP(Y66,Database!$A$2:$M$188,6,FALSE),"-")</f>
        <v>-</v>
      </c>
      <c r="AB66" s="90" t="str">
        <f>IFERROR(VLOOKUP(Y66,Database!$A$2:$M$188,9,FALSE),"-")</f>
        <v>-</v>
      </c>
      <c r="AC66" s="8" t="str">
        <f>IFERROR(VLOOKUP(Y66,Database!$A$2:$T$188,19,FALSE),"-")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IFERROR(VLOOKUP(E67,Database!$A$2:$M$188,8,FALSE),"-")</f>
        <v>-</v>
      </c>
      <c r="G67" s="76" t="str">
        <f>IFERROR(VLOOKUP(E67,Database!$A$2:$M$188,6,FALSE),"-")</f>
        <v>-</v>
      </c>
      <c r="H67" s="91" t="str">
        <f>IFERROR(VLOOKUP(E67,Database!$A$2:$M$188,9,FALSE),"-")</f>
        <v>-</v>
      </c>
      <c r="I67" s="109" t="str">
        <f>IFERROR(VLOOKUP(E67,Database!$A$2:$T$188,19,FALSE),"-")</f>
        <v>-</v>
      </c>
      <c r="J67" s="94">
        <f>IF(AND(D67="Y",booking!H67&lt;&gt;booking!I67,booking!I67&gt;0),booking!I67,"-")</f>
        <v>104</v>
      </c>
      <c r="K67" s="76" t="str">
        <f>IFERROR(VLOOKUP(J67,Database!$A$2:$M$188,8,FALSE),"-")</f>
        <v>bc</v>
      </c>
      <c r="L67" s="76">
        <f>IFERROR(VLOOKUP(J67,Database!$A$2:$M$188,6,FALSE),"-")</f>
        <v>46107</v>
      </c>
      <c r="M67" s="91">
        <f>IFERROR(VLOOKUP(J67,Database!$A$2:$M$188,9,FALSE),"-")</f>
        <v>0</v>
      </c>
      <c r="N67" s="203">
        <f>IFERROR(VLOOKUP(J67,Database!$A$2:$T$188,19,FALSE),"-")</f>
        <v>3225</v>
      </c>
      <c r="O67" s="94" t="str">
        <f>IF(AND(D67="Y",booking!L67&lt;&gt;booking!M67,booking!M67&gt;0),booking!M67,"-")</f>
        <v>-</v>
      </c>
      <c r="P67" s="76" t="str">
        <f>IFERROR(VLOOKUP(O67,Database!$A$2:$M$188,8,FALSE),"-")</f>
        <v>-</v>
      </c>
      <c r="Q67" s="76" t="str">
        <f>IFERROR(VLOOKUP(O67,Database!$A$2:$M$188,6,FALSE),"-")</f>
        <v>-</v>
      </c>
      <c r="R67" s="80" t="str">
        <f>IFERROR(VLOOKUP(O67,Database!$A$2:$M$188,9,FALSE),"-")</f>
        <v>-</v>
      </c>
      <c r="S67" s="203" t="str">
        <f>IFERROR(VLOOKUP(O67,Database!$A$2:$T$188,19,FALSE),"-")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IFERROR(VLOOKUP(T67,Database!$A$2:$M$188,8,FALSE),"-")</f>
        <v>-</v>
      </c>
      <c r="V67" s="76" t="str">
        <f>IFERROR(VLOOKUP(T67,Database!$A$2:$M$188,6,FALSE),"-")</f>
        <v>-</v>
      </c>
      <c r="W67" s="80" t="str">
        <f>IFERROR(VLOOKUP(T67,Database!$A$2:$M$188,9,FALSE),"-")</f>
        <v>-</v>
      </c>
      <c r="X67" s="203" t="str">
        <f>IFERROR(VLOOKUP(T67,Database!$A$2:$T$188,19,FALSE),"-")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IFERROR(VLOOKUP(Y67,Database!$A$2:$M$188,8,FALSE),"-")</f>
        <v>-</v>
      </c>
      <c r="AA67" s="77" t="str">
        <f>IFERROR(VLOOKUP(Y67,Database!$A$2:$M$188,6,FALSE),"-")</f>
        <v>-</v>
      </c>
      <c r="AB67" s="90" t="str">
        <f>IFERROR(VLOOKUP(Y67,Database!$A$2:$M$188,9,FALSE),"-")</f>
        <v>-</v>
      </c>
      <c r="AC67" s="8" t="str">
        <f>IFERROR(VLOOKUP(Y67,Database!$A$2:$T$188,19,FALSE),"-")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 t="str">
        <f>IFERROR(VLOOKUP(E68,Database!$A$2:$M$188,8,FALSE),"-")</f>
        <v>bc</v>
      </c>
      <c r="G68" s="76">
        <f>IFERROR(VLOOKUP(E68,Database!$A$2:$M$188,6,FALSE),"-")</f>
        <v>46016</v>
      </c>
      <c r="H68" s="91">
        <f>IFERROR(VLOOKUP(E68,Database!$A$2:$M$188,9,FALSE),"-")</f>
        <v>0</v>
      </c>
      <c r="I68" s="109">
        <f>IFERROR(VLOOKUP(E68,Database!$A$2:$T$188,19,FALSE),"-")</f>
        <v>3825</v>
      </c>
      <c r="J68" s="94" t="str">
        <f>IF(AND(D68="Y",booking!H68&lt;&gt;booking!I68,booking!I68&gt;0),booking!I68,"-")</f>
        <v>-</v>
      </c>
      <c r="K68" s="76" t="str">
        <f>IFERROR(VLOOKUP(J68,Database!$A$2:$M$188,8,FALSE),"-")</f>
        <v>-</v>
      </c>
      <c r="L68" s="76" t="str">
        <f>IFERROR(VLOOKUP(J68,Database!$A$2:$M$188,6,FALSE),"-")</f>
        <v>-</v>
      </c>
      <c r="M68" s="91" t="str">
        <f>IFERROR(VLOOKUP(J68,Database!$A$2:$M$188,9,FALSE),"-")</f>
        <v>-</v>
      </c>
      <c r="N68" s="203" t="str">
        <f>IFERROR(VLOOKUP(J68,Database!$A$2:$T$188,19,FALSE),"-")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IFERROR(VLOOKUP(O68,Database!$A$2:$M$188,8,FALSE),"-")</f>
        <v>-</v>
      </c>
      <c r="Q68" s="76" t="str">
        <f>IFERROR(VLOOKUP(O68,Database!$A$2:$M$188,6,FALSE),"-")</f>
        <v>-</v>
      </c>
      <c r="R68" s="80" t="str">
        <f>IFERROR(VLOOKUP(O68,Database!$A$2:$M$188,9,FALSE),"-")</f>
        <v>-</v>
      </c>
      <c r="S68" s="203" t="str">
        <f>IFERROR(VLOOKUP(O68,Database!$A$2:$T$188,19,FALSE),"-")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IFERROR(VLOOKUP(T68,Database!$A$2:$M$188,8,FALSE),"-")</f>
        <v>-</v>
      </c>
      <c r="V68" s="76" t="str">
        <f>IFERROR(VLOOKUP(T68,Database!$A$2:$M$188,6,FALSE),"-")</f>
        <v>-</v>
      </c>
      <c r="W68" s="80" t="str">
        <f>IFERROR(VLOOKUP(T68,Database!$A$2:$M$188,9,FALSE),"-")</f>
        <v>-</v>
      </c>
      <c r="X68" s="203" t="str">
        <f>IFERROR(VLOOKUP(T68,Database!$A$2:$T$188,19,FALSE),"-")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IFERROR(VLOOKUP(Y68,Database!$A$2:$M$188,8,FALSE),"-")</f>
        <v>-</v>
      </c>
      <c r="AA68" s="77" t="str">
        <f>IFERROR(VLOOKUP(Y68,Database!$A$2:$M$188,6,FALSE),"-")</f>
        <v>-</v>
      </c>
      <c r="AB68" s="90" t="str">
        <f>IFERROR(VLOOKUP(Y68,Database!$A$2:$M$188,9,FALSE),"-")</f>
        <v>-</v>
      </c>
      <c r="AC68" s="8" t="str">
        <f>IFERROR(VLOOKUP(Y68,Database!$A$2:$T$188,19,FALSE),"-")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IFERROR(VLOOKUP(E69,Database!$A$2:$M$188,8,FALSE),"-")</f>
        <v>-</v>
      </c>
      <c r="G69" s="76" t="str">
        <f>IFERROR(VLOOKUP(E69,Database!$A$2:$M$188,6,FALSE),"-")</f>
        <v>-</v>
      </c>
      <c r="H69" s="91" t="str">
        <f>IFERROR(VLOOKUP(E69,Database!$A$2:$M$188,9,FALSE),"-")</f>
        <v>-</v>
      </c>
      <c r="I69" s="109" t="str">
        <f>IFERROR(VLOOKUP(E69,Database!$A$2:$T$188,19,FALSE),"-")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IFERROR(VLOOKUP(J69,Database!$A$2:$M$188,8,FALSE),"-")</f>
        <v>-</v>
      </c>
      <c r="L69" s="76" t="str">
        <f>IFERROR(VLOOKUP(J69,Database!$A$2:$M$188,6,FALSE),"-")</f>
        <v>-</v>
      </c>
      <c r="M69" s="91" t="str">
        <f>IFERROR(VLOOKUP(J69,Database!$A$2:$M$188,9,FALSE),"-")</f>
        <v>-</v>
      </c>
      <c r="N69" s="203" t="str">
        <f>IFERROR(VLOOKUP(J69,Database!$A$2:$T$188,19,FALSE),"-")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IFERROR(VLOOKUP(O69,Database!$A$2:$M$188,8,FALSE),"-")</f>
        <v>-</v>
      </c>
      <c r="Q69" s="76" t="str">
        <f>IFERROR(VLOOKUP(O69,Database!$A$2:$M$188,6,FALSE),"-")</f>
        <v>-</v>
      </c>
      <c r="R69" s="80" t="str">
        <f>IFERROR(VLOOKUP(O69,Database!$A$2:$M$188,9,FALSE),"-")</f>
        <v>-</v>
      </c>
      <c r="S69" s="203" t="str">
        <f>IFERROR(VLOOKUP(O69,Database!$A$2:$T$188,19,FALSE),"-")</f>
        <v>-</v>
      </c>
      <c r="T69" s="95">
        <f>IF(AND(D69="Y",booking!P69&lt;&gt;booking!Q69,booking!Q69&gt;0),booking!Q69,"-")</f>
        <v>14</v>
      </c>
      <c r="U69" s="76" t="str">
        <f>IFERROR(VLOOKUP(T69,Database!$A$2:$M$188,8,FALSE),"-")</f>
        <v>web</v>
      </c>
      <c r="V69" s="76">
        <f>IFERROR(VLOOKUP(T69,Database!$A$2:$M$188,6,FALSE),"-")</f>
        <v>46001</v>
      </c>
      <c r="W69" s="80">
        <f>IFERROR(VLOOKUP(T69,Database!$A$2:$M$188,9,FALSE),"-")</f>
        <v>0</v>
      </c>
      <c r="X69" s="203">
        <f>IFERROR(VLOOKUP(T69,Database!$A$2:$T$188,19,FALSE),"-")</f>
        <v>9180</v>
      </c>
      <c r="Y69" s="94" t="str">
        <f>IF(AND(D69="Y",booking!T69&lt;&gt;booking!U69,booking!U69&gt;0),booking!U69,"-")</f>
        <v>-</v>
      </c>
      <c r="Z69" s="77" t="str">
        <f>IFERROR(VLOOKUP(Y69,Database!$A$2:$M$188,8,FALSE),"-")</f>
        <v>-</v>
      </c>
      <c r="AA69" s="77" t="str">
        <f>IFERROR(VLOOKUP(Y69,Database!$A$2:$M$188,6,FALSE),"-")</f>
        <v>-</v>
      </c>
      <c r="AB69" s="90" t="str">
        <f>IFERROR(VLOOKUP(Y69,Database!$A$2:$M$188,9,FALSE),"-")</f>
        <v>-</v>
      </c>
      <c r="AC69" s="8" t="str">
        <f>IFERROR(VLOOKUP(Y69,Database!$A$2:$T$188,19,FALSE),"-")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IFERROR(VLOOKUP(E70,Database!$A$2:$M$188,8,FALSE),"-")</f>
        <v>-</v>
      </c>
      <c r="G70" s="76" t="str">
        <f>IFERROR(VLOOKUP(E70,Database!$A$2:$M$188,6,FALSE),"-")</f>
        <v>-</v>
      </c>
      <c r="H70" s="91" t="str">
        <f>IFERROR(VLOOKUP(E70,Database!$A$2:$M$188,9,FALSE),"-")</f>
        <v>-</v>
      </c>
      <c r="I70" s="109" t="str">
        <f>IFERROR(VLOOKUP(E70,Database!$A$2:$T$188,19,FALSE),"-")</f>
        <v>-</v>
      </c>
      <c r="J70" s="94">
        <f>IF(AND(D70="Y",booking!H70&lt;&gt;booking!I70,booking!I70&gt;0),booking!I70,"-")</f>
        <v>106</v>
      </c>
      <c r="K70" s="76" t="str">
        <f>IFERROR(VLOOKUP(J70,Database!$A$2:$M$188,8,FALSE),"-")</f>
        <v>bc</v>
      </c>
      <c r="L70" s="76">
        <f>IFERROR(VLOOKUP(J70,Database!$A$2:$M$188,6,FALSE),"-")</f>
        <v>46109</v>
      </c>
      <c r="M70" s="91">
        <f>IFERROR(VLOOKUP(J70,Database!$A$2:$M$188,9,FALSE),"-")</f>
        <v>0</v>
      </c>
      <c r="N70" s="203">
        <f>IFERROR(VLOOKUP(J70,Database!$A$2:$T$188,19,FALSE),"-")</f>
        <v>3225</v>
      </c>
      <c r="O70" s="94" t="str">
        <f>IF(AND(D70="Y",booking!L70&lt;&gt;booking!M70,booking!M70&gt;0),booking!M70,"-")</f>
        <v>-</v>
      </c>
      <c r="P70" s="76" t="str">
        <f>IFERROR(VLOOKUP(O70,Database!$A$2:$M$188,8,FALSE),"-")</f>
        <v>-</v>
      </c>
      <c r="Q70" s="76" t="str">
        <f>IFERROR(VLOOKUP(O70,Database!$A$2:$M$188,6,FALSE),"-")</f>
        <v>-</v>
      </c>
      <c r="R70" s="80" t="str">
        <f>IFERROR(VLOOKUP(O70,Database!$A$2:$M$188,9,FALSE),"-")</f>
        <v>-</v>
      </c>
      <c r="S70" s="203" t="str">
        <f>IFERROR(VLOOKUP(O70,Database!$A$2:$T$188,19,FALSE),"-")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IFERROR(VLOOKUP(T70,Database!$A$2:$M$188,8,FALSE),"-")</f>
        <v>-</v>
      </c>
      <c r="V70" s="76" t="str">
        <f>IFERROR(VLOOKUP(T70,Database!$A$2:$M$188,6,FALSE),"-")</f>
        <v>-</v>
      </c>
      <c r="W70" s="80" t="str">
        <f>IFERROR(VLOOKUP(T70,Database!$A$2:$M$188,9,FALSE),"-")</f>
        <v>-</v>
      </c>
      <c r="X70" s="203" t="str">
        <f>IFERROR(VLOOKUP(T70,Database!$A$2:$T$188,19,FALSE),"-")</f>
        <v>-</v>
      </c>
      <c r="Y70" s="94">
        <f>IF(AND(D70="Y",booking!T70&lt;&gt;booking!U70,booking!U70&gt;0),booking!U70,"-")</f>
        <v>7</v>
      </c>
      <c r="Z70" s="77" t="str">
        <f>IFERROR(VLOOKUP(Y70,Database!$A$2:$M$188,8,FALSE),"-")</f>
        <v>web</v>
      </c>
      <c r="AA70" s="77">
        <f>IFERROR(VLOOKUP(Y70,Database!$A$2:$M$188,6,FALSE),"-")</f>
        <v>45927</v>
      </c>
      <c r="AB70" s="90">
        <f>IFERROR(VLOOKUP(Y70,Database!$A$2:$M$188,9,FALSE),"-")</f>
        <v>0</v>
      </c>
      <c r="AC70" s="8">
        <f>IFERROR(VLOOKUP(Y70,Database!$A$2:$T$188,19,FALSE),"-")</f>
        <v>6772.5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IFERROR(VLOOKUP(E71,Database!$A$2:$M$188,8,FALSE),"-")</f>
        <v>-</v>
      </c>
      <c r="G71" s="76" t="str">
        <f>IFERROR(VLOOKUP(E71,Database!$A$2:$M$188,6,FALSE),"-")</f>
        <v>-</v>
      </c>
      <c r="H71" s="91" t="str">
        <f>IFERROR(VLOOKUP(E71,Database!$A$2:$M$188,9,FALSE),"-")</f>
        <v>-</v>
      </c>
      <c r="I71" s="109" t="str">
        <f>IFERROR(VLOOKUP(E71,Database!$A$2:$T$188,19,FALSE),"-")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IFERROR(VLOOKUP(J71,Database!$A$2:$M$188,8,FALSE),"-")</f>
        <v>-</v>
      </c>
      <c r="L71" s="76" t="str">
        <f>IFERROR(VLOOKUP(J71,Database!$A$2:$M$188,6,FALSE),"-")</f>
        <v>-</v>
      </c>
      <c r="M71" s="91" t="str">
        <f>IFERROR(VLOOKUP(J71,Database!$A$2:$M$188,9,FALSE),"-")</f>
        <v>-</v>
      </c>
      <c r="N71" s="203" t="str">
        <f>IFERROR(VLOOKUP(J71,Database!$A$2:$T$188,19,FALSE),"-")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IFERROR(VLOOKUP(O71,Database!$A$2:$M$188,8,FALSE),"-")</f>
        <v>-</v>
      </c>
      <c r="Q71" s="76" t="str">
        <f>IFERROR(VLOOKUP(O71,Database!$A$2:$M$188,6,FALSE),"-")</f>
        <v>-</v>
      </c>
      <c r="R71" s="80" t="str">
        <f>IFERROR(VLOOKUP(O71,Database!$A$2:$M$188,9,FALSE),"-")</f>
        <v>-</v>
      </c>
      <c r="S71" s="203" t="str">
        <f>IFERROR(VLOOKUP(O71,Database!$A$2:$T$188,19,FALSE),"-")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IFERROR(VLOOKUP(T71,Database!$A$2:$M$188,8,FALSE),"-")</f>
        <v>-</v>
      </c>
      <c r="V71" s="76" t="str">
        <f>IFERROR(VLOOKUP(T71,Database!$A$2:$M$188,6,FALSE),"-")</f>
        <v>-</v>
      </c>
      <c r="W71" s="80" t="str">
        <f>IFERROR(VLOOKUP(T71,Database!$A$2:$M$188,9,FALSE),"-")</f>
        <v>-</v>
      </c>
      <c r="X71" s="203" t="str">
        <f>IFERROR(VLOOKUP(T71,Database!$A$2:$T$188,19,FALSE),"-")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IFERROR(VLOOKUP(Y71,Database!$A$2:$M$188,8,FALSE),"-")</f>
        <v>-</v>
      </c>
      <c r="AA71" s="77" t="str">
        <f>IFERROR(VLOOKUP(Y71,Database!$A$2:$M$188,6,FALSE),"-")</f>
        <v>-</v>
      </c>
      <c r="AB71" s="90" t="str">
        <f>IFERROR(VLOOKUP(Y71,Database!$A$2:$M$188,9,FALSE),"-")</f>
        <v>-</v>
      </c>
      <c r="AC71" s="8" t="str">
        <f>IFERROR(VLOOKUP(Y71,Database!$A$2:$T$188,19,FALSE),"-")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 t="str">
        <f>IFERROR(VLOOKUP(E72,Database!$A$2:$M$188,8,FALSE),"-")</f>
        <v>bc</v>
      </c>
      <c r="G72" s="76">
        <f>IFERROR(VLOOKUP(E72,Database!$A$2:$M$188,6,FALSE),"-")</f>
        <v>46030</v>
      </c>
      <c r="H72" s="91">
        <f>IFERROR(VLOOKUP(E72,Database!$A$2:$M$188,9,FALSE),"-")</f>
        <v>0</v>
      </c>
      <c r="I72" s="109">
        <f>IFERROR(VLOOKUP(E72,Database!$A$2:$T$188,19,FALSE),"-")</f>
        <v>6450</v>
      </c>
      <c r="J72" s="94" t="str">
        <f>IF(AND(D72="Y",booking!H72&lt;&gt;booking!I72,booking!I72&gt;0),booking!I72,"-")</f>
        <v>-</v>
      </c>
      <c r="K72" s="76" t="str">
        <f>IFERROR(VLOOKUP(J72,Database!$A$2:$M$188,8,FALSE),"-")</f>
        <v>-</v>
      </c>
      <c r="L72" s="76" t="str">
        <f>IFERROR(VLOOKUP(J72,Database!$A$2:$M$188,6,FALSE),"-")</f>
        <v>-</v>
      </c>
      <c r="M72" s="91" t="str">
        <f>IFERROR(VLOOKUP(J72,Database!$A$2:$M$188,9,FALSE),"-")</f>
        <v>-</v>
      </c>
      <c r="N72" s="203" t="str">
        <f>IFERROR(VLOOKUP(J72,Database!$A$2:$T$188,19,FALSE),"-")</f>
        <v>-</v>
      </c>
      <c r="O72" s="94">
        <f>IF(AND(D72="Y",booking!L72&lt;&gt;booking!M72,booking!M72&gt;0),booking!M72,"-")</f>
        <v>36</v>
      </c>
      <c r="P72" s="76" t="str">
        <f>IFERROR(VLOOKUP(O72,Database!$A$2:$M$188,8,FALSE),"-")</f>
        <v>bc</v>
      </c>
      <c r="Q72" s="76">
        <f>IFERROR(VLOOKUP(O72,Database!$A$2:$M$188,6,FALSE),"-")</f>
        <v>46030</v>
      </c>
      <c r="R72" s="80">
        <f>IFERROR(VLOOKUP(O72,Database!$A$2:$M$188,9,FALSE),"-")</f>
        <v>0</v>
      </c>
      <c r="S72" s="203">
        <f>IFERROR(VLOOKUP(O72,Database!$A$2:$T$188,19,FALSE),"-")</f>
        <v>6450</v>
      </c>
      <c r="T72" s="95" t="str">
        <f>IF(AND(D72="Y",booking!P72&lt;&gt;booking!Q72,booking!Q72&gt;0),booking!Q72,"-")</f>
        <v>-</v>
      </c>
      <c r="U72" s="76" t="str">
        <f>IFERROR(VLOOKUP(T72,Database!$A$2:$M$188,8,FALSE),"-")</f>
        <v>-</v>
      </c>
      <c r="V72" s="76" t="str">
        <f>IFERROR(VLOOKUP(T72,Database!$A$2:$M$188,6,FALSE),"-")</f>
        <v>-</v>
      </c>
      <c r="W72" s="80" t="str">
        <f>IFERROR(VLOOKUP(T72,Database!$A$2:$M$188,9,FALSE),"-")</f>
        <v>-</v>
      </c>
      <c r="X72" s="203" t="str">
        <f>IFERROR(VLOOKUP(T72,Database!$A$2:$T$188,19,FALSE),"-")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IFERROR(VLOOKUP(Y72,Database!$A$2:$M$188,8,FALSE),"-")</f>
        <v>-</v>
      </c>
      <c r="AA72" s="77" t="str">
        <f>IFERROR(VLOOKUP(Y72,Database!$A$2:$M$188,6,FALSE),"-")</f>
        <v>-</v>
      </c>
      <c r="AB72" s="90" t="str">
        <f>IFERROR(VLOOKUP(Y72,Database!$A$2:$M$188,9,FALSE),"-")</f>
        <v>-</v>
      </c>
      <c r="AC72" s="8" t="str">
        <f>IFERROR(VLOOKUP(Y72,Database!$A$2:$T$188,19,FALSE),"-")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IFERROR(VLOOKUP(E73,Database!$A$2:$M$188,8,FALSE),"-")</f>
        <v>-</v>
      </c>
      <c r="G73" s="76" t="str">
        <f>IFERROR(VLOOKUP(E73,Database!$A$2:$M$188,6,FALSE),"-")</f>
        <v>-</v>
      </c>
      <c r="H73" s="91" t="str">
        <f>IFERROR(VLOOKUP(E73,Database!$A$2:$M$188,9,FALSE),"-")</f>
        <v>-</v>
      </c>
      <c r="I73" s="109" t="str">
        <f>IFERROR(VLOOKUP(E73,Database!$A$2:$T$188,19,FALSE),"-")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IFERROR(VLOOKUP(J73,Database!$A$2:$M$188,8,FALSE),"-")</f>
        <v>-</v>
      </c>
      <c r="L73" s="76" t="str">
        <f>IFERROR(VLOOKUP(J73,Database!$A$2:$M$188,6,FALSE),"-")</f>
        <v>-</v>
      </c>
      <c r="M73" s="91" t="str">
        <f>IFERROR(VLOOKUP(J73,Database!$A$2:$M$188,9,FALSE),"-")</f>
        <v>-</v>
      </c>
      <c r="N73" s="203" t="str">
        <f>IFERROR(VLOOKUP(J73,Database!$A$2:$T$188,19,FALSE),"-")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IFERROR(VLOOKUP(O73,Database!$A$2:$M$188,8,FALSE),"-")</f>
        <v>-</v>
      </c>
      <c r="Q73" s="76" t="str">
        <f>IFERROR(VLOOKUP(O73,Database!$A$2:$M$188,6,FALSE),"-")</f>
        <v>-</v>
      </c>
      <c r="R73" s="80" t="str">
        <f>IFERROR(VLOOKUP(O73,Database!$A$2:$M$188,9,FALSE),"-")</f>
        <v>-</v>
      </c>
      <c r="S73" s="203" t="str">
        <f>IFERROR(VLOOKUP(O73,Database!$A$2:$T$188,19,FALSE),"-")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IFERROR(VLOOKUP(T73,Database!$A$2:$M$188,8,FALSE),"-")</f>
        <v>-</v>
      </c>
      <c r="V73" s="76" t="str">
        <f>IFERROR(VLOOKUP(T73,Database!$A$2:$M$188,6,FALSE),"-")</f>
        <v>-</v>
      </c>
      <c r="W73" s="80" t="str">
        <f>IFERROR(VLOOKUP(T73,Database!$A$2:$M$188,9,FALSE),"-")</f>
        <v>-</v>
      </c>
      <c r="X73" s="203" t="str">
        <f>IFERROR(VLOOKUP(T73,Database!$A$2:$T$188,19,FALSE),"-")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IFERROR(VLOOKUP(Y73,Database!$A$2:$M$188,8,FALSE),"-")</f>
        <v>-</v>
      </c>
      <c r="AA73" s="77" t="str">
        <f>IFERROR(VLOOKUP(Y73,Database!$A$2:$M$188,6,FALSE),"-")</f>
        <v>-</v>
      </c>
      <c r="AB73" s="90" t="str">
        <f>IFERROR(VLOOKUP(Y73,Database!$A$2:$M$188,9,FALSE),"-")</f>
        <v>-</v>
      </c>
      <c r="AC73" s="8" t="str">
        <f>IFERROR(VLOOKUP(Y73,Database!$A$2:$T$188,19,FALSE),"-")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IFERROR(VLOOKUP(E74,Database!$A$2:$M$188,8,FALSE),"-")</f>
        <v>-</v>
      </c>
      <c r="G74" s="76" t="str">
        <f>IFERROR(VLOOKUP(E74,Database!$A$2:$M$188,6,FALSE),"-")</f>
        <v>-</v>
      </c>
      <c r="H74" s="91" t="str">
        <f>IFERROR(VLOOKUP(E74,Database!$A$2:$M$188,9,FALSE),"-")</f>
        <v>-</v>
      </c>
      <c r="I74" s="109" t="str">
        <f>IFERROR(VLOOKUP(E74,Database!$A$2:$T$188,19,FALSE),"-")</f>
        <v>-</v>
      </c>
      <c r="J74" s="94">
        <f>IF(AND(D74="Y",booking!H74&lt;&gt;booking!I74,booking!I74&gt;0),booking!I74,"-")</f>
        <v>13</v>
      </c>
      <c r="K74" s="76" t="str">
        <f>IFERROR(VLOOKUP(J74,Database!$A$2:$M$188,8,FALSE),"-")</f>
        <v>web</v>
      </c>
      <c r="L74" s="76">
        <f>IFERROR(VLOOKUP(J74,Database!$A$2:$M$188,6,FALSE),"-")</f>
        <v>45998</v>
      </c>
      <c r="M74" s="91">
        <f>IFERROR(VLOOKUP(J74,Database!$A$2:$M$188,9,FALSE),"-")</f>
        <v>0</v>
      </c>
      <c r="N74" s="203">
        <f>IFERROR(VLOOKUP(J74,Database!$A$2:$T$188,19,FALSE),"-")</f>
        <v>8032.5</v>
      </c>
      <c r="O74" s="94" t="str">
        <f>IF(AND(D74="Y",booking!L74&lt;&gt;booking!M74,booking!M74&gt;0),booking!M74,"-")</f>
        <v>-</v>
      </c>
      <c r="P74" s="76" t="str">
        <f>IFERROR(VLOOKUP(O74,Database!$A$2:$M$188,8,FALSE),"-")</f>
        <v>-</v>
      </c>
      <c r="Q74" s="76" t="str">
        <f>IFERROR(VLOOKUP(O74,Database!$A$2:$M$188,6,FALSE),"-")</f>
        <v>-</v>
      </c>
      <c r="R74" s="80" t="str">
        <f>IFERROR(VLOOKUP(O74,Database!$A$2:$M$188,9,FALSE),"-")</f>
        <v>-</v>
      </c>
      <c r="S74" s="203" t="str">
        <f>IFERROR(VLOOKUP(O74,Database!$A$2:$T$188,19,FALSE),"-")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IFERROR(VLOOKUP(T74,Database!$A$2:$M$188,8,FALSE),"-")</f>
        <v>-</v>
      </c>
      <c r="V74" s="76" t="str">
        <f>IFERROR(VLOOKUP(T74,Database!$A$2:$M$188,6,FALSE),"-")</f>
        <v>-</v>
      </c>
      <c r="W74" s="80" t="str">
        <f>IFERROR(VLOOKUP(T74,Database!$A$2:$M$188,9,FALSE),"-")</f>
        <v>-</v>
      </c>
      <c r="X74" s="203" t="str">
        <f>IFERROR(VLOOKUP(T74,Database!$A$2:$T$188,19,FALSE),"-")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IFERROR(VLOOKUP(Y74,Database!$A$2:$M$188,8,FALSE),"-")</f>
        <v>-</v>
      </c>
      <c r="AA74" s="77" t="str">
        <f>IFERROR(VLOOKUP(Y74,Database!$A$2:$M$188,6,FALSE),"-")</f>
        <v>-</v>
      </c>
      <c r="AB74" s="90" t="str">
        <f>IFERROR(VLOOKUP(Y74,Database!$A$2:$M$188,9,FALSE),"-")</f>
        <v>-</v>
      </c>
      <c r="AC74" s="8" t="str">
        <f>IFERROR(VLOOKUP(Y74,Database!$A$2:$T$188,19,FALSE),"-")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 t="str">
        <f>IFERROR(VLOOKUP(E75,Database!$A$2:$M$188,8,FALSE),"-")</f>
        <v>bc</v>
      </c>
      <c r="G75" s="76">
        <f>IFERROR(VLOOKUP(E75,Database!$A$2:$M$188,6,FALSE),"-")</f>
        <v>46205</v>
      </c>
      <c r="H75" s="91">
        <f>IFERROR(VLOOKUP(E75,Database!$A$2:$M$188,9,FALSE),"-")</f>
        <v>0</v>
      </c>
      <c r="I75" s="109">
        <f>IFERROR(VLOOKUP(E75,Database!$A$2:$T$188,19,FALSE),"-")</f>
        <v>2925</v>
      </c>
      <c r="J75" s="94" t="str">
        <f>IF(AND(D75="Y",booking!H75&lt;&gt;booking!I75,booking!I75&gt;0),booking!I75,"-")</f>
        <v>-</v>
      </c>
      <c r="K75" s="76" t="str">
        <f>IFERROR(VLOOKUP(J75,Database!$A$2:$M$188,8,FALSE),"-")</f>
        <v>-</v>
      </c>
      <c r="L75" s="76" t="str">
        <f>IFERROR(VLOOKUP(J75,Database!$A$2:$M$188,6,FALSE),"-")</f>
        <v>-</v>
      </c>
      <c r="M75" s="91" t="str">
        <f>IFERROR(VLOOKUP(J75,Database!$A$2:$M$188,9,FALSE),"-")</f>
        <v>-</v>
      </c>
      <c r="N75" s="203" t="str">
        <f>IFERROR(VLOOKUP(J75,Database!$A$2:$T$188,19,FALSE),"-")</f>
        <v>-</v>
      </c>
      <c r="O75" s="94">
        <f>IF(AND(D75="Y",booking!L75&lt;&gt;booking!M75,booking!M75&gt;0),booking!M75,"-")</f>
        <v>84</v>
      </c>
      <c r="P75" s="76" t="str">
        <f>IFERROR(VLOOKUP(O75,Database!$A$2:$M$188,8,FALSE),"-")</f>
        <v>web</v>
      </c>
      <c r="Q75" s="76">
        <f>IFERROR(VLOOKUP(O75,Database!$A$2:$M$188,6,FALSE),"-")</f>
        <v>46079</v>
      </c>
      <c r="R75" s="80">
        <f>IFERROR(VLOOKUP(O75,Database!$A$2:$M$188,9,FALSE),"-")</f>
        <v>0</v>
      </c>
      <c r="S75" s="203">
        <f>IFERROR(VLOOKUP(O75,Database!$A$2:$T$188,19,FALSE),"-")</f>
        <v>3870</v>
      </c>
      <c r="T75" s="95" t="str">
        <f>IF(AND(D75="Y",booking!P75&lt;&gt;booking!Q75,booking!Q75&gt;0),booking!Q75,"-")</f>
        <v>-</v>
      </c>
      <c r="U75" s="76" t="str">
        <f>IFERROR(VLOOKUP(T75,Database!$A$2:$M$188,8,FALSE),"-")</f>
        <v>-</v>
      </c>
      <c r="V75" s="76" t="str">
        <f>IFERROR(VLOOKUP(T75,Database!$A$2:$M$188,6,FALSE),"-")</f>
        <v>-</v>
      </c>
      <c r="W75" s="80" t="str">
        <f>IFERROR(VLOOKUP(T75,Database!$A$2:$M$188,9,FALSE),"-")</f>
        <v>-</v>
      </c>
      <c r="X75" s="203" t="str">
        <f>IFERROR(VLOOKUP(T75,Database!$A$2:$T$188,19,FALSE),"-")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IFERROR(VLOOKUP(Y75,Database!$A$2:$M$188,8,FALSE),"-")</f>
        <v>-</v>
      </c>
      <c r="AA75" s="77" t="str">
        <f>IFERROR(VLOOKUP(Y75,Database!$A$2:$M$188,6,FALSE),"-")</f>
        <v>-</v>
      </c>
      <c r="AB75" s="90" t="str">
        <f>IFERROR(VLOOKUP(Y75,Database!$A$2:$M$188,9,FALSE),"-")</f>
        <v>-</v>
      </c>
      <c r="AC75" s="8" t="str">
        <f>IFERROR(VLOOKUP(Y75,Database!$A$2:$T$188,19,FALSE),"-")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IFERROR(VLOOKUP(E76,Database!$A$2:$M$188,8,FALSE),"-")</f>
        <v>-</v>
      </c>
      <c r="G76" s="76" t="str">
        <f>IFERROR(VLOOKUP(E76,Database!$A$2:$M$188,6,FALSE),"-")</f>
        <v>-</v>
      </c>
      <c r="H76" s="91" t="str">
        <f>IFERROR(VLOOKUP(E76,Database!$A$2:$M$188,9,FALSE),"-")</f>
        <v>-</v>
      </c>
      <c r="I76" s="109" t="str">
        <f>IFERROR(VLOOKUP(E76,Database!$A$2:$T$188,19,FALSE),"-")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IFERROR(VLOOKUP(J76,Database!$A$2:$M$188,8,FALSE),"-")</f>
        <v>-</v>
      </c>
      <c r="L76" s="76" t="str">
        <f>IFERROR(VLOOKUP(J76,Database!$A$2:$M$188,6,FALSE),"-")</f>
        <v>-</v>
      </c>
      <c r="M76" s="91" t="str">
        <f>IFERROR(VLOOKUP(J76,Database!$A$2:$M$188,9,FALSE),"-")</f>
        <v>-</v>
      </c>
      <c r="N76" s="203" t="str">
        <f>IFERROR(VLOOKUP(J76,Database!$A$2:$T$188,19,FALSE),"-")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IFERROR(VLOOKUP(O76,Database!$A$2:$M$188,8,FALSE),"-")</f>
        <v>-</v>
      </c>
      <c r="Q76" s="76" t="str">
        <f>IFERROR(VLOOKUP(O76,Database!$A$2:$M$188,6,FALSE),"-")</f>
        <v>-</v>
      </c>
      <c r="R76" s="80" t="str">
        <f>IFERROR(VLOOKUP(O76,Database!$A$2:$M$188,9,FALSE),"-")</f>
        <v>-</v>
      </c>
      <c r="S76" s="203" t="str">
        <f>IFERROR(VLOOKUP(O76,Database!$A$2:$T$188,19,FALSE),"-")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IFERROR(VLOOKUP(T76,Database!$A$2:$M$188,8,FALSE),"-")</f>
        <v>-</v>
      </c>
      <c r="V76" s="76" t="str">
        <f>IFERROR(VLOOKUP(T76,Database!$A$2:$M$188,6,FALSE),"-")</f>
        <v>-</v>
      </c>
      <c r="W76" s="80" t="str">
        <f>IFERROR(VLOOKUP(T76,Database!$A$2:$M$188,9,FALSE),"-")</f>
        <v>-</v>
      </c>
      <c r="X76" s="203" t="str">
        <f>IFERROR(VLOOKUP(T76,Database!$A$2:$T$188,19,FALSE),"-")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IFERROR(VLOOKUP(Y76,Database!$A$2:$M$188,8,FALSE),"-")</f>
        <v>-</v>
      </c>
      <c r="AA76" s="77" t="str">
        <f>IFERROR(VLOOKUP(Y76,Database!$A$2:$M$188,6,FALSE),"-")</f>
        <v>-</v>
      </c>
      <c r="AB76" s="90" t="str">
        <f>IFERROR(VLOOKUP(Y76,Database!$A$2:$M$188,9,FALSE),"-")</f>
        <v>-</v>
      </c>
      <c r="AC76" s="8" t="str">
        <f>IFERROR(VLOOKUP(Y76,Database!$A$2:$T$188,19,FALSE),"-")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IFERROR(VLOOKUP(E77,Database!$A$2:$M$188,8,FALSE),"-")</f>
        <v>-</v>
      </c>
      <c r="G77" s="76" t="str">
        <f>IFERROR(VLOOKUP(E77,Database!$A$2:$M$188,6,FALSE),"-")</f>
        <v>-</v>
      </c>
      <c r="H77" s="91" t="str">
        <f>IFERROR(VLOOKUP(E77,Database!$A$2:$M$188,9,FALSE),"-")</f>
        <v>-</v>
      </c>
      <c r="I77" s="109" t="str">
        <f>IFERROR(VLOOKUP(E77,Database!$A$2:$T$188,19,FALSE),"-")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IFERROR(VLOOKUP(J77,Database!$A$2:$M$188,8,FALSE),"-")</f>
        <v>-</v>
      </c>
      <c r="L77" s="76" t="str">
        <f>IFERROR(VLOOKUP(J77,Database!$A$2:$M$188,6,FALSE),"-")</f>
        <v>-</v>
      </c>
      <c r="M77" s="91" t="str">
        <f>IFERROR(VLOOKUP(J77,Database!$A$2:$M$188,9,FALSE),"-")</f>
        <v>-</v>
      </c>
      <c r="N77" s="203" t="str">
        <f>IFERROR(VLOOKUP(J77,Database!$A$2:$T$188,19,FALSE),"-")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IFERROR(VLOOKUP(O77,Database!$A$2:$M$188,8,FALSE),"-")</f>
        <v>-</v>
      </c>
      <c r="Q77" s="76" t="str">
        <f>IFERROR(VLOOKUP(O77,Database!$A$2:$M$188,6,FALSE),"-")</f>
        <v>-</v>
      </c>
      <c r="R77" s="80" t="str">
        <f>IFERROR(VLOOKUP(O77,Database!$A$2:$M$188,9,FALSE),"-")</f>
        <v>-</v>
      </c>
      <c r="S77" s="203" t="str">
        <f>IFERROR(VLOOKUP(O77,Database!$A$2:$T$188,19,FALSE),"-")</f>
        <v>-</v>
      </c>
      <c r="T77" s="95">
        <f>IF(AND(D77="Y",booking!P77&lt;&gt;booking!Q77,booking!Q77&gt;0),booking!Q77,"-")</f>
        <v>66</v>
      </c>
      <c r="U77" s="76" t="str">
        <f>IFERROR(VLOOKUP(T77,Database!$A$2:$M$188,8,FALSE),"-")</f>
        <v>web</v>
      </c>
      <c r="V77" s="76">
        <f>IFERROR(VLOOKUP(T77,Database!$A$2:$M$188,6,FALSE),"-")</f>
        <v>46054</v>
      </c>
      <c r="W77" s="80">
        <f>IFERROR(VLOOKUP(T77,Database!$A$2:$M$188,9,FALSE),"-")</f>
        <v>0</v>
      </c>
      <c r="X77" s="203">
        <f>IFERROR(VLOOKUP(T77,Database!$A$2:$T$188,19,FALSE),"-")</f>
        <v>9180</v>
      </c>
      <c r="Y77" s="94">
        <f>IF(AND(D77="Y",booking!T77&lt;&gt;booking!U77,booking!U77&gt;0),booking!U77,"-")</f>
        <v>62</v>
      </c>
      <c r="Z77" s="77" t="str">
        <f>IFERROR(VLOOKUP(Y77,Database!$A$2:$M$188,8,FALSE),"-")</f>
        <v>bc</v>
      </c>
      <c r="AA77" s="77">
        <f>IFERROR(VLOOKUP(Y77,Database!$A$2:$M$188,6,FALSE),"-")</f>
        <v>46047</v>
      </c>
      <c r="AB77" s="90">
        <f>IFERROR(VLOOKUP(Y77,Database!$A$2:$M$188,9,FALSE),"-")</f>
        <v>0</v>
      </c>
      <c r="AC77" s="8">
        <f>IFERROR(VLOOKUP(Y77,Database!$A$2:$T$188,19,FALSE),"-")</f>
        <v>12367.5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 t="str">
        <f>IFERROR(VLOOKUP(E78,Database!$A$2:$M$188,8,FALSE),"-")</f>
        <v>web</v>
      </c>
      <c r="G78" s="76">
        <f>IFERROR(VLOOKUP(E78,Database!$A$2:$M$188,6,FALSE),"-")</f>
        <v>45931</v>
      </c>
      <c r="H78" s="91">
        <f>IFERROR(VLOOKUP(E78,Database!$A$2:$M$188,9,FALSE),"-")</f>
        <v>0</v>
      </c>
      <c r="I78" s="109">
        <f>IFERROR(VLOOKUP(E78,Database!$A$2:$T$188,19,FALSE),"-")</f>
        <v>14805</v>
      </c>
      <c r="J78" s="94" t="str">
        <f>IF(AND(D78="Y",booking!H78&lt;&gt;booking!I78,booking!I78&gt;0),booking!I78,"-")</f>
        <v>-</v>
      </c>
      <c r="K78" s="76" t="str">
        <f>IFERROR(VLOOKUP(J78,Database!$A$2:$M$188,8,FALSE),"-")</f>
        <v>-</v>
      </c>
      <c r="L78" s="76" t="str">
        <f>IFERROR(VLOOKUP(J78,Database!$A$2:$M$188,6,FALSE),"-")</f>
        <v>-</v>
      </c>
      <c r="M78" s="91" t="str">
        <f>IFERROR(VLOOKUP(J78,Database!$A$2:$M$188,9,FALSE),"-")</f>
        <v>-</v>
      </c>
      <c r="N78" s="203" t="str">
        <f>IFERROR(VLOOKUP(J78,Database!$A$2:$T$188,19,FALSE),"-")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IFERROR(VLOOKUP(O78,Database!$A$2:$M$188,8,FALSE),"-")</f>
        <v>-</v>
      </c>
      <c r="Q78" s="76" t="str">
        <f>IFERROR(VLOOKUP(O78,Database!$A$2:$M$188,6,FALSE),"-")</f>
        <v>-</v>
      </c>
      <c r="R78" s="80" t="str">
        <f>IFERROR(VLOOKUP(O78,Database!$A$2:$M$188,9,FALSE),"-")</f>
        <v>-</v>
      </c>
      <c r="S78" s="203" t="str">
        <f>IFERROR(VLOOKUP(O78,Database!$A$2:$T$188,19,FALSE),"-")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IFERROR(VLOOKUP(T78,Database!$A$2:$M$188,8,FALSE),"-")</f>
        <v>-</v>
      </c>
      <c r="V78" s="76" t="str">
        <f>IFERROR(VLOOKUP(T78,Database!$A$2:$M$188,6,FALSE),"-")</f>
        <v>-</v>
      </c>
      <c r="W78" s="80" t="str">
        <f>IFERROR(VLOOKUP(T78,Database!$A$2:$M$188,9,FALSE),"-")</f>
        <v>-</v>
      </c>
      <c r="X78" s="203" t="str">
        <f>IFERROR(VLOOKUP(T78,Database!$A$2:$T$188,19,FALSE),"-")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IFERROR(VLOOKUP(Y78,Database!$A$2:$M$188,8,FALSE),"-")</f>
        <v>-</v>
      </c>
      <c r="AA78" s="77" t="str">
        <f>IFERROR(VLOOKUP(Y78,Database!$A$2:$M$188,6,FALSE),"-")</f>
        <v>-</v>
      </c>
      <c r="AB78" s="90" t="str">
        <f>IFERROR(VLOOKUP(Y78,Database!$A$2:$M$188,9,FALSE),"-")</f>
        <v>-</v>
      </c>
      <c r="AC78" s="8" t="str">
        <f>IFERROR(VLOOKUP(Y78,Database!$A$2:$T$188,19,FALSE),"-")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IFERROR(VLOOKUP(E79,Database!$A$2:$M$188,8,FALSE),"-")</f>
        <v>-</v>
      </c>
      <c r="G79" s="76" t="str">
        <f>IFERROR(VLOOKUP(E79,Database!$A$2:$M$188,6,FALSE),"-")</f>
        <v>-</v>
      </c>
      <c r="H79" s="91" t="str">
        <f>IFERROR(VLOOKUP(E79,Database!$A$2:$M$188,9,FALSE),"-")</f>
        <v>-</v>
      </c>
      <c r="I79" s="109" t="str">
        <f>IFERROR(VLOOKUP(E79,Database!$A$2:$T$188,19,FALSE),"-")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IFERROR(VLOOKUP(J79,Database!$A$2:$M$188,8,FALSE),"-")</f>
        <v>-</v>
      </c>
      <c r="L79" s="76" t="str">
        <f>IFERROR(VLOOKUP(J79,Database!$A$2:$M$188,6,FALSE),"-")</f>
        <v>-</v>
      </c>
      <c r="M79" s="91" t="str">
        <f>IFERROR(VLOOKUP(J79,Database!$A$2:$M$188,9,FALSE),"-")</f>
        <v>-</v>
      </c>
      <c r="N79" s="203" t="str">
        <f>IFERROR(VLOOKUP(J79,Database!$A$2:$T$188,19,FALSE),"-")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IFERROR(VLOOKUP(O79,Database!$A$2:$M$188,8,FALSE),"-")</f>
        <v>web</v>
      </c>
      <c r="Q79" s="76">
        <f>IFERROR(VLOOKUP(O79,Database!$A$2:$M$188,6,FALSE),"-")</f>
        <v>46037</v>
      </c>
      <c r="R79" s="80" t="str">
        <f>IFERROR(VLOOKUP(O79,Database!$A$2:$M$188,9,FALSE),"-")</f>
        <v>1430</v>
      </c>
      <c r="S79" s="203">
        <f>IFERROR(VLOOKUP(O79,Database!$A$2:$T$188,19,FALSE),"-")</f>
        <v>4500</v>
      </c>
      <c r="T79" s="95" t="str">
        <f>IF(AND(D79="Y",booking!P79&lt;&gt;booking!Q79,booking!Q79&gt;0),booking!Q79,"-")</f>
        <v>-</v>
      </c>
      <c r="U79" s="76" t="str">
        <f>IFERROR(VLOOKUP(T79,Database!$A$2:$M$188,8,FALSE),"-")</f>
        <v>-</v>
      </c>
      <c r="V79" s="76" t="str">
        <f>IFERROR(VLOOKUP(T79,Database!$A$2:$M$188,6,FALSE),"-")</f>
        <v>-</v>
      </c>
      <c r="W79" s="80" t="str">
        <f>IFERROR(VLOOKUP(T79,Database!$A$2:$M$188,9,FALSE),"-")</f>
        <v>-</v>
      </c>
      <c r="X79" s="203" t="str">
        <f>IFERROR(VLOOKUP(T79,Database!$A$2:$T$188,19,FALSE),"-")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IFERROR(VLOOKUP(Y79,Database!$A$2:$M$188,8,FALSE),"-")</f>
        <v>-</v>
      </c>
      <c r="AA79" s="77" t="str">
        <f>IFERROR(VLOOKUP(Y79,Database!$A$2:$M$188,6,FALSE),"-")</f>
        <v>-</v>
      </c>
      <c r="AB79" s="90" t="str">
        <f>IFERROR(VLOOKUP(Y79,Database!$A$2:$M$188,9,FALSE),"-")</f>
        <v>-</v>
      </c>
      <c r="AC79" s="8" t="str">
        <f>IFERROR(VLOOKUP(Y79,Database!$A$2:$T$188,19,FALSE),"-")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IFERROR(VLOOKUP(E80,Database!$A$2:$M$188,8,FALSE),"-")</f>
        <v>-</v>
      </c>
      <c r="G80" s="76" t="str">
        <f>IFERROR(VLOOKUP(E80,Database!$A$2:$M$188,6,FALSE),"-")</f>
        <v>-</v>
      </c>
      <c r="H80" s="91" t="str">
        <f>IFERROR(VLOOKUP(E80,Database!$A$2:$M$188,9,FALSE),"-")</f>
        <v>-</v>
      </c>
      <c r="I80" s="109" t="str">
        <f>IFERROR(VLOOKUP(E80,Database!$A$2:$T$188,19,FALSE),"-")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IFERROR(VLOOKUP(J80,Database!$A$2:$M$188,8,FALSE),"-")</f>
        <v>-</v>
      </c>
      <c r="L80" s="76" t="str">
        <f>IFERROR(VLOOKUP(J80,Database!$A$2:$M$188,6,FALSE),"-")</f>
        <v>-</v>
      </c>
      <c r="M80" s="91" t="str">
        <f>IFERROR(VLOOKUP(J80,Database!$A$2:$M$188,9,FALSE),"-")</f>
        <v>-</v>
      </c>
      <c r="N80" s="203" t="str">
        <f>IFERROR(VLOOKUP(J80,Database!$A$2:$T$188,19,FALSE),"-")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IFERROR(VLOOKUP(O80,Database!$A$2:$M$188,8,FALSE),"-")</f>
        <v>-</v>
      </c>
      <c r="Q80" s="76" t="str">
        <f>IFERROR(VLOOKUP(O80,Database!$A$2:$M$188,6,FALSE),"-")</f>
        <v>-</v>
      </c>
      <c r="R80" s="80" t="str">
        <f>IFERROR(VLOOKUP(O80,Database!$A$2:$M$188,9,FALSE),"-")</f>
        <v>-</v>
      </c>
      <c r="S80" s="203" t="str">
        <f>IFERROR(VLOOKUP(O80,Database!$A$2:$T$188,19,FALSE),"-")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IFERROR(VLOOKUP(T80,Database!$A$2:$M$188,8,FALSE),"-")</f>
        <v>-</v>
      </c>
      <c r="V80" s="76" t="str">
        <f>IFERROR(VLOOKUP(T80,Database!$A$2:$M$188,6,FALSE),"-")</f>
        <v>-</v>
      </c>
      <c r="W80" s="80" t="str">
        <f>IFERROR(VLOOKUP(T80,Database!$A$2:$M$188,9,FALSE),"-")</f>
        <v>-</v>
      </c>
      <c r="X80" s="203" t="str">
        <f>IFERROR(VLOOKUP(T80,Database!$A$2:$T$188,19,FALSE),"-")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IFERROR(VLOOKUP(Y80,Database!$A$2:$M$188,8,FALSE),"-")</f>
        <v>-</v>
      </c>
      <c r="AA80" s="77" t="str">
        <f>IFERROR(VLOOKUP(Y80,Database!$A$2:$M$188,6,FALSE),"-")</f>
        <v>-</v>
      </c>
      <c r="AB80" s="90" t="str">
        <f>IFERROR(VLOOKUP(Y80,Database!$A$2:$M$188,9,FALSE),"-")</f>
        <v>-</v>
      </c>
      <c r="AC80" s="8" t="str">
        <f>IFERROR(VLOOKUP(Y80,Database!$A$2:$T$188,19,FALSE),"-")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IFERROR(VLOOKUP(E81,Database!$A$2:$M$188,8,FALSE),"-")</f>
        <v>-</v>
      </c>
      <c r="G81" s="76" t="str">
        <f>IFERROR(VLOOKUP(E81,Database!$A$2:$M$188,6,FALSE),"-")</f>
        <v>-</v>
      </c>
      <c r="H81" s="91" t="str">
        <f>IFERROR(VLOOKUP(E81,Database!$A$2:$M$188,9,FALSE),"-")</f>
        <v>-</v>
      </c>
      <c r="I81" s="109" t="str">
        <f>IFERROR(VLOOKUP(E81,Database!$A$2:$T$188,19,FALSE),"-")</f>
        <v>-</v>
      </c>
      <c r="J81" s="94">
        <f>IF(AND(D81="Y",booking!H81&lt;&gt;booking!I81,booking!I81&gt;0),booking!I81,"-")</f>
        <v>81</v>
      </c>
      <c r="K81" s="76" t="str">
        <f>IFERROR(VLOOKUP(J81,Database!$A$2:$M$188,8,FALSE),"-")</f>
        <v>bc</v>
      </c>
      <c r="L81" s="76">
        <f>IFERROR(VLOOKUP(J81,Database!$A$2:$M$188,6,FALSE),"-")</f>
        <v>46074</v>
      </c>
      <c r="M81" s="91">
        <f>IFERROR(VLOOKUP(J81,Database!$A$2:$M$188,9,FALSE),"-")</f>
        <v>0</v>
      </c>
      <c r="N81" s="203">
        <f>IFERROR(VLOOKUP(J81,Database!$A$2:$T$188,19,FALSE),"-")</f>
        <v>3825</v>
      </c>
      <c r="O81" s="94" t="str">
        <f>IF(AND(D81="Y",booking!L81&lt;&gt;booking!M81,booking!M81&gt;0),booking!M81,"-")</f>
        <v>-</v>
      </c>
      <c r="P81" s="76" t="str">
        <f>IFERROR(VLOOKUP(O81,Database!$A$2:$M$188,8,FALSE),"-")</f>
        <v>-</v>
      </c>
      <c r="Q81" s="76" t="str">
        <f>IFERROR(VLOOKUP(O81,Database!$A$2:$M$188,6,FALSE),"-")</f>
        <v>-</v>
      </c>
      <c r="R81" s="80" t="str">
        <f>IFERROR(VLOOKUP(O81,Database!$A$2:$M$188,9,FALSE),"-")</f>
        <v>-</v>
      </c>
      <c r="S81" s="203" t="str">
        <f>IFERROR(VLOOKUP(O81,Database!$A$2:$T$188,19,FALSE),"-")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IFERROR(VLOOKUP(T81,Database!$A$2:$M$188,8,FALSE),"-")</f>
        <v>-</v>
      </c>
      <c r="V81" s="76" t="str">
        <f>IFERROR(VLOOKUP(T81,Database!$A$2:$M$188,6,FALSE),"-")</f>
        <v>-</v>
      </c>
      <c r="W81" s="80" t="str">
        <f>IFERROR(VLOOKUP(T81,Database!$A$2:$M$188,9,FALSE),"-")</f>
        <v>-</v>
      </c>
      <c r="X81" s="203" t="str">
        <f>IFERROR(VLOOKUP(T81,Database!$A$2:$T$188,19,FALSE),"-")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IFERROR(VLOOKUP(Y81,Database!$A$2:$M$188,8,FALSE),"-")</f>
        <v>-</v>
      </c>
      <c r="AA81" s="77" t="str">
        <f>IFERROR(VLOOKUP(Y81,Database!$A$2:$M$188,6,FALSE),"-")</f>
        <v>-</v>
      </c>
      <c r="AB81" s="90" t="str">
        <f>IFERROR(VLOOKUP(Y81,Database!$A$2:$M$188,9,FALSE),"-")</f>
        <v>-</v>
      </c>
      <c r="AC81" s="8" t="str">
        <f>IFERROR(VLOOKUP(Y81,Database!$A$2:$T$188,19,FALSE),"-")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IFERROR(VLOOKUP(E82,Database!$A$2:$M$188,8,FALSE),"-")</f>
        <v>-</v>
      </c>
      <c r="G82" s="76" t="str">
        <f>IFERROR(VLOOKUP(E82,Database!$A$2:$M$188,6,FALSE),"-")</f>
        <v>-</v>
      </c>
      <c r="H82" s="91" t="str">
        <f>IFERROR(VLOOKUP(E82,Database!$A$2:$M$188,9,FALSE),"-")</f>
        <v>-</v>
      </c>
      <c r="I82" s="109" t="str">
        <f>IFERROR(VLOOKUP(E82,Database!$A$2:$T$188,19,FALSE),"-")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IFERROR(VLOOKUP(J82,Database!$A$2:$M$188,8,FALSE),"-")</f>
        <v>-</v>
      </c>
      <c r="L82" s="76" t="str">
        <f>IFERROR(VLOOKUP(J82,Database!$A$2:$M$188,6,FALSE),"-")</f>
        <v>-</v>
      </c>
      <c r="M82" s="91" t="str">
        <f>IFERROR(VLOOKUP(J82,Database!$A$2:$M$188,9,FALSE),"-")</f>
        <v>-</v>
      </c>
      <c r="N82" s="203" t="str">
        <f>IFERROR(VLOOKUP(J82,Database!$A$2:$T$188,19,FALSE),"-")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IFERROR(VLOOKUP(O82,Database!$A$2:$M$188,8,FALSE),"-")</f>
        <v>bc</v>
      </c>
      <c r="Q82" s="76">
        <f>IFERROR(VLOOKUP(O82,Database!$A$2:$M$188,6,FALSE),"-")</f>
        <v>46192</v>
      </c>
      <c r="R82" s="80" t="str">
        <f>IFERROR(VLOOKUP(O82,Database!$A$2:$M$188,9,FALSE),"-")</f>
        <v>1400</v>
      </c>
      <c r="S82" s="203">
        <f>IFERROR(VLOOKUP(O82,Database!$A$2:$T$188,19,FALSE),"-")</f>
        <v>3825</v>
      </c>
      <c r="T82" s="95" t="str">
        <f>IF(AND(D82="Y",booking!P82&lt;&gt;booking!Q82,booking!Q82&gt;0),booking!Q82,"-")</f>
        <v>-</v>
      </c>
      <c r="U82" s="76" t="str">
        <f>IFERROR(VLOOKUP(T82,Database!$A$2:$M$188,8,FALSE),"-")</f>
        <v>-</v>
      </c>
      <c r="V82" s="76" t="str">
        <f>IFERROR(VLOOKUP(T82,Database!$A$2:$M$188,6,FALSE),"-")</f>
        <v>-</v>
      </c>
      <c r="W82" s="80" t="str">
        <f>IFERROR(VLOOKUP(T82,Database!$A$2:$M$188,9,FALSE),"-")</f>
        <v>-</v>
      </c>
      <c r="X82" s="203" t="str">
        <f>IFERROR(VLOOKUP(T82,Database!$A$2:$T$188,19,FALSE),"-")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IFERROR(VLOOKUP(Y82,Database!$A$2:$M$188,8,FALSE),"-")</f>
        <v>-</v>
      </c>
      <c r="AA82" s="77" t="str">
        <f>IFERROR(VLOOKUP(Y82,Database!$A$2:$M$188,6,FALSE),"-")</f>
        <v>-</v>
      </c>
      <c r="AB82" s="90" t="str">
        <f>IFERROR(VLOOKUP(Y82,Database!$A$2:$M$188,9,FALSE),"-")</f>
        <v>-</v>
      </c>
      <c r="AC82" s="8" t="str">
        <f>IFERROR(VLOOKUP(Y82,Database!$A$2:$T$188,19,FALSE),"-")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IFERROR(VLOOKUP(E83,Database!$A$2:$M$188,8,FALSE),"-")</f>
        <v>-</v>
      </c>
      <c r="G83" s="76" t="str">
        <f>IFERROR(VLOOKUP(E83,Database!$A$2:$M$188,6,FALSE),"-")</f>
        <v>-</v>
      </c>
      <c r="H83" s="91" t="str">
        <f>IFERROR(VLOOKUP(E83,Database!$A$2:$M$188,9,FALSE),"-")</f>
        <v>-</v>
      </c>
      <c r="I83" s="109" t="str">
        <f>IFERROR(VLOOKUP(E83,Database!$A$2:$T$188,19,FALSE),"-")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IFERROR(VLOOKUP(J83,Database!$A$2:$M$188,8,FALSE),"-")</f>
        <v>-</v>
      </c>
      <c r="L83" s="76" t="str">
        <f>IFERROR(VLOOKUP(J83,Database!$A$2:$M$188,6,FALSE),"-")</f>
        <v>-</v>
      </c>
      <c r="M83" s="91" t="str">
        <f>IFERROR(VLOOKUP(J83,Database!$A$2:$M$188,9,FALSE),"-")</f>
        <v>-</v>
      </c>
      <c r="N83" s="203" t="str">
        <f>IFERROR(VLOOKUP(J83,Database!$A$2:$T$188,19,FALSE),"-")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IFERROR(VLOOKUP(O83,Database!$A$2:$M$188,8,FALSE),"-")</f>
        <v>-</v>
      </c>
      <c r="Q83" s="76" t="str">
        <f>IFERROR(VLOOKUP(O83,Database!$A$2:$M$188,6,FALSE),"-")</f>
        <v>-</v>
      </c>
      <c r="R83" s="80" t="str">
        <f>IFERROR(VLOOKUP(O83,Database!$A$2:$M$188,9,FALSE),"-")</f>
        <v>-</v>
      </c>
      <c r="S83" s="203" t="str">
        <f>IFERROR(VLOOKUP(O83,Database!$A$2:$T$188,19,FALSE),"-")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IFERROR(VLOOKUP(T83,Database!$A$2:$M$188,8,FALSE),"-")</f>
        <v>-</v>
      </c>
      <c r="V83" s="76" t="str">
        <f>IFERROR(VLOOKUP(T83,Database!$A$2:$M$188,6,FALSE),"-")</f>
        <v>-</v>
      </c>
      <c r="W83" s="80" t="str">
        <f>IFERROR(VLOOKUP(T83,Database!$A$2:$M$188,9,FALSE),"-")</f>
        <v>-</v>
      </c>
      <c r="X83" s="203" t="str">
        <f>IFERROR(VLOOKUP(T83,Database!$A$2:$T$188,19,FALSE),"-")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IFERROR(VLOOKUP(Y83,Database!$A$2:$M$188,8,FALSE),"-")</f>
        <v>-</v>
      </c>
      <c r="AA83" s="77" t="str">
        <f>IFERROR(VLOOKUP(Y83,Database!$A$2:$M$188,6,FALSE),"-")</f>
        <v>-</v>
      </c>
      <c r="AB83" s="90" t="str">
        <f>IFERROR(VLOOKUP(Y83,Database!$A$2:$M$188,9,FALSE),"-")</f>
        <v>-</v>
      </c>
      <c r="AC83" s="8" t="str">
        <f>IFERROR(VLOOKUP(Y83,Database!$A$2:$T$188,19,FALSE),"-")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IFERROR(VLOOKUP(E84,Database!$A$2:$M$188,8,FALSE),"-")</f>
        <v>-</v>
      </c>
      <c r="G84" s="76" t="str">
        <f>IFERROR(VLOOKUP(E84,Database!$A$2:$M$188,6,FALSE),"-")</f>
        <v>-</v>
      </c>
      <c r="H84" s="91" t="str">
        <f>IFERROR(VLOOKUP(E84,Database!$A$2:$M$188,9,FALSE),"-")</f>
        <v>-</v>
      </c>
      <c r="I84" s="109" t="str">
        <f>IFERROR(VLOOKUP(E84,Database!$A$2:$T$188,19,FALSE),"-")</f>
        <v>-</v>
      </c>
      <c r="J84" s="94">
        <f>IF(AND(D84="Y",booking!H84&lt;&gt;booking!I84,booking!I84&gt;0),booking!I84,"-")</f>
        <v>38</v>
      </c>
      <c r="K84" s="76" t="str">
        <f>IFERROR(VLOOKUP(J84,Database!$A$2:$M$188,8,FALSE),"-")</f>
        <v>bc</v>
      </c>
      <c r="L84" s="76">
        <f>IFERROR(VLOOKUP(J84,Database!$A$2:$M$188,6,FALSE),"-")</f>
        <v>46031</v>
      </c>
      <c r="M84" s="91">
        <f>IFERROR(VLOOKUP(J84,Database!$A$2:$M$188,9,FALSE),"-")</f>
        <v>0</v>
      </c>
      <c r="N84" s="203">
        <f>IFERROR(VLOOKUP(J84,Database!$A$2:$T$188,19,FALSE),"-")</f>
        <v>7525</v>
      </c>
      <c r="O84" s="94" t="str">
        <f>IF(AND(D84="Y",booking!L84&lt;&gt;booking!M84,booking!M84&gt;0),booking!M84,"-")</f>
        <v>-</v>
      </c>
      <c r="P84" s="76" t="str">
        <f>IFERROR(VLOOKUP(O84,Database!$A$2:$M$188,8,FALSE),"-")</f>
        <v>-</v>
      </c>
      <c r="Q84" s="76" t="str">
        <f>IFERROR(VLOOKUP(O84,Database!$A$2:$M$188,6,FALSE),"-")</f>
        <v>-</v>
      </c>
      <c r="R84" s="80" t="str">
        <f>IFERROR(VLOOKUP(O84,Database!$A$2:$M$188,9,FALSE),"-")</f>
        <v>-</v>
      </c>
      <c r="S84" s="203" t="str">
        <f>IFERROR(VLOOKUP(O84,Database!$A$2:$T$188,19,FALSE),"-")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IFERROR(VLOOKUP(T84,Database!$A$2:$M$188,8,FALSE),"-")</f>
        <v>-</v>
      </c>
      <c r="V84" s="76" t="str">
        <f>IFERROR(VLOOKUP(T84,Database!$A$2:$M$188,6,FALSE),"-")</f>
        <v>-</v>
      </c>
      <c r="W84" s="80" t="str">
        <f>IFERROR(VLOOKUP(T84,Database!$A$2:$M$188,9,FALSE),"-")</f>
        <v>-</v>
      </c>
      <c r="X84" s="203" t="str">
        <f>IFERROR(VLOOKUP(T84,Database!$A$2:$T$188,19,FALSE),"-")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IFERROR(VLOOKUP(Y84,Database!$A$2:$M$188,8,FALSE),"-")</f>
        <v>-</v>
      </c>
      <c r="AA84" s="77" t="str">
        <f>IFERROR(VLOOKUP(Y84,Database!$A$2:$M$188,6,FALSE),"-")</f>
        <v>-</v>
      </c>
      <c r="AB84" s="90" t="str">
        <f>IFERROR(VLOOKUP(Y84,Database!$A$2:$M$188,9,FALSE),"-")</f>
        <v>-</v>
      </c>
      <c r="AC84" s="8" t="str">
        <f>IFERROR(VLOOKUP(Y84,Database!$A$2:$T$188,19,FALSE),"-")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IFERROR(VLOOKUP(E85,Database!$A$2:$M$188,8,FALSE),"-")</f>
        <v>-</v>
      </c>
      <c r="G85" s="76" t="str">
        <f>IFERROR(VLOOKUP(E85,Database!$A$2:$M$188,6,FALSE),"-")</f>
        <v>-</v>
      </c>
      <c r="H85" s="91" t="str">
        <f>IFERROR(VLOOKUP(E85,Database!$A$2:$M$188,9,FALSE),"-")</f>
        <v>-</v>
      </c>
      <c r="I85" s="109" t="str">
        <f>IFERROR(VLOOKUP(E85,Database!$A$2:$T$188,19,FALSE),"-")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IFERROR(VLOOKUP(J85,Database!$A$2:$M$188,8,FALSE),"-")</f>
        <v>-</v>
      </c>
      <c r="L85" s="76" t="str">
        <f>IFERROR(VLOOKUP(J85,Database!$A$2:$M$188,6,FALSE),"-")</f>
        <v>-</v>
      </c>
      <c r="M85" s="91" t="str">
        <f>IFERROR(VLOOKUP(J85,Database!$A$2:$M$188,9,FALSE),"-")</f>
        <v>-</v>
      </c>
      <c r="N85" s="203" t="str">
        <f>IFERROR(VLOOKUP(J85,Database!$A$2:$T$188,19,FALSE),"-")</f>
        <v>-</v>
      </c>
      <c r="O85" s="94">
        <f>IF(AND(D85="Y",booking!L85&lt;&gt;booking!M85,booking!M85&gt;0),booking!M85,"-")</f>
        <v>44</v>
      </c>
      <c r="P85" s="76" t="str">
        <f>IFERROR(VLOOKUP(O85,Database!$A$2:$M$188,8,FALSE),"-")</f>
        <v>bc</v>
      </c>
      <c r="Q85" s="76">
        <f>IFERROR(VLOOKUP(O85,Database!$A$2:$M$188,6,FALSE),"-")</f>
        <v>46037</v>
      </c>
      <c r="R85" s="80">
        <f>IFERROR(VLOOKUP(O85,Database!$A$2:$M$188,9,FALSE),"-")</f>
        <v>0</v>
      </c>
      <c r="S85" s="203">
        <f>IFERROR(VLOOKUP(O85,Database!$A$2:$T$188,19,FALSE),"-")</f>
        <v>6375</v>
      </c>
      <c r="T85" s="95">
        <f>IF(AND(D85="Y",booking!P85&lt;&gt;booking!Q85,booking!Q85&gt;0),booking!Q85,"-")</f>
        <v>1</v>
      </c>
      <c r="U85" s="76" t="str">
        <f>IFERROR(VLOOKUP(T85,Database!$A$2:$M$188,8,FALSE),"-")</f>
        <v>web</v>
      </c>
      <c r="V85" s="76">
        <f>IFERROR(VLOOKUP(T85,Database!$A$2:$M$188,6,FALSE),"-")</f>
        <v>45868</v>
      </c>
      <c r="W85" s="80">
        <f>IFERROR(VLOOKUP(T85,Database!$A$2:$M$188,9,FALSE),"-")</f>
        <v>0</v>
      </c>
      <c r="X85" s="203">
        <f>IFERROR(VLOOKUP(T85,Database!$A$2:$T$188,19,FALSE),"-")</f>
        <v>7267.5</v>
      </c>
      <c r="Y85" s="94" t="str">
        <f>IF(AND(D85="Y",booking!T85&lt;&gt;booking!U85,booking!U85&gt;0),booking!U85,"-")</f>
        <v>-</v>
      </c>
      <c r="Z85" s="77" t="str">
        <f>IFERROR(VLOOKUP(Y85,Database!$A$2:$M$188,8,FALSE),"-")</f>
        <v>-</v>
      </c>
      <c r="AA85" s="77" t="str">
        <f>IFERROR(VLOOKUP(Y85,Database!$A$2:$M$188,6,FALSE),"-")</f>
        <v>-</v>
      </c>
      <c r="AB85" s="90" t="str">
        <f>IFERROR(VLOOKUP(Y85,Database!$A$2:$M$188,9,FALSE),"-")</f>
        <v>-</v>
      </c>
      <c r="AC85" s="8" t="str">
        <f>IFERROR(VLOOKUP(Y85,Database!$A$2:$T$188,19,FALSE),"-")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IFERROR(VLOOKUP(E86,Database!$A$2:$M$188,8,FALSE),"-")</f>
        <v>-</v>
      </c>
      <c r="G86" s="76" t="str">
        <f>IFERROR(VLOOKUP(E86,Database!$A$2:$M$188,6,FALSE),"-")</f>
        <v>-</v>
      </c>
      <c r="H86" s="91" t="str">
        <f>IFERROR(VLOOKUP(E86,Database!$A$2:$M$188,9,FALSE),"-")</f>
        <v>-</v>
      </c>
      <c r="I86" s="109" t="str">
        <f>IFERROR(VLOOKUP(E86,Database!$A$2:$T$188,19,FALSE),"-")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IFERROR(VLOOKUP(J86,Database!$A$2:$M$188,8,FALSE),"-")</f>
        <v>-</v>
      </c>
      <c r="L86" s="76" t="str">
        <f>IFERROR(VLOOKUP(J86,Database!$A$2:$M$188,6,FALSE),"-")</f>
        <v>-</v>
      </c>
      <c r="M86" s="91" t="str">
        <f>IFERROR(VLOOKUP(J86,Database!$A$2:$M$188,9,FALSE),"-")</f>
        <v>-</v>
      </c>
      <c r="N86" s="203" t="str">
        <f>IFERROR(VLOOKUP(J86,Database!$A$2:$T$188,19,FALSE),"-")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IFERROR(VLOOKUP(O86,Database!$A$2:$M$188,8,FALSE),"-")</f>
        <v>-</v>
      </c>
      <c r="Q86" s="76" t="str">
        <f>IFERROR(VLOOKUP(O86,Database!$A$2:$M$188,6,FALSE),"-")</f>
        <v>-</v>
      </c>
      <c r="R86" s="80" t="str">
        <f>IFERROR(VLOOKUP(O86,Database!$A$2:$M$188,9,FALSE),"-")</f>
        <v>-</v>
      </c>
      <c r="S86" s="203" t="str">
        <f>IFERROR(VLOOKUP(O86,Database!$A$2:$T$188,19,FALSE),"-")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IFERROR(VLOOKUP(T86,Database!$A$2:$M$188,8,FALSE),"-")</f>
        <v>-</v>
      </c>
      <c r="V86" s="76" t="str">
        <f>IFERROR(VLOOKUP(T86,Database!$A$2:$M$188,6,FALSE),"-")</f>
        <v>-</v>
      </c>
      <c r="W86" s="80" t="str">
        <f>IFERROR(VLOOKUP(T86,Database!$A$2:$M$188,9,FALSE),"-")</f>
        <v>-</v>
      </c>
      <c r="X86" s="203" t="str">
        <f>IFERROR(VLOOKUP(T86,Database!$A$2:$T$188,19,FALSE),"-")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IFERROR(VLOOKUP(Y86,Database!$A$2:$M$188,8,FALSE),"-")</f>
        <v>-</v>
      </c>
      <c r="AA86" s="77" t="str">
        <f>IFERROR(VLOOKUP(Y86,Database!$A$2:$M$188,6,FALSE),"-")</f>
        <v>-</v>
      </c>
      <c r="AB86" s="90" t="str">
        <f>IFERROR(VLOOKUP(Y86,Database!$A$2:$M$188,9,FALSE),"-")</f>
        <v>-</v>
      </c>
      <c r="AC86" s="8" t="str">
        <f>IFERROR(VLOOKUP(Y86,Database!$A$2:$T$188,19,FALSE),"-")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IFERROR(VLOOKUP(E87,Database!$A$2:$M$188,8,FALSE),"-")</f>
        <v>-</v>
      </c>
      <c r="G87" s="76" t="str">
        <f>IFERROR(VLOOKUP(E87,Database!$A$2:$M$188,6,FALSE),"-")</f>
        <v>-</v>
      </c>
      <c r="H87" s="91" t="str">
        <f>IFERROR(VLOOKUP(E87,Database!$A$2:$M$188,9,FALSE),"-")</f>
        <v>-</v>
      </c>
      <c r="I87" s="109" t="str">
        <f>IFERROR(VLOOKUP(E87,Database!$A$2:$T$188,19,FALSE),"-")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IFERROR(VLOOKUP(J87,Database!$A$2:$M$188,8,FALSE),"-")</f>
        <v>-</v>
      </c>
      <c r="L87" s="76" t="str">
        <f>IFERROR(VLOOKUP(J87,Database!$A$2:$M$188,6,FALSE),"-")</f>
        <v>-</v>
      </c>
      <c r="M87" s="91" t="str">
        <f>IFERROR(VLOOKUP(J87,Database!$A$2:$M$188,9,FALSE),"-")</f>
        <v>-</v>
      </c>
      <c r="N87" s="203" t="str">
        <f>IFERROR(VLOOKUP(J87,Database!$A$2:$T$188,19,FALSE),"-")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IFERROR(VLOOKUP(O87,Database!$A$2:$M$188,8,FALSE),"-")</f>
        <v>-</v>
      </c>
      <c r="Q87" s="76" t="str">
        <f>IFERROR(VLOOKUP(O87,Database!$A$2:$M$188,6,FALSE),"-")</f>
        <v>-</v>
      </c>
      <c r="R87" s="80" t="str">
        <f>IFERROR(VLOOKUP(O87,Database!$A$2:$M$188,9,FALSE),"-")</f>
        <v>-</v>
      </c>
      <c r="S87" s="203" t="str">
        <f>IFERROR(VLOOKUP(O87,Database!$A$2:$T$188,19,FALSE),"-")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IFERROR(VLOOKUP(T87,Database!$A$2:$M$188,8,FALSE),"-")</f>
        <v>-</v>
      </c>
      <c r="V87" s="76" t="str">
        <f>IFERROR(VLOOKUP(T87,Database!$A$2:$M$188,6,FALSE),"-")</f>
        <v>-</v>
      </c>
      <c r="W87" s="80" t="str">
        <f>IFERROR(VLOOKUP(T87,Database!$A$2:$M$188,9,FALSE),"-")</f>
        <v>-</v>
      </c>
      <c r="X87" s="203" t="str">
        <f>IFERROR(VLOOKUP(T87,Database!$A$2:$T$188,19,FALSE),"-")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IFERROR(VLOOKUP(Y87,Database!$A$2:$M$188,8,FALSE),"-")</f>
        <v>-</v>
      </c>
      <c r="AA87" s="77" t="str">
        <f>IFERROR(VLOOKUP(Y87,Database!$A$2:$M$188,6,FALSE),"-")</f>
        <v>-</v>
      </c>
      <c r="AB87" s="90" t="str">
        <f>IFERROR(VLOOKUP(Y87,Database!$A$2:$M$188,9,FALSE),"-")</f>
        <v>-</v>
      </c>
      <c r="AC87" s="8" t="str">
        <f>IFERROR(VLOOKUP(Y87,Database!$A$2:$T$188,19,FALSE),"-")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IFERROR(VLOOKUP(E88,Database!$A$2:$M$188,8,FALSE),"-")</f>
        <v>-</v>
      </c>
      <c r="G88" s="76" t="str">
        <f>IFERROR(VLOOKUP(E88,Database!$A$2:$M$188,6,FALSE),"-")</f>
        <v>-</v>
      </c>
      <c r="H88" s="91" t="str">
        <f>IFERROR(VLOOKUP(E88,Database!$A$2:$M$188,9,FALSE),"-")</f>
        <v>-</v>
      </c>
      <c r="I88" s="109" t="str">
        <f>IFERROR(VLOOKUP(E88,Database!$A$2:$T$188,19,FALSE),"-")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IFERROR(VLOOKUP(J88,Database!$A$2:$M$188,8,FALSE),"-")</f>
        <v>-</v>
      </c>
      <c r="L88" s="76" t="str">
        <f>IFERROR(VLOOKUP(J88,Database!$A$2:$M$188,6,FALSE),"-")</f>
        <v>-</v>
      </c>
      <c r="M88" s="91" t="str">
        <f>IFERROR(VLOOKUP(J88,Database!$A$2:$M$188,9,FALSE),"-")</f>
        <v>-</v>
      </c>
      <c r="N88" s="203" t="str">
        <f>IFERROR(VLOOKUP(J88,Database!$A$2:$T$188,19,FALSE),"-")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IFERROR(VLOOKUP(O88,Database!$A$2:$M$188,8,FALSE),"-")</f>
        <v>-</v>
      </c>
      <c r="Q88" s="76" t="str">
        <f>IFERROR(VLOOKUP(O88,Database!$A$2:$M$188,6,FALSE),"-")</f>
        <v>-</v>
      </c>
      <c r="R88" s="80" t="str">
        <f>IFERROR(VLOOKUP(O88,Database!$A$2:$M$188,9,FALSE),"-")</f>
        <v>-</v>
      </c>
      <c r="S88" s="203" t="str">
        <f>IFERROR(VLOOKUP(O88,Database!$A$2:$T$188,19,FALSE),"-")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IFERROR(VLOOKUP(T88,Database!$A$2:$M$188,8,FALSE),"-")</f>
        <v>-</v>
      </c>
      <c r="V88" s="76" t="str">
        <f>IFERROR(VLOOKUP(T88,Database!$A$2:$M$188,6,FALSE),"-")</f>
        <v>-</v>
      </c>
      <c r="W88" s="80" t="str">
        <f>IFERROR(VLOOKUP(T88,Database!$A$2:$M$188,9,FALSE),"-")</f>
        <v>-</v>
      </c>
      <c r="X88" s="203" t="str">
        <f>IFERROR(VLOOKUP(T88,Database!$A$2:$T$188,19,FALSE),"-")</f>
        <v>-</v>
      </c>
      <c r="Y88" s="94">
        <f>IF(AND(D88="Y",booking!T88&lt;&gt;booking!U88,booking!U88&gt;0),booking!U88,"-")</f>
        <v>10</v>
      </c>
      <c r="Z88" s="77" t="str">
        <f>IFERROR(VLOOKUP(Y88,Database!$A$2:$M$188,8,FALSE),"-")</f>
        <v>web</v>
      </c>
      <c r="AA88" s="77">
        <f>IFERROR(VLOOKUP(Y88,Database!$A$2:$M$188,6,FALSE),"-")</f>
        <v>45932</v>
      </c>
      <c r="AB88" s="90">
        <f>IFERROR(VLOOKUP(Y88,Database!$A$2:$M$188,9,FALSE),"-")</f>
        <v>0</v>
      </c>
      <c r="AC88" s="8">
        <f>IFERROR(VLOOKUP(Y88,Database!$A$2:$T$188,19,FALSE),"-")</f>
        <v>3442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IFERROR(VLOOKUP(E89,Database!$A$2:$M$188,8,FALSE),"-")</f>
        <v>-</v>
      </c>
      <c r="G89" s="76" t="str">
        <f>IFERROR(VLOOKUP(E89,Database!$A$2:$M$188,6,FALSE),"-")</f>
        <v>-</v>
      </c>
      <c r="H89" s="91" t="str">
        <f>IFERROR(VLOOKUP(E89,Database!$A$2:$M$188,9,FALSE),"-")</f>
        <v>-</v>
      </c>
      <c r="I89" s="109" t="str">
        <f>IFERROR(VLOOKUP(E89,Database!$A$2:$T$188,19,FALSE),"-")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IFERROR(VLOOKUP(J89,Database!$A$2:$M$188,8,FALSE),"-")</f>
        <v>-</v>
      </c>
      <c r="L89" s="76" t="str">
        <f>IFERROR(VLOOKUP(J89,Database!$A$2:$M$188,6,FALSE),"-")</f>
        <v>-</v>
      </c>
      <c r="M89" s="91" t="str">
        <f>IFERROR(VLOOKUP(J89,Database!$A$2:$M$188,9,FALSE),"-")</f>
        <v>-</v>
      </c>
      <c r="N89" s="203" t="str">
        <f>IFERROR(VLOOKUP(J89,Database!$A$2:$T$188,19,FALSE),"-")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IFERROR(VLOOKUP(O89,Database!$A$2:$M$188,8,FALSE),"-")</f>
        <v>-</v>
      </c>
      <c r="Q89" s="76" t="str">
        <f>IFERROR(VLOOKUP(O89,Database!$A$2:$M$188,6,FALSE),"-")</f>
        <v>-</v>
      </c>
      <c r="R89" s="80" t="str">
        <f>IFERROR(VLOOKUP(O89,Database!$A$2:$M$188,9,FALSE),"-")</f>
        <v>-</v>
      </c>
      <c r="S89" s="203" t="str">
        <f>IFERROR(VLOOKUP(O89,Database!$A$2:$T$188,19,FALSE),"-")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IFERROR(VLOOKUP(T89,Database!$A$2:$M$188,8,FALSE),"-")</f>
        <v>-</v>
      </c>
      <c r="V89" s="76" t="str">
        <f>IFERROR(VLOOKUP(T89,Database!$A$2:$M$188,6,FALSE),"-")</f>
        <v>-</v>
      </c>
      <c r="W89" s="80" t="str">
        <f>IFERROR(VLOOKUP(T89,Database!$A$2:$M$188,9,FALSE),"-")</f>
        <v>-</v>
      </c>
      <c r="X89" s="203" t="str">
        <f>IFERROR(VLOOKUP(T89,Database!$A$2:$T$188,19,FALSE),"-")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IFERROR(VLOOKUP(Y89,Database!$A$2:$M$188,8,FALSE),"-")</f>
        <v>-</v>
      </c>
      <c r="AA89" s="77" t="str">
        <f>IFERROR(VLOOKUP(Y89,Database!$A$2:$M$188,6,FALSE),"-")</f>
        <v>-</v>
      </c>
      <c r="AB89" s="90" t="str">
        <f>IFERROR(VLOOKUP(Y89,Database!$A$2:$M$188,9,FALSE),"-")</f>
        <v>-</v>
      </c>
      <c r="AC89" s="8" t="str">
        <f>IFERROR(VLOOKUP(Y89,Database!$A$2:$T$188,19,FALSE),"-")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IFERROR(VLOOKUP(E90,Database!$A$2:$M$188,8,FALSE),"-")</f>
        <v>-</v>
      </c>
      <c r="G90" s="76" t="str">
        <f>IFERROR(VLOOKUP(E90,Database!$A$2:$M$188,6,FALSE),"-")</f>
        <v>-</v>
      </c>
      <c r="H90" s="91" t="str">
        <f>IFERROR(VLOOKUP(E90,Database!$A$2:$M$188,9,FALSE),"-")</f>
        <v>-</v>
      </c>
      <c r="I90" s="109" t="str">
        <f>IFERROR(VLOOKUP(E90,Database!$A$2:$T$188,19,FALSE),"-")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IFERROR(VLOOKUP(J90,Database!$A$2:$M$188,8,FALSE),"-")</f>
        <v>-</v>
      </c>
      <c r="L90" s="76" t="str">
        <f>IFERROR(VLOOKUP(J90,Database!$A$2:$M$188,6,FALSE),"-")</f>
        <v>-</v>
      </c>
      <c r="M90" s="91" t="str">
        <f>IFERROR(VLOOKUP(J90,Database!$A$2:$M$188,9,FALSE),"-")</f>
        <v>-</v>
      </c>
      <c r="N90" s="203" t="str">
        <f>IFERROR(VLOOKUP(J90,Database!$A$2:$T$188,19,FALSE),"-")</f>
        <v>-</v>
      </c>
      <c r="O90" s="94">
        <f>IF(AND(D90="Y",booking!L90&lt;&gt;booking!M90,booking!M90&gt;0),booking!M90,"-")</f>
        <v>150</v>
      </c>
      <c r="P90" s="76" t="str">
        <f>IFERROR(VLOOKUP(O90,Database!$A$2:$M$188,8,FALSE),"-")</f>
        <v>bc</v>
      </c>
      <c r="Q90" s="76">
        <f>IFERROR(VLOOKUP(O90,Database!$A$2:$M$188,6,FALSE),"-")</f>
        <v>46185</v>
      </c>
      <c r="R90" s="80">
        <f>IFERROR(VLOOKUP(O90,Database!$A$2:$M$188,9,FALSE),"-")</f>
        <v>0</v>
      </c>
      <c r="S90" s="203">
        <f>IFERROR(VLOOKUP(O90,Database!$A$2:$T$188,19,FALSE),"-")</f>
        <v>3225</v>
      </c>
      <c r="T90" s="95" t="str">
        <f>IF(AND(D90="Y",booking!P90&lt;&gt;booking!Q90,booking!Q90&gt;0),booking!Q90,"-")</f>
        <v>-</v>
      </c>
      <c r="U90" s="76" t="str">
        <f>IFERROR(VLOOKUP(T90,Database!$A$2:$M$188,8,FALSE),"-")</f>
        <v>-</v>
      </c>
      <c r="V90" s="76" t="str">
        <f>IFERROR(VLOOKUP(T90,Database!$A$2:$M$188,6,FALSE),"-")</f>
        <v>-</v>
      </c>
      <c r="W90" s="80" t="str">
        <f>IFERROR(VLOOKUP(T90,Database!$A$2:$M$188,9,FALSE),"-")</f>
        <v>-</v>
      </c>
      <c r="X90" s="203" t="str">
        <f>IFERROR(VLOOKUP(T90,Database!$A$2:$T$188,19,FALSE),"-")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IFERROR(VLOOKUP(Y90,Database!$A$2:$M$188,8,FALSE),"-")</f>
        <v>-</v>
      </c>
      <c r="AA90" s="77" t="str">
        <f>IFERROR(VLOOKUP(Y90,Database!$A$2:$M$188,6,FALSE),"-")</f>
        <v>-</v>
      </c>
      <c r="AB90" s="90" t="str">
        <f>IFERROR(VLOOKUP(Y90,Database!$A$2:$M$188,9,FALSE),"-")</f>
        <v>-</v>
      </c>
      <c r="AC90" s="8" t="str">
        <f>IFERROR(VLOOKUP(Y90,Database!$A$2:$T$188,19,FALSE),"-")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IFERROR(VLOOKUP(E91,Database!$A$2:$M$188,8,FALSE),"-")</f>
        <v>-</v>
      </c>
      <c r="G91" s="76" t="str">
        <f>IFERROR(VLOOKUP(E91,Database!$A$2:$M$188,6,FALSE),"-")</f>
        <v>-</v>
      </c>
      <c r="H91" s="91" t="str">
        <f>IFERROR(VLOOKUP(E91,Database!$A$2:$M$188,9,FALSE),"-")</f>
        <v>-</v>
      </c>
      <c r="I91" s="109" t="str">
        <f>IFERROR(VLOOKUP(E91,Database!$A$2:$T$188,19,FALSE),"-")</f>
        <v>-</v>
      </c>
      <c r="J91" s="94">
        <f>IF(AND(D91="Y",booking!H91&lt;&gt;booking!I91,booking!I91&gt;0),booking!I91,"-")</f>
        <v>49</v>
      </c>
      <c r="K91" s="76" t="str">
        <f>IFERROR(VLOOKUP(J91,Database!$A$2:$M$188,8,FALSE),"-")</f>
        <v>bc</v>
      </c>
      <c r="L91" s="76">
        <f>IFERROR(VLOOKUP(J91,Database!$A$2:$M$188,6,FALSE),"-")</f>
        <v>46040</v>
      </c>
      <c r="M91" s="91">
        <f>IFERROR(VLOOKUP(J91,Database!$A$2:$M$188,9,FALSE),"-")</f>
        <v>0</v>
      </c>
      <c r="N91" s="203">
        <f>IFERROR(VLOOKUP(J91,Database!$A$2:$T$188,19,FALSE),"-")</f>
        <v>8925</v>
      </c>
      <c r="O91" s="94" t="str">
        <f>IF(AND(D91="Y",booking!L91&lt;&gt;booking!M91,booking!M91&gt;0),booking!M91,"-")</f>
        <v>-</v>
      </c>
      <c r="P91" s="76" t="str">
        <f>IFERROR(VLOOKUP(O91,Database!$A$2:$M$188,8,FALSE),"-")</f>
        <v>-</v>
      </c>
      <c r="Q91" s="76" t="str">
        <f>IFERROR(VLOOKUP(O91,Database!$A$2:$M$188,6,FALSE),"-")</f>
        <v>-</v>
      </c>
      <c r="R91" s="80" t="str">
        <f>IFERROR(VLOOKUP(O91,Database!$A$2:$M$188,9,FALSE),"-")</f>
        <v>-</v>
      </c>
      <c r="S91" s="203" t="str">
        <f>IFERROR(VLOOKUP(O91,Database!$A$2:$T$188,19,FALSE),"-")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IFERROR(VLOOKUP(T91,Database!$A$2:$M$188,8,FALSE),"-")</f>
        <v>-</v>
      </c>
      <c r="V91" s="76" t="str">
        <f>IFERROR(VLOOKUP(T91,Database!$A$2:$M$188,6,FALSE),"-")</f>
        <v>-</v>
      </c>
      <c r="W91" s="80" t="str">
        <f>IFERROR(VLOOKUP(T91,Database!$A$2:$M$188,9,FALSE),"-")</f>
        <v>-</v>
      </c>
      <c r="X91" s="203" t="str">
        <f>IFERROR(VLOOKUP(T91,Database!$A$2:$T$188,19,FALSE),"-")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IFERROR(VLOOKUP(Y91,Database!$A$2:$M$188,8,FALSE),"-")</f>
        <v>-</v>
      </c>
      <c r="AA91" s="77" t="str">
        <f>IFERROR(VLOOKUP(Y91,Database!$A$2:$M$188,6,FALSE),"-")</f>
        <v>-</v>
      </c>
      <c r="AB91" s="90" t="str">
        <f>IFERROR(VLOOKUP(Y91,Database!$A$2:$M$188,9,FALSE),"-")</f>
        <v>-</v>
      </c>
      <c r="AC91" s="8" t="str">
        <f>IFERROR(VLOOKUP(Y91,Database!$A$2:$T$188,19,FALSE),"-")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 t="str">
        <f>IFERROR(VLOOKUP(E92,Database!$A$2:$M$188,8,FALSE),"-")</f>
        <v>web</v>
      </c>
      <c r="G92" s="76">
        <f>IFERROR(VLOOKUP(E92,Database!$A$2:$M$188,6,FALSE),"-")</f>
        <v>46046</v>
      </c>
      <c r="H92" s="91">
        <f>IFERROR(VLOOKUP(E92,Database!$A$2:$M$188,9,FALSE),"-")</f>
        <v>0</v>
      </c>
      <c r="I92" s="109">
        <f>IFERROR(VLOOKUP(E92,Database!$A$2:$T$188,19,FALSE),"-")</f>
        <v>4590</v>
      </c>
      <c r="J92" s="94" t="str">
        <f>IF(AND(D92="Y",booking!H92&lt;&gt;booking!I92,booking!I92&gt;0),booking!I92,"-")</f>
        <v>-</v>
      </c>
      <c r="K92" s="76" t="str">
        <f>IFERROR(VLOOKUP(J92,Database!$A$2:$M$188,8,FALSE),"-")</f>
        <v>-</v>
      </c>
      <c r="L92" s="76" t="str">
        <f>IFERROR(VLOOKUP(J92,Database!$A$2:$M$188,6,FALSE),"-")</f>
        <v>-</v>
      </c>
      <c r="M92" s="91" t="str">
        <f>IFERROR(VLOOKUP(J92,Database!$A$2:$M$188,9,FALSE),"-")</f>
        <v>-</v>
      </c>
      <c r="N92" s="203" t="str">
        <f>IFERROR(VLOOKUP(J92,Database!$A$2:$T$188,19,FALSE),"-")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IFERROR(VLOOKUP(O92,Database!$A$2:$M$188,8,FALSE),"-")</f>
        <v>-</v>
      </c>
      <c r="Q92" s="76" t="str">
        <f>IFERROR(VLOOKUP(O92,Database!$A$2:$M$188,6,FALSE),"-")</f>
        <v>-</v>
      </c>
      <c r="R92" s="80" t="str">
        <f>IFERROR(VLOOKUP(O92,Database!$A$2:$M$188,9,FALSE),"-")</f>
        <v>-</v>
      </c>
      <c r="S92" s="203" t="str">
        <f>IFERROR(VLOOKUP(O92,Database!$A$2:$T$188,19,FALSE),"-")</f>
        <v>-</v>
      </c>
      <c r="T92" s="95">
        <f>IF(AND(D92="Y",booking!P92&lt;&gt;booking!Q92,booking!Q92&gt;0),booking!Q92,"-")</f>
        <v>58</v>
      </c>
      <c r="U92" s="76" t="str">
        <f>IFERROR(VLOOKUP(T92,Database!$A$2:$M$188,8,FALSE),"-")</f>
        <v>web</v>
      </c>
      <c r="V92" s="76">
        <f>IFERROR(VLOOKUP(T92,Database!$A$2:$M$188,6,FALSE),"-")</f>
        <v>46046</v>
      </c>
      <c r="W92" s="80">
        <f>IFERROR(VLOOKUP(T92,Database!$A$2:$M$188,9,FALSE),"-")</f>
        <v>0</v>
      </c>
      <c r="X92" s="203">
        <f>IFERROR(VLOOKUP(T92,Database!$A$2:$T$188,19,FALSE),"-")</f>
        <v>4590</v>
      </c>
      <c r="Y92" s="94" t="str">
        <f>IF(AND(D92="Y",booking!T92&lt;&gt;booking!U92,booking!U92&gt;0),booking!U92,"-")</f>
        <v>-</v>
      </c>
      <c r="Z92" s="77" t="str">
        <f>IFERROR(VLOOKUP(Y92,Database!$A$2:$M$188,8,FALSE),"-")</f>
        <v>-</v>
      </c>
      <c r="AA92" s="77" t="str">
        <f>IFERROR(VLOOKUP(Y92,Database!$A$2:$M$188,6,FALSE),"-")</f>
        <v>-</v>
      </c>
      <c r="AB92" s="90" t="str">
        <f>IFERROR(VLOOKUP(Y92,Database!$A$2:$M$188,9,FALSE),"-")</f>
        <v>-</v>
      </c>
      <c r="AC92" s="8" t="str">
        <f>IFERROR(VLOOKUP(Y92,Database!$A$2:$T$188,19,FALSE),"-")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IFERROR(VLOOKUP(E93,Database!$A$2:$M$188,8,FALSE),"-")</f>
        <v>-</v>
      </c>
      <c r="G93" s="76" t="str">
        <f>IFERROR(VLOOKUP(E93,Database!$A$2:$M$188,6,FALSE),"-")</f>
        <v>-</v>
      </c>
      <c r="H93" s="91" t="str">
        <f>IFERROR(VLOOKUP(E93,Database!$A$2:$M$188,9,FALSE),"-")</f>
        <v>-</v>
      </c>
      <c r="I93" s="109" t="str">
        <f>IFERROR(VLOOKUP(E93,Database!$A$2:$T$188,19,FALSE),"-")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IFERROR(VLOOKUP(J93,Database!$A$2:$M$188,8,FALSE),"-")</f>
        <v>-</v>
      </c>
      <c r="L93" s="76" t="str">
        <f>IFERROR(VLOOKUP(J93,Database!$A$2:$M$188,6,FALSE),"-")</f>
        <v>-</v>
      </c>
      <c r="M93" s="91" t="str">
        <f>IFERROR(VLOOKUP(J93,Database!$A$2:$M$188,9,FALSE),"-")</f>
        <v>-</v>
      </c>
      <c r="N93" s="203" t="str">
        <f>IFERROR(VLOOKUP(J93,Database!$A$2:$T$188,19,FALSE),"-")</f>
        <v>-</v>
      </c>
      <c r="O93" s="94">
        <f>IF(AND(D93="Y",booking!L93&lt;&gt;booking!M93,booking!M93&gt;0),booking!M93,"-")</f>
        <v>55</v>
      </c>
      <c r="P93" s="76" t="str">
        <f>IFERROR(VLOOKUP(O93,Database!$A$2:$M$188,8,FALSE),"-")</f>
        <v>bc</v>
      </c>
      <c r="Q93" s="76">
        <f>IFERROR(VLOOKUP(O93,Database!$A$2:$M$188,6,FALSE),"-")</f>
        <v>46042</v>
      </c>
      <c r="R93" s="80">
        <f>IFERROR(VLOOKUP(O93,Database!$A$2:$M$188,9,FALSE),"-")</f>
        <v>0</v>
      </c>
      <c r="S93" s="203">
        <f>IFERROR(VLOOKUP(O93,Database!$A$2:$T$188,19,FALSE),"-")</f>
        <v>4300</v>
      </c>
      <c r="T93" s="95" t="str">
        <f>IF(AND(D93="Y",booking!P93&lt;&gt;booking!Q93,booking!Q93&gt;0),booking!Q93,"-")</f>
        <v>-</v>
      </c>
      <c r="U93" s="76" t="str">
        <f>IFERROR(VLOOKUP(T93,Database!$A$2:$M$188,8,FALSE),"-")</f>
        <v>-</v>
      </c>
      <c r="V93" s="76" t="str">
        <f>IFERROR(VLOOKUP(T93,Database!$A$2:$M$188,6,FALSE),"-")</f>
        <v>-</v>
      </c>
      <c r="W93" s="80" t="str">
        <f>IFERROR(VLOOKUP(T93,Database!$A$2:$M$188,9,FALSE),"-")</f>
        <v>-</v>
      </c>
      <c r="X93" s="203" t="str">
        <f>IFERROR(VLOOKUP(T93,Database!$A$2:$T$188,19,FALSE),"-")</f>
        <v>-</v>
      </c>
      <c r="Y93" s="94">
        <f>IF(AND(D93="Y",booking!T93&lt;&gt;booking!U93,booking!U93&gt;0),booking!U93,"-")</f>
        <v>30</v>
      </c>
      <c r="Z93" s="77" t="str">
        <f>IFERROR(VLOOKUP(Y93,Database!$A$2:$M$188,8,FALSE),"-")</f>
        <v>bc</v>
      </c>
      <c r="AA93" s="77">
        <f>IFERROR(VLOOKUP(Y93,Database!$A$2:$M$188,6,FALSE),"-")</f>
        <v>46025</v>
      </c>
      <c r="AB93" s="90">
        <f>IFERROR(VLOOKUP(Y93,Database!$A$2:$M$188,9,FALSE),"-")</f>
        <v>0</v>
      </c>
      <c r="AC93" s="8">
        <f>IFERROR(VLOOKUP(Y93,Database!$A$2:$T$188,19,FALSE),"-")</f>
        <v>5100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IFERROR(VLOOKUP(E94,Database!$A$2:$M$188,8,FALSE),"-")</f>
        <v>-</v>
      </c>
      <c r="G94" s="76" t="str">
        <f>IFERROR(VLOOKUP(E94,Database!$A$2:$M$188,6,FALSE),"-")</f>
        <v>-</v>
      </c>
      <c r="H94" s="91" t="str">
        <f>IFERROR(VLOOKUP(E94,Database!$A$2:$M$188,9,FALSE),"-")</f>
        <v>-</v>
      </c>
      <c r="I94" s="109" t="str">
        <f>IFERROR(VLOOKUP(E94,Database!$A$2:$T$188,19,FALSE),"-")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IFERROR(VLOOKUP(J94,Database!$A$2:$M$188,8,FALSE),"-")</f>
        <v>-</v>
      </c>
      <c r="L94" s="76" t="str">
        <f>IFERROR(VLOOKUP(J94,Database!$A$2:$M$188,6,FALSE),"-")</f>
        <v>-</v>
      </c>
      <c r="M94" s="91" t="str">
        <f>IFERROR(VLOOKUP(J94,Database!$A$2:$M$188,9,FALSE),"-")</f>
        <v>-</v>
      </c>
      <c r="N94" s="203" t="str">
        <f>IFERROR(VLOOKUP(J94,Database!$A$2:$T$188,19,FALSE),"-")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IFERROR(VLOOKUP(O94,Database!$A$2:$M$188,8,FALSE),"-")</f>
        <v>-</v>
      </c>
      <c r="Q94" s="76" t="str">
        <f>IFERROR(VLOOKUP(O94,Database!$A$2:$M$188,6,FALSE),"-")</f>
        <v>-</v>
      </c>
      <c r="R94" s="80" t="str">
        <f>IFERROR(VLOOKUP(O94,Database!$A$2:$M$188,9,FALSE),"-")</f>
        <v>-</v>
      </c>
      <c r="S94" s="203" t="str">
        <f>IFERROR(VLOOKUP(O94,Database!$A$2:$T$188,19,FALSE),"-")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IFERROR(VLOOKUP(T94,Database!$A$2:$M$188,8,FALSE),"-")</f>
        <v>-</v>
      </c>
      <c r="V94" s="76" t="str">
        <f>IFERROR(VLOOKUP(T94,Database!$A$2:$M$188,6,FALSE),"-")</f>
        <v>-</v>
      </c>
      <c r="W94" s="80" t="str">
        <f>IFERROR(VLOOKUP(T94,Database!$A$2:$M$188,9,FALSE),"-")</f>
        <v>-</v>
      </c>
      <c r="X94" s="203" t="str">
        <f>IFERROR(VLOOKUP(T94,Database!$A$2:$T$188,19,FALSE),"-")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IFERROR(VLOOKUP(Y94,Database!$A$2:$M$188,8,FALSE),"-")</f>
        <v>-</v>
      </c>
      <c r="AA94" s="77" t="str">
        <f>IFERROR(VLOOKUP(Y94,Database!$A$2:$M$188,6,FALSE),"-")</f>
        <v>-</v>
      </c>
      <c r="AB94" s="90" t="str">
        <f>IFERROR(VLOOKUP(Y94,Database!$A$2:$M$188,9,FALSE),"-")</f>
        <v>-</v>
      </c>
      <c r="AC94" s="8" t="str">
        <f>IFERROR(VLOOKUP(Y94,Database!$A$2:$T$188,19,FALSE),"-")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IFERROR(VLOOKUP(E95,Database!$A$2:$M$188,8,FALSE),"-")</f>
        <v>-</v>
      </c>
      <c r="G95" s="76" t="str">
        <f>IFERROR(VLOOKUP(E95,Database!$A$2:$M$188,6,FALSE),"-")</f>
        <v>-</v>
      </c>
      <c r="H95" s="91" t="str">
        <f>IFERROR(VLOOKUP(E95,Database!$A$2:$M$188,9,FALSE),"-")</f>
        <v>-</v>
      </c>
      <c r="I95" s="109" t="str">
        <f>IFERROR(VLOOKUP(E95,Database!$A$2:$T$188,19,FALSE),"-")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IFERROR(VLOOKUP(J95,Database!$A$2:$M$188,8,FALSE),"-")</f>
        <v>-</v>
      </c>
      <c r="L95" s="76" t="str">
        <f>IFERROR(VLOOKUP(J95,Database!$A$2:$M$188,6,FALSE),"-")</f>
        <v>-</v>
      </c>
      <c r="M95" s="91" t="str">
        <f>IFERROR(VLOOKUP(J95,Database!$A$2:$M$188,9,FALSE),"-")</f>
        <v>-</v>
      </c>
      <c r="N95" s="203" t="str">
        <f>IFERROR(VLOOKUP(J95,Database!$A$2:$T$188,19,FALSE),"-")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IFERROR(VLOOKUP(O95,Database!$A$2:$M$188,8,FALSE),"-")</f>
        <v>-</v>
      </c>
      <c r="Q95" s="76" t="str">
        <f>IFERROR(VLOOKUP(O95,Database!$A$2:$M$188,6,FALSE),"-")</f>
        <v>-</v>
      </c>
      <c r="R95" s="80" t="str">
        <f>IFERROR(VLOOKUP(O95,Database!$A$2:$M$188,9,FALSE),"-")</f>
        <v>-</v>
      </c>
      <c r="S95" s="203" t="str">
        <f>IFERROR(VLOOKUP(O95,Database!$A$2:$T$188,19,FALSE),"-")</f>
        <v>-</v>
      </c>
      <c r="T95" s="95">
        <f>IF(AND(D95="Y",booking!P95&lt;&gt;booking!Q95,booking!Q95&gt;0),booking!Q95,"-")</f>
        <v>57</v>
      </c>
      <c r="U95" s="76" t="str">
        <f>IFERROR(VLOOKUP(T95,Database!$A$2:$M$188,8,FALSE),"-")</f>
        <v>bc</v>
      </c>
      <c r="V95" s="76">
        <f>IFERROR(VLOOKUP(T95,Database!$A$2:$M$188,6,FALSE),"-")</f>
        <v>46043</v>
      </c>
      <c r="W95" s="80">
        <f>IFERROR(VLOOKUP(T95,Database!$A$2:$M$188,9,FALSE),"-")</f>
        <v>0</v>
      </c>
      <c r="X95" s="203">
        <f>IFERROR(VLOOKUP(T95,Database!$A$2:$T$188,19,FALSE),"-")</f>
        <v>6450</v>
      </c>
      <c r="Y95" s="94" t="str">
        <f>IF(AND(D95="Y",booking!T95&lt;&gt;booking!U95,booking!U95&gt;0),booking!U95,"-")</f>
        <v>-</v>
      </c>
      <c r="Z95" s="77" t="str">
        <f>IFERROR(VLOOKUP(Y95,Database!$A$2:$M$188,8,FALSE),"-")</f>
        <v>-</v>
      </c>
      <c r="AA95" s="77" t="str">
        <f>IFERROR(VLOOKUP(Y95,Database!$A$2:$M$188,6,FALSE),"-")</f>
        <v>-</v>
      </c>
      <c r="AB95" s="90" t="str">
        <f>IFERROR(VLOOKUP(Y95,Database!$A$2:$M$188,9,FALSE),"-")</f>
        <v>-</v>
      </c>
      <c r="AC95" s="8" t="str">
        <f>IFERROR(VLOOKUP(Y95,Database!$A$2:$T$188,19,FALSE),"-")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 t="str">
        <f>IFERROR(VLOOKUP(E96,Database!$A$2:$M$188,8,FALSE),"-")</f>
        <v>web</v>
      </c>
      <c r="G96" s="76">
        <f>IFERROR(VLOOKUP(E96,Database!$A$2:$M$188,6,FALSE),"-")</f>
        <v>46125</v>
      </c>
      <c r="H96" s="91">
        <f>IFERROR(VLOOKUP(E96,Database!$A$2:$M$188,9,FALSE),"-")</f>
        <v>0</v>
      </c>
      <c r="I96" s="109">
        <f>IFERROR(VLOOKUP(E96,Database!$A$2:$T$188,19,FALSE),"-")</f>
        <v>3442.5</v>
      </c>
      <c r="J96" s="94" t="str">
        <f>IF(AND(D96="Y",booking!H96&lt;&gt;booking!I96,booking!I96&gt;0),booking!I96,"-")</f>
        <v>-</v>
      </c>
      <c r="K96" s="76" t="str">
        <f>IFERROR(VLOOKUP(J96,Database!$A$2:$M$188,8,FALSE),"-")</f>
        <v>-</v>
      </c>
      <c r="L96" s="76" t="str">
        <f>IFERROR(VLOOKUP(J96,Database!$A$2:$M$188,6,FALSE),"-")</f>
        <v>-</v>
      </c>
      <c r="M96" s="91" t="str">
        <f>IFERROR(VLOOKUP(J96,Database!$A$2:$M$188,9,FALSE),"-")</f>
        <v>-</v>
      </c>
      <c r="N96" s="203" t="str">
        <f>IFERROR(VLOOKUP(J96,Database!$A$2:$T$188,19,FALSE),"-")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IFERROR(VLOOKUP(O96,Database!$A$2:$M$188,8,FALSE),"-")</f>
        <v>-</v>
      </c>
      <c r="Q96" s="76" t="str">
        <f>IFERROR(VLOOKUP(O96,Database!$A$2:$M$188,6,FALSE),"-")</f>
        <v>-</v>
      </c>
      <c r="R96" s="80" t="str">
        <f>IFERROR(VLOOKUP(O96,Database!$A$2:$M$188,9,FALSE),"-")</f>
        <v>-</v>
      </c>
      <c r="S96" s="203" t="str">
        <f>IFERROR(VLOOKUP(O96,Database!$A$2:$T$188,19,FALSE),"-")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IFERROR(VLOOKUP(T96,Database!$A$2:$M$188,8,FALSE),"-")</f>
        <v>-</v>
      </c>
      <c r="V96" s="76" t="str">
        <f>IFERROR(VLOOKUP(T96,Database!$A$2:$M$188,6,FALSE),"-")</f>
        <v>-</v>
      </c>
      <c r="W96" s="80" t="str">
        <f>IFERROR(VLOOKUP(T96,Database!$A$2:$M$188,9,FALSE),"-")</f>
        <v>-</v>
      </c>
      <c r="X96" s="203" t="str">
        <f>IFERROR(VLOOKUP(T96,Database!$A$2:$T$188,19,FALSE),"-")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IFERROR(VLOOKUP(Y96,Database!$A$2:$M$188,8,FALSE),"-")</f>
        <v>-</v>
      </c>
      <c r="AA96" s="77" t="str">
        <f>IFERROR(VLOOKUP(Y96,Database!$A$2:$M$188,6,FALSE),"-")</f>
        <v>-</v>
      </c>
      <c r="AB96" s="90" t="str">
        <f>IFERROR(VLOOKUP(Y96,Database!$A$2:$M$188,9,FALSE),"-")</f>
        <v>-</v>
      </c>
      <c r="AC96" s="8" t="str">
        <f>IFERROR(VLOOKUP(Y96,Database!$A$2:$T$188,19,FALSE),"-")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IFERROR(VLOOKUP(E97,Database!$A$2:$M$188,8,FALSE),"-")</f>
        <v>-</v>
      </c>
      <c r="G97" s="76" t="str">
        <f>IFERROR(VLOOKUP(E97,Database!$A$2:$M$188,6,FALSE),"-")</f>
        <v>-</v>
      </c>
      <c r="H97" s="91" t="str">
        <f>IFERROR(VLOOKUP(E97,Database!$A$2:$M$188,9,FALSE),"-")</f>
        <v>-</v>
      </c>
      <c r="I97" s="109" t="str">
        <f>IFERROR(VLOOKUP(E97,Database!$A$2:$T$188,19,FALSE),"-")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IFERROR(VLOOKUP(J97,Database!$A$2:$M$188,8,FALSE),"-")</f>
        <v>-</v>
      </c>
      <c r="L97" s="76" t="str">
        <f>IFERROR(VLOOKUP(J97,Database!$A$2:$M$188,6,FALSE),"-")</f>
        <v>-</v>
      </c>
      <c r="M97" s="91" t="str">
        <f>IFERROR(VLOOKUP(J97,Database!$A$2:$M$188,9,FALSE),"-")</f>
        <v>-</v>
      </c>
      <c r="N97" s="203" t="str">
        <f>IFERROR(VLOOKUP(J97,Database!$A$2:$T$188,19,FALSE),"-")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IFERROR(VLOOKUP(O97,Database!$A$2:$M$188,8,FALSE),"-")</f>
        <v>-</v>
      </c>
      <c r="Q97" s="76" t="str">
        <f>IFERROR(VLOOKUP(O97,Database!$A$2:$M$188,6,FALSE),"-")</f>
        <v>-</v>
      </c>
      <c r="R97" s="80" t="str">
        <f>IFERROR(VLOOKUP(O97,Database!$A$2:$M$188,9,FALSE),"-")</f>
        <v>-</v>
      </c>
      <c r="S97" s="203" t="str">
        <f>IFERROR(VLOOKUP(O97,Database!$A$2:$T$188,19,FALSE),"-")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IFERROR(VLOOKUP(T97,Database!$A$2:$M$188,8,FALSE),"-")</f>
        <v>-</v>
      </c>
      <c r="V97" s="76" t="str">
        <f>IFERROR(VLOOKUP(T97,Database!$A$2:$M$188,6,FALSE),"-")</f>
        <v>-</v>
      </c>
      <c r="W97" s="80" t="str">
        <f>IFERROR(VLOOKUP(T97,Database!$A$2:$M$188,9,FALSE),"-")</f>
        <v>-</v>
      </c>
      <c r="X97" s="203" t="str">
        <f>IFERROR(VLOOKUP(T97,Database!$A$2:$T$188,19,FALSE),"-")</f>
        <v>-</v>
      </c>
      <c r="Y97" s="94">
        <f>IF(AND(D97="Y",booking!T97&lt;&gt;booking!U97,booking!U97&gt;0),booking!U97,"-")</f>
        <v>94</v>
      </c>
      <c r="Z97" s="77" t="str">
        <f>IFERROR(VLOOKUP(Y97,Database!$A$2:$M$188,8,FALSE),"-")</f>
        <v>bc</v>
      </c>
      <c r="AA97" s="77">
        <f>IFERROR(VLOOKUP(Y97,Database!$A$2:$M$188,6,FALSE),"-")</f>
        <v>46098</v>
      </c>
      <c r="AB97" s="90">
        <f>IFERROR(VLOOKUP(Y97,Database!$A$2:$M$188,9,FALSE),"-")</f>
        <v>0</v>
      </c>
      <c r="AC97" s="8">
        <f>IFERROR(VLOOKUP(Y97,Database!$A$2:$T$188,19,FALSE),"-")</f>
        <v>2925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IFERROR(VLOOKUP(E98,Database!$A$2:$M$188,8,FALSE),"-")</f>
        <v>-</v>
      </c>
      <c r="G98" s="76" t="str">
        <f>IFERROR(VLOOKUP(E98,Database!$A$2:$M$188,6,FALSE),"-")</f>
        <v>-</v>
      </c>
      <c r="H98" s="91" t="str">
        <f>IFERROR(VLOOKUP(E98,Database!$A$2:$M$188,9,FALSE),"-")</f>
        <v>-</v>
      </c>
      <c r="I98" s="109" t="str">
        <f>IFERROR(VLOOKUP(E98,Database!$A$2:$T$188,19,FALSE),"-")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IFERROR(VLOOKUP(J98,Database!$A$2:$M$188,8,FALSE),"-")</f>
        <v>-</v>
      </c>
      <c r="L98" s="76" t="str">
        <f>IFERROR(VLOOKUP(J98,Database!$A$2:$M$188,6,FALSE),"-")</f>
        <v>-</v>
      </c>
      <c r="M98" s="91" t="str">
        <f>IFERROR(VLOOKUP(J98,Database!$A$2:$M$188,9,FALSE),"-")</f>
        <v>-</v>
      </c>
      <c r="N98" s="203" t="str">
        <f>IFERROR(VLOOKUP(J98,Database!$A$2:$T$188,19,FALSE),"-")</f>
        <v>-</v>
      </c>
      <c r="O98" s="94">
        <f>IF(AND(D98="Y",booking!L98&lt;&gt;booking!M98,booking!M98&gt;0),booking!M98,"-")</f>
        <v>158</v>
      </c>
      <c r="P98" s="76" t="str">
        <f>IFERROR(VLOOKUP(O98,Database!$A$2:$M$188,8,FALSE),"-")</f>
        <v>bc</v>
      </c>
      <c r="Q98" s="76">
        <f>IFERROR(VLOOKUP(O98,Database!$A$2:$M$188,6,FALSE),"-")</f>
        <v>46235</v>
      </c>
      <c r="R98" s="80">
        <f>IFERROR(VLOOKUP(O98,Database!$A$2:$M$188,9,FALSE),"-")</f>
        <v>0</v>
      </c>
      <c r="S98" s="203">
        <f>IFERROR(VLOOKUP(O98,Database!$A$2:$T$188,19,FALSE),"-")</f>
        <v>4300</v>
      </c>
      <c r="T98" s="95" t="str">
        <f>IF(AND(D98="Y",booking!P98&lt;&gt;booking!Q98,booking!Q98&gt;0),booking!Q98,"-")</f>
        <v>-</v>
      </c>
      <c r="U98" s="76" t="str">
        <f>IFERROR(VLOOKUP(T98,Database!$A$2:$M$188,8,FALSE),"-")</f>
        <v>-</v>
      </c>
      <c r="V98" s="76" t="str">
        <f>IFERROR(VLOOKUP(T98,Database!$A$2:$M$188,6,FALSE),"-")</f>
        <v>-</v>
      </c>
      <c r="W98" s="80" t="str">
        <f>IFERROR(VLOOKUP(T98,Database!$A$2:$M$188,9,FALSE),"-")</f>
        <v>-</v>
      </c>
      <c r="X98" s="203" t="str">
        <f>IFERROR(VLOOKUP(T98,Database!$A$2:$T$188,19,FALSE),"-")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IFERROR(VLOOKUP(Y98,Database!$A$2:$M$188,8,FALSE),"-")</f>
        <v>-</v>
      </c>
      <c r="AA98" s="77" t="str">
        <f>IFERROR(VLOOKUP(Y98,Database!$A$2:$M$188,6,FALSE),"-")</f>
        <v>-</v>
      </c>
      <c r="AB98" s="90" t="str">
        <f>IFERROR(VLOOKUP(Y98,Database!$A$2:$M$188,9,FALSE),"-")</f>
        <v>-</v>
      </c>
      <c r="AC98" s="8" t="str">
        <f>IFERROR(VLOOKUP(Y98,Database!$A$2:$T$188,19,FALSE),"-")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 t="str">
        <f>IFERROR(VLOOKUP(E99,Database!$A$2:$M$188,8,FALSE),"-")</f>
        <v>web</v>
      </c>
      <c r="G99" s="76">
        <f>IFERROR(VLOOKUP(E99,Database!$A$2:$M$188,6,FALSE),"-")</f>
        <v>46063</v>
      </c>
      <c r="H99" s="91">
        <f>IFERROR(VLOOKUP(E99,Database!$A$2:$M$188,9,FALSE),"-")</f>
        <v>0</v>
      </c>
      <c r="I99" s="109">
        <f>IFERROR(VLOOKUP(E99,Database!$A$2:$T$188,19,FALSE),"-")</f>
        <v>8460</v>
      </c>
      <c r="J99" s="94">
        <f>IF(AND(D99="Y",booking!H99&lt;&gt;booking!I99,booking!I99&gt;0),booking!I99,"-")</f>
        <v>157</v>
      </c>
      <c r="K99" s="76" t="str">
        <f>IFERROR(VLOOKUP(J99,Database!$A$2:$M$188,8,FALSE),"-")</f>
        <v>bc</v>
      </c>
      <c r="L99" s="76">
        <f>IFERROR(VLOOKUP(J99,Database!$A$2:$M$188,6,FALSE),"-")</f>
        <v>46233</v>
      </c>
      <c r="M99" s="91">
        <f>IFERROR(VLOOKUP(J99,Database!$A$2:$M$188,9,FALSE),"-")</f>
        <v>0</v>
      </c>
      <c r="N99" s="203">
        <f>IFERROR(VLOOKUP(J99,Database!$A$2:$T$188,19,FALSE),"-")</f>
        <v>4300</v>
      </c>
      <c r="O99" s="94" t="str">
        <f>IF(AND(D99="Y",booking!L99&lt;&gt;booking!M99,booking!M99&gt;0),booking!M99,"-")</f>
        <v>-</v>
      </c>
      <c r="P99" s="76" t="str">
        <f>IFERROR(VLOOKUP(O99,Database!$A$2:$M$188,8,FALSE),"-")</f>
        <v>-</v>
      </c>
      <c r="Q99" s="76" t="str">
        <f>IFERROR(VLOOKUP(O99,Database!$A$2:$M$188,6,FALSE),"-")</f>
        <v>-</v>
      </c>
      <c r="R99" s="80" t="str">
        <f>IFERROR(VLOOKUP(O99,Database!$A$2:$M$188,9,FALSE),"-")</f>
        <v>-</v>
      </c>
      <c r="S99" s="203" t="str">
        <f>IFERROR(VLOOKUP(O99,Database!$A$2:$T$188,19,FALSE),"-")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IFERROR(VLOOKUP(T99,Database!$A$2:$M$188,8,FALSE),"-")</f>
        <v>-</v>
      </c>
      <c r="V99" s="76" t="str">
        <f>IFERROR(VLOOKUP(T99,Database!$A$2:$M$188,6,FALSE),"-")</f>
        <v>-</v>
      </c>
      <c r="W99" s="80" t="str">
        <f>IFERROR(VLOOKUP(T99,Database!$A$2:$M$188,9,FALSE),"-")</f>
        <v>-</v>
      </c>
      <c r="X99" s="203" t="str">
        <f>IFERROR(VLOOKUP(T99,Database!$A$2:$T$188,19,FALSE),"-")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IFERROR(VLOOKUP(Y99,Database!$A$2:$M$188,8,FALSE),"-")</f>
        <v>-</v>
      </c>
      <c r="AA99" s="77" t="str">
        <f>IFERROR(VLOOKUP(Y99,Database!$A$2:$M$188,6,FALSE),"-")</f>
        <v>-</v>
      </c>
      <c r="AB99" s="90" t="str">
        <f>IFERROR(VLOOKUP(Y99,Database!$A$2:$M$188,9,FALSE),"-")</f>
        <v>-</v>
      </c>
      <c r="AC99" s="8" t="str">
        <f>IFERROR(VLOOKUP(Y99,Database!$A$2:$T$188,19,FALSE),"-")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IFERROR(VLOOKUP(E100,Database!$A$2:$M$188,8,FALSE),"-")</f>
        <v>-</v>
      </c>
      <c r="G100" s="76" t="str">
        <f>IFERROR(VLOOKUP(E100,Database!$A$2:$M$188,6,FALSE),"-")</f>
        <v>-</v>
      </c>
      <c r="H100" s="91" t="str">
        <f>IFERROR(VLOOKUP(E100,Database!$A$2:$M$188,9,FALSE),"-")</f>
        <v>-</v>
      </c>
      <c r="I100" s="109" t="str">
        <f>IFERROR(VLOOKUP(E100,Database!$A$2:$T$188,19,FALSE),"-")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IFERROR(VLOOKUP(J100,Database!$A$2:$M$188,8,FALSE),"-")</f>
        <v>-</v>
      </c>
      <c r="L100" s="76" t="str">
        <f>IFERROR(VLOOKUP(J100,Database!$A$2:$M$188,6,FALSE),"-")</f>
        <v>-</v>
      </c>
      <c r="M100" s="91" t="str">
        <f>IFERROR(VLOOKUP(J100,Database!$A$2:$M$188,9,FALSE),"-")</f>
        <v>-</v>
      </c>
      <c r="N100" s="203" t="str">
        <f>IFERROR(VLOOKUP(J100,Database!$A$2:$T$188,19,FALSE),"-")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IFERROR(VLOOKUP(O100,Database!$A$2:$M$188,8,FALSE),"-")</f>
        <v>-</v>
      </c>
      <c r="Q100" s="76" t="str">
        <f>IFERROR(VLOOKUP(O100,Database!$A$2:$M$188,6,FALSE),"-")</f>
        <v>-</v>
      </c>
      <c r="R100" s="80" t="str">
        <f>IFERROR(VLOOKUP(O100,Database!$A$2:$M$188,9,FALSE),"-")</f>
        <v>-</v>
      </c>
      <c r="S100" s="203" t="str">
        <f>IFERROR(VLOOKUP(O100,Database!$A$2:$T$188,19,FALSE),"-")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IFERROR(VLOOKUP(T100,Database!$A$2:$M$188,8,FALSE),"-")</f>
        <v>-</v>
      </c>
      <c r="V100" s="76" t="str">
        <f>IFERROR(VLOOKUP(T100,Database!$A$2:$M$188,6,FALSE),"-")</f>
        <v>-</v>
      </c>
      <c r="W100" s="80" t="str">
        <f>IFERROR(VLOOKUP(T100,Database!$A$2:$M$188,9,FALSE),"-")</f>
        <v>-</v>
      </c>
      <c r="X100" s="203" t="str">
        <f>IFERROR(VLOOKUP(T100,Database!$A$2:$T$188,19,FALSE),"-")</f>
        <v>-</v>
      </c>
      <c r="Y100" s="94">
        <f>IF(AND(D100="Y",booking!T99&lt;&gt;booking!U100,booking!U100&gt;0),booking!U100,"-")</f>
        <v>50</v>
      </c>
      <c r="Z100" s="77" t="str">
        <f>IFERROR(VLOOKUP(Y100,Database!$A$2:$M$188,8,FALSE),"-")</f>
        <v>bc</v>
      </c>
      <c r="AA100" s="77">
        <f>IFERROR(VLOOKUP(Y100,Database!$A$2:$M$188,6,FALSE),"-")</f>
        <v>46039</v>
      </c>
      <c r="AB100" s="90">
        <f>IFERROR(VLOOKUP(Y100,Database!$A$2:$M$188,9,FALSE),"-")</f>
        <v>0</v>
      </c>
      <c r="AC100" s="8">
        <f>IFERROR(VLOOKUP(Y100,Database!$A$2:$T$188,19,FALSE),"-")</f>
        <v>5100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IFERROR(VLOOKUP(E101,Database!$A$2:$M$188,8,FALSE),"-")</f>
        <v>-</v>
      </c>
      <c r="G101" s="76" t="str">
        <f>IFERROR(VLOOKUP(E101,Database!$A$2:$M$188,6,FALSE),"-")</f>
        <v>-</v>
      </c>
      <c r="H101" s="91" t="str">
        <f>IFERROR(VLOOKUP(E101,Database!$A$2:$M$188,9,FALSE),"-")</f>
        <v>-</v>
      </c>
      <c r="I101" s="109" t="str">
        <f>IFERROR(VLOOKUP(E101,Database!$A$2:$T$188,19,FALSE),"-")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IFERROR(VLOOKUP(J101,Database!$A$2:$M$188,8,FALSE),"-")</f>
        <v>-</v>
      </c>
      <c r="L101" s="76" t="str">
        <f>IFERROR(VLOOKUP(J101,Database!$A$2:$M$188,6,FALSE),"-")</f>
        <v>-</v>
      </c>
      <c r="M101" s="91" t="str">
        <f>IFERROR(VLOOKUP(J101,Database!$A$2:$M$188,9,FALSE),"-")</f>
        <v>-</v>
      </c>
      <c r="N101" s="203" t="str">
        <f>IFERROR(VLOOKUP(J101,Database!$A$2:$T$188,19,FALSE),"-")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IFERROR(VLOOKUP(O101,Database!$A$2:$M$188,8,FALSE),"-")</f>
        <v>-</v>
      </c>
      <c r="Q101" s="76" t="str">
        <f>IFERROR(VLOOKUP(O101,Database!$A$2:$M$188,6,FALSE),"-")</f>
        <v>-</v>
      </c>
      <c r="R101" s="80" t="str">
        <f>IFERROR(VLOOKUP(O101,Database!$A$2:$M$188,9,FALSE),"-")</f>
        <v>-</v>
      </c>
      <c r="S101" s="203" t="str">
        <f>IFERROR(VLOOKUP(O101,Database!$A$2:$T$188,19,FALSE),"-")</f>
        <v>-</v>
      </c>
      <c r="T101" s="95">
        <f>IF(AND(D101="Y",booking!P101&lt;&gt;booking!Q101,booking!Q101&gt;0),booking!Q101,"-")</f>
        <v>138</v>
      </c>
      <c r="U101" s="76" t="str">
        <f>IFERROR(VLOOKUP(T101,Database!$A$2:$M$188,8,FALSE),"-")</f>
        <v>web</v>
      </c>
      <c r="V101" s="76">
        <f>IFERROR(VLOOKUP(T101,Database!$A$2:$M$188,6,FALSE),"-")</f>
        <v>46168</v>
      </c>
      <c r="W101" s="80">
        <f>IFERROR(VLOOKUP(T101,Database!$A$2:$M$188,9,FALSE),"-")</f>
        <v>0</v>
      </c>
      <c r="X101" s="203">
        <f>IFERROR(VLOOKUP(T101,Database!$A$2:$T$188,19,FALSE),"-")</f>
        <v>2295</v>
      </c>
      <c r="Y101" s="94" t="str">
        <f>IF(AND(D101="Y",booking!T101&lt;&gt;booking!U101,booking!U101&gt;0),booking!U101,"-")</f>
        <v>-</v>
      </c>
      <c r="Z101" s="77" t="str">
        <f>IFERROR(VLOOKUP(Y101,Database!$A$2:$M$188,8,FALSE),"-")</f>
        <v>-</v>
      </c>
      <c r="AA101" s="77" t="str">
        <f>IFERROR(VLOOKUP(Y101,Database!$A$2:$M$188,6,FALSE),"-")</f>
        <v>-</v>
      </c>
      <c r="AB101" s="90" t="str">
        <f>IFERROR(VLOOKUP(Y101,Database!$A$2:$M$188,9,FALSE),"-")</f>
        <v>-</v>
      </c>
      <c r="AC101" s="8" t="str">
        <f>IFERROR(VLOOKUP(Y101,Database!$A$2:$T$188,19,FALSE),"-")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IFERROR(VLOOKUP(E102,Database!$A$2:$M$188,8,FALSE),"-")</f>
        <v>-</v>
      </c>
      <c r="G102" s="76" t="str">
        <f>IFERROR(VLOOKUP(E102,Database!$A$2:$M$188,6,FALSE),"-")</f>
        <v>-</v>
      </c>
      <c r="H102" s="91" t="str">
        <f>IFERROR(VLOOKUP(E102,Database!$A$2:$M$188,9,FALSE),"-")</f>
        <v>-</v>
      </c>
      <c r="I102" s="109" t="str">
        <f>IFERROR(VLOOKUP(E102,Database!$A$2:$T$188,19,FALSE),"-")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IFERROR(VLOOKUP(J102,Database!$A$2:$M$188,8,FALSE),"-")</f>
        <v>-</v>
      </c>
      <c r="L102" s="76" t="str">
        <f>IFERROR(VLOOKUP(J102,Database!$A$2:$M$188,6,FALSE),"-")</f>
        <v>-</v>
      </c>
      <c r="M102" s="91" t="str">
        <f>IFERROR(VLOOKUP(J102,Database!$A$2:$M$188,9,FALSE),"-")</f>
        <v>-</v>
      </c>
      <c r="N102" s="203" t="str">
        <f>IFERROR(VLOOKUP(J102,Database!$A$2:$T$188,19,FALSE),"-")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IFERROR(VLOOKUP(O102,Database!$A$2:$M$188,8,FALSE),"-")</f>
        <v>-</v>
      </c>
      <c r="Q102" s="76" t="str">
        <f>IFERROR(VLOOKUP(O102,Database!$A$2:$M$188,6,FALSE),"-")</f>
        <v>-</v>
      </c>
      <c r="R102" s="80" t="str">
        <f>IFERROR(VLOOKUP(O102,Database!$A$2:$M$188,9,FALSE),"-")</f>
        <v>-</v>
      </c>
      <c r="S102" s="203" t="str">
        <f>IFERROR(VLOOKUP(O102,Database!$A$2:$T$188,19,FALSE),"-")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IFERROR(VLOOKUP(T102,Database!$A$2:$M$188,8,FALSE),"-")</f>
        <v>-</v>
      </c>
      <c r="V102" s="76" t="str">
        <f>IFERROR(VLOOKUP(T102,Database!$A$2:$M$188,6,FALSE),"-")</f>
        <v>-</v>
      </c>
      <c r="W102" s="80" t="str">
        <f>IFERROR(VLOOKUP(T102,Database!$A$2:$M$188,9,FALSE),"-")</f>
        <v>-</v>
      </c>
      <c r="X102" s="203" t="str">
        <f>IFERROR(VLOOKUP(T102,Database!$A$2:$T$188,19,FALSE),"-")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IFERROR(VLOOKUP(Y102,Database!$A$2:$M$188,8,FALSE),"-")</f>
        <v>-</v>
      </c>
      <c r="AA102" s="77" t="str">
        <f>IFERROR(VLOOKUP(Y102,Database!$A$2:$M$188,6,FALSE),"-")</f>
        <v>-</v>
      </c>
      <c r="AB102" s="90" t="str">
        <f>IFERROR(VLOOKUP(Y102,Database!$A$2:$M$188,9,FALSE),"-")</f>
        <v>-</v>
      </c>
      <c r="AC102" s="8" t="str">
        <f>IFERROR(VLOOKUP(Y102,Database!$A$2:$T$188,19,FALSE),"-")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 t="str">
        <f>IFERROR(VLOOKUP(E103,Database!$A$2:$M$188,8,FALSE),"-")</f>
        <v>bc</v>
      </c>
      <c r="G103" s="76">
        <f>IFERROR(VLOOKUP(E103,Database!$A$2:$M$188,6,FALSE),"-")</f>
        <v>46029</v>
      </c>
      <c r="H103" s="91">
        <f>IFERROR(VLOOKUP(E103,Database!$A$2:$M$188,9,FALSE),"-")</f>
        <v>0</v>
      </c>
      <c r="I103" s="109">
        <f>IFERROR(VLOOKUP(E103,Database!$A$2:$T$188,19,FALSE),"-")</f>
        <v>7525</v>
      </c>
      <c r="J103" s="94">
        <f>IF(AND(D103="Y",booking!H103&lt;&gt;booking!I103,booking!I103&gt;0),booking!I103,"-")</f>
        <v>32</v>
      </c>
      <c r="K103" s="76" t="str">
        <f>IFERROR(VLOOKUP(J103,Database!$A$2:$M$188,8,FALSE),"-")</f>
        <v>bc</v>
      </c>
      <c r="L103" s="76">
        <f>IFERROR(VLOOKUP(J103,Database!$A$2:$M$188,6,FALSE),"-")</f>
        <v>46029</v>
      </c>
      <c r="M103" s="91">
        <f>IFERROR(VLOOKUP(J103,Database!$A$2:$M$188,9,FALSE),"-")</f>
        <v>0</v>
      </c>
      <c r="N103" s="203">
        <f>IFERROR(VLOOKUP(J103,Database!$A$2:$T$188,19,FALSE),"-")</f>
        <v>8925</v>
      </c>
      <c r="O103" s="94">
        <f>IF(AND(D103="Y",booking!L103&lt;&gt;booking!M103,booking!M103&gt;0),booking!M103,"-")</f>
        <v>160</v>
      </c>
      <c r="P103" s="76" t="str">
        <f>IFERROR(VLOOKUP(O103,Database!$A$2:$M$188,8,FALSE),"-")</f>
        <v>bc</v>
      </c>
      <c r="Q103" s="76">
        <f>IFERROR(VLOOKUP(O103,Database!$A$2:$M$188,6,FALSE),"-")</f>
        <v>46237</v>
      </c>
      <c r="R103" s="80">
        <f>IFERROR(VLOOKUP(O103,Database!$A$2:$M$188,9,FALSE),"-")</f>
        <v>0</v>
      </c>
      <c r="S103" s="203">
        <f>IFERROR(VLOOKUP(O103,Database!$A$2:$T$188,19,FALSE),"-")</f>
        <v>3825</v>
      </c>
      <c r="T103" s="95">
        <f>IF(AND(D103="Y",booking!P103&lt;&gt;booking!Q103,booking!Q103&gt;0),booking!Q103,"-")</f>
        <v>45</v>
      </c>
      <c r="U103" s="76" t="str">
        <f>IFERROR(VLOOKUP(T103,Database!$A$2:$M$188,8,FALSE),"-")</f>
        <v>bc</v>
      </c>
      <c r="V103" s="76">
        <f>IFERROR(VLOOKUP(T103,Database!$A$2:$M$188,6,FALSE),"-")</f>
        <v>46038</v>
      </c>
      <c r="W103" s="80">
        <f>IFERROR(VLOOKUP(T103,Database!$A$2:$M$188,9,FALSE),"-")</f>
        <v>0</v>
      </c>
      <c r="X103" s="203">
        <f>IFERROR(VLOOKUP(T103,Database!$A$2:$T$188,19,FALSE),"-")</f>
        <v>3825</v>
      </c>
      <c r="Y103" s="94" t="str">
        <f>IF(AND(D103="Y",booking!T103&lt;&gt;booking!U103,booking!U103&gt;0),booking!U103,"-")</f>
        <v>-</v>
      </c>
      <c r="Z103" s="77" t="str">
        <f>IFERROR(VLOOKUP(Y103,Database!$A$2:$M$188,8,FALSE),"-")</f>
        <v>-</v>
      </c>
      <c r="AA103" s="77" t="str">
        <f>IFERROR(VLOOKUP(Y103,Database!$A$2:$M$188,6,FALSE),"-")</f>
        <v>-</v>
      </c>
      <c r="AB103" s="90" t="str">
        <f>IFERROR(VLOOKUP(Y103,Database!$A$2:$M$188,9,FALSE),"-")</f>
        <v>-</v>
      </c>
      <c r="AC103" s="8" t="str">
        <f>IFERROR(VLOOKUP(Y103,Database!$A$2:$T$188,19,FALSE),"-")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IFERROR(VLOOKUP(E104,Database!$A$2:$M$188,8,FALSE),"-")</f>
        <v>-</v>
      </c>
      <c r="G104" s="76" t="str">
        <f>IFERROR(VLOOKUP(E104,Database!$A$2:$M$188,6,FALSE),"-")</f>
        <v>-</v>
      </c>
      <c r="H104" s="91" t="str">
        <f>IFERROR(VLOOKUP(E104,Database!$A$2:$M$188,9,FALSE),"-")</f>
        <v>-</v>
      </c>
      <c r="I104" s="109" t="str">
        <f>IFERROR(VLOOKUP(E104,Database!$A$2:$T$188,19,FALSE),"-")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IFERROR(VLOOKUP(J104,Database!$A$2:$M$188,8,FALSE),"-")</f>
        <v>-</v>
      </c>
      <c r="L104" s="76" t="str">
        <f>IFERROR(VLOOKUP(J104,Database!$A$2:$M$188,6,FALSE),"-")</f>
        <v>-</v>
      </c>
      <c r="M104" s="91" t="str">
        <f>IFERROR(VLOOKUP(J104,Database!$A$2:$M$188,9,FALSE),"-")</f>
        <v>-</v>
      </c>
      <c r="N104" s="203" t="str">
        <f>IFERROR(VLOOKUP(J104,Database!$A$2:$T$188,19,FALSE),"-")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IFERROR(VLOOKUP(O104,Database!$A$2:$M$188,8,FALSE),"-")</f>
        <v>-</v>
      </c>
      <c r="Q104" s="76" t="str">
        <f>IFERROR(VLOOKUP(O104,Database!$A$2:$M$188,6,FALSE),"-")</f>
        <v>-</v>
      </c>
      <c r="R104" s="80" t="str">
        <f>IFERROR(VLOOKUP(O104,Database!$A$2:$M$188,9,FALSE),"-")</f>
        <v>-</v>
      </c>
      <c r="S104" s="203" t="str">
        <f>IFERROR(VLOOKUP(O104,Database!$A$2:$T$188,19,FALSE),"-")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IFERROR(VLOOKUP(T104,Database!$A$2:$M$188,8,FALSE),"-")</f>
        <v>-</v>
      </c>
      <c r="V104" s="76" t="str">
        <f>IFERROR(VLOOKUP(T104,Database!$A$2:$M$188,6,FALSE),"-")</f>
        <v>-</v>
      </c>
      <c r="W104" s="80" t="str">
        <f>IFERROR(VLOOKUP(T104,Database!$A$2:$M$188,9,FALSE),"-")</f>
        <v>-</v>
      </c>
      <c r="X104" s="203" t="str">
        <f>IFERROR(VLOOKUP(T104,Database!$A$2:$T$188,19,FALSE),"-")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IFERROR(VLOOKUP(Y104,Database!$A$2:$M$188,8,FALSE),"-")</f>
        <v>web</v>
      </c>
      <c r="AA104" s="77">
        <f>IFERROR(VLOOKUP(Y104,Database!$A$2:$M$188,6,FALSE),"-")</f>
        <v>46095</v>
      </c>
      <c r="AB104" s="90" t="str">
        <f>IFERROR(VLOOKUP(Y104,Database!$A$2:$M$188,9,FALSE),"-")</f>
        <v>1400</v>
      </c>
      <c r="AC104" s="8">
        <f>IFERROR(VLOOKUP(Y104,Database!$A$2:$T$188,19,FALSE),"-")</f>
        <v>4837.5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IFERROR(VLOOKUP(E105,Database!$A$2:$M$188,8,FALSE),"-")</f>
        <v>-</v>
      </c>
      <c r="G105" s="76" t="str">
        <f>IFERROR(VLOOKUP(E105,Database!$A$2:$M$188,6,FALSE),"-")</f>
        <v>-</v>
      </c>
      <c r="H105" s="91" t="str">
        <f>IFERROR(VLOOKUP(E105,Database!$A$2:$M$188,9,FALSE),"-")</f>
        <v>-</v>
      </c>
      <c r="I105" s="109" t="str">
        <f>IFERROR(VLOOKUP(E105,Database!$A$2:$T$188,19,FALSE),"-")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IFERROR(VLOOKUP(J105,Database!$A$2:$M$188,8,FALSE),"-")</f>
        <v>-</v>
      </c>
      <c r="L105" s="76" t="str">
        <f>IFERROR(VLOOKUP(J105,Database!$A$2:$M$188,6,FALSE),"-")</f>
        <v>-</v>
      </c>
      <c r="M105" s="91" t="str">
        <f>IFERROR(VLOOKUP(J105,Database!$A$2:$M$188,9,FALSE),"-")</f>
        <v>-</v>
      </c>
      <c r="N105" s="203" t="str">
        <f>IFERROR(VLOOKUP(J105,Database!$A$2:$T$188,19,FALSE),"-")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IFERROR(VLOOKUP(O105,Database!$A$2:$M$188,8,FALSE),"-")</f>
        <v>-</v>
      </c>
      <c r="Q105" s="76" t="str">
        <f>IFERROR(VLOOKUP(O105,Database!$A$2:$M$188,6,FALSE),"-")</f>
        <v>-</v>
      </c>
      <c r="R105" s="80" t="str">
        <f>IFERROR(VLOOKUP(O105,Database!$A$2:$M$188,9,FALSE),"-")</f>
        <v>-</v>
      </c>
      <c r="S105" s="203" t="str">
        <f>IFERROR(VLOOKUP(O105,Database!$A$2:$T$188,19,FALSE),"-")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IFERROR(VLOOKUP(T105,Database!$A$2:$M$188,8,FALSE),"-")</f>
        <v>-</v>
      </c>
      <c r="V105" s="76" t="str">
        <f>IFERROR(VLOOKUP(T105,Database!$A$2:$M$188,6,FALSE),"-")</f>
        <v>-</v>
      </c>
      <c r="W105" s="80" t="str">
        <f>IFERROR(VLOOKUP(T105,Database!$A$2:$M$188,9,FALSE),"-")</f>
        <v>-</v>
      </c>
      <c r="X105" s="203" t="str">
        <f>IFERROR(VLOOKUP(T105,Database!$A$2:$T$188,19,FALSE),"-")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IFERROR(VLOOKUP(Y105,Database!$A$2:$M$188,8,FALSE),"-")</f>
        <v>-</v>
      </c>
      <c r="AA105" s="77" t="str">
        <f>IFERROR(VLOOKUP(Y105,Database!$A$2:$M$188,6,FALSE),"-")</f>
        <v>-</v>
      </c>
      <c r="AB105" s="90" t="str">
        <f>IFERROR(VLOOKUP(Y105,Database!$A$2:$M$188,9,FALSE),"-")</f>
        <v>-</v>
      </c>
      <c r="AC105" s="8" t="str">
        <f>IFERROR(VLOOKUP(Y105,Database!$A$2:$T$188,19,FALSE),"-")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IFERROR(VLOOKUP(E106,Database!$A$2:$M$188,8,FALSE),"-")</f>
        <v>-</v>
      </c>
      <c r="G106" s="76" t="str">
        <f>IFERROR(VLOOKUP(E106,Database!$A$2:$M$188,6,FALSE),"-")</f>
        <v>-</v>
      </c>
      <c r="H106" s="91" t="str">
        <f>IFERROR(VLOOKUP(E106,Database!$A$2:$M$188,9,FALSE),"-")</f>
        <v>-</v>
      </c>
      <c r="I106" s="109" t="str">
        <f>IFERROR(VLOOKUP(E106,Database!$A$2:$T$188,19,FALSE),"-")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IFERROR(VLOOKUP(J106,Database!$A$2:$M$188,8,FALSE),"-")</f>
        <v>-</v>
      </c>
      <c r="L106" s="76" t="str">
        <f>IFERROR(VLOOKUP(J106,Database!$A$2:$M$188,6,FALSE),"-")</f>
        <v>-</v>
      </c>
      <c r="M106" s="91" t="str">
        <f>IFERROR(VLOOKUP(J106,Database!$A$2:$M$188,9,FALSE),"-")</f>
        <v>-</v>
      </c>
      <c r="N106" s="203" t="str">
        <f>IFERROR(VLOOKUP(J106,Database!$A$2:$T$188,19,FALSE),"-")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IFERROR(VLOOKUP(O106,Database!$A$2:$M$188,8,FALSE),"-")</f>
        <v>-</v>
      </c>
      <c r="Q106" s="76" t="str">
        <f>IFERROR(VLOOKUP(O106,Database!$A$2:$M$188,6,FALSE),"-")</f>
        <v>-</v>
      </c>
      <c r="R106" s="80" t="str">
        <f>IFERROR(VLOOKUP(O106,Database!$A$2:$M$188,9,FALSE),"-")</f>
        <v>-</v>
      </c>
      <c r="S106" s="203" t="str">
        <f>IFERROR(VLOOKUP(O106,Database!$A$2:$T$188,19,FALSE),"-")</f>
        <v>-</v>
      </c>
      <c r="T106" s="95">
        <f>IF(AND(D106="Y",booking!P106&lt;&gt;booking!Q106,booking!Q106&gt;0),booking!Q106,"-")</f>
        <v>114</v>
      </c>
      <c r="U106" s="76" t="str">
        <f>IFERROR(VLOOKUP(T106,Database!$A$2:$M$188,8,FALSE),"-")</f>
        <v>web</v>
      </c>
      <c r="V106" s="76">
        <f>IFERROR(VLOOKUP(T106,Database!$A$2:$M$188,6,FALSE),"-")</f>
        <v>46125</v>
      </c>
      <c r="W106" s="80">
        <f>IFERROR(VLOOKUP(T106,Database!$A$2:$M$188,9,FALSE),"-")</f>
        <v>0</v>
      </c>
      <c r="X106" s="203">
        <f>IFERROR(VLOOKUP(T106,Database!$A$2:$T$188,19,FALSE),"-")</f>
        <v>3442.5</v>
      </c>
      <c r="Y106" s="94" t="str">
        <f>IF(AND(D106="Y",booking!T106&lt;&gt;booking!U106,booking!U106&gt;0),booking!U106,"-")</f>
        <v>-</v>
      </c>
      <c r="Z106" s="77" t="str">
        <f>IFERROR(VLOOKUP(Y106,Database!$A$2:$M$188,8,FALSE),"-")</f>
        <v>-</v>
      </c>
      <c r="AA106" s="77" t="str">
        <f>IFERROR(VLOOKUP(Y106,Database!$A$2:$M$188,6,FALSE),"-")</f>
        <v>-</v>
      </c>
      <c r="AB106" s="90" t="str">
        <f>IFERROR(VLOOKUP(Y106,Database!$A$2:$M$188,9,FALSE),"-")</f>
        <v>-</v>
      </c>
      <c r="AC106" s="8" t="str">
        <f>IFERROR(VLOOKUP(Y106,Database!$A$2:$T$188,19,FALSE),"-")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IFERROR(VLOOKUP(E107,Database!$A$2:$M$188,8,FALSE),"-")</f>
        <v>-</v>
      </c>
      <c r="G107" s="76" t="str">
        <f>IFERROR(VLOOKUP(E107,Database!$A$2:$M$188,6,FALSE),"-")</f>
        <v>-</v>
      </c>
      <c r="H107" s="91" t="str">
        <f>IFERROR(VLOOKUP(E107,Database!$A$2:$M$188,9,FALSE),"-")</f>
        <v>-</v>
      </c>
      <c r="I107" s="109" t="str">
        <f>IFERROR(VLOOKUP(E107,Database!$A$2:$T$188,19,FALSE),"-")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IFERROR(VLOOKUP(J107,Database!$A$2:$M$188,8,FALSE),"-")</f>
        <v>-</v>
      </c>
      <c r="L107" s="76" t="str">
        <f>IFERROR(VLOOKUP(J107,Database!$A$2:$M$188,6,FALSE),"-")</f>
        <v>-</v>
      </c>
      <c r="M107" s="91" t="str">
        <f>IFERROR(VLOOKUP(J107,Database!$A$2:$M$188,9,FALSE),"-")</f>
        <v>-</v>
      </c>
      <c r="N107" s="203" t="str">
        <f>IFERROR(VLOOKUP(J107,Database!$A$2:$T$188,19,FALSE),"-")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IFERROR(VLOOKUP(O107,Database!$A$2:$M$188,8,FALSE),"-")</f>
        <v>bc</v>
      </c>
      <c r="Q107" s="76">
        <f>IFERROR(VLOOKUP(O107,Database!$A$2:$M$188,6,FALSE),"-")</f>
        <v>46047</v>
      </c>
      <c r="R107" s="80" t="str">
        <f>IFERROR(VLOOKUP(O107,Database!$A$2:$M$188,9,FALSE),"-")</f>
        <v>1200</v>
      </c>
      <c r="S107" s="203">
        <f>IFERROR(VLOOKUP(O107,Database!$A$2:$T$188,19,FALSE),"-")</f>
        <v>5100</v>
      </c>
      <c r="T107" s="95" t="str">
        <f>IF(AND(D107="Y",booking!P107&lt;&gt;booking!Q107,booking!Q107&gt;0),booking!Q107,"-")</f>
        <v>-</v>
      </c>
      <c r="U107" s="76" t="str">
        <f>IFERROR(VLOOKUP(T107,Database!$A$2:$M$188,8,FALSE),"-")</f>
        <v>-</v>
      </c>
      <c r="V107" s="76" t="str">
        <f>IFERROR(VLOOKUP(T107,Database!$A$2:$M$188,6,FALSE),"-")</f>
        <v>-</v>
      </c>
      <c r="W107" s="80" t="str">
        <f>IFERROR(VLOOKUP(T107,Database!$A$2:$M$188,9,FALSE),"-")</f>
        <v>-</v>
      </c>
      <c r="X107" s="203" t="str">
        <f>IFERROR(VLOOKUP(T107,Database!$A$2:$T$188,19,FALSE),"-")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IFERROR(VLOOKUP(Y107,Database!$A$2:$M$188,8,FALSE),"-")</f>
        <v>-</v>
      </c>
      <c r="AA107" s="77" t="str">
        <f>IFERROR(VLOOKUP(Y107,Database!$A$2:$M$188,6,FALSE),"-")</f>
        <v>-</v>
      </c>
      <c r="AB107" s="90" t="str">
        <f>IFERROR(VLOOKUP(Y107,Database!$A$2:$M$188,9,FALSE),"-")</f>
        <v>-</v>
      </c>
      <c r="AC107" s="8" t="str">
        <f>IFERROR(VLOOKUP(Y107,Database!$A$2:$T$188,19,FALSE),"-")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IFERROR(VLOOKUP(E108,Database!$A$2:$M$188,8,FALSE),"-")</f>
        <v>-</v>
      </c>
      <c r="G108" s="76" t="str">
        <f>IFERROR(VLOOKUP(E108,Database!$A$2:$M$188,6,FALSE),"-")</f>
        <v>-</v>
      </c>
      <c r="H108" s="91" t="str">
        <f>IFERROR(VLOOKUP(E108,Database!$A$2:$M$188,9,FALSE),"-")</f>
        <v>-</v>
      </c>
      <c r="I108" s="109" t="str">
        <f>IFERROR(VLOOKUP(E108,Database!$A$2:$T$188,19,FALSE),"-")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IFERROR(VLOOKUP(J108,Database!$A$2:$M$188,8,FALSE),"-")</f>
        <v>-</v>
      </c>
      <c r="L108" s="76" t="str">
        <f>IFERROR(VLOOKUP(J108,Database!$A$2:$M$188,6,FALSE),"-")</f>
        <v>-</v>
      </c>
      <c r="M108" s="91" t="str">
        <f>IFERROR(VLOOKUP(J108,Database!$A$2:$M$188,9,FALSE),"-")</f>
        <v>-</v>
      </c>
      <c r="N108" s="203" t="str">
        <f>IFERROR(VLOOKUP(J108,Database!$A$2:$T$188,19,FALSE),"-")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IFERROR(VLOOKUP(O108,Database!$A$2:$M$188,8,FALSE),"-")</f>
        <v>-</v>
      </c>
      <c r="Q108" s="76" t="str">
        <f>IFERROR(VLOOKUP(O108,Database!$A$2:$M$188,6,FALSE),"-")</f>
        <v>-</v>
      </c>
      <c r="R108" s="80" t="str">
        <f>IFERROR(VLOOKUP(O108,Database!$A$2:$M$188,9,FALSE),"-")</f>
        <v>-</v>
      </c>
      <c r="S108" s="203" t="str">
        <f>IFERROR(VLOOKUP(O108,Database!$A$2:$T$188,19,FALSE),"-")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IFERROR(VLOOKUP(T108,Database!$A$2:$M$188,8,FALSE),"-")</f>
        <v>-</v>
      </c>
      <c r="V108" s="76" t="str">
        <f>IFERROR(VLOOKUP(T108,Database!$A$2:$M$188,6,FALSE),"-")</f>
        <v>-</v>
      </c>
      <c r="W108" s="80" t="str">
        <f>IFERROR(VLOOKUP(T108,Database!$A$2:$M$188,9,FALSE),"-")</f>
        <v>-</v>
      </c>
      <c r="X108" s="203" t="str">
        <f>IFERROR(VLOOKUP(T108,Database!$A$2:$T$188,19,FALSE),"-")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IFERROR(VLOOKUP(Y108,Database!$A$2:$M$188,8,FALSE),"-")</f>
        <v>-</v>
      </c>
      <c r="AA108" s="77" t="str">
        <f>IFERROR(VLOOKUP(Y108,Database!$A$2:$M$188,6,FALSE),"-")</f>
        <v>-</v>
      </c>
      <c r="AB108" s="90" t="str">
        <f>IFERROR(VLOOKUP(Y108,Database!$A$2:$M$188,9,FALSE),"-")</f>
        <v>-</v>
      </c>
      <c r="AC108" s="8" t="str">
        <f>IFERROR(VLOOKUP(Y108,Database!$A$2:$T$188,19,FALSE),"-")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IFERROR(VLOOKUP(E109,Database!$A$2:$M$188,8,FALSE),"-")</f>
        <v>-</v>
      </c>
      <c r="G109" s="76" t="str">
        <f>IFERROR(VLOOKUP(E109,Database!$A$2:$M$188,6,FALSE),"-")</f>
        <v>-</v>
      </c>
      <c r="H109" s="91" t="str">
        <f>IFERROR(VLOOKUP(E109,Database!$A$2:$M$188,9,FALSE),"-")</f>
        <v>-</v>
      </c>
      <c r="I109" s="109" t="str">
        <f>IFERROR(VLOOKUP(E109,Database!$A$2:$T$188,19,FALSE),"-")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IFERROR(VLOOKUP(J109,Database!$A$2:$M$188,8,FALSE),"-")</f>
        <v>-</v>
      </c>
      <c r="L109" s="76" t="str">
        <f>IFERROR(VLOOKUP(J109,Database!$A$2:$M$188,6,FALSE),"-")</f>
        <v>-</v>
      </c>
      <c r="M109" s="91" t="str">
        <f>IFERROR(VLOOKUP(J109,Database!$A$2:$M$188,9,FALSE),"-")</f>
        <v>-</v>
      </c>
      <c r="N109" s="203" t="str">
        <f>IFERROR(VLOOKUP(J109,Database!$A$2:$T$188,19,FALSE),"-")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IFERROR(VLOOKUP(O109,Database!$A$2:$M$188,8,FALSE),"-")</f>
        <v>-</v>
      </c>
      <c r="Q109" s="76" t="str">
        <f>IFERROR(VLOOKUP(O109,Database!$A$2:$M$188,6,FALSE),"-")</f>
        <v>-</v>
      </c>
      <c r="R109" s="80" t="str">
        <f>IFERROR(VLOOKUP(O109,Database!$A$2:$M$188,9,FALSE),"-")</f>
        <v>-</v>
      </c>
      <c r="S109" s="203" t="str">
        <f>IFERROR(VLOOKUP(O109,Database!$A$2:$T$188,19,FALSE),"-")</f>
        <v>-</v>
      </c>
      <c r="T109" s="95">
        <f>IF(AND(D109="Y",booking!P109&lt;&gt;booking!Q109,booking!Q109&gt;0),booking!Q109,"-")</f>
        <v>4</v>
      </c>
      <c r="U109" s="76" t="str">
        <f>IFERROR(VLOOKUP(T109,Database!$A$2:$M$188,8,FALSE),"-")</f>
        <v>web</v>
      </c>
      <c r="V109" s="76">
        <f>IFERROR(VLOOKUP(T109,Database!$A$2:$M$188,6,FALSE),"-")</f>
        <v>45891</v>
      </c>
      <c r="W109" s="80">
        <f>IFERROR(VLOOKUP(T109,Database!$A$2:$M$188,9,FALSE),"-")</f>
        <v>0</v>
      </c>
      <c r="X109" s="203">
        <f>IFERROR(VLOOKUP(T109,Database!$A$2:$T$188,19,FALSE),"-")</f>
        <v>9180</v>
      </c>
      <c r="Y109" s="94">
        <f>IF(AND(D109="Y",booking!T109&lt;&gt;booking!U109,booking!U109&gt;0),booking!U109,"-")</f>
        <v>4</v>
      </c>
      <c r="Z109" s="77" t="str">
        <f>IFERROR(VLOOKUP(Y109,Database!$A$2:$M$188,8,FALSE),"-")</f>
        <v>web</v>
      </c>
      <c r="AA109" s="77">
        <f>IFERROR(VLOOKUP(Y109,Database!$A$2:$M$188,6,FALSE),"-")</f>
        <v>45891</v>
      </c>
      <c r="AB109" s="90">
        <f>IFERROR(VLOOKUP(Y109,Database!$A$2:$M$188,9,FALSE),"-")</f>
        <v>0</v>
      </c>
      <c r="AC109" s="8">
        <f>IFERROR(VLOOKUP(Y109,Database!$A$2:$T$188,19,FALSE),"-")</f>
        <v>9180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IFERROR(VLOOKUP(E110,Database!$A$2:$M$188,8,FALSE),"-")</f>
        <v>bc</v>
      </c>
      <c r="G110" s="76">
        <f>IFERROR(VLOOKUP(E110,Database!$A$2:$M$188,6,FALSE),"-")</f>
        <v>46037</v>
      </c>
      <c r="H110" s="91" t="str">
        <f>IFERROR(VLOOKUP(E110,Database!$A$2:$M$188,9,FALSE),"-")</f>
        <v>1430</v>
      </c>
      <c r="I110" s="109">
        <f>IFERROR(VLOOKUP(E110,Database!$A$2:$T$188,19,FALSE),"-")</f>
        <v>5125</v>
      </c>
      <c r="J110" s="94">
        <f>IF(AND(D110="Y",booking!H110&lt;&gt;booking!I110,booking!I110&gt;0),booking!I110,"-")</f>
        <v>23</v>
      </c>
      <c r="K110" s="76" t="str">
        <f>IFERROR(VLOOKUP(J110,Database!$A$2:$M$188,8,FALSE),"-")</f>
        <v>bc</v>
      </c>
      <c r="L110" s="76">
        <f>IFERROR(VLOOKUP(J110,Database!$A$2:$M$188,6,FALSE),"-")</f>
        <v>46017</v>
      </c>
      <c r="M110" s="91" t="str">
        <f>IFERROR(VLOOKUP(J110,Database!$A$2:$M$188,9,FALSE),"-")</f>
        <v>1430</v>
      </c>
      <c r="N110" s="203">
        <f>IFERROR(VLOOKUP(J110,Database!$A$2:$T$188,19,FALSE),"-")</f>
        <v>3825</v>
      </c>
      <c r="O110" s="94" t="str">
        <f>IF(AND(D110="Y",booking!L110&lt;&gt;booking!M110,booking!M110&gt;0),booking!M110,"-")</f>
        <v>-</v>
      </c>
      <c r="P110" s="76" t="str">
        <f>IFERROR(VLOOKUP(O110,Database!$A$2:$M$188,8,FALSE),"-")</f>
        <v>-</v>
      </c>
      <c r="Q110" s="76" t="str">
        <f>IFERROR(VLOOKUP(O110,Database!$A$2:$M$188,6,FALSE),"-")</f>
        <v>-</v>
      </c>
      <c r="R110" s="80" t="str">
        <f>IFERROR(VLOOKUP(O110,Database!$A$2:$M$188,9,FALSE),"-")</f>
        <v>-</v>
      </c>
      <c r="S110" s="203" t="str">
        <f>IFERROR(VLOOKUP(O110,Database!$A$2:$T$188,19,FALSE),"-")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IFERROR(VLOOKUP(T110,Database!$A$2:$M$188,8,FALSE),"-")</f>
        <v>-</v>
      </c>
      <c r="V110" s="76" t="str">
        <f>IFERROR(VLOOKUP(T110,Database!$A$2:$M$188,6,FALSE),"-")</f>
        <v>-</v>
      </c>
      <c r="W110" s="80" t="str">
        <f>IFERROR(VLOOKUP(T110,Database!$A$2:$M$188,9,FALSE),"-")</f>
        <v>-</v>
      </c>
      <c r="X110" s="203" t="str">
        <f>IFERROR(VLOOKUP(T110,Database!$A$2:$T$188,19,FALSE),"-")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IFERROR(VLOOKUP(Y110,Database!$A$2:$M$188,8,FALSE),"-")</f>
        <v>-</v>
      </c>
      <c r="AA110" s="77" t="str">
        <f>IFERROR(VLOOKUP(Y110,Database!$A$2:$M$188,6,FALSE),"-")</f>
        <v>-</v>
      </c>
      <c r="AB110" s="90" t="str">
        <f>IFERROR(VLOOKUP(Y110,Database!$A$2:$M$188,9,FALSE),"-")</f>
        <v>-</v>
      </c>
      <c r="AC110" s="8" t="str">
        <f>IFERROR(VLOOKUP(Y110,Database!$A$2:$T$188,19,FALSE),"-")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IFERROR(VLOOKUP(E111,Database!$A$2:$M$188,8,FALSE),"-")</f>
        <v>-</v>
      </c>
      <c r="G111" s="76" t="str">
        <f>IFERROR(VLOOKUP(E111,Database!$A$2:$M$188,6,FALSE),"-")</f>
        <v>-</v>
      </c>
      <c r="H111" s="91" t="str">
        <f>IFERROR(VLOOKUP(E111,Database!$A$2:$M$188,9,FALSE),"-")</f>
        <v>-</v>
      </c>
      <c r="I111" s="109" t="str">
        <f>IFERROR(VLOOKUP(E111,Database!$A$2:$T$188,19,FALSE),"-")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IFERROR(VLOOKUP(J111,Database!$A$2:$M$188,8,FALSE),"-")</f>
        <v>-</v>
      </c>
      <c r="L111" s="76" t="str">
        <f>IFERROR(VLOOKUP(J111,Database!$A$2:$M$188,6,FALSE),"-")</f>
        <v>-</v>
      </c>
      <c r="M111" s="91" t="str">
        <f>IFERROR(VLOOKUP(J111,Database!$A$2:$M$188,9,FALSE),"-")</f>
        <v>-</v>
      </c>
      <c r="N111" s="203" t="str">
        <f>IFERROR(VLOOKUP(J111,Database!$A$2:$T$188,19,FALSE),"-")</f>
        <v>-</v>
      </c>
      <c r="O111" s="94">
        <f>IF(AND(D111="Y",booking!L111&lt;&gt;booking!M111,booking!M111&gt;0),booking!M111,"-")</f>
        <v>121</v>
      </c>
      <c r="P111" s="76" t="str">
        <f>IFERROR(VLOOKUP(O111,Database!$A$2:$M$188,8,FALSE),"-")</f>
        <v>web</v>
      </c>
      <c r="Q111" s="76">
        <f>IFERROR(VLOOKUP(O111,Database!$A$2:$M$188,6,FALSE),"-")</f>
        <v>46137</v>
      </c>
      <c r="R111" s="80">
        <f>IFERROR(VLOOKUP(O111,Database!$A$2:$M$188,9,FALSE),"-")</f>
        <v>0</v>
      </c>
      <c r="S111" s="203">
        <f>IFERROR(VLOOKUP(O111,Database!$A$2:$T$188,19,FALSE),"-")</f>
        <v>3277.5</v>
      </c>
      <c r="T111" s="95" t="str">
        <f>IF(AND(D111="Y",booking!P111&lt;&gt;booking!Q111,booking!Q111&gt;0),booking!Q111,"-")</f>
        <v>-</v>
      </c>
      <c r="U111" s="76" t="str">
        <f>IFERROR(VLOOKUP(T111,Database!$A$2:$M$188,8,FALSE),"-")</f>
        <v>-</v>
      </c>
      <c r="V111" s="76" t="str">
        <f>IFERROR(VLOOKUP(T111,Database!$A$2:$M$188,6,FALSE),"-")</f>
        <v>-</v>
      </c>
      <c r="W111" s="80" t="str">
        <f>IFERROR(VLOOKUP(T111,Database!$A$2:$M$188,9,FALSE),"-")</f>
        <v>-</v>
      </c>
      <c r="X111" s="203" t="str">
        <f>IFERROR(VLOOKUP(T111,Database!$A$2:$T$188,19,FALSE),"-")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IFERROR(VLOOKUP(Y111,Database!$A$2:$M$188,8,FALSE),"-")</f>
        <v>-</v>
      </c>
      <c r="AA111" s="77" t="str">
        <f>IFERROR(VLOOKUP(Y111,Database!$A$2:$M$188,6,FALSE),"-")</f>
        <v>-</v>
      </c>
      <c r="AB111" s="90" t="str">
        <f>IFERROR(VLOOKUP(Y111,Database!$A$2:$M$188,9,FALSE),"-")</f>
        <v>-</v>
      </c>
      <c r="AC111" s="8" t="str">
        <f>IFERROR(VLOOKUP(Y111,Database!$A$2:$T$188,19,FALSE),"-")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IFERROR(VLOOKUP(E112,Database!$A$2:$M$188,8,FALSE),"-")</f>
        <v>-</v>
      </c>
      <c r="G112" s="76" t="str">
        <f>IFERROR(VLOOKUP(E112,Database!$A$2:$M$188,6,FALSE),"-")</f>
        <v>-</v>
      </c>
      <c r="H112" s="91" t="str">
        <f>IFERROR(VLOOKUP(E112,Database!$A$2:$M$188,9,FALSE),"-")</f>
        <v>-</v>
      </c>
      <c r="I112" s="109" t="str">
        <f>IFERROR(VLOOKUP(E112,Database!$A$2:$T$188,19,FALSE),"-")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IFERROR(VLOOKUP(J112,Database!$A$2:$M$188,8,FALSE),"-")</f>
        <v>-</v>
      </c>
      <c r="L112" s="76" t="str">
        <f>IFERROR(VLOOKUP(J112,Database!$A$2:$M$188,6,FALSE),"-")</f>
        <v>-</v>
      </c>
      <c r="M112" s="91" t="str">
        <f>IFERROR(VLOOKUP(J112,Database!$A$2:$M$188,9,FALSE),"-")</f>
        <v>-</v>
      </c>
      <c r="N112" s="203" t="str">
        <f>IFERROR(VLOOKUP(J112,Database!$A$2:$T$188,19,FALSE),"-")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IFERROR(VLOOKUP(O112,Database!$A$2:$M$188,8,FALSE),"-")</f>
        <v>-</v>
      </c>
      <c r="Q112" s="76" t="str">
        <f>IFERROR(VLOOKUP(O112,Database!$A$2:$M$188,6,FALSE),"-")</f>
        <v>-</v>
      </c>
      <c r="R112" s="80" t="str">
        <f>IFERROR(VLOOKUP(O112,Database!$A$2:$M$188,9,FALSE),"-")</f>
        <v>-</v>
      </c>
      <c r="S112" s="203" t="str">
        <f>IFERROR(VLOOKUP(O112,Database!$A$2:$T$188,19,FALSE),"-")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IFERROR(VLOOKUP(T112,Database!$A$2:$M$188,8,FALSE),"-")</f>
        <v>-</v>
      </c>
      <c r="V112" s="76" t="str">
        <f>IFERROR(VLOOKUP(T112,Database!$A$2:$M$188,6,FALSE),"-")</f>
        <v>-</v>
      </c>
      <c r="W112" s="80" t="str">
        <f>IFERROR(VLOOKUP(T112,Database!$A$2:$M$188,9,FALSE),"-")</f>
        <v>-</v>
      </c>
      <c r="X112" s="203" t="str">
        <f>IFERROR(VLOOKUP(T112,Database!$A$2:$T$188,19,FALSE),"-")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IFERROR(VLOOKUP(Y112,Database!$A$2:$M$188,8,FALSE),"-")</f>
        <v>-</v>
      </c>
      <c r="AA112" s="77" t="str">
        <f>IFERROR(VLOOKUP(Y112,Database!$A$2:$M$188,6,FALSE),"-")</f>
        <v>-</v>
      </c>
      <c r="AB112" s="90" t="str">
        <f>IFERROR(VLOOKUP(Y112,Database!$A$2:$M$188,9,FALSE),"-")</f>
        <v>-</v>
      </c>
      <c r="AC112" s="8" t="str">
        <f>IFERROR(VLOOKUP(Y112,Database!$A$2:$T$188,19,FALSE),"-")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IFERROR(VLOOKUP(E113,Database!$A$2:$M$188,8,FALSE),"-")</f>
        <v>-</v>
      </c>
      <c r="G113" s="76" t="str">
        <f>IFERROR(VLOOKUP(E113,Database!$A$2:$M$188,6,FALSE),"-")</f>
        <v>-</v>
      </c>
      <c r="H113" s="91" t="str">
        <f>IFERROR(VLOOKUP(E113,Database!$A$2:$M$188,9,FALSE),"-")</f>
        <v>-</v>
      </c>
      <c r="I113" s="109" t="str">
        <f>IFERROR(VLOOKUP(E113,Database!$A$2:$T$188,19,FALSE),"-")</f>
        <v>-</v>
      </c>
      <c r="J113" s="94">
        <f>IF(AND(D113="Y",booking!H113&lt;&gt;booking!I113,booking!I113&gt;0),booking!I113,"-")</f>
        <v>156</v>
      </c>
      <c r="K113" s="76" t="str">
        <f>IFERROR(VLOOKUP(J113,Database!$A$2:$M$188,8,FALSE),"-")</f>
        <v>bc</v>
      </c>
      <c r="L113" s="76">
        <f>IFERROR(VLOOKUP(J113,Database!$A$2:$M$188,6,FALSE),"-")</f>
        <v>46218</v>
      </c>
      <c r="M113" s="91">
        <f>IFERROR(VLOOKUP(J113,Database!$A$2:$M$188,9,FALSE),"-")</f>
        <v>0</v>
      </c>
      <c r="N113" s="203">
        <f>IFERROR(VLOOKUP(J113,Database!$A$2:$T$188,19,FALSE),"-")</f>
        <v>1900</v>
      </c>
      <c r="O113" s="94" t="str">
        <f>IF(AND(D113="Y",booking!L113&lt;&gt;booking!M113,booking!M113&gt;0),booking!M113,"-")</f>
        <v>-</v>
      </c>
      <c r="P113" s="76" t="str">
        <f>IFERROR(VLOOKUP(O113,Database!$A$2:$M$188,8,FALSE),"-")</f>
        <v>-</v>
      </c>
      <c r="Q113" s="76" t="str">
        <f>IFERROR(VLOOKUP(O113,Database!$A$2:$M$188,6,FALSE),"-")</f>
        <v>-</v>
      </c>
      <c r="R113" s="80" t="str">
        <f>IFERROR(VLOOKUP(O113,Database!$A$2:$M$188,9,FALSE),"-")</f>
        <v>-</v>
      </c>
      <c r="S113" s="203" t="str">
        <f>IFERROR(VLOOKUP(O113,Database!$A$2:$T$188,19,FALSE),"-")</f>
        <v>-</v>
      </c>
      <c r="T113" s="95">
        <f>IF(AND(D113="Y",booking!P113&lt;&gt;booking!Q113,booking!Q113&gt;0),booking!Q113,"-")</f>
        <v>51</v>
      </c>
      <c r="U113" s="76" t="str">
        <f>IFERROR(VLOOKUP(T113,Database!$A$2:$M$188,8,FALSE),"-")</f>
        <v>web</v>
      </c>
      <c r="V113" s="76">
        <f>IFERROR(VLOOKUP(T113,Database!$A$2:$M$188,6,FALSE),"-")</f>
        <v>46041</v>
      </c>
      <c r="W113" s="80">
        <f>IFERROR(VLOOKUP(T113,Database!$A$2:$M$188,9,FALSE),"-")</f>
        <v>0</v>
      </c>
      <c r="X113" s="203">
        <f>IFERROR(VLOOKUP(T113,Database!$A$2:$T$188,19,FALSE),"-")</f>
        <v>5737.5</v>
      </c>
      <c r="Y113" s="94" t="str">
        <f>IF(AND(D113="Y",booking!T113&lt;&gt;booking!U113,booking!U113&gt;0),booking!U113,"-")</f>
        <v>-</v>
      </c>
      <c r="Z113" s="77" t="str">
        <f>IFERROR(VLOOKUP(Y113,Database!$A$2:$M$188,8,FALSE),"-")</f>
        <v>-</v>
      </c>
      <c r="AA113" s="77" t="str">
        <f>IFERROR(VLOOKUP(Y113,Database!$A$2:$M$188,6,FALSE),"-")</f>
        <v>-</v>
      </c>
      <c r="AB113" s="90" t="str">
        <f>IFERROR(VLOOKUP(Y113,Database!$A$2:$M$188,9,FALSE),"-")</f>
        <v>-</v>
      </c>
      <c r="AC113" s="8" t="str">
        <f>IFERROR(VLOOKUP(Y113,Database!$A$2:$T$188,19,FALSE),"-")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IFERROR(VLOOKUP(E114,Database!$A$2:$M$188,8,FALSE),"-")</f>
        <v>bc</v>
      </c>
      <c r="G114" s="76">
        <f>IFERROR(VLOOKUP(E114,Database!$A$2:$M$188,6,FALSE),"-")</f>
        <v>46019</v>
      </c>
      <c r="H114" s="91" t="str">
        <f>IFERROR(VLOOKUP(E114,Database!$A$2:$M$188,9,FALSE),"-")</f>
        <v>17-21</v>
      </c>
      <c r="I114" s="109">
        <f>IFERROR(VLOOKUP(E114,Database!$A$2:$T$188,19,FALSE),"-")</f>
        <v>3450</v>
      </c>
      <c r="J114" s="94" t="str">
        <f>IF(AND(D114="Y",booking!H114&lt;&gt;booking!I114,booking!I114&gt;0),booking!I114,"-")</f>
        <v>-</v>
      </c>
      <c r="K114" s="76" t="str">
        <f>IFERROR(VLOOKUP(J114,Database!$A$2:$M$188,8,FALSE),"-")</f>
        <v>-</v>
      </c>
      <c r="L114" s="76" t="str">
        <f>IFERROR(VLOOKUP(J114,Database!$A$2:$M$188,6,FALSE),"-")</f>
        <v>-</v>
      </c>
      <c r="M114" s="91" t="str">
        <f>IFERROR(VLOOKUP(J114,Database!$A$2:$M$188,9,FALSE),"-")</f>
        <v>-</v>
      </c>
      <c r="N114" s="203" t="str">
        <f>IFERROR(VLOOKUP(J114,Database!$A$2:$T$188,19,FALSE),"-")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IFERROR(VLOOKUP(O114,Database!$A$2:$M$188,8,FALSE),"-")</f>
        <v>bc</v>
      </c>
      <c r="Q114" s="76">
        <f>IFERROR(VLOOKUP(O114,Database!$A$2:$M$188,6,FALSE),"-")</f>
        <v>46041</v>
      </c>
      <c r="R114" s="80" t="str">
        <f>IFERROR(VLOOKUP(O114,Database!$A$2:$M$188,9,FALSE),"-")</f>
        <v>1300</v>
      </c>
      <c r="S114" s="203">
        <f>IFERROR(VLOOKUP(O114,Database!$A$2:$T$188,19,FALSE),"-")</f>
        <v>4600</v>
      </c>
      <c r="T114" s="95" t="str">
        <f>IF(AND(D114="Y",booking!P114&lt;&gt;booking!Q114,booking!Q114&gt;0),booking!Q114,"-")</f>
        <v>-</v>
      </c>
      <c r="U114" s="76" t="str">
        <f>IFERROR(VLOOKUP(T114,Database!$A$2:$M$188,8,FALSE),"-")</f>
        <v>-</v>
      </c>
      <c r="V114" s="76" t="str">
        <f>IFERROR(VLOOKUP(T114,Database!$A$2:$M$188,6,FALSE),"-")</f>
        <v>-</v>
      </c>
      <c r="W114" s="80" t="str">
        <f>IFERROR(VLOOKUP(T114,Database!$A$2:$M$188,9,FALSE),"-")</f>
        <v>-</v>
      </c>
      <c r="X114" s="203" t="str">
        <f>IFERROR(VLOOKUP(T114,Database!$A$2:$T$188,19,FALSE),"-")</f>
        <v>-</v>
      </c>
      <c r="Y114" s="94">
        <f>IF(AND(D114="Y",booking!T114&lt;&gt;booking!U114,booking!U114&gt;0),booking!U114,"-")</f>
        <v>21</v>
      </c>
      <c r="Z114" s="77" t="str">
        <f>IFERROR(VLOOKUP(Y114,Database!$A$2:$M$188,8,FALSE),"-")</f>
        <v>web</v>
      </c>
      <c r="AA114" s="77">
        <f>IFERROR(VLOOKUP(Y114,Database!$A$2:$M$188,6,FALSE),"-")</f>
        <v>46009</v>
      </c>
      <c r="AB114" s="90">
        <f>IFERROR(VLOOKUP(Y114,Database!$A$2:$M$188,9,FALSE),"-")</f>
        <v>0</v>
      </c>
      <c r="AC114" s="8">
        <f>IFERROR(VLOOKUP(Y114,Database!$A$2:$T$188,19,FALSE),"-")</f>
        <v>5175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IFERROR(VLOOKUP(E115,Database!$A$2:$M$188,8,FALSE),"-")</f>
        <v>-</v>
      </c>
      <c r="G115" s="76" t="str">
        <f>IFERROR(VLOOKUP(E115,Database!$A$2:$M$188,6,FALSE),"-")</f>
        <v>-</v>
      </c>
      <c r="H115" s="91" t="str">
        <f>IFERROR(VLOOKUP(E115,Database!$A$2:$M$188,9,FALSE),"-")</f>
        <v>-</v>
      </c>
      <c r="I115" s="109" t="str">
        <f>IFERROR(VLOOKUP(E115,Database!$A$2:$T$188,19,FALSE),"-")</f>
        <v>-</v>
      </c>
      <c r="J115" s="94">
        <f>IF(AND(D115="Y",booking!H115&lt;&gt;booking!I115,booking!I115&gt;0),booking!I115,"-")</f>
        <v>133</v>
      </c>
      <c r="K115" s="76" t="str">
        <f>IFERROR(VLOOKUP(J115,Database!$A$2:$M$188,8,FALSE),"-")</f>
        <v>web</v>
      </c>
      <c r="L115" s="76">
        <f>IFERROR(VLOOKUP(J115,Database!$A$2:$M$188,6,FALSE),"-")</f>
        <v>46160</v>
      </c>
      <c r="M115" s="91">
        <f>IFERROR(VLOOKUP(J115,Database!$A$2:$M$188,9,FALSE),"-")</f>
        <v>0</v>
      </c>
      <c r="N115" s="203">
        <f>IFERROR(VLOOKUP(J115,Database!$A$2:$T$188,19,FALSE),"-")</f>
        <v>1710</v>
      </c>
      <c r="O115" s="94" t="str">
        <f>IF(AND(D115="Y",booking!L115&lt;&gt;booking!M115,booking!M115&gt;0),booking!M115,"-")</f>
        <v>-</v>
      </c>
      <c r="P115" s="76" t="str">
        <f>IFERROR(VLOOKUP(O115,Database!$A$2:$M$188,8,FALSE),"-")</f>
        <v>-</v>
      </c>
      <c r="Q115" s="76" t="str">
        <f>IFERROR(VLOOKUP(O115,Database!$A$2:$M$188,6,FALSE),"-")</f>
        <v>-</v>
      </c>
      <c r="R115" s="80" t="str">
        <f>IFERROR(VLOOKUP(O115,Database!$A$2:$M$188,9,FALSE),"-")</f>
        <v>-</v>
      </c>
      <c r="S115" s="203" t="str">
        <f>IFERROR(VLOOKUP(O115,Database!$A$2:$T$188,19,FALSE),"-")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IFERROR(VLOOKUP(T115,Database!$A$2:$M$188,8,FALSE),"-")</f>
        <v>-</v>
      </c>
      <c r="V115" s="76" t="str">
        <f>IFERROR(VLOOKUP(T115,Database!$A$2:$M$188,6,FALSE),"-")</f>
        <v>-</v>
      </c>
      <c r="W115" s="80" t="str">
        <f>IFERROR(VLOOKUP(T115,Database!$A$2:$M$188,9,FALSE),"-")</f>
        <v>-</v>
      </c>
      <c r="X115" s="203" t="str">
        <f>IFERROR(VLOOKUP(T115,Database!$A$2:$T$188,19,FALSE),"-")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IFERROR(VLOOKUP(Y115,Database!$A$2:$M$188,8,FALSE),"-")</f>
        <v>-</v>
      </c>
      <c r="AA115" s="77" t="str">
        <f>IFERROR(VLOOKUP(Y115,Database!$A$2:$M$188,6,FALSE),"-")</f>
        <v>-</v>
      </c>
      <c r="AB115" s="90" t="str">
        <f>IFERROR(VLOOKUP(Y115,Database!$A$2:$M$188,9,FALSE),"-")</f>
        <v>-</v>
      </c>
      <c r="AC115" s="8" t="str">
        <f>IFERROR(VLOOKUP(Y115,Database!$A$2:$T$188,19,FALSE),"-")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IFERROR(VLOOKUP(E116,Database!$A$2:$M$188,8,FALSE),"-")</f>
        <v>-</v>
      </c>
      <c r="G116" s="76" t="str">
        <f>IFERROR(VLOOKUP(E116,Database!$A$2:$M$188,6,FALSE),"-")</f>
        <v>-</v>
      </c>
      <c r="H116" s="91" t="str">
        <f>IFERROR(VLOOKUP(E116,Database!$A$2:$M$188,9,FALSE),"-")</f>
        <v>-</v>
      </c>
      <c r="I116" s="109" t="str">
        <f>IFERROR(VLOOKUP(E116,Database!$A$2:$T$188,19,FALSE),"-")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IFERROR(VLOOKUP(J116,Database!$A$2:$M$188,8,FALSE),"-")</f>
        <v>-</v>
      </c>
      <c r="L116" s="76" t="str">
        <f>IFERROR(VLOOKUP(J116,Database!$A$2:$M$188,6,FALSE),"-")</f>
        <v>-</v>
      </c>
      <c r="M116" s="91" t="str">
        <f>IFERROR(VLOOKUP(J116,Database!$A$2:$M$188,9,FALSE),"-")</f>
        <v>-</v>
      </c>
      <c r="N116" s="203" t="str">
        <f>IFERROR(VLOOKUP(J116,Database!$A$2:$T$188,19,FALSE),"-")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IFERROR(VLOOKUP(O116,Database!$A$2:$M$188,8,FALSE),"-")</f>
        <v>-</v>
      </c>
      <c r="Q116" s="76" t="str">
        <f>IFERROR(VLOOKUP(O116,Database!$A$2:$M$188,6,FALSE),"-")</f>
        <v>-</v>
      </c>
      <c r="R116" s="80" t="str">
        <f>IFERROR(VLOOKUP(O116,Database!$A$2:$M$188,9,FALSE),"-")</f>
        <v>-</v>
      </c>
      <c r="S116" s="203" t="str">
        <f>IFERROR(VLOOKUP(O116,Database!$A$2:$T$188,19,FALSE),"-")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IFERROR(VLOOKUP(T116,Database!$A$2:$M$188,8,FALSE),"-")</f>
        <v>-</v>
      </c>
      <c r="V116" s="76" t="str">
        <f>IFERROR(VLOOKUP(T116,Database!$A$2:$M$188,6,FALSE),"-")</f>
        <v>-</v>
      </c>
      <c r="W116" s="80" t="str">
        <f>IFERROR(VLOOKUP(T116,Database!$A$2:$M$188,9,FALSE),"-")</f>
        <v>-</v>
      </c>
      <c r="X116" s="203" t="str">
        <f>IFERROR(VLOOKUP(T116,Database!$A$2:$T$188,19,FALSE),"-")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IFERROR(VLOOKUP(Y116,Database!$A$2:$M$188,8,FALSE),"-")</f>
        <v>-</v>
      </c>
      <c r="AA116" s="77" t="str">
        <f>IFERROR(VLOOKUP(Y116,Database!$A$2:$M$188,6,FALSE),"-")</f>
        <v>-</v>
      </c>
      <c r="AB116" s="90" t="str">
        <f>IFERROR(VLOOKUP(Y116,Database!$A$2:$M$188,9,FALSE),"-")</f>
        <v>-</v>
      </c>
      <c r="AC116" s="8" t="str">
        <f>IFERROR(VLOOKUP(Y116,Database!$A$2:$T$188,19,FALSE),"-")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IFERROR(VLOOKUP(E117,Database!$A$2:$M$188,8,FALSE),"-")</f>
        <v>-</v>
      </c>
      <c r="G117" s="76" t="str">
        <f>IFERROR(VLOOKUP(E117,Database!$A$2:$M$188,6,FALSE),"-")</f>
        <v>-</v>
      </c>
      <c r="H117" s="91" t="str">
        <f>IFERROR(VLOOKUP(E117,Database!$A$2:$M$188,9,FALSE),"-")</f>
        <v>-</v>
      </c>
      <c r="I117" s="109" t="str">
        <f>IFERROR(VLOOKUP(E117,Database!$A$2:$T$188,19,FALSE),"-")</f>
        <v>-</v>
      </c>
      <c r="J117" s="94">
        <f>IF(AND(D117="Y",booking!H117&lt;&gt;booking!I117,booking!I117&gt;0),booking!I117,"-")</f>
        <v>159</v>
      </c>
      <c r="K117" s="76" t="str">
        <f>IFERROR(VLOOKUP(J117,Database!$A$2:$M$188,8,FALSE),"-")</f>
        <v>bc</v>
      </c>
      <c r="L117" s="76">
        <f>IFERROR(VLOOKUP(J117,Database!$A$2:$M$188,6,FALSE),"-")</f>
        <v>46236</v>
      </c>
      <c r="M117" s="91">
        <f>IFERROR(VLOOKUP(J117,Database!$A$2:$M$188,9,FALSE),"-")</f>
        <v>0</v>
      </c>
      <c r="N117" s="203">
        <f>IFERROR(VLOOKUP(J117,Database!$A$2:$T$188,19,FALSE),"-")</f>
        <v>2850</v>
      </c>
      <c r="O117" s="94" t="str">
        <f>IF(AND(D117="Y",booking!L117&lt;&gt;booking!M117,booking!M117&gt;0),booking!M117,"-")</f>
        <v>-</v>
      </c>
      <c r="P117" s="76" t="str">
        <f>IFERROR(VLOOKUP(O117,Database!$A$2:$M$188,8,FALSE),"-")</f>
        <v>-</v>
      </c>
      <c r="Q117" s="76" t="str">
        <f>IFERROR(VLOOKUP(O117,Database!$A$2:$M$188,6,FALSE),"-")</f>
        <v>-</v>
      </c>
      <c r="R117" s="80" t="str">
        <f>IFERROR(VLOOKUP(O117,Database!$A$2:$M$188,9,FALSE),"-")</f>
        <v>-</v>
      </c>
      <c r="S117" s="203" t="str">
        <f>IFERROR(VLOOKUP(O117,Database!$A$2:$T$188,19,FALSE),"-")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IFERROR(VLOOKUP(T117,Database!$A$2:$M$188,8,FALSE),"-")</f>
        <v>-</v>
      </c>
      <c r="V117" s="76" t="str">
        <f>IFERROR(VLOOKUP(T117,Database!$A$2:$M$188,6,FALSE),"-")</f>
        <v>-</v>
      </c>
      <c r="W117" s="80" t="str">
        <f>IFERROR(VLOOKUP(T117,Database!$A$2:$M$188,9,FALSE),"-")</f>
        <v>-</v>
      </c>
      <c r="X117" s="203" t="str">
        <f>IFERROR(VLOOKUP(T117,Database!$A$2:$T$188,19,FALSE),"-")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IFERROR(VLOOKUP(Y117,Database!$A$2:$M$188,8,FALSE),"-")</f>
        <v>-</v>
      </c>
      <c r="AA117" s="77" t="str">
        <f>IFERROR(VLOOKUP(Y117,Database!$A$2:$M$188,6,FALSE),"-")</f>
        <v>-</v>
      </c>
      <c r="AB117" s="90" t="str">
        <f>IFERROR(VLOOKUP(Y117,Database!$A$2:$M$188,9,FALSE),"-")</f>
        <v>-</v>
      </c>
      <c r="AC117" s="8" t="str">
        <f>IFERROR(VLOOKUP(Y117,Database!$A$2:$T$188,19,FALSE),"-")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IFERROR(VLOOKUP(E118,Database!$A$2:$M$188,8,FALSE),"-")</f>
        <v>-</v>
      </c>
      <c r="G118" s="76" t="str">
        <f>IFERROR(VLOOKUP(E118,Database!$A$2:$M$188,6,FALSE),"-")</f>
        <v>-</v>
      </c>
      <c r="H118" s="91" t="str">
        <f>IFERROR(VLOOKUP(E118,Database!$A$2:$M$188,9,FALSE),"-")</f>
        <v>-</v>
      </c>
      <c r="I118" s="109" t="str">
        <f>IFERROR(VLOOKUP(E118,Database!$A$2:$T$188,19,FALSE),"-")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IFERROR(VLOOKUP(J118,Database!$A$2:$M$188,8,FALSE),"-")</f>
        <v>-</v>
      </c>
      <c r="L118" s="76" t="str">
        <f>IFERROR(VLOOKUP(J118,Database!$A$2:$M$188,6,FALSE),"-")</f>
        <v>-</v>
      </c>
      <c r="M118" s="91" t="str">
        <f>IFERROR(VLOOKUP(J118,Database!$A$2:$M$188,9,FALSE),"-")</f>
        <v>-</v>
      </c>
      <c r="N118" s="203" t="str">
        <f>IFERROR(VLOOKUP(J118,Database!$A$2:$T$188,19,FALSE),"-")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IFERROR(VLOOKUP(O118,Database!$A$2:$M$188,8,FALSE),"-")</f>
        <v>-</v>
      </c>
      <c r="Q118" s="76" t="str">
        <f>IFERROR(VLOOKUP(O118,Database!$A$2:$M$188,6,FALSE),"-")</f>
        <v>-</v>
      </c>
      <c r="R118" s="80" t="str">
        <f>IFERROR(VLOOKUP(O118,Database!$A$2:$M$188,9,FALSE),"-")</f>
        <v>-</v>
      </c>
      <c r="S118" s="203" t="str">
        <f>IFERROR(VLOOKUP(O118,Database!$A$2:$T$188,19,FALSE),"-")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IFERROR(VLOOKUP(T118,Database!$A$2:$M$188,8,FALSE),"-")</f>
        <v>bc</v>
      </c>
      <c r="V118" s="76">
        <f>IFERROR(VLOOKUP(T118,Database!$A$2:$M$188,6,FALSE),"-")</f>
        <v>46095</v>
      </c>
      <c r="W118" s="80" t="str">
        <f>IFERROR(VLOOKUP(T118,Database!$A$2:$M$188,9,FALSE),"-")</f>
        <v>1530</v>
      </c>
      <c r="X118" s="203">
        <f>IFERROR(VLOOKUP(T118,Database!$A$2:$T$188,19,FALSE),"-")</f>
        <v>2850</v>
      </c>
      <c r="Y118" s="94" t="str">
        <f>IF(AND(D118="Y",booking!T118&lt;&gt;booking!U118,booking!U118&gt;0),booking!U118,"-")</f>
        <v>-</v>
      </c>
      <c r="Z118" s="77" t="str">
        <f>IFERROR(VLOOKUP(Y118,Database!$A$2:$M$188,8,FALSE),"-")</f>
        <v>-</v>
      </c>
      <c r="AA118" s="77" t="str">
        <f>IFERROR(VLOOKUP(Y118,Database!$A$2:$M$188,6,FALSE),"-")</f>
        <v>-</v>
      </c>
      <c r="AB118" s="90" t="str">
        <f>IFERROR(VLOOKUP(Y118,Database!$A$2:$M$188,9,FALSE),"-")</f>
        <v>-</v>
      </c>
      <c r="AC118" s="8" t="str">
        <f>IFERROR(VLOOKUP(Y118,Database!$A$2:$T$188,19,FALSE),"-")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 t="str">
        <f>IFERROR(VLOOKUP(E119,Database!$A$2:$M$188,8,FALSE),"-")</f>
        <v>bc</v>
      </c>
      <c r="G119" s="76">
        <f>IFERROR(VLOOKUP(E119,Database!$A$2:$M$188,6,FALSE),"-")</f>
        <v>46054</v>
      </c>
      <c r="H119" s="91">
        <f>IFERROR(VLOOKUP(E119,Database!$A$2:$M$188,9,FALSE),"-")</f>
        <v>0</v>
      </c>
      <c r="I119" s="109">
        <f>IFERROR(VLOOKUP(E119,Database!$A$2:$T$188,19,FALSE),"-")</f>
        <v>2850</v>
      </c>
      <c r="J119" s="94" t="str">
        <f>IF(AND(D119="Y",booking!H119&lt;&gt;booking!I119,booking!I119&gt;0),booking!I119,"-")</f>
        <v>-</v>
      </c>
      <c r="K119" s="76" t="str">
        <f>IFERROR(VLOOKUP(J119,Database!$A$2:$M$188,8,FALSE),"-")</f>
        <v>-</v>
      </c>
      <c r="L119" s="76" t="str">
        <f>IFERROR(VLOOKUP(J119,Database!$A$2:$M$188,6,FALSE),"-")</f>
        <v>-</v>
      </c>
      <c r="M119" s="91" t="str">
        <f>IFERROR(VLOOKUP(J119,Database!$A$2:$M$188,9,FALSE),"-")</f>
        <v>-</v>
      </c>
      <c r="N119" s="203" t="str">
        <f>IFERROR(VLOOKUP(J119,Database!$A$2:$T$188,19,FALSE),"-")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IFERROR(VLOOKUP(O119,Database!$A$2:$M$188,8,FALSE),"-")</f>
        <v>-</v>
      </c>
      <c r="Q119" s="76" t="str">
        <f>IFERROR(VLOOKUP(O119,Database!$A$2:$M$188,6,FALSE),"-")</f>
        <v>-</v>
      </c>
      <c r="R119" s="80" t="str">
        <f>IFERROR(VLOOKUP(O119,Database!$A$2:$M$188,9,FALSE),"-")</f>
        <v>-</v>
      </c>
      <c r="S119" s="203" t="str">
        <f>IFERROR(VLOOKUP(O119,Database!$A$2:$T$188,19,FALSE),"-")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IFERROR(VLOOKUP(T119,Database!$A$2:$M$188,8,FALSE),"-")</f>
        <v>-</v>
      </c>
      <c r="V119" s="76" t="str">
        <f>IFERROR(VLOOKUP(T119,Database!$A$2:$M$188,6,FALSE),"-")</f>
        <v>-</v>
      </c>
      <c r="W119" s="80" t="str">
        <f>IFERROR(VLOOKUP(T119,Database!$A$2:$M$188,9,FALSE),"-")</f>
        <v>-</v>
      </c>
      <c r="X119" s="203" t="str">
        <f>IFERROR(VLOOKUP(T119,Database!$A$2:$T$188,19,FALSE),"-")</f>
        <v>-</v>
      </c>
      <c r="Y119" s="94">
        <f>IF(AND(D119="Y",booking!T119&lt;&gt;booking!U119,booking!U119&gt;0),booking!U119,"-")</f>
        <v>25</v>
      </c>
      <c r="Z119" s="77" t="str">
        <f>IFERROR(VLOOKUP(Y119,Database!$A$2:$M$188,8,FALSE),"-")</f>
        <v>bc</v>
      </c>
      <c r="AA119" s="77">
        <f>IFERROR(VLOOKUP(Y119,Database!$A$2:$M$188,6,FALSE),"-")</f>
        <v>46017</v>
      </c>
      <c r="AB119" s="90">
        <f>IFERROR(VLOOKUP(Y119,Database!$A$2:$M$188,9,FALSE),"-")</f>
        <v>0</v>
      </c>
      <c r="AC119" s="8">
        <f>IFERROR(VLOOKUP(Y119,Database!$A$2:$T$188,19,FALSE),"-")</f>
        <v>4250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IFERROR(VLOOKUP(E120,Database!$A$2:$M$188,8,FALSE),"-")</f>
        <v>-</v>
      </c>
      <c r="G120" s="76" t="str">
        <f>IFERROR(VLOOKUP(E120,Database!$A$2:$M$188,6,FALSE),"-")</f>
        <v>-</v>
      </c>
      <c r="H120" s="91" t="str">
        <f>IFERROR(VLOOKUP(E120,Database!$A$2:$M$188,9,FALSE),"-")</f>
        <v>-</v>
      </c>
      <c r="I120" s="109" t="str">
        <f>IFERROR(VLOOKUP(E120,Database!$A$2:$T$188,19,FALSE),"-")</f>
        <v>-</v>
      </c>
      <c r="J120" s="94">
        <f>IF(AND(D120="Y",booking!H120&lt;&gt;booking!I120,booking!I120&gt;0),booking!I120,"-")</f>
        <v>122</v>
      </c>
      <c r="K120" s="76" t="str">
        <f>IFERROR(VLOOKUP(J120,Database!$A$2:$M$188,8,FALSE),"-")</f>
        <v>web</v>
      </c>
      <c r="L120" s="76">
        <f>IFERROR(VLOOKUP(J120,Database!$A$2:$M$188,6,FALSE),"-")</f>
        <v>46140</v>
      </c>
      <c r="M120" s="91">
        <f>IFERROR(VLOOKUP(J120,Database!$A$2:$M$188,9,FALSE),"-")</f>
        <v>0</v>
      </c>
      <c r="N120" s="203">
        <f>IFERROR(VLOOKUP(J120,Database!$A$2:$T$188,19,FALSE),"-")</f>
        <v>2185</v>
      </c>
      <c r="O120" s="94">
        <f>IF(AND(D120="Y",booking!L120&lt;&gt;booking!M120,booking!M120&gt;0),booking!M120,"-")</f>
        <v>120</v>
      </c>
      <c r="P120" s="76" t="str">
        <f>IFERROR(VLOOKUP(O120,Database!$A$2:$M$188,8,FALSE),"-")</f>
        <v>web</v>
      </c>
      <c r="Q120" s="76">
        <f>IFERROR(VLOOKUP(O120,Database!$A$2:$M$188,6,FALSE),"-")</f>
        <v>46137</v>
      </c>
      <c r="R120" s="80">
        <f>IFERROR(VLOOKUP(O120,Database!$A$2:$M$188,9,FALSE),"-")</f>
        <v>0</v>
      </c>
      <c r="S120" s="203">
        <f>IFERROR(VLOOKUP(O120,Database!$A$2:$T$188,19,FALSE),"-")</f>
        <v>0</v>
      </c>
      <c r="T120" s="95" t="str">
        <f>IF(AND(D120="Y",booking!P120&lt;&gt;booking!Q120,booking!Q120&gt;0),booking!Q120,"-")</f>
        <v>-</v>
      </c>
      <c r="U120" s="76" t="str">
        <f>IFERROR(VLOOKUP(T120,Database!$A$2:$M$188,8,FALSE),"-")</f>
        <v>-</v>
      </c>
      <c r="V120" s="76" t="str">
        <f>IFERROR(VLOOKUP(T120,Database!$A$2:$M$188,6,FALSE),"-")</f>
        <v>-</v>
      </c>
      <c r="W120" s="80" t="str">
        <f>IFERROR(VLOOKUP(T120,Database!$A$2:$M$188,9,FALSE),"-")</f>
        <v>-</v>
      </c>
      <c r="X120" s="203" t="str">
        <f>IFERROR(VLOOKUP(T120,Database!$A$2:$T$188,19,FALSE),"-")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IFERROR(VLOOKUP(Y120,Database!$A$2:$M$188,8,FALSE),"-")</f>
        <v>-</v>
      </c>
      <c r="AA120" s="77" t="str">
        <f>IFERROR(VLOOKUP(Y120,Database!$A$2:$M$188,6,FALSE),"-")</f>
        <v>-</v>
      </c>
      <c r="AB120" s="90" t="str">
        <f>IFERROR(VLOOKUP(Y120,Database!$A$2:$M$188,9,FALSE),"-")</f>
        <v>-</v>
      </c>
      <c r="AC120" s="8" t="str">
        <f>IFERROR(VLOOKUP(Y120,Database!$A$2:$T$188,19,FALSE),"-")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IFERROR(VLOOKUP(E121,Database!$A$2:$M$188,8,FALSE),"-")</f>
        <v>-</v>
      </c>
      <c r="G121" s="76" t="str">
        <f>IFERROR(VLOOKUP(E121,Database!$A$2:$M$188,6,FALSE),"-")</f>
        <v>-</v>
      </c>
      <c r="H121" s="91" t="str">
        <f>IFERROR(VLOOKUP(E121,Database!$A$2:$M$188,9,FALSE),"-")</f>
        <v>-</v>
      </c>
      <c r="I121" s="109" t="str">
        <f>IFERROR(VLOOKUP(E121,Database!$A$2:$T$188,19,FALSE),"-")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IFERROR(VLOOKUP(J121,Database!$A$2:$M$188,8,FALSE),"-")</f>
        <v>-</v>
      </c>
      <c r="L121" s="76" t="str">
        <f>IFERROR(VLOOKUP(J121,Database!$A$2:$M$188,6,FALSE),"-")</f>
        <v>-</v>
      </c>
      <c r="M121" s="91" t="str">
        <f>IFERROR(VLOOKUP(J121,Database!$A$2:$M$188,9,FALSE),"-")</f>
        <v>-</v>
      </c>
      <c r="N121" s="203" t="str">
        <f>IFERROR(VLOOKUP(J121,Database!$A$2:$T$188,19,FALSE),"-")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IFERROR(VLOOKUP(O121,Database!$A$2:$M$188,8,FALSE),"-")</f>
        <v>-</v>
      </c>
      <c r="Q121" s="76" t="str">
        <f>IFERROR(VLOOKUP(O121,Database!$A$2:$M$188,6,FALSE),"-")</f>
        <v>-</v>
      </c>
      <c r="R121" s="80" t="str">
        <f>IFERROR(VLOOKUP(O121,Database!$A$2:$M$188,9,FALSE),"-")</f>
        <v>-</v>
      </c>
      <c r="S121" s="203" t="str">
        <f>IFERROR(VLOOKUP(O121,Database!$A$2:$T$188,19,FALSE),"-")</f>
        <v>-</v>
      </c>
      <c r="T121" s="95">
        <f>IF(AND(D121="Y",booking!P121&lt;&gt;booking!Q121,booking!Q121&gt;0),booking!Q121,"-")</f>
        <v>60</v>
      </c>
      <c r="U121" s="76" t="str">
        <f>IFERROR(VLOOKUP(T121,Database!$A$2:$M$188,8,FALSE),"-")</f>
        <v>bc</v>
      </c>
      <c r="V121" s="76">
        <f>IFERROR(VLOOKUP(T121,Database!$A$2:$M$188,6,FALSE),"-")</f>
        <v>46047</v>
      </c>
      <c r="W121" s="80">
        <f>IFERROR(VLOOKUP(T121,Database!$A$2:$M$188,9,FALSE),"-")</f>
        <v>0</v>
      </c>
      <c r="X121" s="203">
        <f>IFERROR(VLOOKUP(T121,Database!$A$2:$T$188,19,FALSE),"-")</f>
        <v>3800</v>
      </c>
      <c r="Y121" s="94" t="str">
        <f>IF(AND(D121="Y",booking!T121&lt;&gt;booking!U121,booking!U121&gt;0),booking!U121,"-")</f>
        <v>-</v>
      </c>
      <c r="Z121" s="77" t="str">
        <f>IFERROR(VLOOKUP(Y121,Database!$A$2:$M$188,8,FALSE),"-")</f>
        <v>-</v>
      </c>
      <c r="AA121" s="77" t="str">
        <f>IFERROR(VLOOKUP(Y121,Database!$A$2:$M$188,6,FALSE),"-")</f>
        <v>-</v>
      </c>
      <c r="AB121" s="90" t="str">
        <f>IFERROR(VLOOKUP(Y121,Database!$A$2:$M$188,9,FALSE),"-")</f>
        <v>-</v>
      </c>
      <c r="AC121" s="8" t="str">
        <f>IFERROR(VLOOKUP(Y121,Database!$A$2:$T$188,19,FALSE),"-")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IFERROR(VLOOKUP(E122,Database!$A$2:$M$188,8,FALSE),"-")</f>
        <v>-</v>
      </c>
      <c r="G122" s="76" t="str">
        <f>IFERROR(VLOOKUP(E122,Database!$A$2:$M$188,6,FALSE),"-")</f>
        <v>-</v>
      </c>
      <c r="H122" s="91" t="str">
        <f>IFERROR(VLOOKUP(E122,Database!$A$2:$M$188,9,FALSE),"-")</f>
        <v>-</v>
      </c>
      <c r="I122" s="109" t="str">
        <f>IFERROR(VLOOKUP(E122,Database!$A$2:$T$188,19,FALSE),"-")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IFERROR(VLOOKUP(J122,Database!$A$2:$M$188,8,FALSE),"-")</f>
        <v>-</v>
      </c>
      <c r="L122" s="76" t="str">
        <f>IFERROR(VLOOKUP(J122,Database!$A$2:$M$188,6,FALSE),"-")</f>
        <v>-</v>
      </c>
      <c r="M122" s="91" t="str">
        <f>IFERROR(VLOOKUP(J122,Database!$A$2:$M$188,9,FALSE),"-")</f>
        <v>-</v>
      </c>
      <c r="N122" s="203" t="str">
        <f>IFERROR(VLOOKUP(J122,Database!$A$2:$T$188,19,FALSE),"-")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IFERROR(VLOOKUP(O122,Database!$A$2:$M$188,8,FALSE),"-")</f>
        <v>-</v>
      </c>
      <c r="Q122" s="76" t="str">
        <f>IFERROR(VLOOKUP(O122,Database!$A$2:$M$188,6,FALSE),"-")</f>
        <v>-</v>
      </c>
      <c r="R122" s="80" t="str">
        <f>IFERROR(VLOOKUP(O122,Database!$A$2:$M$188,9,FALSE),"-")</f>
        <v>-</v>
      </c>
      <c r="S122" s="203" t="str">
        <f>IFERROR(VLOOKUP(O122,Database!$A$2:$T$188,19,FALSE),"-")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IFERROR(VLOOKUP(T122,Database!$A$2:$M$188,8,FALSE),"-")</f>
        <v>-</v>
      </c>
      <c r="V122" s="76" t="str">
        <f>IFERROR(VLOOKUP(T122,Database!$A$2:$M$188,6,FALSE),"-")</f>
        <v>-</v>
      </c>
      <c r="W122" s="80" t="str">
        <f>IFERROR(VLOOKUP(T122,Database!$A$2:$M$188,9,FALSE),"-")</f>
        <v>-</v>
      </c>
      <c r="X122" s="203" t="str">
        <f>IFERROR(VLOOKUP(T122,Database!$A$2:$T$188,19,FALSE),"-")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IFERROR(VLOOKUP(Y122,Database!$A$2:$M$188,8,FALSE),"-")</f>
        <v>-</v>
      </c>
      <c r="AA122" s="77" t="str">
        <f>IFERROR(VLOOKUP(Y122,Database!$A$2:$M$188,6,FALSE),"-")</f>
        <v>-</v>
      </c>
      <c r="AB122" s="90" t="str">
        <f>IFERROR(VLOOKUP(Y122,Database!$A$2:$M$188,9,FALSE),"-")</f>
        <v>-</v>
      </c>
      <c r="AC122" s="8" t="str">
        <f>IFERROR(VLOOKUP(Y122,Database!$A$2:$T$188,19,FALSE),"-")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IFERROR(VLOOKUP(E123,Database!$A$2:$M$188,8,FALSE),"-")</f>
        <v>bc</v>
      </c>
      <c r="G123" s="76">
        <f>IFERROR(VLOOKUP(E123,Database!$A$2:$M$188,6,FALSE),"-")</f>
        <v>46055</v>
      </c>
      <c r="H123" s="91" t="str">
        <f>IFERROR(VLOOKUP(E123,Database!$A$2:$M$188,9,FALSE),"-")</f>
        <v>1430</v>
      </c>
      <c r="I123" s="109">
        <f>IFERROR(VLOOKUP(E123,Database!$A$2:$T$188,19,FALSE),"-")</f>
        <v>5750</v>
      </c>
      <c r="J123" s="94">
        <f>IF(AND(D123="Y",booking!H123&lt;&gt;booking!I123,booking!I123&gt;0),booking!I123,"-")</f>
        <v>105</v>
      </c>
      <c r="K123" s="76" t="str">
        <f>IFERROR(VLOOKUP(J123,Database!$A$2:$M$188,8,FALSE),"-")</f>
        <v>bc</v>
      </c>
      <c r="L123" s="76">
        <f>IFERROR(VLOOKUP(J123,Database!$A$2:$M$188,6,FALSE),"-")</f>
        <v>46108</v>
      </c>
      <c r="M123" s="91">
        <f>IFERROR(VLOOKUP(J123,Database!$A$2:$M$188,9,FALSE),"-")</f>
        <v>0</v>
      </c>
      <c r="N123" s="203">
        <f>IFERROR(VLOOKUP(J123,Database!$A$2:$T$188,19,FALSE),"-")</f>
        <v>3400</v>
      </c>
      <c r="O123" s="94">
        <f>IF(AND(D123="Y",booking!L123&lt;&gt;booking!M123,booking!M123&gt;0),booking!M123,"-")</f>
        <v>78</v>
      </c>
      <c r="P123" s="76" t="str">
        <f>IFERROR(VLOOKUP(O123,Database!$A$2:$M$188,8,FALSE),"-")</f>
        <v>bc</v>
      </c>
      <c r="Q123" s="76">
        <f>IFERROR(VLOOKUP(O123,Database!$A$2:$M$188,6,FALSE),"-")</f>
        <v>46072</v>
      </c>
      <c r="R123" s="80">
        <f>IFERROR(VLOOKUP(O123,Database!$A$2:$M$188,9,FALSE),"-")</f>
        <v>0</v>
      </c>
      <c r="S123" s="203">
        <f>IFERROR(VLOOKUP(O123,Database!$A$2:$T$188,19,FALSE),"-")</f>
        <v>9200</v>
      </c>
      <c r="T123" s="95" t="str">
        <f>IF(AND(D123="Y",booking!P123&lt;&gt;booking!Q123,booking!Q123&gt;0),booking!Q123,"-")</f>
        <v>-</v>
      </c>
      <c r="U123" s="76" t="str">
        <f>IFERROR(VLOOKUP(T123,Database!$A$2:$M$188,8,FALSE),"-")</f>
        <v>-</v>
      </c>
      <c r="V123" s="76" t="str">
        <f>IFERROR(VLOOKUP(T123,Database!$A$2:$M$188,6,FALSE),"-")</f>
        <v>-</v>
      </c>
      <c r="W123" s="80" t="str">
        <f>IFERROR(VLOOKUP(T123,Database!$A$2:$M$188,9,FALSE),"-")</f>
        <v>-</v>
      </c>
      <c r="X123" s="203" t="str">
        <f>IFERROR(VLOOKUP(T123,Database!$A$2:$T$188,19,FALSE),"-")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IFERROR(VLOOKUP(Y123,Database!$A$2:$M$188,8,FALSE),"-")</f>
        <v>-</v>
      </c>
      <c r="AA123" s="77" t="str">
        <f>IFERROR(VLOOKUP(Y123,Database!$A$2:$M$188,6,FALSE),"-")</f>
        <v>-</v>
      </c>
      <c r="AB123" s="90" t="str">
        <f>IFERROR(VLOOKUP(Y123,Database!$A$2:$M$188,9,FALSE),"-")</f>
        <v>-</v>
      </c>
      <c r="AC123" s="8" t="str">
        <f>IFERROR(VLOOKUP(Y123,Database!$A$2:$T$188,19,FALSE),"-")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IFERROR(VLOOKUP(E124,Database!$A$2:$M$188,8,FALSE),"-")</f>
        <v>-</v>
      </c>
      <c r="G124" s="76" t="str">
        <f>IFERROR(VLOOKUP(E124,Database!$A$2:$M$188,6,FALSE),"-")</f>
        <v>-</v>
      </c>
      <c r="H124" s="91" t="str">
        <f>IFERROR(VLOOKUP(E124,Database!$A$2:$M$188,9,FALSE),"-")</f>
        <v>-</v>
      </c>
      <c r="I124" s="109" t="str">
        <f>IFERROR(VLOOKUP(E124,Database!$A$2:$T$188,19,FALSE),"-")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IFERROR(VLOOKUP(J124,Database!$A$2:$M$188,8,FALSE),"-")</f>
        <v>-</v>
      </c>
      <c r="L124" s="76" t="str">
        <f>IFERROR(VLOOKUP(J124,Database!$A$2:$M$188,6,FALSE),"-")</f>
        <v>-</v>
      </c>
      <c r="M124" s="91" t="str">
        <f>IFERROR(VLOOKUP(J124,Database!$A$2:$M$188,9,FALSE),"-")</f>
        <v>-</v>
      </c>
      <c r="N124" s="203" t="str">
        <f>IFERROR(VLOOKUP(J124,Database!$A$2:$T$188,19,FALSE),"-")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IFERROR(VLOOKUP(O124,Database!$A$2:$M$188,8,FALSE),"-")</f>
        <v>-</v>
      </c>
      <c r="Q124" s="76" t="str">
        <f>IFERROR(VLOOKUP(O124,Database!$A$2:$M$188,6,FALSE),"-")</f>
        <v>-</v>
      </c>
      <c r="R124" s="80" t="str">
        <f>IFERROR(VLOOKUP(O124,Database!$A$2:$M$188,9,FALSE),"-")</f>
        <v>-</v>
      </c>
      <c r="S124" s="203" t="str">
        <f>IFERROR(VLOOKUP(O124,Database!$A$2:$T$188,19,FALSE),"-")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IFERROR(VLOOKUP(T124,Database!$A$2:$M$188,8,FALSE),"-")</f>
        <v>-</v>
      </c>
      <c r="V124" s="76" t="str">
        <f>IFERROR(VLOOKUP(T124,Database!$A$2:$M$188,6,FALSE),"-")</f>
        <v>-</v>
      </c>
      <c r="W124" s="80" t="str">
        <f>IFERROR(VLOOKUP(T124,Database!$A$2:$M$188,9,FALSE),"-")</f>
        <v>-</v>
      </c>
      <c r="X124" s="203" t="str">
        <f>IFERROR(VLOOKUP(T124,Database!$A$2:$T$188,19,FALSE),"-")</f>
        <v>-</v>
      </c>
      <c r="Y124" s="94">
        <f>IF(AND(D124="Y",booking!T124&lt;&gt;booking!U124,booking!U124&gt;0),booking!U124,"-")</f>
        <v>35</v>
      </c>
      <c r="Z124" s="77" t="str">
        <f>IFERROR(VLOOKUP(Y124,Database!$A$2:$M$188,8,FALSE),"-")</f>
        <v>web</v>
      </c>
      <c r="AA124" s="77">
        <f>IFERROR(VLOOKUP(Y124,Database!$A$2:$M$188,6,FALSE),"-")</f>
        <v>46030</v>
      </c>
      <c r="AB124" s="90">
        <f>IFERROR(VLOOKUP(Y124,Database!$A$2:$M$188,9,FALSE),"-")</f>
        <v>0</v>
      </c>
      <c r="AC124" s="8">
        <f>IFERROR(VLOOKUP(Y124,Database!$A$2:$T$188,19,FALSE),"-")</f>
        <v>4140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IFERROR(VLOOKUP(E125,Database!$A$2:$M$188,8,FALSE),"-")</f>
        <v>-</v>
      </c>
      <c r="G125" s="76" t="str">
        <f>IFERROR(VLOOKUP(E125,Database!$A$2:$M$188,6,FALSE),"-")</f>
        <v>-</v>
      </c>
      <c r="H125" s="91" t="str">
        <f>IFERROR(VLOOKUP(E125,Database!$A$2:$M$188,9,FALSE),"-")</f>
        <v>-</v>
      </c>
      <c r="I125" s="109" t="str">
        <f>IFERROR(VLOOKUP(E125,Database!$A$2:$T$188,19,FALSE),"-")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IFERROR(VLOOKUP(J125,Database!$A$2:$M$188,8,FALSE),"-")</f>
        <v>-</v>
      </c>
      <c r="L125" s="76" t="str">
        <f>IFERROR(VLOOKUP(J125,Database!$A$2:$M$188,6,FALSE),"-")</f>
        <v>-</v>
      </c>
      <c r="M125" s="91" t="str">
        <f>IFERROR(VLOOKUP(J125,Database!$A$2:$M$188,9,FALSE),"-")</f>
        <v>-</v>
      </c>
      <c r="N125" s="203" t="str">
        <f>IFERROR(VLOOKUP(J125,Database!$A$2:$T$188,19,FALSE),"-")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IFERROR(VLOOKUP(O125,Database!$A$2:$M$188,8,FALSE),"-")</f>
        <v>-</v>
      </c>
      <c r="Q125" s="76" t="str">
        <f>IFERROR(VLOOKUP(O125,Database!$A$2:$M$188,6,FALSE),"-")</f>
        <v>-</v>
      </c>
      <c r="R125" s="80" t="str">
        <f>IFERROR(VLOOKUP(O125,Database!$A$2:$M$188,9,FALSE),"-")</f>
        <v>-</v>
      </c>
      <c r="S125" s="203" t="str">
        <f>IFERROR(VLOOKUP(O125,Database!$A$2:$T$188,19,FALSE),"-")</f>
        <v>-</v>
      </c>
      <c r="T125" s="95">
        <f>IF(AND(D125="Y",booking!P125&lt;&gt;booking!Q125,booking!Q125&gt;0),booking!Q125,"-")</f>
        <v>123</v>
      </c>
      <c r="U125" s="76" t="str">
        <f>IFERROR(VLOOKUP(T125,Database!$A$2:$M$188,8,FALSE),"-")</f>
        <v>web</v>
      </c>
      <c r="V125" s="76">
        <f>IFERROR(VLOOKUP(T125,Database!$A$2:$M$188,6,FALSE),"-")</f>
        <v>46145</v>
      </c>
      <c r="W125" s="80">
        <f>IFERROR(VLOOKUP(T125,Database!$A$2:$M$188,9,FALSE),"-")</f>
        <v>0</v>
      </c>
      <c r="X125" s="203">
        <f>IFERROR(VLOOKUP(T125,Database!$A$2:$T$188,19,FALSE),"-")</f>
        <v>7245</v>
      </c>
      <c r="Y125" s="94" t="str">
        <f>IF(AND(D125="Y",booking!T125&lt;&gt;booking!U125,booking!U125&gt;0),booking!U125,"-")</f>
        <v>-</v>
      </c>
      <c r="Z125" s="77" t="str">
        <f>IFERROR(VLOOKUP(Y125,Database!$A$2:$M$188,8,FALSE),"-")</f>
        <v>-</v>
      </c>
      <c r="AA125" s="77" t="str">
        <f>IFERROR(VLOOKUP(Y125,Database!$A$2:$M$188,6,FALSE),"-")</f>
        <v>-</v>
      </c>
      <c r="AB125" s="90" t="str">
        <f>IFERROR(VLOOKUP(Y125,Database!$A$2:$M$188,9,FALSE),"-")</f>
        <v>-</v>
      </c>
      <c r="AC125" s="8" t="str">
        <f>IFERROR(VLOOKUP(Y125,Database!$A$2:$T$188,19,FALSE),"-")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IFERROR(VLOOKUP(E126,Database!$A$2:$M$188,8,FALSE),"-")</f>
        <v>-</v>
      </c>
      <c r="G126" s="76" t="str">
        <f>IFERROR(VLOOKUP(E126,Database!$A$2:$M$188,6,FALSE),"-")</f>
        <v>-</v>
      </c>
      <c r="H126" s="91" t="str">
        <f>IFERROR(VLOOKUP(E126,Database!$A$2:$M$188,9,FALSE),"-")</f>
        <v>-</v>
      </c>
      <c r="I126" s="109" t="str">
        <f>IFERROR(VLOOKUP(E126,Database!$A$2:$T$188,19,FALSE),"-")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IFERROR(VLOOKUP(J126,Database!$A$2:$M$188,8,FALSE),"-")</f>
        <v>-</v>
      </c>
      <c r="L126" s="76" t="str">
        <f>IFERROR(VLOOKUP(J126,Database!$A$2:$M$188,6,FALSE),"-")</f>
        <v>-</v>
      </c>
      <c r="M126" s="91" t="str">
        <f>IFERROR(VLOOKUP(J126,Database!$A$2:$M$188,9,FALSE),"-")</f>
        <v>-</v>
      </c>
      <c r="N126" s="203" t="str">
        <f>IFERROR(VLOOKUP(J126,Database!$A$2:$T$188,19,FALSE),"-")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IFERROR(VLOOKUP(O126,Database!$A$2:$M$188,8,FALSE),"-")</f>
        <v>-</v>
      </c>
      <c r="Q126" s="76" t="str">
        <f>IFERROR(VLOOKUP(O126,Database!$A$2:$M$188,6,FALSE),"-")</f>
        <v>-</v>
      </c>
      <c r="R126" s="80" t="str">
        <f>IFERROR(VLOOKUP(O126,Database!$A$2:$M$188,9,FALSE),"-")</f>
        <v>-</v>
      </c>
      <c r="S126" s="203" t="str">
        <f>IFERROR(VLOOKUP(O126,Database!$A$2:$T$188,19,FALSE),"-")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IFERROR(VLOOKUP(T126,Database!$A$2:$M$188,8,FALSE),"-")</f>
        <v>-</v>
      </c>
      <c r="V126" s="76" t="str">
        <f>IFERROR(VLOOKUP(T126,Database!$A$2:$M$188,6,FALSE),"-")</f>
        <v>-</v>
      </c>
      <c r="W126" s="80" t="str">
        <f>IFERROR(VLOOKUP(T126,Database!$A$2:$M$188,9,FALSE),"-")</f>
        <v>-</v>
      </c>
      <c r="X126" s="203" t="str">
        <f>IFERROR(VLOOKUP(T126,Database!$A$2:$T$188,19,FALSE),"-")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IFERROR(VLOOKUP(Y126,Database!$A$2:$M$188,8,FALSE),"-")</f>
        <v>-</v>
      </c>
      <c r="AA126" s="77" t="str">
        <f>IFERROR(VLOOKUP(Y126,Database!$A$2:$M$188,6,FALSE),"-")</f>
        <v>-</v>
      </c>
      <c r="AB126" s="90" t="str">
        <f>IFERROR(VLOOKUP(Y126,Database!$A$2:$M$188,9,FALSE),"-")</f>
        <v>-</v>
      </c>
      <c r="AC126" s="8" t="str">
        <f>IFERROR(VLOOKUP(Y126,Database!$A$2:$T$188,19,FALSE),"-")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IFERROR(VLOOKUP(E127,Database!$A$2:$M$188,8,FALSE),"-")</f>
        <v>-</v>
      </c>
      <c r="G127" s="76" t="str">
        <f>IFERROR(VLOOKUP(E127,Database!$A$2:$M$188,6,FALSE),"-")</f>
        <v>-</v>
      </c>
      <c r="H127" s="91" t="str">
        <f>IFERROR(VLOOKUP(E127,Database!$A$2:$M$188,9,FALSE),"-")</f>
        <v>-</v>
      </c>
      <c r="I127" s="109" t="str">
        <f>IFERROR(VLOOKUP(E127,Database!$A$2:$T$188,19,FALSE),"-")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IFERROR(VLOOKUP(J127,Database!$A$2:$M$188,8,FALSE),"-")</f>
        <v>bc</v>
      </c>
      <c r="L127" s="76">
        <f>IFERROR(VLOOKUP(J127,Database!$A$2:$M$188,6,FALSE),"-")</f>
        <v>46182</v>
      </c>
      <c r="M127" s="91">
        <f>IFERROR(VLOOKUP(J127,Database!$A$2:$M$188,9,FALSE),"-")</f>
        <v>0</v>
      </c>
      <c r="N127" s="203">
        <f>IFERROR(VLOOKUP(J127,Database!$A$2:$T$188,19,FALSE),"-")</f>
        <v>4750</v>
      </c>
      <c r="O127" s="94" t="str">
        <f>IF(AND(D127="Y",booking!L127&lt;&gt;booking!M127,booking!M127&gt;0),booking!M127,"-")</f>
        <v>-</v>
      </c>
      <c r="P127" s="76" t="str">
        <f>IFERROR(VLOOKUP(O127,Database!$A$2:$M$188,8,FALSE),"-")</f>
        <v>-</v>
      </c>
      <c r="Q127" s="76" t="str">
        <f>IFERROR(VLOOKUP(O127,Database!$A$2:$M$188,6,FALSE),"-")</f>
        <v>-</v>
      </c>
      <c r="R127" s="80" t="str">
        <f>IFERROR(VLOOKUP(O127,Database!$A$2:$M$188,9,FALSE),"-")</f>
        <v>-</v>
      </c>
      <c r="S127" s="203" t="str">
        <f>IFERROR(VLOOKUP(O127,Database!$A$2:$T$188,19,FALSE),"-")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IFERROR(VLOOKUP(T127,Database!$A$2:$M$188,8,FALSE),"-")</f>
        <v>-</v>
      </c>
      <c r="V127" s="76" t="str">
        <f>IFERROR(VLOOKUP(T127,Database!$A$2:$M$188,6,FALSE),"-")</f>
        <v>-</v>
      </c>
      <c r="W127" s="80" t="str">
        <f>IFERROR(VLOOKUP(T127,Database!$A$2:$M$188,9,FALSE),"-")</f>
        <v>-</v>
      </c>
      <c r="X127" s="203" t="str">
        <f>IFERROR(VLOOKUP(T127,Database!$A$2:$T$188,19,FALSE),"-")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IFERROR(VLOOKUP(Y127,Database!$A$2:$M$188,8,FALSE),"-")</f>
        <v>-</v>
      </c>
      <c r="AA127" s="77" t="str">
        <f>IFERROR(VLOOKUP(Y127,Database!$A$2:$M$188,6,FALSE),"-")</f>
        <v>-</v>
      </c>
      <c r="AB127" s="90" t="str">
        <f>IFERROR(VLOOKUP(Y127,Database!$A$2:$M$188,9,FALSE),"-")</f>
        <v>-</v>
      </c>
      <c r="AC127" s="8" t="str">
        <f>IFERROR(VLOOKUP(Y127,Database!$A$2:$T$188,19,FALSE),"-")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IFERROR(VLOOKUP(E128,Database!$A$2:$M$188,8,FALSE),"-")</f>
        <v>-</v>
      </c>
      <c r="G128" s="76" t="str">
        <f>IFERROR(VLOOKUP(E128,Database!$A$2:$M$188,6,FALSE),"-")</f>
        <v>-</v>
      </c>
      <c r="H128" s="91" t="str">
        <f>IFERROR(VLOOKUP(E128,Database!$A$2:$M$188,9,FALSE),"-")</f>
        <v>-</v>
      </c>
      <c r="I128" s="109" t="str">
        <f>IFERROR(VLOOKUP(E128,Database!$A$2:$T$188,19,FALSE),"-")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IFERROR(VLOOKUP(J128,Database!$A$2:$M$188,8,FALSE),"-")</f>
        <v>-</v>
      </c>
      <c r="L128" s="76" t="str">
        <f>IFERROR(VLOOKUP(J128,Database!$A$2:$M$188,6,FALSE),"-")</f>
        <v>-</v>
      </c>
      <c r="M128" s="91" t="str">
        <f>IFERROR(VLOOKUP(J128,Database!$A$2:$M$188,9,FALSE),"-")</f>
        <v>-</v>
      </c>
      <c r="N128" s="203" t="str">
        <f>IFERROR(VLOOKUP(J128,Database!$A$2:$T$188,19,FALSE),"-")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IFERROR(VLOOKUP(O128,Database!$A$2:$M$188,8,FALSE),"-")</f>
        <v>-</v>
      </c>
      <c r="Q128" s="76" t="str">
        <f>IFERROR(VLOOKUP(O128,Database!$A$2:$M$188,6,FALSE),"-")</f>
        <v>-</v>
      </c>
      <c r="R128" s="80" t="str">
        <f>IFERROR(VLOOKUP(O128,Database!$A$2:$M$188,9,FALSE),"-")</f>
        <v>-</v>
      </c>
      <c r="S128" s="203" t="str">
        <f>IFERROR(VLOOKUP(O128,Database!$A$2:$T$188,19,FALSE),"-")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IFERROR(VLOOKUP(T128,Database!$A$2:$M$188,8,FALSE),"-")</f>
        <v>-</v>
      </c>
      <c r="V128" s="76" t="str">
        <f>IFERROR(VLOOKUP(T128,Database!$A$2:$M$188,6,FALSE),"-")</f>
        <v>-</v>
      </c>
      <c r="W128" s="80" t="str">
        <f>IFERROR(VLOOKUP(T128,Database!$A$2:$M$188,9,FALSE),"-")</f>
        <v>-</v>
      </c>
      <c r="X128" s="203" t="str">
        <f>IFERROR(VLOOKUP(T128,Database!$A$2:$T$188,19,FALSE),"-")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IFERROR(VLOOKUP(Y128,Database!$A$2:$M$188,8,FALSE),"-")</f>
        <v>-</v>
      </c>
      <c r="AA128" s="77" t="str">
        <f>IFERROR(VLOOKUP(Y128,Database!$A$2:$M$188,6,FALSE),"-")</f>
        <v>-</v>
      </c>
      <c r="AB128" s="90" t="str">
        <f>IFERROR(VLOOKUP(Y128,Database!$A$2:$M$188,9,FALSE),"-")</f>
        <v>-</v>
      </c>
      <c r="AC128" s="8" t="str">
        <f>IFERROR(VLOOKUP(Y128,Database!$A$2:$T$188,19,FALSE),"-")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IFERROR(VLOOKUP(E129,Database!$A$2:$M$188,8,FALSE),"-")</f>
        <v>web</v>
      </c>
      <c r="G129" s="76">
        <f>IFERROR(VLOOKUP(E129,Database!$A$2:$M$188,6,FALSE),"-")</f>
        <v>46154</v>
      </c>
      <c r="H129" s="91" t="str">
        <f>IFERROR(VLOOKUP(E129,Database!$A$2:$M$188,9,FALSE),"-")</f>
        <v>1430</v>
      </c>
      <c r="I129" s="109">
        <f>IFERROR(VLOOKUP(E129,Database!$A$2:$T$188,19,FALSE),"-")</f>
        <v>7560</v>
      </c>
      <c r="J129" s="94" t="str">
        <f>IF(AND(D129="Y",booking!H129&lt;&gt;booking!I129,booking!I129&gt;0),booking!I129,"-")</f>
        <v>-</v>
      </c>
      <c r="K129" s="76" t="str">
        <f>IFERROR(VLOOKUP(J129,Database!$A$2:$M$188,8,FALSE),"-")</f>
        <v>-</v>
      </c>
      <c r="L129" s="76" t="str">
        <f>IFERROR(VLOOKUP(J129,Database!$A$2:$M$188,6,FALSE),"-")</f>
        <v>-</v>
      </c>
      <c r="M129" s="91" t="str">
        <f>IFERROR(VLOOKUP(J129,Database!$A$2:$M$188,9,FALSE),"-")</f>
        <v>-</v>
      </c>
      <c r="N129" s="203" t="str">
        <f>IFERROR(VLOOKUP(J129,Database!$A$2:$T$188,19,FALSE),"-")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IFERROR(VLOOKUP(O129,Database!$A$2:$M$188,8,FALSE),"-")</f>
        <v>-</v>
      </c>
      <c r="Q129" s="76" t="str">
        <f>IFERROR(VLOOKUP(O129,Database!$A$2:$M$188,6,FALSE),"-")</f>
        <v>-</v>
      </c>
      <c r="R129" s="80" t="str">
        <f>IFERROR(VLOOKUP(O129,Database!$A$2:$M$188,9,FALSE),"-")</f>
        <v>-</v>
      </c>
      <c r="S129" s="203" t="str">
        <f>IFERROR(VLOOKUP(O129,Database!$A$2:$T$188,19,FALSE),"-")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IFERROR(VLOOKUP(T129,Database!$A$2:$M$188,8,FALSE),"-")</f>
        <v>-</v>
      </c>
      <c r="V129" s="76" t="str">
        <f>IFERROR(VLOOKUP(T129,Database!$A$2:$M$188,6,FALSE),"-")</f>
        <v>-</v>
      </c>
      <c r="W129" s="80" t="str">
        <f>IFERROR(VLOOKUP(T129,Database!$A$2:$M$188,9,FALSE),"-")</f>
        <v>-</v>
      </c>
      <c r="X129" s="203" t="str">
        <f>IFERROR(VLOOKUP(T129,Database!$A$2:$T$188,19,FALSE),"-")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IFERROR(VLOOKUP(Y129,Database!$A$2:$M$188,8,FALSE),"-")</f>
        <v>web</v>
      </c>
      <c r="AA129" s="77">
        <f>IFERROR(VLOOKUP(Y129,Database!$A$2:$M$188,6,FALSE),"-")</f>
        <v>46154</v>
      </c>
      <c r="AB129" s="90" t="str">
        <f>IFERROR(VLOOKUP(Y129,Database!$A$2:$M$188,9,FALSE),"-")</f>
        <v>1430</v>
      </c>
      <c r="AC129" s="8">
        <f>IFERROR(VLOOKUP(Y129,Database!$A$2:$T$188,19,FALSE),"-")</f>
        <v>7560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IFERROR(VLOOKUP(E130,Database!$A$2:$M$188,8,FALSE),"-")</f>
        <v>-</v>
      </c>
      <c r="G130" s="76" t="str">
        <f>IFERROR(VLOOKUP(E130,Database!$A$2:$M$188,6,FALSE),"-")</f>
        <v>-</v>
      </c>
      <c r="H130" s="91" t="str">
        <f>IFERROR(VLOOKUP(E130,Database!$A$2:$M$188,9,FALSE),"-")</f>
        <v>-</v>
      </c>
      <c r="I130" s="109" t="str">
        <f>IFERROR(VLOOKUP(E130,Database!$A$2:$T$188,19,FALSE),"-")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IFERROR(VLOOKUP(J130,Database!$A$2:$M$188,8,FALSE),"-")</f>
        <v>-</v>
      </c>
      <c r="L130" s="76" t="str">
        <f>IFERROR(VLOOKUP(J130,Database!$A$2:$M$188,6,FALSE),"-")</f>
        <v>-</v>
      </c>
      <c r="M130" s="91" t="str">
        <f>IFERROR(VLOOKUP(J130,Database!$A$2:$M$188,9,FALSE),"-")</f>
        <v>-</v>
      </c>
      <c r="N130" s="203" t="str">
        <f>IFERROR(VLOOKUP(J130,Database!$A$2:$T$188,19,FALSE),"-")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IFERROR(VLOOKUP(O130,Database!$A$2:$M$188,8,FALSE),"-")</f>
        <v>-</v>
      </c>
      <c r="Q130" s="76" t="str">
        <f>IFERROR(VLOOKUP(O130,Database!$A$2:$M$188,6,FALSE),"-")</f>
        <v>-</v>
      </c>
      <c r="R130" s="80" t="str">
        <f>IFERROR(VLOOKUP(O130,Database!$A$2:$M$188,9,FALSE),"-")</f>
        <v>-</v>
      </c>
      <c r="S130" s="203" t="str">
        <f>IFERROR(VLOOKUP(O130,Database!$A$2:$T$188,19,FALSE),"-")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IFERROR(VLOOKUP(T130,Database!$A$2:$M$188,8,FALSE),"-")</f>
        <v>-</v>
      </c>
      <c r="V130" s="76" t="str">
        <f>IFERROR(VLOOKUP(T130,Database!$A$2:$M$188,6,FALSE),"-")</f>
        <v>-</v>
      </c>
      <c r="W130" s="80" t="str">
        <f>IFERROR(VLOOKUP(T130,Database!$A$2:$M$188,9,FALSE),"-")</f>
        <v>-</v>
      </c>
      <c r="X130" s="203" t="str">
        <f>IFERROR(VLOOKUP(T130,Database!$A$2:$T$188,19,FALSE),"-")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IFERROR(VLOOKUP(Y130,Database!$A$2:$M$188,8,FALSE),"-")</f>
        <v>-</v>
      </c>
      <c r="AA130" s="77" t="str">
        <f>IFERROR(VLOOKUP(Y130,Database!$A$2:$M$188,6,FALSE),"-")</f>
        <v>-</v>
      </c>
      <c r="AB130" s="90" t="str">
        <f>IFERROR(VLOOKUP(Y130,Database!$A$2:$M$188,9,FALSE),"-")</f>
        <v>-</v>
      </c>
      <c r="AC130" s="8" t="str">
        <f>IFERROR(VLOOKUP(Y130,Database!$A$2:$T$188,19,FALSE),"-")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-</v>
      </c>
      <c r="E131" s="93" t="str">
        <f>IF(AND(D131="Y",booking!D131&lt;&gt;booking!E131,booking!E131&gt;0),booking!E131,"-")</f>
        <v>-</v>
      </c>
      <c r="F131" s="8" t="str">
        <f>IFERROR(VLOOKUP(E131,Database!$A$2:$M$188,8,FALSE),"-")</f>
        <v>-</v>
      </c>
      <c r="G131" s="76" t="str">
        <f>IFERROR(VLOOKUP(E131,Database!$A$2:$M$188,6,FALSE),"-")</f>
        <v>-</v>
      </c>
      <c r="H131" s="91" t="str">
        <f>IFERROR(VLOOKUP(E131,Database!$A$2:$M$188,9,FALSE),"-")</f>
        <v>-</v>
      </c>
      <c r="I131" s="109" t="str">
        <f>IFERROR(VLOOKUP(E131,Database!$A$2:$T$188,19,FALSE),"-")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IFERROR(VLOOKUP(J131,Database!$A$2:$M$188,8,FALSE),"-")</f>
        <v>-</v>
      </c>
      <c r="L131" s="76" t="str">
        <f>IFERROR(VLOOKUP(J131,Database!$A$2:$M$188,6,FALSE),"-")</f>
        <v>-</v>
      </c>
      <c r="M131" s="91" t="str">
        <f>IFERROR(VLOOKUP(J131,Database!$A$2:$M$188,9,FALSE),"-")</f>
        <v>-</v>
      </c>
      <c r="N131" s="203" t="str">
        <f>IFERROR(VLOOKUP(J131,Database!$A$2:$T$188,19,FALSE),"-")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IFERROR(VLOOKUP(O131,Database!$A$2:$M$188,8,FALSE),"-")</f>
        <v>-</v>
      </c>
      <c r="Q131" s="76" t="str">
        <f>IFERROR(VLOOKUP(O131,Database!$A$2:$M$188,6,FALSE),"-")</f>
        <v>-</v>
      </c>
      <c r="R131" s="80" t="str">
        <f>IFERROR(VLOOKUP(O131,Database!$A$2:$M$188,9,FALSE),"-")</f>
        <v>-</v>
      </c>
      <c r="S131" s="203" t="str">
        <f>IFERROR(VLOOKUP(O131,Database!$A$2:$T$188,19,FALSE),"-")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IFERROR(VLOOKUP(T131,Database!$A$2:$M$188,8,FALSE),"-")</f>
        <v>-</v>
      </c>
      <c r="V131" s="76" t="str">
        <f>IFERROR(VLOOKUP(T131,Database!$A$2:$M$188,6,FALSE),"-")</f>
        <v>-</v>
      </c>
      <c r="W131" s="80" t="str">
        <f>IFERROR(VLOOKUP(T131,Database!$A$2:$M$188,9,FALSE),"-")</f>
        <v>-</v>
      </c>
      <c r="X131" s="203" t="str">
        <f>IFERROR(VLOOKUP(T131,Database!$A$2:$T$188,19,FALSE),"-")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IFERROR(VLOOKUP(Y131,Database!$A$2:$M$188,8,FALSE),"-")</f>
        <v>-</v>
      </c>
      <c r="AA131" s="77" t="str">
        <f>IFERROR(VLOOKUP(Y131,Database!$A$2:$M$188,6,FALSE),"-")</f>
        <v>-</v>
      </c>
      <c r="AB131" s="90" t="str">
        <f>IFERROR(VLOOKUP(Y131,Database!$A$2:$M$188,9,FALSE),"-")</f>
        <v>-</v>
      </c>
      <c r="AC131" s="8" t="str">
        <f>IFERROR(VLOOKUP(Y131,Database!$A$2:$T$188,19,FALSE),"-")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IFERROR(VLOOKUP(E132,Database!$A$2:$M$188,8,FALSE),"-")</f>
        <v>-</v>
      </c>
      <c r="G132" s="76" t="str">
        <f>IFERROR(VLOOKUP(E132,Database!$A$2:$M$188,6,FALSE),"-")</f>
        <v>-</v>
      </c>
      <c r="H132" s="91" t="str">
        <f>IFERROR(VLOOKUP(E132,Database!$A$2:$M$188,9,FALSE),"-")</f>
        <v>-</v>
      </c>
      <c r="I132" s="109" t="str">
        <f>IFERROR(VLOOKUP(E132,Database!$A$2:$T$188,19,FALSE),"-")</f>
        <v>-</v>
      </c>
      <c r="J132" s="94">
        <f>IF(AND(D132="Y",booking!H132&lt;&gt;booking!I132,booking!I132&gt;0),booking!I132,"-")</f>
        <v>161</v>
      </c>
      <c r="K132" s="76" t="str">
        <f>IFERROR(VLOOKUP(J132,Database!$A$2:$M$188,8,FALSE),"-")</f>
        <v>bc</v>
      </c>
      <c r="L132" s="76">
        <f>IFERROR(VLOOKUP(J132,Database!$A$2:$M$188,6,FALSE),"-")</f>
        <v>46245</v>
      </c>
      <c r="M132" s="91">
        <f>IFERROR(VLOOKUP(J132,Database!$A$2:$M$188,9,FALSE),"-")</f>
        <v>0</v>
      </c>
      <c r="N132" s="203">
        <f>IFERROR(VLOOKUP(J132,Database!$A$2:$T$188,19,FALSE),"-")</f>
        <v>1900</v>
      </c>
      <c r="O132" s="94">
        <f>IF(AND(D132="Y",booking!L132&lt;&gt;booking!M132,booking!M132&gt;0),booking!M132,"-")</f>
        <v>147</v>
      </c>
      <c r="P132" s="76" t="str">
        <f>IFERROR(VLOOKUP(O132,Database!$A$2:$M$188,8,FALSE),"-")</f>
        <v>bc</v>
      </c>
      <c r="Q132" s="76">
        <f>IFERROR(VLOOKUP(O132,Database!$A$2:$M$188,6,FALSE),"-")</f>
        <v>46181</v>
      </c>
      <c r="R132" s="80" t="str">
        <f>IFERROR(VLOOKUP(O132,Database!$A$2:$M$188,9,FALSE),"-")</f>
        <v>0600</v>
      </c>
      <c r="S132" s="203">
        <f>IFERROR(VLOOKUP(O132,Database!$A$2:$T$188,19,FALSE),"-")</f>
        <v>1900</v>
      </c>
      <c r="T132" s="95" t="str">
        <f>IF(AND(D132="Y",booking!P132&lt;&gt;booking!Q132,booking!Q132&gt;0),booking!Q132,"-")</f>
        <v>-</v>
      </c>
      <c r="U132" s="76" t="str">
        <f>IFERROR(VLOOKUP(T132,Database!$A$2:$M$188,8,FALSE),"-")</f>
        <v>-</v>
      </c>
      <c r="V132" s="76" t="str">
        <f>IFERROR(VLOOKUP(T132,Database!$A$2:$M$188,6,FALSE),"-")</f>
        <v>-</v>
      </c>
      <c r="W132" s="80" t="str">
        <f>IFERROR(VLOOKUP(T132,Database!$A$2:$M$188,9,FALSE),"-")</f>
        <v>-</v>
      </c>
      <c r="X132" s="203" t="str">
        <f>IFERROR(VLOOKUP(T132,Database!$A$2:$T$188,19,FALSE),"-")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IFERROR(VLOOKUP(Y132,Database!$A$2:$M$188,8,FALSE),"-")</f>
        <v>-</v>
      </c>
      <c r="AA132" s="77" t="str">
        <f>IFERROR(VLOOKUP(Y132,Database!$A$2:$M$188,6,FALSE),"-")</f>
        <v>-</v>
      </c>
      <c r="AB132" s="90" t="str">
        <f>IFERROR(VLOOKUP(Y132,Database!$A$2:$M$188,9,FALSE),"-")</f>
        <v>-</v>
      </c>
      <c r="AC132" s="8" t="str">
        <f>IFERROR(VLOOKUP(Y132,Database!$A$2:$T$188,19,FALSE),"-")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 t="str">
        <f>IFERROR(VLOOKUP(E133,Database!$A$2:$M$188,8,FALSE),"-")</f>
        <v>web</v>
      </c>
      <c r="G133" s="76">
        <f>IFERROR(VLOOKUP(E133,Database!$A$2:$M$188,6,FALSE),"-")</f>
        <v>46168</v>
      </c>
      <c r="H133" s="91">
        <f>IFERROR(VLOOKUP(E133,Database!$A$2:$M$188,9,FALSE),"-")</f>
        <v>0</v>
      </c>
      <c r="I133" s="109">
        <f>IFERROR(VLOOKUP(E133,Database!$A$2:$T$188,19,FALSE),"-")</f>
        <v>4140</v>
      </c>
      <c r="J133" s="94" t="str">
        <f>IF(AND(D133="Y",booking!H133&lt;&gt;booking!I133,booking!I133&gt;0),booking!I133,"-")</f>
        <v>-</v>
      </c>
      <c r="K133" s="76" t="str">
        <f>IFERROR(VLOOKUP(J133,Database!$A$2:$M$188,8,FALSE),"-")</f>
        <v>-</v>
      </c>
      <c r="L133" s="76" t="str">
        <f>IFERROR(VLOOKUP(J133,Database!$A$2:$M$188,6,FALSE),"-")</f>
        <v>-</v>
      </c>
      <c r="M133" s="91" t="str">
        <f>IFERROR(VLOOKUP(J133,Database!$A$2:$M$188,9,FALSE),"-")</f>
        <v>-</v>
      </c>
      <c r="N133" s="203" t="str">
        <f>IFERROR(VLOOKUP(J133,Database!$A$2:$T$188,19,FALSE),"-")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IFERROR(VLOOKUP(O133,Database!$A$2:$M$188,8,FALSE),"-")</f>
        <v>-</v>
      </c>
      <c r="Q133" s="76" t="str">
        <f>IFERROR(VLOOKUP(O133,Database!$A$2:$M$188,6,FALSE),"-")</f>
        <v>-</v>
      </c>
      <c r="R133" s="80" t="str">
        <f>IFERROR(VLOOKUP(O133,Database!$A$2:$M$188,9,FALSE),"-")</f>
        <v>-</v>
      </c>
      <c r="S133" s="203" t="str">
        <f>IFERROR(VLOOKUP(O133,Database!$A$2:$T$188,19,FALSE),"-")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IFERROR(VLOOKUP(T133,Database!$A$2:$M$188,8,FALSE),"-")</f>
        <v>-</v>
      </c>
      <c r="V133" s="76" t="str">
        <f>IFERROR(VLOOKUP(T133,Database!$A$2:$M$188,6,FALSE),"-")</f>
        <v>-</v>
      </c>
      <c r="W133" s="80" t="str">
        <f>IFERROR(VLOOKUP(T133,Database!$A$2:$M$188,9,FALSE),"-")</f>
        <v>-</v>
      </c>
      <c r="X133" s="203" t="str">
        <f>IFERROR(VLOOKUP(T133,Database!$A$2:$T$188,19,FALSE),"-")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IFERROR(VLOOKUP(Y133,Database!$A$2:$M$188,8,FALSE),"-")</f>
        <v>-</v>
      </c>
      <c r="AA133" s="77" t="str">
        <f>IFERROR(VLOOKUP(Y133,Database!$A$2:$M$188,6,FALSE),"-")</f>
        <v>-</v>
      </c>
      <c r="AB133" s="90" t="str">
        <f>IFERROR(VLOOKUP(Y133,Database!$A$2:$M$188,9,FALSE),"-")</f>
        <v>-</v>
      </c>
      <c r="AC133" s="8" t="str">
        <f>IFERROR(VLOOKUP(Y133,Database!$A$2:$T$188,19,FALSE),"-")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IFERROR(VLOOKUP(E134,Database!$A$2:$M$188,8,FALSE),"-")</f>
        <v>-</v>
      </c>
      <c r="G134" s="76" t="str">
        <f>IFERROR(VLOOKUP(E134,Database!$A$2:$M$188,6,FALSE),"-")</f>
        <v>-</v>
      </c>
      <c r="H134" s="91" t="str">
        <f>IFERROR(VLOOKUP(E134,Database!$A$2:$M$188,9,FALSE),"-")</f>
        <v>-</v>
      </c>
      <c r="I134" s="109" t="str">
        <f>IFERROR(VLOOKUP(E134,Database!$A$2:$T$188,19,FALSE),"-")</f>
        <v>-</v>
      </c>
      <c r="J134" s="94">
        <f>IF(AND(D134="Y",booking!H134&lt;&gt;booking!I134,booking!I134&gt;0),booking!I134,"-")</f>
        <v>145</v>
      </c>
      <c r="K134" s="76" t="str">
        <f>IFERROR(VLOOKUP(J134,Database!$A$2:$M$188,8,FALSE),"-")</f>
        <v>web</v>
      </c>
      <c r="L134" s="76">
        <f>IFERROR(VLOOKUP(J134,Database!$A$2:$M$188,6,FALSE),"-")</f>
        <v>46177</v>
      </c>
      <c r="M134" s="91">
        <f>IFERROR(VLOOKUP(J134,Database!$A$2:$M$188,9,FALSE),"-")</f>
        <v>0</v>
      </c>
      <c r="N134" s="203">
        <f>IFERROR(VLOOKUP(J134,Database!$A$2:$T$188,19,FALSE),"-")</f>
        <v>5175</v>
      </c>
      <c r="O134" s="94">
        <f>IF(AND(D134="Y",booking!L134&lt;&gt;booking!M134,booking!M134&gt;0),booking!M134,"-")</f>
        <v>154</v>
      </c>
      <c r="P134" s="76" t="str">
        <f>IFERROR(VLOOKUP(O134,Database!$A$2:$M$188,8,FALSE),"-")</f>
        <v>web</v>
      </c>
      <c r="Q134" s="76">
        <f>IFERROR(VLOOKUP(O134,Database!$A$2:$M$188,6,FALSE),"-")</f>
        <v>46203</v>
      </c>
      <c r="R134" s="80">
        <f>IFERROR(VLOOKUP(O134,Database!$A$2:$M$188,9,FALSE),"-")</f>
        <v>0</v>
      </c>
      <c r="S134" s="203">
        <f>IFERROR(VLOOKUP(O134,Database!$A$2:$T$188,19,FALSE),"-")</f>
        <v>3420</v>
      </c>
      <c r="T134" s="95" t="str">
        <f>IF(AND(D134="Y",booking!P134&lt;&gt;booking!Q134,booking!Q134&gt;0),booking!Q134,"-")</f>
        <v>-</v>
      </c>
      <c r="U134" s="76" t="str">
        <f>IFERROR(VLOOKUP(T134,Database!$A$2:$M$188,8,FALSE),"-")</f>
        <v>-</v>
      </c>
      <c r="V134" s="76" t="str">
        <f>IFERROR(VLOOKUP(T134,Database!$A$2:$M$188,6,FALSE),"-")</f>
        <v>-</v>
      </c>
      <c r="W134" s="80" t="str">
        <f>IFERROR(VLOOKUP(T134,Database!$A$2:$M$188,9,FALSE),"-")</f>
        <v>-</v>
      </c>
      <c r="X134" s="203" t="str">
        <f>IFERROR(VLOOKUP(T134,Database!$A$2:$T$188,19,FALSE),"-")</f>
        <v>-</v>
      </c>
      <c r="Y134" s="94">
        <f>IF(AND(D134="Y",booking!T134&lt;&gt;booking!U134,booking!U134&gt;0),booking!U134,"-")</f>
        <v>22</v>
      </c>
      <c r="Z134" s="77" t="str">
        <f>IFERROR(VLOOKUP(Y134,Database!$A$2:$M$188,8,FALSE),"-")</f>
        <v>bc</v>
      </c>
      <c r="AA134" s="77">
        <f>IFERROR(VLOOKUP(Y134,Database!$A$2:$M$188,6,FALSE),"-")</f>
        <v>46016</v>
      </c>
      <c r="AB134" s="90">
        <f>IFERROR(VLOOKUP(Y134,Database!$A$2:$M$188,9,FALSE),"-")</f>
        <v>0</v>
      </c>
      <c r="AC134" s="8">
        <f>IFERROR(VLOOKUP(Y134,Database!$A$2:$T$188,19,FALSE),"-")</f>
        <v>11500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-</v>
      </c>
      <c r="E135" s="93" t="str">
        <f>IF(AND(D135="Y",booking!D135&lt;&gt;booking!E135,booking!E135&gt;0),booking!E135,"-")</f>
        <v>-</v>
      </c>
      <c r="F135" s="8" t="str">
        <f>IFERROR(VLOOKUP(E135,Database!$A$2:$M$188,8,FALSE),"-")</f>
        <v>-</v>
      </c>
      <c r="G135" s="76" t="str">
        <f>IFERROR(VLOOKUP(E135,Database!$A$2:$M$188,6,FALSE),"-")</f>
        <v>-</v>
      </c>
      <c r="H135" s="91" t="str">
        <f>IFERROR(VLOOKUP(E135,Database!$A$2:$M$188,9,FALSE),"-")</f>
        <v>-</v>
      </c>
      <c r="I135" s="109" t="str">
        <f>IFERROR(VLOOKUP(E135,Database!$A$2:$T$188,19,FALSE),"-")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IFERROR(VLOOKUP(J135,Database!$A$2:$M$188,8,FALSE),"-")</f>
        <v>-</v>
      </c>
      <c r="L135" s="76" t="str">
        <f>IFERROR(VLOOKUP(J135,Database!$A$2:$M$188,6,FALSE),"-")</f>
        <v>-</v>
      </c>
      <c r="M135" s="91" t="str">
        <f>IFERROR(VLOOKUP(J135,Database!$A$2:$M$188,9,FALSE),"-")</f>
        <v>-</v>
      </c>
      <c r="N135" s="203" t="str">
        <f>IFERROR(VLOOKUP(J135,Database!$A$2:$T$188,19,FALSE),"-")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IFERROR(VLOOKUP(O135,Database!$A$2:$M$188,8,FALSE),"-")</f>
        <v>-</v>
      </c>
      <c r="Q135" s="76" t="str">
        <f>IFERROR(VLOOKUP(O135,Database!$A$2:$M$188,6,FALSE),"-")</f>
        <v>-</v>
      </c>
      <c r="R135" s="80" t="str">
        <f>IFERROR(VLOOKUP(O135,Database!$A$2:$M$188,9,FALSE),"-")</f>
        <v>-</v>
      </c>
      <c r="S135" s="203" t="str">
        <f>IFERROR(VLOOKUP(O135,Database!$A$2:$T$188,19,FALSE),"-")</f>
        <v>-</v>
      </c>
      <c r="T135" s="95" t="str">
        <f>IF(AND(D135="Y",booking!P135&lt;&gt;booking!Q135,booking!Q135&gt;0),booking!Q135,"-")</f>
        <v>-</v>
      </c>
      <c r="U135" s="76" t="str">
        <f>IFERROR(VLOOKUP(T135,Database!$A$2:$M$188,8,FALSE),"-")</f>
        <v>-</v>
      </c>
      <c r="V135" s="76" t="str">
        <f>IFERROR(VLOOKUP(T135,Database!$A$2:$M$188,6,FALSE),"-")</f>
        <v>-</v>
      </c>
      <c r="W135" s="80" t="str">
        <f>IFERROR(VLOOKUP(T135,Database!$A$2:$M$188,9,FALSE),"-")</f>
        <v>-</v>
      </c>
      <c r="X135" s="203" t="str">
        <f>IFERROR(VLOOKUP(T135,Database!$A$2:$T$188,19,FALSE),"-")</f>
        <v>-</v>
      </c>
      <c r="Y135" s="94" t="str">
        <f>IF(AND(D135="Y",booking!T135&lt;&gt;booking!U135,booking!U135&gt;0),booking!U135,"-")</f>
        <v>-</v>
      </c>
      <c r="Z135" s="77" t="str">
        <f>IFERROR(VLOOKUP(Y135,Database!$A$2:$M$188,8,FALSE),"-")</f>
        <v>-</v>
      </c>
      <c r="AA135" s="77" t="str">
        <f>IFERROR(VLOOKUP(Y135,Database!$A$2:$M$188,6,FALSE),"-")</f>
        <v>-</v>
      </c>
      <c r="AB135" s="90" t="str">
        <f>IFERROR(VLOOKUP(Y135,Database!$A$2:$M$188,9,FALSE),"-")</f>
        <v>-</v>
      </c>
      <c r="AC135" s="8" t="str">
        <f>IFERROR(VLOOKUP(Y135,Database!$A$2:$T$188,19,FALSE),"-")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IFERROR(VLOOKUP(E136,Database!$A$2:$M$188,8,FALSE),"-")</f>
        <v>-</v>
      </c>
      <c r="G136" s="76" t="str">
        <f>IFERROR(VLOOKUP(E136,Database!$A$2:$M$188,6,FALSE),"-")</f>
        <v>-</v>
      </c>
      <c r="H136" s="91" t="str">
        <f>IFERROR(VLOOKUP(E136,Database!$A$2:$M$188,9,FALSE),"-")</f>
        <v>-</v>
      </c>
      <c r="I136" s="109" t="str">
        <f>IFERROR(VLOOKUP(E136,Database!$A$2:$T$188,19,FALSE),"-")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IFERROR(VLOOKUP(J136,Database!$A$2:$M$188,8,FALSE),"-")</f>
        <v>-</v>
      </c>
      <c r="L136" s="76" t="str">
        <f>IFERROR(VLOOKUP(J136,Database!$A$2:$M$188,6,FALSE),"-")</f>
        <v>-</v>
      </c>
      <c r="M136" s="91" t="str">
        <f>IFERROR(VLOOKUP(J136,Database!$A$2:$M$188,9,FALSE),"-")</f>
        <v>-</v>
      </c>
      <c r="N136" s="203" t="str">
        <f>IFERROR(VLOOKUP(J136,Database!$A$2:$T$188,19,FALSE),"-")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IFERROR(VLOOKUP(O136,Database!$A$2:$M$188,8,FALSE),"-")</f>
        <v>-</v>
      </c>
      <c r="Q136" s="76" t="str">
        <f>IFERROR(VLOOKUP(O136,Database!$A$2:$M$188,6,FALSE),"-")</f>
        <v>-</v>
      </c>
      <c r="R136" s="80" t="str">
        <f>IFERROR(VLOOKUP(O136,Database!$A$2:$M$188,9,FALSE),"-")</f>
        <v>-</v>
      </c>
      <c r="S136" s="203" t="str">
        <f>IFERROR(VLOOKUP(O136,Database!$A$2:$T$188,19,FALSE),"-")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IFERROR(VLOOKUP(T136,Database!$A$2:$M$188,8,FALSE),"-")</f>
        <v>-</v>
      </c>
      <c r="V136" s="76" t="str">
        <f>IFERROR(VLOOKUP(T136,Database!$A$2:$M$188,6,FALSE),"-")</f>
        <v>-</v>
      </c>
      <c r="W136" s="80" t="str">
        <f>IFERROR(VLOOKUP(T136,Database!$A$2:$M$188,9,FALSE),"-")</f>
        <v>-</v>
      </c>
      <c r="X136" s="203" t="str">
        <f>IFERROR(VLOOKUP(T136,Database!$A$2:$T$188,19,FALSE),"-")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IFERROR(VLOOKUP(Y136,Database!$A$2:$M$188,8,FALSE),"-")</f>
        <v>-</v>
      </c>
      <c r="AA136" s="77" t="str">
        <f>IFERROR(VLOOKUP(Y136,Database!$A$2:$M$188,6,FALSE),"-")</f>
        <v>-</v>
      </c>
      <c r="AB136" s="90" t="str">
        <f>IFERROR(VLOOKUP(Y136,Database!$A$2:$M$188,9,FALSE),"-")</f>
        <v>-</v>
      </c>
      <c r="AC136" s="8" t="str">
        <f>IFERROR(VLOOKUP(Y136,Database!$A$2:$T$188,19,FALSE),"-")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IFERROR(VLOOKUP(E137,Database!$A$2:$M$188,8,FALSE),"-")</f>
        <v>-</v>
      </c>
      <c r="G137" s="76" t="str">
        <f>IFERROR(VLOOKUP(E137,Database!$A$2:$M$188,6,FALSE),"-")</f>
        <v>-</v>
      </c>
      <c r="H137" s="91" t="str">
        <f>IFERROR(VLOOKUP(E137,Database!$A$2:$M$188,9,FALSE),"-")</f>
        <v>-</v>
      </c>
      <c r="I137" s="109" t="str">
        <f>IFERROR(VLOOKUP(E137,Database!$A$2:$T$188,19,FALSE),"-")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IFERROR(VLOOKUP(J137,Database!$A$2:$M$188,8,FALSE),"-")</f>
        <v>-</v>
      </c>
      <c r="L137" s="76" t="str">
        <f>IFERROR(VLOOKUP(J137,Database!$A$2:$M$188,6,FALSE),"-")</f>
        <v>-</v>
      </c>
      <c r="M137" s="91" t="str">
        <f>IFERROR(VLOOKUP(J137,Database!$A$2:$M$188,9,FALSE),"-")</f>
        <v>-</v>
      </c>
      <c r="N137" s="203" t="str">
        <f>IFERROR(VLOOKUP(J137,Database!$A$2:$T$188,19,FALSE),"-")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IFERROR(VLOOKUP(O137,Database!$A$2:$M$188,8,FALSE),"-")</f>
        <v>-</v>
      </c>
      <c r="Q137" s="76" t="str">
        <f>IFERROR(VLOOKUP(O137,Database!$A$2:$M$188,6,FALSE),"-")</f>
        <v>-</v>
      </c>
      <c r="R137" s="80" t="str">
        <f>IFERROR(VLOOKUP(O137,Database!$A$2:$M$188,9,FALSE),"-")</f>
        <v>-</v>
      </c>
      <c r="S137" s="203" t="str">
        <f>IFERROR(VLOOKUP(O137,Database!$A$2:$T$188,19,FALSE),"-")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IFERROR(VLOOKUP(T137,Database!$A$2:$M$188,8,FALSE),"-")</f>
        <v>-</v>
      </c>
      <c r="V137" s="76" t="str">
        <f>IFERROR(VLOOKUP(T137,Database!$A$2:$M$188,6,FALSE),"-")</f>
        <v>-</v>
      </c>
      <c r="W137" s="80" t="str">
        <f>IFERROR(VLOOKUP(T137,Database!$A$2:$M$188,9,FALSE),"-")</f>
        <v>-</v>
      </c>
      <c r="X137" s="203" t="str">
        <f>IFERROR(VLOOKUP(T137,Database!$A$2:$T$188,19,FALSE),"-")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IFERROR(VLOOKUP(Y137,Database!$A$2:$M$188,8,FALSE),"-")</f>
        <v>-</v>
      </c>
      <c r="AA137" s="77" t="str">
        <f>IFERROR(VLOOKUP(Y137,Database!$A$2:$M$188,6,FALSE),"-")</f>
        <v>-</v>
      </c>
      <c r="AB137" s="90" t="str">
        <f>IFERROR(VLOOKUP(Y137,Database!$A$2:$M$188,9,FALSE),"-")</f>
        <v>-</v>
      </c>
      <c r="AC137" s="8" t="str">
        <f>IFERROR(VLOOKUP(Y137,Database!$A$2:$T$188,19,FALSE),"-")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IFERROR(VLOOKUP(E138,Database!$A$2:$M$188,8,FALSE),"-")</f>
        <v>-</v>
      </c>
      <c r="G138" s="76" t="str">
        <f>IFERROR(VLOOKUP(E138,Database!$A$2:$M$188,6,FALSE),"-")</f>
        <v>-</v>
      </c>
      <c r="H138" s="91" t="str">
        <f>IFERROR(VLOOKUP(E138,Database!$A$2:$M$188,9,FALSE),"-")</f>
        <v>-</v>
      </c>
      <c r="I138" s="109" t="str">
        <f>IFERROR(VLOOKUP(E138,Database!$A$2:$T$188,19,FALSE),"-")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IFERROR(VLOOKUP(J138,Database!$A$2:$M$188,8,FALSE),"-")</f>
        <v>-</v>
      </c>
      <c r="L138" s="76" t="str">
        <f>IFERROR(VLOOKUP(J138,Database!$A$2:$M$188,6,FALSE),"-")</f>
        <v>-</v>
      </c>
      <c r="M138" s="91" t="str">
        <f>IFERROR(VLOOKUP(J138,Database!$A$2:$M$188,9,FALSE),"-")</f>
        <v>-</v>
      </c>
      <c r="N138" s="203" t="str">
        <f>IFERROR(VLOOKUP(J138,Database!$A$2:$T$188,19,FALSE),"-")</f>
        <v>-</v>
      </c>
      <c r="O138" s="94">
        <f>IF(AND(D138="Y",booking!L138&lt;&gt;booking!M138,booking!M138&gt;0),booking!M138,"-")</f>
        <v>143</v>
      </c>
      <c r="P138" s="76" t="str">
        <f>IFERROR(VLOOKUP(O138,Database!$A$2:$M$188,8,FALSE),"-")</f>
        <v>bc</v>
      </c>
      <c r="Q138" s="76">
        <f>IFERROR(VLOOKUP(O138,Database!$A$2:$M$188,6,FALSE),"-")</f>
        <v>46172</v>
      </c>
      <c r="R138" s="80">
        <f>IFERROR(VLOOKUP(O138,Database!$A$2:$M$188,9,FALSE),"-")</f>
        <v>0</v>
      </c>
      <c r="S138" s="203">
        <f>IFERROR(VLOOKUP(O138,Database!$A$2:$T$188,19,FALSE),"-")</f>
        <v>2850</v>
      </c>
      <c r="T138" s="95" t="str">
        <f>IF(AND(D138="Y",booking!P138&lt;&gt;booking!Q138,booking!Q138&gt;0),booking!Q138,"-")</f>
        <v>-</v>
      </c>
      <c r="U138" s="76" t="str">
        <f>IFERROR(VLOOKUP(T138,Database!$A$2:$M$188,8,FALSE),"-")</f>
        <v>-</v>
      </c>
      <c r="V138" s="76" t="str">
        <f>IFERROR(VLOOKUP(T138,Database!$A$2:$M$188,6,FALSE),"-")</f>
        <v>-</v>
      </c>
      <c r="W138" s="80" t="str">
        <f>IFERROR(VLOOKUP(T138,Database!$A$2:$M$188,9,FALSE),"-")</f>
        <v>-</v>
      </c>
      <c r="X138" s="203" t="str">
        <f>IFERROR(VLOOKUP(T138,Database!$A$2:$T$188,19,FALSE),"-")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IFERROR(VLOOKUP(Y138,Database!$A$2:$M$188,8,FALSE),"-")</f>
        <v>-</v>
      </c>
      <c r="AA138" s="77" t="str">
        <f>IFERROR(VLOOKUP(Y138,Database!$A$2:$M$188,6,FALSE),"-")</f>
        <v>-</v>
      </c>
      <c r="AB138" s="90" t="str">
        <f>IFERROR(VLOOKUP(Y138,Database!$A$2:$M$188,9,FALSE),"-")</f>
        <v>-</v>
      </c>
      <c r="AC138" s="8" t="str">
        <f>IFERROR(VLOOKUP(Y138,Database!$A$2:$T$188,19,FALSE),"-")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 t="str">
        <f>IFERROR(VLOOKUP(E139,Database!$A$2:$M$188,8,FALSE),"-")</f>
        <v>web</v>
      </c>
      <c r="G139" s="76">
        <f>IFERROR(VLOOKUP(E139,Database!$A$2:$M$188,6,FALSE),"-")</f>
        <v>46091</v>
      </c>
      <c r="H139" s="91">
        <f>IFERROR(VLOOKUP(E139,Database!$A$2:$M$188,9,FALSE),"-")</f>
        <v>0</v>
      </c>
      <c r="I139" s="109">
        <f>IFERROR(VLOOKUP(E139,Database!$A$2:$T$188,19,FALSE),"-")</f>
        <v>3990</v>
      </c>
      <c r="J139" s="94">
        <f>IF(AND(D139="Y",booking!H139&lt;&gt;booking!I139,booking!I139&gt;0),booking!I139,"-")</f>
        <v>89</v>
      </c>
      <c r="K139" s="76" t="str">
        <f>IFERROR(VLOOKUP(J139,Database!$A$2:$M$188,8,FALSE),"-")</f>
        <v>web</v>
      </c>
      <c r="L139" s="76">
        <f>IFERROR(VLOOKUP(J139,Database!$A$2:$M$188,6,FALSE),"-")</f>
        <v>46091</v>
      </c>
      <c r="M139" s="91">
        <f>IFERROR(VLOOKUP(J139,Database!$A$2:$M$188,9,FALSE),"-")</f>
        <v>0</v>
      </c>
      <c r="N139" s="203">
        <f>IFERROR(VLOOKUP(J139,Database!$A$2:$T$188,19,FALSE),"-")</f>
        <v>3990</v>
      </c>
      <c r="O139" s="94" t="str">
        <f>IF(AND(D139="Y",booking!L139&lt;&gt;booking!M139,booking!M139&gt;0),booking!M139,"-")</f>
        <v>-</v>
      </c>
      <c r="P139" s="76" t="str">
        <f>IFERROR(VLOOKUP(O139,Database!$A$2:$M$188,8,FALSE),"-")</f>
        <v>-</v>
      </c>
      <c r="Q139" s="76" t="str">
        <f>IFERROR(VLOOKUP(O139,Database!$A$2:$M$188,6,FALSE),"-")</f>
        <v>-</v>
      </c>
      <c r="R139" s="80" t="str">
        <f>IFERROR(VLOOKUP(O139,Database!$A$2:$M$188,9,FALSE),"-")</f>
        <v>-</v>
      </c>
      <c r="S139" s="203" t="str">
        <f>IFERROR(VLOOKUP(O139,Database!$A$2:$T$188,19,FALSE),"-")</f>
        <v>-</v>
      </c>
      <c r="T139" s="95">
        <f>IF(AND(D139="Y",booking!P139&lt;&gt;booking!Q139,booking!Q139&gt;0),booking!Q139,"-")</f>
        <v>137</v>
      </c>
      <c r="U139" s="76" t="str">
        <f>IFERROR(VLOOKUP(T139,Database!$A$2:$M$188,8,FALSE),"-")</f>
        <v>web</v>
      </c>
      <c r="V139" s="76">
        <f>IFERROR(VLOOKUP(T139,Database!$A$2:$M$188,6,FALSE),"-")</f>
        <v>46166</v>
      </c>
      <c r="W139" s="80">
        <f>IFERROR(VLOOKUP(T139,Database!$A$2:$M$188,9,FALSE),"-")</f>
        <v>0</v>
      </c>
      <c r="X139" s="203">
        <f>IFERROR(VLOOKUP(T139,Database!$A$2:$T$188,19,FALSE),"-")</f>
        <v>7695</v>
      </c>
      <c r="Y139" s="94" t="str">
        <f>IF(AND(D139="Y",booking!T139&lt;&gt;booking!U139,booking!U139&gt;0),booking!U139,"-")</f>
        <v>-</v>
      </c>
      <c r="Z139" s="77" t="str">
        <f>IFERROR(VLOOKUP(Y139,Database!$A$2:$M$188,8,FALSE),"-")</f>
        <v>-</v>
      </c>
      <c r="AA139" s="77" t="str">
        <f>IFERROR(VLOOKUP(Y139,Database!$A$2:$M$188,6,FALSE),"-")</f>
        <v>-</v>
      </c>
      <c r="AB139" s="90" t="str">
        <f>IFERROR(VLOOKUP(Y139,Database!$A$2:$M$188,9,FALSE),"-")</f>
        <v>-</v>
      </c>
      <c r="AC139" s="8" t="str">
        <f>IFERROR(VLOOKUP(Y139,Database!$A$2:$T$188,19,FALSE),"-")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IFERROR(VLOOKUP(E140,Database!$A$2:$M$188,8,FALSE),"-")</f>
        <v>-</v>
      </c>
      <c r="G140" s="76" t="str">
        <f>IFERROR(VLOOKUP(E140,Database!$A$2:$M$188,6,FALSE),"-")</f>
        <v>-</v>
      </c>
      <c r="H140" s="91" t="str">
        <f>IFERROR(VLOOKUP(E140,Database!$A$2:$M$188,9,FALSE),"-")</f>
        <v>-</v>
      </c>
      <c r="I140" s="109" t="str">
        <f>IFERROR(VLOOKUP(E140,Database!$A$2:$T$188,19,FALSE),"-")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IFERROR(VLOOKUP(J140,Database!$A$2:$M$188,8,FALSE),"-")</f>
        <v>-</v>
      </c>
      <c r="L140" s="76" t="str">
        <f>IFERROR(VLOOKUP(J140,Database!$A$2:$M$188,6,FALSE),"-")</f>
        <v>-</v>
      </c>
      <c r="M140" s="91" t="str">
        <f>IFERROR(VLOOKUP(J140,Database!$A$2:$M$188,9,FALSE),"-")</f>
        <v>-</v>
      </c>
      <c r="N140" s="203" t="str">
        <f>IFERROR(VLOOKUP(J140,Database!$A$2:$T$188,19,FALSE),"-")</f>
        <v>-</v>
      </c>
      <c r="O140" s="94">
        <f>IF(AND(D140="Y",booking!L140&lt;&gt;booking!M140,booking!M140&gt;0),booking!M140,"-")</f>
        <v>103</v>
      </c>
      <c r="P140" s="76" t="str">
        <f>IFERROR(VLOOKUP(O140,Database!$A$2:$M$188,8,FALSE),"-")</f>
        <v>web</v>
      </c>
      <c r="Q140" s="76">
        <f>IFERROR(VLOOKUP(O140,Database!$A$2:$M$188,6,FALSE),"-")</f>
        <v>46107</v>
      </c>
      <c r="R140" s="80">
        <f>IFERROR(VLOOKUP(O140,Database!$A$2:$M$188,9,FALSE),"-")</f>
        <v>0</v>
      </c>
      <c r="S140" s="203">
        <f>IFERROR(VLOOKUP(O140,Database!$A$2:$T$188,19,FALSE),"-")</f>
        <v>6210</v>
      </c>
      <c r="T140" s="95" t="str">
        <f>IF(AND(D140="Y",booking!P140&lt;&gt;booking!Q140,booking!Q140&gt;0),booking!Q140,"-")</f>
        <v>-</v>
      </c>
      <c r="U140" s="76" t="str">
        <f>IFERROR(VLOOKUP(T140,Database!$A$2:$M$188,8,FALSE),"-")</f>
        <v>-</v>
      </c>
      <c r="V140" s="76" t="str">
        <f>IFERROR(VLOOKUP(T140,Database!$A$2:$M$188,6,FALSE),"-")</f>
        <v>-</v>
      </c>
      <c r="W140" s="80" t="str">
        <f>IFERROR(VLOOKUP(T140,Database!$A$2:$M$188,9,FALSE),"-")</f>
        <v>-</v>
      </c>
      <c r="X140" s="203" t="str">
        <f>IFERROR(VLOOKUP(T140,Database!$A$2:$T$188,19,FALSE),"-")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IFERROR(VLOOKUP(Y140,Database!$A$2:$M$188,8,FALSE),"-")</f>
        <v>-</v>
      </c>
      <c r="AA140" s="77" t="str">
        <f>IFERROR(VLOOKUP(Y140,Database!$A$2:$M$188,6,FALSE),"-")</f>
        <v>-</v>
      </c>
      <c r="AB140" s="90" t="str">
        <f>IFERROR(VLOOKUP(Y140,Database!$A$2:$M$188,9,FALSE),"-")</f>
        <v>-</v>
      </c>
      <c r="AC140" s="8" t="str">
        <f>IFERROR(VLOOKUP(Y140,Database!$A$2:$T$188,19,FALSE),"-")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IFERROR(VLOOKUP(E141,Database!$A$2:$M$188,8,FALSE),"-")</f>
        <v>-</v>
      </c>
      <c r="G141" s="76" t="str">
        <f>IFERROR(VLOOKUP(E141,Database!$A$2:$M$188,6,FALSE),"-")</f>
        <v>-</v>
      </c>
      <c r="H141" s="91" t="str">
        <f>IFERROR(VLOOKUP(E141,Database!$A$2:$M$188,9,FALSE),"-")</f>
        <v>-</v>
      </c>
      <c r="I141" s="109" t="str">
        <f>IFERROR(VLOOKUP(E141,Database!$A$2:$T$188,19,FALSE),"-")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IFERROR(VLOOKUP(J141,Database!$A$2:$M$188,8,FALSE),"-")</f>
        <v>-</v>
      </c>
      <c r="L141" s="76" t="str">
        <f>IFERROR(VLOOKUP(J141,Database!$A$2:$M$188,6,FALSE),"-")</f>
        <v>-</v>
      </c>
      <c r="M141" s="91" t="str">
        <f>IFERROR(VLOOKUP(J141,Database!$A$2:$M$188,9,FALSE),"-")</f>
        <v>-</v>
      </c>
      <c r="N141" s="203" t="str">
        <f>IFERROR(VLOOKUP(J141,Database!$A$2:$T$188,19,FALSE),"-")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IFERROR(VLOOKUP(O141,Database!$A$2:$M$188,8,FALSE),"-")</f>
        <v>-</v>
      </c>
      <c r="Q141" s="76" t="str">
        <f>IFERROR(VLOOKUP(O141,Database!$A$2:$M$188,6,FALSE),"-")</f>
        <v>-</v>
      </c>
      <c r="R141" s="80" t="str">
        <f>IFERROR(VLOOKUP(O141,Database!$A$2:$M$188,9,FALSE),"-")</f>
        <v>-</v>
      </c>
      <c r="S141" s="203" t="str">
        <f>IFERROR(VLOOKUP(O141,Database!$A$2:$T$188,19,FALSE),"-")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IFERROR(VLOOKUP(T141,Database!$A$2:$M$188,8,FALSE),"-")</f>
        <v>-</v>
      </c>
      <c r="V141" s="76" t="str">
        <f>IFERROR(VLOOKUP(T141,Database!$A$2:$M$188,6,FALSE),"-")</f>
        <v>-</v>
      </c>
      <c r="W141" s="80" t="str">
        <f>IFERROR(VLOOKUP(T141,Database!$A$2:$M$188,9,FALSE),"-")</f>
        <v>-</v>
      </c>
      <c r="X141" s="203" t="str">
        <f>IFERROR(VLOOKUP(T141,Database!$A$2:$T$188,19,FALSE),"-")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IFERROR(VLOOKUP(Y141,Database!$A$2:$M$188,8,FALSE),"-")</f>
        <v>-</v>
      </c>
      <c r="AA141" s="77" t="str">
        <f>IFERROR(VLOOKUP(Y141,Database!$A$2:$M$188,6,FALSE),"-")</f>
        <v>-</v>
      </c>
      <c r="AB141" s="90" t="str">
        <f>IFERROR(VLOOKUP(Y141,Database!$A$2:$M$188,9,FALSE),"-")</f>
        <v>-</v>
      </c>
      <c r="AC141" s="8" t="str">
        <f>IFERROR(VLOOKUP(Y141,Database!$A$2:$T$188,19,FALSE),"-")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IFERROR(VLOOKUP(E142,Database!$A$2:$M$188,8,FALSE),"-")</f>
        <v>bc</v>
      </c>
      <c r="G142" s="76">
        <f>IFERROR(VLOOKUP(E142,Database!$A$2:$M$188,6,FALSE),"-")</f>
        <v>46104</v>
      </c>
      <c r="H142" s="91" t="str">
        <f>IFERROR(VLOOKUP(E142,Database!$A$2:$M$188,9,FALSE),"-")</f>
        <v>1600</v>
      </c>
      <c r="I142" s="109">
        <f>IFERROR(VLOOKUP(E142,Database!$A$2:$T$188,19,FALSE),"-")</f>
        <v>1900</v>
      </c>
      <c r="J142" s="94">
        <f>IF(AND(D142="Y",booking!H142&lt;&gt;booking!I142,booking!I142&gt;0),booking!I142,"-")</f>
        <v>101</v>
      </c>
      <c r="K142" s="76" t="str">
        <f>IFERROR(VLOOKUP(J142,Database!$A$2:$M$188,8,FALSE),"-")</f>
        <v>bc</v>
      </c>
      <c r="L142" s="76">
        <f>IFERROR(VLOOKUP(J142,Database!$A$2:$M$188,6,FALSE),"-")</f>
        <v>46104</v>
      </c>
      <c r="M142" s="91" t="str">
        <f>IFERROR(VLOOKUP(J142,Database!$A$2:$M$188,9,FALSE),"-")</f>
        <v>1600</v>
      </c>
      <c r="N142" s="203">
        <f>IFERROR(VLOOKUP(J142,Database!$A$2:$T$188,19,FALSE),"-")</f>
        <v>1700</v>
      </c>
      <c r="O142" s="94" t="str">
        <f>IF(AND(D142="Y",booking!L142&lt;&gt;booking!M142,booking!M142&gt;0),booking!M142,"-")</f>
        <v>-</v>
      </c>
      <c r="P142" s="76" t="str">
        <f>IFERROR(VLOOKUP(O142,Database!$A$2:$M$188,8,FALSE),"-")</f>
        <v>-</v>
      </c>
      <c r="Q142" s="76" t="str">
        <f>IFERROR(VLOOKUP(O142,Database!$A$2:$M$188,6,FALSE),"-")</f>
        <v>-</v>
      </c>
      <c r="R142" s="80" t="str">
        <f>IFERROR(VLOOKUP(O142,Database!$A$2:$M$188,9,FALSE),"-")</f>
        <v>-</v>
      </c>
      <c r="S142" s="203" t="str">
        <f>IFERROR(VLOOKUP(O142,Database!$A$2:$T$188,19,FALSE),"-")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IFERROR(VLOOKUP(T142,Database!$A$2:$M$188,8,FALSE),"-")</f>
        <v>-</v>
      </c>
      <c r="V142" s="76" t="str">
        <f>IFERROR(VLOOKUP(T142,Database!$A$2:$M$188,6,FALSE),"-")</f>
        <v>-</v>
      </c>
      <c r="W142" s="80" t="str">
        <f>IFERROR(VLOOKUP(T142,Database!$A$2:$M$188,9,FALSE),"-")</f>
        <v>-</v>
      </c>
      <c r="X142" s="203" t="str">
        <f>IFERROR(VLOOKUP(T142,Database!$A$2:$T$188,19,FALSE),"-")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IFERROR(VLOOKUP(Y142,Database!$A$2:$M$188,8,FALSE),"-")</f>
        <v>-</v>
      </c>
      <c r="AA142" s="77" t="str">
        <f>IFERROR(VLOOKUP(Y142,Database!$A$2:$M$188,6,FALSE),"-")</f>
        <v>-</v>
      </c>
      <c r="AB142" s="90" t="str">
        <f>IFERROR(VLOOKUP(Y142,Database!$A$2:$M$188,9,FALSE),"-")</f>
        <v>-</v>
      </c>
      <c r="AC142" s="8" t="str">
        <f>IFERROR(VLOOKUP(Y142,Database!$A$2:$T$188,19,FALSE),"-")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IFERROR(VLOOKUP(E143,Database!$A$2:$M$188,8,FALSE),"-")</f>
        <v>-</v>
      </c>
      <c r="G143" s="76" t="str">
        <f>IFERROR(VLOOKUP(E143,Database!$A$2:$M$188,6,FALSE),"-")</f>
        <v>-</v>
      </c>
      <c r="H143" s="91" t="str">
        <f>IFERROR(VLOOKUP(E143,Database!$A$2:$M$188,9,FALSE),"-")</f>
        <v>-</v>
      </c>
      <c r="I143" s="109" t="str">
        <f>IFERROR(VLOOKUP(E143,Database!$A$2:$T$188,19,FALSE),"-")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IFERROR(VLOOKUP(J143,Database!$A$2:$M$188,8,FALSE),"-")</f>
        <v>-</v>
      </c>
      <c r="L143" s="76" t="str">
        <f>IFERROR(VLOOKUP(J143,Database!$A$2:$M$188,6,FALSE),"-")</f>
        <v>-</v>
      </c>
      <c r="M143" s="91" t="str">
        <f>IFERROR(VLOOKUP(J143,Database!$A$2:$M$188,9,FALSE),"-")</f>
        <v>-</v>
      </c>
      <c r="N143" s="203" t="str">
        <f>IFERROR(VLOOKUP(J143,Database!$A$2:$T$188,19,FALSE),"-")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IFERROR(VLOOKUP(O143,Database!$A$2:$M$188,8,FALSE),"-")</f>
        <v>-</v>
      </c>
      <c r="Q143" s="76" t="str">
        <f>IFERROR(VLOOKUP(O143,Database!$A$2:$M$188,6,FALSE),"-")</f>
        <v>-</v>
      </c>
      <c r="R143" s="80" t="str">
        <f>IFERROR(VLOOKUP(O143,Database!$A$2:$M$188,9,FALSE),"-")</f>
        <v>-</v>
      </c>
      <c r="S143" s="203" t="str">
        <f>IFERROR(VLOOKUP(O143,Database!$A$2:$T$188,19,FALSE),"-")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IFERROR(VLOOKUP(T143,Database!$A$2:$M$188,8,FALSE),"-")</f>
        <v>-</v>
      </c>
      <c r="V143" s="76" t="str">
        <f>IFERROR(VLOOKUP(T143,Database!$A$2:$M$188,6,FALSE),"-")</f>
        <v>-</v>
      </c>
      <c r="W143" s="80" t="str">
        <f>IFERROR(VLOOKUP(T143,Database!$A$2:$M$188,9,FALSE),"-")</f>
        <v>-</v>
      </c>
      <c r="X143" s="203" t="str">
        <f>IFERROR(VLOOKUP(T143,Database!$A$2:$T$188,19,FALSE),"-")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IFERROR(VLOOKUP(Y143,Database!$A$2:$M$188,8,FALSE),"-")</f>
        <v>-</v>
      </c>
      <c r="AA143" s="77" t="str">
        <f>IFERROR(VLOOKUP(Y143,Database!$A$2:$M$188,6,FALSE),"-")</f>
        <v>-</v>
      </c>
      <c r="AB143" s="90" t="str">
        <f>IFERROR(VLOOKUP(Y143,Database!$A$2:$M$188,9,FALSE),"-")</f>
        <v>-</v>
      </c>
      <c r="AC143" s="8" t="str">
        <f>IFERROR(VLOOKUP(Y143,Database!$A$2:$T$188,19,FALSE),"-")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IFERROR(VLOOKUP(E144,Database!$A$2:$M$188,8,FALSE),"-")</f>
        <v>-</v>
      </c>
      <c r="G144" s="76" t="str">
        <f>IFERROR(VLOOKUP(E144,Database!$A$2:$M$188,6,FALSE),"-")</f>
        <v>-</v>
      </c>
      <c r="H144" s="91" t="str">
        <f>IFERROR(VLOOKUP(E144,Database!$A$2:$M$188,9,FALSE),"-")</f>
        <v>-</v>
      </c>
      <c r="I144" s="109" t="str">
        <f>IFERROR(VLOOKUP(E144,Database!$A$2:$T$188,19,FALSE),"-")</f>
        <v>-</v>
      </c>
      <c r="J144" s="94">
        <f>IF(AND(D144="Y",booking!H144&lt;&gt;booking!I144,booking!I144&gt;0),booking!I144,"-")</f>
        <v>47</v>
      </c>
      <c r="K144" s="76" t="str">
        <f>IFERROR(VLOOKUP(J144,Database!$A$2:$M$188,8,FALSE),"-")</f>
        <v>web</v>
      </c>
      <c r="L144" s="76">
        <f>IFERROR(VLOOKUP(J144,Database!$A$2:$M$188,6,FALSE),"-")</f>
        <v>46037</v>
      </c>
      <c r="M144" s="91">
        <f>IFERROR(VLOOKUP(J144,Database!$A$2:$M$188,9,FALSE),"-")</f>
        <v>0</v>
      </c>
      <c r="N144" s="203">
        <f>IFERROR(VLOOKUP(J144,Database!$A$2:$T$188,19,FALSE),"-")</f>
        <v>0</v>
      </c>
      <c r="O144" s="94" t="str">
        <f>IF(AND(D144="Y",booking!L144&lt;&gt;booking!M144,booking!M144&gt;0),booking!M144,"-")</f>
        <v>-</v>
      </c>
      <c r="P144" s="76" t="str">
        <f>IFERROR(VLOOKUP(O144,Database!$A$2:$M$188,8,FALSE),"-")</f>
        <v>-</v>
      </c>
      <c r="Q144" s="76" t="str">
        <f>IFERROR(VLOOKUP(O144,Database!$A$2:$M$188,6,FALSE),"-")</f>
        <v>-</v>
      </c>
      <c r="R144" s="80" t="str">
        <f>IFERROR(VLOOKUP(O144,Database!$A$2:$M$188,9,FALSE),"-")</f>
        <v>-</v>
      </c>
      <c r="S144" s="203" t="str">
        <f>IFERROR(VLOOKUP(O144,Database!$A$2:$T$188,19,FALSE),"-")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IFERROR(VLOOKUP(T144,Database!$A$2:$M$188,8,FALSE),"-")</f>
        <v>-</v>
      </c>
      <c r="V144" s="76" t="str">
        <f>IFERROR(VLOOKUP(T144,Database!$A$2:$M$188,6,FALSE),"-")</f>
        <v>-</v>
      </c>
      <c r="W144" s="80" t="str">
        <f>IFERROR(VLOOKUP(T144,Database!$A$2:$M$188,9,FALSE),"-")</f>
        <v>-</v>
      </c>
      <c r="X144" s="203" t="str">
        <f>IFERROR(VLOOKUP(T144,Database!$A$2:$T$188,19,FALSE),"-")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IFERROR(VLOOKUP(Y144,Database!$A$2:$M$188,8,FALSE),"-")</f>
        <v>-</v>
      </c>
      <c r="AA144" s="77" t="str">
        <f>IFERROR(VLOOKUP(Y144,Database!$A$2:$M$188,6,FALSE),"-")</f>
        <v>-</v>
      </c>
      <c r="AB144" s="90" t="str">
        <f>IFERROR(VLOOKUP(Y144,Database!$A$2:$M$188,9,FALSE),"-")</f>
        <v>-</v>
      </c>
      <c r="AC144" s="8" t="str">
        <f>IFERROR(VLOOKUP(Y144,Database!$A$2:$T$188,19,FALSE),"-")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IFERROR(VLOOKUP(E145,Database!$A$2:$M$188,8,FALSE),"-")</f>
        <v>-</v>
      </c>
      <c r="G145" s="76" t="str">
        <f>IFERROR(VLOOKUP(E145,Database!$A$2:$M$188,6,FALSE),"-")</f>
        <v>-</v>
      </c>
      <c r="H145" s="91" t="str">
        <f>IFERROR(VLOOKUP(E145,Database!$A$2:$M$188,9,FALSE),"-")</f>
        <v>-</v>
      </c>
      <c r="I145" s="109" t="str">
        <f>IFERROR(VLOOKUP(E145,Database!$A$2:$T$188,19,FALSE),"-")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IFERROR(VLOOKUP(J145,Database!$A$2:$M$188,8,FALSE),"-")</f>
        <v>-</v>
      </c>
      <c r="L145" s="76" t="str">
        <f>IFERROR(VLOOKUP(J145,Database!$A$2:$M$188,6,FALSE),"-")</f>
        <v>-</v>
      </c>
      <c r="M145" s="91" t="str">
        <f>IFERROR(VLOOKUP(J145,Database!$A$2:$M$188,9,FALSE),"-")</f>
        <v>-</v>
      </c>
      <c r="N145" s="203" t="str">
        <f>IFERROR(VLOOKUP(J145,Database!$A$2:$T$188,19,FALSE),"-")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IFERROR(VLOOKUP(O145,Database!$A$2:$M$188,8,FALSE),"-")</f>
        <v>-</v>
      </c>
      <c r="Q145" s="76" t="str">
        <f>IFERROR(VLOOKUP(O145,Database!$A$2:$M$188,6,FALSE),"-")</f>
        <v>-</v>
      </c>
      <c r="R145" s="80" t="str">
        <f>IFERROR(VLOOKUP(O145,Database!$A$2:$M$188,9,FALSE),"-")</f>
        <v>-</v>
      </c>
      <c r="S145" s="203" t="str">
        <f>IFERROR(VLOOKUP(O145,Database!$A$2:$T$188,19,FALSE),"-")</f>
        <v>-</v>
      </c>
      <c r="T145" s="95">
        <f>IF(AND(D145="Y",booking!P145&lt;&gt;booking!Q145,booking!Q145&gt;0),booking!Q145,"-")</f>
        <v>41</v>
      </c>
      <c r="U145" s="76" t="str">
        <f>IFERROR(VLOOKUP(T145,Database!$A$2:$M$188,8,FALSE),"-")</f>
        <v>bc</v>
      </c>
      <c r="V145" s="76">
        <f>IFERROR(VLOOKUP(T145,Database!$A$2:$M$188,6,FALSE),"-")</f>
        <v>46035</v>
      </c>
      <c r="W145" s="80">
        <f>IFERROR(VLOOKUP(T145,Database!$A$2:$M$188,9,FALSE),"-")</f>
        <v>0</v>
      </c>
      <c r="X145" s="203">
        <f>IFERROR(VLOOKUP(T145,Database!$A$2:$T$188,19,FALSE),"-")</f>
        <v>2850</v>
      </c>
      <c r="Y145" s="94">
        <f>IF(AND(D145="Y",booking!T145&lt;&gt;booking!U145,booking!U145&gt;0),booking!U145,"-")</f>
        <v>42</v>
      </c>
      <c r="Z145" s="77" t="str">
        <f>IFERROR(VLOOKUP(Y145,Database!$A$2:$M$188,8,FALSE),"-")</f>
        <v>bc</v>
      </c>
      <c r="AA145" s="77">
        <f>IFERROR(VLOOKUP(Y145,Database!$A$2:$M$188,6,FALSE),"-")</f>
        <v>46036</v>
      </c>
      <c r="AB145" s="90">
        <f>IFERROR(VLOOKUP(Y145,Database!$A$2:$M$188,9,FALSE),"-")</f>
        <v>0</v>
      </c>
      <c r="AC145" s="8">
        <f>IFERROR(VLOOKUP(Y145,Database!$A$2:$T$188,19,FALSE),"-")</f>
        <v>2550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 t="str">
        <f>IFERROR(VLOOKUP(E146,Database!$A$2:$M$188,8,FALSE),"-")</f>
        <v>bc</v>
      </c>
      <c r="G146" s="76">
        <f>IFERROR(VLOOKUP(E146,Database!$A$2:$M$188,6,FALSE),"-")</f>
        <v>46186</v>
      </c>
      <c r="H146" s="91">
        <f>IFERROR(VLOOKUP(E146,Database!$A$2:$M$188,9,FALSE),"-")</f>
        <v>0</v>
      </c>
      <c r="I146" s="109">
        <f>IFERROR(VLOOKUP(E146,Database!$A$2:$T$188,19,FALSE),"-")</f>
        <v>1700</v>
      </c>
      <c r="J146" s="94" t="str">
        <f>IF(AND(D146="Y",booking!H146&lt;&gt;booking!I146,booking!I146&gt;0),booking!I146,"-")</f>
        <v>-</v>
      </c>
      <c r="K146" s="76" t="str">
        <f>IFERROR(VLOOKUP(J146,Database!$A$2:$M$188,8,FALSE),"-")</f>
        <v>-</v>
      </c>
      <c r="L146" s="76" t="str">
        <f>IFERROR(VLOOKUP(J146,Database!$A$2:$M$188,6,FALSE),"-")</f>
        <v>-</v>
      </c>
      <c r="M146" s="91" t="str">
        <f>IFERROR(VLOOKUP(J146,Database!$A$2:$M$188,9,FALSE),"-")</f>
        <v>-</v>
      </c>
      <c r="N146" s="203" t="str">
        <f>IFERROR(VLOOKUP(J146,Database!$A$2:$T$188,19,FALSE),"-")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IFERROR(VLOOKUP(O146,Database!$A$2:$M$188,8,FALSE),"-")</f>
        <v>-</v>
      </c>
      <c r="Q146" s="76" t="str">
        <f>IFERROR(VLOOKUP(O146,Database!$A$2:$M$188,6,FALSE),"-")</f>
        <v>-</v>
      </c>
      <c r="R146" s="80" t="str">
        <f>IFERROR(VLOOKUP(O146,Database!$A$2:$M$188,9,FALSE),"-")</f>
        <v>-</v>
      </c>
      <c r="S146" s="203" t="str">
        <f>IFERROR(VLOOKUP(O146,Database!$A$2:$T$188,19,FALSE),"-")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IFERROR(VLOOKUP(T146,Database!$A$2:$M$188,8,FALSE),"-")</f>
        <v>-</v>
      </c>
      <c r="V146" s="76" t="str">
        <f>IFERROR(VLOOKUP(T146,Database!$A$2:$M$188,6,FALSE),"-")</f>
        <v>-</v>
      </c>
      <c r="W146" s="80" t="str">
        <f>IFERROR(VLOOKUP(T146,Database!$A$2:$M$188,9,FALSE),"-")</f>
        <v>-</v>
      </c>
      <c r="X146" s="203" t="str">
        <f>IFERROR(VLOOKUP(T146,Database!$A$2:$T$188,19,FALSE),"-")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IFERROR(VLOOKUP(Y146,Database!$A$2:$M$188,8,FALSE),"-")</f>
        <v>-</v>
      </c>
      <c r="AA146" s="77" t="str">
        <f>IFERROR(VLOOKUP(Y146,Database!$A$2:$M$188,6,FALSE),"-")</f>
        <v>-</v>
      </c>
      <c r="AB146" s="90" t="str">
        <f>IFERROR(VLOOKUP(Y146,Database!$A$2:$M$188,9,FALSE),"-")</f>
        <v>-</v>
      </c>
      <c r="AC146" s="8" t="str">
        <f>IFERROR(VLOOKUP(Y146,Database!$A$2:$T$188,19,FALSE),"-")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IFERROR(VLOOKUP(E147,Database!$A$2:$M$188,8,FALSE),"-")</f>
        <v>-</v>
      </c>
      <c r="G147" s="76" t="str">
        <f>IFERROR(VLOOKUP(E147,Database!$A$2:$M$188,6,FALSE),"-")</f>
        <v>-</v>
      </c>
      <c r="H147" s="91" t="str">
        <f>IFERROR(VLOOKUP(E147,Database!$A$2:$M$188,9,FALSE),"-")</f>
        <v>-</v>
      </c>
      <c r="I147" s="109" t="str">
        <f>IFERROR(VLOOKUP(E147,Database!$A$2:$T$188,19,FALSE),"-")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IFERROR(VLOOKUP(J147,Database!$A$2:$M$188,8,FALSE),"-")</f>
        <v>-</v>
      </c>
      <c r="L147" s="76" t="str">
        <f>IFERROR(VLOOKUP(J147,Database!$A$2:$M$188,6,FALSE),"-")</f>
        <v>-</v>
      </c>
      <c r="M147" s="91" t="str">
        <f>IFERROR(VLOOKUP(J147,Database!$A$2:$M$188,9,FALSE),"-")</f>
        <v>-</v>
      </c>
      <c r="N147" s="203" t="str">
        <f>IFERROR(VLOOKUP(J147,Database!$A$2:$T$188,19,FALSE),"-")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IFERROR(VLOOKUP(O147,Database!$A$2:$M$188,8,FALSE),"-")</f>
        <v>-</v>
      </c>
      <c r="Q147" s="76" t="str">
        <f>IFERROR(VLOOKUP(O147,Database!$A$2:$M$188,6,FALSE),"-")</f>
        <v>-</v>
      </c>
      <c r="R147" s="80" t="str">
        <f>IFERROR(VLOOKUP(O147,Database!$A$2:$M$188,9,FALSE),"-")</f>
        <v>-</v>
      </c>
      <c r="S147" s="203" t="str">
        <f>IFERROR(VLOOKUP(O147,Database!$A$2:$T$188,19,FALSE),"-")</f>
        <v>-</v>
      </c>
      <c r="T147" s="95">
        <f>IF(AND(D147="Y",booking!P147&lt;&gt;booking!Q147,booking!Q147&gt;0),booking!Q147,"-")</f>
        <v>153</v>
      </c>
      <c r="U147" s="76" t="str">
        <f>IFERROR(VLOOKUP(T147,Database!$A$2:$M$188,8,FALSE),"-")</f>
        <v>web</v>
      </c>
      <c r="V147" s="76">
        <f>IFERROR(VLOOKUP(T147,Database!$A$2:$M$188,6,FALSE),"-")</f>
        <v>46201</v>
      </c>
      <c r="W147" s="80">
        <f>IFERROR(VLOOKUP(T147,Database!$A$2:$M$188,9,FALSE),"-")</f>
        <v>0</v>
      </c>
      <c r="X147" s="203">
        <f>IFERROR(VLOOKUP(T147,Database!$A$2:$T$188,19,FALSE),"-")</f>
        <v>7245</v>
      </c>
      <c r="Y147" s="94" t="str">
        <f>IF(AND(D147="Y",booking!T147&lt;&gt;booking!U147,booking!U147&gt;0),booking!U147,"-")</f>
        <v>-</v>
      </c>
      <c r="Z147" s="77" t="str">
        <f>IFERROR(VLOOKUP(Y147,Database!$A$2:$M$188,8,FALSE),"-")</f>
        <v>-</v>
      </c>
      <c r="AA147" s="77" t="str">
        <f>IFERROR(VLOOKUP(Y147,Database!$A$2:$M$188,6,FALSE),"-")</f>
        <v>-</v>
      </c>
      <c r="AB147" s="90" t="str">
        <f>IFERROR(VLOOKUP(Y147,Database!$A$2:$M$188,9,FALSE),"-")</f>
        <v>-</v>
      </c>
      <c r="AC147" s="8" t="str">
        <f>IFERROR(VLOOKUP(Y147,Database!$A$2:$T$188,19,FALSE),"-")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IFERROR(VLOOKUP(E148,Database!$A$2:$M$188,8,FALSE),"-")</f>
        <v>-</v>
      </c>
      <c r="G148" s="76" t="str">
        <f>IFERROR(VLOOKUP(E148,Database!$A$2:$M$188,6,FALSE),"-")</f>
        <v>-</v>
      </c>
      <c r="H148" s="91" t="str">
        <f>IFERROR(VLOOKUP(E148,Database!$A$2:$M$188,9,FALSE),"-")</f>
        <v>-</v>
      </c>
      <c r="I148" s="109" t="str">
        <f>IFERROR(VLOOKUP(E148,Database!$A$2:$T$188,19,FALSE),"-")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IFERROR(VLOOKUP(J148,Database!$A$2:$M$188,8,FALSE),"-")</f>
        <v>-</v>
      </c>
      <c r="L148" s="76" t="str">
        <f>IFERROR(VLOOKUP(J148,Database!$A$2:$M$188,6,FALSE),"-")</f>
        <v>-</v>
      </c>
      <c r="M148" s="91" t="str">
        <f>IFERROR(VLOOKUP(J148,Database!$A$2:$M$188,9,FALSE),"-")</f>
        <v>-</v>
      </c>
      <c r="N148" s="203" t="str">
        <f>IFERROR(VLOOKUP(J148,Database!$A$2:$T$188,19,FALSE),"-")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IFERROR(VLOOKUP(O148,Database!$A$2:$M$188,8,FALSE),"-")</f>
        <v>web</v>
      </c>
      <c r="Q148" s="76">
        <f>IFERROR(VLOOKUP(O148,Database!$A$2:$M$188,6,FALSE),"-")</f>
        <v>46177</v>
      </c>
      <c r="R148" s="80">
        <f>IFERROR(VLOOKUP(O148,Database!$A$2:$M$188,9,FALSE),"-")</f>
        <v>0</v>
      </c>
      <c r="S148" s="203">
        <f>IFERROR(VLOOKUP(O148,Database!$A$2:$T$188,19,FALSE),"-")</f>
        <v>5175</v>
      </c>
      <c r="T148" s="95" t="str">
        <f>IF(AND(D148="Y",booking!P148&lt;&gt;booking!Q148,booking!Q148&gt;0),booking!Q148,"-")</f>
        <v>-</v>
      </c>
      <c r="U148" s="76" t="str">
        <f>IFERROR(VLOOKUP(T148,Database!$A$2:$M$188,8,FALSE),"-")</f>
        <v>-</v>
      </c>
      <c r="V148" s="76" t="str">
        <f>IFERROR(VLOOKUP(T148,Database!$A$2:$M$188,6,FALSE),"-")</f>
        <v>-</v>
      </c>
      <c r="W148" s="80" t="str">
        <f>IFERROR(VLOOKUP(T148,Database!$A$2:$M$188,9,FALSE),"-")</f>
        <v>-</v>
      </c>
      <c r="X148" s="203" t="str">
        <f>IFERROR(VLOOKUP(T148,Database!$A$2:$T$188,19,FALSE),"-")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IFERROR(VLOOKUP(Y148,Database!$A$2:$M$188,8,FALSE),"-")</f>
        <v>-</v>
      </c>
      <c r="AA148" s="77" t="str">
        <f>IFERROR(VLOOKUP(Y148,Database!$A$2:$M$188,6,FALSE),"-")</f>
        <v>-</v>
      </c>
      <c r="AB148" s="90" t="str">
        <f>IFERROR(VLOOKUP(Y148,Database!$A$2:$M$188,9,FALSE),"-")</f>
        <v>-</v>
      </c>
      <c r="AC148" s="8" t="str">
        <f>IFERROR(VLOOKUP(Y148,Database!$A$2:$T$188,19,FALSE),"-")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IFERROR(VLOOKUP(E149,Database!$A$2:$M$188,8,FALSE),"-")</f>
        <v>-</v>
      </c>
      <c r="G149" s="76" t="str">
        <f>IFERROR(VLOOKUP(E149,Database!$A$2:$M$188,6,FALSE),"-")</f>
        <v>-</v>
      </c>
      <c r="H149" s="91" t="str">
        <f>IFERROR(VLOOKUP(E149,Database!$A$2:$M$188,9,FALSE),"-")</f>
        <v>-</v>
      </c>
      <c r="I149" s="109" t="str">
        <f>IFERROR(VLOOKUP(E149,Database!$A$2:$T$188,19,FALSE),"-")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IFERROR(VLOOKUP(J149,Database!$A$2:$M$188,8,FALSE),"-")</f>
        <v>-</v>
      </c>
      <c r="L149" s="76" t="str">
        <f>IFERROR(VLOOKUP(J149,Database!$A$2:$M$188,6,FALSE),"-")</f>
        <v>-</v>
      </c>
      <c r="M149" s="91" t="str">
        <f>IFERROR(VLOOKUP(J149,Database!$A$2:$M$188,9,FALSE),"-")</f>
        <v>-</v>
      </c>
      <c r="N149" s="203" t="str">
        <f>IFERROR(VLOOKUP(J149,Database!$A$2:$T$188,19,FALSE),"-")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IFERROR(VLOOKUP(O149,Database!$A$2:$M$188,8,FALSE),"-")</f>
        <v>-</v>
      </c>
      <c r="Q149" s="76" t="str">
        <f>IFERROR(VLOOKUP(O149,Database!$A$2:$M$188,6,FALSE),"-")</f>
        <v>-</v>
      </c>
      <c r="R149" s="80" t="str">
        <f>IFERROR(VLOOKUP(O149,Database!$A$2:$M$188,9,FALSE),"-")</f>
        <v>-</v>
      </c>
      <c r="S149" s="203" t="str">
        <f>IFERROR(VLOOKUP(O149,Database!$A$2:$T$188,19,FALSE),"-")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IFERROR(VLOOKUP(T149,Database!$A$2:$M$188,8,FALSE),"-")</f>
        <v>-</v>
      </c>
      <c r="V149" s="76" t="str">
        <f>IFERROR(VLOOKUP(T149,Database!$A$2:$M$188,6,FALSE),"-")</f>
        <v>-</v>
      </c>
      <c r="W149" s="80" t="str">
        <f>IFERROR(VLOOKUP(T149,Database!$A$2:$M$188,9,FALSE),"-")</f>
        <v>-</v>
      </c>
      <c r="X149" s="203" t="str">
        <f>IFERROR(VLOOKUP(T149,Database!$A$2:$T$188,19,FALSE),"-")</f>
        <v>-</v>
      </c>
      <c r="Y149" s="94">
        <f>IF(AND(D149="Y",booking!T149&lt;&gt;booking!U149,booking!U149&gt;0),booking!U149,"-")</f>
        <v>124</v>
      </c>
      <c r="Z149" s="77" t="str">
        <f>IFERROR(VLOOKUP(Y149,Database!$A$2:$M$188,8,FALSE),"-")</f>
        <v>bc</v>
      </c>
      <c r="AA149" s="77">
        <f>IFERROR(VLOOKUP(Y149,Database!$A$2:$M$188,6,FALSE),"-")</f>
        <v>46146</v>
      </c>
      <c r="AB149" s="90">
        <f>IFERROR(VLOOKUP(Y149,Database!$A$2:$M$188,9,FALSE),"-")</f>
        <v>0</v>
      </c>
      <c r="AC149" s="8">
        <f>IFERROR(VLOOKUP(Y149,Database!$A$2:$T$188,19,FALSE),"-")</f>
        <v>4750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IFERROR(VLOOKUP(E150,Database!$A$2:$M$188,8,FALSE),"-")</f>
        <v>-</v>
      </c>
      <c r="G150" s="76" t="str">
        <f>IFERROR(VLOOKUP(E150,Database!$A$2:$M$188,6,FALSE),"-")</f>
        <v>-</v>
      </c>
      <c r="H150" s="91" t="str">
        <f>IFERROR(VLOOKUP(E150,Database!$A$2:$M$188,9,FALSE),"-")</f>
        <v>-</v>
      </c>
      <c r="I150" s="109" t="str">
        <f>IFERROR(VLOOKUP(E150,Database!$A$2:$T$188,19,FALSE),"-")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IFERROR(VLOOKUP(J150,Database!$A$2:$M$188,8,FALSE),"-")</f>
        <v>-</v>
      </c>
      <c r="L150" s="76" t="str">
        <f>IFERROR(VLOOKUP(J150,Database!$A$2:$M$188,6,FALSE),"-")</f>
        <v>-</v>
      </c>
      <c r="M150" s="91" t="str">
        <f>IFERROR(VLOOKUP(J150,Database!$A$2:$M$188,9,FALSE),"-")</f>
        <v>-</v>
      </c>
      <c r="N150" s="203" t="str">
        <f>IFERROR(VLOOKUP(J150,Database!$A$2:$T$188,19,FALSE),"-")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IFERROR(VLOOKUP(O150,Database!$A$2:$M$188,8,FALSE),"-")</f>
        <v>-</v>
      </c>
      <c r="Q150" s="76" t="str">
        <f>IFERROR(VLOOKUP(O150,Database!$A$2:$M$188,6,FALSE),"-")</f>
        <v>-</v>
      </c>
      <c r="R150" s="80" t="str">
        <f>IFERROR(VLOOKUP(O150,Database!$A$2:$M$188,9,FALSE),"-")</f>
        <v>-</v>
      </c>
      <c r="S150" s="203" t="str">
        <f>IFERROR(VLOOKUP(O150,Database!$A$2:$T$188,19,FALSE),"-")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IFERROR(VLOOKUP(T150,Database!$A$2:$M$188,8,FALSE),"-")</f>
        <v>-</v>
      </c>
      <c r="V150" s="76" t="str">
        <f>IFERROR(VLOOKUP(T150,Database!$A$2:$M$188,6,FALSE),"-")</f>
        <v>-</v>
      </c>
      <c r="W150" s="80" t="str">
        <f>IFERROR(VLOOKUP(T150,Database!$A$2:$M$188,9,FALSE),"-")</f>
        <v>-</v>
      </c>
      <c r="X150" s="203" t="str">
        <f>IFERROR(VLOOKUP(T150,Database!$A$2:$T$188,19,FALSE),"-")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IFERROR(VLOOKUP(Y150,Database!$A$2:$M$188,8,FALSE),"-")</f>
        <v>-</v>
      </c>
      <c r="AA150" s="77" t="str">
        <f>IFERROR(VLOOKUP(Y150,Database!$A$2:$M$188,6,FALSE),"-")</f>
        <v>-</v>
      </c>
      <c r="AB150" s="90" t="str">
        <f>IFERROR(VLOOKUP(Y150,Database!$A$2:$M$188,9,FALSE),"-")</f>
        <v>-</v>
      </c>
      <c r="AC150" s="8" t="str">
        <f>IFERROR(VLOOKUP(Y150,Database!$A$2:$T$188,19,FALSE),"-")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IFERROR(VLOOKUP(E151,Database!$A$2:$M$188,8,FALSE),"-")</f>
        <v>-</v>
      </c>
      <c r="G151" s="76" t="str">
        <f>IFERROR(VLOOKUP(E151,Database!$A$2:$M$188,6,FALSE),"-")</f>
        <v>-</v>
      </c>
      <c r="H151" s="91" t="str">
        <f>IFERROR(VLOOKUP(E151,Database!$A$2:$M$188,9,FALSE),"-")</f>
        <v>-</v>
      </c>
      <c r="I151" s="109" t="str">
        <f>IFERROR(VLOOKUP(E151,Database!$A$2:$T$188,19,FALSE),"-")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IFERROR(VLOOKUP(J151,Database!$A$2:$M$188,8,FALSE),"-")</f>
        <v>-</v>
      </c>
      <c r="L151" s="76" t="str">
        <f>IFERROR(VLOOKUP(J151,Database!$A$2:$M$188,6,FALSE),"-")</f>
        <v>-</v>
      </c>
      <c r="M151" s="91" t="str">
        <f>IFERROR(VLOOKUP(J151,Database!$A$2:$M$188,9,FALSE),"-")</f>
        <v>-</v>
      </c>
      <c r="N151" s="203" t="str">
        <f>IFERROR(VLOOKUP(J151,Database!$A$2:$T$188,19,FALSE),"-")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IFERROR(VLOOKUP(O151,Database!$A$2:$M$188,8,FALSE),"-")</f>
        <v>-</v>
      </c>
      <c r="Q151" s="76" t="str">
        <f>IFERROR(VLOOKUP(O151,Database!$A$2:$M$188,6,FALSE),"-")</f>
        <v>-</v>
      </c>
      <c r="R151" s="80" t="str">
        <f>IFERROR(VLOOKUP(O151,Database!$A$2:$M$188,9,FALSE),"-")</f>
        <v>-</v>
      </c>
      <c r="S151" s="203" t="str">
        <f>IFERROR(VLOOKUP(O151,Database!$A$2:$T$188,19,FALSE),"-")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IFERROR(VLOOKUP(T151,Database!$A$2:$M$188,8,FALSE),"-")</f>
        <v>-</v>
      </c>
      <c r="V151" s="76" t="str">
        <f>IFERROR(VLOOKUP(T151,Database!$A$2:$M$188,6,FALSE),"-")</f>
        <v>-</v>
      </c>
      <c r="W151" s="80" t="str">
        <f>IFERROR(VLOOKUP(T151,Database!$A$2:$M$188,9,FALSE),"-")</f>
        <v>-</v>
      </c>
      <c r="X151" s="203" t="str">
        <f>IFERROR(VLOOKUP(T151,Database!$A$2:$T$188,19,FALSE),"-")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IFERROR(VLOOKUP(Y151,Database!$A$2:$M$188,8,FALSE),"-")</f>
        <v>-</v>
      </c>
      <c r="AA151" s="77" t="str">
        <f>IFERROR(VLOOKUP(Y151,Database!$A$2:$M$188,6,FALSE),"-")</f>
        <v>-</v>
      </c>
      <c r="AB151" s="90" t="str">
        <f>IFERROR(VLOOKUP(Y151,Database!$A$2:$M$188,9,FALSE),"-")</f>
        <v>-</v>
      </c>
      <c r="AC151" s="8" t="str">
        <f>IFERROR(VLOOKUP(Y151,Database!$A$2:$T$188,19,FALSE),"-")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IFERROR(VLOOKUP(E152,Database!$A$2:$M$188,8,FALSE),"-")</f>
        <v>-</v>
      </c>
      <c r="G152" s="76" t="str">
        <f>IFERROR(VLOOKUP(E152,Database!$A$2:$M$188,6,FALSE),"-")</f>
        <v>-</v>
      </c>
      <c r="H152" s="91" t="str">
        <f>IFERROR(VLOOKUP(E152,Database!$A$2:$M$188,9,FALSE),"-")</f>
        <v>-</v>
      </c>
      <c r="I152" s="109" t="str">
        <f>IFERROR(VLOOKUP(E152,Database!$A$2:$T$188,19,FALSE),"-")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IFERROR(VLOOKUP(J152,Database!$A$2:$M$188,8,FALSE),"-")</f>
        <v>-</v>
      </c>
      <c r="L152" s="76" t="str">
        <f>IFERROR(VLOOKUP(J152,Database!$A$2:$M$188,6,FALSE),"-")</f>
        <v>-</v>
      </c>
      <c r="M152" s="91" t="str">
        <f>IFERROR(VLOOKUP(J152,Database!$A$2:$M$188,9,FALSE),"-")</f>
        <v>-</v>
      </c>
      <c r="N152" s="203" t="str">
        <f>IFERROR(VLOOKUP(J152,Database!$A$2:$T$188,19,FALSE),"-")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IFERROR(VLOOKUP(O152,Database!$A$2:$M$188,8,FALSE),"-")</f>
        <v>-</v>
      </c>
      <c r="Q152" s="76" t="str">
        <f>IFERROR(VLOOKUP(O152,Database!$A$2:$M$188,6,FALSE),"-")</f>
        <v>-</v>
      </c>
      <c r="R152" s="80" t="str">
        <f>IFERROR(VLOOKUP(O152,Database!$A$2:$M$188,9,FALSE),"-")</f>
        <v>-</v>
      </c>
      <c r="S152" s="203" t="str">
        <f>IFERROR(VLOOKUP(O152,Database!$A$2:$T$188,19,FALSE),"-")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IFERROR(VLOOKUP(T152,Database!$A$2:$M$188,8,FALSE),"-")</f>
        <v>-</v>
      </c>
      <c r="V152" s="76" t="str">
        <f>IFERROR(VLOOKUP(T152,Database!$A$2:$M$188,6,FALSE),"-")</f>
        <v>-</v>
      </c>
      <c r="W152" s="80" t="str">
        <f>IFERROR(VLOOKUP(T152,Database!$A$2:$M$188,9,FALSE),"-")</f>
        <v>-</v>
      </c>
      <c r="X152" s="203" t="str">
        <f>IFERROR(VLOOKUP(T152,Database!$A$2:$T$188,19,FALSE),"-")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IFERROR(VLOOKUP(Y152,Database!$A$2:$M$188,8,FALSE),"-")</f>
        <v>-</v>
      </c>
      <c r="AA152" s="77" t="str">
        <f>IFERROR(VLOOKUP(Y152,Database!$A$2:$M$188,6,FALSE),"-")</f>
        <v>-</v>
      </c>
      <c r="AB152" s="90" t="str">
        <f>IFERROR(VLOOKUP(Y152,Database!$A$2:$M$188,9,FALSE),"-")</f>
        <v>-</v>
      </c>
      <c r="AC152" s="8" t="str">
        <f>IFERROR(VLOOKUP(Y152,Database!$A$2:$T$188,19,FALSE),"-")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IFERROR(VLOOKUP(E153,Database!$A$2:$M$188,8,FALSE),"-")</f>
        <v>-</v>
      </c>
      <c r="G153" s="76" t="str">
        <f>IFERROR(VLOOKUP(E153,Database!$A$2:$M$188,6,FALSE),"-")</f>
        <v>-</v>
      </c>
      <c r="H153" s="91" t="str">
        <f>IFERROR(VLOOKUP(E153,Database!$A$2:$M$188,9,FALSE),"-")</f>
        <v>-</v>
      </c>
      <c r="I153" s="109" t="str">
        <f>IFERROR(VLOOKUP(E153,Database!$A$2:$T$188,19,FALSE),"-")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IFERROR(VLOOKUP(J153,Database!$A$2:$M$188,8,FALSE),"-")</f>
        <v>-</v>
      </c>
      <c r="L153" s="76" t="str">
        <f>IFERROR(VLOOKUP(J153,Database!$A$2:$M$188,6,FALSE),"-")</f>
        <v>-</v>
      </c>
      <c r="M153" s="91" t="str">
        <f>IFERROR(VLOOKUP(J153,Database!$A$2:$M$188,9,FALSE),"-")</f>
        <v>-</v>
      </c>
      <c r="N153" s="203" t="str">
        <f>IFERROR(VLOOKUP(J153,Database!$A$2:$T$188,19,FALSE),"-")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IFERROR(VLOOKUP(O153,Database!$A$2:$M$188,8,FALSE),"-")</f>
        <v>-</v>
      </c>
      <c r="Q153" s="76" t="str">
        <f>IFERROR(VLOOKUP(O153,Database!$A$2:$M$188,6,FALSE),"-")</f>
        <v>-</v>
      </c>
      <c r="R153" s="80" t="str">
        <f>IFERROR(VLOOKUP(O153,Database!$A$2:$M$188,9,FALSE),"-")</f>
        <v>-</v>
      </c>
      <c r="S153" s="203" t="str">
        <f>IFERROR(VLOOKUP(O153,Database!$A$2:$T$188,19,FALSE),"-")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IFERROR(VLOOKUP(T153,Database!$A$2:$M$188,8,FALSE),"-")</f>
        <v>-</v>
      </c>
      <c r="V153" s="76" t="str">
        <f>IFERROR(VLOOKUP(T153,Database!$A$2:$M$188,6,FALSE),"-")</f>
        <v>-</v>
      </c>
      <c r="W153" s="80" t="str">
        <f>IFERROR(VLOOKUP(T153,Database!$A$2:$M$188,9,FALSE),"-")</f>
        <v>-</v>
      </c>
      <c r="X153" s="203" t="str">
        <f>IFERROR(VLOOKUP(T153,Database!$A$2:$T$188,19,FALSE),"-")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IFERROR(VLOOKUP(Y153,Database!$A$2:$M$188,8,FALSE),"-")</f>
        <v>-</v>
      </c>
      <c r="AA153" s="77" t="str">
        <f>IFERROR(VLOOKUP(Y153,Database!$A$2:$M$188,6,FALSE),"-")</f>
        <v>-</v>
      </c>
      <c r="AB153" s="90" t="str">
        <f>IFERROR(VLOOKUP(Y153,Database!$A$2:$M$188,9,FALSE),"-")</f>
        <v>-</v>
      </c>
      <c r="AC153" s="8" t="str">
        <f>IFERROR(VLOOKUP(Y153,Database!$A$2:$T$188,19,FALSE),"-")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IFERROR(VLOOKUP(E154,Database!$A$2:$M$188,8,FALSE),"-")</f>
        <v>-</v>
      </c>
      <c r="G154" s="76" t="str">
        <f>IFERROR(VLOOKUP(E154,Database!$A$2:$M$188,6,FALSE),"-")</f>
        <v>-</v>
      </c>
      <c r="H154" s="91" t="str">
        <f>IFERROR(VLOOKUP(E154,Database!$A$2:$M$188,9,FALSE),"-")</f>
        <v>-</v>
      </c>
      <c r="I154" s="109" t="str">
        <f>IFERROR(VLOOKUP(E154,Database!$A$2:$T$188,19,FALSE),"-")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IFERROR(VLOOKUP(J154,Database!$A$2:$M$188,8,FALSE),"-")</f>
        <v>-</v>
      </c>
      <c r="L154" s="76" t="str">
        <f>IFERROR(VLOOKUP(J154,Database!$A$2:$M$188,6,FALSE),"-")</f>
        <v>-</v>
      </c>
      <c r="M154" s="91" t="str">
        <f>IFERROR(VLOOKUP(J154,Database!$A$2:$M$188,9,FALSE),"-")</f>
        <v>-</v>
      </c>
      <c r="N154" s="203" t="str">
        <f>IFERROR(VLOOKUP(J154,Database!$A$2:$T$188,19,FALSE),"-")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IFERROR(VLOOKUP(O154,Database!$A$2:$M$188,8,FALSE),"-")</f>
        <v>-</v>
      </c>
      <c r="Q154" s="76" t="str">
        <f>IFERROR(VLOOKUP(O154,Database!$A$2:$M$188,6,FALSE),"-")</f>
        <v>-</v>
      </c>
      <c r="R154" s="80" t="str">
        <f>IFERROR(VLOOKUP(O154,Database!$A$2:$M$188,9,FALSE),"-")</f>
        <v>-</v>
      </c>
      <c r="S154" s="203" t="str">
        <f>IFERROR(VLOOKUP(O154,Database!$A$2:$T$188,19,FALSE),"-")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IFERROR(VLOOKUP(T154,Database!$A$2:$M$188,8,FALSE),"-")</f>
        <v>-</v>
      </c>
      <c r="V154" s="76" t="str">
        <f>IFERROR(VLOOKUP(T154,Database!$A$2:$M$188,6,FALSE),"-")</f>
        <v>-</v>
      </c>
      <c r="W154" s="80" t="str">
        <f>IFERROR(VLOOKUP(T154,Database!$A$2:$M$188,9,FALSE),"-")</f>
        <v>-</v>
      </c>
      <c r="X154" s="203" t="str">
        <f>IFERROR(VLOOKUP(T154,Database!$A$2:$T$188,19,FALSE),"-")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IFERROR(VLOOKUP(Y154,Database!$A$2:$M$188,8,FALSE),"-")</f>
        <v>-</v>
      </c>
      <c r="AA154" s="77" t="str">
        <f>IFERROR(VLOOKUP(Y154,Database!$A$2:$M$188,6,FALSE),"-")</f>
        <v>-</v>
      </c>
      <c r="AB154" s="90" t="str">
        <f>IFERROR(VLOOKUP(Y154,Database!$A$2:$M$188,9,FALSE),"-")</f>
        <v>-</v>
      </c>
      <c r="AC154" s="8" t="str">
        <f>IFERROR(VLOOKUP(Y154,Database!$A$2:$T$188,19,FALSE),"-")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IFERROR(VLOOKUP(E155,Database!$A$2:$M$188,8,FALSE),"-")</f>
        <v>-</v>
      </c>
      <c r="G155" s="76" t="str">
        <f>IFERROR(VLOOKUP(E155,Database!$A$2:$M$188,6,FALSE),"-")</f>
        <v>-</v>
      </c>
      <c r="H155" s="91" t="str">
        <f>IFERROR(VLOOKUP(E155,Database!$A$2:$M$188,9,FALSE),"-")</f>
        <v>-</v>
      </c>
      <c r="I155" s="109" t="str">
        <f>IFERROR(VLOOKUP(E155,Database!$A$2:$T$188,19,FALSE),"-")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IFERROR(VLOOKUP(J155,Database!$A$2:$M$188,8,FALSE),"-")</f>
        <v>-</v>
      </c>
      <c r="L155" s="76" t="str">
        <f>IFERROR(VLOOKUP(J155,Database!$A$2:$M$188,6,FALSE),"-")</f>
        <v>-</v>
      </c>
      <c r="M155" s="91" t="str">
        <f>IFERROR(VLOOKUP(J155,Database!$A$2:$M$188,9,FALSE),"-")</f>
        <v>-</v>
      </c>
      <c r="N155" s="203" t="str">
        <f>IFERROR(VLOOKUP(J155,Database!$A$2:$T$188,19,FALSE),"-")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IFERROR(VLOOKUP(O155,Database!$A$2:$M$188,8,FALSE),"-")</f>
        <v>-</v>
      </c>
      <c r="Q155" s="76" t="str">
        <f>IFERROR(VLOOKUP(O155,Database!$A$2:$M$188,6,FALSE),"-")</f>
        <v>-</v>
      </c>
      <c r="R155" s="80" t="str">
        <f>IFERROR(VLOOKUP(O155,Database!$A$2:$M$188,9,FALSE),"-")</f>
        <v>-</v>
      </c>
      <c r="S155" s="203" t="str">
        <f>IFERROR(VLOOKUP(O155,Database!$A$2:$T$188,19,FALSE),"-")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IFERROR(VLOOKUP(T155,Database!$A$2:$M$188,8,FALSE),"-")</f>
        <v>-</v>
      </c>
      <c r="V155" s="76" t="str">
        <f>IFERROR(VLOOKUP(T155,Database!$A$2:$M$188,6,FALSE),"-")</f>
        <v>-</v>
      </c>
      <c r="W155" s="80" t="str">
        <f>IFERROR(VLOOKUP(T155,Database!$A$2:$M$188,9,FALSE),"-")</f>
        <v>-</v>
      </c>
      <c r="X155" s="203" t="str">
        <f>IFERROR(VLOOKUP(T155,Database!$A$2:$T$188,19,FALSE),"-")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IFERROR(VLOOKUP(Y155,Database!$A$2:$M$188,8,FALSE),"-")</f>
        <v>-</v>
      </c>
      <c r="AA155" s="77" t="str">
        <f>IFERROR(VLOOKUP(Y155,Database!$A$2:$M$188,6,FALSE),"-")</f>
        <v>-</v>
      </c>
      <c r="AB155" s="90" t="str">
        <f>IFERROR(VLOOKUP(Y155,Database!$A$2:$M$188,9,FALSE),"-")</f>
        <v>-</v>
      </c>
      <c r="AC155" s="8" t="str">
        <f>IFERROR(VLOOKUP(Y155,Database!$A$2:$T$188,19,FALSE),"-")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IFERROR(VLOOKUP(E156,Database!$A$2:$M$188,8,FALSE),"-")</f>
        <v>-</v>
      </c>
      <c r="G156" s="76" t="str">
        <f>IFERROR(VLOOKUP(E156,Database!$A$2:$M$188,6,FALSE),"-")</f>
        <v>-</v>
      </c>
      <c r="H156" s="91" t="str">
        <f>IFERROR(VLOOKUP(E156,Database!$A$2:$M$188,9,FALSE),"-")</f>
        <v>-</v>
      </c>
      <c r="I156" s="109" t="str">
        <f>IFERROR(VLOOKUP(E156,Database!$A$2:$T$188,19,FALSE),"-")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IFERROR(VLOOKUP(J156,Database!$A$2:$M$188,8,FALSE),"-")</f>
        <v>-</v>
      </c>
      <c r="L156" s="76" t="str">
        <f>IFERROR(VLOOKUP(J156,Database!$A$2:$M$188,6,FALSE),"-")</f>
        <v>-</v>
      </c>
      <c r="M156" s="91" t="str">
        <f>IFERROR(VLOOKUP(J156,Database!$A$2:$M$188,9,FALSE),"-")</f>
        <v>-</v>
      </c>
      <c r="N156" s="203" t="str">
        <f>IFERROR(VLOOKUP(J156,Database!$A$2:$T$188,19,FALSE),"-")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IFERROR(VLOOKUP(O156,Database!$A$2:$M$188,8,FALSE),"-")</f>
        <v>-</v>
      </c>
      <c r="Q156" s="76" t="str">
        <f>IFERROR(VLOOKUP(O156,Database!$A$2:$M$188,6,FALSE),"-")</f>
        <v>-</v>
      </c>
      <c r="R156" s="80" t="str">
        <f>IFERROR(VLOOKUP(O156,Database!$A$2:$M$188,9,FALSE),"-")</f>
        <v>-</v>
      </c>
      <c r="S156" s="203" t="str">
        <f>IFERROR(VLOOKUP(O156,Database!$A$2:$T$188,19,FALSE),"-")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IFERROR(VLOOKUP(T156,Database!$A$2:$M$188,8,FALSE),"-")</f>
        <v>-</v>
      </c>
      <c r="V156" s="76" t="str">
        <f>IFERROR(VLOOKUP(T156,Database!$A$2:$M$188,6,FALSE),"-")</f>
        <v>-</v>
      </c>
      <c r="W156" s="80" t="str">
        <f>IFERROR(VLOOKUP(T156,Database!$A$2:$M$188,9,FALSE),"-")</f>
        <v>-</v>
      </c>
      <c r="X156" s="203" t="str">
        <f>IFERROR(VLOOKUP(T156,Database!$A$2:$T$188,19,FALSE),"-")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IFERROR(VLOOKUP(Y156,Database!$A$2:$M$188,8,FALSE),"-")</f>
        <v>-</v>
      </c>
      <c r="AA156" s="77" t="str">
        <f>IFERROR(VLOOKUP(Y156,Database!$A$2:$M$188,6,FALSE),"-")</f>
        <v>-</v>
      </c>
      <c r="AB156" s="90" t="str">
        <f>IFERROR(VLOOKUP(Y156,Database!$A$2:$M$188,9,FALSE),"-")</f>
        <v>-</v>
      </c>
      <c r="AC156" s="8" t="str">
        <f>IFERROR(VLOOKUP(Y156,Database!$A$2:$T$188,19,FALSE),"-")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IFERROR(VLOOKUP(E157,Database!$A$2:$M$188,8,FALSE),"-")</f>
        <v>-</v>
      </c>
      <c r="G157" s="76" t="str">
        <f>IFERROR(VLOOKUP(E157,Database!$A$2:$M$188,6,FALSE),"-")</f>
        <v>-</v>
      </c>
      <c r="H157" s="91" t="str">
        <f>IFERROR(VLOOKUP(E157,Database!$A$2:$M$188,9,FALSE),"-")</f>
        <v>-</v>
      </c>
      <c r="I157" s="109" t="str">
        <f>IFERROR(VLOOKUP(E157,Database!$A$2:$T$188,19,FALSE),"-")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IFERROR(VLOOKUP(J157,Database!$A$2:$M$188,8,FALSE),"-")</f>
        <v>-</v>
      </c>
      <c r="L157" s="76" t="str">
        <f>IFERROR(VLOOKUP(J157,Database!$A$2:$M$188,6,FALSE),"-")</f>
        <v>-</v>
      </c>
      <c r="M157" s="91" t="str">
        <f>IFERROR(VLOOKUP(J157,Database!$A$2:$M$188,9,FALSE),"-")</f>
        <v>-</v>
      </c>
      <c r="N157" s="203" t="str">
        <f>IFERROR(VLOOKUP(J157,Database!$A$2:$T$188,19,FALSE),"-")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IFERROR(VLOOKUP(O157,Database!$A$2:$M$188,8,FALSE),"-")</f>
        <v>-</v>
      </c>
      <c r="Q157" s="76" t="str">
        <f>IFERROR(VLOOKUP(O157,Database!$A$2:$M$188,6,FALSE),"-")</f>
        <v>-</v>
      </c>
      <c r="R157" s="80" t="str">
        <f>IFERROR(VLOOKUP(O157,Database!$A$2:$M$188,9,FALSE),"-")</f>
        <v>-</v>
      </c>
      <c r="S157" s="203" t="str">
        <f>IFERROR(VLOOKUP(O157,Database!$A$2:$T$188,19,FALSE),"-")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IFERROR(VLOOKUP(T157,Database!$A$2:$M$188,8,FALSE),"-")</f>
        <v>-</v>
      </c>
      <c r="V157" s="76" t="str">
        <f>IFERROR(VLOOKUP(T157,Database!$A$2:$M$188,6,FALSE),"-")</f>
        <v>-</v>
      </c>
      <c r="W157" s="80" t="str">
        <f>IFERROR(VLOOKUP(T157,Database!$A$2:$M$188,9,FALSE),"-")</f>
        <v>-</v>
      </c>
      <c r="X157" s="203" t="str">
        <f>IFERROR(VLOOKUP(T157,Database!$A$2:$T$188,19,FALSE),"-")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IFERROR(VLOOKUP(Y157,Database!$A$2:$M$188,8,FALSE),"-")</f>
        <v>-</v>
      </c>
      <c r="AA157" s="77" t="str">
        <f>IFERROR(VLOOKUP(Y157,Database!$A$2:$M$188,6,FALSE),"-")</f>
        <v>-</v>
      </c>
      <c r="AB157" s="90" t="str">
        <f>IFERROR(VLOOKUP(Y157,Database!$A$2:$M$188,9,FALSE),"-")</f>
        <v>-</v>
      </c>
      <c r="AC157" s="8" t="str">
        <f>IFERROR(VLOOKUP(Y157,Database!$A$2:$T$188,19,FALSE),"-")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IFERROR(VLOOKUP(E158,Database!$A$2:$M$188,8,FALSE),"-")</f>
        <v>-</v>
      </c>
      <c r="G158" s="76" t="str">
        <f>IFERROR(VLOOKUP(E158,Database!$A$2:$M$188,6,FALSE),"-")</f>
        <v>-</v>
      </c>
      <c r="H158" s="91" t="str">
        <f>IFERROR(VLOOKUP(E158,Database!$A$2:$M$188,9,FALSE),"-")</f>
        <v>-</v>
      </c>
      <c r="I158" s="109" t="str">
        <f>IFERROR(VLOOKUP(E158,Database!$A$2:$T$188,19,FALSE),"-")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IFERROR(VLOOKUP(J158,Database!$A$2:$M$188,8,FALSE),"-")</f>
        <v>-</v>
      </c>
      <c r="L158" s="76" t="str">
        <f>IFERROR(VLOOKUP(J158,Database!$A$2:$M$188,6,FALSE),"-")</f>
        <v>-</v>
      </c>
      <c r="M158" s="91" t="str">
        <f>IFERROR(VLOOKUP(J158,Database!$A$2:$M$188,9,FALSE),"-")</f>
        <v>-</v>
      </c>
      <c r="N158" s="203" t="str">
        <f>IFERROR(VLOOKUP(J158,Database!$A$2:$T$188,19,FALSE),"-")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IFERROR(VLOOKUP(O158,Database!$A$2:$M$188,8,FALSE),"-")</f>
        <v>-</v>
      </c>
      <c r="Q158" s="76" t="str">
        <f>IFERROR(VLOOKUP(O158,Database!$A$2:$M$188,6,FALSE),"-")</f>
        <v>-</v>
      </c>
      <c r="R158" s="80" t="str">
        <f>IFERROR(VLOOKUP(O158,Database!$A$2:$M$188,9,FALSE),"-")</f>
        <v>-</v>
      </c>
      <c r="S158" s="203" t="str">
        <f>IFERROR(VLOOKUP(O158,Database!$A$2:$T$188,19,FALSE),"-")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IFERROR(VLOOKUP(T158,Database!$A$2:$M$188,8,FALSE),"-")</f>
        <v>-</v>
      </c>
      <c r="V158" s="76" t="str">
        <f>IFERROR(VLOOKUP(T158,Database!$A$2:$M$188,6,FALSE),"-")</f>
        <v>-</v>
      </c>
      <c r="W158" s="80" t="str">
        <f>IFERROR(VLOOKUP(T158,Database!$A$2:$M$188,9,FALSE),"-")</f>
        <v>-</v>
      </c>
      <c r="X158" s="203" t="str">
        <f>IFERROR(VLOOKUP(T158,Database!$A$2:$T$188,19,FALSE),"-")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IFERROR(VLOOKUP(Y158,Database!$A$2:$M$188,8,FALSE),"-")</f>
        <v>-</v>
      </c>
      <c r="AA158" s="77" t="str">
        <f>IFERROR(VLOOKUP(Y158,Database!$A$2:$M$188,6,FALSE),"-")</f>
        <v>-</v>
      </c>
      <c r="AB158" s="90" t="str">
        <f>IFERROR(VLOOKUP(Y158,Database!$A$2:$M$188,9,FALSE),"-")</f>
        <v>-</v>
      </c>
      <c r="AC158" s="8" t="str">
        <f>IFERROR(VLOOKUP(Y158,Database!$A$2:$T$188,19,FALSE),"-")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IFERROR(VLOOKUP(E159,Database!$A$2:$M$188,8,FALSE),"-")</f>
        <v>-</v>
      </c>
      <c r="G159" s="76" t="str">
        <f>IFERROR(VLOOKUP(E159,Database!$A$2:$M$188,6,FALSE),"-")</f>
        <v>-</v>
      </c>
      <c r="H159" s="91" t="str">
        <f>IFERROR(VLOOKUP(E159,Database!$A$2:$M$188,9,FALSE),"-")</f>
        <v>-</v>
      </c>
      <c r="I159" s="109" t="str">
        <f>IFERROR(VLOOKUP(E159,Database!$A$2:$T$188,19,FALSE),"-")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IFERROR(VLOOKUP(J159,Database!$A$2:$M$188,8,FALSE),"-")</f>
        <v>-</v>
      </c>
      <c r="L159" s="76" t="str">
        <f>IFERROR(VLOOKUP(J159,Database!$A$2:$M$188,6,FALSE),"-")</f>
        <v>-</v>
      </c>
      <c r="M159" s="91" t="str">
        <f>IFERROR(VLOOKUP(J159,Database!$A$2:$M$188,9,FALSE),"-")</f>
        <v>-</v>
      </c>
      <c r="N159" s="203" t="str">
        <f>IFERROR(VLOOKUP(J159,Database!$A$2:$T$188,19,FALSE),"-")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IFERROR(VLOOKUP(O159,Database!$A$2:$M$188,8,FALSE),"-")</f>
        <v>-</v>
      </c>
      <c r="Q159" s="76" t="str">
        <f>IFERROR(VLOOKUP(O159,Database!$A$2:$M$188,6,FALSE),"-")</f>
        <v>-</v>
      </c>
      <c r="R159" s="80" t="str">
        <f>IFERROR(VLOOKUP(O159,Database!$A$2:$M$188,9,FALSE),"-")</f>
        <v>-</v>
      </c>
      <c r="S159" s="203" t="str">
        <f>IFERROR(VLOOKUP(O159,Database!$A$2:$T$188,19,FALSE),"-")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IFERROR(VLOOKUP(T159,Database!$A$2:$M$188,8,FALSE),"-")</f>
        <v>-</v>
      </c>
      <c r="V159" s="76" t="str">
        <f>IFERROR(VLOOKUP(T159,Database!$A$2:$M$188,6,FALSE),"-")</f>
        <v>-</v>
      </c>
      <c r="W159" s="80" t="str">
        <f>IFERROR(VLOOKUP(T159,Database!$A$2:$M$188,9,FALSE),"-")</f>
        <v>-</v>
      </c>
      <c r="X159" s="203" t="str">
        <f>IFERROR(VLOOKUP(T159,Database!$A$2:$T$188,19,FALSE),"-")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IFERROR(VLOOKUP(Y159,Database!$A$2:$M$188,8,FALSE),"-")</f>
        <v>-</v>
      </c>
      <c r="AA159" s="77" t="str">
        <f>IFERROR(VLOOKUP(Y159,Database!$A$2:$M$188,6,FALSE),"-")</f>
        <v>-</v>
      </c>
      <c r="AB159" s="90" t="str">
        <f>IFERROR(VLOOKUP(Y159,Database!$A$2:$M$188,9,FALSE),"-")</f>
        <v>-</v>
      </c>
      <c r="AC159" s="8" t="str">
        <f>IFERROR(VLOOKUP(Y159,Database!$A$2:$T$188,19,FALSE),"-")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IFERROR(VLOOKUP(E160,Database!$A$2:$M$188,8,FALSE),"-")</f>
        <v>-</v>
      </c>
      <c r="G160" s="76" t="str">
        <f>IFERROR(VLOOKUP(E160,Database!$A$2:$M$188,6,FALSE),"-")</f>
        <v>-</v>
      </c>
      <c r="H160" s="91" t="str">
        <f>IFERROR(VLOOKUP(E160,Database!$A$2:$M$188,9,FALSE),"-")</f>
        <v>-</v>
      </c>
      <c r="I160" s="109" t="str">
        <f>IFERROR(VLOOKUP(E160,Database!$A$2:$T$188,19,FALSE),"-")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IFERROR(VLOOKUP(J160,Database!$A$2:$M$188,8,FALSE),"-")</f>
        <v>-</v>
      </c>
      <c r="L160" s="76" t="str">
        <f>IFERROR(VLOOKUP(J160,Database!$A$2:$M$188,6,FALSE),"-")</f>
        <v>-</v>
      </c>
      <c r="M160" s="91" t="str">
        <f>IFERROR(VLOOKUP(J160,Database!$A$2:$M$188,9,FALSE),"-")</f>
        <v>-</v>
      </c>
      <c r="N160" s="203" t="str">
        <f>IFERROR(VLOOKUP(J160,Database!$A$2:$T$188,19,FALSE),"-")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IFERROR(VLOOKUP(O160,Database!$A$2:$M$188,8,FALSE),"-")</f>
        <v>-</v>
      </c>
      <c r="Q160" s="76" t="str">
        <f>IFERROR(VLOOKUP(O160,Database!$A$2:$M$188,6,FALSE),"-")</f>
        <v>-</v>
      </c>
      <c r="R160" s="80" t="str">
        <f>IFERROR(VLOOKUP(O160,Database!$A$2:$M$188,9,FALSE),"-")</f>
        <v>-</v>
      </c>
      <c r="S160" s="203" t="str">
        <f>IFERROR(VLOOKUP(O160,Database!$A$2:$T$188,19,FALSE),"-")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IFERROR(VLOOKUP(T160,Database!$A$2:$M$188,8,FALSE),"-")</f>
        <v>-</v>
      </c>
      <c r="V160" s="76" t="str">
        <f>IFERROR(VLOOKUP(T160,Database!$A$2:$M$188,6,FALSE),"-")</f>
        <v>-</v>
      </c>
      <c r="W160" s="80" t="str">
        <f>IFERROR(VLOOKUP(T160,Database!$A$2:$M$188,9,FALSE),"-")</f>
        <v>-</v>
      </c>
      <c r="X160" s="203" t="str">
        <f>IFERROR(VLOOKUP(T160,Database!$A$2:$T$188,19,FALSE),"-")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IFERROR(VLOOKUP(Y160,Database!$A$2:$M$188,8,FALSE),"-")</f>
        <v>-</v>
      </c>
      <c r="AA160" s="77" t="str">
        <f>IFERROR(VLOOKUP(Y160,Database!$A$2:$M$188,6,FALSE),"-")</f>
        <v>-</v>
      </c>
      <c r="AB160" s="90" t="str">
        <f>IFERROR(VLOOKUP(Y160,Database!$A$2:$M$188,9,FALSE),"-")</f>
        <v>-</v>
      </c>
      <c r="AC160" s="8" t="str">
        <f>IFERROR(VLOOKUP(Y160,Database!$A$2:$T$188,19,FALSE),"-")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IFERROR(VLOOKUP(E161,Database!$A$2:$M$188,8,FALSE),"-")</f>
        <v>-</v>
      </c>
      <c r="G161" s="76" t="str">
        <f>IFERROR(VLOOKUP(E161,Database!$A$2:$M$188,6,FALSE),"-")</f>
        <v>-</v>
      </c>
      <c r="H161" s="91" t="str">
        <f>IFERROR(VLOOKUP(E161,Database!$A$2:$M$188,9,FALSE),"-")</f>
        <v>-</v>
      </c>
      <c r="I161" s="109" t="str">
        <f>IFERROR(VLOOKUP(E161,Database!$A$2:$T$188,19,FALSE),"-")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IFERROR(VLOOKUP(J161,Database!$A$2:$M$188,8,FALSE),"-")</f>
        <v>-</v>
      </c>
      <c r="L161" s="76" t="str">
        <f>IFERROR(VLOOKUP(J161,Database!$A$2:$M$188,6,FALSE),"-")</f>
        <v>-</v>
      </c>
      <c r="M161" s="91" t="str">
        <f>IFERROR(VLOOKUP(J161,Database!$A$2:$M$188,9,FALSE),"-")</f>
        <v>-</v>
      </c>
      <c r="N161" s="203" t="str">
        <f>IFERROR(VLOOKUP(J161,Database!$A$2:$T$188,19,FALSE),"-")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IFERROR(VLOOKUP(O161,Database!$A$2:$M$188,8,FALSE),"-")</f>
        <v>-</v>
      </c>
      <c r="Q161" s="76" t="str">
        <f>IFERROR(VLOOKUP(O161,Database!$A$2:$M$188,6,FALSE),"-")</f>
        <v>-</v>
      </c>
      <c r="R161" s="80" t="str">
        <f>IFERROR(VLOOKUP(O161,Database!$A$2:$M$188,9,FALSE),"-")</f>
        <v>-</v>
      </c>
      <c r="S161" s="203" t="str">
        <f>IFERROR(VLOOKUP(O161,Database!$A$2:$T$188,19,FALSE),"-")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IFERROR(VLOOKUP(T161,Database!$A$2:$M$188,8,FALSE),"-")</f>
        <v>-</v>
      </c>
      <c r="V161" s="76" t="str">
        <f>IFERROR(VLOOKUP(T161,Database!$A$2:$M$188,6,FALSE),"-")</f>
        <v>-</v>
      </c>
      <c r="W161" s="80" t="str">
        <f>IFERROR(VLOOKUP(T161,Database!$A$2:$M$188,9,FALSE),"-")</f>
        <v>-</v>
      </c>
      <c r="X161" s="203" t="str">
        <f>IFERROR(VLOOKUP(T161,Database!$A$2:$T$188,19,FALSE),"-")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IFERROR(VLOOKUP(Y161,Database!$A$2:$M$188,8,FALSE),"-")</f>
        <v>-</v>
      </c>
      <c r="AA161" s="77" t="str">
        <f>IFERROR(VLOOKUP(Y161,Database!$A$2:$M$188,6,FALSE),"-")</f>
        <v>-</v>
      </c>
      <c r="AB161" s="90" t="str">
        <f>IFERROR(VLOOKUP(Y161,Database!$A$2:$M$188,9,FALSE),"-")</f>
        <v>-</v>
      </c>
      <c r="AC161" s="8" t="str">
        <f>IFERROR(VLOOKUP(Y161,Database!$A$2:$T$188,19,FALSE),"-")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IFERROR(VLOOKUP(E162,Database!$A$2:$M$188,8,FALSE),"-")</f>
        <v>-</v>
      </c>
      <c r="G162" s="76" t="str">
        <f>IFERROR(VLOOKUP(E162,Database!$A$2:$M$188,6,FALSE),"-")</f>
        <v>-</v>
      </c>
      <c r="H162" s="91" t="str">
        <f>IFERROR(VLOOKUP(E162,Database!$A$2:$M$188,9,FALSE),"-")</f>
        <v>-</v>
      </c>
      <c r="I162" s="109" t="str">
        <f>IFERROR(VLOOKUP(E162,Database!$A$2:$T$188,19,FALSE),"-")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IFERROR(VLOOKUP(J162,Database!$A$2:$M$188,8,FALSE),"-")</f>
        <v>-</v>
      </c>
      <c r="L162" s="76" t="str">
        <f>IFERROR(VLOOKUP(J162,Database!$A$2:$M$188,6,FALSE),"-")</f>
        <v>-</v>
      </c>
      <c r="M162" s="91" t="str">
        <f>IFERROR(VLOOKUP(J162,Database!$A$2:$M$188,9,FALSE),"-")</f>
        <v>-</v>
      </c>
      <c r="N162" s="203" t="str">
        <f>IFERROR(VLOOKUP(J162,Database!$A$2:$T$188,19,FALSE),"-")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IFERROR(VLOOKUP(O162,Database!$A$2:$M$188,8,FALSE),"-")</f>
        <v>-</v>
      </c>
      <c r="Q162" s="76" t="str">
        <f>IFERROR(VLOOKUP(O162,Database!$A$2:$M$188,6,FALSE),"-")</f>
        <v>-</v>
      </c>
      <c r="R162" s="80" t="str">
        <f>IFERROR(VLOOKUP(O162,Database!$A$2:$M$188,9,FALSE),"-")</f>
        <v>-</v>
      </c>
      <c r="S162" s="203" t="str">
        <f>IFERROR(VLOOKUP(O162,Database!$A$2:$T$188,19,FALSE),"-")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IFERROR(VLOOKUP(T162,Database!$A$2:$M$188,8,FALSE),"-")</f>
        <v>-</v>
      </c>
      <c r="V162" s="76" t="str">
        <f>IFERROR(VLOOKUP(T162,Database!$A$2:$M$188,6,FALSE),"-")</f>
        <v>-</v>
      </c>
      <c r="W162" s="80" t="str">
        <f>IFERROR(VLOOKUP(T162,Database!$A$2:$M$188,9,FALSE),"-")</f>
        <v>-</v>
      </c>
      <c r="X162" s="203" t="str">
        <f>IFERROR(VLOOKUP(T162,Database!$A$2:$T$188,19,FALSE),"-")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IFERROR(VLOOKUP(Y162,Database!$A$2:$M$188,8,FALSE),"-")</f>
        <v>-</v>
      </c>
      <c r="AA162" s="77" t="str">
        <f>IFERROR(VLOOKUP(Y162,Database!$A$2:$M$188,6,FALSE),"-")</f>
        <v>-</v>
      </c>
      <c r="AB162" s="90" t="str">
        <f>IFERROR(VLOOKUP(Y162,Database!$A$2:$M$188,9,FALSE),"-")</f>
        <v>-</v>
      </c>
      <c r="AC162" s="8" t="str">
        <f>IFERROR(VLOOKUP(Y162,Database!$A$2:$T$188,19,FALSE),"-")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IFERROR(VLOOKUP(E163,Database!$A$2:$M$188,8,FALSE),"-")</f>
        <v>-</v>
      </c>
      <c r="G163" s="76" t="str">
        <f>IFERROR(VLOOKUP(E163,Database!$A$2:$M$188,6,FALSE),"-")</f>
        <v>-</v>
      </c>
      <c r="H163" s="91" t="str">
        <f>IFERROR(VLOOKUP(E163,Database!$A$2:$M$188,9,FALSE),"-")</f>
        <v>-</v>
      </c>
      <c r="I163" s="109" t="str">
        <f>IFERROR(VLOOKUP(E163,Database!$A$2:$T$188,19,FALSE),"-")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IFERROR(VLOOKUP(J163,Database!$A$2:$M$188,8,FALSE),"-")</f>
        <v>-</v>
      </c>
      <c r="L163" s="76" t="str">
        <f>IFERROR(VLOOKUP(J163,Database!$A$2:$M$188,6,FALSE),"-")</f>
        <v>-</v>
      </c>
      <c r="M163" s="91" t="str">
        <f>IFERROR(VLOOKUP(J163,Database!$A$2:$M$188,9,FALSE),"-")</f>
        <v>-</v>
      </c>
      <c r="N163" s="203" t="str">
        <f>IFERROR(VLOOKUP(J163,Database!$A$2:$T$188,19,FALSE),"-")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IFERROR(VLOOKUP(O163,Database!$A$2:$M$188,8,FALSE),"-")</f>
        <v>-</v>
      </c>
      <c r="Q163" s="76" t="str">
        <f>IFERROR(VLOOKUP(O163,Database!$A$2:$M$188,6,FALSE),"-")</f>
        <v>-</v>
      </c>
      <c r="R163" s="80" t="str">
        <f>IFERROR(VLOOKUP(O163,Database!$A$2:$M$188,9,FALSE),"-")</f>
        <v>-</v>
      </c>
      <c r="S163" s="203" t="str">
        <f>IFERROR(VLOOKUP(O163,Database!$A$2:$T$188,19,FALSE),"-")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IFERROR(VLOOKUP(T163,Database!$A$2:$M$188,8,FALSE),"-")</f>
        <v>-</v>
      </c>
      <c r="V163" s="76" t="str">
        <f>IFERROR(VLOOKUP(T163,Database!$A$2:$M$188,6,FALSE),"-")</f>
        <v>-</v>
      </c>
      <c r="W163" s="80" t="str">
        <f>IFERROR(VLOOKUP(T163,Database!$A$2:$M$188,9,FALSE),"-")</f>
        <v>-</v>
      </c>
      <c r="X163" s="203" t="str">
        <f>IFERROR(VLOOKUP(T163,Database!$A$2:$T$188,19,FALSE),"-")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IFERROR(VLOOKUP(Y163,Database!$A$2:$M$188,8,FALSE),"-")</f>
        <v>-</v>
      </c>
      <c r="AA163" s="77" t="str">
        <f>IFERROR(VLOOKUP(Y163,Database!$A$2:$M$188,6,FALSE),"-")</f>
        <v>-</v>
      </c>
      <c r="AB163" s="90" t="str">
        <f>IFERROR(VLOOKUP(Y163,Database!$A$2:$M$188,9,FALSE),"-")</f>
        <v>-</v>
      </c>
      <c r="AC163" s="8" t="str">
        <f>IFERROR(VLOOKUP(Y163,Database!$A$2:$T$188,19,FALSE),"-")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IFERROR(VLOOKUP(E164,Database!$A$2:$M$188,8,FALSE),"-")</f>
        <v>-</v>
      </c>
      <c r="G164" s="76" t="str">
        <f>IFERROR(VLOOKUP(E164,Database!$A$2:$M$188,6,FALSE),"-")</f>
        <v>-</v>
      </c>
      <c r="H164" s="91" t="str">
        <f>IFERROR(VLOOKUP(E164,Database!$A$2:$M$188,9,FALSE),"-")</f>
        <v>-</v>
      </c>
      <c r="I164" s="109" t="str">
        <f>IFERROR(VLOOKUP(E164,Database!$A$2:$T$188,19,FALSE),"-")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IFERROR(VLOOKUP(J164,Database!$A$2:$M$188,8,FALSE),"-")</f>
        <v>-</v>
      </c>
      <c r="L164" s="76" t="str">
        <f>IFERROR(VLOOKUP(J164,Database!$A$2:$M$188,6,FALSE),"-")</f>
        <v>-</v>
      </c>
      <c r="M164" s="91" t="str">
        <f>IFERROR(VLOOKUP(J164,Database!$A$2:$M$188,9,FALSE),"-")</f>
        <v>-</v>
      </c>
      <c r="N164" s="203" t="str">
        <f>IFERROR(VLOOKUP(J164,Database!$A$2:$T$188,19,FALSE),"-")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IFERROR(VLOOKUP(O164,Database!$A$2:$M$188,8,FALSE),"-")</f>
        <v>-</v>
      </c>
      <c r="Q164" s="76" t="str">
        <f>IFERROR(VLOOKUP(O164,Database!$A$2:$M$188,6,FALSE),"-")</f>
        <v>-</v>
      </c>
      <c r="R164" s="80" t="str">
        <f>IFERROR(VLOOKUP(O164,Database!$A$2:$M$188,9,FALSE),"-")</f>
        <v>-</v>
      </c>
      <c r="S164" s="203" t="str">
        <f>IFERROR(VLOOKUP(O164,Database!$A$2:$T$188,19,FALSE),"-")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IFERROR(VLOOKUP(T164,Database!$A$2:$M$188,8,FALSE),"-")</f>
        <v>-</v>
      </c>
      <c r="V164" s="76" t="str">
        <f>IFERROR(VLOOKUP(T164,Database!$A$2:$M$188,6,FALSE),"-")</f>
        <v>-</v>
      </c>
      <c r="W164" s="80" t="str">
        <f>IFERROR(VLOOKUP(T164,Database!$A$2:$M$188,9,FALSE),"-")</f>
        <v>-</v>
      </c>
      <c r="X164" s="203" t="str">
        <f>IFERROR(VLOOKUP(T164,Database!$A$2:$T$188,19,FALSE),"-")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IFERROR(VLOOKUP(Y164,Database!$A$2:$M$188,8,FALSE),"-")</f>
        <v>-</v>
      </c>
      <c r="AA164" s="77" t="str">
        <f>IFERROR(VLOOKUP(Y164,Database!$A$2:$M$188,6,FALSE),"-")</f>
        <v>-</v>
      </c>
      <c r="AB164" s="90" t="str">
        <f>IFERROR(VLOOKUP(Y164,Database!$A$2:$M$188,9,FALSE),"-")</f>
        <v>-</v>
      </c>
      <c r="AC164" s="8" t="str">
        <f>IFERROR(VLOOKUP(Y164,Database!$A$2:$T$188,19,FALSE),"-")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IFERROR(VLOOKUP(E165,Database!$A$2:$M$188,8,FALSE),"-")</f>
        <v>-</v>
      </c>
      <c r="G165" s="76" t="str">
        <f>IFERROR(VLOOKUP(E165,Database!$A$2:$M$188,6,FALSE),"-")</f>
        <v>-</v>
      </c>
      <c r="H165" s="91" t="str">
        <f>IFERROR(VLOOKUP(E165,Database!$A$2:$M$188,9,FALSE),"-")</f>
        <v>-</v>
      </c>
      <c r="I165" s="109" t="str">
        <f>IFERROR(VLOOKUP(E165,Database!$A$2:$T$188,19,FALSE),"-")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IFERROR(VLOOKUP(J165,Database!$A$2:$M$188,8,FALSE),"-")</f>
        <v>-</v>
      </c>
      <c r="L165" s="76" t="str">
        <f>IFERROR(VLOOKUP(J165,Database!$A$2:$M$188,6,FALSE),"-")</f>
        <v>-</v>
      </c>
      <c r="M165" s="91" t="str">
        <f>IFERROR(VLOOKUP(J165,Database!$A$2:$M$188,9,FALSE),"-")</f>
        <v>-</v>
      </c>
      <c r="N165" s="203" t="str">
        <f>IFERROR(VLOOKUP(J165,Database!$A$2:$T$188,19,FALSE),"-")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IFERROR(VLOOKUP(O165,Database!$A$2:$M$188,8,FALSE),"-")</f>
        <v>-</v>
      </c>
      <c r="Q165" s="76" t="str">
        <f>IFERROR(VLOOKUP(O165,Database!$A$2:$M$188,6,FALSE),"-")</f>
        <v>-</v>
      </c>
      <c r="R165" s="80" t="str">
        <f>IFERROR(VLOOKUP(O165,Database!$A$2:$M$188,9,FALSE),"-")</f>
        <v>-</v>
      </c>
      <c r="S165" s="203" t="str">
        <f>IFERROR(VLOOKUP(O165,Database!$A$2:$T$188,19,FALSE),"-")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IFERROR(VLOOKUP(T165,Database!$A$2:$M$188,8,FALSE),"-")</f>
        <v>-</v>
      </c>
      <c r="V165" s="76" t="str">
        <f>IFERROR(VLOOKUP(T165,Database!$A$2:$M$188,6,FALSE),"-")</f>
        <v>-</v>
      </c>
      <c r="W165" s="80" t="str">
        <f>IFERROR(VLOOKUP(T165,Database!$A$2:$M$188,9,FALSE),"-")</f>
        <v>-</v>
      </c>
      <c r="X165" s="203" t="str">
        <f>IFERROR(VLOOKUP(T165,Database!$A$2:$T$188,19,FALSE),"-")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IFERROR(VLOOKUP(Y165,Database!$A$2:$M$188,8,FALSE),"-")</f>
        <v>-</v>
      </c>
      <c r="AA165" s="77" t="str">
        <f>IFERROR(VLOOKUP(Y165,Database!$A$2:$M$188,6,FALSE),"-")</f>
        <v>-</v>
      </c>
      <c r="AB165" s="90" t="str">
        <f>IFERROR(VLOOKUP(Y165,Database!$A$2:$M$188,9,FALSE),"-")</f>
        <v>-</v>
      </c>
      <c r="AC165" s="8" t="str">
        <f>IFERROR(VLOOKUP(Y165,Database!$A$2:$T$188,19,FALSE),"-")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IFERROR(VLOOKUP(E166,Database!$A$2:$M$188,8,FALSE),"-")</f>
        <v>-</v>
      </c>
      <c r="G166" s="76" t="str">
        <f>IFERROR(VLOOKUP(E166,Database!$A$2:$M$188,6,FALSE),"-")</f>
        <v>-</v>
      </c>
      <c r="H166" s="91" t="str">
        <f>IFERROR(VLOOKUP(E166,Database!$A$2:$M$188,9,FALSE),"-")</f>
        <v>-</v>
      </c>
      <c r="I166" s="109" t="str">
        <f>IFERROR(VLOOKUP(E166,Database!$A$2:$T$188,19,FALSE),"-")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IFERROR(VLOOKUP(J166,Database!$A$2:$M$188,8,FALSE),"-")</f>
        <v>-</v>
      </c>
      <c r="L166" s="76" t="str">
        <f>IFERROR(VLOOKUP(J166,Database!$A$2:$M$188,6,FALSE),"-")</f>
        <v>-</v>
      </c>
      <c r="M166" s="91" t="str">
        <f>IFERROR(VLOOKUP(J166,Database!$A$2:$M$188,9,FALSE),"-")</f>
        <v>-</v>
      </c>
      <c r="N166" s="203" t="str">
        <f>IFERROR(VLOOKUP(J166,Database!$A$2:$T$188,19,FALSE),"-")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IFERROR(VLOOKUP(O166,Database!$A$2:$M$188,8,FALSE),"-")</f>
        <v>-</v>
      </c>
      <c r="Q166" s="76" t="str">
        <f>IFERROR(VLOOKUP(O166,Database!$A$2:$M$188,6,FALSE),"-")</f>
        <v>-</v>
      </c>
      <c r="R166" s="80" t="str">
        <f>IFERROR(VLOOKUP(O166,Database!$A$2:$M$188,9,FALSE),"-")</f>
        <v>-</v>
      </c>
      <c r="S166" s="203" t="str">
        <f>IFERROR(VLOOKUP(O166,Database!$A$2:$T$188,19,FALSE),"-")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IFERROR(VLOOKUP(T166,Database!$A$2:$M$188,8,FALSE),"-")</f>
        <v>-</v>
      </c>
      <c r="V166" s="76" t="str">
        <f>IFERROR(VLOOKUP(T166,Database!$A$2:$M$188,6,FALSE),"-")</f>
        <v>-</v>
      </c>
      <c r="W166" s="80" t="str">
        <f>IFERROR(VLOOKUP(T166,Database!$A$2:$M$188,9,FALSE),"-")</f>
        <v>-</v>
      </c>
      <c r="X166" s="203" t="str">
        <f>IFERROR(VLOOKUP(T166,Database!$A$2:$T$188,19,FALSE),"-")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IFERROR(VLOOKUP(Y166,Database!$A$2:$M$188,8,FALSE),"-")</f>
        <v>-</v>
      </c>
      <c r="AA166" s="77" t="str">
        <f>IFERROR(VLOOKUP(Y166,Database!$A$2:$M$188,6,FALSE),"-")</f>
        <v>-</v>
      </c>
      <c r="AB166" s="90" t="str">
        <f>IFERROR(VLOOKUP(Y166,Database!$A$2:$M$188,9,FALSE),"-")</f>
        <v>-</v>
      </c>
      <c r="AC166" s="8" t="str">
        <f>IFERROR(VLOOKUP(Y166,Database!$A$2:$T$188,19,FALSE),"-")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IFERROR(VLOOKUP(E167,Database!$A$2:$M$188,8,FALSE),"-")</f>
        <v>-</v>
      </c>
      <c r="G167" s="76" t="str">
        <f>IFERROR(VLOOKUP(E167,Database!$A$2:$M$188,6,FALSE),"-")</f>
        <v>-</v>
      </c>
      <c r="H167" s="91" t="str">
        <f>IFERROR(VLOOKUP(E167,Database!$A$2:$M$188,9,FALSE),"-")</f>
        <v>-</v>
      </c>
      <c r="I167" s="109" t="str">
        <f>IFERROR(VLOOKUP(E167,Database!$A$2:$T$188,19,FALSE),"-")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IFERROR(VLOOKUP(J167,Database!$A$2:$M$188,8,FALSE),"-")</f>
        <v>-</v>
      </c>
      <c r="L167" s="76" t="str">
        <f>IFERROR(VLOOKUP(J167,Database!$A$2:$M$188,6,FALSE),"-")</f>
        <v>-</v>
      </c>
      <c r="M167" s="91" t="str">
        <f>IFERROR(VLOOKUP(J167,Database!$A$2:$M$188,9,FALSE),"-")</f>
        <v>-</v>
      </c>
      <c r="N167" s="203" t="str">
        <f>IFERROR(VLOOKUP(J167,Database!$A$2:$T$188,19,FALSE),"-")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IFERROR(VLOOKUP(O167,Database!$A$2:$M$188,8,FALSE),"-")</f>
        <v>-</v>
      </c>
      <c r="Q167" s="76" t="str">
        <f>IFERROR(VLOOKUP(O167,Database!$A$2:$M$188,6,FALSE),"-")</f>
        <v>-</v>
      </c>
      <c r="R167" s="80" t="str">
        <f>IFERROR(VLOOKUP(O167,Database!$A$2:$M$188,9,FALSE),"-")</f>
        <v>-</v>
      </c>
      <c r="S167" s="203" t="str">
        <f>IFERROR(VLOOKUP(O167,Database!$A$2:$T$188,19,FALSE),"-")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IFERROR(VLOOKUP(T167,Database!$A$2:$M$188,8,FALSE),"-")</f>
        <v>-</v>
      </c>
      <c r="V167" s="76" t="str">
        <f>IFERROR(VLOOKUP(T167,Database!$A$2:$M$188,6,FALSE),"-")</f>
        <v>-</v>
      </c>
      <c r="W167" s="80" t="str">
        <f>IFERROR(VLOOKUP(T167,Database!$A$2:$M$188,9,FALSE),"-")</f>
        <v>-</v>
      </c>
      <c r="X167" s="203" t="str">
        <f>IFERROR(VLOOKUP(T167,Database!$A$2:$T$188,19,FALSE),"-")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IFERROR(VLOOKUP(Y167,Database!$A$2:$M$188,8,FALSE),"-")</f>
        <v>-</v>
      </c>
      <c r="AA167" s="77" t="str">
        <f>IFERROR(VLOOKUP(Y167,Database!$A$2:$M$188,6,FALSE),"-")</f>
        <v>-</v>
      </c>
      <c r="AB167" s="90" t="str">
        <f>IFERROR(VLOOKUP(Y167,Database!$A$2:$M$188,9,FALSE),"-")</f>
        <v>-</v>
      </c>
      <c r="AC167" s="8" t="str">
        <f>IFERROR(VLOOKUP(Y167,Database!$A$2:$T$188,19,FALSE),"-")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IFERROR(VLOOKUP(E168,Database!$A$2:$M$188,8,FALSE),"-")</f>
        <v>-</v>
      </c>
      <c r="G168" s="76" t="str">
        <f>IFERROR(VLOOKUP(E168,Database!$A$2:$M$188,6,FALSE),"-")</f>
        <v>-</v>
      </c>
      <c r="H168" s="91" t="str">
        <f>IFERROR(VLOOKUP(E168,Database!$A$2:$M$188,9,FALSE),"-")</f>
        <v>-</v>
      </c>
      <c r="I168" s="109" t="str">
        <f>IFERROR(VLOOKUP(E168,Database!$A$2:$T$188,19,FALSE),"-")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IFERROR(VLOOKUP(J168,Database!$A$2:$M$188,8,FALSE),"-")</f>
        <v>-</v>
      </c>
      <c r="L168" s="76" t="str">
        <f>IFERROR(VLOOKUP(J168,Database!$A$2:$M$188,6,FALSE),"-")</f>
        <v>-</v>
      </c>
      <c r="M168" s="91" t="str">
        <f>IFERROR(VLOOKUP(J168,Database!$A$2:$M$188,9,FALSE),"-")</f>
        <v>-</v>
      </c>
      <c r="N168" s="203" t="str">
        <f>IFERROR(VLOOKUP(J168,Database!$A$2:$T$188,19,FALSE),"-")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IFERROR(VLOOKUP(O168,Database!$A$2:$M$188,8,FALSE),"-")</f>
        <v>-</v>
      </c>
      <c r="Q168" s="76" t="str">
        <f>IFERROR(VLOOKUP(O168,Database!$A$2:$M$188,6,FALSE),"-")</f>
        <v>-</v>
      </c>
      <c r="R168" s="80" t="str">
        <f>IFERROR(VLOOKUP(O168,Database!$A$2:$M$188,9,FALSE),"-")</f>
        <v>-</v>
      </c>
      <c r="S168" s="203" t="str">
        <f>IFERROR(VLOOKUP(O168,Database!$A$2:$T$188,19,FALSE),"-")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IFERROR(VLOOKUP(T168,Database!$A$2:$M$188,8,FALSE),"-")</f>
        <v>-</v>
      </c>
      <c r="V168" s="76" t="str">
        <f>IFERROR(VLOOKUP(T168,Database!$A$2:$M$188,6,FALSE),"-")</f>
        <v>-</v>
      </c>
      <c r="W168" s="80" t="str">
        <f>IFERROR(VLOOKUP(T168,Database!$A$2:$M$188,9,FALSE),"-")</f>
        <v>-</v>
      </c>
      <c r="X168" s="203" t="str">
        <f>IFERROR(VLOOKUP(T168,Database!$A$2:$T$188,19,FALSE),"-")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IFERROR(VLOOKUP(Y168,Database!$A$2:$M$188,8,FALSE),"-")</f>
        <v>-</v>
      </c>
      <c r="AA168" s="77" t="str">
        <f>IFERROR(VLOOKUP(Y168,Database!$A$2:$M$188,6,FALSE),"-")</f>
        <v>-</v>
      </c>
      <c r="AB168" s="90" t="str">
        <f>IFERROR(VLOOKUP(Y168,Database!$A$2:$M$188,9,FALSE),"-")</f>
        <v>-</v>
      </c>
      <c r="AC168" s="8" t="str">
        <f>IFERROR(VLOOKUP(Y168,Database!$A$2:$T$188,19,FALSE),"-")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IFERROR(VLOOKUP(E169,Database!$A$2:$M$188,8,FALSE),"-")</f>
        <v>-</v>
      </c>
      <c r="G169" s="76" t="str">
        <f>IFERROR(VLOOKUP(E169,Database!$A$2:$M$188,6,FALSE),"-")</f>
        <v>-</v>
      </c>
      <c r="H169" s="91" t="str">
        <f>IFERROR(VLOOKUP(E169,Database!$A$2:$M$188,9,FALSE),"-")</f>
        <v>-</v>
      </c>
      <c r="I169" s="109" t="str">
        <f>IFERROR(VLOOKUP(E169,Database!$A$2:$T$188,19,FALSE),"-")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IFERROR(VLOOKUP(J169,Database!$A$2:$M$188,8,FALSE),"-")</f>
        <v>-</v>
      </c>
      <c r="L169" s="76" t="str">
        <f>IFERROR(VLOOKUP(J169,Database!$A$2:$M$188,6,FALSE),"-")</f>
        <v>-</v>
      </c>
      <c r="M169" s="91" t="str">
        <f>IFERROR(VLOOKUP(J169,Database!$A$2:$M$188,9,FALSE),"-")</f>
        <v>-</v>
      </c>
      <c r="N169" s="203" t="str">
        <f>IFERROR(VLOOKUP(J169,Database!$A$2:$T$188,19,FALSE),"-")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IFERROR(VLOOKUP(O169,Database!$A$2:$M$188,8,FALSE),"-")</f>
        <v>-</v>
      </c>
      <c r="Q169" s="76" t="str">
        <f>IFERROR(VLOOKUP(O169,Database!$A$2:$M$188,6,FALSE),"-")</f>
        <v>-</v>
      </c>
      <c r="R169" s="80" t="str">
        <f>IFERROR(VLOOKUP(O169,Database!$A$2:$M$188,9,FALSE),"-")</f>
        <v>-</v>
      </c>
      <c r="S169" s="203" t="str">
        <f>IFERROR(VLOOKUP(O169,Database!$A$2:$T$188,19,FALSE),"-")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IFERROR(VLOOKUP(T169,Database!$A$2:$M$188,8,FALSE),"-")</f>
        <v>-</v>
      </c>
      <c r="V169" s="76" t="str">
        <f>IFERROR(VLOOKUP(T169,Database!$A$2:$M$188,6,FALSE),"-")</f>
        <v>-</v>
      </c>
      <c r="W169" s="80" t="str">
        <f>IFERROR(VLOOKUP(T169,Database!$A$2:$M$188,9,FALSE),"-")</f>
        <v>-</v>
      </c>
      <c r="X169" s="203" t="str">
        <f>IFERROR(VLOOKUP(T169,Database!$A$2:$T$188,19,FALSE),"-")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IFERROR(VLOOKUP(Y169,Database!$A$2:$M$188,8,FALSE),"-")</f>
        <v>-</v>
      </c>
      <c r="AA169" s="77" t="str">
        <f>IFERROR(VLOOKUP(Y169,Database!$A$2:$M$188,6,FALSE),"-")</f>
        <v>-</v>
      </c>
      <c r="AB169" s="90" t="str">
        <f>IFERROR(VLOOKUP(Y169,Database!$A$2:$M$188,9,FALSE),"-")</f>
        <v>-</v>
      </c>
      <c r="AC169" s="8" t="str">
        <f>IFERROR(VLOOKUP(Y169,Database!$A$2:$T$188,19,FALSE),"-")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IFERROR(VLOOKUP(E170,Database!$A$2:$M$188,8,FALSE),"-")</f>
        <v>-</v>
      </c>
      <c r="G170" s="76" t="str">
        <f>IFERROR(VLOOKUP(E170,Database!$A$2:$M$188,6,FALSE),"-")</f>
        <v>-</v>
      </c>
      <c r="H170" s="91" t="str">
        <f>IFERROR(VLOOKUP(E170,Database!$A$2:$M$188,9,FALSE),"-")</f>
        <v>-</v>
      </c>
      <c r="I170" s="109" t="str">
        <f>IFERROR(VLOOKUP(E170,Database!$A$2:$T$188,19,FALSE),"-")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IFERROR(VLOOKUP(J170,Database!$A$2:$M$188,8,FALSE),"-")</f>
        <v>-</v>
      </c>
      <c r="L170" s="76" t="str">
        <f>IFERROR(VLOOKUP(J170,Database!$A$2:$M$188,6,FALSE),"-")</f>
        <v>-</v>
      </c>
      <c r="M170" s="91" t="str">
        <f>IFERROR(VLOOKUP(J170,Database!$A$2:$M$188,9,FALSE),"-")</f>
        <v>-</v>
      </c>
      <c r="N170" s="203" t="str">
        <f>IFERROR(VLOOKUP(J170,Database!$A$2:$T$188,19,FALSE),"-")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IFERROR(VLOOKUP(O170,Database!$A$2:$M$188,8,FALSE),"-")</f>
        <v>-</v>
      </c>
      <c r="Q170" s="76" t="str">
        <f>IFERROR(VLOOKUP(O170,Database!$A$2:$M$188,6,FALSE),"-")</f>
        <v>-</v>
      </c>
      <c r="R170" s="80" t="str">
        <f>IFERROR(VLOOKUP(O170,Database!$A$2:$M$188,9,FALSE),"-")</f>
        <v>-</v>
      </c>
      <c r="S170" s="203" t="str">
        <f>IFERROR(VLOOKUP(O170,Database!$A$2:$T$188,19,FALSE),"-")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IFERROR(VLOOKUP(T170,Database!$A$2:$M$188,8,FALSE),"-")</f>
        <v>-</v>
      </c>
      <c r="V170" s="76" t="str">
        <f>IFERROR(VLOOKUP(T170,Database!$A$2:$M$188,6,FALSE),"-")</f>
        <v>-</v>
      </c>
      <c r="W170" s="80" t="str">
        <f>IFERROR(VLOOKUP(T170,Database!$A$2:$M$188,9,FALSE),"-")</f>
        <v>-</v>
      </c>
      <c r="X170" s="203" t="str">
        <f>IFERROR(VLOOKUP(T170,Database!$A$2:$T$188,19,FALSE),"-")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IFERROR(VLOOKUP(Y170,Database!$A$2:$M$188,8,FALSE),"-")</f>
        <v>-</v>
      </c>
      <c r="AA170" s="77" t="str">
        <f>IFERROR(VLOOKUP(Y170,Database!$A$2:$M$188,6,FALSE),"-")</f>
        <v>-</v>
      </c>
      <c r="AB170" s="90" t="str">
        <f>IFERROR(VLOOKUP(Y170,Database!$A$2:$M$188,9,FALSE),"-")</f>
        <v>-</v>
      </c>
      <c r="AC170" s="8" t="str">
        <f>IFERROR(VLOOKUP(Y170,Database!$A$2:$T$188,19,FALSE),"-")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IFERROR(VLOOKUP(E171,Database!$A$2:$M$188,8,FALSE),"-")</f>
        <v>-</v>
      </c>
      <c r="G171" s="78" t="str">
        <f>IFERROR(VLOOKUP(E171,Database!$A$2:$M$188,6,FALSE),"-")</f>
        <v>-</v>
      </c>
      <c r="H171" s="92" t="str">
        <f>IFERROR(VLOOKUP(E171,Database!$A$2:$M$188,9,FALSE),"-")</f>
        <v>-</v>
      </c>
      <c r="I171" s="109" t="str">
        <f>IFERROR(VLOOKUP(E171,Database!$A$2:$T$188,19,FALSE),"-")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IFERROR(VLOOKUP(J171,Database!$A$2:$M$188,8,FALSE),"-")</f>
        <v>-</v>
      </c>
      <c r="L171" s="78" t="str">
        <f>IFERROR(VLOOKUP(J171,Database!$A$2:$M$188,6,FALSE),"-")</f>
        <v>-</v>
      </c>
      <c r="M171" s="92" t="str">
        <f>IFERROR(VLOOKUP(J171,Database!$A$2:$M$188,9,FALSE),"-")</f>
        <v>-</v>
      </c>
      <c r="N171" s="203" t="str">
        <f>IFERROR(VLOOKUP(J171,Database!$A$2:$T$188,19,FALSE),"-")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IFERROR(VLOOKUP(O171,Database!$A$2:$M$188,8,FALSE),"-")</f>
        <v>-</v>
      </c>
      <c r="Q171" s="78" t="str">
        <f>IFERROR(VLOOKUP(O171,Database!$A$2:$M$188,6,FALSE),"-")</f>
        <v>-</v>
      </c>
      <c r="R171" s="81" t="str">
        <f>IFERROR(VLOOKUP(O171,Database!$A$2:$M$188,9,FALSE),"-")</f>
        <v>-</v>
      </c>
      <c r="S171" s="203" t="str">
        <f>IFERROR(VLOOKUP(O171,Database!$A$2:$T$188,19,FALSE),"-")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IFERROR(VLOOKUP(T171,Database!$A$2:$M$188,8,FALSE),"-")</f>
        <v>-</v>
      </c>
      <c r="V171" s="78" t="str">
        <f>IFERROR(VLOOKUP(T171,Database!$A$2:$M$188,6,FALSE),"-")</f>
        <v>-</v>
      </c>
      <c r="W171" s="81" t="str">
        <f>IFERROR(VLOOKUP(T171,Database!$A$2:$M$188,9,FALSE),"-")</f>
        <v>-</v>
      </c>
      <c r="X171" s="203" t="str">
        <f>IFERROR(VLOOKUP(T171,Database!$A$2:$T$188,19,FALSE),"-")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IFERROR(VLOOKUP(Y171,Database!$A$2:$M$188,8,FALSE),"-")</f>
        <v>-</v>
      </c>
      <c r="AA171" s="77" t="str">
        <f>IFERROR(VLOOKUP(Y171,Database!$A$2:$M$188,6,FALSE),"-")</f>
        <v>-</v>
      </c>
      <c r="AB171" s="90" t="str">
        <f>IFERROR(VLOOKUP(Y171,Database!$A$2:$M$188,9,FALSE),"-")</f>
        <v>-</v>
      </c>
      <c r="AC171" s="8" t="str">
        <f>IFERROR(VLOOKUP(Y171,Database!$A$2:$T$188,19,FALSE),"-")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IFERROR(VLOOKUP(E172,Database!$A$2:$M$188,8,FALSE),"-")</f>
        <v>-</v>
      </c>
      <c r="G172" s="1" t="str">
        <f>IFERROR(VLOOKUP(E172,Database!$A$2:$M$188,6,FALSE),"-")</f>
        <v>-</v>
      </c>
      <c r="H172" s="1" t="str">
        <f>IFERROR(VLOOKUP(E172,Database!$A$2:$M$188,9,FALSE),"-")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IFERROR(VLOOKUP(J172,Database!$A$2:$M$188,8,FALSE),"-")</f>
        <v>-</v>
      </c>
      <c r="L172" s="1" t="str">
        <f>IFERROR(VLOOKUP(J172,Database!$A$2:$M$188,6,FALSE),"-")</f>
        <v>-</v>
      </c>
      <c r="M172" s="1" t="str">
        <f>IFERROR(VLOOKUP(J172,Database!$A$2:$M$188,9,FALSE),"-")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IFERROR(VLOOKUP(O172,Database!$A$2:$M$188,8,FALSE),"-")</f>
        <v>-</v>
      </c>
      <c r="Q172" s="1" t="str">
        <f>IFERROR(VLOOKUP(O172,Database!$A$2:$M$188,6,FALSE),"-")</f>
        <v>-</v>
      </c>
      <c r="R172" s="1" t="str">
        <f>IFERROR(VLOOKUP(O172,Database!$A$2:$M$188,9,FALSE),"-")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IFERROR(VLOOKUP(T172,Database!$A$2:$M$188,8,FALSE),"-")</f>
        <v>-</v>
      </c>
      <c r="V172" s="1" t="str">
        <f>IFERROR(VLOOKUP(T172,Database!$A$2:$M$188,6,FALSE),"-")</f>
        <v>-</v>
      </c>
      <c r="W172" s="1" t="str">
        <f>IFERROR(VLOOKUP(T172,Database!$A$2:$M$188,9,FALSE),"-")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IFERROR(VLOOKUP(Y172,Database!$A$2:$M$188,8,FALSE),"-")</f>
        <v>-</v>
      </c>
      <c r="AA172" s="1" t="str">
        <f>IFERROR(VLOOKUP(Y172,Database!$A$2:$M$188,7,FALSE),"-")</f>
        <v>-</v>
      </c>
      <c r="AB172" s="1" t="str">
        <f>IFERROR(VLOOKUP(Y172,Database!$A$2:$M$188,9,FALSE),"-")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IFERROR(VLOOKUP(E173,Database!$A$2:$M$188,8,FALSE),"-")</f>
        <v>-</v>
      </c>
      <c r="G173" s="1" t="str">
        <f>IFERROR(VLOOKUP(E173,Database!$A$2:$M$188,6,FALSE),"-")</f>
        <v>-</v>
      </c>
      <c r="H173" s="1" t="str">
        <f>IFERROR(VLOOKUP(E173,Database!$A$2:$M$188,9,FALSE),"-")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IFERROR(VLOOKUP(J173,Database!$A$2:$M$188,8,FALSE),"-")</f>
        <v>-</v>
      </c>
      <c r="L173" s="1" t="str">
        <f>IFERROR(VLOOKUP(J173,Database!$A$2:$M$188,6,FALSE),"-")</f>
        <v>-</v>
      </c>
      <c r="M173" s="1" t="str">
        <f>IFERROR(VLOOKUP(J173,Database!$A$2:$M$188,9,FALSE),"-")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IFERROR(VLOOKUP(O173,Database!$A$2:$M$188,8,FALSE),"-")</f>
        <v>-</v>
      </c>
      <c r="Q173" s="1" t="str">
        <f>IFERROR(VLOOKUP(O173,Database!$A$2:$M$188,6,FALSE),"-")</f>
        <v>-</v>
      </c>
      <c r="R173" s="1" t="str">
        <f>IFERROR(VLOOKUP(O173,Database!$A$2:$M$188,9,FALSE),"-")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IFERROR(VLOOKUP(T173,Database!$A$2:$M$188,8,FALSE),"-")</f>
        <v>-</v>
      </c>
      <c r="V173" s="1" t="str">
        <f>IFERROR(VLOOKUP(T173,Database!$A$2:$M$188,6,FALSE),"-")</f>
        <v>-</v>
      </c>
      <c r="W173" s="1" t="str">
        <f>IFERROR(VLOOKUP(T173,Database!$A$2:$M$188,9,FALSE),"-")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IFERROR(VLOOKUP(Y173,Database!$A$2:$M$188,8,FALSE),"-")</f>
        <v>-</v>
      </c>
      <c r="AA173" s="1" t="str">
        <f>IFERROR(VLOOKUP(Y173,Database!$A$2:$M$188,7,FALSE),"-")</f>
        <v>-</v>
      </c>
      <c r="AB173" s="1" t="str">
        <f>IFERROR(VLOOKUP(Y173,Database!$A$2:$M$188,9,FALSE),"-")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IFERROR(VLOOKUP(E174,Database!$A$2:$M$188,8,FALSE),"-")</f>
        <v>-</v>
      </c>
      <c r="G174" s="1" t="str">
        <f>IFERROR(VLOOKUP(E174,Database!$A$2:$M$188,6,FALSE),"-")</f>
        <v>-</v>
      </c>
      <c r="H174" s="1" t="str">
        <f>IFERROR(VLOOKUP(E174,Database!$A$2:$M$188,9,FALSE),"-")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IFERROR(VLOOKUP(J174,Database!$A$2:$M$188,8,FALSE),"-")</f>
        <v>-</v>
      </c>
      <c r="L174" s="1" t="str">
        <f>IFERROR(VLOOKUP(J174,Database!$A$2:$M$188,6,FALSE),"-")</f>
        <v>-</v>
      </c>
      <c r="M174" s="1" t="str">
        <f>IFERROR(VLOOKUP(J174,Database!$A$2:$M$188,9,FALSE),"-")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IFERROR(VLOOKUP(O174,Database!$A$2:$M$188,8,FALSE),"-")</f>
        <v>-</v>
      </c>
      <c r="Q174" s="1" t="str">
        <f>IFERROR(VLOOKUP(O174,Database!$A$2:$M$188,6,FALSE),"-")</f>
        <v>-</v>
      </c>
      <c r="R174" s="1" t="str">
        <f>IFERROR(VLOOKUP(O174,Database!$A$2:$M$188,9,FALSE),"-")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IFERROR(VLOOKUP(T174,Database!$A$2:$M$188,8,FALSE),"-")</f>
        <v>-</v>
      </c>
      <c r="V174" s="1" t="str">
        <f>IFERROR(VLOOKUP(T174,Database!$A$2:$M$188,6,FALSE),"-")</f>
        <v>-</v>
      </c>
      <c r="W174" s="1" t="str">
        <f>IFERROR(VLOOKUP(T174,Database!$A$2:$M$188,9,FALSE),"-")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IFERROR(VLOOKUP(Y174,Database!$A$2:$M$188,8,FALSE),"-")</f>
        <v>-</v>
      </c>
      <c r="AA174" s="1" t="str">
        <f>IFERROR(VLOOKUP(Y174,Database!$A$2:$M$188,7,FALSE),"-")</f>
        <v>-</v>
      </c>
      <c r="AB174" s="1" t="str">
        <f>IFERROR(VLOOKUP(Y174,Database!$A$2:$M$188,9,FALSE),"-")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IFERROR(VLOOKUP(E175,Database!$A$2:$M$188,8,FALSE),"-")</f>
        <v>-</v>
      </c>
      <c r="G175" s="1" t="str">
        <f>IFERROR(VLOOKUP(E175,Database!$A$2:$M$188,6,FALSE),"-")</f>
        <v>-</v>
      </c>
      <c r="H175" s="1" t="str">
        <f>IFERROR(VLOOKUP(E175,Database!$A$2:$M$188,9,FALSE),"-")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IFERROR(VLOOKUP(J175,Database!$A$2:$M$188,8,FALSE),"-")</f>
        <v>-</v>
      </c>
      <c r="L175" s="1" t="str">
        <f>IFERROR(VLOOKUP(J175,Database!$A$2:$M$188,6,FALSE),"-")</f>
        <v>-</v>
      </c>
      <c r="M175" s="1" t="str">
        <f>IFERROR(VLOOKUP(J175,Database!$A$2:$M$188,9,FALSE),"-")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IFERROR(VLOOKUP(O175,Database!$A$2:$M$188,8,FALSE),"-")</f>
        <v>-</v>
      </c>
      <c r="Q175" s="1" t="str">
        <f>IFERROR(VLOOKUP(O175,Database!$A$2:$M$188,6,FALSE),"-")</f>
        <v>-</v>
      </c>
      <c r="R175" s="1" t="str">
        <f>IFERROR(VLOOKUP(O175,Database!$A$2:$M$188,9,FALSE),"-")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IFERROR(VLOOKUP(T175,Database!$A$2:$M$188,8,FALSE),"-")</f>
        <v>-</v>
      </c>
      <c r="V175" s="1" t="str">
        <f>IFERROR(VLOOKUP(T175,Database!$A$2:$M$188,6,FALSE),"-")</f>
        <v>-</v>
      </c>
      <c r="W175" s="1" t="str">
        <f>IFERROR(VLOOKUP(T175,Database!$A$2:$M$188,9,FALSE),"-")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IFERROR(VLOOKUP(Y175,Database!$A$2:$M$188,8,FALSE),"-")</f>
        <v>-</v>
      </c>
      <c r="AA175" s="1" t="str">
        <f>IFERROR(VLOOKUP(Y175,Database!$A$2:$M$188,7,FALSE),"-")</f>
        <v>-</v>
      </c>
      <c r="AB175" s="1" t="str">
        <f>IFERROR(VLOOKUP(Y175,Database!$A$2:$M$188,9,FALSE),"-")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IFERROR(VLOOKUP(D2,Database!$A$2:$M$188,2,FALSE),"-")</f>
        <v>-</v>
      </c>
      <c r="F2" t="str">
        <f>ankomster!J2</f>
        <v>-</v>
      </c>
      <c r="G2" t="str">
        <f>IFERROR(VLOOKUP(F2,Database!$A$2:$M$188,2,FALSE),"-")</f>
        <v>-</v>
      </c>
      <c r="H2" t="str">
        <f>ankomster!O2</f>
        <v>-</v>
      </c>
      <c r="I2" t="str">
        <f>IFERROR(VLOOKUP(H2,Database!$A$2:$M$188,2,FALSE),"-")</f>
        <v>-</v>
      </c>
      <c r="J2" s="74" t="str">
        <f>ankomster!T2</f>
        <v>-</v>
      </c>
      <c r="K2" t="str">
        <f>IFERROR(VLOOKUP(J2,Database!$A$2:$M$188,2,FALSE),"-")</f>
        <v>-</v>
      </c>
      <c r="L2" t="str">
        <f>ankomster!Y2</f>
        <v>-</v>
      </c>
      <c r="M2" t="str">
        <f>IFERROR(VLOOKUP(L2,Database!$A$2:$M$188,2,FALSE),"-")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IFERROR(VLOOKUP(D3,Database!$A$2:$M$188,2,FALSE),"-")</f>
        <v>-</v>
      </c>
      <c r="F3" t="str">
        <f>ankomster!J3</f>
        <v>-</v>
      </c>
      <c r="G3" t="str">
        <f>IFERROR(VLOOKUP(F3,Database!$A$2:$M$188,2,FALSE),"-")</f>
        <v>-</v>
      </c>
      <c r="H3" t="str">
        <f>ankomster!O3</f>
        <v>-</v>
      </c>
      <c r="I3" t="str">
        <f>IFERROR(VLOOKUP(H3,Database!$A$2:$M$188,2,FALSE),"-")</f>
        <v>-</v>
      </c>
      <c r="J3" s="74" t="str">
        <f>ankomster!T3</f>
        <v>-</v>
      </c>
      <c r="K3" t="str">
        <f>IFERROR(VLOOKUP(J3,Database!$A$2:$M$188,2,FALSE),"-")</f>
        <v>-</v>
      </c>
      <c r="L3" t="str">
        <f>ankomster!Y3</f>
        <v>-</v>
      </c>
      <c r="M3" t="str">
        <f>IFERROR(VLOOKUP(L3,Database!$A$2:$M$188,2,FALSE),"-")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IFERROR(VLOOKUP(D4,Database!$A$2:$M$188,2,FALSE),"-")</f>
        <v>-</v>
      </c>
      <c r="F4" t="str">
        <f>ankomster!J4</f>
        <v>-</v>
      </c>
      <c r="G4" t="str">
        <f>IFERROR(VLOOKUP(F4,Database!$A$2:$M$188,2,FALSE),"-")</f>
        <v>-</v>
      </c>
      <c r="H4" t="str">
        <f>ankomster!O4</f>
        <v>-</v>
      </c>
      <c r="I4" t="str">
        <f>IFERROR(VLOOKUP(H4,Database!$A$2:$M$188,2,FALSE),"-")</f>
        <v>-</v>
      </c>
      <c r="J4" s="74" t="str">
        <f>ankomster!T4</f>
        <v>-</v>
      </c>
      <c r="K4" t="str">
        <f>IFERROR(VLOOKUP(J4,Database!$A$2:$M$188,2,FALSE),"-")</f>
        <v>-</v>
      </c>
      <c r="L4" t="str">
        <f>ankomster!Y4</f>
        <v>-</v>
      </c>
      <c r="M4" t="str">
        <f>IFERROR(VLOOKUP(L4,Database!$A$2:$M$188,2,FALSE),"-")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IFERROR(VLOOKUP(D5,Database!$A$2:$M$188,2,FALSE),"-")</f>
        <v>-</v>
      </c>
      <c r="F5" t="str">
        <f>ankomster!J5</f>
        <v>-</v>
      </c>
      <c r="G5" t="str">
        <f>IFERROR(VLOOKUP(F5,Database!$A$2:$M$188,2,FALSE),"-")</f>
        <v>-</v>
      </c>
      <c r="H5" t="str">
        <f>ankomster!O5</f>
        <v>-</v>
      </c>
      <c r="I5" t="str">
        <f>IFERROR(VLOOKUP(H5,Database!$A$2:$M$188,2,FALSE),"-")</f>
        <v>-</v>
      </c>
      <c r="J5" s="74" t="str">
        <f>ankomster!T5</f>
        <v>-</v>
      </c>
      <c r="K5" t="str">
        <f>IFERROR(VLOOKUP(J5,Database!$A$2:$M$188,2,FALSE),"-")</f>
        <v>-</v>
      </c>
      <c r="L5" t="str">
        <f>ankomster!Y5</f>
        <v>-</v>
      </c>
      <c r="M5" t="str">
        <f>IFERROR(VLOOKUP(L5,Database!$A$2:$M$188,2,FALSE),"-")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IFERROR(VLOOKUP(D6,Database!$A$2:$M$188,2,FALSE),"-")</f>
        <v>Stine Yndgaard</v>
      </c>
      <c r="F6">
        <f>ankomster!J6</f>
        <v>110</v>
      </c>
      <c r="G6" t="str">
        <f>IFERROR(VLOOKUP(F6,Database!$A$2:$M$188,2,FALSE),"-")</f>
        <v>Francesca Giraudo</v>
      </c>
      <c r="H6">
        <f>ankomster!O6</f>
        <v>68</v>
      </c>
      <c r="I6" t="str">
        <f>IFERROR(VLOOKUP(H6,Database!$A$2:$M$188,2,FALSE),"-")</f>
        <v>Danny Bukh Almstrup</v>
      </c>
      <c r="J6" s="74">
        <f>ankomster!T6</f>
        <v>28</v>
      </c>
      <c r="K6" t="str">
        <f>IFERROR(VLOOKUP(J6,Database!$A$2:$M$188,2,FALSE),"-")</f>
        <v>Alex Nielsen</v>
      </c>
      <c r="L6">
        <f>ankomster!Y6</f>
        <v>28</v>
      </c>
      <c r="M6" t="str">
        <f>IFERROR(VLOOKUP(L6,Database!$A$2:$M$188,2,FALSE),"-")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IFERROR(VLOOKUP(D7,Database!$A$2:$M$188,2,FALSE),"-")</f>
        <v>-</v>
      </c>
      <c r="F7" t="str">
        <f>ankomster!J7</f>
        <v>-</v>
      </c>
      <c r="G7" t="str">
        <f>IFERROR(VLOOKUP(F7,Database!$A$2:$M$188,2,FALSE),"-")</f>
        <v>-</v>
      </c>
      <c r="H7" t="str">
        <f>ankomster!O7</f>
        <v>-</v>
      </c>
      <c r="I7" t="str">
        <f>IFERROR(VLOOKUP(H7,Database!$A$2:$M$188,2,FALSE),"-")</f>
        <v>-</v>
      </c>
      <c r="J7" s="74" t="str">
        <f>ankomster!T7</f>
        <v>-</v>
      </c>
      <c r="K7" t="str">
        <f>IFERROR(VLOOKUP(J7,Database!$A$2:$M$188,2,FALSE),"-")</f>
        <v>-</v>
      </c>
      <c r="L7" t="str">
        <f>ankomster!Y7</f>
        <v>-</v>
      </c>
      <c r="M7" t="str">
        <f>IFERROR(VLOOKUP(L7,Database!$A$2:$M$188,2,FALSE),"-")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IFERROR(VLOOKUP(D8,Database!$A$2:$M$188,2,FALSE),"-")</f>
        <v>-</v>
      </c>
      <c r="F8" t="str">
        <f>ankomster!J8</f>
        <v>-</v>
      </c>
      <c r="G8" t="str">
        <f>IFERROR(VLOOKUP(F8,Database!$A$2:$M$188,2,FALSE),"-")</f>
        <v>-</v>
      </c>
      <c r="H8" t="str">
        <f>ankomster!O8</f>
        <v>-</v>
      </c>
      <c r="I8" t="str">
        <f>IFERROR(VLOOKUP(H8,Database!$A$2:$M$188,2,FALSE),"-")</f>
        <v>-</v>
      </c>
      <c r="J8" s="74">
        <f>ankomster!T8</f>
        <v>72</v>
      </c>
      <c r="K8" t="str">
        <f>IFERROR(VLOOKUP(J8,Database!$A$2:$M$188,2,FALSE),"-")</f>
        <v>Anders Andersen</v>
      </c>
      <c r="L8" t="str">
        <f>ankomster!Y8</f>
        <v>-</v>
      </c>
      <c r="M8" t="str">
        <f>IFERROR(VLOOKUP(L8,Database!$A$2:$M$188,2,FALSE),"-")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IFERROR(VLOOKUP(D9,Database!$A$2:$M$188,2,FALSE),"-")</f>
        <v>-</v>
      </c>
      <c r="F9" t="str">
        <f>ankomster!J9</f>
        <v>-</v>
      </c>
      <c r="G9" t="str">
        <f>IFERROR(VLOOKUP(F9,Database!$A$2:$M$188,2,FALSE),"-")</f>
        <v>-</v>
      </c>
      <c r="H9" t="str">
        <f>ankomster!O9</f>
        <v>-</v>
      </c>
      <c r="I9" t="str">
        <f>IFERROR(VLOOKUP(H9,Database!$A$2:$M$188,2,FALSE),"-")</f>
        <v>-</v>
      </c>
      <c r="J9" s="74" t="str">
        <f>ankomster!T9</f>
        <v>-</v>
      </c>
      <c r="K9" t="str">
        <f>IFERROR(VLOOKUP(J9,Database!$A$2:$M$188,2,FALSE),"-")</f>
        <v>-</v>
      </c>
      <c r="L9" t="str">
        <f>ankomster!Y9</f>
        <v>-</v>
      </c>
      <c r="M9" t="str">
        <f>IFERROR(VLOOKUP(L9,Database!$A$2:$M$188,2,FALSE),"-")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IFERROR(VLOOKUP(D10,Database!$A$2:$M$188,2,FALSE),"-")</f>
        <v>-</v>
      </c>
      <c r="F10" t="str">
        <f>ankomster!J10</f>
        <v>-</v>
      </c>
      <c r="G10" t="str">
        <f>IFERROR(VLOOKUP(F10,Database!$A$2:$M$188,2,FALSE),"-")</f>
        <v>-</v>
      </c>
      <c r="H10" t="str">
        <f>ankomster!O10</f>
        <v>-</v>
      </c>
      <c r="I10" t="str">
        <f>IFERROR(VLOOKUP(H10,Database!$A$2:$M$188,2,FALSE),"-")</f>
        <v>-</v>
      </c>
      <c r="J10" s="74" t="str">
        <f>ankomster!T10</f>
        <v>-</v>
      </c>
      <c r="K10" t="str">
        <f>IFERROR(VLOOKUP(J10,Database!$A$2:$M$188,2,FALSE),"-")</f>
        <v>-</v>
      </c>
      <c r="L10" t="str">
        <f>ankomster!Y10</f>
        <v>-</v>
      </c>
      <c r="M10" t="str">
        <f>IFERROR(VLOOKUP(L10,Database!$A$2:$M$188,2,FALSE),"-")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IFERROR(VLOOKUP(D11,Database!$A$2:$M$188,2,FALSE),"-")</f>
        <v>-</v>
      </c>
      <c r="F11" t="str">
        <f>ankomster!J11</f>
        <v>-</v>
      </c>
      <c r="G11" t="str">
        <f>IFERROR(VLOOKUP(F11,Database!$A$2:$M$188,2,FALSE),"-")</f>
        <v>-</v>
      </c>
      <c r="H11" t="str">
        <f>ankomster!O11</f>
        <v>-</v>
      </c>
      <c r="I11" t="str">
        <f>IFERROR(VLOOKUP(H11,Database!$A$2:$M$188,2,FALSE),"-")</f>
        <v>-</v>
      </c>
      <c r="J11" s="74" t="str">
        <f>ankomster!T11</f>
        <v>-</v>
      </c>
      <c r="K11" t="str">
        <f>IFERROR(VLOOKUP(J11,Database!$A$2:$M$188,2,FALSE),"-")</f>
        <v>-</v>
      </c>
      <c r="L11" t="str">
        <f>ankomster!Y11</f>
        <v>-</v>
      </c>
      <c r="M11" t="str">
        <f>IFERROR(VLOOKUP(L11,Database!$A$2:$M$188,2,FALSE),"-")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IFERROR(VLOOKUP(D12,Database!$A$2:$M$188,2,FALSE),"-")</f>
        <v>-</v>
      </c>
      <c r="F12">
        <f>ankomster!J12</f>
        <v>80</v>
      </c>
      <c r="G12" t="str">
        <f>IFERROR(VLOOKUP(F12,Database!$A$2:$M$188,2,FALSE),"-")</f>
        <v>Finn Müllertz</v>
      </c>
      <c r="H12">
        <f>ankomster!O12</f>
        <v>80</v>
      </c>
      <c r="I12" t="str">
        <f>IFERROR(VLOOKUP(H12,Database!$A$2:$M$188,2,FALSE),"-")</f>
        <v>Finn Müllertz</v>
      </c>
      <c r="J12" s="74" t="str">
        <f>ankomster!T12</f>
        <v>-</v>
      </c>
      <c r="K12" t="str">
        <f>IFERROR(VLOOKUP(J12,Database!$A$2:$M$188,2,FALSE),"-")</f>
        <v>-</v>
      </c>
      <c r="L12" t="str">
        <f>ankomster!Y12</f>
        <v>-</v>
      </c>
      <c r="M12" t="str">
        <f>IFERROR(VLOOKUP(L12,Database!$A$2:$M$188,2,FALSE),"-")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IFERROR(VLOOKUP(D13,Database!$A$2:$M$188,2,FALSE),"-")</f>
        <v>-</v>
      </c>
      <c r="F13" t="str">
        <f>ankomster!J13</f>
        <v>-</v>
      </c>
      <c r="G13" t="str">
        <f>IFERROR(VLOOKUP(F13,Database!$A$2:$M$188,2,FALSE),"-")</f>
        <v>-</v>
      </c>
      <c r="H13" t="str">
        <f>ankomster!O13</f>
        <v>-</v>
      </c>
      <c r="I13" t="str">
        <f>IFERROR(VLOOKUP(H13,Database!$A$2:$M$188,2,FALSE),"-")</f>
        <v>-</v>
      </c>
      <c r="J13" s="74" t="str">
        <f>ankomster!T13</f>
        <v>-</v>
      </c>
      <c r="K13" t="str">
        <f>IFERROR(VLOOKUP(J13,Database!$A$2:$M$188,2,FALSE),"-")</f>
        <v>-</v>
      </c>
      <c r="L13" t="str">
        <f>ankomster!Y13</f>
        <v>-</v>
      </c>
      <c r="M13" t="str">
        <f>IFERROR(VLOOKUP(L13,Database!$A$2:$M$188,2,FALSE),"-")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IFERROR(VLOOKUP(D14,Database!$A$2:$M$188,2,FALSE),"-")</f>
        <v>-</v>
      </c>
      <c r="F14" t="str">
        <f>ankomster!J14</f>
        <v>-</v>
      </c>
      <c r="G14" t="str">
        <f>IFERROR(VLOOKUP(F14,Database!$A$2:$M$188,2,FALSE),"-")</f>
        <v>-</v>
      </c>
      <c r="H14" t="str">
        <f>ankomster!O14</f>
        <v>-</v>
      </c>
      <c r="I14" t="str">
        <f>IFERROR(VLOOKUP(H14,Database!$A$2:$M$188,2,FALSE),"-")</f>
        <v>-</v>
      </c>
      <c r="J14" s="74" t="str">
        <f>ankomster!T14</f>
        <v>-</v>
      </c>
      <c r="K14" t="str">
        <f>IFERROR(VLOOKUP(J14,Database!$A$2:$M$188,2,FALSE),"-")</f>
        <v>-</v>
      </c>
      <c r="L14" t="str">
        <f>ankomster!Y14</f>
        <v>-</v>
      </c>
      <c r="M14" t="str">
        <f>IFERROR(VLOOKUP(L14,Database!$A$2:$M$188,2,FALSE),"-")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IFERROR(VLOOKUP(D15,Database!$A$2:$M$188,2,FALSE),"-")</f>
        <v>-</v>
      </c>
      <c r="F15" t="str">
        <f>ankomster!J15</f>
        <v>-</v>
      </c>
      <c r="G15" t="str">
        <f>IFERROR(VLOOKUP(F15,Database!$A$2:$M$188,2,FALSE),"-")</f>
        <v>-</v>
      </c>
      <c r="H15" t="str">
        <f>ankomster!O15</f>
        <v>-</v>
      </c>
      <c r="I15" t="str">
        <f>IFERROR(VLOOKUP(H15,Database!$A$2:$M$188,2,FALSE),"-")</f>
        <v>-</v>
      </c>
      <c r="J15" s="74" t="str">
        <f>ankomster!T15</f>
        <v>-</v>
      </c>
      <c r="K15" t="str">
        <f>IFERROR(VLOOKUP(J15,Database!$A$2:$M$188,2,FALSE),"-")</f>
        <v>-</v>
      </c>
      <c r="L15" t="str">
        <f>ankomster!Y15</f>
        <v>-</v>
      </c>
      <c r="M15" t="str">
        <f>IFERROR(VLOOKUP(L15,Database!$A$2:$M$188,2,FALSE),"-")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IFERROR(VLOOKUP(D16,Database!$A$2:$M$188,2,FALSE),"-")</f>
        <v>-</v>
      </c>
      <c r="F16" t="str">
        <f>ankomster!J16</f>
        <v>-</v>
      </c>
      <c r="G16" t="str">
        <f>IFERROR(VLOOKUP(F16,Database!$A$2:$M$188,2,FALSE),"-")</f>
        <v>-</v>
      </c>
      <c r="H16" t="str">
        <f>ankomster!O16</f>
        <v>-</v>
      </c>
      <c r="I16" t="str">
        <f>IFERROR(VLOOKUP(H16,Database!$A$2:$M$188,2,FALSE),"-")</f>
        <v>-</v>
      </c>
      <c r="J16" s="74" t="str">
        <f>ankomster!T16</f>
        <v>-</v>
      </c>
      <c r="K16" t="str">
        <f>IFERROR(VLOOKUP(J16,Database!$A$2:$M$188,2,FALSE),"-")</f>
        <v>-</v>
      </c>
      <c r="L16">
        <f>ankomster!Y16</f>
        <v>63</v>
      </c>
      <c r="M16" t="str">
        <f>IFERROR(VLOOKUP(L16,Database!$A$2:$M$188,2,FALSE),"-")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IFERROR(VLOOKUP(D17,Database!$A$2:$M$188,2,FALSE),"-")</f>
        <v>-</v>
      </c>
      <c r="F17" t="str">
        <f>ankomster!J17</f>
        <v>-</v>
      </c>
      <c r="G17" t="str">
        <f>IFERROR(VLOOKUP(F17,Database!$A$2:$M$188,2,FALSE),"-")</f>
        <v>-</v>
      </c>
      <c r="H17" t="str">
        <f>ankomster!O17</f>
        <v>-</v>
      </c>
      <c r="I17" t="str">
        <f>IFERROR(VLOOKUP(H17,Database!$A$2:$M$188,2,FALSE),"-")</f>
        <v>-</v>
      </c>
      <c r="J17" s="74" t="str">
        <f>ankomster!T17</f>
        <v>-</v>
      </c>
      <c r="K17" t="str">
        <f>IFERROR(VLOOKUP(J17,Database!$A$2:$M$188,2,FALSE),"-")</f>
        <v>-</v>
      </c>
      <c r="L17" t="str">
        <f>ankomster!Y17</f>
        <v>-</v>
      </c>
      <c r="M17" t="str">
        <f>IFERROR(VLOOKUP(L17,Database!$A$2:$M$188,2,FALSE),"-")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IFERROR(VLOOKUP(D18,Database!$A$2:$M$188,2,FALSE),"-")</f>
        <v>Claus Nyeland</v>
      </c>
      <c r="F18" t="str">
        <f>ankomster!J18</f>
        <v>-</v>
      </c>
      <c r="G18" t="str">
        <f>IFERROR(VLOOKUP(F18,Database!$A$2:$M$188,2,FALSE),"-")</f>
        <v>-</v>
      </c>
      <c r="H18" t="str">
        <f>ankomster!O18</f>
        <v>-</v>
      </c>
      <c r="I18" t="str">
        <f>IFERROR(VLOOKUP(H18,Database!$A$2:$M$188,2,FALSE),"-")</f>
        <v>-</v>
      </c>
      <c r="J18" s="74" t="str">
        <f>ankomster!T18</f>
        <v>-</v>
      </c>
      <c r="K18" t="str">
        <f>IFERROR(VLOOKUP(J18,Database!$A$2:$M$188,2,FALSE),"-")</f>
        <v>-</v>
      </c>
      <c r="L18" t="str">
        <f>ankomster!Y18</f>
        <v>-</v>
      </c>
      <c r="M18" t="str">
        <f>IFERROR(VLOOKUP(L18,Database!$A$2:$M$188,2,FALSE),"-")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IFERROR(VLOOKUP(D19,Database!$A$2:$M$188,2,FALSE),"-")</f>
        <v>-</v>
      </c>
      <c r="F19">
        <f>ankomster!J19</f>
        <v>90</v>
      </c>
      <c r="G19" t="str">
        <f>IFERROR(VLOOKUP(F19,Database!$A$2:$M$188,2,FALSE),"-")</f>
        <v>Kjell Karlsson</v>
      </c>
      <c r="H19">
        <f>ankomster!O19</f>
        <v>95</v>
      </c>
      <c r="I19" t="str">
        <f>IFERROR(VLOOKUP(H19,Database!$A$2:$M$188,2,FALSE),"-")</f>
        <v>Klas Sjödahl</v>
      </c>
      <c r="J19" s="74">
        <f>ankomster!T19</f>
        <v>97</v>
      </c>
      <c r="K19" t="str">
        <f>IFERROR(VLOOKUP(J19,Database!$A$2:$M$188,2,FALSE),"-")</f>
        <v>Calin Durnea</v>
      </c>
      <c r="L19" t="str">
        <f>ankomster!Y19</f>
        <v>-</v>
      </c>
      <c r="M19" t="str">
        <f>IFERROR(VLOOKUP(L19,Database!$A$2:$M$188,2,FALSE),"-")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IFERROR(VLOOKUP(D20,Database!$A$2:$M$188,2,FALSE),"-")</f>
        <v>-</v>
      </c>
      <c r="F20" t="str">
        <f>ankomster!J20</f>
        <v>-</v>
      </c>
      <c r="G20" t="str">
        <f>IFERROR(VLOOKUP(F20,Database!$A$2:$M$188,2,FALSE),"-")</f>
        <v>-</v>
      </c>
      <c r="H20" t="str">
        <f>ankomster!O20</f>
        <v>-</v>
      </c>
      <c r="I20" t="str">
        <f>IFERROR(VLOOKUP(H20,Database!$A$2:$M$188,2,FALSE),"-")</f>
        <v>-</v>
      </c>
      <c r="J20" s="74" t="str">
        <f>ankomster!T20</f>
        <v>-</v>
      </c>
      <c r="K20" t="str">
        <f>IFERROR(VLOOKUP(J20,Database!$A$2:$M$188,2,FALSE),"-")</f>
        <v>-</v>
      </c>
      <c r="L20">
        <f>ankomster!Y20</f>
        <v>91</v>
      </c>
      <c r="M20" t="str">
        <f>IFERROR(VLOOKUP(L20,Database!$A$2:$M$188,2,FALSE),"-")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IFERROR(VLOOKUP(D21,Database!$A$2:$M$188,2,FALSE),"-")</f>
        <v>Hans-Dieter Lange</v>
      </c>
      <c r="F21" t="str">
        <f>ankomster!J21</f>
        <v>-</v>
      </c>
      <c r="G21" t="str">
        <f>IFERROR(VLOOKUP(F21,Database!$A$2:$M$188,2,FALSE),"-")</f>
        <v>-</v>
      </c>
      <c r="H21" t="str">
        <f>ankomster!O21</f>
        <v>-</v>
      </c>
      <c r="I21" t="str">
        <f>IFERROR(VLOOKUP(H21,Database!$A$2:$M$188,2,FALSE),"-")</f>
        <v>-</v>
      </c>
      <c r="J21" s="74" t="str">
        <f>ankomster!T21</f>
        <v>-</v>
      </c>
      <c r="K21" t="str">
        <f>IFERROR(VLOOKUP(J21,Database!$A$2:$M$188,2,FALSE),"-")</f>
        <v>-</v>
      </c>
      <c r="L21" t="str">
        <f>ankomster!Y21</f>
        <v>-</v>
      </c>
      <c r="M21" t="str">
        <f>IFERROR(VLOOKUP(L21,Database!$A$2:$M$188,2,FALSE),"-")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IFERROR(VLOOKUP(D22,Database!$A$2:$M$188,2,FALSE),"-")</f>
        <v>-</v>
      </c>
      <c r="F22">
        <f>ankomster!J22</f>
        <v>108</v>
      </c>
      <c r="G22" t="str">
        <f>IFERROR(VLOOKUP(F22,Database!$A$2:$M$188,2,FALSE),"-")</f>
        <v>Kurt Bergen</v>
      </c>
      <c r="H22" t="str">
        <f>ankomster!O22</f>
        <v>-</v>
      </c>
      <c r="I22" t="str">
        <f>IFERROR(VLOOKUP(H22,Database!$A$2:$M$188,2,FALSE),"-")</f>
        <v>-</v>
      </c>
      <c r="J22" s="74">
        <f>ankomster!T22</f>
        <v>96</v>
      </c>
      <c r="K22" t="str">
        <f>IFERROR(VLOOKUP(J22,Database!$A$2:$M$188,2,FALSE),"-")</f>
        <v>Thomas Schimmer</v>
      </c>
      <c r="L22">
        <f>ankomster!Y22</f>
        <v>9</v>
      </c>
      <c r="M22" t="str">
        <f>IFERROR(VLOOKUP(L22,Database!$A$2:$M$188,2,FALSE),"-")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IFERROR(VLOOKUP(D23,Database!$A$2:$M$188,2,FALSE),"-")</f>
        <v>-</v>
      </c>
      <c r="F23" t="str">
        <f>ankomster!J23</f>
        <v>-</v>
      </c>
      <c r="G23" t="str">
        <f>IFERROR(VLOOKUP(F23,Database!$A$2:$M$188,2,FALSE),"-")</f>
        <v>-</v>
      </c>
      <c r="H23">
        <f>ankomster!O23</f>
        <v>107</v>
      </c>
      <c r="I23" t="str">
        <f>IFERROR(VLOOKUP(H23,Database!$A$2:$M$188,2,FALSE),"-")</f>
        <v>Marcia Swinney-Shay</v>
      </c>
      <c r="J23" s="74" t="str">
        <f>ankomster!T23</f>
        <v>-</v>
      </c>
      <c r="K23" t="str">
        <f>IFERROR(VLOOKUP(J23,Database!$A$2:$M$188,2,FALSE),"-")</f>
        <v>-</v>
      </c>
      <c r="L23" t="str">
        <f>ankomster!Y23</f>
        <v>-</v>
      </c>
      <c r="M23" t="str">
        <f>IFERROR(VLOOKUP(L23,Database!$A$2:$M$188,2,FALSE),"-")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IFERROR(VLOOKUP(D24,Database!$A$2:$M$188,2,FALSE),"-")</f>
        <v>-</v>
      </c>
      <c r="F24" t="str">
        <f>ankomster!J24</f>
        <v>-</v>
      </c>
      <c r="G24" t="str">
        <f>IFERROR(VLOOKUP(F24,Database!$A$2:$M$188,2,FALSE),"-")</f>
        <v>-</v>
      </c>
      <c r="H24" t="str">
        <f>ankomster!O24</f>
        <v>-</v>
      </c>
      <c r="I24" t="str">
        <f>IFERROR(VLOOKUP(H24,Database!$A$2:$M$188,2,FALSE),"-")</f>
        <v>-</v>
      </c>
      <c r="J24" s="74" t="str">
        <f>ankomster!T24</f>
        <v>-</v>
      </c>
      <c r="K24" t="str">
        <f>IFERROR(VLOOKUP(J24,Database!$A$2:$M$188,2,FALSE),"-")</f>
        <v>-</v>
      </c>
      <c r="L24" t="str">
        <f>ankomster!Y24</f>
        <v>-</v>
      </c>
      <c r="M24" t="str">
        <f>IFERROR(VLOOKUP(L24,Database!$A$2:$M$188,2,FALSE),"-")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IFERROR(VLOOKUP(D25,Database!$A$2:$M$188,2,FALSE),"-")</f>
        <v>-</v>
      </c>
      <c r="F25" t="str">
        <f>ankomster!J25</f>
        <v>-</v>
      </c>
      <c r="G25" t="str">
        <f>IFERROR(VLOOKUP(F25,Database!$A$2:$M$188,2,FALSE),"-")</f>
        <v>-</v>
      </c>
      <c r="H25" t="str">
        <f>ankomster!O25</f>
        <v>-</v>
      </c>
      <c r="I25" t="str">
        <f>IFERROR(VLOOKUP(H25,Database!$A$2:$M$188,2,FALSE),"-")</f>
        <v>-</v>
      </c>
      <c r="J25" s="74" t="str">
        <f>ankomster!T25</f>
        <v>-</v>
      </c>
      <c r="K25" t="str">
        <f>IFERROR(VLOOKUP(J25,Database!$A$2:$M$188,2,FALSE),"-")</f>
        <v>-</v>
      </c>
      <c r="L25" t="str">
        <f>ankomster!Y25</f>
        <v>-</v>
      </c>
      <c r="M25" t="str">
        <f>IFERROR(VLOOKUP(L25,Database!$A$2:$M$188,2,FALSE),"-")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IFERROR(VLOOKUP(D26,Database!$A$2:$M$188,2,FALSE),"-")</f>
        <v>Susan Hart</v>
      </c>
      <c r="F26">
        <f>ankomster!J26</f>
        <v>20</v>
      </c>
      <c r="G26" t="str">
        <f>IFERROR(VLOOKUP(F26,Database!$A$2:$M$188,2,FALSE),"-")</f>
        <v>Susan Hart</v>
      </c>
      <c r="H26" t="str">
        <f>ankomster!O26</f>
        <v>-</v>
      </c>
      <c r="I26" t="str">
        <f>IFERROR(VLOOKUP(H26,Database!$A$2:$M$188,2,FALSE),"-")</f>
        <v>-</v>
      </c>
      <c r="J26" s="74">
        <f>ankomster!T26</f>
        <v>20</v>
      </c>
      <c r="K26" t="str">
        <f>IFERROR(VLOOKUP(J26,Database!$A$2:$M$188,2,FALSE),"-")</f>
        <v>Susan Hart</v>
      </c>
      <c r="L26" t="str">
        <f>ankomster!Y26</f>
        <v>-</v>
      </c>
      <c r="M26" t="str">
        <f>IFERROR(VLOOKUP(L26,Database!$A$2:$M$188,2,FALSE),"-")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IFERROR(VLOOKUP(D27,Database!$A$2:$M$188,2,FALSE),"-")</f>
        <v>-</v>
      </c>
      <c r="F27" t="str">
        <f>ankomster!J27</f>
        <v>-</v>
      </c>
      <c r="G27" t="str">
        <f>IFERROR(VLOOKUP(F27,Database!$A$2:$M$188,2,FALSE),"-")</f>
        <v>-</v>
      </c>
      <c r="H27" t="str">
        <f>ankomster!O27</f>
        <v>-</v>
      </c>
      <c r="I27" t="str">
        <f>IFERROR(VLOOKUP(H27,Database!$A$2:$M$188,2,FALSE),"-")</f>
        <v>-</v>
      </c>
      <c r="J27" s="74" t="str">
        <f>ankomster!T27</f>
        <v>-</v>
      </c>
      <c r="K27" t="str">
        <f>IFERROR(VLOOKUP(J27,Database!$A$2:$M$188,2,FALSE),"-")</f>
        <v>-</v>
      </c>
      <c r="L27" t="str">
        <f>ankomster!Y27</f>
        <v>-</v>
      </c>
      <c r="M27" t="str">
        <f>IFERROR(VLOOKUP(L27,Database!$A$2:$M$188,2,FALSE),"-")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IFERROR(VLOOKUP(D28,Database!$A$2:$M$188,2,FALSE),"-")</f>
        <v>-</v>
      </c>
      <c r="F28" t="str">
        <f>ankomster!J28</f>
        <v>-</v>
      </c>
      <c r="G28" t="str">
        <f>IFERROR(VLOOKUP(F28,Database!$A$2:$M$188,2,FALSE),"-")</f>
        <v>-</v>
      </c>
      <c r="H28" t="str">
        <f>ankomster!O28</f>
        <v>-</v>
      </c>
      <c r="I28" t="str">
        <f>IFERROR(VLOOKUP(H28,Database!$A$2:$M$188,2,FALSE),"-")</f>
        <v>-</v>
      </c>
      <c r="J28" s="74" t="str">
        <f>ankomster!T28</f>
        <v>-</v>
      </c>
      <c r="K28" t="str">
        <f>IFERROR(VLOOKUP(J28,Database!$A$2:$M$188,2,FALSE),"-")</f>
        <v>-</v>
      </c>
      <c r="L28" t="str">
        <f>ankomster!Y28</f>
        <v>-</v>
      </c>
      <c r="M28" t="str">
        <f>IFERROR(VLOOKUP(L28,Database!$A$2:$M$188,2,FALSE),"-")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IFERROR(VLOOKUP(D29,Database!$A$2:$M$188,2,FALSE),"-")</f>
        <v>-</v>
      </c>
      <c r="F29" t="str">
        <f>ankomster!J29</f>
        <v>-</v>
      </c>
      <c r="G29" t="str">
        <f>IFERROR(VLOOKUP(F29,Database!$A$2:$M$188,2,FALSE),"-")</f>
        <v>-</v>
      </c>
      <c r="H29" t="str">
        <f>ankomster!O29</f>
        <v>-</v>
      </c>
      <c r="I29" t="str">
        <f>IFERROR(VLOOKUP(H29,Database!$A$2:$M$188,2,FALSE),"-")</f>
        <v>-</v>
      </c>
      <c r="J29" s="74" t="str">
        <f>ankomster!T29</f>
        <v>-</v>
      </c>
      <c r="K29" t="str">
        <f>IFERROR(VLOOKUP(J29,Database!$A$2:$M$188,2,FALSE),"-")</f>
        <v>-</v>
      </c>
      <c r="L29" t="str">
        <f>ankomster!Y29</f>
        <v>-</v>
      </c>
      <c r="M29" t="str">
        <f>IFERROR(VLOOKUP(L29,Database!$A$2:$M$188,2,FALSE),"-")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IFERROR(VLOOKUP(D30,Database!$A$2:$M$188,2,FALSE),"-")</f>
        <v>-</v>
      </c>
      <c r="F30" t="str">
        <f>ankomster!J30</f>
        <v>-</v>
      </c>
      <c r="G30" t="str">
        <f>IFERROR(VLOOKUP(F30,Database!$A$2:$M$188,2,FALSE),"-")</f>
        <v>-</v>
      </c>
      <c r="H30" t="str">
        <f>ankomster!O30</f>
        <v>-</v>
      </c>
      <c r="I30" t="str">
        <f>IFERROR(VLOOKUP(H30,Database!$A$2:$M$188,2,FALSE),"-")</f>
        <v>-</v>
      </c>
      <c r="J30" s="74" t="str">
        <f>ankomster!T30</f>
        <v>-</v>
      </c>
      <c r="K30" t="str">
        <f>IFERROR(VLOOKUP(J30,Database!$A$2:$M$188,2,FALSE),"-")</f>
        <v>-</v>
      </c>
      <c r="L30" t="str">
        <f>ankomster!Y30</f>
        <v>-</v>
      </c>
      <c r="M30" t="str">
        <f>IFERROR(VLOOKUP(L30,Database!$A$2:$M$188,2,FALSE),"-")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IFERROR(VLOOKUP(D31,Database!$A$2:$M$188,2,FALSE),"-")</f>
        <v>-</v>
      </c>
      <c r="F31" t="str">
        <f>ankomster!J31</f>
        <v>-</v>
      </c>
      <c r="G31" t="str">
        <f>IFERROR(VLOOKUP(F31,Database!$A$2:$M$188,2,FALSE),"-")</f>
        <v>-</v>
      </c>
      <c r="H31" t="str">
        <f>ankomster!O31</f>
        <v>-</v>
      </c>
      <c r="I31" t="str">
        <f>IFERROR(VLOOKUP(H31,Database!$A$2:$M$188,2,FALSE),"-")</f>
        <v>-</v>
      </c>
      <c r="J31" s="74" t="str">
        <f>ankomster!T31</f>
        <v>-</v>
      </c>
      <c r="K31" t="str">
        <f>IFERROR(VLOOKUP(J31,Database!$A$2:$M$188,2,FALSE),"-")</f>
        <v>-</v>
      </c>
      <c r="L31" t="str">
        <f>ankomster!Y31</f>
        <v>-</v>
      </c>
      <c r="M31" t="str">
        <f>IFERROR(VLOOKUP(L31,Database!$A$2:$M$188,2,FALSE),"-")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IFERROR(VLOOKUP(D32,Database!$A$2:$M$188,2,FALSE),"-")</f>
        <v>Susanne Mainsøe Madsen</v>
      </c>
      <c r="F32" t="str">
        <f>ankomster!J32</f>
        <v>-</v>
      </c>
      <c r="G32" t="str">
        <f>IFERROR(VLOOKUP(F32,Database!$A$2:$M$188,2,FALSE),"-")</f>
        <v>-</v>
      </c>
      <c r="H32" t="str">
        <f>ankomster!O32</f>
        <v>-</v>
      </c>
      <c r="I32" t="str">
        <f>IFERROR(VLOOKUP(H32,Database!$A$2:$M$188,2,FALSE),"-")</f>
        <v>-</v>
      </c>
      <c r="J32" s="74" t="str">
        <f>ankomster!T32</f>
        <v>-</v>
      </c>
      <c r="K32" t="str">
        <f>IFERROR(VLOOKUP(J32,Database!$A$2:$M$188,2,FALSE),"-")</f>
        <v>-</v>
      </c>
      <c r="L32">
        <f>ankomster!Y32</f>
        <v>5</v>
      </c>
      <c r="M32" t="str">
        <f>IFERROR(VLOOKUP(L32,Database!$A$2:$M$188,2,FALSE),"-")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IFERROR(VLOOKUP(D33,Database!$A$2:$M$188,2,FALSE),"-")</f>
        <v>-</v>
      </c>
      <c r="F33" t="str">
        <f>ankomster!J33</f>
        <v>-</v>
      </c>
      <c r="G33" t="str">
        <f>IFERROR(VLOOKUP(F33,Database!$A$2:$M$188,2,FALSE),"-")</f>
        <v>-</v>
      </c>
      <c r="H33" t="str">
        <f>ankomster!O33</f>
        <v>-</v>
      </c>
      <c r="I33" t="str">
        <f>IFERROR(VLOOKUP(H33,Database!$A$2:$M$188,2,FALSE),"-")</f>
        <v>-</v>
      </c>
      <c r="J33" s="74">
        <f>ankomster!T33</f>
        <v>136</v>
      </c>
      <c r="K33" t="str">
        <f>IFERROR(VLOOKUP(J33,Database!$A$2:$M$188,2,FALSE),"-")</f>
        <v>Lene Bysted</v>
      </c>
      <c r="L33" t="str">
        <f>ankomster!Y33</f>
        <v>-</v>
      </c>
      <c r="M33" t="str">
        <f>IFERROR(VLOOKUP(L33,Database!$A$2:$M$188,2,FALSE),"-")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IFERROR(VLOOKUP(D34,Database!$A$2:$M$188,2,FALSE),"-")</f>
        <v>-</v>
      </c>
      <c r="F34">
        <f>ankomster!J34</f>
        <v>125</v>
      </c>
      <c r="G34" t="str">
        <f>IFERROR(VLOOKUP(F34,Database!$A$2:$M$188,2,FALSE),"-")</f>
        <v>Erik Jensen</v>
      </c>
      <c r="H34" t="str">
        <f>ankomster!O34</f>
        <v>-</v>
      </c>
      <c r="I34" t="str">
        <f>IFERROR(VLOOKUP(H34,Database!$A$2:$M$188,2,FALSE),"-")</f>
        <v>-</v>
      </c>
      <c r="J34" s="74" t="str">
        <f>ankomster!T34</f>
        <v>-</v>
      </c>
      <c r="K34" t="str">
        <f>IFERROR(VLOOKUP(J34,Database!$A$2:$M$188,2,FALSE),"-")</f>
        <v>-</v>
      </c>
      <c r="L34" t="str">
        <f>ankomster!Y34</f>
        <v>-</v>
      </c>
      <c r="M34" t="str">
        <f>IFERROR(VLOOKUP(L34,Database!$A$2:$M$188,2,FALSE),"-")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IFERROR(VLOOKUP(D35,Database!$A$2:$M$188,2,FALSE),"-")</f>
        <v>-</v>
      </c>
      <c r="F35" t="str">
        <f>ankomster!J35</f>
        <v>-</v>
      </c>
      <c r="G35" t="str">
        <f>IFERROR(VLOOKUP(F35,Database!$A$2:$M$188,2,FALSE),"-")</f>
        <v>-</v>
      </c>
      <c r="H35" t="str">
        <f>ankomster!O35</f>
        <v>-</v>
      </c>
      <c r="I35" t="str">
        <f>IFERROR(VLOOKUP(H35,Database!$A$2:$M$188,2,FALSE),"-")</f>
        <v>-</v>
      </c>
      <c r="J35" s="74" t="str">
        <f>ankomster!T35</f>
        <v>-</v>
      </c>
      <c r="K35" t="str">
        <f>IFERROR(VLOOKUP(J35,Database!$A$2:$M$188,2,FALSE),"-")</f>
        <v>-</v>
      </c>
      <c r="L35" t="str">
        <f>ankomster!Y35</f>
        <v>-</v>
      </c>
      <c r="M35" t="str">
        <f>IFERROR(VLOOKUP(L35,Database!$A$2:$M$188,2,FALSE),"-")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IFERROR(VLOOKUP(D36,Database!$A$2:$M$188,2,FALSE),"-")</f>
        <v>Jette Hansen</v>
      </c>
      <c r="F36">
        <f>ankomster!J36</f>
        <v>79</v>
      </c>
      <c r="G36" t="str">
        <f>IFERROR(VLOOKUP(F36,Database!$A$2:$M$188,2,FALSE),"-")</f>
        <v>Claus Kaae</v>
      </c>
      <c r="H36" t="str">
        <f>ankomster!O36</f>
        <v>-</v>
      </c>
      <c r="I36" t="str">
        <f>IFERROR(VLOOKUP(H36,Database!$A$2:$M$188,2,FALSE),"-")</f>
        <v>-</v>
      </c>
      <c r="J36" s="74" t="str">
        <f>ankomster!T36</f>
        <v>-</v>
      </c>
      <c r="K36" t="str">
        <f>IFERROR(VLOOKUP(J36,Database!$A$2:$M$188,2,FALSE),"-")</f>
        <v>-</v>
      </c>
      <c r="L36" t="str">
        <f>ankomster!Y36</f>
        <v>-</v>
      </c>
      <c r="M36" t="str">
        <f>IFERROR(VLOOKUP(L36,Database!$A$2:$M$188,2,FALSE),"-")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IFERROR(VLOOKUP(D37,Database!$A$2:$M$188,2,FALSE),"-")</f>
        <v>-</v>
      </c>
      <c r="F37" t="str">
        <f>ankomster!J37</f>
        <v>-</v>
      </c>
      <c r="G37" t="str">
        <f>IFERROR(VLOOKUP(F37,Database!$A$2:$M$188,2,FALSE),"-")</f>
        <v>-</v>
      </c>
      <c r="H37" t="str">
        <f>ankomster!O37</f>
        <v>-</v>
      </c>
      <c r="I37" t="str">
        <f>IFERROR(VLOOKUP(H37,Database!$A$2:$M$188,2,FALSE),"-")</f>
        <v>-</v>
      </c>
      <c r="J37" s="74" t="str">
        <f>ankomster!T37</f>
        <v>-</v>
      </c>
      <c r="K37" t="str">
        <f>IFERROR(VLOOKUP(J37,Database!$A$2:$M$188,2,FALSE),"-")</f>
        <v>-</v>
      </c>
      <c r="L37" t="str">
        <f>ankomster!Y37</f>
        <v>-</v>
      </c>
      <c r="M37" t="str">
        <f>IFERROR(VLOOKUP(L37,Database!$A$2:$M$188,2,FALSE),"-")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IFERROR(VLOOKUP(D38,Database!$A$2:$M$188,2,FALSE),"-")</f>
        <v>-</v>
      </c>
      <c r="F38" t="str">
        <f>ankomster!J38</f>
        <v>-</v>
      </c>
      <c r="G38" t="str">
        <f>IFERROR(VLOOKUP(F38,Database!$A$2:$M$188,2,FALSE),"-")</f>
        <v>-</v>
      </c>
      <c r="H38" t="str">
        <f>ankomster!O38</f>
        <v>-</v>
      </c>
      <c r="I38" t="str">
        <f>IFERROR(VLOOKUP(H38,Database!$A$2:$M$188,2,FALSE),"-")</f>
        <v>-</v>
      </c>
      <c r="J38" s="74" t="str">
        <f>ankomster!T38</f>
        <v>-</v>
      </c>
      <c r="K38" t="str">
        <f>IFERROR(VLOOKUP(J38,Database!$A$2:$M$188,2,FALSE),"-")</f>
        <v>-</v>
      </c>
      <c r="L38">
        <f>ankomster!Y38</f>
        <v>12</v>
      </c>
      <c r="M38" t="str">
        <f>IFERROR(VLOOKUP(L38,Database!$A$2:$M$188,2,FALSE),"-")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IFERROR(VLOOKUP(D39,Database!$A$2:$M$188,2,FALSE),"-")</f>
        <v>-</v>
      </c>
      <c r="F39" t="str">
        <f>ankomster!J39</f>
        <v>-</v>
      </c>
      <c r="G39" t="str">
        <f>IFERROR(VLOOKUP(F39,Database!$A$2:$M$188,2,FALSE),"-")</f>
        <v>-</v>
      </c>
      <c r="H39">
        <f>ankomster!O39</f>
        <v>27</v>
      </c>
      <c r="I39" t="str">
        <f>IFERROR(VLOOKUP(H39,Database!$A$2:$M$188,2,FALSE),"-")</f>
        <v>Eigil Holm Nielsen</v>
      </c>
      <c r="J39" s="74" t="str">
        <f>ankomster!T39</f>
        <v>-</v>
      </c>
      <c r="K39" t="str">
        <f>IFERROR(VLOOKUP(J39,Database!$A$2:$M$188,2,FALSE),"-")</f>
        <v>-</v>
      </c>
      <c r="L39" t="str">
        <f>ankomster!Y39</f>
        <v>-</v>
      </c>
      <c r="M39" t="str">
        <f>IFERROR(VLOOKUP(L39,Database!$A$2:$M$188,2,FALSE),"-")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IFERROR(VLOOKUP(D40,Database!$A$2:$M$188,2,FALSE),"-")</f>
        <v>-</v>
      </c>
      <c r="F40" t="str">
        <f>ankomster!J40</f>
        <v>-</v>
      </c>
      <c r="G40" t="str">
        <f>IFERROR(VLOOKUP(F40,Database!$A$2:$M$188,2,FALSE),"-")</f>
        <v>-</v>
      </c>
      <c r="H40" t="str">
        <f>ankomster!O40</f>
        <v>-</v>
      </c>
      <c r="I40" t="str">
        <f>IFERROR(VLOOKUP(H40,Database!$A$2:$M$188,2,FALSE),"-")</f>
        <v>-</v>
      </c>
      <c r="J40" s="74">
        <f>ankomster!T40</f>
        <v>116</v>
      </c>
      <c r="K40" t="str">
        <f>IFERROR(VLOOKUP(J40,Database!$A$2:$M$188,2,FALSE),"-")</f>
        <v>Lucas Larsen</v>
      </c>
      <c r="L40" t="str">
        <f>ankomster!Y40</f>
        <v>-</v>
      </c>
      <c r="M40" t="str">
        <f>IFERROR(VLOOKUP(L40,Database!$A$2:$M$188,2,FALSE),"-")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IFERROR(VLOOKUP(D41,Database!$A$2:$M$188,2,FALSE),"-")</f>
        <v>Sanne Østrup</v>
      </c>
      <c r="F41">
        <f>ankomster!J41</f>
        <v>6</v>
      </c>
      <c r="G41" t="str">
        <f>IFERROR(VLOOKUP(F41,Database!$A$2:$M$188,2,FALSE),"-")</f>
        <v>Sanne Østrup</v>
      </c>
      <c r="H41" t="str">
        <f>ankomster!O41</f>
        <v>-</v>
      </c>
      <c r="I41" t="str">
        <f>IFERROR(VLOOKUP(H41,Database!$A$2:$M$188,2,FALSE),"-")</f>
        <v>-</v>
      </c>
      <c r="J41" s="74" t="str">
        <f>ankomster!T41</f>
        <v>-</v>
      </c>
      <c r="K41" t="str">
        <f>IFERROR(VLOOKUP(J41,Database!$A$2:$M$188,2,FALSE),"-")</f>
        <v>-</v>
      </c>
      <c r="L41" t="str">
        <f>ankomster!Y41</f>
        <v>-</v>
      </c>
      <c r="M41" t="str">
        <f>IFERROR(VLOOKUP(L41,Database!$A$2:$M$188,2,FALSE),"-")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IFERROR(VLOOKUP(D42,Database!$A$2:$M$188,2,FALSE),"-")</f>
        <v>-</v>
      </c>
      <c r="F42" t="str">
        <f>ankomster!J42</f>
        <v>-</v>
      </c>
      <c r="G42" t="str">
        <f>IFERROR(VLOOKUP(F42,Database!$A$2:$M$188,2,FALSE),"-")</f>
        <v>-</v>
      </c>
      <c r="H42" t="str">
        <f>ankomster!O42</f>
        <v>-</v>
      </c>
      <c r="I42" t="str">
        <f>IFERROR(VLOOKUP(H42,Database!$A$2:$M$188,2,FALSE),"-")</f>
        <v>-</v>
      </c>
      <c r="J42" s="74" t="str">
        <f>ankomster!T42</f>
        <v>-</v>
      </c>
      <c r="K42" t="str">
        <f>IFERROR(VLOOKUP(J42,Database!$A$2:$M$188,2,FALSE),"-")</f>
        <v>-</v>
      </c>
      <c r="L42" t="str">
        <f>ankomster!Y42</f>
        <v>-</v>
      </c>
      <c r="M42" t="str">
        <f>IFERROR(VLOOKUP(L42,Database!$A$2:$M$188,2,FALSE),"-")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IFERROR(VLOOKUP(D43,Database!$A$2:$M$188,2,FALSE),"-")</f>
        <v>-</v>
      </c>
      <c r="F43" t="str">
        <f>ankomster!J43</f>
        <v>-</v>
      </c>
      <c r="G43" t="str">
        <f>IFERROR(VLOOKUP(F43,Database!$A$2:$M$188,2,FALSE),"-")</f>
        <v>-</v>
      </c>
      <c r="H43" t="str">
        <f>ankomster!O43</f>
        <v>-</v>
      </c>
      <c r="I43" t="str">
        <f>IFERROR(VLOOKUP(H43,Database!$A$2:$M$188,2,FALSE),"-")</f>
        <v>-</v>
      </c>
      <c r="J43" s="74" t="str">
        <f>ankomster!T43</f>
        <v>-</v>
      </c>
      <c r="K43" t="str">
        <f>IFERROR(VLOOKUP(J43,Database!$A$2:$M$188,2,FALSE),"-")</f>
        <v>-</v>
      </c>
      <c r="L43" t="str">
        <f>ankomster!Y43</f>
        <v>-</v>
      </c>
      <c r="M43" t="str">
        <f>IFERROR(VLOOKUP(L43,Database!$A$2:$M$188,2,FALSE),"-")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IFERROR(VLOOKUP(D44,Database!$A$2:$M$188,2,FALSE),"-")</f>
        <v>-</v>
      </c>
      <c r="F44" t="str">
        <f>ankomster!J44</f>
        <v>-</v>
      </c>
      <c r="G44" t="str">
        <f>IFERROR(VLOOKUP(F44,Database!$A$2:$M$188,2,FALSE),"-")</f>
        <v>-</v>
      </c>
      <c r="H44" t="str">
        <f>ankomster!O44</f>
        <v>-</v>
      </c>
      <c r="I44" t="str">
        <f>IFERROR(VLOOKUP(H44,Database!$A$2:$M$188,2,FALSE),"-")</f>
        <v>-</v>
      </c>
      <c r="J44" s="74">
        <f>ankomster!T44</f>
        <v>15</v>
      </c>
      <c r="K44" t="str">
        <f>IFERROR(VLOOKUP(J44,Database!$A$2:$M$188,2,FALSE),"-")</f>
        <v>Niels Kaalund</v>
      </c>
      <c r="L44">
        <f>ankomster!Y44</f>
        <v>17</v>
      </c>
      <c r="M44" t="str">
        <f>IFERROR(VLOOKUP(L44,Database!$A$2:$M$188,2,FALSE),"-")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IFERROR(VLOOKUP(D45,Database!$A$2:$M$188,2,FALSE),"-")</f>
        <v>Gitte Horup</v>
      </c>
      <c r="F45">
        <f>ankomster!J45</f>
        <v>16</v>
      </c>
      <c r="G45" t="str">
        <f>IFERROR(VLOOKUP(F45,Database!$A$2:$M$188,2,FALSE),"-")</f>
        <v>Gitte Horup</v>
      </c>
      <c r="H45">
        <f>ankomster!O45</f>
        <v>18</v>
      </c>
      <c r="I45" t="str">
        <f>IFERROR(VLOOKUP(H45,Database!$A$2:$M$188,2,FALSE),"-")</f>
        <v>Dorte Strøm</v>
      </c>
      <c r="J45" s="74" t="str">
        <f>ankomster!T45</f>
        <v>-</v>
      </c>
      <c r="K45" t="str">
        <f>IFERROR(VLOOKUP(J45,Database!$A$2:$M$188,2,FALSE),"-")</f>
        <v>-</v>
      </c>
      <c r="L45" t="str">
        <f>ankomster!Y45</f>
        <v>-</v>
      </c>
      <c r="M45" t="str">
        <f>IFERROR(VLOOKUP(L45,Database!$A$2:$M$188,2,FALSE),"-")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IFERROR(VLOOKUP(D46,Database!$A$2:$M$188,2,FALSE),"-")</f>
        <v>-</v>
      </c>
      <c r="F46" t="str">
        <f>ankomster!J46</f>
        <v>-</v>
      </c>
      <c r="G46" t="str">
        <f>IFERROR(VLOOKUP(F46,Database!$A$2:$M$188,2,FALSE),"-")</f>
        <v>-</v>
      </c>
      <c r="H46" t="str">
        <f>ankomster!O46</f>
        <v>-</v>
      </c>
      <c r="I46" t="str">
        <f>IFERROR(VLOOKUP(H46,Database!$A$2:$M$188,2,FALSE),"-")</f>
        <v>-</v>
      </c>
      <c r="J46" s="74" t="str">
        <f>ankomster!T46</f>
        <v>-</v>
      </c>
      <c r="K46" t="str">
        <f>IFERROR(VLOOKUP(J46,Database!$A$2:$M$188,2,FALSE),"-")</f>
        <v>-</v>
      </c>
      <c r="L46" t="str">
        <f>ankomster!Y46</f>
        <v>-</v>
      </c>
      <c r="M46" t="str">
        <f>IFERROR(VLOOKUP(L46,Database!$A$2:$M$188,2,FALSE),"-")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IFERROR(VLOOKUP(D47,Database!$A$2:$M$188,2,FALSE),"-")</f>
        <v>-</v>
      </c>
      <c r="F47" t="str">
        <f>ankomster!J47</f>
        <v>-</v>
      </c>
      <c r="G47" t="str">
        <f>IFERROR(VLOOKUP(F47,Database!$A$2:$M$188,2,FALSE),"-")</f>
        <v>-</v>
      </c>
      <c r="H47" t="str">
        <f>ankomster!O47</f>
        <v>-</v>
      </c>
      <c r="I47" t="str">
        <f>IFERROR(VLOOKUP(H47,Database!$A$2:$M$188,2,FALSE),"-")</f>
        <v>-</v>
      </c>
      <c r="J47" s="74" t="str">
        <f>ankomster!T47</f>
        <v>-</v>
      </c>
      <c r="K47" t="str">
        <f>IFERROR(VLOOKUP(J47,Database!$A$2:$M$188,2,FALSE),"-")</f>
        <v>-</v>
      </c>
      <c r="L47" t="str">
        <f>ankomster!Y47</f>
        <v>-</v>
      </c>
      <c r="M47" t="str">
        <f>IFERROR(VLOOKUP(L47,Database!$A$2:$M$188,2,FALSE),"-")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IFERROR(VLOOKUP(D48,Database!$A$2:$M$188,2,FALSE),"-")</f>
        <v>-</v>
      </c>
      <c r="F48" t="str">
        <f>ankomster!J48</f>
        <v>-</v>
      </c>
      <c r="G48" t="str">
        <f>IFERROR(VLOOKUP(F48,Database!$A$2:$M$188,2,FALSE),"-")</f>
        <v>-</v>
      </c>
      <c r="H48" t="str">
        <f>ankomster!O48</f>
        <v>-</v>
      </c>
      <c r="I48" t="str">
        <f>IFERROR(VLOOKUP(H48,Database!$A$2:$M$188,2,FALSE),"-")</f>
        <v>-</v>
      </c>
      <c r="J48" s="74" t="str">
        <f>ankomster!T48</f>
        <v>-</v>
      </c>
      <c r="K48" t="str">
        <f>IFERROR(VLOOKUP(J48,Database!$A$2:$M$188,2,FALSE),"-")</f>
        <v>-</v>
      </c>
      <c r="L48" t="str">
        <f>ankomster!Y48</f>
        <v>-</v>
      </c>
      <c r="M48" t="str">
        <f>IFERROR(VLOOKUP(L48,Database!$A$2:$M$188,2,FALSE),"-")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IFERROR(VLOOKUP(D49,Database!$A$2:$M$188,2,FALSE),"-")</f>
        <v>-</v>
      </c>
      <c r="F49" t="str">
        <f>ankomster!J49</f>
        <v>-</v>
      </c>
      <c r="G49" t="str">
        <f>IFERROR(VLOOKUP(F49,Database!$A$2:$M$188,2,FALSE),"-")</f>
        <v>-</v>
      </c>
      <c r="H49" t="str">
        <f>ankomster!O49</f>
        <v>-</v>
      </c>
      <c r="I49" t="str">
        <f>IFERROR(VLOOKUP(H49,Database!$A$2:$M$188,2,FALSE),"-")</f>
        <v>-</v>
      </c>
      <c r="J49" s="74" t="str">
        <f>ankomster!T49</f>
        <v>-</v>
      </c>
      <c r="K49" t="str">
        <f>IFERROR(VLOOKUP(J49,Database!$A$2:$M$188,2,FALSE),"-")</f>
        <v>-</v>
      </c>
      <c r="L49" t="str">
        <f>ankomster!Y49</f>
        <v>-</v>
      </c>
      <c r="M49" t="str">
        <f>IFERROR(VLOOKUP(L49,Database!$A$2:$M$188,2,FALSE),"-")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IFERROR(VLOOKUP(D50,Database!$A$2:$M$188,2,FALSE),"-")</f>
        <v>-</v>
      </c>
      <c r="F50" t="str">
        <f>ankomster!J50</f>
        <v>-</v>
      </c>
      <c r="G50" t="str">
        <f>IFERROR(VLOOKUP(F50,Database!$A$2:$M$188,2,FALSE),"-")</f>
        <v>-</v>
      </c>
      <c r="H50">
        <f>ankomster!O50</f>
        <v>83</v>
      </c>
      <c r="I50" t="str">
        <f>IFERROR(VLOOKUP(H50,Database!$A$2:$M$188,2,FALSE),"-")</f>
        <v>Charlotte Søder</v>
      </c>
      <c r="J50" s="74" t="str">
        <f>ankomster!T50</f>
        <v>-</v>
      </c>
      <c r="K50" t="str">
        <f>IFERROR(VLOOKUP(J50,Database!$A$2:$M$188,2,FALSE),"-")</f>
        <v>-</v>
      </c>
      <c r="L50" t="str">
        <f>ankomster!Y50</f>
        <v>-</v>
      </c>
      <c r="M50" t="str">
        <f>IFERROR(VLOOKUP(L50,Database!$A$2:$M$188,2,FALSE),"-")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IFERROR(VLOOKUP(D51,Database!$A$2:$M$188,2,FALSE),"-")</f>
        <v>Jacob Pedersen</v>
      </c>
      <c r="F51">
        <f>ankomster!J51</f>
        <v>148</v>
      </c>
      <c r="G51" t="str">
        <f>IFERROR(VLOOKUP(F51,Database!$A$2:$M$188,2,FALSE),"-")</f>
        <v>Mia Mønsted</v>
      </c>
      <c r="H51" t="str">
        <f>ankomster!O51</f>
        <v>-</v>
      </c>
      <c r="I51" t="str">
        <f>IFERROR(VLOOKUP(H51,Database!$A$2:$M$188,2,FALSE),"-")</f>
        <v>-</v>
      </c>
      <c r="J51" s="74">
        <f>ankomster!T51</f>
        <v>70</v>
      </c>
      <c r="K51" t="str">
        <f>IFERROR(VLOOKUP(J51,Database!$A$2:$M$188,2,FALSE),"-")</f>
        <v>Jan Andersen</v>
      </c>
      <c r="L51">
        <f>ankomster!Y51</f>
        <v>86</v>
      </c>
      <c r="M51" t="str">
        <f>IFERROR(VLOOKUP(L51,Database!$A$2:$M$188,2,FALSE),"-")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IFERROR(VLOOKUP(D52,Database!$A$2:$M$188,2,FALSE),"-")</f>
        <v>-</v>
      </c>
      <c r="F52" t="str">
        <f>ankomster!J52</f>
        <v>-</v>
      </c>
      <c r="G52" t="str">
        <f>IFERROR(VLOOKUP(F52,Database!$A$2:$M$188,2,FALSE),"-")</f>
        <v>-</v>
      </c>
      <c r="H52" t="str">
        <f>ankomster!O52</f>
        <v>-</v>
      </c>
      <c r="I52" t="str">
        <f>IFERROR(VLOOKUP(H52,Database!$A$2:$M$188,2,FALSE),"-")</f>
        <v>-</v>
      </c>
      <c r="J52" s="74" t="str">
        <f>ankomster!T52</f>
        <v>-</v>
      </c>
      <c r="K52" t="str">
        <f>IFERROR(VLOOKUP(J52,Database!$A$2:$M$188,2,FALSE),"-")</f>
        <v>-</v>
      </c>
      <c r="L52" t="str">
        <f>ankomster!Y52</f>
        <v>-</v>
      </c>
      <c r="M52" t="str">
        <f>IFERROR(VLOOKUP(L52,Database!$A$2:$M$188,2,FALSE),"-")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IFERROR(VLOOKUP(D53,Database!$A$2:$M$188,2,FALSE),"-")</f>
        <v>Kaj Henriksen</v>
      </c>
      <c r="F53" t="str">
        <f>ankomster!J53</f>
        <v>-</v>
      </c>
      <c r="G53" t="str">
        <f>IFERROR(VLOOKUP(F53,Database!$A$2:$M$188,2,FALSE),"-")</f>
        <v>-</v>
      </c>
      <c r="H53" t="str">
        <f>ankomster!O53</f>
        <v>-</v>
      </c>
      <c r="I53" t="str">
        <f>IFERROR(VLOOKUP(H53,Database!$A$2:$M$188,2,FALSE),"-")</f>
        <v>-</v>
      </c>
      <c r="J53" s="74" t="str">
        <f>ankomster!T53</f>
        <v>-</v>
      </c>
      <c r="K53" t="str">
        <f>IFERROR(VLOOKUP(J53,Database!$A$2:$M$188,2,FALSE),"-")</f>
        <v>-</v>
      </c>
      <c r="L53" t="str">
        <f>ankomster!Y53</f>
        <v>-</v>
      </c>
      <c r="M53" t="str">
        <f>IFERROR(VLOOKUP(L53,Database!$A$2:$M$188,2,FALSE),"-")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IFERROR(VLOOKUP(D54,Database!$A$2:$M$188,2,FALSE),"-")</f>
        <v>-</v>
      </c>
      <c r="F54" t="str">
        <f>ankomster!J54</f>
        <v>-</v>
      </c>
      <c r="G54" t="str">
        <f>IFERROR(VLOOKUP(F54,Database!$A$2:$M$188,2,FALSE),"-")</f>
        <v>-</v>
      </c>
      <c r="H54" t="str">
        <f>ankomster!O54</f>
        <v>-</v>
      </c>
      <c r="I54" t="str">
        <f>IFERROR(VLOOKUP(H54,Database!$A$2:$M$188,2,FALSE),"-")</f>
        <v>-</v>
      </c>
      <c r="J54" s="74" t="str">
        <f>ankomster!T54</f>
        <v>-</v>
      </c>
      <c r="K54" t="str">
        <f>IFERROR(VLOOKUP(J54,Database!$A$2:$M$188,2,FALSE),"-")</f>
        <v>-</v>
      </c>
      <c r="L54" t="str">
        <f>ankomster!Y54</f>
        <v>-</v>
      </c>
      <c r="M54" t="str">
        <f>IFERROR(VLOOKUP(L54,Database!$A$2:$M$188,2,FALSE),"-")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IFERROR(VLOOKUP(D55,Database!$A$2:$M$188,2,FALSE),"-")</f>
        <v>-</v>
      </c>
      <c r="F55">
        <f>ankomster!J55</f>
        <v>109</v>
      </c>
      <c r="G55" t="str">
        <f>IFERROR(VLOOKUP(F55,Database!$A$2:$M$188,2,FALSE),"-")</f>
        <v>Soeren Tetzner</v>
      </c>
      <c r="H55">
        <f>ankomster!O55</f>
        <v>56</v>
      </c>
      <c r="I55" t="str">
        <f>IFERROR(VLOOKUP(H55,Database!$A$2:$M$188,2,FALSE),"-")</f>
        <v>Tage Ebbensgaard</v>
      </c>
      <c r="J55" s="74" t="str">
        <f>ankomster!T55</f>
        <v>-</v>
      </c>
      <c r="K55" t="str">
        <f>IFERROR(VLOOKUP(J55,Database!$A$2:$M$188,2,FALSE),"-")</f>
        <v>-</v>
      </c>
      <c r="L55" t="str">
        <f>ankomster!Y55</f>
        <v>-</v>
      </c>
      <c r="M55" t="str">
        <f>IFERROR(VLOOKUP(L55,Database!$A$2:$M$188,2,FALSE),"-")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IFERROR(VLOOKUP(D56,Database!$A$2:$M$188,2,FALSE),"-")</f>
        <v>-</v>
      </c>
      <c r="F56" t="str">
        <f>ankomster!J56</f>
        <v>-</v>
      </c>
      <c r="G56" t="str">
        <f>IFERROR(VLOOKUP(F56,Database!$A$2:$M$188,2,FALSE),"-")</f>
        <v>-</v>
      </c>
      <c r="H56" t="str">
        <f>ankomster!O56</f>
        <v>-</v>
      </c>
      <c r="I56" t="str">
        <f>IFERROR(VLOOKUP(H56,Database!$A$2:$M$188,2,FALSE),"-")</f>
        <v>-</v>
      </c>
      <c r="J56" s="74" t="str">
        <f>ankomster!T56</f>
        <v>-</v>
      </c>
      <c r="K56" t="str">
        <f>IFERROR(VLOOKUP(J56,Database!$A$2:$M$188,2,FALSE),"-")</f>
        <v>-</v>
      </c>
      <c r="L56" t="str">
        <f>ankomster!Y56</f>
        <v>-</v>
      </c>
      <c r="M56" t="str">
        <f>IFERROR(VLOOKUP(L56,Database!$A$2:$M$188,2,FALSE),"-")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IFERROR(VLOOKUP(D57,Database!$A$2:$M$188,2,FALSE),"-")</f>
        <v>-</v>
      </c>
      <c r="F57" t="str">
        <f>ankomster!J57</f>
        <v>-</v>
      </c>
      <c r="G57" t="str">
        <f>IFERROR(VLOOKUP(F57,Database!$A$2:$M$188,2,FALSE),"-")</f>
        <v>-</v>
      </c>
      <c r="H57">
        <f>ankomster!O57</f>
        <v>129</v>
      </c>
      <c r="I57" t="str">
        <f>IFERROR(VLOOKUP(H57,Database!$A$2:$M$188,2,FALSE),"-")</f>
        <v>Helen Carlsson</v>
      </c>
      <c r="J57" s="74">
        <f>ankomster!T57</f>
        <v>130</v>
      </c>
      <c r="K57" t="str">
        <f>IFERROR(VLOOKUP(J57,Database!$A$2:$M$188,2,FALSE),"-")</f>
        <v>Monica Petersson</v>
      </c>
      <c r="L57" t="str">
        <f>ankomster!Y57</f>
        <v>-</v>
      </c>
      <c r="M57" t="str">
        <f>IFERROR(VLOOKUP(L57,Database!$A$2:$M$188,2,FALSE),"-")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IFERROR(VLOOKUP(D58,Database!$A$2:$M$188,2,FALSE),"-")</f>
        <v>Lene Fuglevig</v>
      </c>
      <c r="F58">
        <f>ankomster!J58</f>
        <v>141</v>
      </c>
      <c r="G58" t="str">
        <f>IFERROR(VLOOKUP(F58,Database!$A$2:$M$188,2,FALSE),"-")</f>
        <v>Ria Bakelaar</v>
      </c>
      <c r="H58" t="str">
        <f>ankomster!O58</f>
        <v>-</v>
      </c>
      <c r="I58" t="str">
        <f>IFERROR(VLOOKUP(H58,Database!$A$2:$M$188,2,FALSE),"-")</f>
        <v>-</v>
      </c>
      <c r="J58" s="74" t="str">
        <f>ankomster!T58</f>
        <v>-</v>
      </c>
      <c r="K58" t="str">
        <f>IFERROR(VLOOKUP(J58,Database!$A$2:$M$188,2,FALSE),"-")</f>
        <v>-</v>
      </c>
      <c r="L58" t="str">
        <f>ankomster!Y58</f>
        <v>-</v>
      </c>
      <c r="M58" t="str">
        <f>IFERROR(VLOOKUP(L58,Database!$A$2:$M$188,2,FALSE),"-")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IFERROR(VLOOKUP(D59,Database!$A$2:$M$188,2,FALSE),"-")</f>
        <v>-</v>
      </c>
      <c r="F59" t="str">
        <f>ankomster!J59</f>
        <v>-</v>
      </c>
      <c r="G59" t="str">
        <f>IFERROR(VLOOKUP(F59,Database!$A$2:$M$188,2,FALSE),"-")</f>
        <v>-</v>
      </c>
      <c r="H59" t="str">
        <f>ankomster!O59</f>
        <v>-</v>
      </c>
      <c r="I59" t="str">
        <f>IFERROR(VLOOKUP(H59,Database!$A$2:$M$188,2,FALSE),"-")</f>
        <v>-</v>
      </c>
      <c r="J59" s="74" t="str">
        <f>ankomster!T59</f>
        <v>-</v>
      </c>
      <c r="K59" t="str">
        <f>IFERROR(VLOOKUP(J59,Database!$A$2:$M$188,2,FALSE),"-")</f>
        <v>-</v>
      </c>
      <c r="L59">
        <f>ankomster!Y59</f>
        <v>149</v>
      </c>
      <c r="M59" t="str">
        <f>IFERROR(VLOOKUP(L59,Database!$A$2:$M$188,2,FALSE),"-")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IFERROR(VLOOKUP(D60,Database!$A$2:$M$188,2,FALSE),"-")</f>
        <v>-</v>
      </c>
      <c r="F60" t="str">
        <f>ankomster!J60</f>
        <v>-</v>
      </c>
      <c r="G60" t="str">
        <f>IFERROR(VLOOKUP(F60,Database!$A$2:$M$188,2,FALSE),"-")</f>
        <v>-</v>
      </c>
      <c r="H60" t="str">
        <f>ankomster!O60</f>
        <v>-</v>
      </c>
      <c r="I60" t="str">
        <f>IFERROR(VLOOKUP(H60,Database!$A$2:$M$188,2,FALSE),"-")</f>
        <v>-</v>
      </c>
      <c r="J60" s="74" t="str">
        <f>ankomster!T60</f>
        <v>-</v>
      </c>
      <c r="K60" t="str">
        <f>IFERROR(VLOOKUP(J60,Database!$A$2:$M$188,2,FALSE),"-")</f>
        <v>-</v>
      </c>
      <c r="L60" t="str">
        <f>ankomster!Y60</f>
        <v>-</v>
      </c>
      <c r="M60" t="str">
        <f>IFERROR(VLOOKUP(L60,Database!$A$2:$M$188,2,FALSE),"-")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IFERROR(VLOOKUP(D61,Database!$A$2:$M$188,2,FALSE),"-")</f>
        <v>Elonor Skog</v>
      </c>
      <c r="F61" t="str">
        <f>ankomster!J61</f>
        <v>-</v>
      </c>
      <c r="G61" t="str">
        <f>IFERROR(VLOOKUP(F61,Database!$A$2:$M$188,2,FALSE),"-")</f>
        <v>-</v>
      </c>
      <c r="H61">
        <f>ankomster!O61</f>
        <v>34</v>
      </c>
      <c r="I61" t="str">
        <f>IFERROR(VLOOKUP(H61,Database!$A$2:$M$188,2,FALSE),"-")</f>
        <v>Fred Pergande</v>
      </c>
      <c r="J61" s="74" t="str">
        <f>ankomster!T61</f>
        <v>-</v>
      </c>
      <c r="K61" t="str">
        <f>IFERROR(VLOOKUP(J61,Database!$A$2:$M$188,2,FALSE),"-")</f>
        <v>-</v>
      </c>
      <c r="L61" t="str">
        <f>ankomster!Y61</f>
        <v>-</v>
      </c>
      <c r="M61" t="str">
        <f>IFERROR(VLOOKUP(L61,Database!$A$2:$M$188,2,FALSE),"-")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IFERROR(VLOOKUP(D62,Database!$A$2:$M$188,2,FALSE),"-")</f>
        <v>-</v>
      </c>
      <c r="F62">
        <f>ankomster!J62</f>
        <v>61</v>
      </c>
      <c r="G62" t="str">
        <f>IFERROR(VLOOKUP(F62,Database!$A$2:$M$188,2,FALSE),"-")</f>
        <v>Hans-Peter Könitzer</v>
      </c>
      <c r="H62" t="str">
        <f>ankomster!O62</f>
        <v>-</v>
      </c>
      <c r="I62" t="str">
        <f>IFERROR(VLOOKUP(H62,Database!$A$2:$M$188,2,FALSE),"-")</f>
        <v>-</v>
      </c>
      <c r="J62" s="74">
        <f>ankomster!T62</f>
        <v>87</v>
      </c>
      <c r="K62" t="str">
        <f>IFERROR(VLOOKUP(J62,Database!$A$2:$M$188,2,FALSE),"-")</f>
        <v>Matthias Jaeger</v>
      </c>
      <c r="L62" t="str">
        <f>ankomster!Y62</f>
        <v>-</v>
      </c>
      <c r="M62" t="str">
        <f>IFERROR(VLOOKUP(L62,Database!$A$2:$M$188,2,FALSE),"-")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IFERROR(VLOOKUP(D63,Database!$A$2:$M$188,2,FALSE),"-")</f>
        <v>-</v>
      </c>
      <c r="F63" t="str">
        <f>ankomster!J63</f>
        <v>-</v>
      </c>
      <c r="G63" t="str">
        <f>IFERROR(VLOOKUP(F63,Database!$A$2:$M$188,2,FALSE),"-")</f>
        <v>-</v>
      </c>
      <c r="H63" t="str">
        <f>ankomster!O63</f>
        <v>-</v>
      </c>
      <c r="I63" t="str">
        <f>IFERROR(VLOOKUP(H63,Database!$A$2:$M$188,2,FALSE),"-")</f>
        <v>-</v>
      </c>
      <c r="J63" s="74" t="str">
        <f>ankomster!T63</f>
        <v>-</v>
      </c>
      <c r="K63" t="str">
        <f>IFERROR(VLOOKUP(J63,Database!$A$2:$M$188,2,FALSE),"-")</f>
        <v>-</v>
      </c>
      <c r="L63">
        <f>ankomster!Y63</f>
        <v>77</v>
      </c>
      <c r="M63" t="str">
        <f>IFERROR(VLOOKUP(L63,Database!$A$2:$M$188,2,FALSE),"-")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IFERROR(VLOOKUP(D64,Database!$A$2:$M$188,2,FALSE),"-")</f>
        <v>Marina Ewald</v>
      </c>
      <c r="F64" t="str">
        <f>ankomster!J64</f>
        <v>-</v>
      </c>
      <c r="G64" t="str">
        <f>IFERROR(VLOOKUP(F64,Database!$A$2:$M$188,2,FALSE),"-")</f>
        <v>-</v>
      </c>
      <c r="H64" t="str">
        <f>ankomster!O64</f>
        <v>-</v>
      </c>
      <c r="I64" t="str">
        <f>IFERROR(VLOOKUP(H64,Database!$A$2:$M$188,2,FALSE),"-")</f>
        <v>-</v>
      </c>
      <c r="J64" s="74" t="str">
        <f>ankomster!T64</f>
        <v>-</v>
      </c>
      <c r="K64" t="str">
        <f>IFERROR(VLOOKUP(J64,Database!$A$2:$M$188,2,FALSE),"-")</f>
        <v>-</v>
      </c>
      <c r="L64" t="str">
        <f>ankomster!Y64</f>
        <v>-</v>
      </c>
      <c r="M64" t="str">
        <f>IFERROR(VLOOKUP(L64,Database!$A$2:$M$188,2,FALSE),"-")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IFERROR(VLOOKUP(D65,Database!$A$2:$M$188,2,FALSE),"-")</f>
        <v>-</v>
      </c>
      <c r="F65" t="str">
        <f>ankomster!J65</f>
        <v>-</v>
      </c>
      <c r="G65" t="str">
        <f>IFERROR(VLOOKUP(F65,Database!$A$2:$M$188,2,FALSE),"-")</f>
        <v>-</v>
      </c>
      <c r="H65" t="str">
        <f>ankomster!O65</f>
        <v>-</v>
      </c>
      <c r="I65" t="str">
        <f>IFERROR(VLOOKUP(H65,Database!$A$2:$M$188,2,FALSE),"-")</f>
        <v>-</v>
      </c>
      <c r="J65" s="74">
        <f>ankomster!T65</f>
        <v>76</v>
      </c>
      <c r="K65" t="str">
        <f>IFERROR(VLOOKUP(J65,Database!$A$2:$M$188,2,FALSE),"-")</f>
        <v>Karin Nielsen</v>
      </c>
      <c r="L65" t="str">
        <f>ankomster!Y65</f>
        <v>-</v>
      </c>
      <c r="M65" t="str">
        <f>IFERROR(VLOOKUP(L65,Database!$A$2:$M$188,2,FALSE),"-")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IFERROR(VLOOKUP(D66,Database!$A$2:$M$188,2,FALSE),"-")</f>
        <v>-</v>
      </c>
      <c r="F66" t="str">
        <f>ankomster!J66</f>
        <v>-</v>
      </c>
      <c r="G66" t="str">
        <f>IFERROR(VLOOKUP(F66,Database!$A$2:$M$188,2,FALSE),"-")</f>
        <v>-</v>
      </c>
      <c r="H66" t="str">
        <f>ankomster!O66</f>
        <v>-</v>
      </c>
      <c r="I66" t="str">
        <f>IFERROR(VLOOKUP(H66,Database!$A$2:$M$188,2,FALSE),"-")</f>
        <v>-</v>
      </c>
      <c r="J66" s="74" t="str">
        <f>ankomster!T66</f>
        <v>-</v>
      </c>
      <c r="K66" t="str">
        <f>IFERROR(VLOOKUP(J66,Database!$A$2:$M$188,2,FALSE),"-")</f>
        <v>-</v>
      </c>
      <c r="L66" t="str">
        <f>ankomster!Y66</f>
        <v>-</v>
      </c>
      <c r="M66" t="str">
        <f>IFERROR(VLOOKUP(L66,Database!$A$2:$M$188,2,FALSE),"-")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IFERROR(VLOOKUP(D67,Database!$A$2:$M$188,2,FALSE),"-")</f>
        <v>-</v>
      </c>
      <c r="F67">
        <f>ankomster!J67</f>
        <v>104</v>
      </c>
      <c r="G67" t="str">
        <f>IFERROR(VLOOKUP(F67,Database!$A$2:$M$188,2,FALSE),"-")</f>
        <v>Jette Frederiksen</v>
      </c>
      <c r="H67" t="str">
        <f>ankomster!O67</f>
        <v>-</v>
      </c>
      <c r="I67" t="str">
        <f>IFERROR(VLOOKUP(H67,Database!$A$2:$M$188,2,FALSE),"-")</f>
        <v>-</v>
      </c>
      <c r="J67" s="74" t="str">
        <f>ankomster!T67</f>
        <v>-</v>
      </c>
      <c r="K67" t="str">
        <f>IFERROR(VLOOKUP(J67,Database!$A$2:$M$188,2,FALSE),"-")</f>
        <v>-</v>
      </c>
      <c r="L67" t="str">
        <f>ankomster!Y67</f>
        <v>-</v>
      </c>
      <c r="M67" t="str">
        <f>IFERROR(VLOOKUP(L67,Database!$A$2:$M$188,2,FALSE),"-")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IFERROR(VLOOKUP(D68,Database!$A$2:$M$188,2,FALSE),"-")</f>
        <v>Malin Hällblad</v>
      </c>
      <c r="F68" t="str">
        <f>ankomster!J68</f>
        <v>-</v>
      </c>
      <c r="G68" t="str">
        <f>IFERROR(VLOOKUP(F68,Database!$A$2:$M$188,2,FALSE),"-")</f>
        <v>-</v>
      </c>
      <c r="H68" t="str">
        <f>ankomster!O68</f>
        <v>-</v>
      </c>
      <c r="I68" t="str">
        <f>IFERROR(VLOOKUP(H68,Database!$A$2:$M$188,2,FALSE),"-")</f>
        <v>-</v>
      </c>
      <c r="J68" s="74" t="str">
        <f>ankomster!T68</f>
        <v>-</v>
      </c>
      <c r="K68" t="str">
        <f>IFERROR(VLOOKUP(J68,Database!$A$2:$M$188,2,FALSE),"-")</f>
        <v>-</v>
      </c>
      <c r="L68" t="str">
        <f>ankomster!Y68</f>
        <v>-</v>
      </c>
      <c r="M68" t="str">
        <f>IFERROR(VLOOKUP(L68,Database!$A$2:$M$188,2,FALSE),"-")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IFERROR(VLOOKUP(D69,Database!$A$2:$M$188,2,FALSE),"-")</f>
        <v>-</v>
      </c>
      <c r="F69" t="str">
        <f>ankomster!J69</f>
        <v>-</v>
      </c>
      <c r="G69" t="str">
        <f>IFERROR(VLOOKUP(F69,Database!$A$2:$M$188,2,FALSE),"-")</f>
        <v>-</v>
      </c>
      <c r="H69" t="str">
        <f>ankomster!O69</f>
        <v>-</v>
      </c>
      <c r="I69" t="str">
        <f>IFERROR(VLOOKUP(H69,Database!$A$2:$M$188,2,FALSE),"-")</f>
        <v>-</v>
      </c>
      <c r="J69" s="74">
        <f>ankomster!T69</f>
        <v>14</v>
      </c>
      <c r="K69" t="str">
        <f>IFERROR(VLOOKUP(J69,Database!$A$2:$M$188,2,FALSE),"-")</f>
        <v>Grete Bossenmeyer</v>
      </c>
      <c r="L69" t="str">
        <f>ankomster!Y69</f>
        <v>-</v>
      </c>
      <c r="M69" t="str">
        <f>IFERROR(VLOOKUP(L69,Database!$A$2:$M$188,2,FALSE),"-")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IFERROR(VLOOKUP(D70,Database!$A$2:$M$188,2,FALSE),"-")</f>
        <v>-</v>
      </c>
      <c r="F70">
        <f>ankomster!J70</f>
        <v>106</v>
      </c>
      <c r="G70" t="str">
        <f>IFERROR(VLOOKUP(F70,Database!$A$2:$M$188,2,FALSE),"-")</f>
        <v>Bolette Olsen</v>
      </c>
      <c r="H70" t="str">
        <f>ankomster!O70</f>
        <v>-</v>
      </c>
      <c r="I70" t="str">
        <f>IFERROR(VLOOKUP(H70,Database!$A$2:$M$188,2,FALSE),"-")</f>
        <v>-</v>
      </c>
      <c r="J70" s="74" t="str">
        <f>ankomster!T70</f>
        <v>-</v>
      </c>
      <c r="K70" t="str">
        <f>IFERROR(VLOOKUP(J70,Database!$A$2:$M$188,2,FALSE),"-")</f>
        <v>-</v>
      </c>
      <c r="L70">
        <f>ankomster!Y70</f>
        <v>7</v>
      </c>
      <c r="M70" t="str">
        <f>IFERROR(VLOOKUP(L70,Database!$A$2:$M$188,2,FALSE),"-")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IFERROR(VLOOKUP(D71,Database!$A$2:$M$188,2,FALSE),"-")</f>
        <v>-</v>
      </c>
      <c r="F71" t="str">
        <f>ankomster!J71</f>
        <v>-</v>
      </c>
      <c r="G71" t="str">
        <f>IFERROR(VLOOKUP(F71,Database!$A$2:$M$188,2,FALSE),"-")</f>
        <v>-</v>
      </c>
      <c r="H71" t="str">
        <f>ankomster!O71</f>
        <v>-</v>
      </c>
      <c r="I71" t="str">
        <f>IFERROR(VLOOKUP(H71,Database!$A$2:$M$188,2,FALSE),"-")</f>
        <v>-</v>
      </c>
      <c r="J71" s="74" t="str">
        <f>ankomster!T71</f>
        <v>-</v>
      </c>
      <c r="K71" t="str">
        <f>IFERROR(VLOOKUP(J71,Database!$A$2:$M$188,2,FALSE),"-")</f>
        <v>-</v>
      </c>
      <c r="L71" t="str">
        <f>ankomster!Y71</f>
        <v>-</v>
      </c>
      <c r="M71" t="str">
        <f>IFERROR(VLOOKUP(L71,Database!$A$2:$M$188,2,FALSE),"-")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IFERROR(VLOOKUP(D72,Database!$A$2:$M$188,2,FALSE),"-")</f>
        <v>Henrik Tillebeck</v>
      </c>
      <c r="F72" t="str">
        <f>ankomster!J72</f>
        <v>-</v>
      </c>
      <c r="G72" t="str">
        <f>IFERROR(VLOOKUP(F72,Database!$A$2:$M$188,2,FALSE),"-")</f>
        <v>-</v>
      </c>
      <c r="H72">
        <f>ankomster!O72</f>
        <v>36</v>
      </c>
      <c r="I72" t="str">
        <f>IFERROR(VLOOKUP(H72,Database!$A$2:$M$188,2,FALSE),"-")</f>
        <v>Henrik Tillebeck</v>
      </c>
      <c r="J72" s="74" t="str">
        <f>ankomster!T72</f>
        <v>-</v>
      </c>
      <c r="K72" t="str">
        <f>IFERROR(VLOOKUP(J72,Database!$A$2:$M$188,2,FALSE),"-")</f>
        <v>-</v>
      </c>
      <c r="L72" t="str">
        <f>ankomster!Y72</f>
        <v>-</v>
      </c>
      <c r="M72" t="str">
        <f>IFERROR(VLOOKUP(L72,Database!$A$2:$M$188,2,FALSE),"-")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IFERROR(VLOOKUP(D73,Database!$A$2:$M$188,2,FALSE),"-")</f>
        <v>-</v>
      </c>
      <c r="F73" t="str">
        <f>ankomster!J73</f>
        <v>-</v>
      </c>
      <c r="G73" t="str">
        <f>IFERROR(VLOOKUP(F73,Database!$A$2:$M$188,2,FALSE),"-")</f>
        <v>-</v>
      </c>
      <c r="H73" t="str">
        <f>ankomster!O73</f>
        <v>-</v>
      </c>
      <c r="I73" t="str">
        <f>IFERROR(VLOOKUP(H73,Database!$A$2:$M$188,2,FALSE),"-")</f>
        <v>-</v>
      </c>
      <c r="J73" s="74" t="str">
        <f>ankomster!T73</f>
        <v>-</v>
      </c>
      <c r="K73" t="str">
        <f>IFERROR(VLOOKUP(J73,Database!$A$2:$M$188,2,FALSE),"-")</f>
        <v>-</v>
      </c>
      <c r="L73" t="str">
        <f>ankomster!Y73</f>
        <v>-</v>
      </c>
      <c r="M73" t="str">
        <f>IFERROR(VLOOKUP(L73,Database!$A$2:$M$188,2,FALSE),"-")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IFERROR(VLOOKUP(D74,Database!$A$2:$M$188,2,FALSE),"-")</f>
        <v>-</v>
      </c>
      <c r="F74">
        <f>ankomster!J74</f>
        <v>13</v>
      </c>
      <c r="G74" t="str">
        <f>IFERROR(VLOOKUP(F74,Database!$A$2:$M$188,2,FALSE),"-")</f>
        <v>Jan Gubbertsen</v>
      </c>
      <c r="H74" t="str">
        <f>ankomster!O74</f>
        <v>-</v>
      </c>
      <c r="I74" t="str">
        <f>IFERROR(VLOOKUP(H74,Database!$A$2:$M$188,2,FALSE),"-")</f>
        <v>-</v>
      </c>
      <c r="J74" s="74" t="str">
        <f>ankomster!T74</f>
        <v>-</v>
      </c>
      <c r="K74" t="str">
        <f>IFERROR(VLOOKUP(J74,Database!$A$2:$M$188,2,FALSE),"-")</f>
        <v>-</v>
      </c>
      <c r="L74" t="str">
        <f>ankomster!Y74</f>
        <v>-</v>
      </c>
      <c r="M74" t="str">
        <f>IFERROR(VLOOKUP(L74,Database!$A$2:$M$188,2,FALSE),"-")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IFERROR(VLOOKUP(D75,Database!$A$2:$M$188,2,FALSE),"-")</f>
        <v>Karen Venge</v>
      </c>
      <c r="F75" t="str">
        <f>ankomster!J75</f>
        <v>-</v>
      </c>
      <c r="G75" t="str">
        <f>IFERROR(VLOOKUP(F75,Database!$A$2:$M$188,2,FALSE),"-")</f>
        <v>-</v>
      </c>
      <c r="H75">
        <f>ankomster!O75</f>
        <v>84</v>
      </c>
      <c r="I75" t="str">
        <f>IFERROR(VLOOKUP(H75,Database!$A$2:$M$188,2,FALSE),"-")</f>
        <v>Bjarne List Nissen</v>
      </c>
      <c r="J75" s="74" t="str">
        <f>ankomster!T75</f>
        <v>-</v>
      </c>
      <c r="K75" t="str">
        <f>IFERROR(VLOOKUP(J75,Database!$A$2:$M$188,2,FALSE),"-")</f>
        <v>-</v>
      </c>
      <c r="L75" t="str">
        <f>ankomster!Y75</f>
        <v>-</v>
      </c>
      <c r="M75" t="str">
        <f>IFERROR(VLOOKUP(L75,Database!$A$2:$M$188,2,FALSE),"-")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IFERROR(VLOOKUP(D76,Database!$A$2:$M$188,2,FALSE),"-")</f>
        <v>-</v>
      </c>
      <c r="F76" t="str">
        <f>ankomster!J76</f>
        <v>-</v>
      </c>
      <c r="G76" t="str">
        <f>IFERROR(VLOOKUP(F76,Database!$A$2:$M$188,2,FALSE),"-")</f>
        <v>-</v>
      </c>
      <c r="H76" t="str">
        <f>ankomster!O76</f>
        <v>-</v>
      </c>
      <c r="I76" t="str">
        <f>IFERROR(VLOOKUP(H76,Database!$A$2:$M$188,2,FALSE),"-")</f>
        <v>-</v>
      </c>
      <c r="J76" s="74" t="str">
        <f>ankomster!T76</f>
        <v>-</v>
      </c>
      <c r="K76" t="str">
        <f>IFERROR(VLOOKUP(J76,Database!$A$2:$M$188,2,FALSE),"-")</f>
        <v>-</v>
      </c>
      <c r="L76" t="str">
        <f>ankomster!Y76</f>
        <v>-</v>
      </c>
      <c r="M76" t="str">
        <f>IFERROR(VLOOKUP(L76,Database!$A$2:$M$188,2,FALSE),"-")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IFERROR(VLOOKUP(D77,Database!$A$2:$M$188,2,FALSE),"-")</f>
        <v>-</v>
      </c>
      <c r="F77" t="str">
        <f>ankomster!J77</f>
        <v>-</v>
      </c>
      <c r="G77" t="str">
        <f>IFERROR(VLOOKUP(F77,Database!$A$2:$M$188,2,FALSE),"-")</f>
        <v>-</v>
      </c>
      <c r="H77" t="str">
        <f>ankomster!O77</f>
        <v>-</v>
      </c>
      <c r="I77" t="str">
        <f>IFERROR(VLOOKUP(H77,Database!$A$2:$M$188,2,FALSE),"-")</f>
        <v>-</v>
      </c>
      <c r="J77" s="74">
        <f>ankomster!T77</f>
        <v>66</v>
      </c>
      <c r="K77" t="str">
        <f>IFERROR(VLOOKUP(J77,Database!$A$2:$M$188,2,FALSE),"-")</f>
        <v>Martin Jørn Simonsen</v>
      </c>
      <c r="L77">
        <f>ankomster!Y77</f>
        <v>62</v>
      </c>
      <c r="M77" t="str">
        <f>IFERROR(VLOOKUP(L77,Database!$A$2:$M$188,2,FALSE),"-")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IFERROR(VLOOKUP(D78,Database!$A$2:$M$188,2,FALSE),"-")</f>
        <v>Henrik Sørensen</v>
      </c>
      <c r="F78" t="str">
        <f>ankomster!J78</f>
        <v>-</v>
      </c>
      <c r="G78" t="str">
        <f>IFERROR(VLOOKUP(F78,Database!$A$2:$M$188,2,FALSE),"-")</f>
        <v>-</v>
      </c>
      <c r="H78" t="str">
        <f>ankomster!O78</f>
        <v>-</v>
      </c>
      <c r="I78" t="str">
        <f>IFERROR(VLOOKUP(H78,Database!$A$2:$M$188,2,FALSE),"-")</f>
        <v>-</v>
      </c>
      <c r="J78" s="74" t="str">
        <f>ankomster!T78</f>
        <v>-</v>
      </c>
      <c r="K78" t="str">
        <f>IFERROR(VLOOKUP(J78,Database!$A$2:$M$188,2,FALSE),"-")</f>
        <v>-</v>
      </c>
      <c r="L78" t="str">
        <f>ankomster!Y78</f>
        <v>-</v>
      </c>
      <c r="M78" t="str">
        <f>IFERROR(VLOOKUP(L78,Database!$A$2:$M$188,2,FALSE),"-")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IFERROR(VLOOKUP(D79,Database!$A$2:$M$188,2,FALSE),"-")</f>
        <v>-</v>
      </c>
      <c r="F79" t="str">
        <f>ankomster!J79</f>
        <v>-</v>
      </c>
      <c r="G79" t="str">
        <f>IFERROR(VLOOKUP(F79,Database!$A$2:$M$188,2,FALSE),"-")</f>
        <v>-</v>
      </c>
      <c r="H79">
        <f>ankomster!O79</f>
        <v>43</v>
      </c>
      <c r="I79" t="str">
        <f>IFERROR(VLOOKUP(H79,Database!$A$2:$M$188,2,FALSE),"-")</f>
        <v>Ulla Ringgård</v>
      </c>
      <c r="J79" s="74" t="str">
        <f>ankomster!T79</f>
        <v>-</v>
      </c>
      <c r="K79" t="str">
        <f>IFERROR(VLOOKUP(J79,Database!$A$2:$M$188,2,FALSE),"-")</f>
        <v>-</v>
      </c>
      <c r="L79" t="str">
        <f>ankomster!Y79</f>
        <v>-</v>
      </c>
      <c r="M79" t="str">
        <f>IFERROR(VLOOKUP(L79,Database!$A$2:$M$188,2,FALSE),"-")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IFERROR(VLOOKUP(D80,Database!$A$2:$M$188,2,FALSE),"-")</f>
        <v>-</v>
      </c>
      <c r="F80" t="str">
        <f>ankomster!J80</f>
        <v>-</v>
      </c>
      <c r="G80" t="str">
        <f>IFERROR(VLOOKUP(F80,Database!$A$2:$M$188,2,FALSE),"-")</f>
        <v>-</v>
      </c>
      <c r="H80" t="str">
        <f>ankomster!O80</f>
        <v>-</v>
      </c>
      <c r="I80" t="str">
        <f>IFERROR(VLOOKUP(H80,Database!$A$2:$M$188,2,FALSE),"-")</f>
        <v>-</v>
      </c>
      <c r="J80" s="74" t="str">
        <f>ankomster!T80</f>
        <v>-</v>
      </c>
      <c r="K80" t="str">
        <f>IFERROR(VLOOKUP(J80,Database!$A$2:$M$188,2,FALSE),"-")</f>
        <v>-</v>
      </c>
      <c r="L80" t="str">
        <f>ankomster!Y80</f>
        <v>-</v>
      </c>
      <c r="M80" t="str">
        <f>IFERROR(VLOOKUP(L80,Database!$A$2:$M$188,2,FALSE),"-")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IFERROR(VLOOKUP(D81,Database!$A$2:$M$188,2,FALSE),"-")</f>
        <v>-</v>
      </c>
      <c r="F81">
        <f>ankomster!J81</f>
        <v>81</v>
      </c>
      <c r="G81" t="str">
        <f>IFERROR(VLOOKUP(F81,Database!$A$2:$M$188,2,FALSE),"-")</f>
        <v>Torben Juul Nielsen</v>
      </c>
      <c r="H81" t="str">
        <f>ankomster!O81</f>
        <v>-</v>
      </c>
      <c r="I81" t="str">
        <f>IFERROR(VLOOKUP(H81,Database!$A$2:$M$188,2,FALSE),"-")</f>
        <v>-</v>
      </c>
      <c r="J81" s="74" t="str">
        <f>ankomster!T81</f>
        <v>-</v>
      </c>
      <c r="K81" t="str">
        <f>IFERROR(VLOOKUP(J81,Database!$A$2:$M$188,2,FALSE),"-")</f>
        <v>-</v>
      </c>
      <c r="L81" t="str">
        <f>ankomster!Y81</f>
        <v>-</v>
      </c>
      <c r="M81" t="str">
        <f>IFERROR(VLOOKUP(L81,Database!$A$2:$M$188,2,FALSE),"-")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IFERROR(VLOOKUP(D82,Database!$A$2:$M$188,2,FALSE),"-")</f>
        <v>-</v>
      </c>
      <c r="F82" t="str">
        <f>ankomster!J82</f>
        <v>-</v>
      </c>
      <c r="G82" t="str">
        <f>IFERROR(VLOOKUP(F82,Database!$A$2:$M$188,2,FALSE),"-")</f>
        <v>-</v>
      </c>
      <c r="H82">
        <f>ankomster!O82</f>
        <v>152</v>
      </c>
      <c r="I82" t="str">
        <f>IFERROR(VLOOKUP(H82,Database!$A$2:$M$188,2,FALSE),"-")</f>
        <v>Maria Ørris</v>
      </c>
      <c r="J82" s="74" t="str">
        <f>ankomster!T82</f>
        <v>-</v>
      </c>
      <c r="K82" t="str">
        <f>IFERROR(VLOOKUP(J82,Database!$A$2:$M$188,2,FALSE),"-")</f>
        <v>-</v>
      </c>
      <c r="L82" t="str">
        <f>ankomster!Y82</f>
        <v>-</v>
      </c>
      <c r="M82" t="str">
        <f>IFERROR(VLOOKUP(L82,Database!$A$2:$M$188,2,FALSE),"-")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IFERROR(VLOOKUP(D83,Database!$A$2:$M$188,2,FALSE),"-")</f>
        <v>-</v>
      </c>
      <c r="F83" t="str">
        <f>ankomster!J83</f>
        <v>-</v>
      </c>
      <c r="G83" t="str">
        <f>IFERROR(VLOOKUP(F83,Database!$A$2:$M$188,2,FALSE),"-")</f>
        <v>-</v>
      </c>
      <c r="H83" t="str">
        <f>ankomster!O83</f>
        <v>-</v>
      </c>
      <c r="I83" t="str">
        <f>IFERROR(VLOOKUP(H83,Database!$A$2:$M$188,2,FALSE),"-")</f>
        <v>-</v>
      </c>
      <c r="J83" s="74" t="str">
        <f>ankomster!T83</f>
        <v>-</v>
      </c>
      <c r="K83" t="str">
        <f>IFERROR(VLOOKUP(J83,Database!$A$2:$M$188,2,FALSE),"-")</f>
        <v>-</v>
      </c>
      <c r="L83" t="str">
        <f>ankomster!Y83</f>
        <v>-</v>
      </c>
      <c r="M83" t="str">
        <f>IFERROR(VLOOKUP(L83,Database!$A$2:$M$188,2,FALSE),"-")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IFERROR(VLOOKUP(D84,Database!$A$2:$M$188,2,FALSE),"-")</f>
        <v>-</v>
      </c>
      <c r="F84">
        <f>ankomster!J84</f>
        <v>38</v>
      </c>
      <c r="G84" t="str">
        <f>IFERROR(VLOOKUP(F84,Database!$A$2:$M$188,2,FALSE),"-")</f>
        <v>Werner Strehmel</v>
      </c>
      <c r="H84" t="str">
        <f>ankomster!O84</f>
        <v>-</v>
      </c>
      <c r="I84" t="str">
        <f>IFERROR(VLOOKUP(H84,Database!$A$2:$M$188,2,FALSE),"-")</f>
        <v>-</v>
      </c>
      <c r="J84" s="74" t="str">
        <f>ankomster!T84</f>
        <v>-</v>
      </c>
      <c r="K84" t="str">
        <f>IFERROR(VLOOKUP(J84,Database!$A$2:$M$188,2,FALSE),"-")</f>
        <v>-</v>
      </c>
      <c r="L84" t="str">
        <f>ankomster!Y84</f>
        <v>-</v>
      </c>
      <c r="M84" t="str">
        <f>IFERROR(VLOOKUP(L84,Database!$A$2:$M$188,2,FALSE),"-")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IFERROR(VLOOKUP(D85,Database!$A$2:$M$188,2,FALSE),"-")</f>
        <v>-</v>
      </c>
      <c r="F85" t="str">
        <f>ankomster!J85</f>
        <v>-</v>
      </c>
      <c r="G85" t="str">
        <f>IFERROR(VLOOKUP(F85,Database!$A$2:$M$188,2,FALSE),"-")</f>
        <v>-</v>
      </c>
      <c r="H85">
        <f>ankomster!O85</f>
        <v>44</v>
      </c>
      <c r="I85" t="str">
        <f>IFERROR(VLOOKUP(H85,Database!$A$2:$M$188,2,FALSE),"-")</f>
        <v>Jan Uxa</v>
      </c>
      <c r="J85" s="74">
        <f>ankomster!T85</f>
        <v>1</v>
      </c>
      <c r="K85" t="str">
        <f>IFERROR(VLOOKUP(J85,Database!$A$2:$M$188,2,FALSE),"-")</f>
        <v>Lars Grundfør</v>
      </c>
      <c r="L85" t="str">
        <f>ankomster!Y85</f>
        <v>-</v>
      </c>
      <c r="M85" t="str">
        <f>IFERROR(VLOOKUP(L85,Database!$A$2:$M$188,2,FALSE),"-")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IFERROR(VLOOKUP(D86,Database!$A$2:$M$188,2,FALSE),"-")</f>
        <v>-</v>
      </c>
      <c r="F86" t="str">
        <f>ankomster!J86</f>
        <v>-</v>
      </c>
      <c r="G86" t="str">
        <f>IFERROR(VLOOKUP(F86,Database!$A$2:$M$188,2,FALSE),"-")</f>
        <v>-</v>
      </c>
      <c r="H86" t="str">
        <f>ankomster!O86</f>
        <v>-</v>
      </c>
      <c r="I86" t="str">
        <f>IFERROR(VLOOKUP(H86,Database!$A$2:$M$188,2,FALSE),"-")</f>
        <v>-</v>
      </c>
      <c r="J86" s="74" t="str">
        <f>ankomster!T86</f>
        <v>-</v>
      </c>
      <c r="K86" t="str">
        <f>IFERROR(VLOOKUP(J86,Database!$A$2:$M$188,2,FALSE),"-")</f>
        <v>-</v>
      </c>
      <c r="L86" t="str">
        <f>ankomster!Y86</f>
        <v>-</v>
      </c>
      <c r="M86" t="str">
        <f>IFERROR(VLOOKUP(L86,Database!$A$2:$M$188,2,FALSE),"-")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IFERROR(VLOOKUP(D87,Database!$A$2:$M$188,2,FALSE),"-")</f>
        <v>-</v>
      </c>
      <c r="F87" t="str">
        <f>ankomster!J87</f>
        <v>-</v>
      </c>
      <c r="G87" t="str">
        <f>IFERROR(VLOOKUP(F87,Database!$A$2:$M$188,2,FALSE),"-")</f>
        <v>-</v>
      </c>
      <c r="H87" t="str">
        <f>ankomster!O87</f>
        <v>-</v>
      </c>
      <c r="I87" t="str">
        <f>IFERROR(VLOOKUP(H87,Database!$A$2:$M$188,2,FALSE),"-")</f>
        <v>-</v>
      </c>
      <c r="J87" s="74" t="str">
        <f>ankomster!T87</f>
        <v>-</v>
      </c>
      <c r="K87" t="str">
        <f>IFERROR(VLOOKUP(J87,Database!$A$2:$M$188,2,FALSE),"-")</f>
        <v>-</v>
      </c>
      <c r="L87" t="str">
        <f>ankomster!Y87</f>
        <v>-</v>
      </c>
      <c r="M87" t="str">
        <f>IFERROR(VLOOKUP(L87,Database!$A$2:$M$188,2,FALSE),"-")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IFERROR(VLOOKUP(D88,Database!$A$2:$M$188,2,FALSE),"-")</f>
        <v>-</v>
      </c>
      <c r="F88" t="str">
        <f>ankomster!J88</f>
        <v>-</v>
      </c>
      <c r="G88" t="str">
        <f>IFERROR(VLOOKUP(F88,Database!$A$2:$M$188,2,FALSE),"-")</f>
        <v>-</v>
      </c>
      <c r="H88" t="str">
        <f>ankomster!O88</f>
        <v>-</v>
      </c>
      <c r="I88" t="str">
        <f>IFERROR(VLOOKUP(H88,Database!$A$2:$M$188,2,FALSE),"-")</f>
        <v>-</v>
      </c>
      <c r="J88" s="74" t="str">
        <f>ankomster!T88</f>
        <v>-</v>
      </c>
      <c r="K88" t="str">
        <f>IFERROR(VLOOKUP(J88,Database!$A$2:$M$188,2,FALSE),"-")</f>
        <v>-</v>
      </c>
      <c r="L88">
        <f>ankomster!Y88</f>
        <v>10</v>
      </c>
      <c r="M88" t="str">
        <f>IFERROR(VLOOKUP(L88,Database!$A$2:$M$188,2,FALSE),"-")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IFERROR(VLOOKUP(D89,Database!$A$2:$M$188,2,FALSE),"-")</f>
        <v>-</v>
      </c>
      <c r="F89" t="str">
        <f>ankomster!J89</f>
        <v>-</v>
      </c>
      <c r="G89" t="str">
        <f>IFERROR(VLOOKUP(F89,Database!$A$2:$M$188,2,FALSE),"-")</f>
        <v>-</v>
      </c>
      <c r="H89" t="str">
        <f>ankomster!O89</f>
        <v>-</v>
      </c>
      <c r="I89" t="str">
        <f>IFERROR(VLOOKUP(H89,Database!$A$2:$M$188,2,FALSE),"-")</f>
        <v>-</v>
      </c>
      <c r="J89" s="74" t="str">
        <f>ankomster!T89</f>
        <v>-</v>
      </c>
      <c r="K89" t="str">
        <f>IFERROR(VLOOKUP(J89,Database!$A$2:$M$188,2,FALSE),"-")</f>
        <v>-</v>
      </c>
      <c r="L89" t="str">
        <f>ankomster!Y89</f>
        <v>-</v>
      </c>
      <c r="M89" t="str">
        <f>IFERROR(VLOOKUP(L89,Database!$A$2:$M$188,2,FALSE),"-")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IFERROR(VLOOKUP(D90,Database!$A$2:$M$188,2,FALSE),"-")</f>
        <v>-</v>
      </c>
      <c r="F90" t="str">
        <f>ankomster!J90</f>
        <v>-</v>
      </c>
      <c r="G90" t="str">
        <f>IFERROR(VLOOKUP(F90,Database!$A$2:$M$188,2,FALSE),"-")</f>
        <v>-</v>
      </c>
      <c r="H90">
        <f>ankomster!O90</f>
        <v>150</v>
      </c>
      <c r="I90" t="str">
        <f>IFERROR(VLOOKUP(H90,Database!$A$2:$M$188,2,FALSE),"-")</f>
        <v>Pernille Sahl Nielsen</v>
      </c>
      <c r="J90" s="74" t="str">
        <f>ankomster!T90</f>
        <v>-</v>
      </c>
      <c r="K90" t="str">
        <f>IFERROR(VLOOKUP(J90,Database!$A$2:$M$188,2,FALSE),"-")</f>
        <v>-</v>
      </c>
      <c r="L90" t="str">
        <f>ankomster!Y90</f>
        <v>-</v>
      </c>
      <c r="M90" t="str">
        <f>IFERROR(VLOOKUP(L90,Database!$A$2:$M$188,2,FALSE),"-")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IFERROR(VLOOKUP(D91,Database!$A$2:$M$188,2,FALSE),"-")</f>
        <v>-</v>
      </c>
      <c r="F91">
        <f>ankomster!J91</f>
        <v>49</v>
      </c>
      <c r="G91" t="str">
        <f>IFERROR(VLOOKUP(F91,Database!$A$2:$M$188,2,FALSE),"-")</f>
        <v>Jens Olesen</v>
      </c>
      <c r="H91" t="str">
        <f>ankomster!O91</f>
        <v>-</v>
      </c>
      <c r="I91" t="str">
        <f>IFERROR(VLOOKUP(H91,Database!$A$2:$M$188,2,FALSE),"-")</f>
        <v>-</v>
      </c>
      <c r="J91" s="74" t="str">
        <f>ankomster!T91</f>
        <v>-</v>
      </c>
      <c r="K91" t="str">
        <f>IFERROR(VLOOKUP(J91,Database!$A$2:$M$188,2,FALSE),"-")</f>
        <v>-</v>
      </c>
      <c r="L91" t="str">
        <f>ankomster!Y91</f>
        <v>-</v>
      </c>
      <c r="M91" t="str">
        <f>IFERROR(VLOOKUP(L91,Database!$A$2:$M$188,2,FALSE),"-")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IFERROR(VLOOKUP(D92,Database!$A$2:$M$188,2,FALSE),"-")</f>
        <v>Rikke Schwartz</v>
      </c>
      <c r="F92" t="str">
        <f>ankomster!J92</f>
        <v>-</v>
      </c>
      <c r="G92" t="str">
        <f>IFERROR(VLOOKUP(F92,Database!$A$2:$M$188,2,FALSE),"-")</f>
        <v>-</v>
      </c>
      <c r="H92" t="str">
        <f>ankomster!O92</f>
        <v>-</v>
      </c>
      <c r="I92" t="str">
        <f>IFERROR(VLOOKUP(H92,Database!$A$2:$M$188,2,FALSE),"-")</f>
        <v>-</v>
      </c>
      <c r="J92" s="74">
        <f>ankomster!T92</f>
        <v>58</v>
      </c>
      <c r="K92" t="str">
        <f>IFERROR(VLOOKUP(J92,Database!$A$2:$M$188,2,FALSE),"-")</f>
        <v>Rikke Schwartz</v>
      </c>
      <c r="L92" t="str">
        <f>ankomster!Y92</f>
        <v>-</v>
      </c>
      <c r="M92" t="str">
        <f>IFERROR(VLOOKUP(L92,Database!$A$2:$M$188,2,FALSE),"-")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IFERROR(VLOOKUP(D93,Database!$A$2:$M$188,2,FALSE),"-")</f>
        <v>-</v>
      </c>
      <c r="F93" t="str">
        <f>ankomster!J93</f>
        <v>-</v>
      </c>
      <c r="G93" t="str">
        <f>IFERROR(VLOOKUP(F93,Database!$A$2:$M$188,2,FALSE),"-")</f>
        <v>-</v>
      </c>
      <c r="H93">
        <f>ankomster!O93</f>
        <v>55</v>
      </c>
      <c r="I93" t="str">
        <f>IFERROR(VLOOKUP(H93,Database!$A$2:$M$188,2,FALSE),"-")</f>
        <v>Jette Jensen</v>
      </c>
      <c r="J93" s="74" t="str">
        <f>ankomster!T93</f>
        <v>-</v>
      </c>
      <c r="K93" t="str">
        <f>IFERROR(VLOOKUP(J93,Database!$A$2:$M$188,2,FALSE),"-")</f>
        <v>-</v>
      </c>
      <c r="L93">
        <f>ankomster!Y93</f>
        <v>30</v>
      </c>
      <c r="M93" t="str">
        <f>IFERROR(VLOOKUP(L93,Database!$A$2:$M$188,2,FALSE),"-")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IFERROR(VLOOKUP(D94,Database!$A$2:$M$188,2,FALSE),"-")</f>
        <v>-</v>
      </c>
      <c r="F94" t="str">
        <f>ankomster!J94</f>
        <v>-</v>
      </c>
      <c r="G94" t="str">
        <f>IFERROR(VLOOKUP(F94,Database!$A$2:$M$188,2,FALSE),"-")</f>
        <v>-</v>
      </c>
      <c r="H94" t="str">
        <f>ankomster!O94</f>
        <v>-</v>
      </c>
      <c r="I94" t="str">
        <f>IFERROR(VLOOKUP(H94,Database!$A$2:$M$188,2,FALSE),"-")</f>
        <v>-</v>
      </c>
      <c r="J94" s="74" t="str">
        <f>ankomster!T94</f>
        <v>-</v>
      </c>
      <c r="K94" t="str">
        <f>IFERROR(VLOOKUP(J94,Database!$A$2:$M$188,2,FALSE),"-")</f>
        <v>-</v>
      </c>
      <c r="L94" t="str">
        <f>ankomster!Y94</f>
        <v>-</v>
      </c>
      <c r="M94" t="str">
        <f>IFERROR(VLOOKUP(L94,Database!$A$2:$M$188,2,FALSE),"-")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IFERROR(VLOOKUP(D95,Database!$A$2:$M$188,2,FALSE),"-")</f>
        <v>-</v>
      </c>
      <c r="F95" t="str">
        <f>ankomster!J95</f>
        <v>-</v>
      </c>
      <c r="G95" t="str">
        <f>IFERROR(VLOOKUP(F95,Database!$A$2:$M$188,2,FALSE),"-")</f>
        <v>-</v>
      </c>
      <c r="H95" t="str">
        <f>ankomster!O95</f>
        <v>-</v>
      </c>
      <c r="I95" t="str">
        <f>IFERROR(VLOOKUP(H95,Database!$A$2:$M$188,2,FALSE),"-")</f>
        <v>-</v>
      </c>
      <c r="J95" s="74">
        <f>ankomster!T95</f>
        <v>57</v>
      </c>
      <c r="K95" t="str">
        <f>IFERROR(VLOOKUP(J95,Database!$A$2:$M$188,2,FALSE),"-")</f>
        <v>Cecilia Löfgren</v>
      </c>
      <c r="L95" t="str">
        <f>ankomster!Y95</f>
        <v>-</v>
      </c>
      <c r="M95" t="str">
        <f>IFERROR(VLOOKUP(L95,Database!$A$2:$M$188,2,FALSE),"-")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IFERROR(VLOOKUP(D96,Database!$A$2:$M$188,2,FALSE),"-")</f>
        <v>Lene Lei Jensen</v>
      </c>
      <c r="F96" t="str">
        <f>ankomster!J96</f>
        <v>-</v>
      </c>
      <c r="G96" t="str">
        <f>IFERROR(VLOOKUP(F96,Database!$A$2:$M$188,2,FALSE),"-")</f>
        <v>-</v>
      </c>
      <c r="H96" t="str">
        <f>ankomster!O96</f>
        <v>-</v>
      </c>
      <c r="I96" t="str">
        <f>IFERROR(VLOOKUP(H96,Database!$A$2:$M$188,2,FALSE),"-")</f>
        <v>-</v>
      </c>
      <c r="J96" s="74" t="str">
        <f>ankomster!T96</f>
        <v>-</v>
      </c>
      <c r="K96" t="str">
        <f>IFERROR(VLOOKUP(J96,Database!$A$2:$M$188,2,FALSE),"-")</f>
        <v>-</v>
      </c>
      <c r="L96" t="str">
        <f>ankomster!Y96</f>
        <v>-</v>
      </c>
      <c r="M96" t="str">
        <f>IFERROR(VLOOKUP(L96,Database!$A$2:$M$188,2,FALSE),"-")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IFERROR(VLOOKUP(D97,Database!$A$2:$M$188,2,FALSE),"-")</f>
        <v>-</v>
      </c>
      <c r="F97" t="str">
        <f>ankomster!J97</f>
        <v>-</v>
      </c>
      <c r="G97" t="str">
        <f>IFERROR(VLOOKUP(F97,Database!$A$2:$M$188,2,FALSE),"-")</f>
        <v>-</v>
      </c>
      <c r="H97" t="str">
        <f>ankomster!O97</f>
        <v>-</v>
      </c>
      <c r="I97" t="str">
        <f>IFERROR(VLOOKUP(H97,Database!$A$2:$M$188,2,FALSE),"-")</f>
        <v>-</v>
      </c>
      <c r="J97" s="74" t="str">
        <f>ankomster!T97</f>
        <v>-</v>
      </c>
      <c r="K97" t="str">
        <f>IFERROR(VLOOKUP(J97,Database!$A$2:$M$188,2,FALSE),"-")</f>
        <v>-</v>
      </c>
      <c r="L97">
        <f>ankomster!Y97</f>
        <v>94</v>
      </c>
      <c r="M97" t="str">
        <f>IFERROR(VLOOKUP(L97,Database!$A$2:$M$188,2,FALSE),"-")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IFERROR(VLOOKUP(D98,Database!$A$2:$M$188,2,FALSE),"-")</f>
        <v>-</v>
      </c>
      <c r="F98" t="str">
        <f>ankomster!J98</f>
        <v>-</v>
      </c>
      <c r="G98" t="str">
        <f>IFERROR(VLOOKUP(F98,Database!$A$2:$M$188,2,FALSE),"-")</f>
        <v>-</v>
      </c>
      <c r="H98">
        <f>ankomster!O98</f>
        <v>158</v>
      </c>
      <c r="I98" t="str">
        <f>IFERROR(VLOOKUP(H98,Database!$A$2:$M$188,2,FALSE),"-")</f>
        <v>Brian Pedersen</v>
      </c>
      <c r="J98" s="74" t="str">
        <f>ankomster!T98</f>
        <v>-</v>
      </c>
      <c r="K98" t="str">
        <f>IFERROR(VLOOKUP(J98,Database!$A$2:$M$188,2,FALSE),"-")</f>
        <v>-</v>
      </c>
      <c r="L98" t="str">
        <f>ankomster!Y98</f>
        <v>-</v>
      </c>
      <c r="M98" t="str">
        <f>IFERROR(VLOOKUP(L98,Database!$A$2:$M$188,2,FALSE),"-")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IFERROR(VLOOKUP(D99,Database!$A$2:$M$188,2,FALSE),"-")</f>
        <v>Anne Hastrup Poulsen</v>
      </c>
      <c r="F99">
        <f>ankomster!J99</f>
        <v>157</v>
      </c>
      <c r="G99" t="str">
        <f>IFERROR(VLOOKUP(F99,Database!$A$2:$M$188,2,FALSE),"-")</f>
        <v>Niclas Havrup</v>
      </c>
      <c r="H99" t="str">
        <f>ankomster!O99</f>
        <v>-</v>
      </c>
      <c r="I99" t="str">
        <f>IFERROR(VLOOKUP(H99,Database!$A$2:$M$188,2,FALSE),"-")</f>
        <v>-</v>
      </c>
      <c r="J99" s="74" t="str">
        <f>ankomster!T99</f>
        <v>-</v>
      </c>
      <c r="K99" t="str">
        <f>IFERROR(VLOOKUP(J99,Database!$A$2:$M$188,2,FALSE),"-")</f>
        <v>-</v>
      </c>
      <c r="L99" t="e">
        <f>ankomster!Y99</f>
        <v>#REF!</v>
      </c>
      <c r="M99" t="str">
        <f>IFERROR(VLOOKUP(L99,Database!$A$2:$M$188,2,FALSE),"-")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IFERROR(VLOOKUP(D100,Database!$A$2:$M$188,2,FALSE),"-")</f>
        <v>-</v>
      </c>
      <c r="F100" t="str">
        <f>ankomster!J100</f>
        <v>-</v>
      </c>
      <c r="G100" t="str">
        <f>IFERROR(VLOOKUP(F100,Database!$A$2:$M$188,2,FALSE),"-")</f>
        <v>-</v>
      </c>
      <c r="H100" t="str">
        <f>ankomster!O100</f>
        <v>-</v>
      </c>
      <c r="I100" t="str">
        <f>IFERROR(VLOOKUP(H100,Database!$A$2:$M$188,2,FALSE),"-")</f>
        <v>-</v>
      </c>
      <c r="J100" s="74" t="str">
        <f>ankomster!T100</f>
        <v>-</v>
      </c>
      <c r="K100" t="str">
        <f>IFERROR(VLOOKUP(J100,Database!$A$2:$M$188,2,FALSE),"-")</f>
        <v>-</v>
      </c>
      <c r="L100">
        <f>ankomster!Y100</f>
        <v>50</v>
      </c>
      <c r="M100" t="str">
        <f>IFERROR(VLOOKUP(L100,Database!$A$2:$M$188,2,FALSE),"-")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IFERROR(VLOOKUP(D101,Database!$A$2:$M$188,2,FALSE),"-")</f>
        <v>-</v>
      </c>
      <c r="F101" t="str">
        <f>ankomster!J101</f>
        <v>-</v>
      </c>
      <c r="G101" t="str">
        <f>IFERROR(VLOOKUP(F101,Database!$A$2:$M$188,2,FALSE),"-")</f>
        <v>-</v>
      </c>
      <c r="H101" t="str">
        <f>ankomster!O101</f>
        <v>-</v>
      </c>
      <c r="I101" t="str">
        <f>IFERROR(VLOOKUP(H101,Database!$A$2:$M$188,2,FALSE),"-")</f>
        <v>-</v>
      </c>
      <c r="J101" s="74">
        <f>ankomster!T101</f>
        <v>138</v>
      </c>
      <c r="K101" t="str">
        <f>IFERROR(VLOOKUP(J101,Database!$A$2:$M$188,2,FALSE),"-")</f>
        <v>Torben Sømberg</v>
      </c>
      <c r="L101" t="str">
        <f>ankomster!Y101</f>
        <v>-</v>
      </c>
      <c r="M101" t="str">
        <f>IFERROR(VLOOKUP(L101,Database!$A$2:$M$188,2,FALSE),"-")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IFERROR(VLOOKUP(D102,Database!$A$2:$M$188,2,FALSE),"-")</f>
        <v>-</v>
      </c>
      <c r="F102" t="str">
        <f>ankomster!J102</f>
        <v>-</v>
      </c>
      <c r="G102" t="str">
        <f>IFERROR(VLOOKUP(F102,Database!$A$2:$M$188,2,FALSE),"-")</f>
        <v>-</v>
      </c>
      <c r="H102" t="str">
        <f>ankomster!O102</f>
        <v>-</v>
      </c>
      <c r="I102" t="str">
        <f>IFERROR(VLOOKUP(H102,Database!$A$2:$M$188,2,FALSE),"-")</f>
        <v>-</v>
      </c>
      <c r="J102" s="74" t="str">
        <f>ankomster!T102</f>
        <v>-</v>
      </c>
      <c r="K102" t="str">
        <f>IFERROR(VLOOKUP(J102,Database!$A$2:$M$188,2,FALSE),"-")</f>
        <v>-</v>
      </c>
      <c r="L102" t="str">
        <f>ankomster!Y102</f>
        <v>-</v>
      </c>
      <c r="M102" t="str">
        <f>IFERROR(VLOOKUP(L102,Database!$A$2:$M$188,2,FALSE),"-")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IFERROR(VLOOKUP(D103,Database!$A$2:$M$188,2,FALSE),"-")</f>
        <v>Jörg Wolf</v>
      </c>
      <c r="F103">
        <f>ankomster!J103</f>
        <v>32</v>
      </c>
      <c r="G103" t="str">
        <f>IFERROR(VLOOKUP(F103,Database!$A$2:$M$188,2,FALSE),"-")</f>
        <v>Wolf Adrian</v>
      </c>
      <c r="H103">
        <f>ankomster!O103</f>
        <v>160</v>
      </c>
      <c r="I103" t="str">
        <f>IFERROR(VLOOKUP(H103,Database!$A$2:$M$188,2,FALSE),"-")</f>
        <v>Trond Haagensen</v>
      </c>
      <c r="J103" s="74">
        <f>ankomster!T103</f>
        <v>45</v>
      </c>
      <c r="K103" t="str">
        <f>IFERROR(VLOOKUP(J103,Database!$A$2:$M$188,2,FALSE),"-")</f>
        <v>Birgitta Björkroth</v>
      </c>
      <c r="L103" t="str">
        <f>ankomster!Y103</f>
        <v>-</v>
      </c>
      <c r="M103" t="str">
        <f>IFERROR(VLOOKUP(L103,Database!$A$2:$M$188,2,FALSE),"-")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IFERROR(VLOOKUP(D104,Database!$A$2:$M$188,2,FALSE),"-")</f>
        <v>-</v>
      </c>
      <c r="F104" t="str">
        <f>ankomster!J104</f>
        <v>-</v>
      </c>
      <c r="G104" t="str">
        <f>IFERROR(VLOOKUP(F104,Database!$A$2:$M$188,2,FALSE),"-")</f>
        <v>-</v>
      </c>
      <c r="H104" t="str">
        <f>ankomster!O104</f>
        <v>-</v>
      </c>
      <c r="I104" t="str">
        <f>IFERROR(VLOOKUP(H104,Database!$A$2:$M$188,2,FALSE),"-")</f>
        <v>-</v>
      </c>
      <c r="J104" s="74" t="str">
        <f>ankomster!T104</f>
        <v>-</v>
      </c>
      <c r="K104" t="str">
        <f>IFERROR(VLOOKUP(J104,Database!$A$2:$M$188,2,FALSE),"-")</f>
        <v>-</v>
      </c>
      <c r="L104">
        <f>ankomster!Y104</f>
        <v>92</v>
      </c>
      <c r="M104" t="str">
        <f>IFERROR(VLOOKUP(L104,Database!$A$2:$M$188,2,FALSE),"-")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IFERROR(VLOOKUP(D105,Database!$A$2:$M$188,2,FALSE),"-")</f>
        <v>-</v>
      </c>
      <c r="F105" t="str">
        <f>ankomster!J105</f>
        <v>-</v>
      </c>
      <c r="G105" t="str">
        <f>IFERROR(VLOOKUP(F105,Database!$A$2:$M$188,2,FALSE),"-")</f>
        <v>-</v>
      </c>
      <c r="H105" t="str">
        <f>ankomster!O105</f>
        <v>-</v>
      </c>
      <c r="I105" t="str">
        <f>IFERROR(VLOOKUP(H105,Database!$A$2:$M$188,2,FALSE),"-")</f>
        <v>-</v>
      </c>
      <c r="J105" s="74" t="str">
        <f>ankomster!T105</f>
        <v>-</v>
      </c>
      <c r="K105" t="str">
        <f>IFERROR(VLOOKUP(J105,Database!$A$2:$M$188,2,FALSE),"-")</f>
        <v>-</v>
      </c>
      <c r="L105" t="str">
        <f>ankomster!Y105</f>
        <v>-</v>
      </c>
      <c r="M105" t="str">
        <f>IFERROR(VLOOKUP(L105,Database!$A$2:$M$188,2,FALSE),"-")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IFERROR(VLOOKUP(D106,Database!$A$2:$M$188,2,FALSE),"-")</f>
        <v>-</v>
      </c>
      <c r="F106" t="str">
        <f>ankomster!J106</f>
        <v>-</v>
      </c>
      <c r="G106" t="str">
        <f>IFERROR(VLOOKUP(F106,Database!$A$2:$M$188,2,FALSE),"-")</f>
        <v>-</v>
      </c>
      <c r="H106" t="str">
        <f>ankomster!O106</f>
        <v>-</v>
      </c>
      <c r="I106" t="str">
        <f>IFERROR(VLOOKUP(H106,Database!$A$2:$M$188,2,FALSE),"-")</f>
        <v>-</v>
      </c>
      <c r="J106" s="74">
        <f>ankomster!T106</f>
        <v>114</v>
      </c>
      <c r="K106" t="str">
        <f>IFERROR(VLOOKUP(J106,Database!$A$2:$M$188,2,FALSE),"-")</f>
        <v>Janne Malberg</v>
      </c>
      <c r="L106" t="str">
        <f>ankomster!Y106</f>
        <v>-</v>
      </c>
      <c r="M106" t="str">
        <f>IFERROR(VLOOKUP(L106,Database!$A$2:$M$188,2,FALSE),"-")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IFERROR(VLOOKUP(D107,Database!$A$2:$M$188,2,FALSE),"-")</f>
        <v>-</v>
      </c>
      <c r="F107" t="str">
        <f>ankomster!J107</f>
        <v>-</v>
      </c>
      <c r="G107" t="str">
        <f>IFERROR(VLOOKUP(F107,Database!$A$2:$M$188,2,FALSE),"-")</f>
        <v>-</v>
      </c>
      <c r="H107">
        <f>ankomster!O107</f>
        <v>59</v>
      </c>
      <c r="I107" t="str">
        <f>IFERROR(VLOOKUP(H107,Database!$A$2:$M$188,2,FALSE),"-")</f>
        <v>Jutta Fogh</v>
      </c>
      <c r="J107" s="74" t="str">
        <f>ankomster!T107</f>
        <v>-</v>
      </c>
      <c r="K107" t="str">
        <f>IFERROR(VLOOKUP(J107,Database!$A$2:$M$188,2,FALSE),"-")</f>
        <v>-</v>
      </c>
      <c r="L107" t="str">
        <f>ankomster!Y107</f>
        <v>-</v>
      </c>
      <c r="M107" t="str">
        <f>IFERROR(VLOOKUP(L107,Database!$A$2:$M$188,2,FALSE),"-")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IFERROR(VLOOKUP(D108,Database!$A$2:$M$188,2,FALSE),"-")</f>
        <v>-</v>
      </c>
      <c r="F108" t="str">
        <f>ankomster!J108</f>
        <v>-</v>
      </c>
      <c r="G108" t="str">
        <f>IFERROR(VLOOKUP(F108,Database!$A$2:$M$188,2,FALSE),"-")</f>
        <v>-</v>
      </c>
      <c r="H108" t="str">
        <f>ankomster!O108</f>
        <v>-</v>
      </c>
      <c r="I108" t="str">
        <f>IFERROR(VLOOKUP(H108,Database!$A$2:$M$188,2,FALSE),"-")</f>
        <v>-</v>
      </c>
      <c r="J108" s="74" t="str">
        <f>ankomster!T108</f>
        <v>-</v>
      </c>
      <c r="K108" t="str">
        <f>IFERROR(VLOOKUP(J108,Database!$A$2:$M$188,2,FALSE),"-")</f>
        <v>-</v>
      </c>
      <c r="L108" t="str">
        <f>ankomster!Y108</f>
        <v>-</v>
      </c>
      <c r="M108" t="str">
        <f>IFERROR(VLOOKUP(L108,Database!$A$2:$M$188,2,FALSE),"-")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IFERROR(VLOOKUP(D109,Database!$A$2:$M$188,2,FALSE),"-")</f>
        <v>-</v>
      </c>
      <c r="F109" t="str">
        <f>ankomster!J109</f>
        <v>-</v>
      </c>
      <c r="G109" t="str">
        <f>IFERROR(VLOOKUP(F109,Database!$A$2:$M$188,2,FALSE),"-")</f>
        <v>-</v>
      </c>
      <c r="H109" t="str">
        <f>ankomster!O109</f>
        <v>-</v>
      </c>
      <c r="I109" t="str">
        <f>IFERROR(VLOOKUP(H109,Database!$A$2:$M$188,2,FALSE),"-")</f>
        <v>-</v>
      </c>
      <c r="J109" s="74">
        <f>ankomster!T109</f>
        <v>4</v>
      </c>
      <c r="K109" t="str">
        <f>IFERROR(VLOOKUP(J109,Database!$A$2:$M$188,2,FALSE),"-")</f>
        <v>Stine Plæhn</v>
      </c>
      <c r="L109">
        <f>ankomster!Y109</f>
        <v>4</v>
      </c>
      <c r="M109" t="str">
        <f>IFERROR(VLOOKUP(L109,Database!$A$2:$M$188,2,FALSE),"-")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IFERROR(VLOOKUP(D110,Database!$A$2:$M$188,2,FALSE),"-")</f>
        <v>Kathrine Moelgaard Nielsen</v>
      </c>
      <c r="F110">
        <f>ankomster!J110</f>
        <v>23</v>
      </c>
      <c r="G110" t="str">
        <f>IFERROR(VLOOKUP(F110,Database!$A$2:$M$188,2,FALSE),"-")</f>
        <v>Stine Jespersen</v>
      </c>
      <c r="H110" t="str">
        <f>ankomster!O110</f>
        <v>-</v>
      </c>
      <c r="I110" t="str">
        <f>IFERROR(VLOOKUP(H110,Database!$A$2:$M$188,2,FALSE),"-")</f>
        <v>-</v>
      </c>
      <c r="J110" s="74" t="str">
        <f>ankomster!T110</f>
        <v>-</v>
      </c>
      <c r="K110" t="str">
        <f>IFERROR(VLOOKUP(J110,Database!$A$2:$M$188,2,FALSE),"-")</f>
        <v>-</v>
      </c>
      <c r="L110" t="str">
        <f>ankomster!Y110</f>
        <v>-</v>
      </c>
      <c r="M110" t="str">
        <f>IFERROR(VLOOKUP(L110,Database!$A$2:$M$188,2,FALSE),"-")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IFERROR(VLOOKUP(D111,Database!$A$2:$M$188,2,FALSE),"-")</f>
        <v>-</v>
      </c>
      <c r="F111" t="str">
        <f>ankomster!J111</f>
        <v>-</v>
      </c>
      <c r="G111" t="str">
        <f>IFERROR(VLOOKUP(F111,Database!$A$2:$M$188,2,FALSE),"-")</f>
        <v>-</v>
      </c>
      <c r="H111">
        <f>ankomster!O111</f>
        <v>121</v>
      </c>
      <c r="I111" t="str">
        <f>IFERROR(VLOOKUP(H111,Database!$A$2:$M$188,2,FALSE),"-")</f>
        <v>Sanne Emme</v>
      </c>
      <c r="J111" s="74" t="str">
        <f>ankomster!T111</f>
        <v>-</v>
      </c>
      <c r="K111" t="str">
        <f>IFERROR(VLOOKUP(J111,Database!$A$2:$M$188,2,FALSE),"-")</f>
        <v>-</v>
      </c>
      <c r="L111" t="str">
        <f>ankomster!Y111</f>
        <v>-</v>
      </c>
      <c r="M111" t="str">
        <f>IFERROR(VLOOKUP(L111,Database!$A$2:$M$188,2,FALSE),"-")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IFERROR(VLOOKUP(D112,Database!$A$2:$M$188,2,FALSE),"-")</f>
        <v>-</v>
      </c>
      <c r="F112" t="str">
        <f>ankomster!J112</f>
        <v>-</v>
      </c>
      <c r="G112" t="str">
        <f>IFERROR(VLOOKUP(F112,Database!$A$2:$M$188,2,FALSE),"-")</f>
        <v>-</v>
      </c>
      <c r="H112" t="str">
        <f>ankomster!O112</f>
        <v>-</v>
      </c>
      <c r="I112" t="str">
        <f>IFERROR(VLOOKUP(H112,Database!$A$2:$M$188,2,FALSE),"-")</f>
        <v>-</v>
      </c>
      <c r="J112" s="74" t="str">
        <f>ankomster!T112</f>
        <v>-</v>
      </c>
      <c r="K112" t="str">
        <f>IFERROR(VLOOKUP(J112,Database!$A$2:$M$188,2,FALSE),"-")</f>
        <v>-</v>
      </c>
      <c r="L112" t="str">
        <f>ankomster!Y112</f>
        <v>-</v>
      </c>
      <c r="M112" t="str">
        <f>IFERROR(VLOOKUP(L112,Database!$A$2:$M$188,2,FALSE),"-")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IFERROR(VLOOKUP(D113,Database!$A$2:$M$188,2,FALSE),"-")</f>
        <v>-</v>
      </c>
      <c r="F113">
        <f>ankomster!J113</f>
        <v>156</v>
      </c>
      <c r="G113" t="str">
        <f>IFERROR(VLOOKUP(F113,Database!$A$2:$M$188,2,FALSE),"-")</f>
        <v>Thilo Klawann</v>
      </c>
      <c r="H113" t="str">
        <f>ankomster!O113</f>
        <v>-</v>
      </c>
      <c r="I113" t="str">
        <f>IFERROR(VLOOKUP(H113,Database!$A$2:$M$188,2,FALSE),"-")</f>
        <v>-</v>
      </c>
      <c r="J113" s="74">
        <f>ankomster!T113</f>
        <v>51</v>
      </c>
      <c r="K113" t="str">
        <f>IFERROR(VLOOKUP(J113,Database!$A$2:$M$188,2,FALSE),"-")</f>
        <v>Mikael Holst</v>
      </c>
      <c r="L113" t="str">
        <f>ankomster!Y113</f>
        <v>-</v>
      </c>
      <c r="M113" t="str">
        <f>IFERROR(VLOOKUP(L113,Database!$A$2:$M$188,2,FALSE),"-")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IFERROR(VLOOKUP(D114,Database!$A$2:$M$188,2,FALSE),"-")</f>
        <v>Holger Tygesen</v>
      </c>
      <c r="F114" t="str">
        <f>ankomster!J114</f>
        <v>-</v>
      </c>
      <c r="G114" t="str">
        <f>IFERROR(VLOOKUP(F114,Database!$A$2:$M$188,2,FALSE),"-")</f>
        <v>-</v>
      </c>
      <c r="H114">
        <f>ankomster!O114</f>
        <v>52</v>
      </c>
      <c r="I114" t="str">
        <f>IFERROR(VLOOKUP(H114,Database!$A$2:$M$188,2,FALSE),"-")</f>
        <v>Gitte Zebitz</v>
      </c>
      <c r="J114" s="74" t="str">
        <f>ankomster!T114</f>
        <v>-</v>
      </c>
      <c r="K114" t="str">
        <f>IFERROR(VLOOKUP(J114,Database!$A$2:$M$188,2,FALSE),"-")</f>
        <v>-</v>
      </c>
      <c r="L114">
        <f>ankomster!Y114</f>
        <v>21</v>
      </c>
      <c r="M114" t="str">
        <f>IFERROR(VLOOKUP(L114,Database!$A$2:$M$188,2,FALSE),"-")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IFERROR(VLOOKUP(D115,Database!$A$2:$M$188,2,FALSE),"-")</f>
        <v>-</v>
      </c>
      <c r="F115">
        <f>ankomster!J115</f>
        <v>133</v>
      </c>
      <c r="G115" t="str">
        <f>IFERROR(VLOOKUP(F115,Database!$A$2:$M$188,2,FALSE),"-")</f>
        <v>Poul Olsen</v>
      </c>
      <c r="H115" t="str">
        <f>ankomster!O115</f>
        <v>-</v>
      </c>
      <c r="I115" t="str">
        <f>IFERROR(VLOOKUP(H115,Database!$A$2:$M$188,2,FALSE),"-")</f>
        <v>-</v>
      </c>
      <c r="J115" s="74" t="str">
        <f>ankomster!T115</f>
        <v>-</v>
      </c>
      <c r="K115" t="str">
        <f>IFERROR(VLOOKUP(J115,Database!$A$2:$M$188,2,FALSE),"-")</f>
        <v>-</v>
      </c>
      <c r="L115" t="str">
        <f>ankomster!Y115</f>
        <v>-</v>
      </c>
      <c r="M115" t="str">
        <f>IFERROR(VLOOKUP(L115,Database!$A$2:$M$188,2,FALSE),"-")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IFERROR(VLOOKUP(D116,Database!$A$2:$M$188,2,FALSE),"-")</f>
        <v>-</v>
      </c>
      <c r="F116" t="str">
        <f>ankomster!J116</f>
        <v>-</v>
      </c>
      <c r="G116" t="str">
        <f>IFERROR(VLOOKUP(F116,Database!$A$2:$M$188,2,FALSE),"-")</f>
        <v>-</v>
      </c>
      <c r="H116" t="str">
        <f>ankomster!O116</f>
        <v>-</v>
      </c>
      <c r="I116" t="str">
        <f>IFERROR(VLOOKUP(H116,Database!$A$2:$M$188,2,FALSE),"-")</f>
        <v>-</v>
      </c>
      <c r="J116" s="74" t="str">
        <f>ankomster!T116</f>
        <v>-</v>
      </c>
      <c r="K116" t="str">
        <f>IFERROR(VLOOKUP(J116,Database!$A$2:$M$188,2,FALSE),"-")</f>
        <v>-</v>
      </c>
      <c r="L116" t="str">
        <f>ankomster!Y116</f>
        <v>-</v>
      </c>
      <c r="M116" t="str">
        <f>IFERROR(VLOOKUP(L116,Database!$A$2:$M$188,2,FALSE),"-")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IFERROR(VLOOKUP(D117,Database!$A$2:$M$188,2,FALSE),"-")</f>
        <v>-</v>
      </c>
      <c r="F117">
        <f>ankomster!J117</f>
        <v>159</v>
      </c>
      <c r="G117" t="str">
        <f>IFERROR(VLOOKUP(F117,Database!$A$2:$M$188,2,FALSE),"-")</f>
        <v>Bernette Top</v>
      </c>
      <c r="H117" t="str">
        <f>ankomster!O117</f>
        <v>-</v>
      </c>
      <c r="I117" t="str">
        <f>IFERROR(VLOOKUP(H117,Database!$A$2:$M$188,2,FALSE),"-")</f>
        <v>-</v>
      </c>
      <c r="J117" s="74" t="str">
        <f>ankomster!T117</f>
        <v>-</v>
      </c>
      <c r="K117" t="str">
        <f>IFERROR(VLOOKUP(J117,Database!$A$2:$M$188,2,FALSE),"-")</f>
        <v>-</v>
      </c>
      <c r="L117" t="str">
        <f>ankomster!Y117</f>
        <v>-</v>
      </c>
      <c r="M117" t="str">
        <f>IFERROR(VLOOKUP(L117,Database!$A$2:$M$188,2,FALSE),"-")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IFERROR(VLOOKUP(D118,Database!$A$2:$M$188,2,FALSE),"-")</f>
        <v>-</v>
      </c>
      <c r="F118" t="str">
        <f>ankomster!J118</f>
        <v>-</v>
      </c>
      <c r="G118" t="str">
        <f>IFERROR(VLOOKUP(F118,Database!$A$2:$M$188,2,FALSE),"-")</f>
        <v>-</v>
      </c>
      <c r="H118" t="str">
        <f>ankomster!O118</f>
        <v>-</v>
      </c>
      <c r="I118" t="str">
        <f>IFERROR(VLOOKUP(H118,Database!$A$2:$M$188,2,FALSE),"-")</f>
        <v>-</v>
      </c>
      <c r="J118" s="74">
        <f>ankomster!T118</f>
        <v>93</v>
      </c>
      <c r="K118" t="str">
        <f>IFERROR(VLOOKUP(J118,Database!$A$2:$M$188,2,FALSE),"-")</f>
        <v>Jens Käding</v>
      </c>
      <c r="L118" t="str">
        <f>ankomster!Y118</f>
        <v>-</v>
      </c>
      <c r="M118" t="str">
        <f>IFERROR(VLOOKUP(L118,Database!$A$2:$M$188,2,FALSE),"-")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IFERROR(VLOOKUP(D119,Database!$A$2:$M$188,2,FALSE),"-")</f>
        <v>Pia Jensen</v>
      </c>
      <c r="F119" t="str">
        <f>ankomster!J119</f>
        <v>-</v>
      </c>
      <c r="G119" t="str">
        <f>IFERROR(VLOOKUP(F119,Database!$A$2:$M$188,2,FALSE),"-")</f>
        <v>-</v>
      </c>
      <c r="H119" t="str">
        <f>ankomster!O119</f>
        <v>-</v>
      </c>
      <c r="I119" t="str">
        <f>IFERROR(VLOOKUP(H119,Database!$A$2:$M$188,2,FALSE),"-")</f>
        <v>-</v>
      </c>
      <c r="J119" s="74" t="str">
        <f>ankomster!T119</f>
        <v>-</v>
      </c>
      <c r="K119" t="str">
        <f>IFERROR(VLOOKUP(J119,Database!$A$2:$M$188,2,FALSE),"-")</f>
        <v>-</v>
      </c>
      <c r="L119">
        <f>ankomster!Y119</f>
        <v>25</v>
      </c>
      <c r="M119" t="str">
        <f>IFERROR(VLOOKUP(L119,Database!$A$2:$M$188,2,FALSE),"-")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IFERROR(VLOOKUP(D120,Database!$A$2:$M$188,2,FALSE),"-")</f>
        <v>-</v>
      </c>
      <c r="F120">
        <f>ankomster!J120</f>
        <v>122</v>
      </c>
      <c r="G120" t="str">
        <f>IFERROR(VLOOKUP(F120,Database!$A$2:$M$188,2,FALSE),"-")</f>
        <v>Pernille Tygstrup</v>
      </c>
      <c r="H120">
        <f>ankomster!O120</f>
        <v>120</v>
      </c>
      <c r="I120" t="str">
        <f>IFERROR(VLOOKUP(H120,Database!$A$2:$M$188,2,FALSE),"-")</f>
        <v>Bo Rosschou</v>
      </c>
      <c r="J120" s="74" t="str">
        <f>ankomster!T120</f>
        <v>-</v>
      </c>
      <c r="K120" t="str">
        <f>IFERROR(VLOOKUP(J120,Database!$A$2:$M$188,2,FALSE),"-")</f>
        <v>-</v>
      </c>
      <c r="L120" t="str">
        <f>ankomster!Y120</f>
        <v>-</v>
      </c>
      <c r="M120" t="str">
        <f>IFERROR(VLOOKUP(L120,Database!$A$2:$M$188,2,FALSE),"-")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IFERROR(VLOOKUP(D121,Database!$A$2:$M$188,2,FALSE),"-")</f>
        <v>-</v>
      </c>
      <c r="F121" t="str">
        <f>ankomster!J121</f>
        <v>-</v>
      </c>
      <c r="G121" t="str">
        <f>IFERROR(VLOOKUP(F121,Database!$A$2:$M$188,2,FALSE),"-")</f>
        <v>-</v>
      </c>
      <c r="H121" t="str">
        <f>ankomster!O121</f>
        <v>-</v>
      </c>
      <c r="I121" t="str">
        <f>IFERROR(VLOOKUP(H121,Database!$A$2:$M$188,2,FALSE),"-")</f>
        <v>-</v>
      </c>
      <c r="J121" s="74">
        <f>ankomster!T121</f>
        <v>60</v>
      </c>
      <c r="K121" t="str">
        <f>IFERROR(VLOOKUP(J121,Database!$A$2:$M$188,2,FALSE),"-")</f>
        <v>Linda Henriksen</v>
      </c>
      <c r="L121" t="str">
        <f>ankomster!Y121</f>
        <v>-</v>
      </c>
      <c r="M121" t="str">
        <f>IFERROR(VLOOKUP(L121,Database!$A$2:$M$188,2,FALSE),"-")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IFERROR(VLOOKUP(D122,Database!$A$2:$M$188,2,FALSE),"-")</f>
        <v>-</v>
      </c>
      <c r="F122" t="str">
        <f>ankomster!J122</f>
        <v>-</v>
      </c>
      <c r="G122" t="str">
        <f>IFERROR(VLOOKUP(F122,Database!$A$2:$M$188,2,FALSE),"-")</f>
        <v>-</v>
      </c>
      <c r="H122" t="str">
        <f>ankomster!O122</f>
        <v>-</v>
      </c>
      <c r="I122" t="str">
        <f>IFERROR(VLOOKUP(H122,Database!$A$2:$M$188,2,FALSE),"-")</f>
        <v>-</v>
      </c>
      <c r="J122" s="74" t="str">
        <f>ankomster!T122</f>
        <v>-</v>
      </c>
      <c r="K122" t="str">
        <f>IFERROR(VLOOKUP(J122,Database!$A$2:$M$188,2,FALSE),"-")</f>
        <v>-</v>
      </c>
      <c r="L122" t="str">
        <f>ankomster!Y122</f>
        <v>-</v>
      </c>
      <c r="M122" t="str">
        <f>IFERROR(VLOOKUP(L122,Database!$A$2:$M$188,2,FALSE),"-")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IFERROR(VLOOKUP(D123,Database!$A$2:$M$188,2,FALSE),"-")</f>
        <v>Christian Struck</v>
      </c>
      <c r="F123">
        <f>ankomster!J123</f>
        <v>105</v>
      </c>
      <c r="G123" t="str">
        <f>IFERROR(VLOOKUP(F123,Database!$A$2:$M$188,2,FALSE),"-")</f>
        <v>Tina Hildebrandt</v>
      </c>
      <c r="H123">
        <f>ankomster!O123</f>
        <v>78</v>
      </c>
      <c r="I123" t="str">
        <f>IFERROR(VLOOKUP(H123,Database!$A$2:$M$188,2,FALSE),"-")</f>
        <v>Kim Friedrichs</v>
      </c>
      <c r="J123" s="74" t="str">
        <f>ankomster!T123</f>
        <v>-</v>
      </c>
      <c r="K123" t="str">
        <f>IFERROR(VLOOKUP(J123,Database!$A$2:$M$188,2,FALSE),"-")</f>
        <v>-</v>
      </c>
      <c r="L123" t="str">
        <f>ankomster!Y123</f>
        <v>-</v>
      </c>
      <c r="M123" t="str">
        <f>IFERROR(VLOOKUP(L123,Database!$A$2:$M$188,2,FALSE),"-")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IFERROR(VLOOKUP(D124,Database!$A$2:$M$188,2,FALSE),"-")</f>
        <v>-</v>
      </c>
      <c r="F124" t="str">
        <f>ankomster!J124</f>
        <v>-</v>
      </c>
      <c r="G124" t="str">
        <f>IFERROR(VLOOKUP(F124,Database!$A$2:$M$188,2,FALSE),"-")</f>
        <v>-</v>
      </c>
      <c r="H124" t="str">
        <f>ankomster!O124</f>
        <v>-</v>
      </c>
      <c r="I124" t="str">
        <f>IFERROR(VLOOKUP(H124,Database!$A$2:$M$188,2,FALSE),"-")</f>
        <v>-</v>
      </c>
      <c r="J124" s="74" t="str">
        <f>ankomster!T124</f>
        <v>-</v>
      </c>
      <c r="K124" t="str">
        <f>IFERROR(VLOOKUP(J124,Database!$A$2:$M$188,2,FALSE),"-")</f>
        <v>-</v>
      </c>
      <c r="L124">
        <f>ankomster!Y124</f>
        <v>35</v>
      </c>
      <c r="M124" t="str">
        <f>IFERROR(VLOOKUP(L124,Database!$A$2:$M$188,2,FALSE),"-")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IFERROR(VLOOKUP(D125,Database!$A$2:$M$188,2,FALSE),"-")</f>
        <v>-</v>
      </c>
      <c r="F125" t="str">
        <f>ankomster!J125</f>
        <v>-</v>
      </c>
      <c r="G125" t="str">
        <f>IFERROR(VLOOKUP(F125,Database!$A$2:$M$188,2,FALSE),"-")</f>
        <v>-</v>
      </c>
      <c r="H125" t="str">
        <f>ankomster!O125</f>
        <v>-</v>
      </c>
      <c r="I125" t="str">
        <f>IFERROR(VLOOKUP(H125,Database!$A$2:$M$188,2,FALSE),"-")</f>
        <v>-</v>
      </c>
      <c r="J125" s="74">
        <f>ankomster!T125</f>
        <v>123</v>
      </c>
      <c r="K125" t="str">
        <f>IFERROR(VLOOKUP(J125,Database!$A$2:$M$188,2,FALSE),"-")</f>
        <v>Dirk Herrmann</v>
      </c>
      <c r="L125" t="str">
        <f>ankomster!Y125</f>
        <v>-</v>
      </c>
      <c r="M125" t="str">
        <f>IFERROR(VLOOKUP(L125,Database!$A$2:$M$188,2,FALSE),"-")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IFERROR(VLOOKUP(D126,Database!$A$2:$M$188,2,FALSE),"-")</f>
        <v>-</v>
      </c>
      <c r="F126" t="str">
        <f>ankomster!J126</f>
        <v>-</v>
      </c>
      <c r="G126" t="str">
        <f>IFERROR(VLOOKUP(F126,Database!$A$2:$M$188,2,FALSE),"-")</f>
        <v>-</v>
      </c>
      <c r="H126" t="str">
        <f>ankomster!O126</f>
        <v>-</v>
      </c>
      <c r="I126" t="str">
        <f>IFERROR(VLOOKUP(H126,Database!$A$2:$M$188,2,FALSE),"-")</f>
        <v>-</v>
      </c>
      <c r="J126" s="74" t="str">
        <f>ankomster!T126</f>
        <v>-</v>
      </c>
      <c r="K126" t="str">
        <f>IFERROR(VLOOKUP(J126,Database!$A$2:$M$188,2,FALSE),"-")</f>
        <v>-</v>
      </c>
      <c r="L126" t="str">
        <f>ankomster!Y126</f>
        <v>-</v>
      </c>
      <c r="M126" t="str">
        <f>IFERROR(VLOOKUP(L126,Database!$A$2:$M$188,2,FALSE),"-")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IFERROR(VLOOKUP(D127,Database!$A$2:$M$188,2,FALSE),"-")</f>
        <v>-</v>
      </c>
      <c r="F127">
        <f>ankomster!J127</f>
        <v>144</v>
      </c>
      <c r="G127" t="str">
        <f>IFERROR(VLOOKUP(F127,Database!$A$2:$M$188,2,FALSE),"-")</f>
        <v>Jytte Holmgaard Christensen</v>
      </c>
      <c r="H127" t="str">
        <f>ankomster!O127</f>
        <v>-</v>
      </c>
      <c r="I127" t="str">
        <f>IFERROR(VLOOKUP(H127,Database!$A$2:$M$188,2,FALSE),"-")</f>
        <v>-</v>
      </c>
      <c r="J127" s="74" t="str">
        <f>ankomster!T127</f>
        <v>-</v>
      </c>
      <c r="K127" t="str">
        <f>IFERROR(VLOOKUP(J127,Database!$A$2:$M$188,2,FALSE),"-")</f>
        <v>-</v>
      </c>
      <c r="L127" t="str">
        <f>ankomster!Y127</f>
        <v>-</v>
      </c>
      <c r="M127" t="str">
        <f>IFERROR(VLOOKUP(L127,Database!$A$2:$M$188,2,FALSE),"-")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IFERROR(VLOOKUP(D128,Database!$A$2:$M$188,2,FALSE),"-")</f>
        <v>-</v>
      </c>
      <c r="F128" t="str">
        <f>ankomster!J128</f>
        <v>-</v>
      </c>
      <c r="G128" t="str">
        <f>IFERROR(VLOOKUP(F128,Database!$A$2:$M$188,2,FALSE),"-")</f>
        <v>-</v>
      </c>
      <c r="H128" t="str">
        <f>ankomster!O128</f>
        <v>-</v>
      </c>
      <c r="I128" t="str">
        <f>IFERROR(VLOOKUP(H128,Database!$A$2:$M$188,2,FALSE),"-")</f>
        <v>-</v>
      </c>
      <c r="J128" s="74" t="str">
        <f>ankomster!T128</f>
        <v>-</v>
      </c>
      <c r="K128" t="str">
        <f>IFERROR(VLOOKUP(J128,Database!$A$2:$M$188,2,FALSE),"-")</f>
        <v>-</v>
      </c>
      <c r="L128" t="str">
        <f>ankomster!Y128</f>
        <v>-</v>
      </c>
      <c r="M128" t="str">
        <f>IFERROR(VLOOKUP(L128,Database!$A$2:$M$188,2,FALSE),"-")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IFERROR(VLOOKUP(D129,Database!$A$2:$M$188,2,FALSE),"-")</f>
        <v>Birgitte Poulsen</v>
      </c>
      <c r="F129" t="str">
        <f>ankomster!J129</f>
        <v>-</v>
      </c>
      <c r="G129" t="str">
        <f>IFERROR(VLOOKUP(F129,Database!$A$2:$M$188,2,FALSE),"-")</f>
        <v>-</v>
      </c>
      <c r="H129" t="str">
        <f>ankomster!O129</f>
        <v>-</v>
      </c>
      <c r="I129" t="str">
        <f>IFERROR(VLOOKUP(H129,Database!$A$2:$M$188,2,FALSE),"-")</f>
        <v>-</v>
      </c>
      <c r="J129" s="74" t="str">
        <f>ankomster!T129</f>
        <v>-</v>
      </c>
      <c r="K129" t="str">
        <f>IFERROR(VLOOKUP(J129,Database!$A$2:$M$188,2,FALSE),"-")</f>
        <v>-</v>
      </c>
      <c r="L129">
        <f>ankomster!Y129</f>
        <v>126</v>
      </c>
      <c r="M129" t="str">
        <f>IFERROR(VLOOKUP(L129,Database!$A$2:$M$188,2,FALSE),"-")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IFERROR(VLOOKUP(D130,Database!$A$2:$M$188,2,FALSE),"-")</f>
        <v>-</v>
      </c>
      <c r="F130" t="str">
        <f>ankomster!J130</f>
        <v>-</v>
      </c>
      <c r="G130" t="str">
        <f>IFERROR(VLOOKUP(F130,Database!$A$2:$M$188,2,FALSE),"-")</f>
        <v>-</v>
      </c>
      <c r="H130" t="str">
        <f>ankomster!O130</f>
        <v>-</v>
      </c>
      <c r="I130" t="str">
        <f>IFERROR(VLOOKUP(H130,Database!$A$2:$M$188,2,FALSE),"-")</f>
        <v>-</v>
      </c>
      <c r="J130" s="74" t="str">
        <f>ankomster!T130</f>
        <v>-</v>
      </c>
      <c r="K130" t="str">
        <f>IFERROR(VLOOKUP(J130,Database!$A$2:$M$188,2,FALSE),"-")</f>
        <v>-</v>
      </c>
      <c r="L130" t="str">
        <f>ankomster!Y130</f>
        <v>-</v>
      </c>
      <c r="M130" t="str">
        <f>IFERROR(VLOOKUP(L130,Database!$A$2:$M$188,2,FALSE),"-")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IFERROR(VLOOKUP(D131,Database!$A$2:$M$188,2,FALSE),"-")</f>
        <v>-</v>
      </c>
      <c r="F131" t="str">
        <f>ankomster!J131</f>
        <v>-</v>
      </c>
      <c r="G131" t="str">
        <f>IFERROR(VLOOKUP(F131,Database!$A$2:$M$188,2,FALSE),"-")</f>
        <v>-</v>
      </c>
      <c r="H131" t="str">
        <f>ankomster!O131</f>
        <v>-</v>
      </c>
      <c r="I131" t="str">
        <f>IFERROR(VLOOKUP(H131,Database!$A$2:$M$188,2,FALSE),"-")</f>
        <v>-</v>
      </c>
      <c r="J131" s="74" t="str">
        <f>ankomster!T131</f>
        <v>-</v>
      </c>
      <c r="K131" t="str">
        <f>IFERROR(VLOOKUP(J131,Database!$A$2:$M$188,2,FALSE),"-")</f>
        <v>-</v>
      </c>
      <c r="L131" t="str">
        <f>ankomster!Y131</f>
        <v>-</v>
      </c>
      <c r="M131" t="str">
        <f>IFERROR(VLOOKUP(L131,Database!$A$2:$M$188,2,FALSE),"-")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IFERROR(VLOOKUP(D132,Database!$A$2:$M$188,2,FALSE),"-")</f>
        <v>-</v>
      </c>
      <c r="F132">
        <f>ankomster!J132</f>
        <v>161</v>
      </c>
      <c r="G132" t="str">
        <f>IFERROR(VLOOKUP(F132,Database!$A$2:$M$188,2,FALSE),"-")</f>
        <v>Tone Hay</v>
      </c>
      <c r="H132">
        <f>ankomster!O132</f>
        <v>147</v>
      </c>
      <c r="I132" t="str">
        <f>IFERROR(VLOOKUP(H132,Database!$A$2:$M$188,2,FALSE),"-")</f>
        <v>Katja Lundsgaard Christensen</v>
      </c>
      <c r="J132" s="74" t="str">
        <f>ankomster!T132</f>
        <v>-</v>
      </c>
      <c r="K132" t="str">
        <f>IFERROR(VLOOKUP(J132,Database!$A$2:$M$188,2,FALSE),"-")</f>
        <v>-</v>
      </c>
      <c r="L132" t="str">
        <f>ankomster!Y132</f>
        <v>-</v>
      </c>
      <c r="M132" t="str">
        <f>IFERROR(VLOOKUP(L132,Database!$A$2:$M$188,2,FALSE),"-")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IFERROR(VLOOKUP(D133,Database!$A$2:$M$188,2,FALSE),"-")</f>
        <v>Anette Arleth</v>
      </c>
      <c r="F133" t="str">
        <f>ankomster!J133</f>
        <v>-</v>
      </c>
      <c r="G133" t="str">
        <f>IFERROR(VLOOKUP(F133,Database!$A$2:$M$188,2,FALSE),"-")</f>
        <v>-</v>
      </c>
      <c r="H133" t="str">
        <f>ankomster!O133</f>
        <v>-</v>
      </c>
      <c r="I133" t="str">
        <f>IFERROR(VLOOKUP(H133,Database!$A$2:$M$188,2,FALSE),"-")</f>
        <v>-</v>
      </c>
      <c r="J133" s="74" t="str">
        <f>ankomster!T133</f>
        <v>-</v>
      </c>
      <c r="K133" t="str">
        <f>IFERROR(VLOOKUP(J133,Database!$A$2:$M$188,2,FALSE),"-")</f>
        <v>-</v>
      </c>
      <c r="L133" t="str">
        <f>ankomster!Y133</f>
        <v>-</v>
      </c>
      <c r="M133" t="str">
        <f>IFERROR(VLOOKUP(L133,Database!$A$2:$M$188,2,FALSE),"-")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IFERROR(VLOOKUP(D134,Database!$A$2:$M$188,2,FALSE),"-")</f>
        <v>-</v>
      </c>
      <c r="F134">
        <f>ankomster!J134</f>
        <v>145</v>
      </c>
      <c r="G134" t="str">
        <f>IFERROR(VLOOKUP(F134,Database!$A$2:$M$188,2,FALSE),"-")</f>
        <v>Alice Andersen</v>
      </c>
      <c r="H134">
        <f>ankomster!O134</f>
        <v>154</v>
      </c>
      <c r="I134" t="str">
        <f>IFERROR(VLOOKUP(H134,Database!$A$2:$M$188,2,FALSE),"-")</f>
        <v>Rose-Marie Nordström</v>
      </c>
      <c r="J134" s="74" t="str">
        <f>ankomster!T134</f>
        <v>-</v>
      </c>
      <c r="K134" t="str">
        <f>IFERROR(VLOOKUP(J134,Database!$A$2:$M$188,2,FALSE),"-")</f>
        <v>-</v>
      </c>
      <c r="L134">
        <f>ankomster!Y134</f>
        <v>22</v>
      </c>
      <c r="M134" t="str">
        <f>IFERROR(VLOOKUP(L134,Database!$A$2:$M$188,2,FALSE),"-")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IFERROR(VLOOKUP(D135,Database!$A$2:$M$188,2,FALSE),"-")</f>
        <v>-</v>
      </c>
      <c r="F135" t="str">
        <f>ankomster!J135</f>
        <v>-</v>
      </c>
      <c r="G135" t="str">
        <f>IFERROR(VLOOKUP(F135,Database!$A$2:$M$188,2,FALSE),"-")</f>
        <v>-</v>
      </c>
      <c r="H135" t="str">
        <f>ankomster!O135</f>
        <v>-</v>
      </c>
      <c r="I135" t="str">
        <f>IFERROR(VLOOKUP(H135,Database!$A$2:$M$188,2,FALSE),"-")</f>
        <v>-</v>
      </c>
      <c r="J135" s="74" t="str">
        <f>ankomster!T135</f>
        <v>-</v>
      </c>
      <c r="K135" t="str">
        <f>IFERROR(VLOOKUP(J135,Database!$A$2:$M$188,2,FALSE),"-")</f>
        <v>-</v>
      </c>
      <c r="L135" t="str">
        <f>ankomster!Y135</f>
        <v>-</v>
      </c>
      <c r="M135" t="str">
        <f>IFERROR(VLOOKUP(L135,Database!$A$2:$M$188,2,FALSE),"-")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IFERROR(VLOOKUP(D136,Database!$A$2:$M$188,2,FALSE),"-")</f>
        <v>-</v>
      </c>
      <c r="F136" t="str">
        <f>ankomster!J136</f>
        <v>-</v>
      </c>
      <c r="G136" t="str">
        <f>IFERROR(VLOOKUP(F136,Database!$A$2:$M$188,2,FALSE),"-")</f>
        <v>-</v>
      </c>
      <c r="H136" t="str">
        <f>ankomster!O136</f>
        <v>-</v>
      </c>
      <c r="I136" t="str">
        <f>IFERROR(VLOOKUP(H136,Database!$A$2:$M$188,2,FALSE),"-")</f>
        <v>-</v>
      </c>
      <c r="J136" s="74" t="str">
        <f>ankomster!T136</f>
        <v>-</v>
      </c>
      <c r="K136" t="str">
        <f>IFERROR(VLOOKUP(J136,Database!$A$2:$M$188,2,FALSE),"-")</f>
        <v>-</v>
      </c>
      <c r="L136" t="str">
        <f>ankomster!Y136</f>
        <v>-</v>
      </c>
      <c r="M136" t="str">
        <f>IFERROR(VLOOKUP(L136,Database!$A$2:$M$188,2,FALSE),"-")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IFERROR(VLOOKUP(D137,Database!$A$2:$M$188,2,FALSE),"-")</f>
        <v>-</v>
      </c>
      <c r="F137" t="str">
        <f>ankomster!J137</f>
        <v>-</v>
      </c>
      <c r="G137" t="str">
        <f>IFERROR(VLOOKUP(F137,Database!$A$2:$M$188,2,FALSE),"-")</f>
        <v>-</v>
      </c>
      <c r="H137" t="str">
        <f>ankomster!O137</f>
        <v>-</v>
      </c>
      <c r="I137" t="str">
        <f>IFERROR(VLOOKUP(H137,Database!$A$2:$M$188,2,FALSE),"-")</f>
        <v>-</v>
      </c>
      <c r="J137" s="74" t="str">
        <f>ankomster!T137</f>
        <v>-</v>
      </c>
      <c r="K137" t="str">
        <f>IFERROR(VLOOKUP(J137,Database!$A$2:$M$188,2,FALSE),"-")</f>
        <v>-</v>
      </c>
      <c r="L137" t="str">
        <f>ankomster!Y137</f>
        <v>-</v>
      </c>
      <c r="M137" t="str">
        <f>IFERROR(VLOOKUP(L137,Database!$A$2:$M$188,2,FALSE),"-")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IFERROR(VLOOKUP(D138,Database!$A$2:$M$188,2,FALSE),"-")</f>
        <v>-</v>
      </c>
      <c r="F138" t="str">
        <f>ankomster!J138</f>
        <v>-</v>
      </c>
      <c r="G138" t="str">
        <f>IFERROR(VLOOKUP(F138,Database!$A$2:$M$188,2,FALSE),"-")</f>
        <v>-</v>
      </c>
      <c r="H138">
        <f>ankomster!O138</f>
        <v>143</v>
      </c>
      <c r="I138" t="str">
        <f>IFERROR(VLOOKUP(H138,Database!$A$2:$M$188,2,FALSE),"-")</f>
        <v>Lisbet Jørgensen</v>
      </c>
      <c r="J138" s="74" t="str">
        <f>ankomster!T138</f>
        <v>-</v>
      </c>
      <c r="K138" t="str">
        <f>IFERROR(VLOOKUP(J138,Database!$A$2:$M$188,2,FALSE),"-")</f>
        <v>-</v>
      </c>
      <c r="L138" t="str">
        <f>ankomster!Y138</f>
        <v>-</v>
      </c>
      <c r="M138" t="str">
        <f>IFERROR(VLOOKUP(L138,Database!$A$2:$M$188,2,FALSE),"-")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IFERROR(VLOOKUP(D139,Database!$A$2:$M$188,2,FALSE),"-")</f>
        <v>Helle jacobsen</v>
      </c>
      <c r="F139">
        <f>ankomster!J139</f>
        <v>89</v>
      </c>
      <c r="G139" t="str">
        <f>IFERROR(VLOOKUP(F139,Database!$A$2:$M$188,2,FALSE),"-")</f>
        <v>Helle jacobsen</v>
      </c>
      <c r="H139" t="str">
        <f>ankomster!O139</f>
        <v>-</v>
      </c>
      <c r="I139" t="str">
        <f>IFERROR(VLOOKUP(H139,Database!$A$2:$M$188,2,FALSE),"-")</f>
        <v>-</v>
      </c>
      <c r="J139" s="74">
        <f>ankomster!T139</f>
        <v>137</v>
      </c>
      <c r="K139" t="str">
        <f>IFERROR(VLOOKUP(J139,Database!$A$2:$M$188,2,FALSE),"-")</f>
        <v>Erik Friis</v>
      </c>
      <c r="L139" t="str">
        <f>ankomster!Y139</f>
        <v>-</v>
      </c>
      <c r="M139" t="str">
        <f>IFERROR(VLOOKUP(L139,Database!$A$2:$M$188,2,FALSE),"-")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IFERROR(VLOOKUP(D140,Database!$A$2:$M$188,2,FALSE),"-")</f>
        <v>-</v>
      </c>
      <c r="F140" t="str">
        <f>ankomster!J140</f>
        <v>-</v>
      </c>
      <c r="G140" t="str">
        <f>IFERROR(VLOOKUP(F140,Database!$A$2:$M$188,2,FALSE),"-")</f>
        <v>-</v>
      </c>
      <c r="H140">
        <f>ankomster!O140</f>
        <v>103</v>
      </c>
      <c r="I140" t="str">
        <f>IFERROR(VLOOKUP(H140,Database!$A$2:$M$188,2,FALSE),"-")</f>
        <v>Heidi Rose</v>
      </c>
      <c r="J140" s="74" t="str">
        <f>ankomster!T140</f>
        <v>-</v>
      </c>
      <c r="K140" t="str">
        <f>IFERROR(VLOOKUP(J140,Database!$A$2:$M$188,2,FALSE),"-")</f>
        <v>-</v>
      </c>
      <c r="L140" t="str">
        <f>ankomster!Y140</f>
        <v>-</v>
      </c>
      <c r="M140" t="str">
        <f>IFERROR(VLOOKUP(L140,Database!$A$2:$M$188,2,FALSE),"-")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IFERROR(VLOOKUP(D141,Database!$A$2:$M$188,2,FALSE),"-")</f>
        <v>-</v>
      </c>
      <c r="F141" t="str">
        <f>ankomster!J141</f>
        <v>-</v>
      </c>
      <c r="G141" t="str">
        <f>IFERROR(VLOOKUP(F141,Database!$A$2:$M$188,2,FALSE),"-")</f>
        <v>-</v>
      </c>
      <c r="H141" t="str">
        <f>ankomster!O141</f>
        <v>-</v>
      </c>
      <c r="I141" t="str">
        <f>IFERROR(VLOOKUP(H141,Database!$A$2:$M$188,2,FALSE),"-")</f>
        <v>-</v>
      </c>
      <c r="J141" s="74" t="str">
        <f>ankomster!T141</f>
        <v>-</v>
      </c>
      <c r="K141" t="str">
        <f>IFERROR(VLOOKUP(J141,Database!$A$2:$M$188,2,FALSE),"-")</f>
        <v>-</v>
      </c>
      <c r="L141" t="str">
        <f>ankomster!Y141</f>
        <v>-</v>
      </c>
      <c r="M141" t="str">
        <f>IFERROR(VLOOKUP(L141,Database!$A$2:$M$188,2,FALSE),"-")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IFERROR(VLOOKUP(D142,Database!$A$2:$M$188,2,FALSE),"-")</f>
        <v>Lene Larsen</v>
      </c>
      <c r="F142">
        <f>ankomster!J142</f>
        <v>101</v>
      </c>
      <c r="G142" t="str">
        <f>IFERROR(VLOOKUP(F142,Database!$A$2:$M$188,2,FALSE),"-")</f>
        <v>Kirsten Nørgård Pedersen</v>
      </c>
      <c r="H142" t="str">
        <f>ankomster!O142</f>
        <v>-</v>
      </c>
      <c r="I142" t="str">
        <f>IFERROR(VLOOKUP(H142,Database!$A$2:$M$188,2,FALSE),"-")</f>
        <v>-</v>
      </c>
      <c r="J142" s="74" t="str">
        <f>ankomster!T142</f>
        <v>-</v>
      </c>
      <c r="K142" t="str">
        <f>IFERROR(VLOOKUP(J142,Database!$A$2:$M$188,2,FALSE),"-")</f>
        <v>-</v>
      </c>
      <c r="L142" t="str">
        <f>ankomster!Y142</f>
        <v>-</v>
      </c>
      <c r="M142" t="str">
        <f>IFERROR(VLOOKUP(L142,Database!$A$2:$M$188,2,FALSE),"-")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IFERROR(VLOOKUP(D143,Database!$A$2:$M$188,2,FALSE),"-")</f>
        <v>-</v>
      </c>
      <c r="F143" t="str">
        <f>ankomster!J143</f>
        <v>-</v>
      </c>
      <c r="G143" t="str">
        <f>IFERROR(VLOOKUP(F143,Database!$A$2:$M$188,2,FALSE),"-")</f>
        <v>-</v>
      </c>
      <c r="H143" t="str">
        <f>ankomster!O143</f>
        <v>-</v>
      </c>
      <c r="I143" t="str">
        <f>IFERROR(VLOOKUP(H143,Database!$A$2:$M$188,2,FALSE),"-")</f>
        <v>-</v>
      </c>
      <c r="J143" s="74" t="str">
        <f>ankomster!T143</f>
        <v>-</v>
      </c>
      <c r="K143" t="str">
        <f>IFERROR(VLOOKUP(J143,Database!$A$2:$M$188,2,FALSE),"-")</f>
        <v>-</v>
      </c>
      <c r="L143" t="str">
        <f>ankomster!Y143</f>
        <v>-</v>
      </c>
      <c r="M143" t="str">
        <f>IFERROR(VLOOKUP(L143,Database!$A$2:$M$188,2,FALSE),"-")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IFERROR(VLOOKUP(D144,Database!$A$2:$M$188,2,FALSE),"-")</f>
        <v>-</v>
      </c>
      <c r="F144">
        <f>ankomster!J144</f>
        <v>47</v>
      </c>
      <c r="G144" t="str">
        <f>IFERROR(VLOOKUP(F144,Database!$A$2:$M$188,2,FALSE),"-")</f>
        <v>Dorte Strøm</v>
      </c>
      <c r="H144" t="str">
        <f>ankomster!O144</f>
        <v>-</v>
      </c>
      <c r="I144" t="str">
        <f>IFERROR(VLOOKUP(H144,Database!$A$2:$M$188,2,FALSE),"-")</f>
        <v>-</v>
      </c>
      <c r="J144" s="74" t="str">
        <f>ankomster!T144</f>
        <v>-</v>
      </c>
      <c r="K144" t="str">
        <f>IFERROR(VLOOKUP(J144,Database!$A$2:$M$188,2,FALSE),"-")</f>
        <v>-</v>
      </c>
      <c r="L144" t="str">
        <f>ankomster!Y144</f>
        <v>-</v>
      </c>
      <c r="M144" t="str">
        <f>IFERROR(VLOOKUP(L144,Database!$A$2:$M$188,2,FALSE),"-")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IFERROR(VLOOKUP(D145,Database!$A$2:$M$188,2,FALSE),"-")</f>
        <v>-</v>
      </c>
      <c r="F145" t="str">
        <f>ankomster!J145</f>
        <v>-</v>
      </c>
      <c r="G145" t="str">
        <f>IFERROR(VLOOKUP(F145,Database!$A$2:$M$188,2,FALSE),"-")</f>
        <v>-</v>
      </c>
      <c r="H145" t="str">
        <f>ankomster!O145</f>
        <v>-</v>
      </c>
      <c r="I145" t="str">
        <f>IFERROR(VLOOKUP(H145,Database!$A$2:$M$188,2,FALSE),"-")</f>
        <v>-</v>
      </c>
      <c r="J145" s="74">
        <f>ankomster!T145</f>
        <v>41</v>
      </c>
      <c r="K145" t="str">
        <f>IFERROR(VLOOKUP(J145,Database!$A$2:$M$188,2,FALSE),"-")</f>
        <v>Mette Sandvig</v>
      </c>
      <c r="L145">
        <f>ankomster!Y145</f>
        <v>42</v>
      </c>
      <c r="M145" t="str">
        <f>IFERROR(VLOOKUP(L145,Database!$A$2:$M$188,2,FALSE),"-")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IFERROR(VLOOKUP(D146,Database!$A$2:$M$188,2,FALSE),"-")</f>
        <v>Susanne Børjessson</v>
      </c>
      <c r="F146" t="str">
        <f>ankomster!J146</f>
        <v>-</v>
      </c>
      <c r="G146" t="str">
        <f>IFERROR(VLOOKUP(F146,Database!$A$2:$M$188,2,FALSE),"-")</f>
        <v>-</v>
      </c>
      <c r="H146" t="str">
        <f>ankomster!O146</f>
        <v>-</v>
      </c>
      <c r="I146" t="str">
        <f>IFERROR(VLOOKUP(H146,Database!$A$2:$M$188,2,FALSE),"-")</f>
        <v>-</v>
      </c>
      <c r="J146" s="74" t="str">
        <f>ankomster!T146</f>
        <v>-</v>
      </c>
      <c r="K146" t="str">
        <f>IFERROR(VLOOKUP(J146,Database!$A$2:$M$188,2,FALSE),"-")</f>
        <v>-</v>
      </c>
      <c r="L146" t="str">
        <f>ankomster!Y146</f>
        <v>-</v>
      </c>
      <c r="M146" t="str">
        <f>IFERROR(VLOOKUP(L146,Database!$A$2:$M$188,2,FALSE),"-")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IFERROR(VLOOKUP(D147,Database!$A$2:$M$188,2,FALSE),"-")</f>
        <v>-</v>
      </c>
      <c r="F147" t="str">
        <f>ankomster!J147</f>
        <v>-</v>
      </c>
      <c r="G147" t="str">
        <f>IFERROR(VLOOKUP(F147,Database!$A$2:$M$188,2,FALSE),"-")</f>
        <v>-</v>
      </c>
      <c r="H147" t="str">
        <f>ankomster!O147</f>
        <v>-</v>
      </c>
      <c r="I147" t="str">
        <f>IFERROR(VLOOKUP(H147,Database!$A$2:$M$188,2,FALSE),"-")</f>
        <v>-</v>
      </c>
      <c r="J147" s="74">
        <f>ankomster!T147</f>
        <v>153</v>
      </c>
      <c r="K147" t="str">
        <f>IFERROR(VLOOKUP(J147,Database!$A$2:$M$188,2,FALSE),"-")</f>
        <v>Lene Birkholm</v>
      </c>
      <c r="L147" t="str">
        <f>ankomster!Y147</f>
        <v>-</v>
      </c>
      <c r="M147" t="str">
        <f>IFERROR(VLOOKUP(L147,Database!$A$2:$M$188,2,FALSE),"-")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IFERROR(VLOOKUP(D148,Database!$A$2:$M$188,2,FALSE),"-")</f>
        <v>-</v>
      </c>
      <c r="F148" t="str">
        <f>ankomster!J148</f>
        <v>-</v>
      </c>
      <c r="G148" t="str">
        <f>IFERROR(VLOOKUP(F148,Database!$A$2:$M$188,2,FALSE),"-")</f>
        <v>-</v>
      </c>
      <c r="H148">
        <f>ankomster!O148</f>
        <v>146</v>
      </c>
      <c r="I148" t="str">
        <f>IFERROR(VLOOKUP(H148,Database!$A$2:$M$188,2,FALSE),"-")</f>
        <v>Claus Kaae Christensen</v>
      </c>
      <c r="J148" s="74" t="str">
        <f>ankomster!T148</f>
        <v>-</v>
      </c>
      <c r="K148" t="str">
        <f>IFERROR(VLOOKUP(J148,Database!$A$2:$M$188,2,FALSE),"-")</f>
        <v>-</v>
      </c>
      <c r="L148" t="str">
        <f>ankomster!Y148</f>
        <v>-</v>
      </c>
      <c r="M148" t="str">
        <f>IFERROR(VLOOKUP(L148,Database!$A$2:$M$188,2,FALSE),"-")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IFERROR(VLOOKUP(D149,Database!$A$2:$M$188,2,FALSE),"-")</f>
        <v>-</v>
      </c>
      <c r="F149" t="str">
        <f>ankomster!J149</f>
        <v>-</v>
      </c>
      <c r="G149" t="str">
        <f>IFERROR(VLOOKUP(F149,Database!$A$2:$M$188,2,FALSE),"-")</f>
        <v>-</v>
      </c>
      <c r="H149" t="str">
        <f>ankomster!O149</f>
        <v>-</v>
      </c>
      <c r="I149" t="str">
        <f>IFERROR(VLOOKUP(H149,Database!$A$2:$M$188,2,FALSE),"-")</f>
        <v>-</v>
      </c>
      <c r="J149" s="74" t="str">
        <f>ankomster!T149</f>
        <v>-</v>
      </c>
      <c r="K149" t="str">
        <f>IFERROR(VLOOKUP(J149,Database!$A$2:$M$188,2,FALSE),"-")</f>
        <v>-</v>
      </c>
      <c r="L149">
        <f>ankomster!Y149</f>
        <v>124</v>
      </c>
      <c r="M149" t="str">
        <f>IFERROR(VLOOKUP(L149,Database!$A$2:$M$188,2,FALSE),"-")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IFERROR(VLOOKUP(D150,Database!$A$2:$M$188,2,FALSE),"-")</f>
        <v>-</v>
      </c>
      <c r="F150" t="str">
        <f>ankomster!J150</f>
        <v>-</v>
      </c>
      <c r="G150" t="str">
        <f>IFERROR(VLOOKUP(F150,Database!$A$2:$M$188,2,FALSE),"-")</f>
        <v>-</v>
      </c>
      <c r="H150" t="str">
        <f>ankomster!O150</f>
        <v>-</v>
      </c>
      <c r="I150" t="str">
        <f>IFERROR(VLOOKUP(H150,Database!$A$2:$M$188,2,FALSE),"-")</f>
        <v>-</v>
      </c>
      <c r="J150" s="74" t="str">
        <f>ankomster!T150</f>
        <v>-</v>
      </c>
      <c r="K150" t="str">
        <f>IFERROR(VLOOKUP(J150,Database!$A$2:$M$188,2,FALSE),"-")</f>
        <v>-</v>
      </c>
      <c r="L150" t="str">
        <f>ankomster!Y150</f>
        <v>-</v>
      </c>
      <c r="M150" t="str">
        <f>IFERROR(VLOOKUP(L150,Database!$A$2:$M$188,2,FALSE),"-")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IFERROR(VLOOKUP(D151,Database!$A$2:$M$188,2,FALSE),"-")</f>
        <v>-</v>
      </c>
      <c r="F151" t="str">
        <f>ankomster!J151</f>
        <v>-</v>
      </c>
      <c r="G151" t="str">
        <f>IFERROR(VLOOKUP(F151,Database!$A$2:$M$188,2,FALSE),"-")</f>
        <v>-</v>
      </c>
      <c r="H151" t="str">
        <f>ankomster!O151</f>
        <v>-</v>
      </c>
      <c r="I151" t="str">
        <f>IFERROR(VLOOKUP(H151,Database!$A$2:$M$188,2,FALSE),"-")</f>
        <v>-</v>
      </c>
      <c r="J151" s="74" t="str">
        <f>ankomster!T151</f>
        <v>-</v>
      </c>
      <c r="K151" t="str">
        <f>IFERROR(VLOOKUP(J151,Database!$A$2:$M$188,2,FALSE),"-")</f>
        <v>-</v>
      </c>
      <c r="L151" t="str">
        <f>ankomster!Y151</f>
        <v>-</v>
      </c>
      <c r="M151" t="str">
        <f>IFERROR(VLOOKUP(L151,Database!$A$2:$M$188,2,FALSE),"-")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IFERROR(VLOOKUP(D152,Database!$A$2:$M$188,2,FALSE),"-")</f>
        <v>-</v>
      </c>
      <c r="F152" t="str">
        <f>ankomster!J152</f>
        <v>-</v>
      </c>
      <c r="G152" t="str">
        <f>IFERROR(VLOOKUP(F152,Database!$A$2:$M$188,2,FALSE),"-")</f>
        <v>-</v>
      </c>
      <c r="H152" t="str">
        <f>ankomster!O152</f>
        <v>-</v>
      </c>
      <c r="I152" t="str">
        <f>IFERROR(VLOOKUP(H152,Database!$A$2:$M$188,2,FALSE),"-")</f>
        <v>-</v>
      </c>
      <c r="J152" s="74" t="str">
        <f>ankomster!T152</f>
        <v>-</v>
      </c>
      <c r="K152" t="str">
        <f>IFERROR(VLOOKUP(J152,Database!$A$2:$M$188,2,FALSE),"-")</f>
        <v>-</v>
      </c>
      <c r="L152" t="str">
        <f>ankomster!Y152</f>
        <v>-</v>
      </c>
      <c r="M152" t="str">
        <f>IFERROR(VLOOKUP(L152,Database!$A$2:$M$188,2,FALSE),"-")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IFERROR(VLOOKUP(D153,Database!$A$2:$M$188,2,FALSE),"-")</f>
        <v>-</v>
      </c>
      <c r="F153" t="str">
        <f>ankomster!J153</f>
        <v>-</v>
      </c>
      <c r="G153" t="str">
        <f>IFERROR(VLOOKUP(F153,Database!$A$2:$M$188,2,FALSE),"-")</f>
        <v>-</v>
      </c>
      <c r="H153" t="str">
        <f>ankomster!O153</f>
        <v>-</v>
      </c>
      <c r="I153" t="str">
        <f>IFERROR(VLOOKUP(H153,Database!$A$2:$M$188,2,FALSE),"-")</f>
        <v>-</v>
      </c>
      <c r="J153" s="74" t="str">
        <f>ankomster!T153</f>
        <v>-</v>
      </c>
      <c r="K153" t="str">
        <f>IFERROR(VLOOKUP(J153,Database!$A$2:$M$188,2,FALSE),"-")</f>
        <v>-</v>
      </c>
      <c r="L153" t="str">
        <f>ankomster!Y153</f>
        <v>-</v>
      </c>
      <c r="M153" t="str">
        <f>IFERROR(VLOOKUP(L153,Database!$A$2:$M$188,2,FALSE),"-")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IFERROR(VLOOKUP(D154,Database!$A$2:$M$188,2,FALSE),"-")</f>
        <v>-</v>
      </c>
      <c r="F154" t="str">
        <f>ankomster!J154</f>
        <v>-</v>
      </c>
      <c r="G154" t="str">
        <f>IFERROR(VLOOKUP(F154,Database!$A$2:$M$188,2,FALSE),"-")</f>
        <v>-</v>
      </c>
      <c r="H154" t="str">
        <f>ankomster!O154</f>
        <v>-</v>
      </c>
      <c r="I154" t="str">
        <f>IFERROR(VLOOKUP(H154,Database!$A$2:$M$188,2,FALSE),"-")</f>
        <v>-</v>
      </c>
      <c r="J154" s="74" t="str">
        <f>ankomster!T154</f>
        <v>-</v>
      </c>
      <c r="K154" t="str">
        <f>IFERROR(VLOOKUP(J154,Database!$A$2:$M$188,2,FALSE),"-")</f>
        <v>-</v>
      </c>
      <c r="L154" t="str">
        <f>ankomster!Y154</f>
        <v>-</v>
      </c>
      <c r="M154" t="str">
        <f>IFERROR(VLOOKUP(L154,Database!$A$2:$M$188,2,FALSE),"-")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IFERROR(VLOOKUP(D155,Database!$A$2:$M$188,2,FALSE),"-")</f>
        <v>-</v>
      </c>
      <c r="F155" t="str">
        <f>ankomster!J155</f>
        <v>-</v>
      </c>
      <c r="G155" t="str">
        <f>IFERROR(VLOOKUP(F155,Database!$A$2:$M$188,2,FALSE),"-")</f>
        <v>-</v>
      </c>
      <c r="H155" t="str">
        <f>ankomster!O155</f>
        <v>-</v>
      </c>
      <c r="I155" t="str">
        <f>IFERROR(VLOOKUP(H155,Database!$A$2:$M$188,2,FALSE),"-")</f>
        <v>-</v>
      </c>
      <c r="J155" s="74" t="str">
        <f>ankomster!T155</f>
        <v>-</v>
      </c>
      <c r="K155" t="str">
        <f>IFERROR(VLOOKUP(J155,Database!$A$2:$M$188,2,FALSE),"-")</f>
        <v>-</v>
      </c>
      <c r="L155" t="str">
        <f>ankomster!Y155</f>
        <v>-</v>
      </c>
      <c r="M155" t="str">
        <f>IFERROR(VLOOKUP(L155,Database!$A$2:$M$188,2,FALSE),"-")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IFERROR(VLOOKUP(D156,Database!$A$2:$M$188,2,FALSE),"-")</f>
        <v>-</v>
      </c>
      <c r="F156" t="str">
        <f>ankomster!J156</f>
        <v>-</v>
      </c>
      <c r="G156" t="str">
        <f>IFERROR(VLOOKUP(F156,Database!$A$2:$M$188,2,FALSE),"-")</f>
        <v>-</v>
      </c>
      <c r="H156" t="str">
        <f>ankomster!O156</f>
        <v>-</v>
      </c>
      <c r="I156" t="str">
        <f>IFERROR(VLOOKUP(H156,Database!$A$2:$M$188,2,FALSE),"-")</f>
        <v>-</v>
      </c>
      <c r="J156" s="74" t="str">
        <f>ankomster!T156</f>
        <v>-</v>
      </c>
      <c r="K156" t="str">
        <f>IFERROR(VLOOKUP(J156,Database!$A$2:$M$188,2,FALSE),"-")</f>
        <v>-</v>
      </c>
      <c r="L156" t="str">
        <f>ankomster!Y156</f>
        <v>-</v>
      </c>
      <c r="M156" t="str">
        <f>IFERROR(VLOOKUP(L156,Database!$A$2:$M$188,2,FALSE),"-")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IFERROR(VLOOKUP(D157,Database!$A$2:$M$188,2,FALSE),"-")</f>
        <v>-</v>
      </c>
      <c r="F157" t="str">
        <f>ankomster!J157</f>
        <v>-</v>
      </c>
      <c r="G157" t="str">
        <f>IFERROR(VLOOKUP(F157,Database!$A$2:$M$188,2,FALSE),"-")</f>
        <v>-</v>
      </c>
      <c r="H157" t="str">
        <f>ankomster!O157</f>
        <v>-</v>
      </c>
      <c r="I157" t="str">
        <f>IFERROR(VLOOKUP(H157,Database!$A$2:$M$188,2,FALSE),"-")</f>
        <v>-</v>
      </c>
      <c r="J157" s="74" t="str">
        <f>ankomster!T157</f>
        <v>-</v>
      </c>
      <c r="K157" t="str">
        <f>IFERROR(VLOOKUP(J157,Database!$A$2:$M$188,2,FALSE),"-")</f>
        <v>-</v>
      </c>
      <c r="L157" t="str">
        <f>ankomster!Y157</f>
        <v>-</v>
      </c>
      <c r="M157" t="str">
        <f>IFERROR(VLOOKUP(L157,Database!$A$2:$M$188,2,FALSE),"-")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IFERROR(VLOOKUP(D158,Database!$A$2:$M$188,2,FALSE),"-")</f>
        <v>-</v>
      </c>
      <c r="F158" t="str">
        <f>ankomster!J158</f>
        <v>-</v>
      </c>
      <c r="G158" t="str">
        <f>IFERROR(VLOOKUP(F158,Database!$A$2:$M$188,2,FALSE),"-")</f>
        <v>-</v>
      </c>
      <c r="H158" t="str">
        <f>ankomster!O158</f>
        <v>-</v>
      </c>
      <c r="I158" t="str">
        <f>IFERROR(VLOOKUP(H158,Database!$A$2:$M$188,2,FALSE),"-")</f>
        <v>-</v>
      </c>
      <c r="J158" s="74" t="str">
        <f>ankomster!T158</f>
        <v>-</v>
      </c>
      <c r="K158" t="str">
        <f>IFERROR(VLOOKUP(J158,Database!$A$2:$M$188,2,FALSE),"-")</f>
        <v>-</v>
      </c>
      <c r="L158" t="str">
        <f>ankomster!Y158</f>
        <v>-</v>
      </c>
      <c r="M158" t="str">
        <f>IFERROR(VLOOKUP(L158,Database!$A$2:$M$188,2,FALSE),"-")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IFERROR(VLOOKUP(D159,Database!$A$2:$M$188,2,FALSE),"-")</f>
        <v>-</v>
      </c>
      <c r="F159" t="str">
        <f>ankomster!J159</f>
        <v>-</v>
      </c>
      <c r="G159" t="str">
        <f>IFERROR(VLOOKUP(F159,Database!$A$2:$M$188,2,FALSE),"-")</f>
        <v>-</v>
      </c>
      <c r="H159" t="str">
        <f>ankomster!O159</f>
        <v>-</v>
      </c>
      <c r="I159" t="str">
        <f>IFERROR(VLOOKUP(H159,Database!$A$2:$M$188,2,FALSE),"-")</f>
        <v>-</v>
      </c>
      <c r="J159" s="74" t="str">
        <f>ankomster!T159</f>
        <v>-</v>
      </c>
      <c r="K159" t="str">
        <f>IFERROR(VLOOKUP(J159,Database!$A$2:$M$188,2,FALSE),"-")</f>
        <v>-</v>
      </c>
      <c r="L159" t="str">
        <f>ankomster!Y159</f>
        <v>-</v>
      </c>
      <c r="M159" t="str">
        <f>IFERROR(VLOOKUP(L159,Database!$A$2:$M$188,2,FALSE),"-")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IFERROR(VLOOKUP(D160,Database!$A$2:$M$188,2,FALSE),"-")</f>
        <v>-</v>
      </c>
      <c r="F160" t="str">
        <f>ankomster!J160</f>
        <v>-</v>
      </c>
      <c r="G160" t="str">
        <f>IFERROR(VLOOKUP(F160,Database!$A$2:$M$188,2,FALSE),"-")</f>
        <v>-</v>
      </c>
      <c r="H160" t="str">
        <f>ankomster!O160</f>
        <v>-</v>
      </c>
      <c r="I160" t="str">
        <f>IFERROR(VLOOKUP(H160,Database!$A$2:$M$188,2,FALSE),"-")</f>
        <v>-</v>
      </c>
      <c r="J160" s="74" t="str">
        <f>ankomster!T160</f>
        <v>-</v>
      </c>
      <c r="K160" t="str">
        <f>IFERROR(VLOOKUP(J160,Database!$A$2:$M$188,2,FALSE),"-")</f>
        <v>-</v>
      </c>
      <c r="L160" t="str">
        <f>ankomster!Y160</f>
        <v>-</v>
      </c>
      <c r="M160" t="str">
        <f>IFERROR(VLOOKUP(L160,Database!$A$2:$M$188,2,FALSE),"-")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IFERROR(VLOOKUP(D161,Database!$A$2:$M$188,2,FALSE),"-")</f>
        <v>-</v>
      </c>
      <c r="F161" t="str">
        <f>ankomster!J161</f>
        <v>-</v>
      </c>
      <c r="G161" t="str">
        <f>IFERROR(VLOOKUP(F161,Database!$A$2:$M$188,2,FALSE),"-")</f>
        <v>-</v>
      </c>
      <c r="H161" t="str">
        <f>ankomster!O161</f>
        <v>-</v>
      </c>
      <c r="I161" t="str">
        <f>IFERROR(VLOOKUP(H161,Database!$A$2:$M$188,2,FALSE),"-")</f>
        <v>-</v>
      </c>
      <c r="J161" s="74" t="str">
        <f>ankomster!T161</f>
        <v>-</v>
      </c>
      <c r="K161" t="str">
        <f>IFERROR(VLOOKUP(J161,Database!$A$2:$M$188,2,FALSE),"-")</f>
        <v>-</v>
      </c>
      <c r="L161" t="str">
        <f>ankomster!Y161</f>
        <v>-</v>
      </c>
      <c r="M161" t="str">
        <f>IFERROR(VLOOKUP(L161,Database!$A$2:$M$188,2,FALSE),"-")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IFERROR(VLOOKUP(D162,Database!$A$2:$M$188,2,FALSE),"-")</f>
        <v>-</v>
      </c>
      <c r="F162" t="str">
        <f>ankomster!J162</f>
        <v>-</v>
      </c>
      <c r="G162" t="str">
        <f>IFERROR(VLOOKUP(F162,Database!$A$2:$M$188,2,FALSE),"-")</f>
        <v>-</v>
      </c>
      <c r="H162" t="str">
        <f>ankomster!O162</f>
        <v>-</v>
      </c>
      <c r="I162" t="str">
        <f>IFERROR(VLOOKUP(H162,Database!$A$2:$M$188,2,FALSE),"-")</f>
        <v>-</v>
      </c>
      <c r="J162" s="74" t="str">
        <f>ankomster!T162</f>
        <v>-</v>
      </c>
      <c r="K162" t="str">
        <f>IFERROR(VLOOKUP(J162,Database!$A$2:$M$188,2,FALSE),"-")</f>
        <v>-</v>
      </c>
      <c r="L162" t="str">
        <f>ankomster!Y162</f>
        <v>-</v>
      </c>
      <c r="M162" t="str">
        <f>IFERROR(VLOOKUP(L162,Database!$A$2:$M$188,2,FALSE),"-")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IFERROR(VLOOKUP(D163,Database!$A$2:$M$188,2,FALSE),"-")</f>
        <v>-</v>
      </c>
      <c r="F163" t="str">
        <f>ankomster!J163</f>
        <v>-</v>
      </c>
      <c r="G163" t="str">
        <f>IFERROR(VLOOKUP(F163,Database!$A$2:$M$188,2,FALSE),"-")</f>
        <v>-</v>
      </c>
      <c r="H163" t="str">
        <f>ankomster!O163</f>
        <v>-</v>
      </c>
      <c r="I163" t="str">
        <f>IFERROR(VLOOKUP(H163,Database!$A$2:$M$188,2,FALSE),"-")</f>
        <v>-</v>
      </c>
      <c r="J163" s="74" t="str">
        <f>ankomster!T163</f>
        <v>-</v>
      </c>
      <c r="K163" t="str">
        <f>IFERROR(VLOOKUP(J163,Database!$A$2:$M$188,2,FALSE),"-")</f>
        <v>-</v>
      </c>
      <c r="L163" t="str">
        <f>ankomster!Y163</f>
        <v>-</v>
      </c>
      <c r="M163" t="str">
        <f>IFERROR(VLOOKUP(L163,Database!$A$2:$M$188,2,FALSE),"-")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IFERROR(VLOOKUP(D164,Database!$A$2:$M$188,2,FALSE),"-")</f>
        <v>-</v>
      </c>
      <c r="F164" t="str">
        <f>ankomster!J164</f>
        <v>-</v>
      </c>
      <c r="G164" t="str">
        <f>IFERROR(VLOOKUP(F164,Database!$A$2:$M$188,2,FALSE),"-")</f>
        <v>-</v>
      </c>
      <c r="H164" t="str">
        <f>ankomster!O164</f>
        <v>-</v>
      </c>
      <c r="I164" t="str">
        <f>IFERROR(VLOOKUP(H164,Database!$A$2:$M$188,2,FALSE),"-")</f>
        <v>-</v>
      </c>
      <c r="J164" s="74" t="str">
        <f>ankomster!T164</f>
        <v>-</v>
      </c>
      <c r="K164" t="str">
        <f>IFERROR(VLOOKUP(J164,Database!$A$2:$M$188,2,FALSE),"-")</f>
        <v>-</v>
      </c>
      <c r="L164" t="str">
        <f>ankomster!Y164</f>
        <v>-</v>
      </c>
      <c r="M164" t="str">
        <f>IFERROR(VLOOKUP(L164,Database!$A$2:$M$188,2,FALSE),"-")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IFERROR(VLOOKUP(D165,Database!$A$2:$M$188,2,FALSE),"-")</f>
        <v>-</v>
      </c>
      <c r="F165" t="str">
        <f>ankomster!J165</f>
        <v>-</v>
      </c>
      <c r="G165" t="str">
        <f>IFERROR(VLOOKUP(F165,Database!$A$2:$M$188,2,FALSE),"-")</f>
        <v>-</v>
      </c>
      <c r="H165" t="str">
        <f>ankomster!O165</f>
        <v>-</v>
      </c>
      <c r="I165" t="str">
        <f>IFERROR(VLOOKUP(H165,Database!$A$2:$M$188,2,FALSE),"-")</f>
        <v>-</v>
      </c>
      <c r="J165" s="74" t="str">
        <f>ankomster!T165</f>
        <v>-</v>
      </c>
      <c r="K165" t="str">
        <f>IFERROR(VLOOKUP(J165,Database!$A$2:$M$188,2,FALSE),"-")</f>
        <v>-</v>
      </c>
      <c r="L165" t="str">
        <f>ankomster!Y165</f>
        <v>-</v>
      </c>
      <c r="M165" t="str">
        <f>IFERROR(VLOOKUP(L165,Database!$A$2:$M$188,2,FALSE),"-")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IFERROR(VLOOKUP(D166,Database!$A$2:$M$188,2,FALSE),"-")</f>
        <v>-</v>
      </c>
      <c r="F166" t="str">
        <f>ankomster!J166</f>
        <v>-</v>
      </c>
      <c r="G166" t="str">
        <f>IFERROR(VLOOKUP(F166,Database!$A$2:$M$188,2,FALSE),"-")</f>
        <v>-</v>
      </c>
      <c r="H166" t="str">
        <f>ankomster!O166</f>
        <v>-</v>
      </c>
      <c r="I166" t="str">
        <f>IFERROR(VLOOKUP(H166,Database!$A$2:$M$188,2,FALSE),"-")</f>
        <v>-</v>
      </c>
      <c r="J166" s="74" t="str">
        <f>ankomster!T166</f>
        <v>-</v>
      </c>
      <c r="K166" t="str">
        <f>IFERROR(VLOOKUP(J166,Database!$A$2:$M$188,2,FALSE),"-")</f>
        <v>-</v>
      </c>
      <c r="L166" t="str">
        <f>ankomster!Y166</f>
        <v>-</v>
      </c>
      <c r="M166" t="str">
        <f>IFERROR(VLOOKUP(L166,Database!$A$2:$M$188,2,FALSE),"-")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IFERROR(VLOOKUP(D167,Database!$A$2:$M$188,2,FALSE),"-")</f>
        <v>-</v>
      </c>
      <c r="F167" t="str">
        <f>ankomster!J167</f>
        <v>-</v>
      </c>
      <c r="G167" t="str">
        <f>IFERROR(VLOOKUP(F167,Database!$A$2:$M$188,2,FALSE),"-")</f>
        <v>-</v>
      </c>
      <c r="H167" t="str">
        <f>ankomster!O167</f>
        <v>-</v>
      </c>
      <c r="I167" t="str">
        <f>IFERROR(VLOOKUP(H167,Database!$A$2:$M$188,2,FALSE),"-")</f>
        <v>-</v>
      </c>
      <c r="J167" s="74" t="str">
        <f>ankomster!T167</f>
        <v>-</v>
      </c>
      <c r="K167" t="str">
        <f>IFERROR(VLOOKUP(J167,Database!$A$2:$M$188,2,FALSE),"-")</f>
        <v>-</v>
      </c>
      <c r="L167" t="str">
        <f>ankomster!Y167</f>
        <v>-</v>
      </c>
      <c r="M167" t="str">
        <f>IFERROR(VLOOKUP(L167,Database!$A$2:$M$188,2,FALSE),"-")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IFERROR(VLOOKUP(D168,Database!$A$2:$M$188,2,FALSE),"-")</f>
        <v>-</v>
      </c>
      <c r="F168" t="str">
        <f>ankomster!J168</f>
        <v>-</v>
      </c>
      <c r="G168" t="str">
        <f>IFERROR(VLOOKUP(F168,Database!$A$2:$M$188,2,FALSE),"-")</f>
        <v>-</v>
      </c>
      <c r="H168" t="str">
        <f>ankomster!O168</f>
        <v>-</v>
      </c>
      <c r="I168" t="str">
        <f>IFERROR(VLOOKUP(H168,Database!$A$2:$M$188,2,FALSE),"-")</f>
        <v>-</v>
      </c>
      <c r="J168" s="74" t="str">
        <f>ankomster!T168</f>
        <v>-</v>
      </c>
      <c r="K168" t="str">
        <f>IFERROR(VLOOKUP(J168,Database!$A$2:$M$188,2,FALSE),"-")</f>
        <v>-</v>
      </c>
      <c r="L168" t="str">
        <f>ankomster!Y168</f>
        <v>-</v>
      </c>
      <c r="M168" t="str">
        <f>IFERROR(VLOOKUP(L168,Database!$A$2:$M$188,2,FALSE),"-")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IFERROR(VLOOKUP(D169,Database!$A$2:$M$188,2,FALSE),"-")</f>
        <v>-</v>
      </c>
      <c r="F169" t="str">
        <f>ankomster!J169</f>
        <v>-</v>
      </c>
      <c r="G169" t="str">
        <f>IFERROR(VLOOKUP(F169,Database!$A$2:$M$188,2,FALSE),"-")</f>
        <v>-</v>
      </c>
      <c r="H169" t="str">
        <f>ankomster!O169</f>
        <v>-</v>
      </c>
      <c r="I169" t="str">
        <f>IFERROR(VLOOKUP(H169,Database!$A$2:$M$188,2,FALSE),"-")</f>
        <v>-</v>
      </c>
      <c r="J169" s="74" t="str">
        <f>ankomster!T169</f>
        <v>-</v>
      </c>
      <c r="K169" t="str">
        <f>IFERROR(VLOOKUP(J169,Database!$A$2:$M$188,2,FALSE),"-")</f>
        <v>-</v>
      </c>
      <c r="L169" t="str">
        <f>ankomster!Y169</f>
        <v>-</v>
      </c>
      <c r="M169" t="str">
        <f>IFERROR(VLOOKUP(L169,Database!$A$2:$M$188,2,FALSE),"-")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IFERROR(VLOOKUP(D170,Database!$A$2:$M$188,2,FALSE),"-")</f>
        <v>-</v>
      </c>
      <c r="F170" t="str">
        <f>ankomster!J170</f>
        <v>-</v>
      </c>
      <c r="G170" t="str">
        <f>IFERROR(VLOOKUP(F170,Database!$A$2:$M$188,2,FALSE),"-")</f>
        <v>-</v>
      </c>
      <c r="H170" t="str">
        <f>ankomster!O170</f>
        <v>-</v>
      </c>
      <c r="I170" t="str">
        <f>IFERROR(VLOOKUP(H170,Database!$A$2:$M$188,2,FALSE),"-")</f>
        <v>-</v>
      </c>
      <c r="J170" s="74" t="str">
        <f>ankomster!T170</f>
        <v>-</v>
      </c>
      <c r="K170" t="str">
        <f>IFERROR(VLOOKUP(J170,Database!$A$2:$M$188,2,FALSE),"-")</f>
        <v>-</v>
      </c>
      <c r="L170" t="str">
        <f>ankomster!Y170</f>
        <v>-</v>
      </c>
      <c r="M170" t="str">
        <f>IFERROR(VLOOKUP(L170,Database!$A$2:$M$188,2,FALSE),"-")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IFERROR(VLOOKUP(D171,Database!$A$2:$M$188,2,FALSE),"-")</f>
        <v>-</v>
      </c>
      <c r="F171" t="str">
        <f>ankomster!J171</f>
        <v>-</v>
      </c>
      <c r="G171" t="str">
        <f>IFERROR(VLOOKUP(F171,Database!$A$2:$M$188,2,FALSE),"-")</f>
        <v>-</v>
      </c>
      <c r="H171" t="str">
        <f>ankomster!O171</f>
        <v>-</v>
      </c>
      <c r="I171" t="str">
        <f>IFERROR(VLOOKUP(H171,Database!$A$2:$M$188,2,FALSE),"-")</f>
        <v>-</v>
      </c>
      <c r="J171" s="74" t="str">
        <f>ankomster!T171</f>
        <v>-</v>
      </c>
      <c r="K171" t="str">
        <f>IFERROR(VLOOKUP(J171,Database!$A$2:$M$188,2,FALSE),"-")</f>
        <v>-</v>
      </c>
      <c r="L171" t="str">
        <f>ankomster!Y171</f>
        <v>-</v>
      </c>
      <c r="M171" t="str">
        <f>IFERROR(VLOOKUP(L171,Database!$A$2:$M$188,2,FALSE),"-")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IFERROR(VLOOKUP(D172,Database!$A$2:$M$188,2,FALSE),"-")</f>
        <v>-</v>
      </c>
      <c r="F172" t="str">
        <f>ankomster!J172</f>
        <v>-</v>
      </c>
      <c r="G172" t="str">
        <f>IFERROR(VLOOKUP(F172,Database!$A$2:$M$188,2,FALSE),"-")</f>
        <v>-</v>
      </c>
      <c r="H172" t="str">
        <f>ankomster!O172</f>
        <v>-</v>
      </c>
      <c r="I172" t="str">
        <f>IFERROR(VLOOKUP(H172,Database!$A$2:$M$188,2,FALSE),"-")</f>
        <v>-</v>
      </c>
      <c r="J172" s="74" t="str">
        <f>ankomster!T172</f>
        <v>-</v>
      </c>
      <c r="K172" t="str">
        <f>IFERROR(VLOOKUP(J172,Database!$A$2:$M$188,2,FALSE),"-")</f>
        <v>-</v>
      </c>
      <c r="L172" t="str">
        <f>ankomster!Y172</f>
        <v>-</v>
      </c>
      <c r="M172" t="str">
        <f>IFERROR(VLOOKUP(L172,Database!$A$2:$M$188,2,FALSE),"-")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IFERROR(VLOOKUP(D173,Database!$A$2:$M$188,2,FALSE),"-")</f>
        <v>-</v>
      </c>
      <c r="F173" t="str">
        <f>ankomster!J173</f>
        <v>-</v>
      </c>
      <c r="G173" t="str">
        <f>IFERROR(VLOOKUP(F173,Database!$A$2:$M$188,2,FALSE),"-")</f>
        <v>-</v>
      </c>
      <c r="H173" t="str">
        <f>ankomster!O173</f>
        <v>-</v>
      </c>
      <c r="I173" t="str">
        <f>IFERROR(VLOOKUP(H173,Database!$A$2:$M$188,2,FALSE),"-")</f>
        <v>-</v>
      </c>
      <c r="J173" s="74" t="str">
        <f>ankomster!T173</f>
        <v>-</v>
      </c>
      <c r="K173" t="str">
        <f>IFERROR(VLOOKUP(J173,Database!$A$2:$M$188,2,FALSE),"-")</f>
        <v>-</v>
      </c>
      <c r="L173" t="str">
        <f>ankomster!Y173</f>
        <v>-</v>
      </c>
      <c r="M173" t="str">
        <f>IFERROR(VLOOKUP(L173,Database!$A$2:$M$188,2,FALSE),"-")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IFERROR(VLOOKUP(D174,Database!$A$2:$M$188,2,FALSE),"-")</f>
        <v>-</v>
      </c>
      <c r="F174" t="str">
        <f>ankomster!J174</f>
        <v>-</v>
      </c>
      <c r="G174" t="str">
        <f>IFERROR(VLOOKUP(F174,Database!$A$2:$M$188,2,FALSE),"-")</f>
        <v>-</v>
      </c>
      <c r="H174" t="str">
        <f>ankomster!O174</f>
        <v>-</v>
      </c>
      <c r="I174" t="str">
        <f>IFERROR(VLOOKUP(H174,Database!$A$2:$M$188,2,FALSE),"-")</f>
        <v>-</v>
      </c>
      <c r="J174" s="74" t="str">
        <f>ankomster!T174</f>
        <v>-</v>
      </c>
      <c r="K174" t="str">
        <f>IFERROR(VLOOKUP(J174,Database!$A$2:$M$188,2,FALSE),"-")</f>
        <v>-</v>
      </c>
      <c r="L174" t="str">
        <f>ankomster!Y174</f>
        <v>-</v>
      </c>
      <c r="M174" t="str">
        <f>IFERROR(VLOOKUP(L174,Database!$A$2:$M$188,2,FALSE),"-")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Database!R2</f>
        <v>Y</v>
      </c>
      <c r="C2" s="2">
        <f>IF(B2="Y",E2,)</f>
        <v>2</v>
      </c>
      <c r="D2" s="2">
        <f>IF(B2="Y",Database!L2,"-")</f>
        <v>1</v>
      </c>
      <c r="E2" s="2">
        <f>IF(AND(D2&gt;1,B2="Y"),Database!M2/D2,Database!M2)</f>
        <v>2</v>
      </c>
    </row>
    <row r="3" spans="1:5" x14ac:dyDescent="0.3">
      <c r="A3">
        <f>Database!A3</f>
        <v>2</v>
      </c>
      <c r="B3" s="2">
        <f>Database!R3</f>
        <v>0</v>
      </c>
      <c r="C3" s="2" t="str">
        <f t="shared" ref="C3:C33" si="0">IF(B3="Y",E3,"-")</f>
        <v>-</v>
      </c>
      <c r="D3" s="2" t="str">
        <f>IF(B3="Y",Database!L3,"-")</f>
        <v>-</v>
      </c>
      <c r="E3" s="2">
        <f>IF(AND(D3&gt;1,B3="Y"),Database!M3/D3,Database!M3)</f>
        <v>0</v>
      </c>
    </row>
    <row r="4" spans="1:5" x14ac:dyDescent="0.3">
      <c r="A4">
        <f>Database!A4</f>
        <v>3</v>
      </c>
      <c r="B4" s="2">
        <f>Database!R4</f>
        <v>0</v>
      </c>
      <c r="C4" s="2" t="str">
        <f t="shared" si="0"/>
        <v>-</v>
      </c>
      <c r="D4" s="2" t="str">
        <f>IF(B4="Y",Database!L4,"-")</f>
        <v>-</v>
      </c>
      <c r="E4" s="2">
        <f>IF(AND(D4&gt;1,B4="Y"),Database!M4/D4,Database!M4)</f>
        <v>0</v>
      </c>
    </row>
    <row r="5" spans="1:5" x14ac:dyDescent="0.3">
      <c r="A5">
        <f>Database!A5</f>
        <v>4</v>
      </c>
      <c r="B5" s="2" t="str">
        <f>Database!R5</f>
        <v>Y</v>
      </c>
      <c r="C5" s="2">
        <f t="shared" si="0"/>
        <v>2</v>
      </c>
      <c r="D5" s="2">
        <f>IF(B5="Y",Database!L5,"-")</f>
        <v>2</v>
      </c>
      <c r="E5" s="2">
        <f>IF(AND(D5&gt;1,B5="Y"),Database!M5/D5,Database!M5)</f>
        <v>2</v>
      </c>
    </row>
    <row r="6" spans="1:5" x14ac:dyDescent="0.3">
      <c r="A6">
        <f>Database!A7</f>
        <v>5</v>
      </c>
      <c r="B6" s="2" t="str">
        <f>Database!R7</f>
        <v>Y</v>
      </c>
      <c r="C6" s="2">
        <f t="shared" si="0"/>
        <v>2</v>
      </c>
      <c r="D6" s="2">
        <f>IF(B6="Y",Database!L7,"-")</f>
        <v>1</v>
      </c>
      <c r="E6" s="2">
        <f>IF(AND(D6&gt;1,B6="Y"),Database!M7/D6,Database!M7)</f>
        <v>2</v>
      </c>
    </row>
    <row r="7" spans="1:5" x14ac:dyDescent="0.3">
      <c r="A7">
        <f>Database!A8</f>
        <v>6</v>
      </c>
      <c r="B7" s="2" t="str">
        <f>Database!R8</f>
        <v>Y</v>
      </c>
      <c r="C7" s="2">
        <f t="shared" si="0"/>
        <v>2</v>
      </c>
      <c r="D7" s="2">
        <f>IF(B7="Y",Database!L8,"-")</f>
        <v>2</v>
      </c>
      <c r="E7" s="2">
        <f>IF(AND(D7&gt;1,B7="Y"),Database!M8/D7,Database!M8)</f>
        <v>2</v>
      </c>
    </row>
    <row r="8" spans="1:5" x14ac:dyDescent="0.3">
      <c r="A8">
        <f>Database!A11</f>
        <v>7</v>
      </c>
      <c r="B8" s="2" t="str">
        <f>Database!R11</f>
        <v>N</v>
      </c>
      <c r="C8" s="2" t="str">
        <f t="shared" si="0"/>
        <v>-</v>
      </c>
      <c r="D8" s="2" t="str">
        <f>IF(B8="Y",Database!L11,"-")</f>
        <v>-</v>
      </c>
      <c r="E8" s="2">
        <f>IF(AND(D8&gt;1,B8="Y"),Database!M11/D8,Database!M11)</f>
        <v>2</v>
      </c>
    </row>
    <row r="9" spans="1:5" x14ac:dyDescent="0.3">
      <c r="A9">
        <f>Database!A12</f>
        <v>8</v>
      </c>
      <c r="B9" s="2" t="str">
        <f>Database!R12</f>
        <v>Y</v>
      </c>
      <c r="C9" s="2">
        <f t="shared" si="0"/>
        <v>2</v>
      </c>
      <c r="D9" s="2">
        <f>IF(B9="Y",Database!L12,"-")</f>
        <v>1</v>
      </c>
      <c r="E9" s="2">
        <f>IF(AND(D9&gt;1,B9="Y"),Database!M12/D9,Database!M12)</f>
        <v>2</v>
      </c>
    </row>
    <row r="10" spans="1:5" x14ac:dyDescent="0.3">
      <c r="A10">
        <f>Database!A13</f>
        <v>9</v>
      </c>
      <c r="B10" s="2" t="str">
        <f>Database!R13</f>
        <v>Y</v>
      </c>
      <c r="C10" s="2">
        <f t="shared" si="0"/>
        <v>2</v>
      </c>
      <c r="D10" s="2">
        <f>IF(B10="Y",Database!L13,"-")</f>
        <v>1</v>
      </c>
      <c r="E10" s="2">
        <f>IF(AND(D10&gt;1,B10="Y"),Database!M13/D10,Database!M13)</f>
        <v>2</v>
      </c>
    </row>
    <row r="11" spans="1:5" x14ac:dyDescent="0.3">
      <c r="A11">
        <f>Database!A14</f>
        <v>10</v>
      </c>
      <c r="B11" s="2" t="str">
        <f>Database!R14</f>
        <v>Y</v>
      </c>
      <c r="C11" s="2">
        <f t="shared" si="0"/>
        <v>2</v>
      </c>
      <c r="D11" s="2">
        <f>IF(B11="Y",Database!L14,"-")</f>
        <v>1</v>
      </c>
      <c r="E11" s="2">
        <f>IF(AND(D11&gt;1,B11="Y"),Database!M14/D11,Database!M14)</f>
        <v>2</v>
      </c>
    </row>
    <row r="12" spans="1:5" x14ac:dyDescent="0.3">
      <c r="A12">
        <f>Database!A15</f>
        <v>11</v>
      </c>
      <c r="B12" s="2">
        <f>Database!R15</f>
        <v>0</v>
      </c>
      <c r="C12" s="2" t="str">
        <f t="shared" si="0"/>
        <v>-</v>
      </c>
      <c r="D12" s="2" t="str">
        <f>IF(B12="Y",Database!L15,"-")</f>
        <v>-</v>
      </c>
      <c r="E12" s="2">
        <f>IF(AND(D12&gt;1,B12="Y"),Database!M15/D12,Database!M15)</f>
        <v>0</v>
      </c>
    </row>
    <row r="13" spans="1:5" x14ac:dyDescent="0.3">
      <c r="A13">
        <f>Database!A16</f>
        <v>12</v>
      </c>
      <c r="B13" s="2" t="str">
        <f>Database!R16</f>
        <v>Y</v>
      </c>
      <c r="C13" s="2">
        <f t="shared" si="0"/>
        <v>2</v>
      </c>
      <c r="D13" s="2">
        <f>IF(B13="Y",Database!L16,"-")</f>
        <v>1</v>
      </c>
      <c r="E13" s="2">
        <f>IF(AND(D13&gt;1,B13="Y"),Database!M16/D13,Database!M16)</f>
        <v>2</v>
      </c>
    </row>
    <row r="14" spans="1:5" x14ac:dyDescent="0.3">
      <c r="A14">
        <f>Database!A17</f>
        <v>13</v>
      </c>
      <c r="B14" s="2" t="str">
        <f>Database!R17</f>
        <v>Y</v>
      </c>
      <c r="C14" s="2">
        <f t="shared" si="0"/>
        <v>2</v>
      </c>
      <c r="D14" s="2">
        <f>IF(B14="Y",Database!L17,"-")</f>
        <v>1</v>
      </c>
      <c r="E14" s="2">
        <f>IF(AND(D14&gt;1,B14="Y"),Database!M17/D14,Database!M17)</f>
        <v>2</v>
      </c>
    </row>
    <row r="15" spans="1:5" x14ac:dyDescent="0.3">
      <c r="A15">
        <f>Database!A18</f>
        <v>14</v>
      </c>
      <c r="B15" s="2" t="str">
        <f>Database!R18</f>
        <v>Y</v>
      </c>
      <c r="C15" s="2">
        <f t="shared" si="0"/>
        <v>2</v>
      </c>
      <c r="D15" s="2">
        <f>IF(B15="Y",Database!L18,"-")</f>
        <v>1</v>
      </c>
      <c r="E15" s="2">
        <f>IF(AND(D15&gt;1,B15="Y"),Database!M18/D15,Database!M18)</f>
        <v>2</v>
      </c>
    </row>
    <row r="16" spans="1:5" x14ac:dyDescent="0.3">
      <c r="A16">
        <f>Database!A19</f>
        <v>15</v>
      </c>
      <c r="B16" s="2" t="str">
        <f>Database!R19</f>
        <v>Y</v>
      </c>
      <c r="C16" s="2">
        <f t="shared" si="0"/>
        <v>2</v>
      </c>
      <c r="D16" s="2">
        <f>IF(B16="Y",Database!L19,"-")</f>
        <v>1</v>
      </c>
      <c r="E16" s="2">
        <f>IF(AND(D16&gt;1,B16="Y"),Database!M19/D16,Database!M19)</f>
        <v>2</v>
      </c>
    </row>
    <row r="17" spans="1:5" x14ac:dyDescent="0.3">
      <c r="A17">
        <f>Database!A20</f>
        <v>16</v>
      </c>
      <c r="B17" s="2" t="str">
        <f>Database!R20</f>
        <v>Y</v>
      </c>
      <c r="C17" s="2">
        <f t="shared" si="0"/>
        <v>2</v>
      </c>
      <c r="D17" s="2">
        <f>IF(B17="Y",Database!L20,"-")</f>
        <v>2</v>
      </c>
      <c r="E17" s="2">
        <f>IF(AND(D17&gt;1,B17="Y"),Database!M20/D17,Database!M20)</f>
        <v>2</v>
      </c>
    </row>
    <row r="18" spans="1:5" x14ac:dyDescent="0.3">
      <c r="A18">
        <f>Database!A22</f>
        <v>17</v>
      </c>
      <c r="B18" s="2" t="str">
        <f>Database!R22</f>
        <v>Y</v>
      </c>
      <c r="C18" s="2">
        <f t="shared" si="0"/>
        <v>2</v>
      </c>
      <c r="D18" s="2">
        <f>IF(B18="Y",Database!L22,"-")</f>
        <v>1</v>
      </c>
      <c r="E18" s="2">
        <f>IF(AND(D18&gt;1,B18="Y"),Database!M22/D18,Database!M22)</f>
        <v>2</v>
      </c>
    </row>
    <row r="19" spans="1:5" x14ac:dyDescent="0.3">
      <c r="A19">
        <f>Database!A23</f>
        <v>18</v>
      </c>
      <c r="B19" s="2" t="str">
        <f>Database!R23</f>
        <v>Y</v>
      </c>
      <c r="C19" s="2">
        <f t="shared" si="0"/>
        <v>2</v>
      </c>
      <c r="D19" s="2">
        <f>IF(B19="Y",Database!L23,"-")</f>
        <v>1</v>
      </c>
      <c r="E19" s="2">
        <f>IF(AND(D19&gt;1,B19="Y"),Database!M23/D19,Database!M23)</f>
        <v>2</v>
      </c>
    </row>
    <row r="20" spans="1:5" x14ac:dyDescent="0.3">
      <c r="A20">
        <f>Database!A24</f>
        <v>19</v>
      </c>
      <c r="B20" s="2" t="str">
        <f>Database!R24</f>
        <v>Y</v>
      </c>
      <c r="C20" s="2">
        <f t="shared" si="0"/>
        <v>1</v>
      </c>
      <c r="D20" s="2">
        <f>IF(B20="Y",Database!L24,"-")</f>
        <v>1</v>
      </c>
      <c r="E20" s="2">
        <f>IF(AND(D20&gt;1,B20="Y"),Database!M24/D20,Database!M24)</f>
        <v>1</v>
      </c>
    </row>
    <row r="21" spans="1:5" x14ac:dyDescent="0.3">
      <c r="A21">
        <f>Database!A25</f>
        <v>20</v>
      </c>
      <c r="B21" s="2" t="str">
        <f>Database!R25</f>
        <v>Y</v>
      </c>
      <c r="C21" s="2">
        <f t="shared" si="0"/>
        <v>2</v>
      </c>
      <c r="D21" s="2">
        <f>IF(B21="Y",Database!L25,"-")</f>
        <v>3</v>
      </c>
      <c r="E21" s="2">
        <f>IF(AND(D21&gt;1,B21="Y"),Database!M25/D21,Database!M25)</f>
        <v>2</v>
      </c>
    </row>
    <row r="22" spans="1:5" x14ac:dyDescent="0.3">
      <c r="A22">
        <f>Database!A28</f>
        <v>21</v>
      </c>
      <c r="B22" s="2" t="str">
        <f>Database!R28</f>
        <v>Y</v>
      </c>
      <c r="C22" s="2">
        <f t="shared" si="0"/>
        <v>2</v>
      </c>
      <c r="D22" s="2">
        <f>IF(B22="Y",Database!L28,"-")</f>
        <v>1</v>
      </c>
      <c r="E22" s="2">
        <f>IF(AND(D22&gt;1,B22="Y"),Database!M28/D22,Database!M28)</f>
        <v>2</v>
      </c>
    </row>
    <row r="23" spans="1:5" x14ac:dyDescent="0.3">
      <c r="A23">
        <f>Database!A29</f>
        <v>22</v>
      </c>
      <c r="B23" s="2" t="str">
        <f>Database!R29</f>
        <v>Y</v>
      </c>
      <c r="C23" s="2">
        <f t="shared" si="0"/>
        <v>2</v>
      </c>
      <c r="D23" s="2">
        <f>IF(B23="Y",Database!L29,"-")</f>
        <v>1</v>
      </c>
      <c r="E23" s="2">
        <f>IF(AND(D23&gt;1,B23="Y"),Database!M29/D23,Database!M29)</f>
        <v>2</v>
      </c>
    </row>
    <row r="24" spans="1:5" x14ac:dyDescent="0.3">
      <c r="A24">
        <f>Database!A30</f>
        <v>23</v>
      </c>
      <c r="B24" s="2" t="str">
        <f>Database!R30</f>
        <v>Y</v>
      </c>
      <c r="C24" s="2">
        <f t="shared" si="0"/>
        <v>2</v>
      </c>
      <c r="D24" s="2">
        <f>IF(B24="Y",Database!L30,"-")</f>
        <v>1</v>
      </c>
      <c r="E24" s="2">
        <f>IF(AND(D24&gt;1,B24="Y"),Database!M30/D24,Database!M30)</f>
        <v>2</v>
      </c>
    </row>
    <row r="25" spans="1:5" x14ac:dyDescent="0.3">
      <c r="A25">
        <f>Database!A31</f>
        <v>24</v>
      </c>
      <c r="B25" s="2" t="str">
        <f>Database!R31</f>
        <v>Y</v>
      </c>
      <c r="C25" s="2">
        <f t="shared" si="0"/>
        <v>2</v>
      </c>
      <c r="D25" s="2">
        <f>IF(B25="Y",Database!L31,"-")</f>
        <v>1</v>
      </c>
      <c r="E25" s="2">
        <f>IF(AND(D25&gt;1,B25="Y"),Database!M31/D25,Database!M31)</f>
        <v>2</v>
      </c>
    </row>
    <row r="26" spans="1:5" x14ac:dyDescent="0.3">
      <c r="A26">
        <f>Database!A32</f>
        <v>25</v>
      </c>
      <c r="B26" s="2" t="str">
        <f>Database!R32</f>
        <v>N</v>
      </c>
      <c r="C26" s="2" t="str">
        <f t="shared" si="0"/>
        <v>-</v>
      </c>
      <c r="D26" s="2" t="str">
        <f>IF(B26="Y",Database!L32,"-")</f>
        <v>-</v>
      </c>
      <c r="E26" s="2">
        <f>IF(AND(D26&gt;1,B26="Y"),Database!M32/D26,Database!M32)</f>
        <v>1</v>
      </c>
    </row>
    <row r="27" spans="1:5" x14ac:dyDescent="0.3">
      <c r="A27">
        <f>Database!A33</f>
        <v>26</v>
      </c>
      <c r="B27" s="2" t="str">
        <f>Database!R33</f>
        <v>Y</v>
      </c>
      <c r="C27" s="2">
        <f t="shared" si="0"/>
        <v>2</v>
      </c>
      <c r="D27" s="2">
        <f>IF(B27="Y",Database!L33,"-")</f>
        <v>1</v>
      </c>
      <c r="E27" s="2">
        <f>IF(AND(D27&gt;1,B27="Y"),Database!M33/D27,Database!M33)</f>
        <v>2</v>
      </c>
    </row>
    <row r="28" spans="1:5" x14ac:dyDescent="0.3">
      <c r="A28">
        <f>Database!A34</f>
        <v>27</v>
      </c>
      <c r="B28" s="2" t="str">
        <f>Database!R34</f>
        <v>Y</v>
      </c>
      <c r="C28" s="2">
        <f t="shared" si="0"/>
        <v>2</v>
      </c>
      <c r="D28" s="2">
        <f>IF(B28="Y",Database!L34,"-")</f>
        <v>1</v>
      </c>
      <c r="E28" s="2">
        <f>IF(AND(D28&gt;1,B28="Y"),Database!M34/D28,Database!M34)</f>
        <v>2</v>
      </c>
    </row>
    <row r="29" spans="1:5" x14ac:dyDescent="0.3">
      <c r="A29">
        <f>Database!A35</f>
        <v>28</v>
      </c>
      <c r="B29" s="2" t="str">
        <f>Database!R35</f>
        <v>Y</v>
      </c>
      <c r="C29" s="2">
        <f t="shared" si="0"/>
        <v>1.5</v>
      </c>
      <c r="D29" s="2">
        <f>IF(B29="Y",Database!L35,"-")</f>
        <v>2</v>
      </c>
      <c r="E29" s="2">
        <f>IF(AND(D29&gt;1,B29="Y"),Database!M35/D29,Database!M35)</f>
        <v>1.5</v>
      </c>
    </row>
    <row r="30" spans="1:5" x14ac:dyDescent="0.3">
      <c r="A30">
        <f>Database!A36</f>
        <v>29</v>
      </c>
      <c r="B30" s="2">
        <f>Database!R36</f>
        <v>0</v>
      </c>
      <c r="C30" s="2" t="str">
        <f t="shared" si="0"/>
        <v>-</v>
      </c>
      <c r="D30" s="2" t="str">
        <f>IF(B30="Y",Database!L36,"-")</f>
        <v>-</v>
      </c>
      <c r="E30" s="2">
        <f>IF(AND(D30&gt;1,B30="Y"),Database!M36/D30,Database!M36)</f>
        <v>0</v>
      </c>
    </row>
    <row r="31" spans="1:5" x14ac:dyDescent="0.3">
      <c r="A31">
        <f>Database!A38</f>
        <v>30</v>
      </c>
      <c r="B31" s="2" t="str">
        <f>Database!R38</f>
        <v>Y</v>
      </c>
      <c r="C31" s="2">
        <f t="shared" si="0"/>
        <v>2</v>
      </c>
      <c r="D31" s="2">
        <f>IF(B31="Y",Database!L38,"-")</f>
        <v>1</v>
      </c>
      <c r="E31" s="2">
        <f>IF(AND(D31&gt;1,B31="Y"),Database!M38/D31,Database!M38)</f>
        <v>2</v>
      </c>
    </row>
    <row r="32" spans="1:5" x14ac:dyDescent="0.3">
      <c r="A32">
        <f>Database!A39</f>
        <v>31</v>
      </c>
      <c r="B32" s="2" t="str">
        <f>Database!R39</f>
        <v>Y</v>
      </c>
      <c r="C32" s="2">
        <f t="shared" si="0"/>
        <v>1</v>
      </c>
      <c r="D32" s="2">
        <f>IF(B32="Y",Database!L39,"-")</f>
        <v>1</v>
      </c>
      <c r="E32" s="2">
        <f>IF(AND(D32&gt;1,B32="Y"),Database!M39/D32,Database!M39)</f>
        <v>1</v>
      </c>
    </row>
    <row r="33" spans="1:5" x14ac:dyDescent="0.3">
      <c r="A33">
        <f>Database!A40</f>
        <v>32</v>
      </c>
      <c r="B33" s="2" t="str">
        <f>Database!R40</f>
        <v>Y</v>
      </c>
      <c r="C33" s="2">
        <f t="shared" si="0"/>
        <v>2</v>
      </c>
      <c r="D33" s="2">
        <f>IF(B33="Y",Database!L40,"-")</f>
        <v>1</v>
      </c>
      <c r="E33" s="2">
        <f>IF(AND(D33&gt;1,B33="Y"),Database!M40/D33,Database!M40)</f>
        <v>2</v>
      </c>
    </row>
    <row r="34" spans="1:5" x14ac:dyDescent="0.3">
      <c r="A34">
        <f>Database!A41</f>
        <v>33</v>
      </c>
      <c r="B34" s="2" t="str">
        <f>Database!R41</f>
        <v>Y</v>
      </c>
      <c r="C34" s="2">
        <f t="shared" ref="C34:C65" si="1">IF(B34="Y",E34,"-")</f>
        <v>1</v>
      </c>
      <c r="D34" s="2">
        <f>IF(B34="Y",Database!L41,"-")</f>
        <v>1</v>
      </c>
      <c r="E34" s="2">
        <f>IF(AND(D34&gt;1,B34="Y"),Database!M41/D34,Database!M41)</f>
        <v>1</v>
      </c>
    </row>
    <row r="35" spans="1:5" x14ac:dyDescent="0.3">
      <c r="A35">
        <f>Database!A42</f>
        <v>34</v>
      </c>
      <c r="B35" s="2" t="str">
        <f>Database!R42</f>
        <v>Y</v>
      </c>
      <c r="C35" s="2">
        <f t="shared" si="1"/>
        <v>2</v>
      </c>
      <c r="D35" s="2">
        <f>IF(B35="Y",Database!L42,"-")</f>
        <v>1</v>
      </c>
      <c r="E35" s="2">
        <f>IF(AND(D35&gt;1,B35="Y"),Database!M42/D35,Database!M42)</f>
        <v>2</v>
      </c>
    </row>
    <row r="36" spans="1:5" x14ac:dyDescent="0.3">
      <c r="A36">
        <f>Database!A43</f>
        <v>35</v>
      </c>
      <c r="B36" s="2" t="str">
        <f>Database!R43</f>
        <v>Y</v>
      </c>
      <c r="C36" s="2">
        <f t="shared" si="1"/>
        <v>2</v>
      </c>
      <c r="D36" s="2">
        <f>IF(B36="Y",Database!L43,"-")</f>
        <v>1</v>
      </c>
      <c r="E36" s="2">
        <f>IF(AND(D36&gt;1,B36="Y"),Database!M43/D36,Database!M43)</f>
        <v>2</v>
      </c>
    </row>
    <row r="37" spans="1:5" x14ac:dyDescent="0.3">
      <c r="A37">
        <f>Database!A44</f>
        <v>36</v>
      </c>
      <c r="B37" s="2" t="str">
        <f>Database!R44</f>
        <v>N</v>
      </c>
      <c r="C37" s="2" t="str">
        <f t="shared" si="1"/>
        <v>-</v>
      </c>
      <c r="D37" s="2" t="str">
        <f>IF(B37="Y",Database!L44,"-")</f>
        <v>-</v>
      </c>
      <c r="E37" s="2">
        <f>IF(AND(D37&gt;1,B37="Y"),Database!M44/D37,Database!M44)</f>
        <v>4</v>
      </c>
    </row>
    <row r="38" spans="1:5" x14ac:dyDescent="0.3">
      <c r="A38">
        <f>Database!A46</f>
        <v>37</v>
      </c>
      <c r="B38" s="2" t="str">
        <f>Database!R46</f>
        <v>Y</v>
      </c>
      <c r="C38" s="2">
        <f t="shared" si="1"/>
        <v>2</v>
      </c>
      <c r="D38" s="2">
        <f>IF(B38="Y",Database!L46,"-")</f>
        <v>1</v>
      </c>
      <c r="E38" s="2">
        <f>IF(AND(D38&gt;1,B38="Y"),Database!M46/D38,Database!M46)</f>
        <v>2</v>
      </c>
    </row>
    <row r="39" spans="1:5" x14ac:dyDescent="0.3">
      <c r="A39">
        <f>Database!A47</f>
        <v>38</v>
      </c>
      <c r="B39" s="2" t="str">
        <f>Database!R47</f>
        <v>N</v>
      </c>
      <c r="C39" s="2" t="str">
        <f t="shared" si="1"/>
        <v>-</v>
      </c>
      <c r="D39" s="2" t="str">
        <f>IF(B39="Y",Database!L47,"-")</f>
        <v>-</v>
      </c>
      <c r="E39" s="2">
        <f>IF(AND(D39&gt;1,B39="Y"),Database!M47/D39,Database!M47)</f>
        <v>2</v>
      </c>
    </row>
    <row r="40" spans="1:5" x14ac:dyDescent="0.3">
      <c r="A40">
        <f>Database!A48</f>
        <v>39</v>
      </c>
      <c r="B40" s="2">
        <f>Database!R48</f>
        <v>0</v>
      </c>
      <c r="C40" s="2" t="str">
        <f t="shared" si="1"/>
        <v>-</v>
      </c>
      <c r="D40" s="2" t="str">
        <f>IF(B40="Y",Database!L48,"-")</f>
        <v>-</v>
      </c>
      <c r="E40" s="2">
        <f>IF(AND(D40&gt;1,B40="Y"),Database!M48/D40,Database!M48)</f>
        <v>0</v>
      </c>
    </row>
    <row r="41" spans="1:5" x14ac:dyDescent="0.3">
      <c r="A41">
        <f>Database!A49</f>
        <v>40</v>
      </c>
      <c r="B41" s="2">
        <f>Database!R49</f>
        <v>0</v>
      </c>
      <c r="C41" s="2" t="str">
        <f t="shared" si="1"/>
        <v>-</v>
      </c>
      <c r="D41" s="2" t="str">
        <f>IF(B41="Y",Database!L49,"-")</f>
        <v>-</v>
      </c>
      <c r="E41" s="2">
        <f>IF(AND(D41&gt;1,B41="Y"),Database!M49/D41,Database!M49)</f>
        <v>0</v>
      </c>
    </row>
    <row r="42" spans="1:5" x14ac:dyDescent="0.3">
      <c r="A42">
        <f>Database!A50</f>
        <v>41</v>
      </c>
      <c r="B42" s="2" t="str">
        <f>Database!R50</f>
        <v>N</v>
      </c>
      <c r="C42" s="2" t="str">
        <f t="shared" si="1"/>
        <v>-</v>
      </c>
      <c r="D42" s="2" t="str">
        <f>IF(B42="Y",Database!L50,"-")</f>
        <v>-</v>
      </c>
      <c r="E42" s="2">
        <f>IF(AND(D42&gt;1,B42="Y"),Database!M50/D42,Database!M50)</f>
        <v>2</v>
      </c>
    </row>
    <row r="43" spans="1:5" x14ac:dyDescent="0.3">
      <c r="A43">
        <f>Database!A51</f>
        <v>42</v>
      </c>
      <c r="B43" s="2" t="str">
        <f>Database!R51</f>
        <v>N</v>
      </c>
      <c r="C43" s="2" t="str">
        <f t="shared" si="1"/>
        <v>-</v>
      </c>
      <c r="D43" s="2" t="str">
        <f>IF(B43="Y",Database!L51,"-")</f>
        <v>-</v>
      </c>
      <c r="E43" s="2">
        <f>IF(AND(D43&gt;1,B43="Y"),Database!M51/D43,Database!M51)</f>
        <v>1</v>
      </c>
    </row>
    <row r="44" spans="1:5" x14ac:dyDescent="0.3">
      <c r="A44">
        <f>Database!A52</f>
        <v>43</v>
      </c>
      <c r="B44" s="2" t="str">
        <f>Database!R52</f>
        <v>Y</v>
      </c>
      <c r="C44" s="2">
        <f t="shared" si="1"/>
        <v>2</v>
      </c>
      <c r="D44" s="2">
        <f>IF(B44="Y",Database!L52,"-")</f>
        <v>1</v>
      </c>
      <c r="E44" s="2">
        <f>IF(AND(D44&gt;1,B44="Y"),Database!M52/D44,Database!M52)</f>
        <v>2</v>
      </c>
    </row>
    <row r="45" spans="1:5" x14ac:dyDescent="0.3">
      <c r="A45">
        <f>Database!A53</f>
        <v>44</v>
      </c>
      <c r="B45" s="2" t="str">
        <f>Database!R53</f>
        <v>Y</v>
      </c>
      <c r="C45" s="2">
        <f t="shared" si="1"/>
        <v>2</v>
      </c>
      <c r="D45" s="2">
        <f>IF(B45="Y",Database!L53,"-")</f>
        <v>1</v>
      </c>
      <c r="E45" s="2">
        <f>IF(AND(D45&gt;1,B45="Y"),Database!M53/D45,Database!M53)</f>
        <v>2</v>
      </c>
    </row>
    <row r="46" spans="1:5" x14ac:dyDescent="0.3">
      <c r="A46">
        <f>Database!A54</f>
        <v>45</v>
      </c>
      <c r="B46" s="2" t="str">
        <f>Database!R54</f>
        <v>Y</v>
      </c>
      <c r="C46" s="2">
        <f t="shared" si="1"/>
        <v>2</v>
      </c>
      <c r="D46" s="2">
        <f>IF(B46="Y",Database!L54,"-")</f>
        <v>1</v>
      </c>
      <c r="E46" s="2">
        <f>IF(AND(D46&gt;1,B46="Y"),Database!M54/D46,Database!M54)</f>
        <v>2</v>
      </c>
    </row>
    <row r="47" spans="1:5" x14ac:dyDescent="0.3">
      <c r="A47">
        <f>Database!A55</f>
        <v>46</v>
      </c>
      <c r="B47" s="2" t="str">
        <f>Database!R55</f>
        <v>N</v>
      </c>
      <c r="C47" s="2" t="str">
        <f t="shared" si="1"/>
        <v>-</v>
      </c>
      <c r="D47" s="2" t="str">
        <f>IF(B47="Y",Database!L55,"-")</f>
        <v>-</v>
      </c>
      <c r="E47" s="2">
        <f>IF(AND(D47&gt;1,B47="Y"),Database!M55/D47,Database!M55)</f>
        <v>2</v>
      </c>
    </row>
    <row r="48" spans="1:5" x14ac:dyDescent="0.3">
      <c r="A48">
        <f>Database!A56</f>
        <v>47</v>
      </c>
      <c r="B48" s="2" t="str">
        <f>Database!R56</f>
        <v>Y</v>
      </c>
      <c r="C48" s="2">
        <f t="shared" si="1"/>
        <v>2</v>
      </c>
      <c r="D48" s="2">
        <f>IF(B48="Y",Database!L56,"-")</f>
        <v>1</v>
      </c>
      <c r="E48" s="2">
        <f>IF(AND(D48&gt;1,B48="Y"),Database!M56/D48,Database!M56)</f>
        <v>2</v>
      </c>
    </row>
    <row r="49" spans="1:5" x14ac:dyDescent="0.3">
      <c r="A49">
        <f>Database!A57</f>
        <v>48</v>
      </c>
      <c r="B49" s="2">
        <f>Database!R57</f>
        <v>0</v>
      </c>
      <c r="C49" s="2" t="str">
        <f t="shared" si="1"/>
        <v>-</v>
      </c>
      <c r="D49" s="2" t="str">
        <f>IF(B49="Y",Database!L57,"-")</f>
        <v>-</v>
      </c>
      <c r="E49" s="2">
        <f>IF(AND(D49&gt;1,B49="Y"),Database!M57/D49,Database!M57)</f>
        <v>0</v>
      </c>
    </row>
    <row r="50" spans="1:5" x14ac:dyDescent="0.3">
      <c r="A50">
        <f>Database!A58</f>
        <v>49</v>
      </c>
      <c r="B50" s="2" t="str">
        <f>Database!R58</f>
        <v>Y</v>
      </c>
      <c r="C50" s="2">
        <f t="shared" si="1"/>
        <v>2</v>
      </c>
      <c r="D50" s="2">
        <f>IF(B50="Y",Database!L58,"-")</f>
        <v>1</v>
      </c>
      <c r="E50" s="2">
        <f>IF(AND(D50&gt;1,B50="Y"),Database!M58/D50,Database!M58)</f>
        <v>2</v>
      </c>
    </row>
    <row r="51" spans="1:5" x14ac:dyDescent="0.3">
      <c r="A51">
        <f>Database!A59</f>
        <v>50</v>
      </c>
      <c r="B51" s="2" t="str">
        <f>Database!R59</f>
        <v>Y</v>
      </c>
      <c r="C51" s="2">
        <f t="shared" si="1"/>
        <v>2</v>
      </c>
      <c r="D51" s="2">
        <f>IF(B51="Y",Database!L59,"-")</f>
        <v>1</v>
      </c>
      <c r="E51" s="2">
        <f>IF(AND(D51&gt;1,B51="Y"),Database!M59/D51,Database!M59)</f>
        <v>2</v>
      </c>
    </row>
    <row r="52" spans="1:5" x14ac:dyDescent="0.3">
      <c r="A52">
        <f>Database!A60</f>
        <v>51</v>
      </c>
      <c r="B52" s="2" t="str">
        <f>Database!R60</f>
        <v>Y</v>
      </c>
      <c r="C52" s="2">
        <f t="shared" si="1"/>
        <v>2</v>
      </c>
      <c r="D52" s="2">
        <f>IF(B52="Y",Database!L60,"-")</f>
        <v>1</v>
      </c>
      <c r="E52" s="2">
        <f>IF(AND(D52&gt;1,B52="Y"),Database!M60/D52,Database!M60)</f>
        <v>2</v>
      </c>
    </row>
    <row r="53" spans="1:5" x14ac:dyDescent="0.3">
      <c r="A53">
        <f>Database!A61</f>
        <v>52</v>
      </c>
      <c r="B53" s="2" t="str">
        <f>Database!R61</f>
        <v>Y</v>
      </c>
      <c r="C53" s="2">
        <f t="shared" si="1"/>
        <v>2</v>
      </c>
      <c r="D53" s="2">
        <f>IF(B53="Y",Database!L61,"-")</f>
        <v>1</v>
      </c>
      <c r="E53" s="2">
        <f>IF(AND(D53&gt;1,B53="Y"),Database!M61/D53,Database!M61)</f>
        <v>2</v>
      </c>
    </row>
    <row r="54" spans="1:5" x14ac:dyDescent="0.3">
      <c r="A54">
        <f>Database!A62</f>
        <v>53</v>
      </c>
      <c r="B54" s="2" t="str">
        <f>Database!R62</f>
        <v>N</v>
      </c>
      <c r="C54" s="2" t="str">
        <f t="shared" si="1"/>
        <v>-</v>
      </c>
      <c r="D54" s="2" t="str">
        <f>IF(B54="Y",Database!L62,"-")</f>
        <v>-</v>
      </c>
      <c r="E54" s="2">
        <f>IF(AND(D54&gt;1,B54="Y"),Database!M62/D54,Database!M62)</f>
        <v>2</v>
      </c>
    </row>
    <row r="55" spans="1:5" x14ac:dyDescent="0.3">
      <c r="A55">
        <f>Database!A63</f>
        <v>54</v>
      </c>
      <c r="B55" s="2">
        <f>Database!R63</f>
        <v>0</v>
      </c>
      <c r="C55" s="2" t="str">
        <f t="shared" si="1"/>
        <v>-</v>
      </c>
      <c r="D55" s="2" t="str">
        <f>IF(B55="Y",Database!L63,"-")</f>
        <v>-</v>
      </c>
      <c r="E55" s="2">
        <f>IF(AND(D55&gt;1,B55="Y"),Database!M63/D55,Database!M63)</f>
        <v>0</v>
      </c>
    </row>
    <row r="56" spans="1:5" x14ac:dyDescent="0.3">
      <c r="A56">
        <f>Database!A64</f>
        <v>55</v>
      </c>
      <c r="B56" s="2" t="str">
        <f>Database!R64</f>
        <v>N</v>
      </c>
      <c r="C56" s="2" t="str">
        <f t="shared" si="1"/>
        <v>-</v>
      </c>
      <c r="D56" s="2" t="str">
        <f>IF(B56="Y",Database!L64,"-")</f>
        <v>-</v>
      </c>
      <c r="E56" s="2">
        <f>IF(AND(D56&gt;1,B56="Y"),Database!M64/D56,Database!M64)</f>
        <v>2</v>
      </c>
    </row>
    <row r="57" spans="1:5" x14ac:dyDescent="0.3">
      <c r="A57">
        <f>Database!A65</f>
        <v>56</v>
      </c>
      <c r="B57" s="2" t="str">
        <f>Database!R65</f>
        <v>N</v>
      </c>
      <c r="C57" s="2" t="str">
        <f t="shared" si="1"/>
        <v>-</v>
      </c>
      <c r="D57" s="2" t="str">
        <f>IF(B57="Y",Database!L65,"-")</f>
        <v>-</v>
      </c>
      <c r="E57" s="2">
        <f>IF(AND(D57&gt;1,B57="Y"),Database!M65/D57,Database!M65)</f>
        <v>2</v>
      </c>
    </row>
    <row r="58" spans="1:5" x14ac:dyDescent="0.3">
      <c r="A58">
        <f>Database!A66</f>
        <v>57</v>
      </c>
      <c r="B58" s="2" t="str">
        <f>Database!R66</f>
        <v>N</v>
      </c>
      <c r="C58" s="2" t="str">
        <f t="shared" si="1"/>
        <v>-</v>
      </c>
      <c r="D58" s="2" t="str">
        <f>IF(B58="Y",Database!L66,"-")</f>
        <v>-</v>
      </c>
      <c r="E58" s="2">
        <f>IF(AND(D58&gt;1,B58="Y"),Database!M66/D58,Database!M66)</f>
        <v>2</v>
      </c>
    </row>
    <row r="59" spans="1:5" x14ac:dyDescent="0.3">
      <c r="A59">
        <f>Database!A67</f>
        <v>58</v>
      </c>
      <c r="B59" s="2" t="str">
        <f>Database!R67</f>
        <v>Y</v>
      </c>
      <c r="C59" s="2">
        <f t="shared" si="1"/>
        <v>1</v>
      </c>
      <c r="D59" s="2">
        <f>IF(B59="Y",Database!L67,"-")</f>
        <v>2</v>
      </c>
      <c r="E59" s="2">
        <f>IF(AND(D59&gt;1,B59="Y"),Database!M67/D59,Database!M67)</f>
        <v>1</v>
      </c>
    </row>
    <row r="60" spans="1:5" x14ac:dyDescent="0.3">
      <c r="A60">
        <f>Database!A69</f>
        <v>59</v>
      </c>
      <c r="B60" s="2" t="str">
        <f>Database!R69</f>
        <v>Y</v>
      </c>
      <c r="C60" s="2">
        <f t="shared" si="1"/>
        <v>2</v>
      </c>
      <c r="D60" s="2">
        <f>IF(B60="Y",Database!L69,"-")</f>
        <v>1</v>
      </c>
      <c r="E60" s="2">
        <f>IF(AND(D60&gt;1,B60="Y"),Database!M69/D60,Database!M69)</f>
        <v>2</v>
      </c>
    </row>
    <row r="61" spans="1:5" x14ac:dyDescent="0.3">
      <c r="A61">
        <f>Database!A70</f>
        <v>60</v>
      </c>
      <c r="B61" s="2" t="str">
        <f>Database!R70</f>
        <v>Y</v>
      </c>
      <c r="C61" s="2">
        <f t="shared" si="1"/>
        <v>1</v>
      </c>
      <c r="D61" s="2">
        <f>IF(B61="Y",Database!L70,"-")</f>
        <v>1</v>
      </c>
      <c r="E61" s="2">
        <f>IF(AND(D61&gt;1,B61="Y"),Database!M70/D61,Database!M70)</f>
        <v>1</v>
      </c>
    </row>
    <row r="62" spans="1:5" x14ac:dyDescent="0.3">
      <c r="A62">
        <f>Database!A71</f>
        <v>61</v>
      </c>
      <c r="B62" s="2" t="str">
        <f>Database!R71</f>
        <v>N</v>
      </c>
      <c r="C62" s="2" t="str">
        <f t="shared" si="1"/>
        <v>-</v>
      </c>
      <c r="D62" s="2" t="str">
        <f>IF(B62="Y",Database!L71,"-")</f>
        <v>-</v>
      </c>
      <c r="E62" s="2">
        <f>IF(AND(D62&gt;1,B62="Y"),Database!M71/D62,Database!M71)</f>
        <v>2</v>
      </c>
    </row>
    <row r="63" spans="1:5" x14ac:dyDescent="0.3">
      <c r="A63">
        <f>Database!A72</f>
        <v>62</v>
      </c>
      <c r="B63" s="2" t="str">
        <f>Database!R72</f>
        <v>Y</v>
      </c>
      <c r="C63" s="2">
        <f t="shared" si="1"/>
        <v>2</v>
      </c>
      <c r="D63" s="2">
        <f>IF(B63="Y",Database!L72,"-")</f>
        <v>1</v>
      </c>
      <c r="E63" s="2">
        <f>IF(AND(D63&gt;1,B63="Y"),Database!M72/D63,Database!M72)</f>
        <v>2</v>
      </c>
    </row>
    <row r="64" spans="1:5" x14ac:dyDescent="0.3">
      <c r="A64">
        <f>Database!A73</f>
        <v>63</v>
      </c>
      <c r="B64" s="2" t="str">
        <f>Database!R73</f>
        <v>N</v>
      </c>
      <c r="C64" s="2" t="str">
        <f t="shared" si="1"/>
        <v>-</v>
      </c>
      <c r="D64" s="2" t="str">
        <f>IF(B64="Y",Database!L73,"-")</f>
        <v>-</v>
      </c>
      <c r="E64" s="2">
        <f>IF(AND(D64&gt;1,B64="Y"),Database!M73/D64,Database!M73)</f>
        <v>2</v>
      </c>
    </row>
    <row r="65" spans="1:5" x14ac:dyDescent="0.3">
      <c r="A65">
        <f>Database!A74</f>
        <v>64</v>
      </c>
      <c r="B65" s="2" t="str">
        <f>Database!R74</f>
        <v>N</v>
      </c>
      <c r="C65" s="2" t="str">
        <f t="shared" si="1"/>
        <v>-</v>
      </c>
      <c r="D65" s="2" t="str">
        <f>IF(B65="Y",Database!L74,"-")</f>
        <v>-</v>
      </c>
      <c r="E65" s="2">
        <f>IF(AND(D65&gt;1,B65="Y"),Database!M74/D65,Database!M74)</f>
        <v>2</v>
      </c>
    </row>
    <row r="66" spans="1:5" x14ac:dyDescent="0.3">
      <c r="A66">
        <f>Database!A75</f>
        <v>65</v>
      </c>
      <c r="B66" s="2" t="str">
        <f>Database!R75</f>
        <v>N</v>
      </c>
      <c r="C66" s="2" t="str">
        <f t="shared" ref="C66:C97" si="2">IF(B66="Y",E66,"-")</f>
        <v>-</v>
      </c>
      <c r="D66" s="2" t="str">
        <f>IF(B66="Y",Database!L75,"-")</f>
        <v>-</v>
      </c>
      <c r="E66" s="2">
        <f>IF(AND(D66&gt;1,B66="Y"),Database!M75/D66,Database!M75)</f>
        <v>2</v>
      </c>
    </row>
    <row r="67" spans="1:5" x14ac:dyDescent="0.3">
      <c r="A67">
        <f>Database!A76</f>
        <v>66</v>
      </c>
      <c r="B67" s="2" t="str">
        <f>Database!R76</f>
        <v>Y</v>
      </c>
      <c r="C67" s="2">
        <f t="shared" si="2"/>
        <v>2</v>
      </c>
      <c r="D67" s="2">
        <f>IF(B67="Y",Database!L76,"-")</f>
        <v>1</v>
      </c>
      <c r="E67" s="2">
        <f>IF(AND(D67&gt;1,B67="Y"),Database!M76/D67,Database!M76)</f>
        <v>2</v>
      </c>
    </row>
    <row r="68" spans="1:5" x14ac:dyDescent="0.3">
      <c r="A68">
        <f>Database!A77</f>
        <v>67</v>
      </c>
      <c r="B68" s="2" t="str">
        <f>Database!R77</f>
        <v>Y</v>
      </c>
      <c r="C68" s="2">
        <f t="shared" si="2"/>
        <v>2</v>
      </c>
      <c r="D68" s="2">
        <f>IF(B68="Y",Database!L77,"-")</f>
        <v>1</v>
      </c>
      <c r="E68" s="2">
        <f>IF(AND(D68&gt;1,B68="Y"),Database!M77/D68,Database!M77)</f>
        <v>2</v>
      </c>
    </row>
    <row r="69" spans="1:5" x14ac:dyDescent="0.3">
      <c r="A69">
        <f>Database!A78</f>
        <v>68</v>
      </c>
      <c r="B69" s="2" t="str">
        <f>Database!R78</f>
        <v>N</v>
      </c>
      <c r="C69" s="2" t="str">
        <f t="shared" si="2"/>
        <v>-</v>
      </c>
      <c r="D69" s="2" t="str">
        <f>IF(B69="Y",Database!L78,"-")</f>
        <v>-</v>
      </c>
      <c r="E69" s="2">
        <f>IF(AND(D69&gt;1,B69="Y"),Database!M78/D69,Database!M78)</f>
        <v>1</v>
      </c>
    </row>
    <row r="70" spans="1:5" x14ac:dyDescent="0.3">
      <c r="A70">
        <f>Database!A79</f>
        <v>69</v>
      </c>
      <c r="B70" s="2">
        <f>Database!R79</f>
        <v>0</v>
      </c>
      <c r="C70" s="2" t="str">
        <f t="shared" si="2"/>
        <v>-</v>
      </c>
      <c r="D70" s="2" t="str">
        <f>IF(B70="Y",Database!L79,"-")</f>
        <v>-</v>
      </c>
      <c r="E70" s="2">
        <f>IF(AND(D70&gt;1,B70="Y"),Database!M79/D70,Database!M79)</f>
        <v>0</v>
      </c>
    </row>
    <row r="71" spans="1:5" x14ac:dyDescent="0.3">
      <c r="A71">
        <f>Database!A80</f>
        <v>70</v>
      </c>
      <c r="B71" s="2" t="str">
        <f>Database!R80</f>
        <v>Y</v>
      </c>
      <c r="C71" s="2">
        <f t="shared" si="2"/>
        <v>2</v>
      </c>
      <c r="D71" s="2">
        <f>IF(B71="Y",Database!L80,"-")</f>
        <v>1</v>
      </c>
      <c r="E71" s="2">
        <f>IF(AND(D71&gt;1,B71="Y"),Database!M80/D71,Database!M80)</f>
        <v>2</v>
      </c>
    </row>
    <row r="72" spans="1:5" x14ac:dyDescent="0.3">
      <c r="A72">
        <f>Database!A81</f>
        <v>71</v>
      </c>
      <c r="B72" s="2">
        <f>Database!R81</f>
        <v>0</v>
      </c>
      <c r="C72" s="2" t="str">
        <f t="shared" si="2"/>
        <v>-</v>
      </c>
      <c r="D72" s="2" t="str">
        <f>IF(B72="Y",Database!L81,"-")</f>
        <v>-</v>
      </c>
      <c r="E72" s="2">
        <f>IF(AND(D72&gt;1,B72="Y"),Database!M81/D72,Database!M81)</f>
        <v>0</v>
      </c>
    </row>
    <row r="73" spans="1:5" x14ac:dyDescent="0.3">
      <c r="A73">
        <f>Database!A82</f>
        <v>72</v>
      </c>
      <c r="B73" s="2" t="str">
        <f>Database!R82</f>
        <v>Y</v>
      </c>
      <c r="C73" s="2">
        <f t="shared" si="2"/>
        <v>2</v>
      </c>
      <c r="D73" s="2">
        <f>IF(B73="Y",Database!L82,"-")</f>
        <v>1</v>
      </c>
      <c r="E73" s="2">
        <f>IF(AND(D73&gt;1,B73="Y"),Database!M82/D73,Database!M82)</f>
        <v>2</v>
      </c>
    </row>
    <row r="74" spans="1:5" x14ac:dyDescent="0.3">
      <c r="A74">
        <f>Database!A83</f>
        <v>73</v>
      </c>
      <c r="B74" s="2">
        <f>Database!R83</f>
        <v>0</v>
      </c>
      <c r="C74" s="2" t="str">
        <f t="shared" si="2"/>
        <v>-</v>
      </c>
      <c r="D74" s="2" t="str">
        <f>IF(B74="Y",Database!L83,"-")</f>
        <v>-</v>
      </c>
      <c r="E74" s="2">
        <f>IF(AND(D74&gt;1,B74="Y"),Database!M83/D74,Database!M83)</f>
        <v>0</v>
      </c>
    </row>
    <row r="75" spans="1:5" x14ac:dyDescent="0.3">
      <c r="A75">
        <f>Database!A84</f>
        <v>74</v>
      </c>
      <c r="B75" s="2" t="str">
        <f>Database!R84</f>
        <v>Y</v>
      </c>
      <c r="C75" s="2">
        <f t="shared" si="2"/>
        <v>1.5</v>
      </c>
      <c r="D75" s="2">
        <f>IF(B75="Y",Database!L84,"-")</f>
        <v>2</v>
      </c>
      <c r="E75" s="2">
        <f>IF(AND(D75&gt;1,B75="Y"),Database!M84/D75,Database!M84)</f>
        <v>1.5</v>
      </c>
    </row>
    <row r="76" spans="1:5" x14ac:dyDescent="0.3">
      <c r="A76">
        <f>Database!A86</f>
        <v>75</v>
      </c>
      <c r="B76" s="2">
        <f>Database!R86</f>
        <v>0</v>
      </c>
      <c r="C76" s="2" t="str">
        <f t="shared" si="2"/>
        <v>-</v>
      </c>
      <c r="D76" s="2" t="str">
        <f>IF(B76="Y",Database!L86,"-")</f>
        <v>-</v>
      </c>
      <c r="E76" s="2">
        <f>IF(AND(D76&gt;1,B76="Y"),Database!M86/D76,Database!M86)</f>
        <v>0</v>
      </c>
    </row>
    <row r="77" spans="1:5" x14ac:dyDescent="0.3">
      <c r="A77">
        <f>Database!A87</f>
        <v>76</v>
      </c>
      <c r="B77" s="2" t="str">
        <f>Database!R87</f>
        <v>Y</v>
      </c>
      <c r="C77" s="2">
        <f t="shared" si="2"/>
        <v>2</v>
      </c>
      <c r="D77" s="2">
        <f>IF(B77="Y",Database!L87,"-")</f>
        <v>1</v>
      </c>
      <c r="E77" s="2">
        <f>IF(AND(D77&gt;1,B77="Y"),Database!M87/D77,Database!M87)</f>
        <v>2</v>
      </c>
    </row>
    <row r="78" spans="1:5" x14ac:dyDescent="0.3">
      <c r="A78">
        <f>Database!A88</f>
        <v>77</v>
      </c>
      <c r="B78" s="2" t="str">
        <f>Database!R88</f>
        <v>Y</v>
      </c>
      <c r="C78" s="2">
        <f t="shared" si="2"/>
        <v>2</v>
      </c>
      <c r="D78" s="2">
        <f>IF(B78="Y",Database!L88,"-")</f>
        <v>1</v>
      </c>
      <c r="E78" s="2">
        <f>IF(AND(D78&gt;1,B78="Y"),Database!M88/D78,Database!M88)</f>
        <v>2</v>
      </c>
    </row>
    <row r="79" spans="1:5" x14ac:dyDescent="0.3">
      <c r="A79">
        <f>Database!A89</f>
        <v>78</v>
      </c>
      <c r="B79" s="2" t="str">
        <f>Database!R89</f>
        <v>Y</v>
      </c>
      <c r="C79" s="2">
        <f t="shared" si="2"/>
        <v>2</v>
      </c>
      <c r="D79" s="2">
        <f>IF(B79="Y",Database!L89,"-")</f>
        <v>1</v>
      </c>
      <c r="E79" s="2">
        <f>IF(AND(D79&gt;1,B79="Y"),Database!M89/D79,Database!M89)</f>
        <v>2</v>
      </c>
    </row>
    <row r="80" spans="1:5" x14ac:dyDescent="0.3">
      <c r="A80">
        <f>Database!A90</f>
        <v>79</v>
      </c>
      <c r="B80" s="2" t="str">
        <f>Database!R90</f>
        <v>Y</v>
      </c>
      <c r="C80" s="2">
        <f t="shared" si="2"/>
        <v>2</v>
      </c>
      <c r="D80" s="2">
        <f>IF(B80="Y",Database!L90,"-")</f>
        <v>1</v>
      </c>
      <c r="E80" s="2">
        <f>IF(AND(D80&gt;1,B80="Y"),Database!M90/D80,Database!M90)</f>
        <v>2</v>
      </c>
    </row>
    <row r="81" spans="1:5" x14ac:dyDescent="0.3">
      <c r="A81">
        <f>Database!A91</f>
        <v>80</v>
      </c>
      <c r="B81" s="2" t="str">
        <f>Database!R91</f>
        <v>Y</v>
      </c>
      <c r="C81" s="2">
        <f t="shared" si="2"/>
        <v>2</v>
      </c>
      <c r="D81" s="2">
        <f>IF(B81="Y",Database!L91,"-")</f>
        <v>2</v>
      </c>
      <c r="E81" s="2">
        <f>IF(AND(D81&gt;1,B81="Y"),Database!M91/D81,Database!M91)</f>
        <v>2</v>
      </c>
    </row>
    <row r="82" spans="1:5" x14ac:dyDescent="0.3">
      <c r="A82">
        <f>Database!A93</f>
        <v>81</v>
      </c>
      <c r="B82" s="2" t="str">
        <f>Database!R93</f>
        <v>Y</v>
      </c>
      <c r="C82" s="2">
        <f t="shared" si="2"/>
        <v>2</v>
      </c>
      <c r="D82" s="2">
        <f>IF(B82="Y",Database!L93,"-")</f>
        <v>1</v>
      </c>
      <c r="E82" s="2">
        <f>IF(AND(D82&gt;1,B82="Y"),Database!M93/D82,Database!M93)</f>
        <v>2</v>
      </c>
    </row>
    <row r="83" spans="1:5" x14ac:dyDescent="0.3">
      <c r="A83">
        <f>Database!A94</f>
        <v>82</v>
      </c>
      <c r="B83" s="2">
        <f>Database!R94</f>
        <v>0</v>
      </c>
      <c r="C83" s="2" t="str">
        <f t="shared" si="2"/>
        <v>-</v>
      </c>
      <c r="D83" s="2" t="str">
        <f>IF(B83="Y",Database!L94,"-")</f>
        <v>-</v>
      </c>
      <c r="E83" s="2">
        <f>IF(AND(D83&gt;1,B83="Y"),Database!M94/D83,Database!M94)</f>
        <v>0</v>
      </c>
    </row>
    <row r="84" spans="1:5" x14ac:dyDescent="0.3">
      <c r="A84">
        <f>Database!A95</f>
        <v>83</v>
      </c>
      <c r="B84" s="2" t="str">
        <f>Database!R95</f>
        <v>Y</v>
      </c>
      <c r="C84" s="2">
        <f t="shared" si="2"/>
        <v>2</v>
      </c>
      <c r="D84" s="2">
        <f>IF(B84="Y",Database!L95,"-")</f>
        <v>1</v>
      </c>
      <c r="E84" s="2">
        <f>IF(AND(D84&gt;1,B84="Y"),Database!M95/D84,Database!M95)</f>
        <v>2</v>
      </c>
    </row>
    <row r="85" spans="1:5" x14ac:dyDescent="0.3">
      <c r="A85">
        <f>Database!A96</f>
        <v>84</v>
      </c>
      <c r="B85" s="2" t="str">
        <f>Database!R96</f>
        <v>N</v>
      </c>
      <c r="C85" s="2" t="str">
        <f t="shared" si="2"/>
        <v>-</v>
      </c>
      <c r="D85" s="2" t="str">
        <f>IF(B85="Y",Database!L96,"-")</f>
        <v>-</v>
      </c>
      <c r="E85" s="2">
        <f>IF(AND(D85&gt;1,B85="Y"),Database!M96/D85,Database!M96)</f>
        <v>2</v>
      </c>
    </row>
    <row r="86" spans="1:5" x14ac:dyDescent="0.3">
      <c r="A86">
        <f>Database!A97</f>
        <v>85</v>
      </c>
      <c r="B86" s="2" t="str">
        <f>Database!R97</f>
        <v>N</v>
      </c>
      <c r="C86" s="2" t="str">
        <f t="shared" si="2"/>
        <v>-</v>
      </c>
      <c r="D86" s="2" t="str">
        <f>IF(B86="Y",Database!L97,"-")</f>
        <v>-</v>
      </c>
      <c r="E86" s="2">
        <f>IF(AND(D86&gt;1,B86="Y"),Database!M97/D86,Database!M97)</f>
        <v>1</v>
      </c>
    </row>
    <row r="87" spans="1:5" x14ac:dyDescent="0.3">
      <c r="A87">
        <f>Database!A98</f>
        <v>86</v>
      </c>
      <c r="B87" s="2" t="str">
        <f>Database!R98</f>
        <v>Y</v>
      </c>
      <c r="C87" s="2">
        <f t="shared" si="2"/>
        <v>2</v>
      </c>
      <c r="D87" s="2">
        <f>IF(B87="Y",Database!L98,"-")</f>
        <v>1</v>
      </c>
      <c r="E87" s="2">
        <f>IF(AND(D87&gt;1,B87="Y"),Database!M98/D87,Database!M98)</f>
        <v>2</v>
      </c>
    </row>
    <row r="88" spans="1:5" x14ac:dyDescent="0.3">
      <c r="A88">
        <f>Database!A99</f>
        <v>87</v>
      </c>
      <c r="B88" s="2" t="str">
        <f>Database!R99</f>
        <v>N</v>
      </c>
      <c r="C88" s="2" t="str">
        <f t="shared" si="2"/>
        <v>-</v>
      </c>
      <c r="D88" s="2" t="str">
        <f>IF(B88="Y",Database!L99,"-")</f>
        <v>-</v>
      </c>
      <c r="E88" s="2">
        <f>IF(AND(D88&gt;1,B88="Y"),Database!M99/D88,Database!M99)</f>
        <v>2</v>
      </c>
    </row>
    <row r="89" spans="1:5" x14ac:dyDescent="0.3">
      <c r="A89">
        <f>Database!A100</f>
        <v>88</v>
      </c>
      <c r="B89" s="2">
        <f>Database!R100</f>
        <v>0</v>
      </c>
      <c r="C89" s="2" t="str">
        <f t="shared" si="2"/>
        <v>-</v>
      </c>
      <c r="D89" s="2" t="str">
        <f>IF(B89="Y",Database!L100,"-")</f>
        <v>-</v>
      </c>
      <c r="E89" s="2">
        <f>IF(AND(D89&gt;1,B89="Y"),Database!M100/D89,Database!M100)</f>
        <v>0</v>
      </c>
    </row>
    <row r="90" spans="1:5" x14ac:dyDescent="0.3">
      <c r="A90">
        <f>Database!A101</f>
        <v>89</v>
      </c>
      <c r="B90" s="2" t="str">
        <f>Database!R101</f>
        <v>Y</v>
      </c>
      <c r="C90" s="2">
        <f t="shared" si="2"/>
        <v>1.5</v>
      </c>
      <c r="D90" s="2">
        <f>IF(B90="Y",Database!L101,"-")</f>
        <v>2</v>
      </c>
      <c r="E90" s="2">
        <f>IF(AND(D90&gt;1,B90="Y"),Database!M101/D90,Database!M101)</f>
        <v>1.5</v>
      </c>
    </row>
    <row r="91" spans="1:5" x14ac:dyDescent="0.3">
      <c r="A91">
        <f>Database!A103</f>
        <v>90</v>
      </c>
      <c r="B91" s="2" t="str">
        <f>Database!R103</f>
        <v>N</v>
      </c>
      <c r="C91" s="2" t="str">
        <f t="shared" si="2"/>
        <v>-</v>
      </c>
      <c r="D91" s="2" t="str">
        <f>IF(B91="Y",Database!L103,"-")</f>
        <v>-</v>
      </c>
      <c r="E91" s="2">
        <f>IF(AND(D91&gt;1,B91="Y"),Database!M103/D91,Database!M103)</f>
        <v>2</v>
      </c>
    </row>
    <row r="92" spans="1:5" x14ac:dyDescent="0.3">
      <c r="A92">
        <f>Database!A104</f>
        <v>91</v>
      </c>
      <c r="B92" s="2" t="str">
        <f>Database!R104</f>
        <v>Y</v>
      </c>
      <c r="C92" s="2">
        <f t="shared" si="2"/>
        <v>2</v>
      </c>
      <c r="D92" s="2">
        <f>IF(B92="Y",Database!L104,"-")</f>
        <v>1</v>
      </c>
      <c r="E92" s="2">
        <f>IF(AND(D92&gt;1,B92="Y"),Database!M104/D92,Database!M104)</f>
        <v>2</v>
      </c>
    </row>
    <row r="93" spans="1:5" x14ac:dyDescent="0.3">
      <c r="A93">
        <f>Database!A105</f>
        <v>92</v>
      </c>
      <c r="B93" s="2" t="str">
        <f>Database!R105</f>
        <v>N</v>
      </c>
      <c r="C93" s="2" t="str">
        <f t="shared" si="2"/>
        <v>-</v>
      </c>
      <c r="D93" s="2" t="str">
        <f>IF(B93="Y",Database!L105,"-")</f>
        <v>-</v>
      </c>
      <c r="E93" s="2">
        <f>IF(AND(D93&gt;1,B93="Y"),Database!M105/D93,Database!M105)</f>
        <v>2</v>
      </c>
    </row>
    <row r="94" spans="1:5" x14ac:dyDescent="0.3">
      <c r="A94">
        <f>Database!A106</f>
        <v>93</v>
      </c>
      <c r="B94" s="2" t="str">
        <f>Database!R106</f>
        <v>N</v>
      </c>
      <c r="C94" s="2" t="str">
        <f t="shared" si="2"/>
        <v>-</v>
      </c>
      <c r="D94" s="2" t="str">
        <f>IF(B94="Y",Database!L106,"-")</f>
        <v>-</v>
      </c>
      <c r="E94" s="2">
        <f>IF(AND(D94&gt;1,B94="Y"),Database!M106/D94,Database!M106)</f>
        <v>2</v>
      </c>
    </row>
    <row r="95" spans="1:5" x14ac:dyDescent="0.3">
      <c r="A95">
        <f>Database!A107</f>
        <v>94</v>
      </c>
      <c r="B95" s="2" t="str">
        <f>Database!R107</f>
        <v>N</v>
      </c>
      <c r="C95" s="2" t="str">
        <f t="shared" si="2"/>
        <v>-</v>
      </c>
      <c r="D95" s="2" t="str">
        <f>IF(B95="Y",Database!L107,"-")</f>
        <v>-</v>
      </c>
      <c r="E95" s="2">
        <f>IF(AND(D95&gt;1,B95="Y"),Database!M107/D95,Database!M107)</f>
        <v>1</v>
      </c>
    </row>
    <row r="96" spans="1:5" x14ac:dyDescent="0.3">
      <c r="A96">
        <f>Database!A108</f>
        <v>95</v>
      </c>
      <c r="B96" s="2" t="str">
        <f>Database!R108</f>
        <v>Y</v>
      </c>
      <c r="C96" s="2">
        <f t="shared" si="2"/>
        <v>2</v>
      </c>
      <c r="D96" s="2">
        <f>IF(B96="Y",Database!L108,"-")</f>
        <v>1</v>
      </c>
      <c r="E96" s="2">
        <f>IF(AND(D96&gt;1,B96="Y"),Database!M108/D96,Database!M108)</f>
        <v>2</v>
      </c>
    </row>
    <row r="97" spans="1:5" x14ac:dyDescent="0.3">
      <c r="A97">
        <f>Database!A109</f>
        <v>96</v>
      </c>
      <c r="B97" s="2" t="str">
        <f>Database!R109</f>
        <v>Y</v>
      </c>
      <c r="C97" s="2">
        <f t="shared" si="2"/>
        <v>2</v>
      </c>
      <c r="D97" s="2">
        <f>IF(B97="Y",Database!L109,"-")</f>
        <v>1</v>
      </c>
      <c r="E97" s="2">
        <f>IF(AND(D97&gt;1,B97="Y"),Database!M109/D97,Database!M109)</f>
        <v>2</v>
      </c>
    </row>
    <row r="98" spans="1:5" x14ac:dyDescent="0.3">
      <c r="A98">
        <f>Database!A110</f>
        <v>97</v>
      </c>
      <c r="B98" s="2" t="str">
        <f>Database!R110</f>
        <v>N</v>
      </c>
      <c r="C98" s="2" t="str">
        <f t="shared" ref="C98:C129" si="3">IF(B98="Y",E98,"-")</f>
        <v>-</v>
      </c>
      <c r="D98" s="2" t="str">
        <f>IF(B98="Y",Database!L110,"-")</f>
        <v>-</v>
      </c>
      <c r="E98" s="2">
        <f>IF(AND(D98&gt;1,B98="Y"),Database!M110/D98,Database!M110)</f>
        <v>2</v>
      </c>
    </row>
    <row r="99" spans="1:5" x14ac:dyDescent="0.3">
      <c r="A99">
        <f>Database!A111</f>
        <v>98</v>
      </c>
      <c r="B99" s="2">
        <f>Database!R111</f>
        <v>0</v>
      </c>
      <c r="C99" s="2" t="str">
        <f t="shared" si="3"/>
        <v>-</v>
      </c>
      <c r="D99" s="2" t="str">
        <f>IF(B99="Y",Database!L111,"-")</f>
        <v>-</v>
      </c>
      <c r="E99" s="2">
        <f>IF(AND(D99&gt;1,B99="Y"),Database!M111/D99,Database!M111)</f>
        <v>0</v>
      </c>
    </row>
    <row r="100" spans="1:5" x14ac:dyDescent="0.3">
      <c r="A100">
        <f>Database!A112</f>
        <v>99</v>
      </c>
      <c r="B100" s="2">
        <f>Database!R112</f>
        <v>0</v>
      </c>
      <c r="C100" s="2" t="str">
        <f t="shared" si="3"/>
        <v>-</v>
      </c>
      <c r="D100" s="2" t="str">
        <f>IF(B100="Y",Database!L112,"-")</f>
        <v>-</v>
      </c>
      <c r="E100" s="2">
        <f>IF(AND(D100&gt;1,B100="Y"),Database!M112/D100,Database!M112)</f>
        <v>0</v>
      </c>
    </row>
    <row r="101" spans="1:5" x14ac:dyDescent="0.3">
      <c r="A101">
        <f>Database!A113</f>
        <v>100</v>
      </c>
      <c r="B101" s="2" t="str">
        <f>Database!R113</f>
        <v>N</v>
      </c>
      <c r="C101" s="2" t="str">
        <f t="shared" si="3"/>
        <v>-</v>
      </c>
      <c r="D101" s="2" t="str">
        <f>IF(B101="Y",Database!L113,"-")</f>
        <v>-</v>
      </c>
      <c r="E101" s="2">
        <f>IF(AND(D101&gt;1,B101="Y"),Database!M113/D101,Database!M113)</f>
        <v>2</v>
      </c>
    </row>
    <row r="102" spans="1:5" x14ac:dyDescent="0.3">
      <c r="A102">
        <f>Database!A114</f>
        <v>101</v>
      </c>
      <c r="B102" s="2" t="str">
        <f>Database!R114</f>
        <v>N</v>
      </c>
      <c r="C102" s="2" t="str">
        <f t="shared" si="3"/>
        <v>-</v>
      </c>
      <c r="D102" s="2" t="str">
        <f>IF(B102="Y",Database!L114,"-")</f>
        <v>-</v>
      </c>
      <c r="E102" s="2">
        <f>IF(AND(D102&gt;1,B102="Y"),Database!M114/D102,Database!M114)</f>
        <v>1</v>
      </c>
    </row>
    <row r="103" spans="1:5" x14ac:dyDescent="0.3">
      <c r="A103">
        <f>Database!A115</f>
        <v>102</v>
      </c>
      <c r="B103" s="2">
        <f>Database!R115</f>
        <v>0</v>
      </c>
      <c r="C103" s="2" t="str">
        <f t="shared" si="3"/>
        <v>-</v>
      </c>
      <c r="D103" s="2" t="str">
        <f>IF(B103="Y",Database!L115,"-")</f>
        <v>-</v>
      </c>
      <c r="E103" s="2">
        <f>IF(AND(D103&gt;1,B103="Y"),Database!M115/D103,Database!M115)</f>
        <v>0</v>
      </c>
    </row>
    <row r="104" spans="1:5" x14ac:dyDescent="0.3">
      <c r="A104">
        <f>Database!A116</f>
        <v>103</v>
      </c>
      <c r="B104" s="2" t="str">
        <f>Database!R116</f>
        <v>Y</v>
      </c>
      <c r="C104" s="2">
        <f t="shared" si="3"/>
        <v>2</v>
      </c>
      <c r="D104" s="2">
        <f>IF(B104="Y",Database!L116,"-")</f>
        <v>1</v>
      </c>
      <c r="E104" s="2">
        <f>IF(AND(D104&gt;1,B104="Y"),Database!M116/D104,Database!M116)</f>
        <v>2</v>
      </c>
    </row>
    <row r="105" spans="1:5" x14ac:dyDescent="0.3">
      <c r="A105">
        <f>Database!A117</f>
        <v>104</v>
      </c>
      <c r="B105" s="2" t="str">
        <f>Database!R117</f>
        <v>N</v>
      </c>
      <c r="C105" s="2" t="str">
        <f t="shared" si="3"/>
        <v>-</v>
      </c>
      <c r="D105" s="2" t="str">
        <f>IF(B105="Y",Database!L117,"-")</f>
        <v>-</v>
      </c>
      <c r="E105" s="2">
        <f>IF(AND(D105&gt;1,B105="Y"),Database!M117/D105,Database!M117)</f>
        <v>2</v>
      </c>
    </row>
    <row r="106" spans="1:5" x14ac:dyDescent="0.3">
      <c r="A106">
        <f>Database!A118</f>
        <v>105</v>
      </c>
      <c r="B106" s="2" t="str">
        <f>Database!R118</f>
        <v>N</v>
      </c>
      <c r="C106" s="2" t="str">
        <f t="shared" si="3"/>
        <v>-</v>
      </c>
      <c r="D106" s="2" t="str">
        <f>IF(B106="Y",Database!L118,"-")</f>
        <v>-</v>
      </c>
      <c r="E106" s="2">
        <f>IF(AND(D106&gt;1,B106="Y"),Database!M118/D106,Database!M118)</f>
        <v>1</v>
      </c>
    </row>
    <row r="107" spans="1:5" x14ac:dyDescent="0.3">
      <c r="A107">
        <f>Database!A119</f>
        <v>106</v>
      </c>
      <c r="B107" s="2" t="str">
        <f>Database!R119</f>
        <v>N</v>
      </c>
      <c r="C107" s="2" t="str">
        <f t="shared" si="3"/>
        <v>-</v>
      </c>
      <c r="D107" s="2" t="str">
        <f>IF(B107="Y",Database!L119,"-")</f>
        <v>-</v>
      </c>
      <c r="E107" s="2">
        <f>IF(AND(D107&gt;1,B107="Y"),Database!M119/D107,Database!M119)</f>
        <v>2</v>
      </c>
    </row>
    <row r="108" spans="1:5" x14ac:dyDescent="0.3">
      <c r="A108">
        <f>Database!A120</f>
        <v>107</v>
      </c>
      <c r="B108" s="2" t="str">
        <f>Database!R120</f>
        <v>Y</v>
      </c>
      <c r="C108" s="2">
        <f t="shared" si="3"/>
        <v>2</v>
      </c>
      <c r="D108" s="2">
        <f>IF(B108="Y",Database!L120,"-")</f>
        <v>1</v>
      </c>
      <c r="E108" s="2">
        <f>IF(AND(D108&gt;1,B108="Y"),Database!M120/D108,Database!M120)</f>
        <v>2</v>
      </c>
    </row>
    <row r="109" spans="1:5" x14ac:dyDescent="0.3">
      <c r="A109">
        <f>Database!A121</f>
        <v>108</v>
      </c>
      <c r="B109" s="2" t="str">
        <f>Database!R121</f>
        <v>Y</v>
      </c>
      <c r="C109" s="2">
        <f t="shared" si="3"/>
        <v>2</v>
      </c>
      <c r="D109" s="2">
        <f>IF(B109="Y",Database!L121,"-")</f>
        <v>1</v>
      </c>
      <c r="E109" s="2">
        <f>IF(AND(D109&gt;1,B109="Y"),Database!M121/D109,Database!M121)</f>
        <v>2</v>
      </c>
    </row>
    <row r="110" spans="1:5" x14ac:dyDescent="0.3">
      <c r="A110">
        <f>Database!A122</f>
        <v>109</v>
      </c>
      <c r="B110" s="2" t="str">
        <f>Database!R122</f>
        <v>Y</v>
      </c>
      <c r="C110" s="2">
        <f t="shared" si="3"/>
        <v>1</v>
      </c>
      <c r="D110" s="2">
        <f>IF(B110="Y",Database!L122,"-")</f>
        <v>1</v>
      </c>
      <c r="E110" s="2">
        <f>IF(AND(D110&gt;1,B110="Y"),Database!M122/D110,Database!M122)</f>
        <v>1</v>
      </c>
    </row>
    <row r="111" spans="1:5" x14ac:dyDescent="0.3">
      <c r="A111">
        <f>Database!A123</f>
        <v>110</v>
      </c>
      <c r="B111" s="2" t="str">
        <f>Database!R123</f>
        <v>N</v>
      </c>
      <c r="C111" s="2" t="str">
        <f t="shared" si="3"/>
        <v>-</v>
      </c>
      <c r="D111" s="2" t="str">
        <f>IF(B111="Y",Database!L123,"-")</f>
        <v>-</v>
      </c>
      <c r="E111" s="2">
        <f>IF(AND(D111&gt;1,B111="Y"),Database!M123/D111,Database!M123)</f>
        <v>2</v>
      </c>
    </row>
    <row r="112" spans="1:5" x14ac:dyDescent="0.3">
      <c r="A112">
        <f>Database!A124</f>
        <v>111</v>
      </c>
      <c r="B112" s="2">
        <f>Database!R124</f>
        <v>0</v>
      </c>
      <c r="C112" s="2" t="str">
        <f t="shared" si="3"/>
        <v>-</v>
      </c>
      <c r="D112" s="2" t="str">
        <f>IF(B112="Y",Database!L124,"-")</f>
        <v>-</v>
      </c>
      <c r="E112" s="2">
        <f>IF(AND(D112&gt;1,B112="Y"),Database!M124/D112,Database!M124)</f>
        <v>0</v>
      </c>
    </row>
    <row r="113" spans="1:5" x14ac:dyDescent="0.3">
      <c r="A113">
        <f>Database!A125</f>
        <v>112</v>
      </c>
      <c r="B113" s="2">
        <f>Database!R125</f>
        <v>0</v>
      </c>
      <c r="C113" s="2" t="str">
        <f t="shared" si="3"/>
        <v>-</v>
      </c>
      <c r="D113" s="2" t="str">
        <f>IF(B113="Y",Database!L125,"-")</f>
        <v>-</v>
      </c>
      <c r="E113" s="2">
        <f>IF(AND(D113&gt;1,B113="Y"),Database!M125/D113,Database!M125)</f>
        <v>0</v>
      </c>
    </row>
    <row r="114" spans="1:5" x14ac:dyDescent="0.3">
      <c r="A114">
        <f>Database!A126</f>
        <v>113</v>
      </c>
      <c r="B114" s="2">
        <f>Database!R126</f>
        <v>0</v>
      </c>
      <c r="C114" s="2" t="str">
        <f t="shared" si="3"/>
        <v>-</v>
      </c>
      <c r="D114" s="2" t="str">
        <f>IF(B114="Y",Database!L126,"-")</f>
        <v>-</v>
      </c>
      <c r="E114" s="2">
        <f>IF(AND(D114&gt;1,B114="Y"),Database!M126/D114,Database!M126)</f>
        <v>0</v>
      </c>
    </row>
    <row r="115" spans="1:5" x14ac:dyDescent="0.3">
      <c r="A115">
        <f>Database!A127</f>
        <v>114</v>
      </c>
      <c r="B115" s="2" t="str">
        <f>Database!R127</f>
        <v>Y</v>
      </c>
      <c r="C115" s="2">
        <f t="shared" si="3"/>
        <v>2</v>
      </c>
      <c r="D115" s="2">
        <f>IF(B115="Y",Database!L127,"-")</f>
        <v>1</v>
      </c>
      <c r="E115" s="2">
        <f>IF(AND(D115&gt;1,B115="Y"),Database!M127/D115,Database!M127)</f>
        <v>2</v>
      </c>
    </row>
    <row r="116" spans="1:5" x14ac:dyDescent="0.3">
      <c r="A116">
        <f>Database!A128</f>
        <v>115</v>
      </c>
      <c r="B116" s="2" t="str">
        <f>Database!R128</f>
        <v>Y</v>
      </c>
      <c r="C116" s="2">
        <f t="shared" si="3"/>
        <v>2</v>
      </c>
      <c r="D116" s="2">
        <f>IF(B116="Y",Database!L128,"-")</f>
        <v>1</v>
      </c>
      <c r="E116" s="2">
        <f>IF(AND(D116&gt;1,B116="Y"),Database!M128/D116,Database!M128)</f>
        <v>2</v>
      </c>
    </row>
    <row r="117" spans="1:5" x14ac:dyDescent="0.3">
      <c r="A117">
        <f>Database!A129</f>
        <v>116</v>
      </c>
      <c r="B117" s="2" t="str">
        <f>Database!R129</f>
        <v>N</v>
      </c>
      <c r="C117" s="2" t="str">
        <f t="shared" si="3"/>
        <v>-</v>
      </c>
      <c r="D117" s="2" t="str">
        <f>IF(B117="Y",Database!L129,"-")</f>
        <v>-</v>
      </c>
      <c r="E117" s="2">
        <f>IF(AND(D117&gt;1,B117="Y"),Database!M129/D117,Database!M129)</f>
        <v>2</v>
      </c>
    </row>
    <row r="118" spans="1:5" x14ac:dyDescent="0.3">
      <c r="A118">
        <f>Database!A130</f>
        <v>117</v>
      </c>
      <c r="B118" s="2" t="str">
        <f>Database!R130</f>
        <v>Y</v>
      </c>
      <c r="C118" s="2">
        <f t="shared" si="3"/>
        <v>2</v>
      </c>
      <c r="D118" s="2">
        <f>IF(B118="Y",Database!L130,"-")</f>
        <v>1</v>
      </c>
      <c r="E118" s="2">
        <f>IF(AND(D118&gt;1,B118="Y"),Database!M130/D118,Database!M130)</f>
        <v>2</v>
      </c>
    </row>
    <row r="119" spans="1:5" x14ac:dyDescent="0.3">
      <c r="A119">
        <f>Database!A131</f>
        <v>118</v>
      </c>
      <c r="B119" s="2">
        <f>Database!R131</f>
        <v>0</v>
      </c>
      <c r="C119" s="2" t="str">
        <f t="shared" si="3"/>
        <v>-</v>
      </c>
      <c r="D119" s="2" t="str">
        <f>IF(B119="Y",Database!L131,"-")</f>
        <v>-</v>
      </c>
      <c r="E119" s="2">
        <f>IF(AND(D119&gt;1,B119="Y"),Database!M131/D119,Database!M131)</f>
        <v>0</v>
      </c>
    </row>
    <row r="120" spans="1:5" x14ac:dyDescent="0.3">
      <c r="A120">
        <f>Database!A132</f>
        <v>119</v>
      </c>
      <c r="B120" s="2">
        <f>Database!R132</f>
        <v>0</v>
      </c>
      <c r="C120" s="2" t="str">
        <f t="shared" si="3"/>
        <v>-</v>
      </c>
      <c r="D120" s="2" t="str">
        <f>IF(B120="Y",Database!L132,"-")</f>
        <v>-</v>
      </c>
      <c r="E120" s="2">
        <f>IF(AND(D120&gt;1,B120="Y"),Database!M132/D120,Database!M132)</f>
        <v>0</v>
      </c>
    </row>
    <row r="121" spans="1:5" x14ac:dyDescent="0.3">
      <c r="A121">
        <f>Database!A133</f>
        <v>120</v>
      </c>
      <c r="B121" s="2" t="str">
        <f>Database!R133</f>
        <v>Y</v>
      </c>
      <c r="C121" s="2">
        <f t="shared" si="3"/>
        <v>2</v>
      </c>
      <c r="D121" s="2">
        <f>IF(B121="Y",Database!L133,"-")</f>
        <v>1</v>
      </c>
      <c r="E121" s="2">
        <f>IF(AND(D121&gt;1,B121="Y"),Database!M133/D121,Database!M133)</f>
        <v>2</v>
      </c>
    </row>
    <row r="122" spans="1:5" x14ac:dyDescent="0.3">
      <c r="A122">
        <f>Database!A134</f>
        <v>121</v>
      </c>
      <c r="B122" s="2" t="str">
        <f>Database!R134</f>
        <v>Y</v>
      </c>
      <c r="C122" s="2">
        <f t="shared" si="3"/>
        <v>2</v>
      </c>
      <c r="D122" s="2">
        <f>IF(B122="Y",Database!L134,"-")</f>
        <v>1</v>
      </c>
      <c r="E122" s="2">
        <f>IF(AND(D122&gt;1,B122="Y"),Database!M134/D122,Database!M134)</f>
        <v>2</v>
      </c>
    </row>
    <row r="123" spans="1:5" x14ac:dyDescent="0.3">
      <c r="A123">
        <f>Database!A135</f>
        <v>122</v>
      </c>
      <c r="B123" s="2" t="str">
        <f>Database!R135</f>
        <v>Y</v>
      </c>
      <c r="C123" s="2">
        <f t="shared" si="3"/>
        <v>2</v>
      </c>
      <c r="D123" s="2">
        <f>IF(B123="Y",Database!L135,"-")</f>
        <v>1</v>
      </c>
      <c r="E123" s="2">
        <f>IF(AND(D123&gt;1,B123="Y"),Database!M135/D123,Database!M135)</f>
        <v>2</v>
      </c>
    </row>
    <row r="124" spans="1:5" x14ac:dyDescent="0.3">
      <c r="A124">
        <f>Database!A136</f>
        <v>123</v>
      </c>
      <c r="B124" s="2" t="str">
        <f>Database!R136</f>
        <v>Y</v>
      </c>
      <c r="C124" s="2">
        <f t="shared" si="3"/>
        <v>2</v>
      </c>
      <c r="D124" s="2">
        <f>IF(B124="Y",Database!L136,"-")</f>
        <v>1</v>
      </c>
      <c r="E124" s="2">
        <f>IF(AND(D124&gt;1,B124="Y"),Database!M136/D124,Database!M136)</f>
        <v>2</v>
      </c>
    </row>
    <row r="125" spans="1:5" x14ac:dyDescent="0.3">
      <c r="A125">
        <f>Database!A137</f>
        <v>124</v>
      </c>
      <c r="B125" s="2" t="str">
        <f>Database!R137</f>
        <v>Y</v>
      </c>
      <c r="C125" s="2">
        <f t="shared" si="3"/>
        <v>1</v>
      </c>
      <c r="D125" s="2">
        <f>IF(B125="Y",Database!L137,"-")</f>
        <v>1</v>
      </c>
      <c r="E125" s="2">
        <f>IF(AND(D125&gt;1,B125="Y"),Database!M137/D125,Database!M137)</f>
        <v>1</v>
      </c>
    </row>
    <row r="126" spans="1:5" x14ac:dyDescent="0.3">
      <c r="A126">
        <f>Database!A138</f>
        <v>125</v>
      </c>
      <c r="B126" s="2" t="str">
        <f>Database!R138</f>
        <v>Y</v>
      </c>
      <c r="C126" s="2">
        <f t="shared" si="3"/>
        <v>2</v>
      </c>
      <c r="D126" s="2">
        <f>IF(B126="Y",Database!L138,"-")</f>
        <v>1</v>
      </c>
      <c r="E126" s="2">
        <f>IF(AND(D126&gt;1,B126="Y"),Database!M138/D126,Database!M138)</f>
        <v>2</v>
      </c>
    </row>
    <row r="127" spans="1:5" x14ac:dyDescent="0.3">
      <c r="A127">
        <f>Database!A139</f>
        <v>126</v>
      </c>
      <c r="B127" s="2" t="str">
        <f>Database!R139</f>
        <v>Y</v>
      </c>
      <c r="C127" s="2">
        <f t="shared" si="3"/>
        <v>1.5</v>
      </c>
      <c r="D127" s="2">
        <f>IF(B127="Y",Database!L139,"-")</f>
        <v>2</v>
      </c>
      <c r="E127" s="2">
        <f>IF(AND(D127&gt;1,B127="Y"),Database!M139/D127,Database!M139)</f>
        <v>1.5</v>
      </c>
    </row>
    <row r="128" spans="1:5" x14ac:dyDescent="0.3">
      <c r="A128">
        <f>Database!A141</f>
        <v>127</v>
      </c>
      <c r="B128" s="2">
        <f>Database!R141</f>
        <v>0</v>
      </c>
      <c r="C128" s="2" t="str">
        <f t="shared" si="3"/>
        <v>-</v>
      </c>
      <c r="D128" s="2" t="str">
        <f>IF(B128="Y",Database!L141,"-")</f>
        <v>-</v>
      </c>
      <c r="E128" s="2">
        <f>IF(AND(D128&gt;1,B128="Y"),Database!M141/D128,Database!M141)</f>
        <v>0</v>
      </c>
    </row>
    <row r="129" spans="1:5" x14ac:dyDescent="0.3">
      <c r="A129">
        <f>Database!A142</f>
        <v>128</v>
      </c>
      <c r="B129" s="2" t="str">
        <f>Database!R142</f>
        <v>N</v>
      </c>
      <c r="C129" s="2" t="str">
        <f t="shared" si="3"/>
        <v>-</v>
      </c>
      <c r="D129" s="2" t="str">
        <f>IF(B129="Y",Database!L142,"-")</f>
        <v>-</v>
      </c>
      <c r="E129" s="2">
        <f>IF(AND(D129&gt;1,B129="Y"),Database!M142/D129,Database!M142)</f>
        <v>2</v>
      </c>
    </row>
    <row r="130" spans="1:5" x14ac:dyDescent="0.3">
      <c r="A130">
        <f>Database!A143</f>
        <v>129</v>
      </c>
      <c r="B130" s="2" t="str">
        <f>Database!R143</f>
        <v>N</v>
      </c>
      <c r="C130" s="2" t="str">
        <f t="shared" ref="C130:C161" si="4">IF(B130="Y",E130,"-")</f>
        <v>-</v>
      </c>
      <c r="D130" s="2" t="str">
        <f>IF(B130="Y",Database!L143,"-")</f>
        <v>-</v>
      </c>
      <c r="E130" s="2">
        <f>IF(AND(D130&gt;1,B130="Y"),Database!M143/D130,Database!M143)</f>
        <v>1</v>
      </c>
    </row>
    <row r="131" spans="1:5" x14ac:dyDescent="0.3">
      <c r="A131">
        <f>Database!A144</f>
        <v>130</v>
      </c>
      <c r="B131" s="2" t="str">
        <f>Database!R144</f>
        <v>N</v>
      </c>
      <c r="C131" s="2" t="str">
        <f t="shared" si="4"/>
        <v>-</v>
      </c>
      <c r="D131" s="2" t="str">
        <f>IF(B131="Y",Database!L144,"-")</f>
        <v>-</v>
      </c>
      <c r="E131" s="2">
        <f>IF(AND(D131&gt;1,B131="Y"),Database!M144/D131,Database!M144)</f>
        <v>1</v>
      </c>
    </row>
    <row r="132" spans="1:5" x14ac:dyDescent="0.3">
      <c r="A132">
        <f>Database!A145</f>
        <v>131</v>
      </c>
      <c r="B132" s="2">
        <f>Database!R145</f>
        <v>0</v>
      </c>
      <c r="C132" s="2" t="str">
        <f t="shared" si="4"/>
        <v>-</v>
      </c>
      <c r="D132" s="2" t="str">
        <f>IF(B132="Y",Database!L145,"-")</f>
        <v>-</v>
      </c>
      <c r="E132" s="2">
        <f>IF(AND(D132&gt;1,B132="Y"),Database!M145/D132,Database!M145)</f>
        <v>0</v>
      </c>
    </row>
    <row r="133" spans="1:5" x14ac:dyDescent="0.3">
      <c r="A133">
        <f>Database!A146</f>
        <v>132</v>
      </c>
      <c r="B133" s="2">
        <f>Database!R146</f>
        <v>0</v>
      </c>
      <c r="C133" s="2" t="str">
        <f t="shared" si="4"/>
        <v>-</v>
      </c>
      <c r="D133" s="2" t="str">
        <f>IF(B133="Y",Database!L146,"-")</f>
        <v>-</v>
      </c>
      <c r="E133" s="2">
        <f>IF(AND(D133&gt;1,B133="Y"),Database!M146/D133,Database!M146)</f>
        <v>0</v>
      </c>
    </row>
    <row r="134" spans="1:5" x14ac:dyDescent="0.3">
      <c r="A134">
        <f>Database!A147</f>
        <v>133</v>
      </c>
      <c r="B134" s="2" t="str">
        <f>Database!R147</f>
        <v>N</v>
      </c>
      <c r="C134" s="2" t="str">
        <f t="shared" si="4"/>
        <v>-</v>
      </c>
      <c r="D134" s="2" t="str">
        <f>IF(B134="Y",Database!L147,"-")</f>
        <v>-</v>
      </c>
      <c r="E134" s="2">
        <f>IF(AND(D134&gt;1,B134="Y"),Database!M147/D134,Database!M147)</f>
        <v>2</v>
      </c>
    </row>
    <row r="135" spans="1:5" x14ac:dyDescent="0.3">
      <c r="A135">
        <f>Database!A148</f>
        <v>134</v>
      </c>
      <c r="B135" s="2">
        <f>Database!R148</f>
        <v>0</v>
      </c>
      <c r="C135" s="2" t="str">
        <f t="shared" si="4"/>
        <v>-</v>
      </c>
      <c r="D135" s="2" t="str">
        <f>IF(B135="Y",Database!L148,"-")</f>
        <v>-</v>
      </c>
      <c r="E135" s="2">
        <f>IF(AND(D135&gt;1,B135="Y"),Database!M148/D135,Database!M148)</f>
        <v>0</v>
      </c>
    </row>
    <row r="136" spans="1:5" x14ac:dyDescent="0.3">
      <c r="A136">
        <f>Database!A149</f>
        <v>135</v>
      </c>
      <c r="B136" s="2" t="str">
        <f>Database!R149</f>
        <v>N</v>
      </c>
      <c r="C136" s="2" t="str">
        <f t="shared" si="4"/>
        <v>-</v>
      </c>
      <c r="D136" s="2" t="str">
        <f>IF(B136="Y",Database!L149,"-")</f>
        <v>-</v>
      </c>
      <c r="E136" s="2">
        <f>IF(AND(D136&gt;1,B136="Y"),Database!M149/D136,Database!M149)</f>
        <v>2</v>
      </c>
    </row>
    <row r="137" spans="1:5" x14ac:dyDescent="0.3">
      <c r="A137">
        <f>Database!A150</f>
        <v>136</v>
      </c>
      <c r="B137" s="2" t="str">
        <f>Database!R150</f>
        <v>Y</v>
      </c>
      <c r="C137" s="2">
        <f t="shared" si="4"/>
        <v>2</v>
      </c>
      <c r="D137" s="2">
        <f>IF(B137="Y",Database!L150,"-")</f>
        <v>1</v>
      </c>
      <c r="E137" s="2">
        <f>IF(AND(D137&gt;1,B137="Y"),Database!M150/D137,Database!M150)</f>
        <v>2</v>
      </c>
    </row>
    <row r="138" spans="1:5" x14ac:dyDescent="0.3">
      <c r="A138">
        <f>Database!A151</f>
        <v>137</v>
      </c>
      <c r="B138" s="2" t="str">
        <f>Database!R151</f>
        <v>N</v>
      </c>
      <c r="C138" s="2" t="str">
        <f t="shared" si="4"/>
        <v>-</v>
      </c>
      <c r="D138" s="2" t="str">
        <f>IF(B138="Y",Database!L151,"-")</f>
        <v>-</v>
      </c>
      <c r="E138" s="2">
        <f>IF(AND(D138&gt;1,B138="Y"),Database!M151/D138,Database!M151)</f>
        <v>2</v>
      </c>
    </row>
    <row r="139" spans="1:5" x14ac:dyDescent="0.3">
      <c r="A139">
        <f>Database!A152</f>
        <v>138</v>
      </c>
      <c r="B139" s="2" t="str">
        <f>Database!R152</f>
        <v>Y</v>
      </c>
      <c r="C139" s="2">
        <f t="shared" si="4"/>
        <v>2</v>
      </c>
      <c r="D139" s="2">
        <f>IF(B139="Y",Database!L152,"-")</f>
        <v>1</v>
      </c>
      <c r="E139" s="2">
        <f>IF(AND(D139&gt;1,B139="Y"),Database!M152/D139,Database!M152)</f>
        <v>2</v>
      </c>
    </row>
    <row r="140" spans="1:5" x14ac:dyDescent="0.3">
      <c r="A140">
        <f>Database!A153</f>
        <v>139</v>
      </c>
      <c r="B140" s="2" t="str">
        <f>Database!R153</f>
        <v>Y</v>
      </c>
      <c r="C140" s="2">
        <f t="shared" si="4"/>
        <v>2</v>
      </c>
      <c r="D140" s="2">
        <f>IF(B140="Y",Database!L153,"-")</f>
        <v>1</v>
      </c>
      <c r="E140" s="2">
        <f>IF(AND(D140&gt;1,B140="Y"),Database!M153/D140,Database!M153)</f>
        <v>2</v>
      </c>
    </row>
    <row r="141" spans="1:5" x14ac:dyDescent="0.3">
      <c r="A141">
        <f>Database!A154</f>
        <v>140</v>
      </c>
      <c r="B141" s="2" t="str">
        <f>Database!R154</f>
        <v>N</v>
      </c>
      <c r="C141" s="2" t="str">
        <f t="shared" si="4"/>
        <v>-</v>
      </c>
      <c r="D141" s="2" t="str">
        <f>IF(B141="Y",Database!L154,"-")</f>
        <v>-</v>
      </c>
      <c r="E141" s="2">
        <f>IF(AND(D141&gt;1,B141="Y"),Database!M154/D141,Database!M154)</f>
        <v>1</v>
      </c>
    </row>
    <row r="142" spans="1:5" x14ac:dyDescent="0.3">
      <c r="A142">
        <f>Database!A155</f>
        <v>141</v>
      </c>
      <c r="B142" s="2" t="str">
        <f>Database!R155</f>
        <v>Y</v>
      </c>
      <c r="C142" s="2">
        <f t="shared" si="4"/>
        <v>2</v>
      </c>
      <c r="D142" s="2">
        <f>IF(B142="Y",Database!L155,"-")</f>
        <v>1</v>
      </c>
      <c r="E142" s="2">
        <f>IF(AND(D142&gt;1,B142="Y"),Database!M155/D142,Database!M155)</f>
        <v>2</v>
      </c>
    </row>
    <row r="143" spans="1:5" x14ac:dyDescent="0.3">
      <c r="A143">
        <f>Database!A156</f>
        <v>142</v>
      </c>
      <c r="B143" s="2">
        <f>Database!R156</f>
        <v>0</v>
      </c>
      <c r="C143" s="2" t="str">
        <f t="shared" si="4"/>
        <v>-</v>
      </c>
      <c r="D143" s="2" t="str">
        <f>IF(B143="Y",Database!L156,"-")</f>
        <v>-</v>
      </c>
      <c r="E143" s="2">
        <f>IF(AND(D143&gt;1,B143="Y"),Database!M156/D143,Database!M156)</f>
        <v>0</v>
      </c>
    </row>
    <row r="144" spans="1:5" x14ac:dyDescent="0.3">
      <c r="A144">
        <f>Database!A157</f>
        <v>143</v>
      </c>
      <c r="B144" s="2" t="str">
        <f>Database!R157</f>
        <v>N</v>
      </c>
      <c r="C144" s="2" t="str">
        <f t="shared" si="4"/>
        <v>-</v>
      </c>
      <c r="D144" s="2" t="str">
        <f>IF(B144="Y",Database!L157,"-")</f>
        <v>-</v>
      </c>
      <c r="E144" s="2">
        <f>IF(AND(D144&gt;1,B144="Y"),Database!M157/D144,Database!M157)</f>
        <v>2</v>
      </c>
    </row>
    <row r="145" spans="1:5" x14ac:dyDescent="0.3">
      <c r="A145">
        <f>Database!A158</f>
        <v>144</v>
      </c>
      <c r="B145" s="2" t="str">
        <f>Database!R158</f>
        <v>N</v>
      </c>
      <c r="C145" s="2" t="str">
        <f t="shared" si="4"/>
        <v>-</v>
      </c>
      <c r="D145" s="2" t="str">
        <f>IF(B145="Y",Database!L158,"-")</f>
        <v>-</v>
      </c>
      <c r="E145" s="2">
        <f>IF(AND(D145&gt;1,B145="Y"),Database!M158/D145,Database!M158)</f>
        <v>2</v>
      </c>
    </row>
    <row r="146" spans="1:5" x14ac:dyDescent="0.3">
      <c r="A146">
        <f>Database!A159</f>
        <v>145</v>
      </c>
      <c r="B146" s="2" t="str">
        <f>Database!R159</f>
        <v>Y</v>
      </c>
      <c r="C146" s="2">
        <f t="shared" si="4"/>
        <v>2</v>
      </c>
      <c r="D146" s="2">
        <f>IF(B146="Y",Database!L159,"-")</f>
        <v>1</v>
      </c>
      <c r="E146" s="2">
        <f>IF(AND(D146&gt;1,B146="Y"),Database!M159/D146,Database!M159)</f>
        <v>2</v>
      </c>
    </row>
    <row r="147" spans="1:5" x14ac:dyDescent="0.3">
      <c r="A147">
        <f>Database!A160</f>
        <v>146</v>
      </c>
      <c r="B147" s="2" t="str">
        <f>Database!R160</f>
        <v>Y</v>
      </c>
      <c r="C147" s="2">
        <f t="shared" si="4"/>
        <v>2</v>
      </c>
      <c r="D147" s="2">
        <f>IF(B147="Y",Database!L160,"-")</f>
        <v>1</v>
      </c>
      <c r="E147" s="2">
        <f>IF(AND(D147&gt;1,B147="Y"),Database!M160/D147,Database!M160)</f>
        <v>2</v>
      </c>
    </row>
    <row r="148" spans="1:5" x14ac:dyDescent="0.3">
      <c r="A148">
        <f>Database!A161</f>
        <v>147</v>
      </c>
      <c r="B148" s="2" t="str">
        <f>Database!R161</f>
        <v>N</v>
      </c>
      <c r="C148" s="2" t="str">
        <f t="shared" si="4"/>
        <v>-</v>
      </c>
      <c r="D148" s="2" t="str">
        <f>IF(B148="Y",Database!L161,"-")</f>
        <v>-</v>
      </c>
      <c r="E148" s="2">
        <f>IF(AND(D148&gt;1,B148="Y"),Database!M161/D148,Database!M161)</f>
        <v>2</v>
      </c>
    </row>
    <row r="149" spans="1:5" x14ac:dyDescent="0.3">
      <c r="A149">
        <f>Database!A162</f>
        <v>148</v>
      </c>
      <c r="B149" s="2" t="str">
        <f>Database!R162</f>
        <v>N</v>
      </c>
      <c r="C149" s="2" t="str">
        <f t="shared" si="4"/>
        <v>-</v>
      </c>
      <c r="D149" s="2" t="str">
        <f>IF(B149="Y",Database!L162,"-")</f>
        <v>-</v>
      </c>
      <c r="E149" s="2">
        <f>IF(AND(D149&gt;1,B149="Y"),Database!M162/D149,Database!M162)</f>
        <v>2</v>
      </c>
    </row>
    <row r="150" spans="1:5" x14ac:dyDescent="0.3">
      <c r="A150">
        <f>Database!A163</f>
        <v>149</v>
      </c>
      <c r="B150" s="2" t="str">
        <f>Database!R163</f>
        <v>Y</v>
      </c>
      <c r="C150" s="2">
        <f t="shared" si="4"/>
        <v>2</v>
      </c>
      <c r="D150" s="2">
        <f>IF(B150="Y",Database!L163,"-")</f>
        <v>1</v>
      </c>
      <c r="E150" s="2">
        <f>IF(AND(D150&gt;1,B150="Y"),Database!M163/D150,Database!M163)</f>
        <v>2</v>
      </c>
    </row>
    <row r="151" spans="1:5" x14ac:dyDescent="0.3">
      <c r="A151">
        <f>Database!A164</f>
        <v>150</v>
      </c>
      <c r="B151" s="2" t="str">
        <f>Database!R164</f>
        <v>N</v>
      </c>
      <c r="C151" s="2" t="str">
        <f t="shared" si="4"/>
        <v>-</v>
      </c>
      <c r="D151" s="2" t="str">
        <f>IF(B151="Y",Database!L164,"-")</f>
        <v>-</v>
      </c>
      <c r="E151" s="2">
        <f>IF(AND(D151&gt;1,B151="Y"),Database!M164/D151,Database!M164)</f>
        <v>2</v>
      </c>
    </row>
    <row r="152" spans="1:5" x14ac:dyDescent="0.3">
      <c r="A152">
        <f>Database!A165</f>
        <v>151</v>
      </c>
      <c r="B152" s="2" t="str">
        <f>Database!R165</f>
        <v>N</v>
      </c>
      <c r="C152" s="2" t="str">
        <f t="shared" si="4"/>
        <v>-</v>
      </c>
      <c r="D152" s="2" t="str">
        <f>IF(B152="Y",Database!L165,"-")</f>
        <v>-</v>
      </c>
      <c r="E152" s="2">
        <f>IF(AND(D152&gt;1,B152="Y"),Database!M165/D152,Database!M165)</f>
        <v>1</v>
      </c>
    </row>
    <row r="153" spans="1:5" x14ac:dyDescent="0.3">
      <c r="A153">
        <f>Database!A166</f>
        <v>152</v>
      </c>
      <c r="B153" s="2" t="str">
        <f>Database!R166</f>
        <v>Y</v>
      </c>
      <c r="C153" s="2">
        <f t="shared" si="4"/>
        <v>2</v>
      </c>
      <c r="D153" s="2">
        <f>IF(B153="Y",Database!L166,"-")</f>
        <v>1</v>
      </c>
      <c r="E153" s="2">
        <f>IF(AND(D153&gt;1,B153="Y"),Database!M166/D153,Database!M166)</f>
        <v>2</v>
      </c>
    </row>
    <row r="154" spans="1:5" x14ac:dyDescent="0.3">
      <c r="A154">
        <f>Database!A167</f>
        <v>153</v>
      </c>
      <c r="B154" s="2" t="str">
        <f>Database!R167</f>
        <v>Y</v>
      </c>
      <c r="C154" s="2">
        <f t="shared" si="4"/>
        <v>2</v>
      </c>
      <c r="D154" s="2">
        <f>IF(B154="Y",Database!L167,"-")</f>
        <v>1</v>
      </c>
      <c r="E154" s="2">
        <f>IF(AND(D154&gt;1,B154="Y"),Database!M167/D154,Database!M167)</f>
        <v>2</v>
      </c>
    </row>
    <row r="155" spans="1:5" x14ac:dyDescent="0.3">
      <c r="A155">
        <f>Database!A168</f>
        <v>154</v>
      </c>
      <c r="B155" s="2" t="str">
        <f>Database!R168</f>
        <v>N</v>
      </c>
      <c r="C155" s="2" t="str">
        <f t="shared" si="4"/>
        <v>-</v>
      </c>
      <c r="D155" s="2" t="str">
        <f>IF(B155="Y",Database!L168,"-")</f>
        <v>-</v>
      </c>
      <c r="E155" s="2">
        <f>IF(AND(D155&gt;1,B155="Y"),Database!M168/D155,Database!M168)</f>
        <v>2</v>
      </c>
    </row>
    <row r="156" spans="1:5" x14ac:dyDescent="0.3">
      <c r="A156">
        <f>Database!A169</f>
        <v>155</v>
      </c>
      <c r="B156" s="2" t="str">
        <f>Database!R169</f>
        <v>N</v>
      </c>
      <c r="C156" s="2" t="str">
        <f t="shared" si="4"/>
        <v>-</v>
      </c>
      <c r="D156" s="2" t="str">
        <f>IF(B156="Y",Database!L169,"-")</f>
        <v>-</v>
      </c>
      <c r="E156" s="2">
        <f>IF(AND(D156&gt;1,B156="Y"),Database!M169/D156,Database!M169)</f>
        <v>1</v>
      </c>
    </row>
    <row r="157" spans="1:5" x14ac:dyDescent="0.3">
      <c r="A157">
        <f>Database!A170</f>
        <v>156</v>
      </c>
      <c r="B157" s="2" t="str">
        <f>Database!R170</f>
        <v>Y</v>
      </c>
      <c r="C157" s="2">
        <f t="shared" si="4"/>
        <v>1</v>
      </c>
      <c r="D157" s="2">
        <f>IF(B157="Y",Database!L170,"-")</f>
        <v>1</v>
      </c>
      <c r="E157" s="2">
        <f>IF(AND(D157&gt;1,B157="Y"),Database!M170/D157,Database!M170)</f>
        <v>1</v>
      </c>
    </row>
    <row r="158" spans="1:5" x14ac:dyDescent="0.3">
      <c r="A158">
        <f>Database!A171</f>
        <v>157</v>
      </c>
      <c r="B158" s="2" t="str">
        <f>Database!R171</f>
        <v>N</v>
      </c>
      <c r="C158" s="2" t="str">
        <f t="shared" si="4"/>
        <v>-</v>
      </c>
      <c r="D158" s="2" t="str">
        <f>IF(B158="Y",Database!L171,"-")</f>
        <v>-</v>
      </c>
      <c r="E158" s="2">
        <f>IF(AND(D158&gt;1,B158="Y"),Database!M171/D158,Database!M171)</f>
        <v>2</v>
      </c>
    </row>
    <row r="159" spans="1:5" x14ac:dyDescent="0.3">
      <c r="A159">
        <f>Database!A172</f>
        <v>158</v>
      </c>
      <c r="B159" s="2" t="str">
        <f>Database!R172</f>
        <v>N</v>
      </c>
      <c r="C159" s="2" t="str">
        <f t="shared" si="4"/>
        <v>-</v>
      </c>
      <c r="D159" s="2" t="str">
        <f>IF(B159="Y",Database!L172,"-")</f>
        <v>-</v>
      </c>
      <c r="E159" s="2">
        <f>IF(AND(D159&gt;1,B159="Y"),Database!M172/D159,Database!M172)</f>
        <v>2</v>
      </c>
    </row>
    <row r="160" spans="1:5" x14ac:dyDescent="0.3">
      <c r="A160">
        <f>Database!A173</f>
        <v>159</v>
      </c>
      <c r="B160" s="2" t="str">
        <f>Database!R173</f>
        <v>N</v>
      </c>
      <c r="C160" s="2" t="str">
        <f t="shared" si="4"/>
        <v>-</v>
      </c>
      <c r="D160" s="2" t="str">
        <f>IF(B160="Y",Database!L173,"-")</f>
        <v>-</v>
      </c>
      <c r="E160" s="2">
        <f>IF(AND(D160&gt;1,B160="Y"),Database!M173/D160,Database!M173)</f>
        <v>2</v>
      </c>
    </row>
    <row r="161" spans="1:5" x14ac:dyDescent="0.3">
      <c r="A161">
        <f>Database!A174</f>
        <v>160</v>
      </c>
      <c r="B161" s="2" t="str">
        <f>Database!R174</f>
        <v>Y</v>
      </c>
      <c r="C161" s="2">
        <f t="shared" si="4"/>
        <v>2</v>
      </c>
      <c r="D161" s="2">
        <f>IF(B161="Y",Database!L174,"-")</f>
        <v>1</v>
      </c>
      <c r="E161" s="2">
        <f>IF(AND(D161&gt;1,B161="Y"),Database!M174/D161,Database!M174)</f>
        <v>2</v>
      </c>
    </row>
    <row r="162" spans="1:5" x14ac:dyDescent="0.3">
      <c r="A162">
        <f>Database!A175</f>
        <v>161</v>
      </c>
      <c r="B162" s="2" t="str">
        <f>Database!R175</f>
        <v>N</v>
      </c>
      <c r="C162" s="2" t="str">
        <f t="shared" ref="C162:C193" si="5">IF(B162="Y",E162,"-")</f>
        <v>-</v>
      </c>
      <c r="D162" s="2" t="str">
        <f>IF(B162="Y",Database!L175,"-")</f>
        <v>-</v>
      </c>
      <c r="E162" s="2">
        <f>IF(AND(D162&gt;1,B162="Y"),Database!M175/D162,Database!M175)</f>
        <v>2</v>
      </c>
    </row>
    <row r="163" spans="1:5" x14ac:dyDescent="0.3">
      <c r="A163">
        <f>Database!A176</f>
        <v>0</v>
      </c>
      <c r="B163" s="2">
        <f>Database!R176</f>
        <v>0</v>
      </c>
      <c r="C163" s="2" t="str">
        <f t="shared" si="5"/>
        <v>-</v>
      </c>
      <c r="D163" s="2" t="str">
        <f>IF(B163="Y",Database!L176,"-")</f>
        <v>-</v>
      </c>
      <c r="E163" s="2">
        <f>IF(AND(D163&gt;1,B163="Y"),Database!M176/D163,Database!M176)</f>
        <v>0</v>
      </c>
    </row>
    <row r="164" spans="1:5" x14ac:dyDescent="0.3">
      <c r="A164">
        <f>Database!A177</f>
        <v>0</v>
      </c>
      <c r="B164" s="2">
        <f>Database!R177</f>
        <v>0</v>
      </c>
      <c r="C164" s="2" t="str">
        <f t="shared" si="5"/>
        <v>-</v>
      </c>
      <c r="D164" s="2" t="str">
        <f>IF(B164="Y",Database!L177,"-")</f>
        <v>-</v>
      </c>
      <c r="E164" s="2">
        <f>IF(AND(D164&gt;1,B164="Y"),Database!M177/D164,Database!M177)</f>
        <v>0</v>
      </c>
    </row>
    <row r="165" spans="1:5" x14ac:dyDescent="0.3">
      <c r="A165">
        <f>Database!A178</f>
        <v>0</v>
      </c>
      <c r="B165" s="2">
        <f>Database!R178</f>
        <v>0</v>
      </c>
      <c r="C165" s="2" t="str">
        <f t="shared" si="5"/>
        <v>-</v>
      </c>
      <c r="D165" s="2" t="str">
        <f>IF(B165="Y",Database!L178,"-")</f>
        <v>-</v>
      </c>
      <c r="E165" s="2">
        <f>IF(AND(D165&gt;1,B165="Y"),Database!M178/D165,Database!M178)</f>
        <v>0</v>
      </c>
    </row>
    <row r="166" spans="1:5" x14ac:dyDescent="0.3">
      <c r="A166">
        <f>Database!A179</f>
        <v>0</v>
      </c>
      <c r="B166" s="2">
        <f>Database!R179</f>
        <v>0</v>
      </c>
      <c r="C166" s="2" t="str">
        <f t="shared" si="5"/>
        <v>-</v>
      </c>
      <c r="D166" s="2" t="str">
        <f>IF(B166="Y",Database!L179,"-")</f>
        <v>-</v>
      </c>
      <c r="E166" s="2">
        <f>IF(AND(D166&gt;1,B166="Y"),Database!M179/D166,Database!M179)</f>
        <v>0</v>
      </c>
    </row>
    <row r="167" spans="1:5" x14ac:dyDescent="0.3">
      <c r="A167">
        <f>Database!A180</f>
        <v>0</v>
      </c>
      <c r="B167" s="2">
        <f>Database!R180</f>
        <v>0</v>
      </c>
      <c r="C167" s="2" t="str">
        <f t="shared" si="5"/>
        <v>-</v>
      </c>
      <c r="D167" s="2" t="str">
        <f>IF(B167="Y",Database!L180,"-")</f>
        <v>-</v>
      </c>
      <c r="E167" s="2">
        <f>IF(AND(D167&gt;1,B167="Y"),Database!M180/D167,Database!M180)</f>
        <v>0</v>
      </c>
    </row>
    <row r="168" spans="1:5" x14ac:dyDescent="0.3">
      <c r="A168">
        <f>Database!A181</f>
        <v>0</v>
      </c>
      <c r="B168" s="2">
        <f>Database!R181</f>
        <v>0</v>
      </c>
      <c r="C168" s="2" t="str">
        <f t="shared" si="5"/>
        <v>-</v>
      </c>
      <c r="D168" s="2" t="str">
        <f>IF(B168="Y",Database!L181,"-")</f>
        <v>-</v>
      </c>
      <c r="E168" s="2">
        <f>IF(AND(D168&gt;1,B168="Y"),Database!M181/D168,Database!M181)</f>
        <v>0</v>
      </c>
    </row>
    <row r="169" spans="1:5" x14ac:dyDescent="0.3">
      <c r="A169">
        <f>Database!A182</f>
        <v>0</v>
      </c>
      <c r="B169" s="2">
        <f>Database!R182</f>
        <v>0</v>
      </c>
      <c r="C169" s="2" t="str">
        <f t="shared" si="5"/>
        <v>-</v>
      </c>
      <c r="D169" s="2" t="str">
        <f>IF(B169="Y",Database!L182,"-")</f>
        <v>-</v>
      </c>
      <c r="E169" s="2">
        <f>IF(AND(D169&gt;1,B169="Y"),Database!M182/D169,Database!M182)</f>
        <v>0</v>
      </c>
    </row>
    <row r="170" spans="1:5" x14ac:dyDescent="0.3">
      <c r="A170">
        <f>Database!A183</f>
        <v>0</v>
      </c>
      <c r="B170" s="2">
        <f>Database!R183</f>
        <v>0</v>
      </c>
      <c r="C170" s="2" t="str">
        <f t="shared" si="5"/>
        <v>-</v>
      </c>
      <c r="D170" s="2" t="str">
        <f>IF(B170="Y",Database!L183,"-")</f>
        <v>-</v>
      </c>
      <c r="E170" s="2">
        <f>IF(AND(D170&gt;1,B170="Y"),Database!M183/D170,Database!M183)</f>
        <v>0</v>
      </c>
    </row>
    <row r="171" spans="1:5" x14ac:dyDescent="0.3">
      <c r="A171">
        <f>Database!A184</f>
        <v>0</v>
      </c>
      <c r="B171" s="2">
        <f>Database!R184</f>
        <v>0</v>
      </c>
      <c r="C171" s="2" t="str">
        <f t="shared" si="5"/>
        <v>-</v>
      </c>
      <c r="D171" s="2" t="str">
        <f>IF(B171="Y",Database!L184,"-")</f>
        <v>-</v>
      </c>
      <c r="E171" s="2">
        <f>IF(AND(D171&gt;1,B171="Y"),Database!M184/D171,Database!M184)</f>
        <v>0</v>
      </c>
    </row>
    <row r="172" spans="1:5" x14ac:dyDescent="0.3">
      <c r="A172">
        <f>Database!A185</f>
        <v>0</v>
      </c>
      <c r="B172" s="2">
        <f>Database!R185</f>
        <v>0</v>
      </c>
      <c r="C172" s="2" t="str">
        <f t="shared" si="5"/>
        <v>-</v>
      </c>
      <c r="D172" s="2" t="str">
        <f>IF(B172="Y",Database!L185,"-")</f>
        <v>-</v>
      </c>
      <c r="E172" s="2">
        <f>IF(AND(D172&gt;1,B172="Y"),Database!M185/D172,Database!M185)</f>
        <v>0</v>
      </c>
    </row>
    <row r="173" spans="1:5" x14ac:dyDescent="0.3">
      <c r="A173">
        <f>Database!A186</f>
        <v>0</v>
      </c>
      <c r="B173" s="2">
        <f>Database!R186</f>
        <v>0</v>
      </c>
      <c r="C173" s="2" t="str">
        <f t="shared" si="5"/>
        <v>-</v>
      </c>
      <c r="D173" s="2" t="str">
        <f>IF(B173="Y",Database!L186,"-")</f>
        <v>-</v>
      </c>
      <c r="E173" s="2">
        <f>IF(AND(D173&gt;1,B173="Y"),Database!M186/D173,Database!M186)</f>
        <v>0</v>
      </c>
    </row>
    <row r="174" spans="1:5" x14ac:dyDescent="0.3">
      <c r="A174">
        <f>Database!A187</f>
        <v>0</v>
      </c>
      <c r="B174" s="2">
        <f>Database!R187</f>
        <v>0</v>
      </c>
      <c r="C174" s="2" t="str">
        <f t="shared" si="5"/>
        <v>-</v>
      </c>
      <c r="D174" s="2" t="str">
        <f>IF(B174="Y",Database!L187,"-")</f>
        <v>-</v>
      </c>
      <c r="E174" s="2">
        <f>IF(AND(D174&gt;1,B174="Y"),Database!M187/D174,Database!M187)</f>
        <v>0</v>
      </c>
    </row>
    <row r="175" spans="1:5" x14ac:dyDescent="0.3">
      <c r="A175">
        <f>Database!A188</f>
        <v>0</v>
      </c>
      <c r="B175" s="2">
        <f>Database!R188</f>
        <v>0</v>
      </c>
      <c r="C175" s="2" t="str">
        <f t="shared" si="5"/>
        <v>-</v>
      </c>
      <c r="D175" s="2" t="str">
        <f>IF(B175="Y",Database!L188,"-")</f>
        <v>-</v>
      </c>
      <c r="E175" s="2">
        <f>IF(AND(D175&gt;1,B175="Y"),Database!M188/D175,Database!M188)</f>
        <v>0</v>
      </c>
    </row>
    <row r="176" spans="1:5" x14ac:dyDescent="0.3">
      <c r="A176">
        <f>Database!A189</f>
        <v>0</v>
      </c>
      <c r="B176" s="2">
        <f>Database!R189</f>
        <v>0</v>
      </c>
      <c r="C176" s="2" t="str">
        <f t="shared" si="5"/>
        <v>-</v>
      </c>
      <c r="D176" s="2" t="str">
        <f>IF(B176="Y",Database!L189,"-")</f>
        <v>-</v>
      </c>
      <c r="E176" s="2">
        <f>IF(AND(D176&gt;1,B176="Y"),Database!M189/D176,Database!M189)</f>
        <v>0</v>
      </c>
    </row>
    <row r="177" spans="1:5" x14ac:dyDescent="0.3">
      <c r="A177">
        <f>Database!A190</f>
        <v>0</v>
      </c>
      <c r="B177" s="2">
        <f>Database!R190</f>
        <v>0</v>
      </c>
      <c r="C177" s="2" t="str">
        <f t="shared" si="5"/>
        <v>-</v>
      </c>
      <c r="D177" s="2" t="str">
        <f>IF(B177="Y",Database!L190,"-")</f>
        <v>-</v>
      </c>
      <c r="E177" s="2">
        <f>IF(AND(D177&gt;1,B177="Y"),Database!M190/D177,Database!M190)</f>
        <v>0</v>
      </c>
    </row>
    <row r="178" spans="1:5" x14ac:dyDescent="0.3">
      <c r="A178">
        <f>Database!A191</f>
        <v>0</v>
      </c>
      <c r="B178" s="2">
        <f>Database!R191</f>
        <v>0</v>
      </c>
      <c r="C178" s="2" t="str">
        <f t="shared" si="5"/>
        <v>-</v>
      </c>
      <c r="D178" s="2" t="str">
        <f>IF(B178="Y",Database!L191,"-")</f>
        <v>-</v>
      </c>
      <c r="E178" s="2">
        <f>IF(AND(D178&gt;1,B178="Y"),Database!M191/D178,Database!M191)</f>
        <v>0</v>
      </c>
    </row>
    <row r="179" spans="1:5" x14ac:dyDescent="0.3">
      <c r="A179">
        <f>Database!A192</f>
        <v>0</v>
      </c>
      <c r="B179" s="2">
        <f>Database!R192</f>
        <v>0</v>
      </c>
      <c r="C179" s="2" t="str">
        <f t="shared" si="5"/>
        <v>-</v>
      </c>
      <c r="D179" s="2" t="str">
        <f>IF(B179="Y",Database!L192,"-")</f>
        <v>-</v>
      </c>
      <c r="E179" s="2">
        <f>IF(AND(D179&gt;1,B179="Y"),Database!M192/D179,Database!M192)</f>
        <v>0</v>
      </c>
    </row>
    <row r="180" spans="1:5" x14ac:dyDescent="0.3">
      <c r="A180">
        <f>Database!A193</f>
        <v>0</v>
      </c>
      <c r="B180" s="2">
        <f>Database!R193</f>
        <v>0</v>
      </c>
      <c r="C180" s="2" t="str">
        <f t="shared" si="5"/>
        <v>-</v>
      </c>
      <c r="D180" s="2" t="str">
        <f>IF(B180="Y",Database!L193,"-")</f>
        <v>-</v>
      </c>
      <c r="E180" s="2">
        <f>IF(AND(D180&gt;1,B180="Y"),Database!M193/D180,Database!M193)</f>
        <v>0</v>
      </c>
    </row>
    <row r="181" spans="1:5" x14ac:dyDescent="0.3">
      <c r="A181">
        <f>Database!A194</f>
        <v>0</v>
      </c>
      <c r="B181" s="2">
        <f>Database!R194</f>
        <v>0</v>
      </c>
      <c r="C181" s="2" t="str">
        <f t="shared" si="5"/>
        <v>-</v>
      </c>
      <c r="D181" s="2" t="str">
        <f>IF(B181="Y",Database!L194,"-")</f>
        <v>-</v>
      </c>
      <c r="E181" s="2">
        <f>IF(AND(D181&gt;1,B181="Y"),Database!M194/D181,Database!M194)</f>
        <v>0</v>
      </c>
    </row>
    <row r="182" spans="1:5" x14ac:dyDescent="0.3">
      <c r="A182">
        <f>Database!A195</f>
        <v>0</v>
      </c>
      <c r="B182" s="2">
        <f>Database!R195</f>
        <v>0</v>
      </c>
      <c r="C182" s="2" t="str">
        <f t="shared" si="5"/>
        <v>-</v>
      </c>
      <c r="D182" s="2" t="str">
        <f>IF(B182="Y",Database!L195,"-")</f>
        <v>-</v>
      </c>
      <c r="E182" s="2">
        <f>IF(AND(D182&gt;1,B182="Y"),Database!M195/D182,Database!M195)</f>
        <v>0</v>
      </c>
    </row>
    <row r="183" spans="1:5" x14ac:dyDescent="0.3">
      <c r="A183">
        <f>Database!A196</f>
        <v>0</v>
      </c>
      <c r="B183" s="2">
        <f>Database!R196</f>
        <v>0</v>
      </c>
      <c r="C183" s="2" t="str">
        <f t="shared" si="5"/>
        <v>-</v>
      </c>
      <c r="D183" s="2" t="str">
        <f>IF(B183="Y",Database!L196,"-")</f>
        <v>-</v>
      </c>
      <c r="E183" s="2">
        <f>IF(AND(D183&gt;1,B183="Y"),Database!M196/D183,Database!M196)</f>
        <v>0</v>
      </c>
    </row>
    <row r="184" spans="1:5" x14ac:dyDescent="0.3">
      <c r="A184">
        <f>Database!A197</f>
        <v>0</v>
      </c>
      <c r="B184" s="2">
        <f>Database!R197</f>
        <v>0</v>
      </c>
      <c r="C184" s="2" t="str">
        <f t="shared" si="5"/>
        <v>-</v>
      </c>
      <c r="D184" s="2" t="str">
        <f>IF(B184="Y",Database!L197,"-")</f>
        <v>-</v>
      </c>
      <c r="E184" s="2">
        <f>IF(AND(D184&gt;1,B184="Y"),Database!M197/D184,Database!M197)</f>
        <v>0</v>
      </c>
    </row>
    <row r="185" spans="1:5" x14ac:dyDescent="0.3">
      <c r="A185">
        <f>Database!A198</f>
        <v>0</v>
      </c>
      <c r="B185" s="2">
        <f>Database!R198</f>
        <v>0</v>
      </c>
      <c r="C185" s="2" t="str">
        <f t="shared" si="5"/>
        <v>-</v>
      </c>
      <c r="D185" s="2" t="str">
        <f>IF(B185="Y",Database!L198,"-")</f>
        <v>-</v>
      </c>
      <c r="E185" s="2">
        <f>IF(AND(D185&gt;1,B185="Y"),Database!M198/D185,Database!M198)</f>
        <v>0</v>
      </c>
    </row>
    <row r="186" spans="1:5" x14ac:dyDescent="0.3">
      <c r="A186">
        <f>Database!A199</f>
        <v>0</v>
      </c>
      <c r="B186" s="2">
        <f>Database!R199</f>
        <v>0</v>
      </c>
      <c r="C186" s="2" t="str">
        <f t="shared" si="5"/>
        <v>-</v>
      </c>
      <c r="D186" s="2" t="str">
        <f>IF(B186="Y",Database!L199,"-")</f>
        <v>-</v>
      </c>
      <c r="E186" s="2">
        <f>IF(AND(D186&gt;1,B186="Y"),Database!M199/D186,Database!M199)</f>
        <v>0</v>
      </c>
    </row>
    <row r="187" spans="1:5" x14ac:dyDescent="0.3">
      <c r="A187">
        <f>Database!A200</f>
        <v>0</v>
      </c>
      <c r="B187" s="2">
        <f>Database!R200</f>
        <v>0</v>
      </c>
      <c r="C187" s="2" t="str">
        <f t="shared" si="5"/>
        <v>-</v>
      </c>
      <c r="D187" s="2" t="str">
        <f>IF(B187="Y",Database!L200,"-")</f>
        <v>-</v>
      </c>
      <c r="E187" s="2">
        <f>IF(AND(D187&gt;1,B187="Y"),Database!M200/D187,Database!M200)</f>
        <v>0</v>
      </c>
    </row>
    <row r="188" spans="1:5" x14ac:dyDescent="0.3">
      <c r="A188">
        <f>Database!A201</f>
        <v>0</v>
      </c>
      <c r="B188" s="2">
        <f>Database!R201</f>
        <v>0</v>
      </c>
      <c r="C188" s="2" t="str">
        <f t="shared" si="5"/>
        <v>-</v>
      </c>
      <c r="D188" s="2" t="str">
        <f>IF(B188="Y",Database!L201,"-")</f>
        <v>-</v>
      </c>
      <c r="E188" s="2">
        <f>IF(AND(D188&gt;1,B188="Y"),Database!M201/D188,Database!M201)</f>
        <v>0</v>
      </c>
    </row>
    <row r="189" spans="1:5" x14ac:dyDescent="0.3">
      <c r="A189">
        <f>Database!A202</f>
        <v>0</v>
      </c>
      <c r="B189" s="2">
        <f>Database!R202</f>
        <v>0</v>
      </c>
      <c r="C189" s="2" t="str">
        <f t="shared" si="5"/>
        <v>-</v>
      </c>
      <c r="D189" s="2" t="str">
        <f>IF(B189="Y",Database!L202,"-")</f>
        <v>-</v>
      </c>
      <c r="E189" s="2">
        <f>IF(AND(D189&gt;1,B189="Y"),Database!M202/D189,Database!M202)</f>
        <v>0</v>
      </c>
    </row>
    <row r="190" spans="1:5" x14ac:dyDescent="0.3">
      <c r="A190">
        <f>Database!A203</f>
        <v>0</v>
      </c>
      <c r="B190" s="2">
        <f>Database!R203</f>
        <v>0</v>
      </c>
      <c r="C190" s="2" t="str">
        <f t="shared" si="5"/>
        <v>-</v>
      </c>
      <c r="D190" s="2" t="str">
        <f>IF(B190="Y",Database!L203,"-")</f>
        <v>-</v>
      </c>
      <c r="E190" s="2">
        <f>IF(AND(D190&gt;1,B190="Y"),Database!M203/D190,Database!M203)</f>
        <v>0</v>
      </c>
    </row>
    <row r="191" spans="1:5" x14ac:dyDescent="0.3">
      <c r="A191">
        <f>Database!A204</f>
        <v>0</v>
      </c>
      <c r="B191" s="2">
        <f>Database!R204</f>
        <v>0</v>
      </c>
      <c r="C191" s="2" t="str">
        <f t="shared" si="5"/>
        <v>-</v>
      </c>
      <c r="D191" s="2" t="str">
        <f>IF(B191="Y",Database!L204,"-")</f>
        <v>-</v>
      </c>
      <c r="E191" s="2">
        <f>IF(AND(D191&gt;1,B191="Y"),Database!M204/D191,Database!M204)</f>
        <v>0</v>
      </c>
    </row>
    <row r="192" spans="1:5" x14ac:dyDescent="0.3">
      <c r="A192">
        <f>Database!A205</f>
        <v>0</v>
      </c>
      <c r="B192" s="2">
        <f>Database!R205</f>
        <v>0</v>
      </c>
      <c r="C192" s="2" t="str">
        <f t="shared" si="5"/>
        <v>-</v>
      </c>
      <c r="D192" s="2" t="str">
        <f>IF(B192="Y",Database!L205,"-")</f>
        <v>-</v>
      </c>
      <c r="E192" s="2">
        <f>IF(AND(D192&gt;1,B192="Y"),Database!M205/D192,Database!M205)</f>
        <v>0</v>
      </c>
    </row>
    <row r="193" spans="1:5" x14ac:dyDescent="0.3">
      <c r="A193">
        <f>Database!A206</f>
        <v>0</v>
      </c>
      <c r="B193" s="2">
        <f>Database!R206</f>
        <v>0</v>
      </c>
      <c r="C193" s="2" t="str">
        <f t="shared" si="5"/>
        <v>-</v>
      </c>
      <c r="D193" s="2" t="str">
        <f>IF(B193="Y",Database!L206,"-")</f>
        <v>-</v>
      </c>
      <c r="E193" s="2">
        <f>IF(AND(D193&gt;1,B193="Y"),Database!M206/D193,Database!M206)</f>
        <v>0</v>
      </c>
    </row>
    <row r="194" spans="1:5" x14ac:dyDescent="0.3">
      <c r="A194">
        <f>Database!A207</f>
        <v>0</v>
      </c>
      <c r="B194" s="2">
        <f>Database!R207</f>
        <v>0</v>
      </c>
      <c r="C194" s="2" t="str">
        <f t="shared" ref="C194:C199" si="6">IF(B194="Y",E194,"-")</f>
        <v>-</v>
      </c>
      <c r="D194" s="2" t="str">
        <f>IF(B194="Y",Database!L207,"-")</f>
        <v>-</v>
      </c>
      <c r="E194" s="2">
        <f>IF(AND(D194&gt;1,B194="Y"),Database!M207/D194,Database!M207)</f>
        <v>0</v>
      </c>
    </row>
    <row r="195" spans="1:5" x14ac:dyDescent="0.3">
      <c r="A195">
        <f>Database!A208</f>
        <v>0</v>
      </c>
      <c r="B195" s="2">
        <f>Database!R208</f>
        <v>0</v>
      </c>
      <c r="C195" s="2" t="str">
        <f t="shared" si="6"/>
        <v>-</v>
      </c>
      <c r="D195" s="2" t="str">
        <f>IF(B195="Y",Database!L208,"-")</f>
        <v>-</v>
      </c>
      <c r="E195" s="2">
        <f>IF(AND(D195&gt;1,B195="Y"),Database!M208/D195,Database!M208)</f>
        <v>0</v>
      </c>
    </row>
    <row r="196" spans="1:5" x14ac:dyDescent="0.3">
      <c r="A196">
        <f>Database!A209</f>
        <v>0</v>
      </c>
      <c r="B196" s="2">
        <f>Database!R209</f>
        <v>0</v>
      </c>
      <c r="C196" s="2" t="str">
        <f t="shared" si="6"/>
        <v>-</v>
      </c>
      <c r="D196" s="2" t="str">
        <f>IF(B196="Y",Database!L209,"-")</f>
        <v>-</v>
      </c>
      <c r="E196" s="2">
        <f>IF(AND(D196&gt;1,B196="Y"),Database!M209/D196,Database!M209)</f>
        <v>0</v>
      </c>
    </row>
    <row r="197" spans="1:5" x14ac:dyDescent="0.3">
      <c r="A197">
        <f>Database!A210</f>
        <v>0</v>
      </c>
      <c r="B197" s="2">
        <f>Database!R210</f>
        <v>0</v>
      </c>
      <c r="C197" s="2" t="str">
        <f t="shared" si="6"/>
        <v>-</v>
      </c>
      <c r="D197" s="2" t="str">
        <f>IF(B197="Y",Database!L210,"-")</f>
        <v>-</v>
      </c>
      <c r="E197" s="2">
        <f>IF(AND(D197&gt;1,B197="Y"),Database!M210/D197,Database!M210)</f>
        <v>0</v>
      </c>
    </row>
    <row r="198" spans="1:5" x14ac:dyDescent="0.3">
      <c r="A198">
        <f>Database!A211</f>
        <v>0</v>
      </c>
      <c r="B198" s="2">
        <f>Database!R211</f>
        <v>0</v>
      </c>
      <c r="C198" s="2" t="str">
        <f t="shared" si="6"/>
        <v>-</v>
      </c>
      <c r="D198" s="2" t="str">
        <f>IF(B198="Y",Database!L211,"-")</f>
        <v>-</v>
      </c>
      <c r="E198" s="2">
        <f>IF(AND(D198&gt;1,B198="Y"),Database!M211/D198,Database!M211)</f>
        <v>0</v>
      </c>
    </row>
    <row r="199" spans="1:5" x14ac:dyDescent="0.3">
      <c r="A199">
        <f>Database!A212</f>
        <v>0</v>
      </c>
      <c r="B199" s="2">
        <f>Database!R212</f>
        <v>0</v>
      </c>
      <c r="C199" s="2" t="str">
        <f t="shared" si="6"/>
        <v>-</v>
      </c>
      <c r="D199" s="2" t="str">
        <f>IF(B199="Y",Database!L212,"-")</f>
        <v>-</v>
      </c>
      <c r="E199" s="2">
        <f>IF(AND(D199&gt;1,B199="Y"),Database!M212/D199,Database!M212)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Database!H2</f>
        <v>web</v>
      </c>
      <c r="C2" s="5">
        <f>Database!D2</f>
        <v>46222</v>
      </c>
      <c r="D2" s="5">
        <f>Database!E2</f>
        <v>46228</v>
      </c>
      <c r="E2">
        <f>D2-C2</f>
        <v>6</v>
      </c>
      <c r="F2">
        <f>Database!L2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Database!H3</f>
        <v>cansl</v>
      </c>
      <c r="C3" s="5">
        <f>Database!D3</f>
        <v>46172</v>
      </c>
      <c r="D3" s="5">
        <f>Database!E3</f>
        <v>46180</v>
      </c>
      <c r="E3">
        <f t="shared" ref="E3:E66" si="0">D3-C3</f>
        <v>8</v>
      </c>
      <c r="F3">
        <f>Database!L3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304</v>
      </c>
      <c r="M3">
        <f>SUM(J2:J200)</f>
        <v>303</v>
      </c>
    </row>
    <row r="4" spans="1:13" x14ac:dyDescent="0.3">
      <c r="A4">
        <f>Database!A4</f>
        <v>3</v>
      </c>
      <c r="B4" t="str">
        <f>Database!H4</f>
        <v>cansl</v>
      </c>
      <c r="C4" s="5">
        <f>Database!D4</f>
        <v>46283</v>
      </c>
      <c r="D4" s="5">
        <f>Database!E4</f>
        <v>46285</v>
      </c>
      <c r="E4">
        <f t="shared" si="0"/>
        <v>2</v>
      </c>
      <c r="F4">
        <f>Database!L4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Database!H5</f>
        <v>web</v>
      </c>
      <c r="C5" s="5">
        <f>Database!D5</f>
        <v>46246</v>
      </c>
      <c r="D5" s="5">
        <f>Database!E5</f>
        <v>46250</v>
      </c>
      <c r="E5">
        <f t="shared" si="0"/>
        <v>4</v>
      </c>
      <c r="F5">
        <f>Database!L5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Database!H7</f>
        <v>web</v>
      </c>
      <c r="C6" s="5">
        <f>Database!D7</f>
        <v>46169</v>
      </c>
      <c r="D6" s="5">
        <f>Database!E7</f>
        <v>46174</v>
      </c>
      <c r="E6">
        <f t="shared" si="0"/>
        <v>5</v>
      </c>
      <c r="F6">
        <f>Database!L7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Database!H8</f>
        <v>web</v>
      </c>
      <c r="C7" s="5">
        <f>Database!D8</f>
        <v>46178</v>
      </c>
      <c r="D7" s="5">
        <f>Database!E8</f>
        <v>46180</v>
      </c>
      <c r="E7">
        <f t="shared" si="0"/>
        <v>2</v>
      </c>
      <c r="F7">
        <f>Database!L8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Database!H11</f>
        <v>web</v>
      </c>
      <c r="C8" s="5">
        <f>Database!D11</f>
        <v>46207</v>
      </c>
      <c r="D8" s="5">
        <f>Database!E11</f>
        <v>46214</v>
      </c>
      <c r="E8">
        <f t="shared" si="0"/>
        <v>7</v>
      </c>
      <c r="F8">
        <f>Database!L11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Database!H12</f>
        <v>web</v>
      </c>
      <c r="C9" s="5">
        <f>Database!D12</f>
        <v>46158</v>
      </c>
      <c r="D9" s="5">
        <f>Database!E12</f>
        <v>46163</v>
      </c>
      <c r="E9">
        <f t="shared" si="0"/>
        <v>5</v>
      </c>
      <c r="F9">
        <f>Database!L12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Database!H13</f>
        <v>web</v>
      </c>
      <c r="C10" s="5">
        <f>Database!D13</f>
        <v>46159</v>
      </c>
      <c r="D10" s="5">
        <f>Database!E13</f>
        <v>46166</v>
      </c>
      <c r="E10">
        <f t="shared" si="0"/>
        <v>7</v>
      </c>
      <c r="F10">
        <f>Database!L13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Database!H14</f>
        <v>web</v>
      </c>
      <c r="C11" s="5">
        <f>Database!D14</f>
        <v>46225</v>
      </c>
      <c r="D11" s="5">
        <f>Database!E14</f>
        <v>46228</v>
      </c>
      <c r="E11">
        <f t="shared" si="0"/>
        <v>3</v>
      </c>
      <c r="F11">
        <f>Database!L14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Database!H15</f>
        <v>cansl</v>
      </c>
      <c r="C12" s="5">
        <f>Database!D15</f>
        <v>46237</v>
      </c>
      <c r="D12" s="5">
        <f>Database!E15</f>
        <v>46242</v>
      </c>
      <c r="E12">
        <f t="shared" si="0"/>
        <v>5</v>
      </c>
      <c r="F12">
        <f>Database!L15</f>
        <v>0</v>
      </c>
      <c r="G12">
        <f t="shared" si="1"/>
        <v>0</v>
      </c>
      <c r="I12">
        <f t="shared" si="2"/>
        <v>0</v>
      </c>
      <c r="J12">
        <f t="shared" si="3"/>
        <v>0</v>
      </c>
    </row>
    <row r="13" spans="1:13" x14ac:dyDescent="0.3">
      <c r="A13">
        <f>Database!A16</f>
        <v>12</v>
      </c>
      <c r="B13" t="str">
        <f>Database!H16</f>
        <v>web</v>
      </c>
      <c r="C13" s="5">
        <f>Database!D16</f>
        <v>46175</v>
      </c>
      <c r="D13" s="5">
        <f>Database!E16</f>
        <v>46179</v>
      </c>
      <c r="E13">
        <f t="shared" si="0"/>
        <v>4</v>
      </c>
      <c r="F13">
        <f>Database!L16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Database!H17</f>
        <v>web</v>
      </c>
      <c r="C14" s="5">
        <f>Database!D17</f>
        <v>46211</v>
      </c>
      <c r="D14" s="5">
        <f>Database!E17</f>
        <v>46218</v>
      </c>
      <c r="E14">
        <f t="shared" si="0"/>
        <v>7</v>
      </c>
      <c r="F14">
        <f>Database!L17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Database!H18</f>
        <v>web</v>
      </c>
      <c r="C15" s="5">
        <f>Database!D18</f>
        <v>46206</v>
      </c>
      <c r="D15" s="5">
        <f>Database!E18</f>
        <v>46213</v>
      </c>
      <c r="E15">
        <f t="shared" si="0"/>
        <v>7</v>
      </c>
      <c r="F15">
        <f>Database!L18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Database!H19</f>
        <v>FM</v>
      </c>
      <c r="C16" s="183">
        <f>Database!D19</f>
        <v>46181</v>
      </c>
      <c r="D16" s="183">
        <f>Database!E19</f>
        <v>46188</v>
      </c>
      <c r="E16" s="182">
        <f t="shared" si="0"/>
        <v>7</v>
      </c>
      <c r="F16" s="182">
        <f>Database!L19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Database!H20</f>
        <v>FM</v>
      </c>
      <c r="C17" s="183">
        <f>Database!D20</f>
        <v>46182</v>
      </c>
      <c r="D17" s="183">
        <f>Database!E20</f>
        <v>46188</v>
      </c>
      <c r="E17" s="182">
        <f t="shared" si="0"/>
        <v>6</v>
      </c>
      <c r="F17" s="182">
        <f>Database!L20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Database!H22</f>
        <v>FM</v>
      </c>
      <c r="C18" s="183">
        <f>Database!D22</f>
        <v>46181</v>
      </c>
      <c r="D18" s="183">
        <f>Database!E22</f>
        <v>46188</v>
      </c>
      <c r="E18" s="182">
        <f t="shared" si="0"/>
        <v>7</v>
      </c>
      <c r="F18" s="182">
        <f>Database!L22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Database!H23</f>
        <v>FM</v>
      </c>
      <c r="C19" s="183">
        <f>Database!D23</f>
        <v>46182</v>
      </c>
      <c r="D19" s="183">
        <f>Database!E23</f>
        <v>46187</v>
      </c>
      <c r="E19" s="182">
        <f t="shared" si="0"/>
        <v>5</v>
      </c>
      <c r="F19" s="182">
        <f>Database!L23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Database!H24</f>
        <v>web</v>
      </c>
      <c r="C20" s="5">
        <f>Database!D24</f>
        <v>46215</v>
      </c>
      <c r="D20" s="5">
        <f>Database!E24</f>
        <v>46229</v>
      </c>
      <c r="E20">
        <f t="shared" si="0"/>
        <v>14</v>
      </c>
      <c r="F20">
        <f>Database!L24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Database!H25</f>
        <v>web</v>
      </c>
      <c r="C21" s="5">
        <f>Database!D25</f>
        <v>46163</v>
      </c>
      <c r="D21" s="5">
        <f>Database!E25</f>
        <v>46167</v>
      </c>
      <c r="E21">
        <f t="shared" si="0"/>
        <v>4</v>
      </c>
      <c r="F21">
        <f>Database!L25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Database!H28</f>
        <v>web</v>
      </c>
      <c r="C22" s="5">
        <f>Database!D28</f>
        <v>46251</v>
      </c>
      <c r="D22" s="5">
        <f>Database!E28</f>
        <v>46256</v>
      </c>
      <c r="E22">
        <f t="shared" si="0"/>
        <v>5</v>
      </c>
      <c r="F22">
        <f>Database!L28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Database!H29</f>
        <v>bc</v>
      </c>
      <c r="C23" s="5">
        <f>Database!D29</f>
        <v>46271</v>
      </c>
      <c r="D23" s="5">
        <f>Database!E29</f>
        <v>46282</v>
      </c>
      <c r="E23">
        <f t="shared" si="0"/>
        <v>11</v>
      </c>
      <c r="F23">
        <f>Database!L29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Database!H30</f>
        <v>bc</v>
      </c>
      <c r="C24" s="5">
        <f>Database!D30</f>
        <v>46247</v>
      </c>
      <c r="D24" s="5">
        <f>Database!E30</f>
        <v>46250</v>
      </c>
      <c r="E24">
        <f t="shared" si="0"/>
        <v>3</v>
      </c>
      <c r="F24">
        <f>Database!L30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Database!H31</f>
        <v>bc</v>
      </c>
      <c r="C25" s="5">
        <f>Database!D31</f>
        <v>46205</v>
      </c>
      <c r="D25" s="5">
        <f>Database!E31</f>
        <v>46208</v>
      </c>
      <c r="E25">
        <f t="shared" si="0"/>
        <v>3</v>
      </c>
      <c r="F25">
        <f>Database!L31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Database!H32</f>
        <v>bc</v>
      </c>
      <c r="C26" s="5">
        <f>Database!D32</f>
        <v>46256</v>
      </c>
      <c r="D26" s="5">
        <f>Database!E32</f>
        <v>46261</v>
      </c>
      <c r="E26">
        <f t="shared" si="0"/>
        <v>5</v>
      </c>
      <c r="F26">
        <f>Database!L32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Database!H33</f>
        <v>bc</v>
      </c>
      <c r="C27" s="5">
        <f>Database!D33</f>
        <v>46251</v>
      </c>
      <c r="D27" s="5">
        <f>Database!E33</f>
        <v>46255</v>
      </c>
      <c r="E27">
        <f t="shared" si="0"/>
        <v>4</v>
      </c>
      <c r="F27">
        <f>Database!L33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Database!H34</f>
        <v>web</v>
      </c>
      <c r="C28" s="5">
        <f>Database!D34</f>
        <v>46176</v>
      </c>
      <c r="D28" s="5">
        <f>Database!E34</f>
        <v>46182</v>
      </c>
      <c r="E28">
        <f t="shared" si="0"/>
        <v>6</v>
      </c>
      <c r="F28">
        <f>Database!L34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Database!H35</f>
        <v>bc</v>
      </c>
      <c r="C29" s="5">
        <f>Database!D35</f>
        <v>46143</v>
      </c>
      <c r="D29" s="5">
        <f>Database!E35</f>
        <v>46145</v>
      </c>
      <c r="E29">
        <f t="shared" si="0"/>
        <v>2</v>
      </c>
      <c r="F29">
        <f>Database!L35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Database!H36</f>
        <v>cansl</v>
      </c>
      <c r="C30" s="5">
        <f>Database!D36</f>
        <v>46177</v>
      </c>
      <c r="D30" s="5">
        <f>Database!E36</f>
        <v>46179</v>
      </c>
      <c r="E30">
        <f t="shared" si="0"/>
        <v>2</v>
      </c>
      <c r="F30">
        <f>Database!L36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Database!H38</f>
        <v>bc</v>
      </c>
      <c r="C31" s="5">
        <f>Database!D38</f>
        <v>46230</v>
      </c>
      <c r="D31" s="5">
        <f>Database!E38</f>
        <v>46234</v>
      </c>
      <c r="E31">
        <f t="shared" si="0"/>
        <v>4</v>
      </c>
      <c r="F31">
        <f>Database!L38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Database!H39</f>
        <v>web</v>
      </c>
      <c r="C32" s="5">
        <f>Database!D39</f>
        <v>46190</v>
      </c>
      <c r="D32" s="5">
        <f>Database!E39</f>
        <v>46195</v>
      </c>
      <c r="E32">
        <f t="shared" si="0"/>
        <v>5</v>
      </c>
      <c r="F32">
        <f>Database!L39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Database!H40</f>
        <v>bc</v>
      </c>
      <c r="C33" s="5">
        <f>Database!D40</f>
        <v>46240</v>
      </c>
      <c r="D33" s="5">
        <f>Database!E40</f>
        <v>46247</v>
      </c>
      <c r="E33">
        <f t="shared" si="0"/>
        <v>7</v>
      </c>
      <c r="F33">
        <f>Database!L40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Database!H41</f>
        <v>bc</v>
      </c>
      <c r="C34" s="5">
        <f>Database!D41</f>
        <v>46240</v>
      </c>
      <c r="D34" s="5">
        <f>Database!E41</f>
        <v>46247</v>
      </c>
      <c r="E34">
        <f t="shared" si="0"/>
        <v>7</v>
      </c>
      <c r="F34">
        <f>Database!L41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Database!H42</f>
        <v>bc</v>
      </c>
      <c r="C35" s="5">
        <f>Database!D42</f>
        <v>46198</v>
      </c>
      <c r="D35" s="5">
        <f>Database!E42</f>
        <v>46208</v>
      </c>
      <c r="E35">
        <f t="shared" si="0"/>
        <v>10</v>
      </c>
      <c r="F35">
        <f>Database!L42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Database!H43</f>
        <v>web</v>
      </c>
      <c r="C36" s="5">
        <f>Database!D43</f>
        <v>46261</v>
      </c>
      <c r="D36" s="5">
        <f>Database!E43</f>
        <v>46265</v>
      </c>
      <c r="E36">
        <f t="shared" si="0"/>
        <v>4</v>
      </c>
      <c r="F36">
        <f>Database!L43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Database!H44</f>
        <v>bc</v>
      </c>
      <c r="C37" s="5">
        <f>Database!D44</f>
        <v>46209</v>
      </c>
      <c r="D37" s="5">
        <f>Database!E44</f>
        <v>46212</v>
      </c>
      <c r="E37">
        <f t="shared" si="0"/>
        <v>3</v>
      </c>
      <c r="F37">
        <f>Database!L44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Database!H46</f>
        <v>bc</v>
      </c>
      <c r="C38" s="5">
        <f>Database!D46</f>
        <v>46195</v>
      </c>
      <c r="D38" s="5">
        <f>Database!E46</f>
        <v>46198</v>
      </c>
      <c r="E38">
        <f t="shared" si="0"/>
        <v>3</v>
      </c>
      <c r="F38">
        <f>Database!L46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Database!H47</f>
        <v>bc</v>
      </c>
      <c r="C39" s="5">
        <f>Database!D47</f>
        <v>46221</v>
      </c>
      <c r="D39" s="5">
        <f>Database!E47</f>
        <v>46228</v>
      </c>
      <c r="E39">
        <f t="shared" si="0"/>
        <v>7</v>
      </c>
      <c r="F39">
        <f>Database!L47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Database!H48</f>
        <v>cansl</v>
      </c>
      <c r="C40" s="5">
        <f>Database!D48</f>
        <v>46216</v>
      </c>
      <c r="D40" s="5">
        <f>Database!E48</f>
        <v>46220</v>
      </c>
      <c r="E40">
        <f t="shared" si="0"/>
        <v>4</v>
      </c>
      <c r="F40">
        <f>Database!L48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Database!H49</f>
        <v>cansl</v>
      </c>
      <c r="C41" s="5">
        <f>Database!D49</f>
        <v>46164</v>
      </c>
      <c r="D41" s="5">
        <f>Database!E49</f>
        <v>46167</v>
      </c>
      <c r="E41">
        <f t="shared" si="0"/>
        <v>3</v>
      </c>
      <c r="F41">
        <f>Database!L49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Database!H50</f>
        <v>bc</v>
      </c>
      <c r="C42" s="5">
        <f>Database!D50</f>
        <v>46282</v>
      </c>
      <c r="D42" s="5">
        <f>Database!E50</f>
        <v>46284</v>
      </c>
      <c r="E42">
        <f t="shared" si="0"/>
        <v>2</v>
      </c>
      <c r="F42">
        <f>Database!L50</f>
        <v>1</v>
      </c>
      <c r="G42">
        <f t="shared" si="1"/>
        <v>2</v>
      </c>
      <c r="I42">
        <f t="shared" si="2"/>
        <v>0</v>
      </c>
      <c r="J42">
        <f t="shared" si="3"/>
        <v>2</v>
      </c>
    </row>
    <row r="43" spans="1:10" x14ac:dyDescent="0.3">
      <c r="A43">
        <f>Database!A51</f>
        <v>42</v>
      </c>
      <c r="B43" t="str">
        <f>Database!H51</f>
        <v>bc</v>
      </c>
      <c r="C43" s="5">
        <f>Database!D51</f>
        <v>46282</v>
      </c>
      <c r="D43" s="5">
        <f>Database!E51</f>
        <v>46285</v>
      </c>
      <c r="E43">
        <f t="shared" si="0"/>
        <v>3</v>
      </c>
      <c r="F43">
        <f>Database!L51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Database!H52</f>
        <v>web</v>
      </c>
      <c r="C44" s="5">
        <f>Database!D52</f>
        <v>46216</v>
      </c>
      <c r="D44" s="5">
        <f>Database!E52</f>
        <v>46219</v>
      </c>
      <c r="E44">
        <f t="shared" si="0"/>
        <v>3</v>
      </c>
      <c r="F44">
        <f>Database!L52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Database!H53</f>
        <v>bc</v>
      </c>
      <c r="C45" s="5">
        <f>Database!D53</f>
        <v>46222</v>
      </c>
      <c r="D45" s="5">
        <f>Database!E53</f>
        <v>46227</v>
      </c>
      <c r="E45">
        <f t="shared" si="0"/>
        <v>5</v>
      </c>
      <c r="F45">
        <f>Database!L53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Database!H54</f>
        <v>bc</v>
      </c>
      <c r="C46" s="5">
        <f>Database!D54</f>
        <v>46240</v>
      </c>
      <c r="D46" s="5">
        <f>Database!E54</f>
        <v>46243</v>
      </c>
      <c r="E46">
        <f t="shared" si="0"/>
        <v>3</v>
      </c>
      <c r="F46">
        <f>Database!L54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Database!H55</f>
        <v>bc</v>
      </c>
      <c r="C47" s="5">
        <f>Database!D55</f>
        <v>46247</v>
      </c>
      <c r="D47" s="5">
        <f>Database!E55</f>
        <v>46251</v>
      </c>
      <c r="E47">
        <f t="shared" si="0"/>
        <v>4</v>
      </c>
      <c r="F47">
        <f>Database!L55</f>
        <v>1</v>
      </c>
      <c r="G47">
        <f t="shared" si="1"/>
        <v>4</v>
      </c>
      <c r="I47">
        <f t="shared" si="2"/>
        <v>0</v>
      </c>
      <c r="J47">
        <f t="shared" si="3"/>
        <v>4</v>
      </c>
    </row>
    <row r="48" spans="1:10" x14ac:dyDescent="0.3">
      <c r="A48">
        <f>Database!A56</f>
        <v>47</v>
      </c>
      <c r="B48" t="str">
        <f>Database!H56</f>
        <v>web</v>
      </c>
      <c r="C48" s="5">
        <f>Database!D56</f>
        <v>46281</v>
      </c>
      <c r="D48" s="5">
        <f>Database!E56</f>
        <v>46286</v>
      </c>
      <c r="E48">
        <f t="shared" si="0"/>
        <v>5</v>
      </c>
      <c r="F48">
        <f>Database!L56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Database!H57</f>
        <v>cansl</v>
      </c>
      <c r="C49" s="5">
        <f>Database!D57</f>
        <v>46156</v>
      </c>
      <c r="D49" s="5">
        <f>Database!E57</f>
        <v>46159</v>
      </c>
      <c r="E49">
        <f t="shared" si="0"/>
        <v>3</v>
      </c>
      <c r="F49">
        <f>Database!L57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Database!H58</f>
        <v>bc</v>
      </c>
      <c r="C50" s="5">
        <f>Database!D58</f>
        <v>46228</v>
      </c>
      <c r="D50" s="5">
        <f>Database!E58</f>
        <v>46235</v>
      </c>
      <c r="E50">
        <f t="shared" si="0"/>
        <v>7</v>
      </c>
      <c r="F50">
        <f>Database!L58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Database!H59</f>
        <v>bc</v>
      </c>
      <c r="C51" s="5">
        <f>Database!D59</f>
        <v>46237</v>
      </c>
      <c r="D51" s="5">
        <f>Database!E59</f>
        <v>46241</v>
      </c>
      <c r="E51">
        <f t="shared" si="0"/>
        <v>4</v>
      </c>
      <c r="F51">
        <f>Database!L59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Database!H60</f>
        <v>web</v>
      </c>
      <c r="C52" s="5">
        <f>Database!D60</f>
        <v>46250</v>
      </c>
      <c r="D52" s="5">
        <f>Database!E60</f>
        <v>46255</v>
      </c>
      <c r="E52">
        <f t="shared" si="0"/>
        <v>5</v>
      </c>
      <c r="F52">
        <f>Database!L60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Database!H61</f>
        <v>bc</v>
      </c>
      <c r="C53" s="5">
        <f>Database!D61</f>
        <v>46251</v>
      </c>
      <c r="D53" s="5">
        <f>Database!E61</f>
        <v>46255</v>
      </c>
      <c r="E53">
        <f t="shared" si="0"/>
        <v>4</v>
      </c>
      <c r="F53">
        <f>Database!L61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Database!H62</f>
        <v>bc</v>
      </c>
      <c r="C54" s="5">
        <f>Database!D62</f>
        <v>46155</v>
      </c>
      <c r="D54" s="5">
        <f>Database!E62</f>
        <v>46158</v>
      </c>
      <c r="E54">
        <f t="shared" si="0"/>
        <v>3</v>
      </c>
      <c r="F54">
        <f>Database!L62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Database!H63</f>
        <v>cansl</v>
      </c>
      <c r="C55" s="5">
        <f>Database!D63</f>
        <v>46254</v>
      </c>
      <c r="D55" s="5">
        <f>Database!E63</f>
        <v>46257</v>
      </c>
      <c r="E55">
        <f t="shared" si="0"/>
        <v>3</v>
      </c>
      <c r="F55">
        <f>Database!L63</f>
        <v>0</v>
      </c>
      <c r="G55">
        <f t="shared" si="1"/>
        <v>0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Database!H64</f>
        <v>bc</v>
      </c>
      <c r="C56" s="5">
        <f>Database!D64</f>
        <v>46230</v>
      </c>
      <c r="D56" s="5">
        <f>Database!E64</f>
        <v>46234</v>
      </c>
      <c r="E56">
        <f t="shared" si="0"/>
        <v>4</v>
      </c>
      <c r="F56">
        <f>Database!L64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Database!H65</f>
        <v>bc</v>
      </c>
      <c r="C57" s="5">
        <f>Database!D65</f>
        <v>46192</v>
      </c>
      <c r="D57" s="5">
        <f>Database!E65</f>
        <v>46194</v>
      </c>
      <c r="E57">
        <f t="shared" si="0"/>
        <v>2</v>
      </c>
      <c r="F57">
        <f>Database!L65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Database!H66</f>
        <v>bc</v>
      </c>
      <c r="C58" s="5">
        <f>Database!D66</f>
        <v>46232</v>
      </c>
      <c r="D58" s="5">
        <f>Database!E66</f>
        <v>46238</v>
      </c>
      <c r="E58">
        <f t="shared" si="0"/>
        <v>6</v>
      </c>
      <c r="F58">
        <f>Database!L66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Database!H67</f>
        <v>web</v>
      </c>
      <c r="C59" s="5">
        <f>Database!D67</f>
        <v>46229</v>
      </c>
      <c r="D59" s="5">
        <f>Database!E67</f>
        <v>46232</v>
      </c>
      <c r="E59">
        <f t="shared" si="0"/>
        <v>3</v>
      </c>
      <c r="F59">
        <f>Database!L67</f>
        <v>2</v>
      </c>
      <c r="G59">
        <f t="shared" si="1"/>
        <v>6</v>
      </c>
      <c r="I59">
        <f t="shared" si="2"/>
        <v>6</v>
      </c>
      <c r="J59">
        <f t="shared" si="3"/>
        <v>0</v>
      </c>
    </row>
    <row r="60" spans="1:10" x14ac:dyDescent="0.3">
      <c r="A60">
        <f>Database!A69</f>
        <v>59</v>
      </c>
      <c r="B60" t="str">
        <f>Database!H69</f>
        <v>bc</v>
      </c>
      <c r="C60" s="5">
        <f>Database!D69</f>
        <v>46244</v>
      </c>
      <c r="D60" s="5">
        <f>Database!E69</f>
        <v>46248</v>
      </c>
      <c r="E60">
        <f t="shared" si="0"/>
        <v>4</v>
      </c>
      <c r="F60">
        <f>Database!L69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Database!H70</f>
        <v>bc</v>
      </c>
      <c r="C61" s="5">
        <f>Database!D70</f>
        <v>46258</v>
      </c>
      <c r="D61" s="5">
        <f>Database!E70</f>
        <v>46262</v>
      </c>
      <c r="E61">
        <f t="shared" si="0"/>
        <v>4</v>
      </c>
      <c r="F61">
        <f>Database!L70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Database!H71</f>
        <v>bc</v>
      </c>
      <c r="C62" s="5">
        <f>Database!D71</f>
        <v>46199</v>
      </c>
      <c r="D62" s="5">
        <f>Database!E71</f>
        <v>46202</v>
      </c>
      <c r="E62">
        <f t="shared" si="0"/>
        <v>3</v>
      </c>
      <c r="F62">
        <f>Database!L71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Database!H72</f>
        <v>bc</v>
      </c>
      <c r="C63" s="5">
        <f>Database!D72</f>
        <v>46214</v>
      </c>
      <c r="D63" s="5">
        <f>Database!E72</f>
        <v>46222</v>
      </c>
      <c r="E63">
        <f t="shared" si="0"/>
        <v>8</v>
      </c>
      <c r="F63">
        <f>Database!L72</f>
        <v>1</v>
      </c>
      <c r="G63">
        <f t="shared" si="1"/>
        <v>8</v>
      </c>
      <c r="I63">
        <f t="shared" si="2"/>
        <v>0</v>
      </c>
      <c r="J63">
        <f t="shared" si="3"/>
        <v>8</v>
      </c>
    </row>
    <row r="64" spans="1:10" x14ac:dyDescent="0.3">
      <c r="A64">
        <f>Database!A73</f>
        <v>63</v>
      </c>
      <c r="B64" t="str">
        <f>Database!H73</f>
        <v>web</v>
      </c>
      <c r="C64" s="5">
        <f>Database!D73</f>
        <v>46153</v>
      </c>
      <c r="D64" s="5">
        <f>Database!E73</f>
        <v>46155</v>
      </c>
      <c r="E64">
        <f t="shared" si="0"/>
        <v>2</v>
      </c>
      <c r="F64">
        <f>Database!L73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Database!H74</f>
        <v>bc</v>
      </c>
      <c r="C65" s="5">
        <f>Database!D74</f>
        <v>46198</v>
      </c>
      <c r="D65" s="5">
        <f>Database!E74</f>
        <v>46201</v>
      </c>
      <c r="E65">
        <f t="shared" si="0"/>
        <v>3</v>
      </c>
      <c r="F65">
        <f>Database!L74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Database!H75</f>
        <v>bc</v>
      </c>
      <c r="C66" s="5">
        <f>Database!D75</f>
        <v>46256</v>
      </c>
      <c r="D66" s="5">
        <f>Database!E75</f>
        <v>46258</v>
      </c>
      <c r="E66">
        <f t="shared" si="0"/>
        <v>2</v>
      </c>
      <c r="F66">
        <f>Database!L75</f>
        <v>1</v>
      </c>
      <c r="G66">
        <f t="shared" si="1"/>
        <v>2</v>
      </c>
      <c r="I66">
        <f t="shared" si="2"/>
        <v>0</v>
      </c>
      <c r="J66">
        <f t="shared" si="3"/>
        <v>2</v>
      </c>
    </row>
    <row r="67" spans="1:10" x14ac:dyDescent="0.3">
      <c r="A67">
        <f>Database!A76</f>
        <v>66</v>
      </c>
      <c r="B67" t="str">
        <f>Database!H76</f>
        <v>web</v>
      </c>
      <c r="C67" s="5">
        <f>Database!D76</f>
        <v>46214</v>
      </c>
      <c r="D67" s="5">
        <f>Database!E76</f>
        <v>46222</v>
      </c>
      <c r="E67">
        <f t="shared" ref="E67:E130" si="4">D67-C67</f>
        <v>8</v>
      </c>
      <c r="F67">
        <f>Database!L76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Database!H77</f>
        <v>bc</v>
      </c>
      <c r="C68" s="5">
        <f>Database!D77</f>
        <v>46260</v>
      </c>
      <c r="D68" s="5">
        <f>Database!E77</f>
        <v>46265</v>
      </c>
      <c r="E68">
        <f t="shared" si="4"/>
        <v>5</v>
      </c>
      <c r="F68">
        <f>Database!L77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Database!H78</f>
        <v>bc</v>
      </c>
      <c r="C69" s="5">
        <f>Database!D78</f>
        <v>46143</v>
      </c>
      <c r="D69" s="5">
        <f>Database!E78</f>
        <v>46145</v>
      </c>
      <c r="E69">
        <f t="shared" si="4"/>
        <v>2</v>
      </c>
      <c r="F69">
        <f>Database!L78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Database!H79</f>
        <v>cansl</v>
      </c>
      <c r="C70" s="5">
        <f>Database!D79</f>
        <v>46212</v>
      </c>
      <c r="D70" s="5">
        <f>Database!E79</f>
        <v>46215</v>
      </c>
      <c r="E70">
        <f t="shared" si="4"/>
        <v>3</v>
      </c>
      <c r="F70">
        <f>Database!L79</f>
        <v>0</v>
      </c>
      <c r="G70">
        <f t="shared" si="5"/>
        <v>0</v>
      </c>
      <c r="I70">
        <f t="shared" si="6"/>
        <v>0</v>
      </c>
      <c r="J70">
        <f t="shared" si="7"/>
        <v>0</v>
      </c>
    </row>
    <row r="71" spans="1:10" x14ac:dyDescent="0.3">
      <c r="A71">
        <f>Database!A80</f>
        <v>70</v>
      </c>
      <c r="B71" t="str">
        <f>Database!H80</f>
        <v>web</v>
      </c>
      <c r="C71" s="5">
        <f>Database!D80</f>
        <v>46188</v>
      </c>
      <c r="D71" s="5">
        <f>Database!E80</f>
        <v>46193</v>
      </c>
      <c r="E71">
        <f t="shared" si="4"/>
        <v>5</v>
      </c>
      <c r="F71">
        <f>Database!L80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Database!H81</f>
        <v>cansl</v>
      </c>
      <c r="C72" s="5">
        <f>Database!D81</f>
        <v>46260</v>
      </c>
      <c r="D72" s="5">
        <f>Database!E81</f>
        <v>46264</v>
      </c>
      <c r="E72">
        <f t="shared" si="4"/>
        <v>4</v>
      </c>
      <c r="F72">
        <f>Database!L81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Database!H82</f>
        <v>bc</v>
      </c>
      <c r="C73" s="5">
        <f>Database!D82</f>
        <v>46145</v>
      </c>
      <c r="D73" s="5">
        <f>Database!E82</f>
        <v>46152</v>
      </c>
      <c r="E73">
        <f t="shared" si="4"/>
        <v>7</v>
      </c>
      <c r="F73">
        <f>Database!L82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Database!H83</f>
        <v>cansl</v>
      </c>
      <c r="C74" s="5">
        <f>Database!D83</f>
        <v>46143</v>
      </c>
      <c r="D74" s="5">
        <f>Database!E83</f>
        <v>46145</v>
      </c>
      <c r="E74">
        <f t="shared" si="4"/>
        <v>2</v>
      </c>
      <c r="F74">
        <f>Database!L83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Database!H84</f>
        <v>web</v>
      </c>
      <c r="C75" s="5">
        <f>Database!D84</f>
        <v>46236</v>
      </c>
      <c r="D75" s="5">
        <f>Database!E84</f>
        <v>46240</v>
      </c>
      <c r="E75">
        <f t="shared" si="4"/>
        <v>4</v>
      </c>
      <c r="F75">
        <f>Database!L84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Database!H86</f>
        <v>cansl</v>
      </c>
      <c r="C76" s="5">
        <f>Database!D86</f>
        <v>46276</v>
      </c>
      <c r="D76" s="5">
        <f>Database!E86</f>
        <v>46279</v>
      </c>
      <c r="E76">
        <f t="shared" si="4"/>
        <v>3</v>
      </c>
      <c r="F76">
        <f>Database!L86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Database!H87</f>
        <v>bc</v>
      </c>
      <c r="C77" s="5">
        <f>Database!D87</f>
        <v>46202</v>
      </c>
      <c r="D77" s="5">
        <f>Database!E87</f>
        <v>46206</v>
      </c>
      <c r="E77">
        <f t="shared" si="4"/>
        <v>4</v>
      </c>
      <c r="F77">
        <f>Database!L87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Database!H88</f>
        <v>web</v>
      </c>
      <c r="C78" s="5">
        <f>Database!D88</f>
        <v>46200</v>
      </c>
      <c r="D78" s="5">
        <f>Database!E88</f>
        <v>46207</v>
      </c>
      <c r="E78">
        <f t="shared" si="4"/>
        <v>7</v>
      </c>
      <c r="F78">
        <f>Database!L88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Database!H89</f>
        <v>bc</v>
      </c>
      <c r="C79" s="5">
        <f>Database!D89</f>
        <v>46260</v>
      </c>
      <c r="D79" s="5">
        <f>Database!E89</f>
        <v>46268</v>
      </c>
      <c r="E79">
        <f t="shared" si="4"/>
        <v>8</v>
      </c>
      <c r="F79">
        <f>Database!L89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Database!H90</f>
        <v>web</v>
      </c>
      <c r="C80" s="5">
        <f>Database!D90</f>
        <v>46173</v>
      </c>
      <c r="D80" s="5">
        <f>Database!E90</f>
        <v>46178</v>
      </c>
      <c r="E80">
        <f t="shared" si="4"/>
        <v>5</v>
      </c>
      <c r="F80">
        <f>Database!L90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Database!H91</f>
        <v>web</v>
      </c>
      <c r="C81" s="5">
        <f>Database!D91</f>
        <v>46149</v>
      </c>
      <c r="D81" s="5">
        <f>Database!E91</f>
        <v>46152</v>
      </c>
      <c r="E81">
        <f t="shared" si="4"/>
        <v>3</v>
      </c>
      <c r="F81">
        <f>Database!L91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Database!H93</f>
        <v>bc</v>
      </c>
      <c r="C82" s="5">
        <f>Database!D93</f>
        <v>46218</v>
      </c>
      <c r="D82" s="5">
        <f>Database!E93</f>
        <v>46221</v>
      </c>
      <c r="E82">
        <f t="shared" si="4"/>
        <v>3</v>
      </c>
      <c r="F82">
        <f>Database!L93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Database!H94</f>
        <v>cansl</v>
      </c>
      <c r="C83" s="5">
        <f>Database!D94</f>
        <v>46143</v>
      </c>
      <c r="D83" s="5">
        <f>Database!E94</f>
        <v>46145</v>
      </c>
      <c r="E83">
        <f t="shared" si="4"/>
        <v>2</v>
      </c>
      <c r="F83">
        <f>Database!L94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Database!H95</f>
        <v>bc</v>
      </c>
      <c r="C84" s="5">
        <f>Database!D95</f>
        <v>46187</v>
      </c>
      <c r="D84" s="5">
        <f>Database!E95</f>
        <v>46191</v>
      </c>
      <c r="E84">
        <f t="shared" si="4"/>
        <v>4</v>
      </c>
      <c r="F84">
        <f>Database!L95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Database!H96</f>
        <v>web</v>
      </c>
      <c r="C85" s="5">
        <f>Database!D96</f>
        <v>46212</v>
      </c>
      <c r="D85" s="5">
        <f>Database!E96</f>
        <v>46216</v>
      </c>
      <c r="E85">
        <f t="shared" si="4"/>
        <v>4</v>
      </c>
      <c r="F85">
        <f>Database!L96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Database!H97</f>
        <v>bc</v>
      </c>
      <c r="C86" s="5">
        <f>Database!D97</f>
        <v>46143</v>
      </c>
      <c r="D86" s="5">
        <f>Database!E97</f>
        <v>46145</v>
      </c>
      <c r="E86">
        <f t="shared" si="4"/>
        <v>2</v>
      </c>
      <c r="F86">
        <f>Database!L97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Database!H98</f>
        <v>web</v>
      </c>
      <c r="C87" s="5">
        <f>Database!D98</f>
        <v>46188</v>
      </c>
      <c r="D87" s="5">
        <f>Database!E98</f>
        <v>46195</v>
      </c>
      <c r="E87">
        <f t="shared" si="4"/>
        <v>7</v>
      </c>
      <c r="F87">
        <f>Database!L98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Database!H99</f>
        <v>bc</v>
      </c>
      <c r="C88" s="5">
        <f>Database!D99</f>
        <v>46199</v>
      </c>
      <c r="D88" s="5">
        <f>Database!E99</f>
        <v>46202</v>
      </c>
      <c r="E88">
        <f t="shared" si="4"/>
        <v>3</v>
      </c>
      <c r="F88">
        <f>Database!L99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Database!H100</f>
        <v>cansl</v>
      </c>
      <c r="C89" s="5">
        <f>Database!D100</f>
        <v>46188</v>
      </c>
      <c r="D89" s="5">
        <f>Database!E100</f>
        <v>46191</v>
      </c>
      <c r="E89">
        <f t="shared" si="4"/>
        <v>3</v>
      </c>
      <c r="F89">
        <f>Database!L100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Database!H101</f>
        <v>web</v>
      </c>
      <c r="C90" s="5">
        <f>Database!D101</f>
        <v>46276</v>
      </c>
      <c r="D90" s="5">
        <f>Database!E101</f>
        <v>46278</v>
      </c>
      <c r="E90">
        <f t="shared" si="4"/>
        <v>2</v>
      </c>
      <c r="F90">
        <f>Database!L101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Database!H103</f>
        <v>bc</v>
      </c>
      <c r="C91" s="5">
        <f>Database!D103</f>
        <v>46156</v>
      </c>
      <c r="D91" s="5">
        <f>Database!E103</f>
        <v>46159</v>
      </c>
      <c r="E91">
        <f t="shared" si="4"/>
        <v>3</v>
      </c>
      <c r="F91">
        <f>Database!L103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Database!H104</f>
        <v>web</v>
      </c>
      <c r="C92" s="5">
        <f>Database!D104</f>
        <v>46157</v>
      </c>
      <c r="D92" s="5">
        <f>Database!E104</f>
        <v>46159</v>
      </c>
      <c r="E92">
        <f t="shared" si="4"/>
        <v>2</v>
      </c>
      <c r="F92">
        <f>Database!L104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Database!H105</f>
        <v>web</v>
      </c>
      <c r="C93" s="5">
        <f>Database!D105</f>
        <v>46241</v>
      </c>
      <c r="D93" s="5">
        <f>Database!E105</f>
        <v>46246</v>
      </c>
      <c r="E93">
        <f t="shared" si="4"/>
        <v>5</v>
      </c>
      <c r="F93">
        <f>Database!L105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Database!H106</f>
        <v>bc</v>
      </c>
      <c r="C94" s="5">
        <f>Database!D106</f>
        <v>46255</v>
      </c>
      <c r="D94" s="5">
        <f>Database!E106</f>
        <v>46258</v>
      </c>
      <c r="E94">
        <f t="shared" si="4"/>
        <v>3</v>
      </c>
      <c r="F94">
        <f>Database!L106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Database!H107</f>
        <v>bc</v>
      </c>
      <c r="C95" s="5">
        <f>Database!D107</f>
        <v>46234</v>
      </c>
      <c r="D95" s="5">
        <f>Database!E107</f>
        <v>46237</v>
      </c>
      <c r="E95">
        <f t="shared" si="4"/>
        <v>3</v>
      </c>
      <c r="F95">
        <f>Database!L107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Database!H108</f>
        <v>bc</v>
      </c>
      <c r="C96" s="5">
        <f>Database!D108</f>
        <v>46156</v>
      </c>
      <c r="D96" s="5">
        <f>Database!E108</f>
        <v>46159</v>
      </c>
      <c r="E96">
        <f t="shared" si="4"/>
        <v>3</v>
      </c>
      <c r="F96">
        <f>Database!L108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Database!H109</f>
        <v>bc</v>
      </c>
      <c r="C97" s="5">
        <f>Database!D109</f>
        <v>46159</v>
      </c>
      <c r="D97" s="5">
        <f>Database!E109</f>
        <v>46163</v>
      </c>
      <c r="E97">
        <f t="shared" si="4"/>
        <v>4</v>
      </c>
      <c r="F97">
        <f>Database!L109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Database!H110</f>
        <v>bc</v>
      </c>
      <c r="C98" s="5">
        <f>Database!D110</f>
        <v>46156</v>
      </c>
      <c r="D98" s="5">
        <f>Database!E110</f>
        <v>46159</v>
      </c>
      <c r="E98">
        <f t="shared" si="4"/>
        <v>3</v>
      </c>
      <c r="F98">
        <f>Database!L110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Database!H111</f>
        <v>cansl</v>
      </c>
      <c r="C99" s="5">
        <f>Database!D111</f>
        <v>46207</v>
      </c>
      <c r="D99" s="5">
        <f>Database!E111</f>
        <v>46210</v>
      </c>
      <c r="E99">
        <f t="shared" si="4"/>
        <v>3</v>
      </c>
      <c r="F99">
        <f>Database!L111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Database!H112</f>
        <v>cansl</v>
      </c>
      <c r="C100" s="5">
        <f>Database!D112</f>
        <v>46171</v>
      </c>
      <c r="D100" s="5">
        <f>Database!E112</f>
        <v>46173</v>
      </c>
      <c r="E100">
        <f t="shared" si="4"/>
        <v>2</v>
      </c>
      <c r="F100">
        <f>Database!L112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Database!H113</f>
        <v>bc</v>
      </c>
      <c r="C101" s="5">
        <f>Database!D113</f>
        <v>46279</v>
      </c>
      <c r="D101" s="5">
        <f>Database!E113</f>
        <v>46281</v>
      </c>
      <c r="E101">
        <f t="shared" si="4"/>
        <v>2</v>
      </c>
      <c r="F101">
        <f>Database!L113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Database!H114</f>
        <v>bc</v>
      </c>
      <c r="C102" s="5">
        <f>Database!D114</f>
        <v>46279</v>
      </c>
      <c r="D102" s="5">
        <f>Database!E114</f>
        <v>46281</v>
      </c>
      <c r="E102">
        <f t="shared" si="4"/>
        <v>2</v>
      </c>
      <c r="F102">
        <f>Database!L114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Database!H115</f>
        <v>cansl</v>
      </c>
      <c r="C103" s="5">
        <f>Database!D115</f>
        <v>46172</v>
      </c>
      <c r="D103" s="5">
        <f>Database!E115</f>
        <v>46174</v>
      </c>
      <c r="E103">
        <f t="shared" si="4"/>
        <v>2</v>
      </c>
      <c r="F103">
        <f>Database!L115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Database!H116</f>
        <v>web</v>
      </c>
      <c r="C104" s="5">
        <f>Database!D116</f>
        <v>46277</v>
      </c>
      <c r="D104" s="5">
        <f>Database!E116</f>
        <v>46284</v>
      </c>
      <c r="E104">
        <f t="shared" si="4"/>
        <v>7</v>
      </c>
      <c r="F104">
        <f>Database!L116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Database!H117</f>
        <v>bc</v>
      </c>
      <c r="C105" s="5">
        <f>Database!D117</f>
        <v>46204</v>
      </c>
      <c r="D105" s="5">
        <f>Database!E117</f>
        <v>46207</v>
      </c>
      <c r="E105">
        <f t="shared" si="4"/>
        <v>3</v>
      </c>
      <c r="F105">
        <f>Database!L117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Database!H118</f>
        <v>bc</v>
      </c>
      <c r="C106" s="5">
        <f>Database!D118</f>
        <v>46260</v>
      </c>
      <c r="D106" s="5">
        <f>Database!E118</f>
        <v>46264</v>
      </c>
      <c r="E106">
        <f t="shared" si="4"/>
        <v>4</v>
      </c>
      <c r="F106">
        <f>Database!L118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Database!H119</f>
        <v>bc</v>
      </c>
      <c r="C107" s="5">
        <f>Database!D119</f>
        <v>46207</v>
      </c>
      <c r="D107" s="5">
        <f>Database!E119</f>
        <v>46210</v>
      </c>
      <c r="E107">
        <f t="shared" si="4"/>
        <v>3</v>
      </c>
      <c r="F107">
        <f>Database!L119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Database!H120</f>
        <v>web</v>
      </c>
      <c r="C108" s="5">
        <f>Database!D120</f>
        <v>46160</v>
      </c>
      <c r="D108" s="5">
        <f>Database!E120</f>
        <v>46164</v>
      </c>
      <c r="E108">
        <f t="shared" si="4"/>
        <v>4</v>
      </c>
      <c r="F108">
        <f>Database!L120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Database!H121</f>
        <v>web</v>
      </c>
      <c r="C109" s="5">
        <f>Database!D121</f>
        <v>46159</v>
      </c>
      <c r="D109" s="5">
        <f>Database!E121</f>
        <v>46163</v>
      </c>
      <c r="E109">
        <f t="shared" si="4"/>
        <v>4</v>
      </c>
      <c r="F109">
        <f>Database!L121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Database!H122</f>
        <v>bc</v>
      </c>
      <c r="C110" s="5">
        <f>Database!D122</f>
        <v>46192</v>
      </c>
      <c r="D110" s="5">
        <f>Database!E122</f>
        <v>46195</v>
      </c>
      <c r="E110">
        <f t="shared" si="4"/>
        <v>3</v>
      </c>
      <c r="F110">
        <f>Database!L122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Database!H123</f>
        <v>bc</v>
      </c>
      <c r="C111" s="5">
        <f>Database!D123</f>
        <v>46143</v>
      </c>
      <c r="D111" s="5">
        <f>Database!E123</f>
        <v>46145</v>
      </c>
      <c r="E111">
        <f t="shared" si="4"/>
        <v>2</v>
      </c>
      <c r="F111">
        <f>Database!L123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Database!H124</f>
        <v>cansl</v>
      </c>
      <c r="C112" s="5">
        <f>Database!D124</f>
        <v>46178</v>
      </c>
      <c r="D112" s="5">
        <f>Database!E124</f>
        <v>46181</v>
      </c>
      <c r="E112">
        <f t="shared" si="4"/>
        <v>3</v>
      </c>
      <c r="F112">
        <f>Database!L124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Database!H125</f>
        <v>cansl</v>
      </c>
      <c r="C113" s="5">
        <f>Database!D125</f>
        <v>46195</v>
      </c>
      <c r="D113" s="5">
        <f>Database!E125</f>
        <v>46199</v>
      </c>
      <c r="E113">
        <f t="shared" si="4"/>
        <v>4</v>
      </c>
      <c r="F113">
        <f>Database!L125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Database!H126</f>
        <v>cansl</v>
      </c>
      <c r="C114" s="5">
        <f>Database!D126</f>
        <v>46269</v>
      </c>
      <c r="D114" s="5">
        <f>Database!E126</f>
        <v>46271</v>
      </c>
      <c r="E114">
        <f t="shared" si="4"/>
        <v>2</v>
      </c>
      <c r="F114">
        <f>Database!L126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">
      <c r="A115">
        <f>Database!A127</f>
        <v>114</v>
      </c>
      <c r="B115" t="str">
        <f>Database!H127</f>
        <v>web</v>
      </c>
      <c r="C115" s="5">
        <f>Database!D127</f>
        <v>46243</v>
      </c>
      <c r="D115" s="5">
        <f>Database!E127</f>
        <v>46246</v>
      </c>
      <c r="E115">
        <f t="shared" si="4"/>
        <v>3</v>
      </c>
      <c r="F115">
        <f>Database!L127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Database!H128</f>
        <v>web</v>
      </c>
      <c r="C116" s="5">
        <f>Database!D128</f>
        <v>46233</v>
      </c>
      <c r="D116" s="5">
        <f>Database!E128</f>
        <v>46236</v>
      </c>
      <c r="E116">
        <f t="shared" si="4"/>
        <v>3</v>
      </c>
      <c r="F116">
        <f>Database!L128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Database!H129</f>
        <v>bc</v>
      </c>
      <c r="C117" s="5">
        <f>Database!D129</f>
        <v>46177</v>
      </c>
      <c r="D117" s="5">
        <f>Database!E129</f>
        <v>46180</v>
      </c>
      <c r="E117">
        <f t="shared" si="4"/>
        <v>3</v>
      </c>
      <c r="F117">
        <f>Database!L129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Database!H130</f>
        <v>bc</v>
      </c>
      <c r="C118" s="5">
        <f>Database!D130</f>
        <v>46173</v>
      </c>
      <c r="D118" s="5">
        <f>Database!E130</f>
        <v>46178</v>
      </c>
      <c r="E118">
        <f t="shared" si="4"/>
        <v>5</v>
      </c>
      <c r="F118">
        <f>Database!L130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Database!H131</f>
        <v>cansl</v>
      </c>
      <c r="C119" s="5">
        <f>Database!D131</f>
        <v>46272</v>
      </c>
      <c r="D119" s="5">
        <f>Database!E131</f>
        <v>46275</v>
      </c>
      <c r="E119">
        <f t="shared" si="4"/>
        <v>3</v>
      </c>
      <c r="F119">
        <f>Database!L131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">
      <c r="A120">
        <f>Database!A132</f>
        <v>119</v>
      </c>
      <c r="B120" t="str">
        <f>Database!H132</f>
        <v>cansl</v>
      </c>
      <c r="C120" s="5">
        <f>Database!D132</f>
        <v>46179</v>
      </c>
      <c r="D120" s="5">
        <f>Database!E132</f>
        <v>46182</v>
      </c>
      <c r="E120">
        <f t="shared" si="4"/>
        <v>3</v>
      </c>
      <c r="F120">
        <f>Database!L132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Database!H133</f>
        <v>web</v>
      </c>
      <c r="C121" s="5">
        <f>Database!D133</f>
        <v>46257</v>
      </c>
      <c r="D121" s="5">
        <f>Database!E133</f>
        <v>46260</v>
      </c>
      <c r="E121">
        <f t="shared" si="4"/>
        <v>3</v>
      </c>
      <c r="F121">
        <f>Database!L133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Database!H134</f>
        <v>web</v>
      </c>
      <c r="C122" s="5">
        <f>Database!D134</f>
        <v>46247</v>
      </c>
      <c r="D122" s="5">
        <f>Database!E134</f>
        <v>46250</v>
      </c>
      <c r="E122">
        <f t="shared" si="4"/>
        <v>3</v>
      </c>
      <c r="F122">
        <f>Database!L134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Database!H135</f>
        <v>web</v>
      </c>
      <c r="C123" s="5">
        <f>Database!D135</f>
        <v>46257</v>
      </c>
      <c r="D123" s="5">
        <f>Database!E135</f>
        <v>46259</v>
      </c>
      <c r="E123">
        <f t="shared" si="4"/>
        <v>2</v>
      </c>
      <c r="F123">
        <f>Database!L135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Database!H136</f>
        <v>web</v>
      </c>
      <c r="C124" s="5">
        <f>Database!D136</f>
        <v>46262</v>
      </c>
      <c r="D124" s="5">
        <f>Database!E136</f>
        <v>46269</v>
      </c>
      <c r="E124">
        <f t="shared" si="4"/>
        <v>7</v>
      </c>
      <c r="F124">
        <f>Database!L136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Database!H137</f>
        <v>bc</v>
      </c>
      <c r="C125" s="5">
        <f>Database!D137</f>
        <v>46286</v>
      </c>
      <c r="D125" s="5">
        <f>Database!E137</f>
        <v>46291</v>
      </c>
      <c r="E125">
        <f t="shared" si="4"/>
        <v>5</v>
      </c>
      <c r="F125">
        <f>Database!L137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Database!H138</f>
        <v>bc</v>
      </c>
      <c r="C126" s="5">
        <f>Database!D138</f>
        <v>46171</v>
      </c>
      <c r="D126" s="5">
        <f>Database!E138</f>
        <v>46173</v>
      </c>
      <c r="E126">
        <f t="shared" si="4"/>
        <v>2</v>
      </c>
      <c r="F126">
        <f>Database!L138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Database!H139</f>
        <v>web</v>
      </c>
      <c r="C127" s="5">
        <f>Database!D139</f>
        <v>46266</v>
      </c>
      <c r="D127" s="5">
        <f>Database!E139</f>
        <v>46270</v>
      </c>
      <c r="E127">
        <f t="shared" si="4"/>
        <v>4</v>
      </c>
      <c r="F127">
        <f>Database!L139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Database!H141</f>
        <v>cansl</v>
      </c>
      <c r="C128" s="5">
        <f>Database!D141</f>
        <v>46188</v>
      </c>
      <c r="D128" s="5">
        <f>Database!E141</f>
        <v>46191</v>
      </c>
      <c r="E128">
        <f t="shared" si="4"/>
        <v>3</v>
      </c>
      <c r="F128">
        <f>Database!L141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Database!H142</f>
        <v>bc</v>
      </c>
      <c r="C129" s="5">
        <f>Database!D142</f>
        <v>46169</v>
      </c>
      <c r="D129" s="5">
        <f>Database!E142</f>
        <v>46173</v>
      </c>
      <c r="E129">
        <f t="shared" si="4"/>
        <v>4</v>
      </c>
      <c r="F129">
        <f>Database!L142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Database!H143</f>
        <v>bc</v>
      </c>
      <c r="C130" s="5">
        <f>Database!D143</f>
        <v>46194</v>
      </c>
      <c r="D130" s="5">
        <f>Database!E143</f>
        <v>46197</v>
      </c>
      <c r="E130">
        <f t="shared" si="4"/>
        <v>3</v>
      </c>
      <c r="F130">
        <f>Database!L143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Database!H144</f>
        <v>bc</v>
      </c>
      <c r="C131" s="5">
        <f>Database!D144</f>
        <v>46194</v>
      </c>
      <c r="D131" s="5">
        <f>Database!E144</f>
        <v>46197</v>
      </c>
      <c r="E131">
        <f t="shared" ref="E131:E194" si="8">D131-C131</f>
        <v>3</v>
      </c>
      <c r="F131">
        <f>Database!L144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Database!H145</f>
        <v>cansl</v>
      </c>
      <c r="C132" s="5">
        <f>Database!D145</f>
        <v>46219</v>
      </c>
      <c r="D132" s="5">
        <f>Database!E145</f>
        <v>46222</v>
      </c>
      <c r="E132">
        <f t="shared" si="8"/>
        <v>3</v>
      </c>
      <c r="F132">
        <f>Database!L145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Database!H146</f>
        <v>cansl</v>
      </c>
      <c r="C133" s="5">
        <f>Database!D146</f>
        <v>46234</v>
      </c>
      <c r="D133" s="5">
        <f>Database!E146</f>
        <v>46237</v>
      </c>
      <c r="E133">
        <f t="shared" si="8"/>
        <v>3</v>
      </c>
      <c r="F133">
        <f>Database!L146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Database!H147</f>
        <v>web</v>
      </c>
      <c r="C134" s="5">
        <f>Database!D147</f>
        <v>46252</v>
      </c>
      <c r="D134" s="5">
        <f>Database!E147</f>
        <v>46254</v>
      </c>
      <c r="E134">
        <f t="shared" si="8"/>
        <v>2</v>
      </c>
      <c r="F134">
        <f>Database!L147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Database!H148</f>
        <v>cansl</v>
      </c>
      <c r="C135" s="5">
        <f>Database!D148</f>
        <v>46274</v>
      </c>
      <c r="D135" s="5">
        <f>Database!E148</f>
        <v>46277</v>
      </c>
      <c r="E135">
        <f t="shared" si="8"/>
        <v>3</v>
      </c>
      <c r="F135">
        <f>Database!L148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Database!H149</f>
        <v>bc</v>
      </c>
      <c r="C136" s="5">
        <f>Database!D149</f>
        <v>46201</v>
      </c>
      <c r="D136" s="5">
        <f>Database!E149</f>
        <v>46205</v>
      </c>
      <c r="E136">
        <f t="shared" si="8"/>
        <v>4</v>
      </c>
      <c r="F136">
        <f>Database!L149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Database!H150</f>
        <v>web</v>
      </c>
      <c r="C137" s="5">
        <f>Database!D150</f>
        <v>46170</v>
      </c>
      <c r="D137" s="5">
        <f>Database!E150</f>
        <v>46175</v>
      </c>
      <c r="E137">
        <f t="shared" si="8"/>
        <v>5</v>
      </c>
      <c r="F137">
        <f>Database!L150</f>
        <v>1</v>
      </c>
      <c r="G137">
        <f t="shared" si="9"/>
        <v>5</v>
      </c>
      <c r="I137">
        <f t="shared" si="10"/>
        <v>5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Database!H151</f>
        <v>web</v>
      </c>
      <c r="C138" s="5">
        <f>Database!D151</f>
        <v>46276</v>
      </c>
      <c r="D138" s="5">
        <f>Database!E151</f>
        <v>46282</v>
      </c>
      <c r="E138">
        <f t="shared" si="8"/>
        <v>6</v>
      </c>
      <c r="F138">
        <f>Database!L151</f>
        <v>1</v>
      </c>
      <c r="G138">
        <f t="shared" si="9"/>
        <v>6</v>
      </c>
      <c r="I138">
        <f t="shared" si="10"/>
        <v>6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Database!H152</f>
        <v>web</v>
      </c>
      <c r="C139" s="5">
        <f>Database!D152</f>
        <v>46238</v>
      </c>
      <c r="D139" s="5">
        <f>Database!E152</f>
        <v>46240</v>
      </c>
      <c r="E139">
        <f t="shared" si="8"/>
        <v>2</v>
      </c>
      <c r="F139">
        <f>Database!L152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Database!H153</f>
        <v>web</v>
      </c>
      <c r="C140" s="5">
        <f>Database!D153</f>
        <v>46270</v>
      </c>
      <c r="D140" s="5">
        <f>Database!E153</f>
        <v>46274</v>
      </c>
      <c r="E140">
        <f t="shared" si="8"/>
        <v>4</v>
      </c>
      <c r="F140">
        <f>Database!L153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Database!H154</f>
        <v>bc</v>
      </c>
      <c r="C141" s="5">
        <f>Database!D154</f>
        <v>46188</v>
      </c>
      <c r="D141" s="5">
        <f>Database!E154</f>
        <v>46190</v>
      </c>
      <c r="E141">
        <f t="shared" si="8"/>
        <v>2</v>
      </c>
      <c r="F141">
        <f>Database!L154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Database!H155</f>
        <v>bc</v>
      </c>
      <c r="C142" s="5">
        <f>Database!D155</f>
        <v>46195</v>
      </c>
      <c r="D142" s="5">
        <f>Database!E155</f>
        <v>46199</v>
      </c>
      <c r="E142">
        <f t="shared" si="8"/>
        <v>4</v>
      </c>
      <c r="F142">
        <f>Database!L155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Database!H156</f>
        <v>cansl</v>
      </c>
      <c r="C143" s="5">
        <f>Database!D156</f>
        <v>46268</v>
      </c>
      <c r="D143" s="5">
        <f>Database!E156</f>
        <v>46271</v>
      </c>
      <c r="E143">
        <f t="shared" si="8"/>
        <v>3</v>
      </c>
      <c r="F143">
        <f>Database!L156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Database!H157</f>
        <v>bc</v>
      </c>
      <c r="C144" s="5">
        <f>Database!D157</f>
        <v>46275</v>
      </c>
      <c r="D144" s="5">
        <f>Database!E157</f>
        <v>46278</v>
      </c>
      <c r="E144">
        <f t="shared" si="8"/>
        <v>3</v>
      </c>
      <c r="F144">
        <f>Database!L157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Database!H158</f>
        <v>bc</v>
      </c>
      <c r="C145" s="5">
        <f>Database!D158</f>
        <v>46264</v>
      </c>
      <c r="D145" s="5">
        <f>Database!E158</f>
        <v>46269</v>
      </c>
      <c r="E145">
        <f t="shared" si="8"/>
        <v>5</v>
      </c>
      <c r="F145">
        <f>Database!L158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Database!H159</f>
        <v>web</v>
      </c>
      <c r="C146" s="5">
        <f>Database!D159</f>
        <v>46271</v>
      </c>
      <c r="D146" s="5">
        <f>Database!E159</f>
        <v>46276</v>
      </c>
      <c r="E146">
        <f t="shared" si="8"/>
        <v>5</v>
      </c>
      <c r="F146">
        <f>Database!L159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Database!H160</f>
        <v>web</v>
      </c>
      <c r="C147" s="5">
        <f>Database!D160</f>
        <v>46285</v>
      </c>
      <c r="D147" s="5">
        <f>Database!E160</f>
        <v>46288</v>
      </c>
      <c r="E147">
        <f t="shared" si="8"/>
        <v>3</v>
      </c>
      <c r="F147">
        <f>Database!L160</f>
        <v>1</v>
      </c>
      <c r="G147">
        <f t="shared" si="9"/>
        <v>3</v>
      </c>
      <c r="I147">
        <f t="shared" si="10"/>
        <v>3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Database!H161</f>
        <v>bc</v>
      </c>
      <c r="C148" s="5">
        <f>Database!D161</f>
        <v>46269</v>
      </c>
      <c r="D148" s="5">
        <f>Database!E161</f>
        <v>46271</v>
      </c>
      <c r="E148">
        <f t="shared" si="8"/>
        <v>2</v>
      </c>
      <c r="F148">
        <f>Database!L161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Database!H162</f>
        <v>bc</v>
      </c>
      <c r="C149" s="5">
        <f>Database!D162</f>
        <v>46188</v>
      </c>
      <c r="D149" s="5">
        <f>Database!E162</f>
        <v>46192</v>
      </c>
      <c r="E149">
        <f t="shared" si="8"/>
        <v>4</v>
      </c>
      <c r="F149">
        <f>Database!L162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Database!H163</f>
        <v>bc</v>
      </c>
      <c r="C150" s="5">
        <f>Database!D163</f>
        <v>46196</v>
      </c>
      <c r="D150" s="5">
        <f>Database!E163</f>
        <v>46200</v>
      </c>
      <c r="E150">
        <f t="shared" si="8"/>
        <v>4</v>
      </c>
      <c r="F150">
        <f>Database!L163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Database!H164</f>
        <v>bc</v>
      </c>
      <c r="C151" s="5">
        <f>Database!D164</f>
        <v>46227</v>
      </c>
      <c r="D151" s="5">
        <f>Database!E164</f>
        <v>46230</v>
      </c>
      <c r="E151">
        <f t="shared" si="8"/>
        <v>3</v>
      </c>
      <c r="F151">
        <f>Database!L164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Database!H165</f>
        <v>bc</v>
      </c>
      <c r="C152" s="5">
        <f>Database!D165</f>
        <v>46283</v>
      </c>
      <c r="D152" s="5">
        <f>Database!E165</f>
        <v>46285</v>
      </c>
      <c r="E152">
        <f t="shared" si="8"/>
        <v>2</v>
      </c>
      <c r="F152">
        <f>Database!L165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Database!H166</f>
        <v>bc</v>
      </c>
      <c r="C153" s="5">
        <f>Database!D166</f>
        <v>46219</v>
      </c>
      <c r="D153" s="5">
        <f>Database!E166</f>
        <v>46222</v>
      </c>
      <c r="E153">
        <f t="shared" si="8"/>
        <v>3</v>
      </c>
      <c r="F153">
        <f>Database!L166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Database!H167</f>
        <v>web</v>
      </c>
      <c r="C154" s="5">
        <f>Database!D167</f>
        <v>46284</v>
      </c>
      <c r="D154" s="5">
        <f>Database!E167</f>
        <v>46291</v>
      </c>
      <c r="E154">
        <f t="shared" si="8"/>
        <v>7</v>
      </c>
      <c r="F154">
        <f>Database!L167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Database!H168</f>
        <v>web</v>
      </c>
      <c r="C155" s="5">
        <f>Database!D168</f>
        <v>46271</v>
      </c>
      <c r="D155" s="5">
        <f>Database!E168</f>
        <v>46275</v>
      </c>
      <c r="E155">
        <f t="shared" si="8"/>
        <v>4</v>
      </c>
      <c r="F155">
        <f>Database!L168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Database!H169</f>
        <v>bc</v>
      </c>
      <c r="C156" s="5">
        <f>Database!D169</f>
        <v>46212</v>
      </c>
      <c r="D156" s="5">
        <f>Database!E169</f>
        <v>46215</v>
      </c>
      <c r="E156">
        <f t="shared" si="8"/>
        <v>3</v>
      </c>
      <c r="F156">
        <f>Database!L169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Database!H170</f>
        <v>bc</v>
      </c>
      <c r="C157" s="5">
        <f>Database!D170</f>
        <v>46250</v>
      </c>
      <c r="D157" s="5">
        <f>Database!E170</f>
        <v>46252</v>
      </c>
      <c r="E157">
        <f t="shared" si="8"/>
        <v>2</v>
      </c>
      <c r="F157">
        <f>Database!L170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157</v>
      </c>
      <c r="B158" t="str">
        <f>Database!H171</f>
        <v>bc</v>
      </c>
      <c r="C158" s="5">
        <f>Database!D171</f>
        <v>46236</v>
      </c>
      <c r="D158" s="5">
        <f>Database!E171</f>
        <v>46240</v>
      </c>
      <c r="E158">
        <f t="shared" si="8"/>
        <v>4</v>
      </c>
      <c r="F158">
        <f>Database!L171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">
      <c r="A159">
        <f>Database!A172</f>
        <v>158</v>
      </c>
      <c r="B159" t="str">
        <f>Database!H172</f>
        <v>bc</v>
      </c>
      <c r="C159" s="5">
        <f>Database!D172</f>
        <v>46235</v>
      </c>
      <c r="D159" s="5">
        <f>Database!E172</f>
        <v>46239</v>
      </c>
      <c r="E159">
        <f t="shared" si="8"/>
        <v>4</v>
      </c>
      <c r="F159">
        <f>Database!L172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">
      <c r="A160">
        <f>Database!A173</f>
        <v>159</v>
      </c>
      <c r="B160" t="str">
        <f>Database!H173</f>
        <v>bc</v>
      </c>
      <c r="C160" s="5">
        <f>Database!D173</f>
        <v>46254</v>
      </c>
      <c r="D160" s="5">
        <f>Database!E173</f>
        <v>46257</v>
      </c>
      <c r="E160">
        <f t="shared" si="8"/>
        <v>3</v>
      </c>
      <c r="F160">
        <f>Database!L173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">
      <c r="A161">
        <f>Database!A174</f>
        <v>160</v>
      </c>
      <c r="B161" t="str">
        <f>Database!H174</f>
        <v>bc</v>
      </c>
      <c r="C161" s="5">
        <f>Database!D174</f>
        <v>46240</v>
      </c>
      <c r="D161" s="5">
        <f>Database!E174</f>
        <v>46243</v>
      </c>
      <c r="E161">
        <f t="shared" si="8"/>
        <v>3</v>
      </c>
      <c r="F161">
        <f>Database!L174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">
      <c r="A162">
        <f>Database!A175</f>
        <v>161</v>
      </c>
      <c r="B162" t="str">
        <f>Database!H175</f>
        <v>bc</v>
      </c>
      <c r="C162" s="5">
        <f>Database!D175</f>
        <v>46269</v>
      </c>
      <c r="D162" s="5">
        <f>Database!E175</f>
        <v>46271</v>
      </c>
      <c r="E162">
        <f t="shared" si="8"/>
        <v>2</v>
      </c>
      <c r="F162">
        <f>Database!L175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">
      <c r="A163">
        <f>Database!A176</f>
        <v>0</v>
      </c>
      <c r="B163">
        <f>Database!H176</f>
        <v>0</v>
      </c>
      <c r="C163" s="5">
        <f>Database!D176</f>
        <v>0</v>
      </c>
      <c r="D163" s="5">
        <f>Database!E176</f>
        <v>0</v>
      </c>
      <c r="E163">
        <f t="shared" si="8"/>
        <v>0</v>
      </c>
      <c r="F163">
        <f>Database!L176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Database!H177</f>
        <v>0</v>
      </c>
      <c r="C164" s="5">
        <f>Database!D177</f>
        <v>0</v>
      </c>
      <c r="D164" s="5">
        <f>Database!E177</f>
        <v>0</v>
      </c>
      <c r="E164">
        <f t="shared" si="8"/>
        <v>0</v>
      </c>
      <c r="F164">
        <f>Database!L177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Database!H178</f>
        <v>0</v>
      </c>
      <c r="C165" s="5">
        <f>Database!D178</f>
        <v>0</v>
      </c>
      <c r="D165" s="5">
        <f>Database!E178</f>
        <v>0</v>
      </c>
      <c r="E165">
        <f t="shared" si="8"/>
        <v>0</v>
      </c>
      <c r="F165">
        <f>Database!L178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Database!H179</f>
        <v>0</v>
      </c>
      <c r="C166" s="5">
        <f>Database!D179</f>
        <v>0</v>
      </c>
      <c r="D166" s="5">
        <f>Database!E179</f>
        <v>0</v>
      </c>
      <c r="E166">
        <f t="shared" si="8"/>
        <v>0</v>
      </c>
      <c r="F166">
        <f>Database!L179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Database!H180</f>
        <v>0</v>
      </c>
      <c r="C167" s="5">
        <f>Database!D180</f>
        <v>0</v>
      </c>
      <c r="D167" s="5">
        <f>Database!E180</f>
        <v>0</v>
      </c>
      <c r="E167">
        <f t="shared" si="8"/>
        <v>0</v>
      </c>
      <c r="F167">
        <f>Database!L180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Database!H181</f>
        <v>0</v>
      </c>
      <c r="C168" s="5">
        <f>Database!D181</f>
        <v>0</v>
      </c>
      <c r="D168" s="5">
        <f>Database!E181</f>
        <v>0</v>
      </c>
      <c r="E168">
        <f t="shared" si="8"/>
        <v>0</v>
      </c>
      <c r="F168">
        <f>Database!L181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Database!H182</f>
        <v>0</v>
      </c>
      <c r="C169" s="5">
        <f>Database!D182</f>
        <v>0</v>
      </c>
      <c r="D169" s="5">
        <f>Database!E182</f>
        <v>0</v>
      </c>
      <c r="E169">
        <f t="shared" si="8"/>
        <v>0</v>
      </c>
      <c r="F169">
        <f>Database!L182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Database!H183</f>
        <v>0</v>
      </c>
      <c r="C170" s="5">
        <f>Database!D183</f>
        <v>0</v>
      </c>
      <c r="D170" s="5">
        <f>Database!E183</f>
        <v>0</v>
      </c>
      <c r="E170">
        <f t="shared" si="8"/>
        <v>0</v>
      </c>
      <c r="F170">
        <f>Database!L183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Database!H184</f>
        <v>0</v>
      </c>
      <c r="C171" s="5">
        <f>Database!D184</f>
        <v>0</v>
      </c>
      <c r="D171" s="5">
        <f>Database!E184</f>
        <v>0</v>
      </c>
      <c r="E171">
        <f t="shared" si="8"/>
        <v>0</v>
      </c>
      <c r="F171">
        <f>Database!L184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Database!H185</f>
        <v>0</v>
      </c>
      <c r="C172" s="5">
        <f>Database!D185</f>
        <v>0</v>
      </c>
      <c r="D172" s="5">
        <f>Database!E185</f>
        <v>0</v>
      </c>
      <c r="E172">
        <f t="shared" si="8"/>
        <v>0</v>
      </c>
      <c r="F172">
        <f>Database!L185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Database!H186</f>
        <v>0</v>
      </c>
      <c r="C173" s="5">
        <f>Database!D186</f>
        <v>0</v>
      </c>
      <c r="D173" s="5">
        <f>Database!E186</f>
        <v>0</v>
      </c>
      <c r="E173">
        <f t="shared" si="8"/>
        <v>0</v>
      </c>
      <c r="F173">
        <f>Database!L186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Database!H187</f>
        <v>0</v>
      </c>
      <c r="C174" s="5">
        <f>Database!D187</f>
        <v>0</v>
      </c>
      <c r="D174" s="5">
        <f>Database!E187</f>
        <v>0</v>
      </c>
      <c r="E174">
        <f t="shared" si="8"/>
        <v>0</v>
      </c>
      <c r="F174">
        <f>Database!L187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Database!H188</f>
        <v>0</v>
      </c>
      <c r="C175" s="5">
        <f>Database!D188</f>
        <v>0</v>
      </c>
      <c r="D175" s="5">
        <f>Database!E188</f>
        <v>0</v>
      </c>
      <c r="E175">
        <f t="shared" si="8"/>
        <v>0</v>
      </c>
      <c r="F175">
        <f>Database!L188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Database!H189</f>
        <v>0</v>
      </c>
      <c r="C176" s="5">
        <f>Database!D189</f>
        <v>0</v>
      </c>
      <c r="D176" s="5">
        <f>Database!E189</f>
        <v>0</v>
      </c>
      <c r="E176">
        <f t="shared" si="8"/>
        <v>0</v>
      </c>
      <c r="F176">
        <f>Database!L189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Database!H190</f>
        <v>0</v>
      </c>
      <c r="C177" s="5">
        <f>Database!D190</f>
        <v>0</v>
      </c>
      <c r="D177" s="5">
        <f>Database!E190</f>
        <v>0</v>
      </c>
      <c r="E177">
        <f t="shared" si="8"/>
        <v>0</v>
      </c>
      <c r="F177">
        <f>Database!L190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Database!H191</f>
        <v>0</v>
      </c>
      <c r="C178" s="5">
        <f>Database!D191</f>
        <v>0</v>
      </c>
      <c r="D178" s="5">
        <f>Database!E191</f>
        <v>0</v>
      </c>
      <c r="E178">
        <f t="shared" si="8"/>
        <v>0</v>
      </c>
      <c r="F178">
        <f>Database!L191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Database!H192</f>
        <v>0</v>
      </c>
      <c r="C179" s="5">
        <f>Database!D192</f>
        <v>0</v>
      </c>
      <c r="D179" s="5">
        <f>Database!E192</f>
        <v>0</v>
      </c>
      <c r="E179">
        <f t="shared" si="8"/>
        <v>0</v>
      </c>
      <c r="F179">
        <f>Database!L192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Database!H193</f>
        <v>0</v>
      </c>
      <c r="C180" s="5">
        <f>Database!D193</f>
        <v>0</v>
      </c>
      <c r="D180" s="5">
        <f>Database!E193</f>
        <v>0</v>
      </c>
      <c r="E180">
        <f t="shared" si="8"/>
        <v>0</v>
      </c>
      <c r="F180">
        <f>Database!L193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Database!H194</f>
        <v>0</v>
      </c>
      <c r="C181" s="5">
        <f>Database!D194</f>
        <v>0</v>
      </c>
      <c r="D181" s="5">
        <f>Database!E194</f>
        <v>0</v>
      </c>
      <c r="E181">
        <f t="shared" si="8"/>
        <v>0</v>
      </c>
      <c r="F181">
        <f>Database!L194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Database!H195</f>
        <v>0</v>
      </c>
      <c r="C182" s="5">
        <f>Database!D195</f>
        <v>0</v>
      </c>
      <c r="D182" s="5">
        <f>Database!E195</f>
        <v>0</v>
      </c>
      <c r="E182">
        <f t="shared" si="8"/>
        <v>0</v>
      </c>
      <c r="F182">
        <f>Database!L195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Database!H196</f>
        <v>0</v>
      </c>
      <c r="C183" s="5">
        <f>Database!D196</f>
        <v>0</v>
      </c>
      <c r="D183" s="5">
        <f>Database!E196</f>
        <v>0</v>
      </c>
      <c r="E183">
        <f t="shared" si="8"/>
        <v>0</v>
      </c>
      <c r="F183">
        <f>Database!L196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Database!H197</f>
        <v>0</v>
      </c>
      <c r="C184" s="5">
        <f>Database!D197</f>
        <v>0</v>
      </c>
      <c r="D184" s="5">
        <f>Database!E197</f>
        <v>0</v>
      </c>
      <c r="E184">
        <f t="shared" si="8"/>
        <v>0</v>
      </c>
      <c r="F184">
        <f>Database!L197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Database!H198</f>
        <v>0</v>
      </c>
      <c r="C185" s="5">
        <f>Database!D198</f>
        <v>0</v>
      </c>
      <c r="D185" s="5">
        <f>Database!E198</f>
        <v>0</v>
      </c>
      <c r="E185">
        <f t="shared" si="8"/>
        <v>0</v>
      </c>
      <c r="F185">
        <f>Database!L198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Database!H199</f>
        <v>0</v>
      </c>
      <c r="C186" s="5">
        <f>Database!D199</f>
        <v>0</v>
      </c>
      <c r="D186" s="5">
        <f>Database!E199</f>
        <v>0</v>
      </c>
      <c r="E186">
        <f t="shared" si="8"/>
        <v>0</v>
      </c>
      <c r="F186">
        <f>Database!L199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Database!H200</f>
        <v>0</v>
      </c>
      <c r="C187" s="5">
        <f>Database!D200</f>
        <v>0</v>
      </c>
      <c r="D187" s="5">
        <f>Database!E200</f>
        <v>0</v>
      </c>
      <c r="E187">
        <f t="shared" si="8"/>
        <v>0</v>
      </c>
      <c r="F187">
        <f>Database!L200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Database!H201</f>
        <v>0</v>
      </c>
      <c r="C188" s="5">
        <f>Database!D201</f>
        <v>0</v>
      </c>
      <c r="D188" s="5">
        <f>Database!E201</f>
        <v>0</v>
      </c>
      <c r="E188">
        <f t="shared" si="8"/>
        <v>0</v>
      </c>
      <c r="F188">
        <f>Database!L201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Database!H202</f>
        <v>0</v>
      </c>
      <c r="C189" s="5">
        <f>Database!D202</f>
        <v>0</v>
      </c>
      <c r="D189" s="5">
        <f>Database!E202</f>
        <v>0</v>
      </c>
      <c r="E189">
        <f t="shared" si="8"/>
        <v>0</v>
      </c>
      <c r="F189">
        <f>Database!L202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Database!H203</f>
        <v>0</v>
      </c>
      <c r="C190" s="5">
        <f>Database!D203</f>
        <v>0</v>
      </c>
      <c r="D190" s="5">
        <f>Database!E203</f>
        <v>0</v>
      </c>
      <c r="E190">
        <f t="shared" si="8"/>
        <v>0</v>
      </c>
      <c r="F190">
        <f>Database!L203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Database!H204</f>
        <v>0</v>
      </c>
      <c r="C191" s="5">
        <f>Database!D204</f>
        <v>0</v>
      </c>
      <c r="D191" s="5">
        <f>Database!E204</f>
        <v>0</v>
      </c>
      <c r="E191">
        <f t="shared" si="8"/>
        <v>0</v>
      </c>
      <c r="F191">
        <f>Database!L204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Database!H205</f>
        <v>0</v>
      </c>
      <c r="C192" s="5">
        <f>Database!D205</f>
        <v>0</v>
      </c>
      <c r="D192" s="5">
        <f>Database!E205</f>
        <v>0</v>
      </c>
      <c r="E192">
        <f t="shared" si="8"/>
        <v>0</v>
      </c>
      <c r="F192">
        <f>Database!L205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Database!H206</f>
        <v>0</v>
      </c>
      <c r="C193" s="5">
        <f>Database!D206</f>
        <v>0</v>
      </c>
      <c r="D193" s="5">
        <f>Database!E206</f>
        <v>0</v>
      </c>
      <c r="E193">
        <f t="shared" si="8"/>
        <v>0</v>
      </c>
      <c r="F193">
        <f>Database!L206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Database!H207</f>
        <v>0</v>
      </c>
      <c r="C194" s="5">
        <f>Database!D207</f>
        <v>0</v>
      </c>
      <c r="D194" s="5">
        <f>Database!E207</f>
        <v>0</v>
      </c>
      <c r="E194">
        <f t="shared" si="8"/>
        <v>0</v>
      </c>
      <c r="F194">
        <f>Database!L207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Database!H208</f>
        <v>0</v>
      </c>
      <c r="C195" s="5">
        <f>Database!D208</f>
        <v>0</v>
      </c>
      <c r="D195" s="5">
        <f>Database!E208</f>
        <v>0</v>
      </c>
      <c r="E195">
        <f t="shared" ref="E195:E200" si="12">D195-C195</f>
        <v>0</v>
      </c>
      <c r="F195">
        <f>Database!L208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Database!H209</f>
        <v>0</v>
      </c>
      <c r="C196" s="5">
        <f>Database!D209</f>
        <v>0</v>
      </c>
      <c r="D196" s="5">
        <f>Database!E209</f>
        <v>0</v>
      </c>
      <c r="E196">
        <f t="shared" si="12"/>
        <v>0</v>
      </c>
      <c r="F196">
        <f>Database!L209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Database!H210</f>
        <v>0</v>
      </c>
      <c r="C197" s="5">
        <f>Database!D210</f>
        <v>0</v>
      </c>
      <c r="D197" s="5">
        <f>Database!E210</f>
        <v>0</v>
      </c>
      <c r="E197">
        <f t="shared" si="12"/>
        <v>0</v>
      </c>
      <c r="F197">
        <f>Database!L210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Database!H211</f>
        <v>0</v>
      </c>
      <c r="C198" s="5">
        <f>Database!D211</f>
        <v>0</v>
      </c>
      <c r="D198" s="5">
        <f>Database!E211</f>
        <v>0</v>
      </c>
      <c r="E198">
        <f t="shared" si="12"/>
        <v>0</v>
      </c>
      <c r="F198">
        <f>Database!L211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Database!H212</f>
        <v>0</v>
      </c>
      <c r="C199" s="5">
        <f>Database!D212</f>
        <v>0</v>
      </c>
      <c r="D199" s="5">
        <f>Database!E212</f>
        <v>0</v>
      </c>
      <c r="E199">
        <f t="shared" si="12"/>
        <v>0</v>
      </c>
      <c r="F199">
        <f>Database!L212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Database!H213</f>
        <v>0</v>
      </c>
      <c r="C200" s="5">
        <f>Database!D213</f>
        <v>0</v>
      </c>
      <c r="D200" s="5">
        <f>Database!E213</f>
        <v>0</v>
      </c>
      <c r="E200">
        <f t="shared" si="12"/>
        <v>0</v>
      </c>
      <c r="F200">
        <f>Database!L213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468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va</v>
      </c>
      <c r="G122" s="127" t="str">
        <f>IF(booking!L122&gt;0,"oc","va")</f>
        <v>oc</v>
      </c>
      <c r="H122" s="128" t="str">
        <f>IF(booking!M122&gt;0,"oc","va")</f>
        <v>oc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va</v>
      </c>
      <c r="F123" s="128" t="str">
        <f>IF(booking!I123&gt;0,"oc","va")</f>
        <v>oc</v>
      </c>
      <c r="G123" s="127" t="str">
        <f>IF(booking!L123&gt;0,"oc","va")</f>
        <v>oc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va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va</v>
      </c>
      <c r="J136" s="128" t="str">
        <f>IF(booking!Q136&gt;0,"oc","va")</f>
        <v>va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va</v>
      </c>
      <c r="J137" s="128" t="str">
        <f>IF(booking!Q137&gt;0,"oc","va")</f>
        <v>va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va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2026-08-27T10:24:37Z</cp:lastPrinted>
  <dcterms:created xsi:type="dcterms:W3CDTF">2024-07-25T07:35:10Z</dcterms:created>
  <dcterms:modified xsi:type="dcterms:W3CDTF">2026-08-27T11:01:37Z</dcterms:modified>
  <cp:category/>
  <cp:contentStatus/>
</cp:coreProperties>
</file>
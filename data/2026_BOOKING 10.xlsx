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34" documentId="8_{CBF31231-0F4D-4AAA-8243-F4B7D6A71111}" xr6:coauthVersionLast="47" xr6:coauthVersionMax="47" xr10:uidLastSave="{61638467-E487-4B92-8BB8-D06A3119681B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9" i="10"/>
  <c r="I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J127" i="10" s="1"/>
  <c r="C127" i="10"/>
  <c r="D127" i="10"/>
  <c r="E127" i="10"/>
  <c r="F127" i="10"/>
  <c r="A128" i="10"/>
  <c r="B128" i="10"/>
  <c r="I128" i="10" s="1"/>
  <c r="C128" i="10"/>
  <c r="D128" i="10"/>
  <c r="F128" i="10"/>
  <c r="A129" i="10"/>
  <c r="B129" i="10"/>
  <c r="C129" i="10"/>
  <c r="D129" i="10"/>
  <c r="E129" i="10"/>
  <c r="F129" i="10"/>
  <c r="A130" i="10"/>
  <c r="B130" i="10"/>
  <c r="I130" i="10" s="1"/>
  <c r="C130" i="10"/>
  <c r="D130" i="10"/>
  <c r="E130" i="10"/>
  <c r="F130" i="10"/>
  <c r="G130" i="10"/>
  <c r="A131" i="10"/>
  <c r="B131" i="10"/>
  <c r="J131" i="10" s="1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J132" i="10" s="1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31" i="10" l="1"/>
  <c r="J130" i="10"/>
  <c r="G129" i="10"/>
  <c r="J129" i="10" s="1"/>
  <c r="J128" i="10"/>
  <c r="E128" i="10"/>
  <c r="G128" i="10" s="1"/>
  <c r="G127" i="10"/>
  <c r="I127" i="10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L132" i="3" l="1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M127" i="3" s="1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32" i="3" l="1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K84" i="7" l="1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<sst xmlns="http://schemas.openxmlformats.org/spreadsheetml/2006/main" count="1441" uniqueCount="498">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</sst>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9" fontId="1" fillId="0" borderId="0" xfId="3"/>
    <xf numFmtId="0" fontId="0" fillId="0" borderId="0" xfId="0"/>
    <xf numFmtId="166" fontId="0" fillId="0" borderId="0" xfId="0" applyNumberFormat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179</c:v>
                </c:pt>
                <c:pt idx="1">
                  <c:v>21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732</c:v>
                </c:pt>
                <c:pt idx="1">
                  <c:v>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179</c:v>
                </c:pt>
                <c:pt idx="1">
                  <c:v>21</c:v>
                </c:pt>
                <c:pt idx="2">
                  <c:v>0</c:v>
                </c:pt>
                <c:pt idx="3">
                  <c:v>30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732</c:v>
                </c:pt>
                <c:pt idx="1">
                  <c:v>73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277</c:v>
                </c:pt>
                <c:pt idx="1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2"/>
  <sheetViews>
    <sheetView topLeftCell="H1" workbookViewId="0">
      <pane ySplit="1" topLeftCell="A111" activePane="bottomLeft" state="frozen"/>
      <selection pane="bottomLeft" activeCell="T130" sqref="T130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F124" t="s">
        <v>31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F125" t="s">
        <v>31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  <row r="127" spans="1:20" x14ac:dyDescent="0.35">
      <c r="A127" s="2">
        <v>126</v>
      </c>
      <c r="B127" t="s">
        <v>173</v>
      </c>
      <c r="C127" s="198">
        <v>46266</v>
      </c>
      <c r="D127" s="198">
        <v>46270</v>
      </c>
      <c r="E127" s="198">
        <v>46154</v>
      </c>
      <c r="F127" t="s">
        <v>53</v>
      </c>
      <c r="G127" t="s">
        <v>6</v>
      </c>
      <c r="H127" t="s">
        <v>253</v>
      </c>
      <c r="I127" t="s">
        <v>445</v>
      </c>
      <c r="J127" s="211">
        <v>0.1</v>
      </c>
      <c r="K127">
        <v>2</v>
      </c>
      <c r="L127">
        <v>3</v>
      </c>
      <c r="M127" t="s">
        <v>490</v>
      </c>
      <c r="N127" t="s">
        <v>491</v>
      </c>
      <c r="O127"/>
      <c r="P127" s="2" t="s">
        <v>21</v>
      </c>
      <c r="Q127" s="2" t="s">
        <v>21</v>
      </c>
      <c r="R127" s="125">
        <v>7560</v>
      </c>
      <c r="S127" s="2" t="s">
        <v>21</v>
      </c>
      <c r="T127" t="s">
        <v>492</v>
      </c>
    </row>
    <row r="128" spans="1:20" x14ac:dyDescent="0.35">
      <c r="A128" s="2">
        <v>127</v>
      </c>
      <c r="B128" t="s">
        <v>493</v>
      </c>
      <c r="C128" s="198">
        <v>46188</v>
      </c>
      <c r="D128" s="198">
        <v>46191</v>
      </c>
      <c r="E128" s="198">
        <v>46153</v>
      </c>
      <c r="F128" t="s">
        <v>53</v>
      </c>
      <c r="G128" t="s">
        <v>35</v>
      </c>
      <c r="H128"/>
      <c r="I128"/>
      <c r="J128" s="211">
        <v>0</v>
      </c>
      <c r="K128">
        <v>1</v>
      </c>
      <c r="L128">
        <v>1</v>
      </c>
      <c r="N128"/>
      <c r="O128"/>
      <c r="P128" s="2" t="s">
        <v>21</v>
      </c>
      <c r="Q128" s="2" t="s">
        <v>20</v>
      </c>
      <c r="R128" s="125">
        <v>2550</v>
      </c>
      <c r="S128" s="2" t="s">
        <v>20</v>
      </c>
    </row>
    <row r="129" spans="1:20" x14ac:dyDescent="0.35">
      <c r="A129" s="2">
        <v>128</v>
      </c>
      <c r="B129" s="221" t="s">
        <v>494</v>
      </c>
      <c r="C129" s="222">
        <v>46169</v>
      </c>
      <c r="D129" s="222">
        <v>46173</v>
      </c>
      <c r="E129" s="222">
        <v>46154</v>
      </c>
      <c r="F129" s="221" t="s">
        <v>53</v>
      </c>
      <c r="G129" s="221" t="s">
        <v>35</v>
      </c>
      <c r="H129" s="221"/>
      <c r="I129" s="221"/>
      <c r="J129" s="211">
        <v>0</v>
      </c>
      <c r="K129" s="221">
        <v>1</v>
      </c>
      <c r="L129" s="221">
        <v>2</v>
      </c>
      <c r="M129" s="221"/>
      <c r="N129" s="221"/>
      <c r="O129" s="221"/>
      <c r="P129" s="2" t="s">
        <v>20</v>
      </c>
      <c r="Q129" s="2" t="s">
        <v>20</v>
      </c>
      <c r="R129" s="125">
        <v>3800</v>
      </c>
      <c r="S129" s="2" t="s">
        <v>20</v>
      </c>
      <c r="T129" s="221"/>
    </row>
    <row r="130" spans="1:20" x14ac:dyDescent="0.35">
      <c r="A130" s="2">
        <v>129</v>
      </c>
      <c r="B130" s="221" t="s">
        <v>496</v>
      </c>
      <c r="C130" s="222">
        <v>46194</v>
      </c>
      <c r="D130" s="222">
        <v>46197</v>
      </c>
      <c r="E130" s="222">
        <v>46154</v>
      </c>
      <c r="F130" s="221" t="s">
        <v>54</v>
      </c>
      <c r="G130" s="221" t="s">
        <v>35</v>
      </c>
      <c r="H130" s="221"/>
      <c r="I130" s="221"/>
      <c r="J130" s="211">
        <v>0</v>
      </c>
      <c r="K130" s="221">
        <v>1</v>
      </c>
      <c r="L130" s="221">
        <v>1</v>
      </c>
      <c r="M130" s="221"/>
      <c r="N130" s="221"/>
      <c r="O130" s="221"/>
      <c r="P130" s="2" t="s">
        <v>21</v>
      </c>
      <c r="Q130" s="2" t="s">
        <v>20</v>
      </c>
      <c r="R130" s="125">
        <v>2550</v>
      </c>
      <c r="S130" s="2" t="s">
        <v>20</v>
      </c>
      <c r="T130" s="221"/>
    </row>
    <row r="131" spans="1:20" x14ac:dyDescent="0.35">
      <c r="A131" s="2">
        <v>130</v>
      </c>
      <c r="B131" s="221" t="s">
        <v>495</v>
      </c>
      <c r="C131" s="222">
        <v>46194</v>
      </c>
      <c r="D131" s="222">
        <v>46197</v>
      </c>
      <c r="E131" s="222">
        <v>46159</v>
      </c>
      <c r="F131" s="221" t="s">
        <v>54</v>
      </c>
      <c r="G131" s="221" t="s">
        <v>35</v>
      </c>
      <c r="H131" s="221"/>
      <c r="I131" s="221"/>
      <c r="J131" s="220">
        <v>0</v>
      </c>
      <c r="K131" s="221">
        <v>1</v>
      </c>
      <c r="L131" s="221">
        <v>1</v>
      </c>
      <c r="M131" s="221"/>
      <c r="N131" s="221"/>
      <c r="O131" s="221"/>
      <c r="P131" s="2" t="s">
        <v>21</v>
      </c>
      <c r="Q131" s="2" t="s">
        <v>20</v>
      </c>
      <c r="R131" s="125">
        <v>2550</v>
      </c>
      <c r="S131" s="2" t="s">
        <v>20</v>
      </c>
      <c r="T131" s="221"/>
    </row>
    <row r="132" spans="1:20" x14ac:dyDescent="0.35">
      <c r="A132" s="2">
        <v>131</v>
      </c>
      <c r="B132" s="223" t="s">
        <v>497</v>
      </c>
      <c r="C132" s="224">
        <v>46219</v>
      </c>
      <c r="D132" s="224">
        <v>46222</v>
      </c>
      <c r="E132" s="224">
        <v>46157</v>
      </c>
      <c r="F132" s="223" t="s">
        <v>53</v>
      </c>
      <c r="G132" s="223" t="s">
        <v>35</v>
      </c>
      <c r="H132" s="223"/>
      <c r="I132" s="223"/>
      <c r="J132" s="220">
        <v>0</v>
      </c>
      <c r="K132" s="223">
        <v>1</v>
      </c>
      <c r="L132" s="223">
        <v>2</v>
      </c>
      <c r="M132" s="223"/>
      <c r="N132" s="223"/>
      <c r="O132" s="223"/>
      <c r="P132" s="2" t="s">
        <v>20</v>
      </c>
      <c r="Q132" s="2" t="s">
        <v>20</v>
      </c>
      <c r="R132" s="125">
        <v>3225</v>
      </c>
      <c r="S132" s="2" t="s">
        <v>20</v>
      </c>
      <c r="T132" s="223"/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 t="str">
        <f>Database!F124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 t="str">
        <f>Database!F125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126</v>
      </c>
      <c r="B127" s="24">
        <f>Database!E127</f>
        <v>46154</v>
      </c>
      <c r="C127">
        <f>IF(Database!G127="cansl",0,Database!K127)</f>
        <v>2</v>
      </c>
      <c r="D127">
        <f>Database!D127-Database!C127</f>
        <v>4</v>
      </c>
      <c r="F127">
        <f>Database!L127</f>
        <v>3</v>
      </c>
      <c r="G127" t="str">
        <f>Database!F127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127</v>
      </c>
      <c r="B128" s="24">
        <f>Database!E128</f>
        <v>46153</v>
      </c>
      <c r="C128">
        <f>IF(Database!G128="cansl",0,Database!K128)</f>
        <v>1</v>
      </c>
      <c r="D128">
        <f>Database!D128-Database!C128</f>
        <v>3</v>
      </c>
      <c r="F128">
        <f>Database!L128</f>
        <v>1</v>
      </c>
      <c r="G128" t="str">
        <f>Database!F128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128</v>
      </c>
      <c r="B129" s="24">
        <f>Database!E129</f>
        <v>46154</v>
      </c>
      <c r="C129">
        <f>IF(Database!G129="cansl",0,Database!K129)</f>
        <v>1</v>
      </c>
      <c r="D129">
        <f>Database!D129-Database!C129</f>
        <v>4</v>
      </c>
      <c r="F129">
        <f>Database!L129</f>
        <v>2</v>
      </c>
      <c r="G129" t="str">
        <f>Database!F129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129</v>
      </c>
      <c r="B130" s="24">
        <f>Database!E130</f>
        <v>46154</v>
      </c>
      <c r="C130">
        <f>IF(Database!G130="cansl",0,Database!K130)</f>
        <v>1</v>
      </c>
      <c r="D130">
        <f>Database!D130-Database!C130</f>
        <v>3</v>
      </c>
      <c r="F130">
        <f>Database!L130</f>
        <v>1</v>
      </c>
      <c r="G130" t="str">
        <f>Database!F130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130</v>
      </c>
      <c r="B131" s="24">
        <f>Database!E131</f>
        <v>46159</v>
      </c>
      <c r="C131">
        <f>IF(Database!G131="cansl",0,Database!K131)</f>
        <v>1</v>
      </c>
      <c r="D131">
        <f>Database!D131-Database!C131</f>
        <v>3</v>
      </c>
      <c r="F131">
        <f>Database!L131</f>
        <v>1</v>
      </c>
      <c r="G131" t="str">
        <f>Database!F131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131</v>
      </c>
      <c r="B132" s="24">
        <f>Database!E132</f>
        <v>46157</v>
      </c>
      <c r="C132">
        <f>IF(Database!G132="cansl",0,Database!K132)</f>
        <v>1</v>
      </c>
      <c r="D132">
        <f>Database!D132-Database!C132</f>
        <v>3</v>
      </c>
      <c r="F132">
        <f>Database!L132</f>
        <v>2</v>
      </c>
      <c r="G132" t="str">
        <f>Database!F132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179</v>
      </c>
      <c r="BC196" s="34">
        <f t="shared" si="167"/>
        <v>732</v>
      </c>
      <c r="BD196" s="34">
        <f t="shared" si="167"/>
        <v>21</v>
      </c>
      <c r="BE196" s="34">
        <f t="shared" si="167"/>
        <v>73</v>
      </c>
      <c r="BF196" s="34">
        <f t="shared" si="167"/>
        <v>0</v>
      </c>
      <c r="BG196" s="34">
        <f t="shared" si="167"/>
        <v>0</v>
      </c>
      <c r="BH196" s="34">
        <f t="shared" si="167"/>
        <v>30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556</v>
      </c>
      <c r="AF198">
        <f t="shared" si="168"/>
        <v>556</v>
      </c>
      <c r="AG198">
        <f t="shared" si="168"/>
        <v>556</v>
      </c>
      <c r="AH198">
        <f t="shared" si="168"/>
        <v>556</v>
      </c>
      <c r="AI198">
        <f t="shared" si="168"/>
        <v>556</v>
      </c>
      <c r="AJ198">
        <f t="shared" si="168"/>
        <v>556</v>
      </c>
      <c r="AK198">
        <f t="shared" si="168"/>
        <v>556</v>
      </c>
      <c r="AL198">
        <f t="shared" si="168"/>
        <v>556</v>
      </c>
      <c r="AM198">
        <f t="shared" si="168"/>
        <v>556</v>
      </c>
      <c r="AN198">
        <f t="shared" si="168"/>
        <v>556</v>
      </c>
      <c r="AO198">
        <f t="shared" si="168"/>
        <v>556</v>
      </c>
      <c r="AP198">
        <f t="shared" si="168"/>
        <v>556</v>
      </c>
      <c r="AQ198">
        <f t="shared" si="168"/>
        <v>556</v>
      </c>
      <c r="AR198">
        <f t="shared" si="168"/>
        <v>556</v>
      </c>
      <c r="AS198">
        <f t="shared" si="168"/>
        <v>556</v>
      </c>
      <c r="AT198">
        <f t="shared" si="168"/>
        <v>556</v>
      </c>
      <c r="AU198">
        <f t="shared" si="168"/>
        <v>556</v>
      </c>
      <c r="AV198">
        <f t="shared" si="168"/>
        <v>556</v>
      </c>
      <c r="AW198">
        <f t="shared" si="168"/>
        <v>556</v>
      </c>
      <c r="AX198">
        <f t="shared" si="168"/>
        <v>556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556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179</v>
      </c>
      <c r="BE202" s="34">
        <f>BD196</f>
        <v>21</v>
      </c>
      <c r="BF202" s="34">
        <f>BF196</f>
        <v>0</v>
      </c>
      <c r="BG202" s="34">
        <f>BH196</f>
        <v>30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732</v>
      </c>
      <c r="BE203" s="40">
        <f>BE196</f>
        <v>73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abSelected="1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179</v>
      </c>
      <c r="C30" s="34">
        <f>'book stat'!BE202</f>
        <v>21</v>
      </c>
      <c r="D30" s="34">
        <f>'book stat'!BF202</f>
        <v>0</v>
      </c>
      <c r="E30" s="34">
        <f>'book stat'!BG202</f>
        <v>30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732</v>
      </c>
      <c r="C31" s="34">
        <f>'book stat'!BE203</f>
        <v>73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78" activePane="bottomLeft" state="frozen"/>
      <selection pane="bottomLeft" activeCell="AE82" sqref="AE8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555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226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9:M115 D92:Y98 O99:Y123 I11:I18 D16:H33 I19:N33 D124:Y171 D36:H52 I36:N57 D34:N35 Q34:S36 O33:P36 Q33:Y33 O37:Y91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DK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IFERROR(IF(AND(booking!AB83&gt;0,booking!L83&lt;&gt;booking!M83),VLOOKUP(booking!M83,Database!$A$1:'Database'!$L$175,6,FALSE),"-"),"-")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IFERROR(IF(AND(booking!AB85&gt;0,booking!L85&lt;&gt;booking!M85),VLOOKUP(booking!M85,Database!$A$1:'Database'!$L$175,6,FALSE),"-"),"-")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IFERROR(IF(AND(booking!AB125&gt;0,booking!P125&lt;&gt;booking!Q125),VLOOKUP(booking!Q125,Database!$A$1:'Database'!$L$175,6,FALSE),"-"),"-")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IFERROR(IF(AND(booking!AB149&gt;0,booking!T149&lt;&gt;booking!U149),VLOOKUP(booking!U149,Database!$A$1:'Database'!$L$175,6,FALSE),"-"),"-")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>
        <f>IFERROR(VLOOKUP(T32,Database!$A$2:$L$175,8,FALSE),"-")</f>
        <v>0</v>
      </c>
      <c r="V32" s="78" t="str">
        <f>IFERROR(VLOOKUP(T32,Database!$A$2:$L$175,6,FALSE),"-")</f>
        <v>DK</v>
      </c>
      <c r="W32" s="82">
        <f>IFERROR(VLOOKUP(T32,Database!$A$2:$L$175,9,FALSE),"-")</f>
        <v>0</v>
      </c>
      <c r="X32" s="209" t="str">
        <f>IFERROR(VLOOKUP(T32,Database!$A$2:$S$175,19,FALSE),"-")</f>
        <v>N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IFERROR(VLOOKUP(J51,Database!$A$2:$L$175,8,FALSE),"-")</f>
        <v>0</v>
      </c>
      <c r="L51" s="78" t="str">
        <f>IFERROR(VLOOKUP(J51,Database!$A$2:$L$175,6,FALSE),"-")</f>
        <v>DK</v>
      </c>
      <c r="M51" s="93">
        <f>IFERROR(VLOOKUP(J51,Database!$A$2:$L$175,9,FALSE),"-")</f>
        <v>0</v>
      </c>
      <c r="N51" s="209" t="str">
        <f>IFERROR(VLOOKUP(J51,Database!$A$2:$S$175,19,FALSE),"-")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>
        <f>IFERROR(VLOOKUP(O57,Database!$A$2:$L$175,8,FALSE),"-")</f>
        <v>0</v>
      </c>
      <c r="Q57" s="78" t="str">
        <f>IFERROR(VLOOKUP(O57,Database!$A$2:$L$175,6,FALSE),"-")</f>
        <v>S</v>
      </c>
      <c r="R57" s="82">
        <f>IFERROR(VLOOKUP(O57,Database!$A$2:$L$175,9,FALSE),"-")</f>
        <v>0</v>
      </c>
      <c r="S57" s="209" t="str">
        <f>IFERROR(VLOOKUP(O57,Database!$A$2:$S$175,19,FALSE),"-")</f>
        <v>N</v>
      </c>
      <c r="T57" s="97">
        <f>IF(AND(D57="Y",booking!P57&lt;&gt;booking!Q57,booking!Q57&gt;0),booking!Q57,"-")</f>
        <v>130</v>
      </c>
      <c r="U57" s="78">
        <f>IFERROR(VLOOKUP(T57,Database!$A$2:$L$175,8,FALSE),"-")</f>
        <v>0</v>
      </c>
      <c r="V57" s="78" t="str">
        <f>IFERROR(VLOOKUP(T57,Database!$A$2:$L$175,6,FALSE),"-")</f>
        <v>S</v>
      </c>
      <c r="W57" s="82">
        <f>IFERROR(VLOOKUP(T57,Database!$A$2:$L$175,9,FALSE),"-")</f>
        <v>0</v>
      </c>
      <c r="X57" s="209" t="str">
        <f>IFERROR(VLOOKUP(T57,Database!$A$2:$S$175,19,FALSE),"-")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>
        <f>IF(AND(D82="Y",booking!L82&lt;&gt;booking!M82,booking!M82&gt;0),booking!M82,"-")</f>
        <v>131</v>
      </c>
      <c r="P82" s="78">
        <f>IFERROR(VLOOKUP(O82,Database!$A$2:$L$175,8,FALSE),"-")</f>
        <v>0</v>
      </c>
      <c r="Q82" s="78" t="str">
        <f>IFERROR(VLOOKUP(O82,Database!$A$2:$L$175,6,FALSE),"-")</f>
        <v>DK</v>
      </c>
      <c r="R82" s="82">
        <f>IFERROR(VLOOKUP(O82,Database!$A$2:$L$175,9,FALSE),"-")</f>
        <v>0</v>
      </c>
      <c r="S82" s="209" t="str">
        <f>IFERROR(VLOOKUP(O82,Database!$A$2:$S$175,19,FALSE),"-")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>
        <f>IF(AND(D83="Y",booking!L83&lt;&gt;booking!M83,booking!M83&gt;0),booking!M83,"-")</f>
        <v>113</v>
      </c>
      <c r="P83" s="78">
        <f>IFERROR(VLOOKUP(O83,Database!$A$2:$L$175,8,FALSE),"-")</f>
        <v>0</v>
      </c>
      <c r="Q83" s="78" t="str">
        <f>IFERROR(VLOOKUP(O83,Database!$A$2:$L$175,6,FALSE),"-")</f>
        <v>DK</v>
      </c>
      <c r="R83" s="82">
        <f>IFERROR(VLOOKUP(O83,Database!$A$2:$L$175,9,FALSE),"-")</f>
        <v>0</v>
      </c>
      <c r="S83" s="209" t="str">
        <f>IFERROR(VLOOKUP(O83,Database!$A$2:$S$175,19,FALSE),"-")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IFERROR(VLOOKUP(J84,Database!$A$2:$L$175,8,FALSE),"-")</f>
        <v>0</v>
      </c>
      <c r="L84" s="78" t="str">
        <f>IFERROR(VLOOKUP(J84,Database!$A$2:$L$175,6,FALSE),"-")</f>
        <v>CH</v>
      </c>
      <c r="M84" s="93" t="str">
        <f>IFERROR(VLOOKUP(J84,Database!$A$2:$L$175,9,FALSE),"-")</f>
        <v>sing</v>
      </c>
      <c r="N84" s="209" t="str">
        <f>IFERROR(VLOOKUP(J84,Database!$A$2:$S$175,19,FALSE),"-")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IFERROR(VLOOKUP(O84,Database!$A$2:$L$175,8,FALSE),"-")</f>
        <v>-</v>
      </c>
      <c r="Q84" s="78" t="str">
        <f>IFERROR(VLOOKUP(O84,Database!$A$2:$L$175,6,FALSE),"-")</f>
        <v>-</v>
      </c>
      <c r="R84" s="82" t="str">
        <f>IFERROR(VLOOKUP(O84,Database!$A$2:$L$175,9,FALSE),"-")</f>
        <v>-</v>
      </c>
      <c r="S84" s="209" t="str">
        <f>IFERROR(VLOOKUP(O84,Database!$A$2:$S$175,19,FALSE),"-")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IFERROR(VLOOKUP(J85,Database!$A$2:$L$175,8,FALSE),"-")</f>
        <v>-</v>
      </c>
      <c r="L85" s="78" t="str">
        <f>IFERROR(VLOOKUP(J85,Database!$A$2:$L$175,6,FALSE),"-")</f>
        <v>-</v>
      </c>
      <c r="M85" s="93" t="str">
        <f>IFERROR(VLOOKUP(J85,Database!$A$2:$L$175,9,FALSE),"-")</f>
        <v>-</v>
      </c>
      <c r="N85" s="209" t="str">
        <f>IFERROR(VLOOKUP(J85,Database!$A$2:$S$175,19,FALSE),"-")</f>
        <v>-</v>
      </c>
      <c r="O85" s="96">
        <f>IF(AND(D85="Y",booking!L85&lt;&gt;booking!M85,booking!M85&gt;0),booking!M85,"-")</f>
        <v>44</v>
      </c>
      <c r="P85" s="78">
        <f>IFERROR(VLOOKUP(O85,Database!$A$2:$L$175,8,FALSE),"-")</f>
        <v>0</v>
      </c>
      <c r="Q85" s="78" t="str">
        <f>IFERROR(VLOOKUP(O85,Database!$A$2:$L$175,6,FALSE),"-")</f>
        <v>CZ</v>
      </c>
      <c r="R85" s="82" t="str">
        <f>IFERROR(VLOOKUP(O85,Database!$A$2:$L$175,9,FALSE),"-")</f>
        <v>dobb</v>
      </c>
      <c r="S85" s="209" t="str">
        <f>IFERROR(VLOOKUP(O85,Database!$A$2:$S$175,19,FALSE),"-")</f>
        <v>N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 t="str">
        <f>IFERROR(VLOOKUP(T125,Database!$A$2:$L$175,6,FALSE),"-")</f>
        <v>D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1430</v>
      </c>
      <c r="G129" s="78" t="str">
        <f>IFERROR(VLOOKUP(E129,Database!$A$2:$L$175,6,FALSE),"-")</f>
        <v>DK</v>
      </c>
      <c r="H129" s="93" t="str">
        <f>IFERROR(VLOOKUP(E129,Database!$A$2:$L$175,9,FALSE),"-")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1430</v>
      </c>
      <c r="L129" s="78" t="str">
        <f>IFERROR(VLOOKUP(J129,Database!$A$2:$L$175,6,FALSE),"-")</f>
        <v>DK</v>
      </c>
      <c r="M129" s="93" t="str">
        <f>IFERROR(VLOOKUP(J129,Database!$A$2:$L$175,9,FALSE),"-")</f>
        <v>Sing</v>
      </c>
      <c r="N129" s="209" t="str">
        <f>IFERROR(VLOOKUP(J129,Database!$A$2:$S$175,19,FALSE),"-")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 t="str">
        <f>IFERROR(VLOOKUP(Y149,Database!$A$2:$L$175,6,FALSE),"-")</f>
        <v>D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Susanne Mainsøe Madsen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Niels Kjøller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Helen Carlsson</v>
      </c>
      <c r="J57" s="76">
        <f>ankomster!T57</f>
        <v>130</v>
      </c>
      <c r="K57" t="str">
        <f>IFERROR(VLOOKUP(J57,Database!$A$2:$L$175,2,FALSE),"-")</f>
        <v>Monica Petersson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>
        <f>ankomster!O82</f>
        <v>131</v>
      </c>
      <c r="I82" t="str">
        <f>IFERROR(VLOOKUP(H82,Database!$A$2:$L$175,2,FALSE),"-")</f>
        <v>Nadia Maria Luczynska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>
        <f>ankomster!O83</f>
        <v>113</v>
      </c>
      <c r="I83" t="str">
        <f>IFERROR(VLOOKUP(H83,Database!$A$2:$L$175,2,FALSE),"-")</f>
        <v>Maria Friis Jensen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>
        <f>ankomster!J84</f>
        <v>38</v>
      </c>
      <c r="G84" t="str">
        <f>IFERROR(VLOOKUP(F84,Database!$A$2:$L$175,2,FALSE),"-")</f>
        <v>Werner Strehmel</v>
      </c>
      <c r="H84" t="str">
        <f>ankomster!O84</f>
        <v>-</v>
      </c>
      <c r="I84" t="str">
        <f>IFERROR(VLOOKUP(H84,Database!$A$2:$L$175,2,FALSE),"-")</f>
        <v>-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>
        <f>ankomster!O85</f>
        <v>44</v>
      </c>
      <c r="I85" t="str">
        <f>IFERROR(VLOOKUP(H85,Database!$A$2:$L$175,2,FALSE),"-")</f>
        <v>Jan Uxa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Birgitte Poulsen</v>
      </c>
      <c r="F129">
        <f>ankomster!J129</f>
        <v>126</v>
      </c>
      <c r="G129" t="str">
        <f>IFERROR(VLOOKUP(F129,Database!$A$2:$L$175,2,FALSE),"-")</f>
        <v>Birgitte Poulsen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126</v>
      </c>
      <c r="B127" s="2" t="str">
        <f>Database!Q127</f>
        <v>Y</v>
      </c>
      <c r="C127" s="2">
        <f t="shared" si="3"/>
        <v>1.5</v>
      </c>
      <c r="D127" s="2">
        <f>IF(B127="Y",Database!K127,"-")</f>
        <v>2</v>
      </c>
      <c r="E127" s="2">
        <f>IF(AND(D127&gt;1,B127="Y"),Database!L127/D127,Database!L127)</f>
        <v>1.5</v>
      </c>
    </row>
    <row r="128" spans="1:5" x14ac:dyDescent="0.35">
      <c r="A128">
        <f>Database!A128</f>
        <v>127</v>
      </c>
      <c r="B128" s="2" t="str">
        <f>Database!Q128</f>
        <v>N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1</v>
      </c>
    </row>
    <row r="129" spans="1:5" x14ac:dyDescent="0.35">
      <c r="A129">
        <f>Database!A129</f>
        <v>128</v>
      </c>
      <c r="B129" s="2" t="str">
        <f>Database!Q129</f>
        <v>N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2</v>
      </c>
    </row>
    <row r="130" spans="1:5" x14ac:dyDescent="0.35">
      <c r="A130">
        <f>Database!A130</f>
        <v>129</v>
      </c>
      <c r="B130" s="2" t="str">
        <f>Database!Q130</f>
        <v>N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1</v>
      </c>
    </row>
    <row r="131" spans="1:5" x14ac:dyDescent="0.35">
      <c r="A131">
        <f>Database!A131</f>
        <v>130</v>
      </c>
      <c r="B131" s="2" t="str">
        <f>Database!Q131</f>
        <v>N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1</v>
      </c>
    </row>
    <row r="132" spans="1:5" x14ac:dyDescent="0.35">
      <c r="A132">
        <f>Database!A132</f>
        <v>131</v>
      </c>
      <c r="B132" s="2" t="str">
        <f>Database!Q132</f>
        <v>N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2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277</v>
      </c>
      <c r="M3">
        <f>SUM(J2:J200)</f>
        <v>279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126</v>
      </c>
      <c r="B127" t="str">
        <f>Database!G127</f>
        <v>web</v>
      </c>
      <c r="C127" s="5">
        <f>Database!C127</f>
        <v>46266</v>
      </c>
      <c r="D127" s="5">
        <f>Database!D127</f>
        <v>46270</v>
      </c>
      <c r="E127">
        <f t="shared" si="4"/>
        <v>4</v>
      </c>
      <c r="F127">
        <f>Database!K127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Database!A128</f>
        <v>127</v>
      </c>
      <c r="B128" t="str">
        <f>Database!G128</f>
        <v>bc</v>
      </c>
      <c r="C128" s="5">
        <f>Database!C128</f>
        <v>46188</v>
      </c>
      <c r="D128" s="5">
        <f>Database!D128</f>
        <v>46191</v>
      </c>
      <c r="E128">
        <f t="shared" si="4"/>
        <v>3</v>
      </c>
      <c r="F128">
        <f>Database!K128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Database!A129</f>
        <v>128</v>
      </c>
      <c r="B129" t="str">
        <f>Database!G129</f>
        <v>bc</v>
      </c>
      <c r="C129" s="5">
        <f>Database!C129</f>
        <v>46169</v>
      </c>
      <c r="D129" s="5">
        <f>Database!D129</f>
        <v>46173</v>
      </c>
      <c r="E129">
        <f t="shared" si="4"/>
        <v>4</v>
      </c>
      <c r="F129">
        <f>Database!K129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Database!A130</f>
        <v>129</v>
      </c>
      <c r="B130" t="str">
        <f>Database!G130</f>
        <v>bc</v>
      </c>
      <c r="C130" s="5">
        <f>Database!C130</f>
        <v>46194</v>
      </c>
      <c r="D130" s="5">
        <f>Database!D130</f>
        <v>46197</v>
      </c>
      <c r="E130">
        <f t="shared" si="4"/>
        <v>3</v>
      </c>
      <c r="F130">
        <f>Database!K130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Database!A131</f>
        <v>130</v>
      </c>
      <c r="B131" t="str">
        <f>Database!G131</f>
        <v>bc</v>
      </c>
      <c r="C131" s="5">
        <f>Database!C131</f>
        <v>46194</v>
      </c>
      <c r="D131" s="5">
        <f>Database!D131</f>
        <v>46197</v>
      </c>
      <c r="E131">
        <f t="shared" ref="E131:E194" si="8">D131-C131</f>
        <v>3</v>
      </c>
      <c r="F131">
        <f>Database!K131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Database!A132</f>
        <v>131</v>
      </c>
      <c r="B132" t="str">
        <f>Database!G132</f>
        <v>bc</v>
      </c>
      <c r="C132" s="5">
        <f>Database!C132</f>
        <v>46219</v>
      </c>
      <c r="D132" s="5">
        <f>Database!D132</f>
        <v>46222</v>
      </c>
      <c r="E132">
        <f t="shared" si="8"/>
        <v>3</v>
      </c>
      <c r="F132">
        <f>Database!K132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2026-05-11T13:59:34Z</cp:lastPrinted>
  <dcterms:created xsi:type="dcterms:W3CDTF">2024-07-25T07:35:10Z</dcterms:created>
  <dcterms:modified xsi:type="dcterms:W3CDTF">2026-05-17T15:40:37Z</dcterms:modified>
  <cp:category/>
  <cp:contentStatus/>
</cp:coreProperties>
</file>
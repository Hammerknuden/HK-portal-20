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65" documentId="8_{CBF31231-0F4D-4AAA-8243-F4B7D6A71111}" xr6:coauthVersionLast="47" xr6:coauthVersionMax="47" xr10:uidLastSave="{33406F12-1769-4D13-AA54-6C3FE4EED31D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G33" i="7" l="1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<sst xmlns="http://schemas.openxmlformats.org/spreadsheetml/2006/main" count="1398" uniqueCount="490">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</sst>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108" activePane="bottomLeft" state="frozen"/>
      <selection pane="bottomLeft" activeCell="S126" sqref="S12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532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26" activePane="bottomLeft" state="frozen"/>
      <selection pane="bottomLeft" activeCell="T20" sqref="T2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552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288</v>
      </c>
      <c r="P58" s="8">
        <v>130</v>
      </c>
      <c r="Q58" s="114">
        <v>130</v>
      </c>
      <c r="R58" s="117"/>
      <c r="S58" s="117" t="s">
        <v>288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>
        <v>64</v>
      </c>
      <c r="R61" s="117">
        <v>2</v>
      </c>
      <c r="S61" s="20" t="s">
        <v>159</v>
      </c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T35 V34:Y36 T34:U34 T36:U36 D116:N123 O2:Y32 J2:N18 N99:N107 D99:M115 D92:Y98 O99:Y123 I11:I18 D16:H33 I19:N33 D124:Y171 D36:H52 I36:N57 D34:N35 Q34:S36 O33:P36 Q33:Y33 O37:Y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0</v>
      </c>
      <c r="L34" s="78" t="str">
        <f>IFERROR(VLOOKUP(J34,Database!$A$2:$L$175,6,FALSE),"-")</f>
        <v>DK</v>
      </c>
      <c r="M34" s="93">
        <f>IFERROR(VLOOKUP(J34,Database!$A$2:$L$175,9,FALSE),"-")</f>
        <v>0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>
        <f>IF(AND(D57="Y",booking!L57&lt;&gt;booking!M57,booking!M57&gt;0),booking!M57,"-")</f>
        <v>129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>
        <f>IF(AND(D57="Y",booking!P57&lt;&gt;booking!Q57,booking!Q57&gt;0),booking!Q57,"-")</f>
        <v>130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IFERROR(VLOOKUP(T58,Database!$A$2:$L$175,8,FALSE),"-")</f>
        <v>-</v>
      </c>
      <c r="V58" s="78" t="str">
        <f>IFERROR(VLOOKUP(T58,Database!$A$2:$L$175,6,FALSE),"-")</f>
        <v>-</v>
      </c>
      <c r="W58" s="82" t="str">
        <f>IFERROR(VLOOKUP(T58,Database!$A$2:$L$175,9,FALSE),"-")</f>
        <v>-</v>
      </c>
      <c r="X58" s="209" t="str">
        <f>IFERROR(VLOOKUP(T58,Database!$A$2:$S$175,19,FALSE),"-")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IFERROR(VLOOKUP(Y58,Database!$A$2:$L$175,8,FALSE),"-")</f>
        <v>1430</v>
      </c>
      <c r="AA58" s="79" t="str">
        <f>IFERROR(VLOOKUP(Y58,Database!$A$2:$L$175,6,FALSE),"-")</f>
        <v>DK</v>
      </c>
      <c r="AB58" s="92">
        <f>IFERROR(VLOOKUP(Y58,Database!$A$2:$L$175,9,FALSE),"-")</f>
        <v>0</v>
      </c>
      <c r="AC58" s="8" t="str">
        <f>IFERROR(VLOOKUP(Y58,Database!$A$2:$S$175,19,FALSE),"-")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>
        <f>ankomster!O57</f>
        <v>129</v>
      </c>
      <c r="I57" t="str">
        <f>IFERROR(VLOOKUP(H57,Database!$A$2:$L$175,2,FALSE),"-")</f>
        <v>-</v>
      </c>
      <c r="J57" s="76">
        <f>ankomster!T57</f>
        <v>130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 t="str">
        <f>ankomster!T58</f>
        <v>-</v>
      </c>
      <c r="K58" t="str">
        <f>IFERROR(VLOOKUP(J58,Database!$A$2:$L$175,2,FALSE),"-")</f>
        <v>-</v>
      </c>
      <c r="L58">
        <f>ankomster!Y58</f>
        <v>37</v>
      </c>
      <c r="M58" t="str">
        <f>IFERROR(VLOOKUP(L58,Database!$A$2:$L$175,2,FALSE),"-")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-</v>
      </c>
      <c r="F129">
        <f>ankomster!J129</f>
        <v>126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oc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2026-05-11T13:59:34Z</cp:lastPrinted>
  <dcterms:created xsi:type="dcterms:W3CDTF">2024-07-25T07:35:10Z</dcterms:created>
  <dcterms:modified xsi:type="dcterms:W3CDTF">2026-05-13T08:13:34Z</dcterms:modified>
  <cp:category/>
  <cp:contentStatus/>
</cp:coreProperties>
</file>
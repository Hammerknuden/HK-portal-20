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772A7EEE-561F-447C-B1E2-4A590843C9F0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Database!$A$1:$V$102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7" l="1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J148" i="10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J145" i="10" s="1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I147" i="10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J150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AB172" i="7" l="1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H200" i="3" s="1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I98" i="7" l="1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<sst xmlns="http://schemas.openxmlformats.org/spreadsheetml/2006/main" count="1542" uniqueCount="526">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</sst>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508</c:v>
                </c:pt>
                <c:pt idx="18">
                  <c:v>517</c:v>
                </c:pt>
                <c:pt idx="19">
                  <c:v>524</c:v>
                </c:pt>
                <c:pt idx="20">
                  <c:v>548</c:v>
                </c:pt>
                <c:pt idx="21">
                  <c:v>567</c:v>
                </c:pt>
                <c:pt idx="22">
                  <c:v>585</c:v>
                </c:pt>
                <c:pt idx="23">
                  <c:v>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185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765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508</c:v>
                </c:pt>
                <c:pt idx="18">
                  <c:v>517</c:v>
                </c:pt>
                <c:pt idx="19">
                  <c:v>524</c:v>
                </c:pt>
                <c:pt idx="20">
                  <c:v>548</c:v>
                </c:pt>
                <c:pt idx="21">
                  <c:v>567</c:v>
                </c:pt>
                <c:pt idx="22">
                  <c:v>585</c:v>
                </c:pt>
                <c:pt idx="23">
                  <c:v>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297</c:v>
                </c:pt>
                <c:pt idx="1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185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765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297</c:v>
                </c:pt>
                <c:pt idx="1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58"/>
  <sheetViews>
    <sheetView tabSelected="1" topLeftCell="K1" workbookViewId="0">
      <pane ySplit="1" topLeftCell="A2" activePane="bottomLeft" state="frozen"/>
      <selection pane="bottomLeft" activeCell="V2" sqref="V2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5" t="s">
        <v>9</v>
      </c>
      <c r="K1" s="3" t="s">
        <v>45</v>
      </c>
      <c r="L1" s="3" t="s">
        <v>46</v>
      </c>
      <c r="M1" s="3" t="s">
        <v>47</v>
      </c>
      <c r="N1" s="171" t="s">
        <v>48</v>
      </c>
      <c r="O1" s="3" t="s">
        <v>49</v>
      </c>
      <c r="P1" s="3" t="s">
        <v>32</v>
      </c>
      <c r="Q1" s="3" t="s">
        <v>50</v>
      </c>
      <c r="R1" s="122" t="s">
        <v>51</v>
      </c>
      <c r="S1" s="3" t="s">
        <v>18</v>
      </c>
      <c r="T1" s="3" t="s">
        <v>52</v>
      </c>
      <c r="U1" s="3" t="s">
        <v>524</v>
      </c>
      <c r="V1" s="3" t="s">
        <v>525</v>
      </c>
    </row>
    <row r="2" spans="1:22" x14ac:dyDescent="0.35">
      <c r="A2" s="135">
        <v>1</v>
      </c>
      <c r="B2" s="102" t="s">
        <v>162</v>
      </c>
      <c r="C2" s="105">
        <v>46222</v>
      </c>
      <c r="D2" s="105">
        <v>46228</v>
      </c>
      <c r="E2" s="105">
        <v>45868</v>
      </c>
      <c r="F2" s="102" t="s">
        <v>53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163</v>
      </c>
      <c r="N2" s="172"/>
      <c r="O2" s="123" t="s">
        <v>164</v>
      </c>
      <c r="P2" s="123"/>
      <c r="Q2" s="123" t="s">
        <v>21</v>
      </c>
      <c r="R2" s="154">
        <v>7267.5</v>
      </c>
      <c r="S2" s="148" t="s">
        <v>20</v>
      </c>
      <c r="T2" t="s">
        <v>165</v>
      </c>
    </row>
    <row r="3" spans="1:22" x14ac:dyDescent="0.35">
      <c r="A3" s="136">
        <v>2</v>
      </c>
      <c r="B3" s="104" t="s">
        <v>166</v>
      </c>
      <c r="C3" s="107">
        <v>46172</v>
      </c>
      <c r="D3" s="107">
        <v>46180</v>
      </c>
      <c r="E3" s="107">
        <v>45889</v>
      </c>
      <c r="F3" s="104" t="s">
        <v>53</v>
      </c>
      <c r="G3" s="104" t="s">
        <v>264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166</v>
      </c>
      <c r="C4" s="105">
        <v>46283</v>
      </c>
      <c r="D4" s="105">
        <v>46285</v>
      </c>
      <c r="E4" s="105">
        <v>45889</v>
      </c>
      <c r="F4" s="102" t="s">
        <v>53</v>
      </c>
      <c r="G4" s="102" t="s">
        <v>264</v>
      </c>
      <c r="H4" s="211"/>
      <c r="I4" s="123"/>
      <c r="J4" s="196"/>
      <c r="K4" s="102"/>
      <c r="L4" s="102"/>
      <c r="M4" s="144" t="s">
        <v>167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168</v>
      </c>
      <c r="C5" s="107">
        <v>46246</v>
      </c>
      <c r="D5" s="107">
        <v>46250</v>
      </c>
      <c r="E5" s="107">
        <v>45891</v>
      </c>
      <c r="F5" s="104" t="s">
        <v>53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170</v>
      </c>
      <c r="N5" s="174">
        <v>4530267986</v>
      </c>
      <c r="O5" s="124" t="s">
        <v>171</v>
      </c>
      <c r="P5" s="124"/>
      <c r="Q5" s="124" t="s">
        <v>21</v>
      </c>
      <c r="R5" s="154">
        <v>9180</v>
      </c>
      <c r="S5" s="149" t="s">
        <v>21</v>
      </c>
      <c r="T5" t="s">
        <v>169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/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172</v>
      </c>
      <c r="C7" s="105">
        <v>46169</v>
      </c>
      <c r="D7" s="105">
        <v>46174</v>
      </c>
      <c r="E7" s="105">
        <v>45903</v>
      </c>
      <c r="F7" s="102" t="s">
        <v>53</v>
      </c>
      <c r="G7" s="102" t="s">
        <v>6</v>
      </c>
      <c r="H7" s="211">
        <v>1430</v>
      </c>
      <c r="I7" s="123" t="s">
        <v>156</v>
      </c>
      <c r="J7" s="196">
        <v>0.1</v>
      </c>
      <c r="K7" s="102">
        <v>1</v>
      </c>
      <c r="L7" s="102">
        <v>2</v>
      </c>
      <c r="M7" s="144" t="s">
        <v>173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174</v>
      </c>
      <c r="C8" s="119">
        <v>46178</v>
      </c>
      <c r="D8" s="119">
        <v>46180</v>
      </c>
      <c r="E8" s="119">
        <v>45910</v>
      </c>
      <c r="F8" s="116" t="s">
        <v>53</v>
      </c>
      <c r="G8" s="2" t="s">
        <v>6</v>
      </c>
      <c r="J8" s="198">
        <v>0.1</v>
      </c>
      <c r="K8" s="118">
        <v>2</v>
      </c>
      <c r="L8" s="118">
        <v>4</v>
      </c>
      <c r="M8" s="120" t="s">
        <v>175</v>
      </c>
      <c r="Q8" s="2" t="s">
        <v>21</v>
      </c>
      <c r="R8" s="122">
        <v>4140</v>
      </c>
      <c r="S8" s="2" t="s">
        <v>38</v>
      </c>
      <c r="T8" t="s">
        <v>176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/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/>
      <c r="J10" s="198"/>
      <c r="K10" s="118"/>
      <c r="L10" s="118"/>
      <c r="M10" s="120"/>
    </row>
    <row r="11" spans="1:22" x14ac:dyDescent="0.35">
      <c r="A11" s="136">
        <v>7</v>
      </c>
      <c r="B11" s="116" t="s">
        <v>177</v>
      </c>
      <c r="C11" s="119">
        <v>46207</v>
      </c>
      <c r="D11" s="119">
        <v>46214</v>
      </c>
      <c r="E11" s="119">
        <v>45927</v>
      </c>
      <c r="F11" s="116" t="s">
        <v>53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178</v>
      </c>
      <c r="N11" s="174">
        <v>4522701312</v>
      </c>
      <c r="O11" s="2" t="s">
        <v>179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180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181</v>
      </c>
      <c r="N12" s="174">
        <v>4917643882286</v>
      </c>
      <c r="O12" s="2" t="s">
        <v>182</v>
      </c>
      <c r="Q12" s="2" t="s">
        <v>21</v>
      </c>
      <c r="R12" s="122">
        <v>4275</v>
      </c>
      <c r="S12" s="2" t="s">
        <v>21</v>
      </c>
      <c r="T12" s="116" t="s">
        <v>183</v>
      </c>
    </row>
    <row r="13" spans="1:22" x14ac:dyDescent="0.35">
      <c r="A13" s="135">
        <v>9</v>
      </c>
      <c r="B13" s="116" t="s">
        <v>184</v>
      </c>
      <c r="C13" s="119">
        <v>46159</v>
      </c>
      <c r="D13" s="119">
        <v>46166</v>
      </c>
      <c r="E13" s="119">
        <v>45954</v>
      </c>
      <c r="F13" s="116" t="s">
        <v>53</v>
      </c>
      <c r="G13" s="2" t="s">
        <v>6</v>
      </c>
      <c r="H13" s="1">
        <v>1430</v>
      </c>
      <c r="I13" s="2" t="s">
        <v>156</v>
      </c>
      <c r="J13" s="198">
        <v>0.1</v>
      </c>
      <c r="K13" s="118">
        <v>1</v>
      </c>
      <c r="L13" s="118">
        <v>2</v>
      </c>
      <c r="M13" s="120" t="s">
        <v>185</v>
      </c>
      <c r="N13" s="147">
        <v>4551172451</v>
      </c>
      <c r="O13" s="2" t="s">
        <v>186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187</v>
      </c>
      <c r="C14" s="119">
        <v>46225</v>
      </c>
      <c r="D14" s="119">
        <v>46228</v>
      </c>
      <c r="E14" s="119">
        <v>45932</v>
      </c>
      <c r="F14" s="116" t="s">
        <v>53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188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189</v>
      </c>
    </row>
    <row r="15" spans="1:22" x14ac:dyDescent="0.35">
      <c r="A15" s="135">
        <v>11</v>
      </c>
      <c r="B15" s="116" t="s">
        <v>190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192</v>
      </c>
      <c r="Q15" s="2" t="s">
        <v>21</v>
      </c>
      <c r="R15" s="122">
        <v>5737.5</v>
      </c>
      <c r="S15" s="2" t="s">
        <v>20</v>
      </c>
      <c r="T15" t="s">
        <v>191</v>
      </c>
    </row>
    <row r="16" spans="1:22" x14ac:dyDescent="0.35">
      <c r="A16" s="135">
        <v>12</v>
      </c>
      <c r="B16" s="116" t="s">
        <v>193</v>
      </c>
      <c r="C16" s="119">
        <v>46175</v>
      </c>
      <c r="D16" s="119">
        <v>46179</v>
      </c>
      <c r="E16" s="119">
        <v>45977</v>
      </c>
      <c r="F16" s="116" t="s">
        <v>53</v>
      </c>
      <c r="G16" s="2" t="s">
        <v>6</v>
      </c>
      <c r="I16" s="2" t="s">
        <v>159</v>
      </c>
      <c r="J16" s="198">
        <v>0.1</v>
      </c>
      <c r="K16" s="118">
        <v>1</v>
      </c>
      <c r="L16" s="118">
        <v>2</v>
      </c>
      <c r="M16" s="120" t="s">
        <v>194</v>
      </c>
      <c r="N16" s="175">
        <v>4540552384</v>
      </c>
      <c r="O16" s="2" t="s">
        <v>195</v>
      </c>
      <c r="Q16" s="2" t="s">
        <v>21</v>
      </c>
      <c r="R16" s="122">
        <v>4140</v>
      </c>
      <c r="S16" s="2" t="s">
        <v>21</v>
      </c>
      <c r="T16" t="s">
        <v>196</v>
      </c>
    </row>
    <row r="17" spans="1:21" x14ac:dyDescent="0.35">
      <c r="A17" s="136">
        <v>13</v>
      </c>
      <c r="B17" s="116" t="s">
        <v>197</v>
      </c>
      <c r="C17" s="22">
        <v>46211</v>
      </c>
      <c r="D17" s="22">
        <v>46218</v>
      </c>
      <c r="E17" s="22">
        <v>45998</v>
      </c>
      <c r="F17" s="116" t="s">
        <v>53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198</v>
      </c>
      <c r="N17" s="175">
        <v>4525582842</v>
      </c>
      <c r="O17" s="2" t="s">
        <v>200</v>
      </c>
      <c r="Q17" s="2" t="s">
        <v>21</v>
      </c>
      <c r="R17" s="122">
        <v>8032.5</v>
      </c>
      <c r="S17" s="2" t="s">
        <v>38</v>
      </c>
      <c r="T17" t="s">
        <v>199</v>
      </c>
    </row>
    <row r="18" spans="1:21" x14ac:dyDescent="0.35">
      <c r="A18" s="135">
        <v>14</v>
      </c>
      <c r="B18" s="116" t="s">
        <v>201</v>
      </c>
      <c r="C18" s="22">
        <v>46206</v>
      </c>
      <c r="D18" s="22">
        <v>46213</v>
      </c>
      <c r="E18" s="22">
        <v>46001</v>
      </c>
      <c r="F18" s="116" t="s">
        <v>53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204</v>
      </c>
      <c r="N18" s="175">
        <v>4591191885</v>
      </c>
      <c r="O18" s="2" t="s">
        <v>202</v>
      </c>
      <c r="Q18" s="2" t="s">
        <v>21</v>
      </c>
      <c r="R18" s="122">
        <v>9180</v>
      </c>
      <c r="S18" s="2" t="s">
        <v>38</v>
      </c>
      <c r="T18" s="116" t="s">
        <v>203</v>
      </c>
    </row>
    <row r="19" spans="1:21" x14ac:dyDescent="0.35">
      <c r="A19" s="135">
        <v>15</v>
      </c>
      <c r="B19" s="116" t="s">
        <v>205</v>
      </c>
      <c r="C19" s="22">
        <v>46181</v>
      </c>
      <c r="D19" s="22">
        <v>46188</v>
      </c>
      <c r="E19" s="22">
        <v>45866</v>
      </c>
      <c r="F19" s="116" t="s">
        <v>53</v>
      </c>
      <c r="G19" s="2" t="s">
        <v>56</v>
      </c>
      <c r="K19" s="118">
        <v>1</v>
      </c>
      <c r="L19" s="118">
        <v>2</v>
      </c>
      <c r="M19" s="113" t="s">
        <v>206</v>
      </c>
      <c r="N19" s="147">
        <v>4531534745</v>
      </c>
      <c r="O19" s="2" t="s">
        <v>207</v>
      </c>
      <c r="Q19" s="2" t="s">
        <v>21</v>
      </c>
      <c r="R19" s="122">
        <v>8925</v>
      </c>
      <c r="S19" s="2" t="s">
        <v>38</v>
      </c>
      <c r="T19" t="s">
        <v>208</v>
      </c>
      <c r="U19" s="180">
        <f>R19*0.5</f>
        <v>4462.5</v>
      </c>
    </row>
    <row r="20" spans="1:21" x14ac:dyDescent="0.35">
      <c r="A20" s="136">
        <v>16</v>
      </c>
      <c r="B20" s="116" t="s">
        <v>219</v>
      </c>
      <c r="C20" s="22">
        <v>46182</v>
      </c>
      <c r="D20" s="22">
        <v>46188</v>
      </c>
      <c r="E20" s="22">
        <v>45832</v>
      </c>
      <c r="F20" s="116" t="s">
        <v>53</v>
      </c>
      <c r="G20" s="2" t="s">
        <v>56</v>
      </c>
      <c r="H20" s="1" t="s">
        <v>436</v>
      </c>
      <c r="K20" s="118">
        <v>2</v>
      </c>
      <c r="L20" s="118">
        <v>4</v>
      </c>
      <c r="M20" s="113" t="s">
        <v>220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221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/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213</v>
      </c>
      <c r="C22" s="22">
        <v>46181</v>
      </c>
      <c r="D22" s="22">
        <v>46188</v>
      </c>
      <c r="E22" s="22">
        <v>45824</v>
      </c>
      <c r="F22" s="116" t="s">
        <v>53</v>
      </c>
      <c r="G22" s="2" t="s">
        <v>56</v>
      </c>
      <c r="K22" s="118">
        <v>1</v>
      </c>
      <c r="L22" s="118">
        <v>2</v>
      </c>
      <c r="M22" s="113" t="s">
        <v>216</v>
      </c>
      <c r="N22" s="175">
        <v>4524669843</v>
      </c>
      <c r="O22" s="2" t="s">
        <v>217</v>
      </c>
      <c r="Q22" s="2" t="s">
        <v>21</v>
      </c>
      <c r="R22" s="122">
        <v>8925</v>
      </c>
      <c r="S22" s="2" t="s">
        <v>38</v>
      </c>
      <c r="T22" t="s">
        <v>218</v>
      </c>
      <c r="U22" s="181">
        <f t="shared" si="0"/>
        <v>4462.5</v>
      </c>
    </row>
    <row r="23" spans="1:21" x14ac:dyDescent="0.35">
      <c r="A23" s="135">
        <v>18</v>
      </c>
      <c r="B23" s="116" t="s">
        <v>211</v>
      </c>
      <c r="C23" s="22">
        <v>46182</v>
      </c>
      <c r="D23" s="22">
        <v>46187</v>
      </c>
      <c r="E23" s="22">
        <v>45834</v>
      </c>
      <c r="F23" s="116" t="s">
        <v>53</v>
      </c>
      <c r="G23" s="2" t="s">
        <v>56</v>
      </c>
      <c r="K23" s="118">
        <v>1</v>
      </c>
      <c r="L23" s="118">
        <v>2</v>
      </c>
      <c r="M23" s="146" t="s">
        <v>212</v>
      </c>
      <c r="N23" s="175">
        <v>4531909358</v>
      </c>
      <c r="O23" s="2" t="s">
        <v>215</v>
      </c>
      <c r="Q23" s="2" t="s">
        <v>21</v>
      </c>
      <c r="R23" s="122">
        <v>6375</v>
      </c>
      <c r="S23" s="2" t="s">
        <v>38</v>
      </c>
      <c r="T23" t="s">
        <v>214</v>
      </c>
      <c r="U23" s="181">
        <f t="shared" si="0"/>
        <v>3187.5</v>
      </c>
    </row>
    <row r="24" spans="1:21" x14ac:dyDescent="0.35">
      <c r="A24" s="136">
        <v>19</v>
      </c>
      <c r="B24" t="s">
        <v>209</v>
      </c>
      <c r="C24" s="22">
        <v>46215</v>
      </c>
      <c r="D24" s="22">
        <v>46229</v>
      </c>
      <c r="E24" s="22">
        <v>45931</v>
      </c>
      <c r="F24" t="s">
        <v>53</v>
      </c>
      <c r="G24" t="s">
        <v>6</v>
      </c>
      <c r="I24" s="2" t="s">
        <v>159</v>
      </c>
      <c r="J24" s="199">
        <v>0.1</v>
      </c>
      <c r="K24">
        <v>1</v>
      </c>
      <c r="L24">
        <v>1</v>
      </c>
      <c r="M24" s="113" t="s">
        <v>210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199</v>
      </c>
    </row>
    <row r="25" spans="1:21" x14ac:dyDescent="0.35">
      <c r="A25" s="135">
        <v>20</v>
      </c>
      <c r="B25" s="116" t="s">
        <v>239</v>
      </c>
      <c r="C25" s="22">
        <v>46163</v>
      </c>
      <c r="D25" s="22">
        <v>46167</v>
      </c>
      <c r="E25" s="22">
        <v>46008</v>
      </c>
      <c r="F25" s="116" t="s">
        <v>53</v>
      </c>
      <c r="G25" s="2" t="s">
        <v>6</v>
      </c>
      <c r="K25" s="118">
        <v>3</v>
      </c>
      <c r="L25" s="118">
        <v>6</v>
      </c>
      <c r="M25" s="113" t="s">
        <v>240</v>
      </c>
      <c r="N25" s="147">
        <v>4540430234</v>
      </c>
      <c r="O25" s="2" t="s">
        <v>520</v>
      </c>
      <c r="Q25" s="2" t="s">
        <v>21</v>
      </c>
      <c r="R25" s="154">
        <v>12420</v>
      </c>
      <c r="S25" s="2" t="s">
        <v>38</v>
      </c>
      <c r="T25" t="s">
        <v>241</v>
      </c>
    </row>
    <row r="26" spans="1:21" x14ac:dyDescent="0.35">
      <c r="A26" s="135">
        <v>20</v>
      </c>
      <c r="B26" s="116"/>
      <c r="F26" s="116"/>
      <c r="G26" s="2"/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/>
      <c r="K27" s="118"/>
      <c r="L27" s="118"/>
      <c r="M27" s="113"/>
      <c r="R27" s="154"/>
    </row>
    <row r="28" spans="1:21" x14ac:dyDescent="0.35">
      <c r="A28" s="135">
        <v>21</v>
      </c>
      <c r="B28" s="116" t="s">
        <v>261</v>
      </c>
      <c r="C28" s="22">
        <v>46251</v>
      </c>
      <c r="D28" s="22">
        <v>46256</v>
      </c>
      <c r="E28" s="22">
        <v>46009</v>
      </c>
      <c r="F28" s="116" t="s">
        <v>54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237</v>
      </c>
      <c r="N28" s="175">
        <v>46705125490</v>
      </c>
      <c r="O28" s="2" t="s">
        <v>236</v>
      </c>
      <c r="Q28" s="2" t="s">
        <v>21</v>
      </c>
      <c r="R28" s="154">
        <v>5175</v>
      </c>
      <c r="S28" s="2" t="s">
        <v>38</v>
      </c>
      <c r="T28" t="s">
        <v>238</v>
      </c>
    </row>
    <row r="29" spans="1:21" x14ac:dyDescent="0.35">
      <c r="A29" s="136">
        <v>22</v>
      </c>
      <c r="B29" t="s">
        <v>234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235</v>
      </c>
    </row>
    <row r="30" spans="1:21" x14ac:dyDescent="0.35">
      <c r="A30" s="135">
        <v>23</v>
      </c>
      <c r="B30" t="s">
        <v>233</v>
      </c>
      <c r="C30" s="22">
        <v>46247</v>
      </c>
      <c r="D30" s="22">
        <v>46250</v>
      </c>
      <c r="E30" s="22">
        <v>46017</v>
      </c>
      <c r="F30" t="s">
        <v>53</v>
      </c>
      <c r="G30" t="s">
        <v>35</v>
      </c>
      <c r="H30" s="1" t="s">
        <v>252</v>
      </c>
      <c r="I30" s="2" t="s">
        <v>156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232</v>
      </c>
      <c r="C31" s="22">
        <v>46205</v>
      </c>
      <c r="D31" s="22">
        <v>46208</v>
      </c>
      <c r="E31" s="22">
        <v>46016</v>
      </c>
      <c r="F31" t="s">
        <v>54</v>
      </c>
      <c r="G31" t="s">
        <v>35</v>
      </c>
      <c r="I31" s="2" t="s">
        <v>156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231</v>
      </c>
      <c r="C32" s="22">
        <v>46256</v>
      </c>
      <c r="D32" s="22">
        <v>46261</v>
      </c>
      <c r="E32" s="22">
        <v>46017</v>
      </c>
      <c r="F32" t="s">
        <v>57</v>
      </c>
      <c r="G32" t="s">
        <v>35</v>
      </c>
      <c r="I32" s="2" t="s">
        <v>159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230</v>
      </c>
      <c r="C33" s="22">
        <v>46251</v>
      </c>
      <c r="D33" s="22">
        <v>46255</v>
      </c>
      <c r="E33" s="22">
        <v>46019</v>
      </c>
      <c r="F33" t="s">
        <v>53</v>
      </c>
      <c r="G33" t="s">
        <v>35</v>
      </c>
      <c r="H33" s="1" t="s">
        <v>496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317</v>
      </c>
    </row>
    <row r="34" spans="1:20" x14ac:dyDescent="0.35">
      <c r="A34" s="135">
        <v>27</v>
      </c>
      <c r="B34" t="s">
        <v>228</v>
      </c>
      <c r="C34" s="22">
        <v>46176</v>
      </c>
      <c r="D34" s="22">
        <v>46182</v>
      </c>
      <c r="E34" s="22">
        <v>46021</v>
      </c>
      <c r="F34" t="s">
        <v>53</v>
      </c>
      <c r="G34" t="s">
        <v>6</v>
      </c>
      <c r="I34" s="2" t="s">
        <v>437</v>
      </c>
      <c r="J34" s="199">
        <v>0.1</v>
      </c>
      <c r="K34" s="118">
        <v>1</v>
      </c>
      <c r="L34" s="118">
        <v>2</v>
      </c>
      <c r="M34" s="113" t="s">
        <v>229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438</v>
      </c>
    </row>
    <row r="35" spans="1:20" x14ac:dyDescent="0.35">
      <c r="A35" s="136">
        <v>28</v>
      </c>
      <c r="B35" t="s">
        <v>227</v>
      </c>
      <c r="C35" s="22">
        <v>46143</v>
      </c>
      <c r="D35" s="22">
        <v>46145</v>
      </c>
      <c r="E35" s="22">
        <v>46021</v>
      </c>
      <c r="F35" t="s">
        <v>53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244</v>
      </c>
      <c r="C36" s="22">
        <v>46177</v>
      </c>
      <c r="D36" s="22">
        <v>46179</v>
      </c>
      <c r="E36" s="22">
        <v>46023</v>
      </c>
      <c r="F36" t="s">
        <v>58</v>
      </c>
      <c r="G36" t="s">
        <v>264</v>
      </c>
      <c r="K36" s="118"/>
      <c r="L36" s="118"/>
      <c r="M36" s="113"/>
    </row>
    <row r="37" spans="1:20" x14ac:dyDescent="0.35">
      <c r="A37" s="135">
        <v>28</v>
      </c>
      <c r="K37" s="118"/>
      <c r="L37" s="118"/>
      <c r="M37" s="113"/>
    </row>
    <row r="38" spans="1:20" x14ac:dyDescent="0.35">
      <c r="A38" s="135">
        <v>30</v>
      </c>
      <c r="B38" t="s">
        <v>242</v>
      </c>
      <c r="C38" s="22">
        <v>46230</v>
      </c>
      <c r="D38" s="22">
        <v>46234</v>
      </c>
      <c r="E38" s="22">
        <v>46025</v>
      </c>
      <c r="F38" t="s">
        <v>53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243</v>
      </c>
    </row>
    <row r="39" spans="1:20" x14ac:dyDescent="0.35">
      <c r="A39" s="136">
        <v>31</v>
      </c>
      <c r="B39" t="s">
        <v>245</v>
      </c>
      <c r="C39" s="22">
        <v>46190</v>
      </c>
      <c r="D39" s="22">
        <v>46195</v>
      </c>
      <c r="E39" s="22">
        <v>46029</v>
      </c>
      <c r="F39" t="s">
        <v>53</v>
      </c>
      <c r="G39" t="s">
        <v>6</v>
      </c>
      <c r="J39" s="199">
        <v>0.1</v>
      </c>
      <c r="K39" s="118">
        <v>1</v>
      </c>
      <c r="L39" s="118">
        <v>1</v>
      </c>
      <c r="M39" s="113" t="s">
        <v>246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247</v>
      </c>
    </row>
    <row r="40" spans="1:20" x14ac:dyDescent="0.35">
      <c r="A40" s="135">
        <v>32</v>
      </c>
      <c r="B40" t="s">
        <v>260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259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258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361</v>
      </c>
      <c r="I42" s="2" t="s">
        <v>156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254</v>
      </c>
      <c r="C43" s="22">
        <v>46261</v>
      </c>
      <c r="D43" s="22">
        <v>46265</v>
      </c>
      <c r="E43" s="22">
        <v>46030</v>
      </c>
      <c r="F43" t="s">
        <v>54</v>
      </c>
      <c r="G43" t="s">
        <v>6</v>
      </c>
      <c r="I43" s="2" t="s">
        <v>156</v>
      </c>
      <c r="J43" s="199">
        <v>0.1</v>
      </c>
      <c r="K43">
        <v>1</v>
      </c>
      <c r="L43">
        <v>2</v>
      </c>
      <c r="M43" s="155" t="s">
        <v>255</v>
      </c>
      <c r="N43" s="175">
        <v>46733448215</v>
      </c>
      <c r="O43" s="2" t="s">
        <v>256</v>
      </c>
      <c r="Q43" s="2" t="s">
        <v>21</v>
      </c>
      <c r="R43" s="122">
        <v>4140</v>
      </c>
      <c r="S43" s="2" t="s">
        <v>38</v>
      </c>
      <c r="T43" t="s">
        <v>257</v>
      </c>
    </row>
    <row r="44" spans="1:20" x14ac:dyDescent="0.35">
      <c r="A44" s="135">
        <v>36</v>
      </c>
      <c r="B44" t="s">
        <v>253</v>
      </c>
      <c r="C44" s="22">
        <v>46209</v>
      </c>
      <c r="D44" s="22">
        <v>46212</v>
      </c>
      <c r="E44" s="22">
        <v>46030</v>
      </c>
      <c r="F44" t="s">
        <v>53</v>
      </c>
      <c r="G44" t="s">
        <v>35</v>
      </c>
      <c r="I44" s="2" t="s">
        <v>159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M45" s="113"/>
    </row>
    <row r="46" spans="1:20" x14ac:dyDescent="0.35">
      <c r="A46" s="136">
        <v>37</v>
      </c>
      <c r="B46" t="s">
        <v>251</v>
      </c>
      <c r="C46" s="22">
        <v>46195</v>
      </c>
      <c r="D46" s="22">
        <v>46198</v>
      </c>
      <c r="E46" s="22">
        <v>46031</v>
      </c>
      <c r="F46" t="s">
        <v>53</v>
      </c>
      <c r="G46" t="s">
        <v>35</v>
      </c>
      <c r="H46" s="1" t="s">
        <v>252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250</v>
      </c>
      <c r="C47" s="22">
        <v>46221</v>
      </c>
      <c r="D47" s="22">
        <v>46228</v>
      </c>
      <c r="E47" s="22">
        <v>46031</v>
      </c>
      <c r="F47" t="s">
        <v>57</v>
      </c>
      <c r="G47" t="s">
        <v>35</v>
      </c>
      <c r="I47" s="2" t="s">
        <v>159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249</v>
      </c>
      <c r="C48" s="22">
        <v>46216</v>
      </c>
      <c r="D48" s="22">
        <v>46220</v>
      </c>
      <c r="E48" s="22">
        <v>46032</v>
      </c>
      <c r="G48" t="s">
        <v>264</v>
      </c>
    </row>
    <row r="49" spans="1:20" x14ac:dyDescent="0.35">
      <c r="A49" s="2">
        <v>40</v>
      </c>
      <c r="B49" t="s">
        <v>248</v>
      </c>
      <c r="C49" s="22">
        <v>46164</v>
      </c>
      <c r="D49" s="22">
        <v>46167</v>
      </c>
      <c r="E49" s="22">
        <v>46033</v>
      </c>
      <c r="F49" t="s">
        <v>53</v>
      </c>
      <c r="G49" t="s">
        <v>264</v>
      </c>
      <c r="M49" s="113"/>
    </row>
    <row r="50" spans="1:20" x14ac:dyDescent="0.35">
      <c r="A50" s="2">
        <v>41</v>
      </c>
      <c r="B50" t="s">
        <v>263</v>
      </c>
      <c r="C50" s="22">
        <v>46282</v>
      </c>
      <c r="D50" s="22">
        <v>46285</v>
      </c>
      <c r="E50" s="22">
        <v>46035</v>
      </c>
      <c r="F50" t="s">
        <v>53</v>
      </c>
      <c r="G50" t="s">
        <v>35</v>
      </c>
      <c r="I50" s="2" t="s">
        <v>159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262</v>
      </c>
      <c r="C51" s="22">
        <v>46282</v>
      </c>
      <c r="D51" s="22">
        <v>46285</v>
      </c>
      <c r="E51" s="22">
        <v>46036</v>
      </c>
      <c r="F51" t="s">
        <v>54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280</v>
      </c>
      <c r="C52" s="22">
        <v>46216</v>
      </c>
      <c r="D52" s="22">
        <v>46219</v>
      </c>
      <c r="E52" s="22">
        <v>46037</v>
      </c>
      <c r="F52" t="s">
        <v>53</v>
      </c>
      <c r="G52" t="s">
        <v>6</v>
      </c>
      <c r="H52" s="1" t="s">
        <v>252</v>
      </c>
      <c r="I52" s="2" t="s">
        <v>283</v>
      </c>
      <c r="K52">
        <v>1</v>
      </c>
      <c r="L52">
        <v>2</v>
      </c>
      <c r="M52" s="113" t="s">
        <v>282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281</v>
      </c>
    </row>
    <row r="53" spans="1:20" x14ac:dyDescent="0.35">
      <c r="A53" s="2">
        <v>44</v>
      </c>
      <c r="B53" t="s">
        <v>279</v>
      </c>
      <c r="C53" s="22">
        <v>46222</v>
      </c>
      <c r="D53" s="22">
        <v>46227</v>
      </c>
      <c r="E53" s="22">
        <v>46037</v>
      </c>
      <c r="F53" t="s">
        <v>286</v>
      </c>
      <c r="G53" t="s">
        <v>35</v>
      </c>
      <c r="I53" s="2" t="s">
        <v>156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278</v>
      </c>
      <c r="C54" s="22">
        <v>46240</v>
      </c>
      <c r="D54" s="22">
        <v>46243</v>
      </c>
      <c r="E54" s="22">
        <v>46038</v>
      </c>
      <c r="F54" t="s">
        <v>54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275</v>
      </c>
      <c r="C55" s="22">
        <v>46247</v>
      </c>
      <c r="D55" s="22">
        <v>46252</v>
      </c>
      <c r="E55" s="22">
        <v>46037</v>
      </c>
      <c r="F55" t="s">
        <v>53</v>
      </c>
      <c r="G55" t="s">
        <v>35</v>
      </c>
      <c r="H55" s="1" t="s">
        <v>252</v>
      </c>
      <c r="I55" s="2" t="s">
        <v>156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277</v>
      </c>
      <c r="T55" t="s">
        <v>276</v>
      </c>
    </row>
    <row r="56" spans="1:20" x14ac:dyDescent="0.35">
      <c r="A56" s="2">
        <v>47</v>
      </c>
      <c r="B56" t="s">
        <v>211</v>
      </c>
      <c r="C56" s="22">
        <v>46281</v>
      </c>
      <c r="D56" s="22">
        <v>46286</v>
      </c>
      <c r="E56" s="22">
        <v>46037</v>
      </c>
      <c r="F56" t="s">
        <v>53</v>
      </c>
      <c r="G56" t="s">
        <v>6</v>
      </c>
      <c r="K56">
        <v>1</v>
      </c>
      <c r="L56">
        <v>2</v>
      </c>
      <c r="M56" s="113" t="s">
        <v>212</v>
      </c>
      <c r="N56" s="175">
        <v>4531909358</v>
      </c>
      <c r="O56" s="177" t="s">
        <v>273</v>
      </c>
      <c r="Q56" s="2" t="s">
        <v>21</v>
      </c>
      <c r="S56" s="2" t="s">
        <v>21</v>
      </c>
      <c r="T56" t="s">
        <v>274</v>
      </c>
    </row>
    <row r="57" spans="1:20" x14ac:dyDescent="0.35">
      <c r="A57" s="2">
        <v>48</v>
      </c>
      <c r="B57" t="s">
        <v>272</v>
      </c>
      <c r="C57" s="22">
        <v>46156</v>
      </c>
      <c r="D57" s="22">
        <v>46159</v>
      </c>
      <c r="E57" s="22">
        <v>46040</v>
      </c>
      <c r="F57" t="s">
        <v>53</v>
      </c>
      <c r="G57" t="s">
        <v>264</v>
      </c>
      <c r="M57" s="113"/>
    </row>
    <row r="58" spans="1:20" x14ac:dyDescent="0.35">
      <c r="A58" s="2">
        <v>49</v>
      </c>
      <c r="B58" t="s">
        <v>271</v>
      </c>
      <c r="C58" s="22">
        <v>46228</v>
      </c>
      <c r="D58" s="22">
        <v>46235</v>
      </c>
      <c r="E58" s="22">
        <v>46040</v>
      </c>
      <c r="F58" t="s">
        <v>53</v>
      </c>
      <c r="G58" t="s">
        <v>35</v>
      </c>
      <c r="I58" s="2" t="s">
        <v>156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270</v>
      </c>
      <c r="C59" s="22">
        <v>46237</v>
      </c>
      <c r="D59" s="22">
        <v>46241</v>
      </c>
      <c r="E59" s="22">
        <v>46039</v>
      </c>
      <c r="F59" t="s">
        <v>53</v>
      </c>
      <c r="G59" t="s">
        <v>35</v>
      </c>
      <c r="I59" s="2" t="s">
        <v>156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267</v>
      </c>
      <c r="C60" s="22">
        <v>46250</v>
      </c>
      <c r="D60" s="22">
        <v>46255</v>
      </c>
      <c r="E60" s="22">
        <v>46041</v>
      </c>
      <c r="F60" t="s">
        <v>53</v>
      </c>
      <c r="G60" t="s">
        <v>6</v>
      </c>
      <c r="J60" s="199">
        <v>0.1</v>
      </c>
      <c r="K60">
        <v>1</v>
      </c>
      <c r="L60">
        <v>2</v>
      </c>
      <c r="M60" s="155" t="s">
        <v>269</v>
      </c>
      <c r="N60" s="175">
        <v>4540474386</v>
      </c>
      <c r="O60" s="177" t="s">
        <v>268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285</v>
      </c>
      <c r="C61" s="22">
        <v>46251</v>
      </c>
      <c r="D61" s="22">
        <v>46255</v>
      </c>
      <c r="E61" s="22">
        <v>46041</v>
      </c>
      <c r="F61" t="s">
        <v>53</v>
      </c>
      <c r="G61" t="s">
        <v>35</v>
      </c>
      <c r="H61" s="1" t="s">
        <v>439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284</v>
      </c>
      <c r="C62" s="22">
        <v>46155</v>
      </c>
      <c r="D62" s="22">
        <v>46158</v>
      </c>
      <c r="E62" s="22">
        <v>46041</v>
      </c>
      <c r="F62" t="s">
        <v>53</v>
      </c>
      <c r="G62" t="s">
        <v>35</v>
      </c>
      <c r="H62" s="1" t="s">
        <v>369</v>
      </c>
      <c r="I62" s="2" t="s">
        <v>156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299</v>
      </c>
      <c r="C63" s="22">
        <v>46254</v>
      </c>
      <c r="D63" s="22">
        <v>46257</v>
      </c>
      <c r="E63" s="22">
        <v>46042</v>
      </c>
      <c r="F63" t="s">
        <v>53</v>
      </c>
      <c r="G63" t="s">
        <v>35</v>
      </c>
      <c r="H63" s="1" t="s">
        <v>374</v>
      </c>
      <c r="I63" s="2" t="s">
        <v>435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M64" s="113"/>
      <c r="R64" s="154"/>
    </row>
    <row r="65" spans="1:20" x14ac:dyDescent="0.35">
      <c r="A65" s="2">
        <v>55</v>
      </c>
      <c r="B65" t="s">
        <v>298</v>
      </c>
      <c r="C65" s="22">
        <v>46230</v>
      </c>
      <c r="D65" s="22">
        <v>46234</v>
      </c>
      <c r="E65" s="22">
        <v>46042</v>
      </c>
      <c r="F65" t="s">
        <v>53</v>
      </c>
      <c r="G65" t="s">
        <v>35</v>
      </c>
      <c r="I65" s="2" t="s">
        <v>156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295</v>
      </c>
      <c r="C66" s="22">
        <v>46192</v>
      </c>
      <c r="D66" s="22">
        <v>46194</v>
      </c>
      <c r="E66" s="22">
        <v>46043</v>
      </c>
      <c r="F66" t="s">
        <v>53</v>
      </c>
      <c r="G66" t="s">
        <v>35</v>
      </c>
      <c r="H66" s="1" t="s">
        <v>308</v>
      </c>
      <c r="I66" s="2" t="s">
        <v>156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297</v>
      </c>
    </row>
    <row r="67" spans="1:20" x14ac:dyDescent="0.35">
      <c r="A67" s="2">
        <v>57</v>
      </c>
      <c r="B67" t="s">
        <v>292</v>
      </c>
      <c r="C67" s="22">
        <v>46232</v>
      </c>
      <c r="D67" s="22">
        <v>46238</v>
      </c>
      <c r="E67" s="22">
        <v>46043</v>
      </c>
      <c r="F67" t="s">
        <v>54</v>
      </c>
      <c r="G67" t="s">
        <v>35</v>
      </c>
      <c r="K67">
        <v>1</v>
      </c>
      <c r="L67">
        <v>2</v>
      </c>
      <c r="N67" s="175">
        <v>466700686</v>
      </c>
      <c r="O67" s="2" t="s">
        <v>293</v>
      </c>
      <c r="Q67" s="2" t="s">
        <v>20</v>
      </c>
      <c r="R67" s="154">
        <v>6450</v>
      </c>
      <c r="S67" s="2" t="s">
        <v>38</v>
      </c>
      <c r="T67" t="s">
        <v>294</v>
      </c>
    </row>
    <row r="68" spans="1:20" x14ac:dyDescent="0.35">
      <c r="A68" s="2">
        <v>58</v>
      </c>
      <c r="B68" t="s">
        <v>290</v>
      </c>
      <c r="C68" s="22">
        <v>46229</v>
      </c>
      <c r="D68" s="22">
        <v>46233</v>
      </c>
      <c r="E68" s="22">
        <v>46046</v>
      </c>
      <c r="F68" t="s">
        <v>53</v>
      </c>
      <c r="G68" t="s">
        <v>6</v>
      </c>
      <c r="I68" s="2" t="s">
        <v>159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291</v>
      </c>
    </row>
    <row r="69" spans="1:20" x14ac:dyDescent="0.35">
      <c r="A69" s="2">
        <v>58</v>
      </c>
      <c r="C69" s="22">
        <v>46229</v>
      </c>
      <c r="M69" s="113"/>
      <c r="R69" s="154"/>
    </row>
    <row r="70" spans="1:20" x14ac:dyDescent="0.35">
      <c r="A70" s="2">
        <v>59</v>
      </c>
      <c r="B70" t="s">
        <v>300</v>
      </c>
      <c r="C70" s="22">
        <v>46244</v>
      </c>
      <c r="D70" s="22">
        <v>46248</v>
      </c>
      <c r="E70" s="22">
        <v>46047</v>
      </c>
      <c r="F70" t="s">
        <v>53</v>
      </c>
      <c r="G70" t="s">
        <v>35</v>
      </c>
      <c r="H70" s="1" t="s">
        <v>301</v>
      </c>
      <c r="I70" s="2" t="s">
        <v>156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307</v>
      </c>
      <c r="C71" s="22">
        <v>46258</v>
      </c>
      <c r="D71" s="22">
        <v>46262</v>
      </c>
      <c r="E71" s="22">
        <v>46047</v>
      </c>
      <c r="F71" t="s">
        <v>53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305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306</v>
      </c>
      <c r="I72" s="2" t="s">
        <v>296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304</v>
      </c>
      <c r="C73" s="22">
        <v>46214</v>
      </c>
      <c r="D73" s="22">
        <v>46225</v>
      </c>
      <c r="E73" s="22">
        <v>46047</v>
      </c>
      <c r="F73" t="s">
        <v>53</v>
      </c>
      <c r="G73" t="s">
        <v>35</v>
      </c>
      <c r="I73" s="2" t="s">
        <v>296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316</v>
      </c>
    </row>
    <row r="74" spans="1:20" x14ac:dyDescent="0.35">
      <c r="A74" s="2">
        <v>63</v>
      </c>
      <c r="B74" t="s">
        <v>302</v>
      </c>
      <c r="C74" s="22">
        <v>46153</v>
      </c>
      <c r="D74" s="22">
        <v>46155</v>
      </c>
      <c r="E74" s="22">
        <v>46048</v>
      </c>
      <c r="F74" t="s">
        <v>54</v>
      </c>
      <c r="G74" t="s">
        <v>6</v>
      </c>
      <c r="H74" s="1" t="s">
        <v>440</v>
      </c>
      <c r="I74" s="2" t="s">
        <v>156</v>
      </c>
      <c r="J74" s="199">
        <v>0.05</v>
      </c>
      <c r="K74">
        <v>1</v>
      </c>
      <c r="L74">
        <v>2</v>
      </c>
      <c r="M74" s="113" t="s">
        <v>303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309</v>
      </c>
      <c r="C75" s="22">
        <v>46198</v>
      </c>
      <c r="D75" s="22">
        <v>46201</v>
      </c>
      <c r="E75" s="22">
        <v>46053</v>
      </c>
      <c r="F75" t="s">
        <v>54</v>
      </c>
      <c r="G75" t="s">
        <v>35</v>
      </c>
      <c r="I75" s="2" t="s">
        <v>159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313</v>
      </c>
      <c r="C76" s="22">
        <v>46256</v>
      </c>
      <c r="D76" s="22">
        <v>46259</v>
      </c>
      <c r="E76" s="22">
        <v>46054</v>
      </c>
      <c r="F76" t="s">
        <v>53</v>
      </c>
      <c r="G76" t="s">
        <v>35</v>
      </c>
      <c r="I76" s="2" t="s">
        <v>156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311</v>
      </c>
      <c r="C77" s="22">
        <v>46214</v>
      </c>
      <c r="D77" s="22">
        <v>46222</v>
      </c>
      <c r="E77" s="22">
        <v>46054</v>
      </c>
      <c r="F77" t="s">
        <v>53</v>
      </c>
      <c r="G77" t="s">
        <v>6</v>
      </c>
      <c r="J77" s="199">
        <v>0.1</v>
      </c>
      <c r="K77">
        <v>1</v>
      </c>
      <c r="L77">
        <v>2</v>
      </c>
      <c r="M77" s="113" t="s">
        <v>312</v>
      </c>
      <c r="N77" s="146">
        <v>4521261488</v>
      </c>
      <c r="O77" s="2" t="s">
        <v>179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310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252</v>
      </c>
      <c r="I78" s="2" t="s">
        <v>156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315</v>
      </c>
      <c r="C79" s="22">
        <v>46143</v>
      </c>
      <c r="D79" s="22">
        <v>46145</v>
      </c>
      <c r="E79" s="22">
        <v>46055</v>
      </c>
      <c r="F79" t="s">
        <v>53</v>
      </c>
      <c r="G79" t="s">
        <v>35</v>
      </c>
      <c r="H79" s="1" t="s">
        <v>440</v>
      </c>
      <c r="I79" s="2" t="s">
        <v>159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314</v>
      </c>
      <c r="C80" s="22">
        <v>46212</v>
      </c>
      <c r="D80" s="22">
        <v>46215</v>
      </c>
      <c r="E80" s="22">
        <v>46055</v>
      </c>
      <c r="F80" t="s">
        <v>53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322</v>
      </c>
      <c r="C81" s="22">
        <v>46188</v>
      </c>
      <c r="D81" s="22">
        <v>46193</v>
      </c>
      <c r="E81" s="22">
        <v>46056</v>
      </c>
      <c r="F81" t="s">
        <v>53</v>
      </c>
      <c r="G81" t="s">
        <v>6</v>
      </c>
      <c r="K81">
        <v>1</v>
      </c>
      <c r="L81">
        <v>2</v>
      </c>
      <c r="M81" s="113" t="s">
        <v>323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324</v>
      </c>
    </row>
    <row r="82" spans="1:20" x14ac:dyDescent="0.35">
      <c r="A82" s="2">
        <v>71</v>
      </c>
      <c r="B82" t="s">
        <v>325</v>
      </c>
      <c r="C82" s="22">
        <v>46260</v>
      </c>
      <c r="D82" s="22">
        <v>46264</v>
      </c>
      <c r="E82" s="22">
        <v>46057</v>
      </c>
      <c r="F82" t="s">
        <v>31</v>
      </c>
      <c r="G82" t="s">
        <v>264</v>
      </c>
      <c r="I82" s="2" t="s">
        <v>159</v>
      </c>
    </row>
    <row r="83" spans="1:20" x14ac:dyDescent="0.35">
      <c r="A83" s="2">
        <v>72</v>
      </c>
      <c r="B83" t="s">
        <v>319</v>
      </c>
      <c r="C83" s="22">
        <v>46145</v>
      </c>
      <c r="D83" s="22">
        <v>46152</v>
      </c>
      <c r="E83" s="22">
        <v>46060</v>
      </c>
      <c r="F83" t="s">
        <v>53</v>
      </c>
      <c r="G83" t="s">
        <v>35</v>
      </c>
      <c r="H83" s="1" t="s">
        <v>436</v>
      </c>
      <c r="I83" s="2" t="s">
        <v>159</v>
      </c>
      <c r="K83">
        <v>1</v>
      </c>
      <c r="L83">
        <v>2</v>
      </c>
      <c r="M83" s="155" t="s">
        <v>320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321</v>
      </c>
    </row>
    <row r="84" spans="1:20" x14ac:dyDescent="0.35">
      <c r="A84" s="2">
        <v>73</v>
      </c>
      <c r="B84" t="s">
        <v>318</v>
      </c>
      <c r="C84" s="22">
        <v>46143</v>
      </c>
      <c r="D84" s="22">
        <v>46145</v>
      </c>
      <c r="E84" s="22">
        <v>46061</v>
      </c>
      <c r="F84" t="s">
        <v>53</v>
      </c>
      <c r="G84" t="s">
        <v>264</v>
      </c>
    </row>
    <row r="85" spans="1:20" x14ac:dyDescent="0.35">
      <c r="A85" s="2">
        <v>74</v>
      </c>
      <c r="B85" t="s">
        <v>328</v>
      </c>
      <c r="C85" s="22">
        <v>46236</v>
      </c>
      <c r="D85" s="22">
        <v>46240</v>
      </c>
      <c r="E85" s="22">
        <v>46063</v>
      </c>
      <c r="F85" t="s">
        <v>53</v>
      </c>
      <c r="G85" t="s">
        <v>6</v>
      </c>
      <c r="J85" s="199">
        <v>0.1</v>
      </c>
      <c r="K85">
        <v>2</v>
      </c>
      <c r="L85">
        <v>3</v>
      </c>
      <c r="M85" s="113" t="s">
        <v>329</v>
      </c>
      <c r="Q85" s="2" t="s">
        <v>21</v>
      </c>
      <c r="R85" s="154">
        <v>8460</v>
      </c>
      <c r="S85" s="2" t="s">
        <v>21</v>
      </c>
      <c r="T85" t="s">
        <v>330</v>
      </c>
    </row>
    <row r="86" spans="1:20" x14ac:dyDescent="0.35">
      <c r="A86" s="2">
        <v>74</v>
      </c>
      <c r="M86" s="113"/>
      <c r="R86" s="154"/>
    </row>
    <row r="87" spans="1:20" x14ac:dyDescent="0.35">
      <c r="A87" s="2">
        <v>75</v>
      </c>
      <c r="B87" t="s">
        <v>327</v>
      </c>
      <c r="C87" s="22">
        <v>46276</v>
      </c>
      <c r="D87" s="22">
        <v>46279</v>
      </c>
      <c r="E87" s="22">
        <v>46067</v>
      </c>
      <c r="F87" t="s">
        <v>53</v>
      </c>
      <c r="G87" t="s">
        <v>264</v>
      </c>
      <c r="R87" s="154"/>
    </row>
    <row r="88" spans="1:20" x14ac:dyDescent="0.35">
      <c r="A88" s="2">
        <v>76</v>
      </c>
      <c r="B88" t="s">
        <v>326</v>
      </c>
      <c r="C88" s="22">
        <v>46202</v>
      </c>
      <c r="D88" s="22">
        <v>46206</v>
      </c>
      <c r="E88" s="22">
        <v>46068</v>
      </c>
      <c r="F88" t="s">
        <v>53</v>
      </c>
      <c r="G88" t="s">
        <v>35</v>
      </c>
      <c r="I88" s="2" t="s">
        <v>159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331</v>
      </c>
      <c r="C89" s="22">
        <v>46200</v>
      </c>
      <c r="D89" s="22">
        <v>46207</v>
      </c>
      <c r="E89" s="22">
        <v>46069</v>
      </c>
      <c r="F89" t="s">
        <v>53</v>
      </c>
      <c r="G89" t="s">
        <v>6</v>
      </c>
      <c r="K89">
        <v>1</v>
      </c>
      <c r="L89">
        <v>2</v>
      </c>
      <c r="M89" s="155" t="s">
        <v>332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333</v>
      </c>
    </row>
    <row r="90" spans="1:20" x14ac:dyDescent="0.35">
      <c r="A90" s="2">
        <v>78</v>
      </c>
      <c r="B90" t="s">
        <v>341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156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53</v>
      </c>
      <c r="G91" t="s">
        <v>6</v>
      </c>
      <c r="J91" s="199">
        <v>0.1</v>
      </c>
      <c r="K91">
        <v>1</v>
      </c>
      <c r="L91">
        <v>2</v>
      </c>
      <c r="M91" s="113" t="s">
        <v>339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340</v>
      </c>
    </row>
    <row r="92" spans="1:20" x14ac:dyDescent="0.35">
      <c r="A92" s="2">
        <v>80</v>
      </c>
      <c r="B92" t="s">
        <v>336</v>
      </c>
      <c r="C92" s="22">
        <v>46149</v>
      </c>
      <c r="D92" s="22">
        <v>46152</v>
      </c>
      <c r="E92" s="22">
        <v>46074</v>
      </c>
      <c r="F92" t="s">
        <v>53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337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338</v>
      </c>
    </row>
    <row r="93" spans="1:20" x14ac:dyDescent="0.35">
      <c r="A93" s="2">
        <v>80</v>
      </c>
      <c r="M93" s="113"/>
      <c r="N93" s="146"/>
    </row>
    <row r="94" spans="1:20" x14ac:dyDescent="0.35">
      <c r="A94" s="2">
        <v>81</v>
      </c>
      <c r="B94" t="s">
        <v>342</v>
      </c>
      <c r="C94" s="22">
        <v>46218</v>
      </c>
      <c r="D94" s="22">
        <v>46221</v>
      </c>
      <c r="E94" s="22">
        <v>46074</v>
      </c>
      <c r="F94" t="s">
        <v>53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343</v>
      </c>
      <c r="C95" s="22">
        <v>46143</v>
      </c>
      <c r="D95" s="22">
        <v>46145</v>
      </c>
      <c r="E95" s="22">
        <v>46075</v>
      </c>
      <c r="F95" t="s">
        <v>53</v>
      </c>
      <c r="G95" t="s">
        <v>264</v>
      </c>
      <c r="R95" s="154"/>
    </row>
    <row r="96" spans="1:20" x14ac:dyDescent="0.35">
      <c r="A96" s="2">
        <v>83</v>
      </c>
      <c r="B96" s="182" t="s">
        <v>344</v>
      </c>
      <c r="C96" s="22">
        <v>46187</v>
      </c>
      <c r="D96" s="22">
        <v>46191</v>
      </c>
      <c r="E96" s="22">
        <v>46077</v>
      </c>
      <c r="F96" t="s">
        <v>53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356</v>
      </c>
      <c r="C97" s="22">
        <v>46212</v>
      </c>
      <c r="D97" s="22">
        <v>46216</v>
      </c>
      <c r="E97" s="22">
        <v>46079</v>
      </c>
      <c r="F97" t="s">
        <v>53</v>
      </c>
      <c r="G97" t="s">
        <v>6</v>
      </c>
      <c r="J97" s="199">
        <v>0.1</v>
      </c>
      <c r="K97">
        <v>1</v>
      </c>
      <c r="L97">
        <v>2</v>
      </c>
      <c r="M97" s="155" t="s">
        <v>357</v>
      </c>
      <c r="N97" s="146">
        <v>4526251564</v>
      </c>
      <c r="O97" s="2" t="s">
        <v>358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355</v>
      </c>
      <c r="C98" s="22">
        <v>46143</v>
      </c>
      <c r="D98" s="22">
        <v>46145</v>
      </c>
      <c r="E98" s="22">
        <v>46081</v>
      </c>
      <c r="F98" t="s">
        <v>53</v>
      </c>
      <c r="G98" t="s">
        <v>35</v>
      </c>
      <c r="H98" s="1" t="s">
        <v>252</v>
      </c>
      <c r="I98" s="2" t="s">
        <v>159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352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353</v>
      </c>
      <c r="O99" s="2" t="s">
        <v>354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359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366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264</v>
      </c>
    </row>
    <row r="102" spans="1:20" x14ac:dyDescent="0.35">
      <c r="A102" s="2">
        <v>89</v>
      </c>
      <c r="B102" t="s">
        <v>362</v>
      </c>
      <c r="C102" s="22">
        <v>46276</v>
      </c>
      <c r="D102" s="22">
        <v>46278</v>
      </c>
      <c r="E102" s="22">
        <v>46091</v>
      </c>
      <c r="F102" t="s">
        <v>53</v>
      </c>
      <c r="G102" t="s">
        <v>6</v>
      </c>
      <c r="I102" s="2" t="s">
        <v>159</v>
      </c>
      <c r="J102" s="199">
        <v>0.05</v>
      </c>
      <c r="K102">
        <v>2</v>
      </c>
      <c r="L102">
        <v>3</v>
      </c>
      <c r="M102" s="113" t="s">
        <v>363</v>
      </c>
      <c r="N102">
        <v>4540528447</v>
      </c>
      <c r="O102"/>
      <c r="P102" s="2" t="s">
        <v>365</v>
      </c>
      <c r="Q102" s="2" t="s">
        <v>21</v>
      </c>
      <c r="R102" s="122">
        <f>2185+1805</f>
        <v>3990</v>
      </c>
      <c r="S102" s="2" t="s">
        <v>20</v>
      </c>
      <c r="T102" t="s">
        <v>364</v>
      </c>
    </row>
    <row r="103" spans="1:20" x14ac:dyDescent="0.35">
      <c r="M103" s="113"/>
      <c r="N103"/>
      <c r="O103"/>
    </row>
    <row r="104" spans="1:20" x14ac:dyDescent="0.35">
      <c r="A104" s="2">
        <v>90</v>
      </c>
      <c r="B104" t="s">
        <v>360</v>
      </c>
      <c r="C104" s="22">
        <v>46156</v>
      </c>
      <c r="D104" s="22">
        <v>46159</v>
      </c>
      <c r="E104" s="22">
        <v>46091</v>
      </c>
      <c r="F104" t="s">
        <v>54</v>
      </c>
      <c r="G104" t="s">
        <v>35</v>
      </c>
      <c r="H104" s="1" t="s">
        <v>361</v>
      </c>
      <c r="I104" s="2" t="s">
        <v>156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367</v>
      </c>
      <c r="C105" s="22">
        <v>46157</v>
      </c>
      <c r="D105" s="22">
        <v>46159</v>
      </c>
      <c r="E105" s="22">
        <v>46095</v>
      </c>
      <c r="F105" t="s">
        <v>53</v>
      </c>
      <c r="G105" t="s">
        <v>6</v>
      </c>
      <c r="J105" s="199">
        <v>0.05</v>
      </c>
      <c r="K105">
        <v>1</v>
      </c>
      <c r="L105">
        <v>2</v>
      </c>
      <c r="N105"/>
      <c r="O105" t="s">
        <v>494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368</v>
      </c>
      <c r="C106" s="22">
        <v>46241</v>
      </c>
      <c r="D106" s="22">
        <v>46246</v>
      </c>
      <c r="E106" s="22">
        <v>46095</v>
      </c>
      <c r="F106" t="s">
        <v>53</v>
      </c>
      <c r="G106" t="s">
        <v>6</v>
      </c>
      <c r="H106" s="1" t="s">
        <v>369</v>
      </c>
      <c r="I106" s="2" t="s">
        <v>159</v>
      </c>
      <c r="J106" s="199">
        <v>0.1</v>
      </c>
      <c r="K106">
        <v>1</v>
      </c>
      <c r="L106">
        <v>2</v>
      </c>
      <c r="M106" s="113" t="s">
        <v>370</v>
      </c>
      <c r="N106"/>
      <c r="O106" t="s">
        <v>371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372</v>
      </c>
    </row>
    <row r="107" spans="1:20" x14ac:dyDescent="0.35">
      <c r="A107" s="2">
        <v>93</v>
      </c>
      <c r="B107" t="s">
        <v>373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374</v>
      </c>
      <c r="I107" s="2" t="s">
        <v>159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375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376</v>
      </c>
      <c r="C109" s="22">
        <v>46156</v>
      </c>
      <c r="D109" s="22">
        <v>46159</v>
      </c>
      <c r="E109" s="22">
        <v>46098</v>
      </c>
      <c r="F109" t="s">
        <v>54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377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378</v>
      </c>
      <c r="I110" s="2" t="s">
        <v>156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379</v>
      </c>
      <c r="C111" s="22">
        <v>46156</v>
      </c>
      <c r="D111" s="22">
        <v>46159</v>
      </c>
      <c r="E111" s="22">
        <v>46102</v>
      </c>
      <c r="F111" t="s">
        <v>53</v>
      </c>
      <c r="G111" t="s">
        <v>35</v>
      </c>
      <c r="H111" s="1">
        <v>1300</v>
      </c>
      <c r="I111" s="2" t="s">
        <v>156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380</v>
      </c>
      <c r="C112" s="22">
        <v>46207</v>
      </c>
      <c r="D112" s="22">
        <v>46210</v>
      </c>
      <c r="E112" s="22">
        <v>46103</v>
      </c>
      <c r="F112" t="s">
        <v>53</v>
      </c>
      <c r="G112" t="s">
        <v>264</v>
      </c>
      <c r="J112" s="199">
        <v>0</v>
      </c>
      <c r="N112"/>
      <c r="O112"/>
    </row>
    <row r="113" spans="1:20" x14ac:dyDescent="0.35">
      <c r="A113" s="2">
        <v>99</v>
      </c>
      <c r="B113" t="s">
        <v>381</v>
      </c>
      <c r="C113" s="22">
        <v>46171</v>
      </c>
      <c r="D113" s="22">
        <v>46173</v>
      </c>
      <c r="E113" s="22">
        <v>46104</v>
      </c>
      <c r="F113" t="s">
        <v>53</v>
      </c>
      <c r="G113" t="s">
        <v>264</v>
      </c>
      <c r="M113" s="113" t="s">
        <v>382</v>
      </c>
      <c r="N113" t="s">
        <v>383</v>
      </c>
      <c r="O113" t="s">
        <v>384</v>
      </c>
    </row>
    <row r="114" spans="1:20" x14ac:dyDescent="0.35">
      <c r="A114" s="2">
        <v>100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53</v>
      </c>
      <c r="G114" t="s">
        <v>35</v>
      </c>
      <c r="H114" s="1" t="s">
        <v>495</v>
      </c>
      <c r="I114" s="2" t="s">
        <v>156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386</v>
      </c>
      <c r="C115" s="22">
        <v>46279</v>
      </c>
      <c r="D115" s="22">
        <v>46281</v>
      </c>
      <c r="E115" s="22">
        <v>46104</v>
      </c>
      <c r="F115" t="s">
        <v>53</v>
      </c>
      <c r="G115" t="s">
        <v>35</v>
      </c>
      <c r="H115" s="1" t="s">
        <v>495</v>
      </c>
      <c r="I115" s="2" t="s">
        <v>159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387</v>
      </c>
      <c r="C116" s="22">
        <v>46172</v>
      </c>
      <c r="D116" s="22">
        <v>46174</v>
      </c>
      <c r="E116" s="22">
        <v>46106</v>
      </c>
      <c r="F116" t="s">
        <v>53</v>
      </c>
      <c r="G116" t="s">
        <v>264</v>
      </c>
      <c r="N116"/>
      <c r="O116"/>
    </row>
    <row r="117" spans="1:20" x14ac:dyDescent="0.35">
      <c r="A117" s="2">
        <v>103</v>
      </c>
      <c r="B117" t="s">
        <v>388</v>
      </c>
      <c r="C117" s="22">
        <v>46277</v>
      </c>
      <c r="D117" s="22">
        <v>46284</v>
      </c>
      <c r="E117" s="22">
        <v>46107</v>
      </c>
      <c r="F117" t="s">
        <v>53</v>
      </c>
      <c r="G117" t="s">
        <v>6</v>
      </c>
      <c r="I117" s="2" t="s">
        <v>159</v>
      </c>
      <c r="J117" s="199">
        <v>0.1</v>
      </c>
      <c r="K117">
        <v>1</v>
      </c>
      <c r="L117">
        <v>2</v>
      </c>
      <c r="M117" s="113" t="s">
        <v>389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390</v>
      </c>
      <c r="C118" s="22">
        <v>46204</v>
      </c>
      <c r="D118" s="22">
        <v>46207</v>
      </c>
      <c r="E118" s="22">
        <v>46107</v>
      </c>
      <c r="F118" t="s">
        <v>53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396</v>
      </c>
      <c r="C119" s="194">
        <v>46260</v>
      </c>
      <c r="D119" s="194">
        <v>46264</v>
      </c>
      <c r="E119" s="194">
        <v>46108</v>
      </c>
      <c r="F119" t="s">
        <v>53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395</v>
      </c>
      <c r="C120" s="194">
        <v>46207</v>
      </c>
      <c r="D120" s="194">
        <v>46210</v>
      </c>
      <c r="E120" s="194">
        <v>46109</v>
      </c>
      <c r="F120" t="s">
        <v>53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392</v>
      </c>
      <c r="C121" s="194">
        <v>46160</v>
      </c>
      <c r="D121" s="194">
        <v>46164</v>
      </c>
      <c r="E121" s="194">
        <v>46109</v>
      </c>
      <c r="F121" t="s">
        <v>393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394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429</v>
      </c>
      <c r="C122" s="194">
        <v>46159</v>
      </c>
      <c r="D122" s="194">
        <v>46163</v>
      </c>
      <c r="E122" s="194">
        <v>46118</v>
      </c>
      <c r="F122" t="s">
        <v>53</v>
      </c>
      <c r="G122" t="s">
        <v>6</v>
      </c>
      <c r="J122" s="207">
        <v>0.05</v>
      </c>
      <c r="K122">
        <v>1</v>
      </c>
      <c r="L122">
        <v>2</v>
      </c>
      <c r="M122" t="s">
        <v>430</v>
      </c>
      <c r="N122">
        <v>4520241122</v>
      </c>
      <c r="O122" t="s">
        <v>431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433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159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434</v>
      </c>
      <c r="C124" s="194">
        <v>46143</v>
      </c>
      <c r="D124" s="194">
        <v>46145</v>
      </c>
      <c r="E124" s="194">
        <v>46117</v>
      </c>
      <c r="F124" t="s">
        <v>456</v>
      </c>
      <c r="G124" t="s">
        <v>35</v>
      </c>
      <c r="I124" s="2" t="s">
        <v>156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441</v>
      </c>
      <c r="C125" s="194">
        <v>46178</v>
      </c>
      <c r="D125" s="194">
        <v>46181</v>
      </c>
      <c r="E125" s="194">
        <v>46120</v>
      </c>
      <c r="F125" t="s">
        <v>53</v>
      </c>
      <c r="G125" t="s">
        <v>264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442</v>
      </c>
      <c r="C126" s="194">
        <v>46195</v>
      </c>
      <c r="D126" s="194">
        <v>46199</v>
      </c>
      <c r="E126" s="194">
        <v>46121</v>
      </c>
      <c r="F126" t="s">
        <v>53</v>
      </c>
      <c r="G126" t="s">
        <v>264</v>
      </c>
      <c r="J126"/>
      <c r="N126"/>
      <c r="O126"/>
    </row>
    <row r="127" spans="1:20" x14ac:dyDescent="0.35">
      <c r="A127" s="2">
        <v>113</v>
      </c>
      <c r="B127" t="s">
        <v>444</v>
      </c>
      <c r="C127" s="194">
        <v>46269</v>
      </c>
      <c r="D127" s="194">
        <v>46271</v>
      </c>
      <c r="E127" s="194">
        <v>46122</v>
      </c>
      <c r="F127" t="s">
        <v>53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445</v>
      </c>
      <c r="C128" s="194">
        <v>46243</v>
      </c>
      <c r="D128" s="194">
        <v>46246</v>
      </c>
      <c r="E128" s="194">
        <v>46125</v>
      </c>
      <c r="F128" t="s">
        <v>53</v>
      </c>
      <c r="G128" t="s">
        <v>6</v>
      </c>
      <c r="J128" s="207">
        <v>0.1</v>
      </c>
      <c r="K128">
        <v>1</v>
      </c>
      <c r="L128">
        <v>2</v>
      </c>
      <c r="N128" t="s">
        <v>446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447</v>
      </c>
    </row>
    <row r="129" spans="1:20" x14ac:dyDescent="0.35">
      <c r="A129" s="2">
        <v>115</v>
      </c>
      <c r="B129" t="s">
        <v>448</v>
      </c>
      <c r="C129" s="194">
        <v>46233</v>
      </c>
      <c r="D129" s="194">
        <v>46236</v>
      </c>
      <c r="E129" s="194">
        <v>46125</v>
      </c>
      <c r="F129" t="s">
        <v>53</v>
      </c>
      <c r="G129" t="s">
        <v>6</v>
      </c>
      <c r="J129" s="207">
        <v>0.1</v>
      </c>
      <c r="K129">
        <v>1</v>
      </c>
      <c r="L129">
        <v>2</v>
      </c>
      <c r="M129" t="s">
        <v>449</v>
      </c>
      <c r="N129"/>
      <c r="O129"/>
      <c r="P129" s="2" t="s">
        <v>20</v>
      </c>
      <c r="Q129" s="2" t="s">
        <v>21</v>
      </c>
      <c r="R129" s="122">
        <v>3442.5</v>
      </c>
      <c r="S129" s="2" t="s">
        <v>450</v>
      </c>
    </row>
    <row r="130" spans="1:20" x14ac:dyDescent="0.35">
      <c r="A130" s="2">
        <v>116</v>
      </c>
      <c r="B130" t="s">
        <v>453</v>
      </c>
      <c r="C130" s="22">
        <v>46177</v>
      </c>
      <c r="D130" s="22">
        <v>46180</v>
      </c>
      <c r="E130" s="22">
        <v>46126</v>
      </c>
      <c r="F130" t="s">
        <v>53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451</v>
      </c>
      <c r="C131" s="22">
        <v>46173</v>
      </c>
      <c r="D131" s="22">
        <v>46178</v>
      </c>
      <c r="E131" s="22">
        <v>46130</v>
      </c>
      <c r="F131" t="s">
        <v>53</v>
      </c>
      <c r="G131" t="s">
        <v>35</v>
      </c>
      <c r="H131" s="1" t="s">
        <v>452</v>
      </c>
      <c r="I131" s="2" t="s">
        <v>156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454</v>
      </c>
      <c r="C132" s="194">
        <v>46272</v>
      </c>
      <c r="D132" s="194">
        <v>46275</v>
      </c>
      <c r="E132" s="194">
        <v>46132</v>
      </c>
      <c r="F132" t="s">
        <v>53</v>
      </c>
      <c r="G132" t="s">
        <v>35</v>
      </c>
      <c r="H132" s="1" t="s">
        <v>440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455</v>
      </c>
      <c r="C133" s="194">
        <v>46179</v>
      </c>
      <c r="D133" s="194">
        <v>46182</v>
      </c>
      <c r="E133" s="194">
        <v>46135</v>
      </c>
      <c r="F133" t="s">
        <v>456</v>
      </c>
      <c r="G133" t="s">
        <v>35</v>
      </c>
      <c r="H133" s="1">
        <v>1230</v>
      </c>
      <c r="I133" s="2" t="s">
        <v>159</v>
      </c>
      <c r="J133">
        <v>0</v>
      </c>
      <c r="K133">
        <v>1</v>
      </c>
      <c r="L133">
        <v>2</v>
      </c>
      <c r="N133"/>
      <c r="O133"/>
      <c r="P133" s="2" t="s">
        <v>20</v>
      </c>
      <c r="Q133" s="2" t="s">
        <v>21</v>
      </c>
      <c r="R133" s="122">
        <v>3450</v>
      </c>
      <c r="S133" s="2" t="s">
        <v>20</v>
      </c>
    </row>
    <row r="134" spans="1:20" x14ac:dyDescent="0.35">
      <c r="A134" s="2">
        <v>120</v>
      </c>
      <c r="B134" t="s">
        <v>459</v>
      </c>
      <c r="C134" s="194">
        <v>46257</v>
      </c>
      <c r="D134" s="194">
        <v>46260</v>
      </c>
      <c r="E134" s="194">
        <v>46137</v>
      </c>
      <c r="F134" t="s">
        <v>53</v>
      </c>
      <c r="G134" t="s">
        <v>6</v>
      </c>
      <c r="I134" s="2" t="s">
        <v>296</v>
      </c>
      <c r="J134" s="207">
        <v>0.1</v>
      </c>
      <c r="K134">
        <v>1</v>
      </c>
      <c r="L134">
        <v>2</v>
      </c>
      <c r="M134" t="s">
        <v>460</v>
      </c>
      <c r="N134" t="s">
        <v>461</v>
      </c>
      <c r="O134" t="s">
        <v>462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463</v>
      </c>
    </row>
    <row r="135" spans="1:20" x14ac:dyDescent="0.35">
      <c r="A135" s="2">
        <v>121</v>
      </c>
      <c r="B135" t="s">
        <v>464</v>
      </c>
      <c r="C135" s="194">
        <v>46247</v>
      </c>
      <c r="D135" s="194">
        <v>46250</v>
      </c>
      <c r="E135" s="194">
        <v>46137</v>
      </c>
      <c r="F135" t="s">
        <v>53</v>
      </c>
      <c r="G135" t="s">
        <v>6</v>
      </c>
      <c r="J135" s="207">
        <v>0.05</v>
      </c>
      <c r="K135">
        <v>1</v>
      </c>
      <c r="L135">
        <v>2</v>
      </c>
      <c r="M135" t="s">
        <v>465</v>
      </c>
      <c r="N135" t="s">
        <v>466</v>
      </c>
      <c r="O135" t="s">
        <v>467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468</v>
      </c>
    </row>
    <row r="136" spans="1:20" x14ac:dyDescent="0.35">
      <c r="A136" s="2">
        <v>122</v>
      </c>
      <c r="B136" t="s">
        <v>469</v>
      </c>
      <c r="C136" s="194">
        <v>46257</v>
      </c>
      <c r="D136" s="194">
        <v>46259</v>
      </c>
      <c r="E136" s="194">
        <v>46140</v>
      </c>
      <c r="F136" t="s">
        <v>53</v>
      </c>
      <c r="G136" t="s">
        <v>6</v>
      </c>
      <c r="J136" s="207">
        <v>0.05</v>
      </c>
      <c r="K136">
        <v>1</v>
      </c>
      <c r="L136">
        <v>2</v>
      </c>
      <c r="M136" t="s">
        <v>470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479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480</v>
      </c>
      <c r="N137" t="s">
        <v>481</v>
      </c>
      <c r="O137" t="s">
        <v>482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483</v>
      </c>
    </row>
    <row r="138" spans="1:20" x14ac:dyDescent="0.35">
      <c r="A138" s="2">
        <v>124</v>
      </c>
      <c r="B138" t="s">
        <v>484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485</v>
      </c>
      <c r="C139" s="194">
        <v>46171</v>
      </c>
      <c r="D139" s="194">
        <v>46173</v>
      </c>
      <c r="E139" s="194">
        <v>46149</v>
      </c>
      <c r="F139" t="s">
        <v>53</v>
      </c>
      <c r="G139" t="s">
        <v>35</v>
      </c>
      <c r="H139" s="1">
        <v>1400</v>
      </c>
      <c r="I139" s="2" t="s">
        <v>156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172</v>
      </c>
      <c r="C140" s="194">
        <v>46266</v>
      </c>
      <c r="D140" s="194">
        <v>46270</v>
      </c>
      <c r="E140" s="194">
        <v>46154</v>
      </c>
      <c r="F140" t="s">
        <v>53</v>
      </c>
      <c r="G140" t="s">
        <v>6</v>
      </c>
      <c r="H140" s="1" t="s">
        <v>252</v>
      </c>
      <c r="I140" s="2" t="s">
        <v>443</v>
      </c>
      <c r="J140" s="207">
        <v>0.1</v>
      </c>
      <c r="K140">
        <v>2</v>
      </c>
      <c r="L140">
        <v>3</v>
      </c>
      <c r="M140" t="s">
        <v>486</v>
      </c>
      <c r="N140" t="s">
        <v>487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488</v>
      </c>
    </row>
    <row r="141" spans="1:20" x14ac:dyDescent="0.35">
      <c r="A141" s="2">
        <v>126</v>
      </c>
      <c r="C141" s="194"/>
      <c r="D141" s="194"/>
      <c r="E141" s="194"/>
      <c r="J141" s="207"/>
      <c r="N141"/>
      <c r="O141"/>
    </row>
    <row r="142" spans="1:20" x14ac:dyDescent="0.35">
      <c r="A142" s="2">
        <v>127</v>
      </c>
      <c r="B142" t="s">
        <v>489</v>
      </c>
      <c r="C142" s="194">
        <v>46188</v>
      </c>
      <c r="D142" s="194">
        <v>46191</v>
      </c>
      <c r="E142" s="194">
        <v>46153</v>
      </c>
      <c r="F142" t="s">
        <v>53</v>
      </c>
      <c r="G142" t="s">
        <v>264</v>
      </c>
      <c r="J142" s="207"/>
      <c r="N142"/>
      <c r="O142"/>
    </row>
    <row r="143" spans="1:20" x14ac:dyDescent="0.35">
      <c r="A143" s="2">
        <v>128</v>
      </c>
      <c r="B143" t="s">
        <v>490</v>
      </c>
      <c r="C143" s="194">
        <v>46169</v>
      </c>
      <c r="D143" s="194">
        <v>46173</v>
      </c>
      <c r="E143" s="194">
        <v>46154</v>
      </c>
      <c r="F143" t="s">
        <v>53</v>
      </c>
      <c r="G143" t="s">
        <v>35</v>
      </c>
      <c r="H143" s="1">
        <v>1430</v>
      </c>
      <c r="I143" s="2" t="s">
        <v>159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492</v>
      </c>
      <c r="C144" s="194">
        <v>46194</v>
      </c>
      <c r="D144" s="194">
        <v>46197</v>
      </c>
      <c r="E144" s="194">
        <v>46154</v>
      </c>
      <c r="F144" t="s">
        <v>54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491</v>
      </c>
      <c r="C145" s="194">
        <v>46194</v>
      </c>
      <c r="D145" s="194">
        <v>46197</v>
      </c>
      <c r="E145" s="194">
        <v>46159</v>
      </c>
      <c r="F145" t="s">
        <v>54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493</v>
      </c>
      <c r="C146" s="194">
        <v>46219</v>
      </c>
      <c r="D146" s="194">
        <v>46222</v>
      </c>
      <c r="E146" s="194">
        <v>46157</v>
      </c>
      <c r="F146" t="s">
        <v>53</v>
      </c>
      <c r="G146" t="s">
        <v>35</v>
      </c>
      <c r="J146" s="210">
        <v>0</v>
      </c>
      <c r="K146">
        <v>1</v>
      </c>
      <c r="L146">
        <v>2</v>
      </c>
      <c r="N146"/>
      <c r="O146"/>
      <c r="P146" s="2" t="s">
        <v>20</v>
      </c>
      <c r="Q146" s="2" t="s">
        <v>20</v>
      </c>
      <c r="R146" s="122">
        <v>3225</v>
      </c>
      <c r="S146" s="2" t="s">
        <v>20</v>
      </c>
    </row>
    <row r="147" spans="1:20" x14ac:dyDescent="0.35">
      <c r="A147" s="2">
        <v>132</v>
      </c>
      <c r="B147" t="s">
        <v>497</v>
      </c>
      <c r="C147" s="194">
        <v>46234</v>
      </c>
      <c r="D147" s="194">
        <v>46237</v>
      </c>
      <c r="E147" s="194">
        <v>46159</v>
      </c>
      <c r="F147" t="s">
        <v>54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498</v>
      </c>
      <c r="C148" s="194">
        <v>46252</v>
      </c>
      <c r="D148" s="194">
        <v>46254</v>
      </c>
      <c r="E148" s="194">
        <v>46160</v>
      </c>
      <c r="F148" t="s">
        <v>53</v>
      </c>
      <c r="G148" t="s">
        <v>6</v>
      </c>
      <c r="H148"/>
      <c r="I148" s="2" t="s">
        <v>443</v>
      </c>
      <c r="J148" s="207">
        <v>0.1</v>
      </c>
      <c r="K148">
        <v>1</v>
      </c>
      <c r="L148">
        <v>2</v>
      </c>
      <c r="M148" t="s">
        <v>502</v>
      </c>
      <c r="N148" t="s">
        <v>499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500</v>
      </c>
      <c r="C149" s="194">
        <v>46274</v>
      </c>
      <c r="D149" s="194">
        <v>46277</v>
      </c>
      <c r="E149" s="194">
        <v>46160</v>
      </c>
      <c r="F149" t="s">
        <v>53</v>
      </c>
      <c r="G149" t="s">
        <v>264</v>
      </c>
      <c r="H149"/>
      <c r="J149" s="207"/>
      <c r="N149"/>
      <c r="O149"/>
    </row>
    <row r="150" spans="1:20" x14ac:dyDescent="0.35">
      <c r="A150" s="2">
        <v>135</v>
      </c>
      <c r="B150" t="s">
        <v>501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156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503</v>
      </c>
      <c r="C151" s="194">
        <v>46170</v>
      </c>
      <c r="D151" s="194">
        <v>46174</v>
      </c>
      <c r="E151" s="194">
        <v>46163</v>
      </c>
      <c r="F151" t="s">
        <v>53</v>
      </c>
      <c r="G151" t="s">
        <v>6</v>
      </c>
      <c r="H151">
        <v>1430</v>
      </c>
      <c r="I151" s="2" t="s">
        <v>156</v>
      </c>
      <c r="J151" s="207">
        <v>0.1</v>
      </c>
      <c r="K151">
        <v>1</v>
      </c>
      <c r="L151">
        <v>2</v>
      </c>
      <c r="N151" t="s">
        <v>504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505</v>
      </c>
    </row>
    <row r="152" spans="1:20" x14ac:dyDescent="0.35">
      <c r="A152" s="2">
        <v>137</v>
      </c>
      <c r="B152" t="s">
        <v>184</v>
      </c>
      <c r="C152" s="194">
        <v>46276</v>
      </c>
      <c r="D152" s="194">
        <v>46285</v>
      </c>
      <c r="E152" s="194">
        <v>46166</v>
      </c>
      <c r="F152" t="s">
        <v>53</v>
      </c>
      <c r="G152" t="s">
        <v>6</v>
      </c>
      <c r="H152"/>
      <c r="I152" s="2" t="s">
        <v>296</v>
      </c>
      <c r="J152" s="207">
        <v>0.1</v>
      </c>
      <c r="K152">
        <v>1</v>
      </c>
      <c r="L152">
        <v>2</v>
      </c>
      <c r="M152" t="s">
        <v>185</v>
      </c>
      <c r="N152" t="s">
        <v>506</v>
      </c>
      <c r="O152" t="s">
        <v>186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507</v>
      </c>
    </row>
    <row r="153" spans="1:20" x14ac:dyDescent="0.35">
      <c r="A153" s="2">
        <v>138</v>
      </c>
      <c r="B153" t="s">
        <v>381</v>
      </c>
      <c r="C153" s="194">
        <v>46238</v>
      </c>
      <c r="D153" s="194">
        <v>46240</v>
      </c>
      <c r="E153" s="194">
        <v>46168</v>
      </c>
      <c r="F153" t="s">
        <v>53</v>
      </c>
      <c r="G153" t="s">
        <v>6</v>
      </c>
      <c r="H153"/>
      <c r="J153" s="207">
        <v>0.1</v>
      </c>
      <c r="K153">
        <v>1</v>
      </c>
      <c r="L153">
        <v>2</v>
      </c>
      <c r="M153" t="s">
        <v>382</v>
      </c>
      <c r="N153" t="s">
        <v>383</v>
      </c>
      <c r="O153" t="s">
        <v>384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508</v>
      </c>
    </row>
    <row r="154" spans="1:20" x14ac:dyDescent="0.35">
      <c r="A154" s="2">
        <v>139</v>
      </c>
      <c r="B154" t="s">
        <v>509</v>
      </c>
      <c r="C154" s="194">
        <v>46270</v>
      </c>
      <c r="D154" s="194">
        <v>46274</v>
      </c>
      <c r="E154" s="194">
        <v>46168</v>
      </c>
      <c r="F154" t="s">
        <v>53</v>
      </c>
      <c r="G154" t="s">
        <v>6</v>
      </c>
      <c r="H154"/>
      <c r="J154" s="207">
        <v>0.1</v>
      </c>
      <c r="K154">
        <v>1</v>
      </c>
      <c r="L154">
        <v>2</v>
      </c>
      <c r="M154" t="s">
        <v>510</v>
      </c>
      <c r="N154" t="s">
        <v>511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519</v>
      </c>
    </row>
    <row r="155" spans="1:20" x14ac:dyDescent="0.35">
      <c r="A155" s="2">
        <v>140</v>
      </c>
      <c r="B155" t="s">
        <v>514</v>
      </c>
      <c r="C155" s="194">
        <v>46188</v>
      </c>
      <c r="D155" s="194">
        <v>46190</v>
      </c>
      <c r="E155" s="194">
        <v>46170</v>
      </c>
      <c r="F155" t="s">
        <v>53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515</v>
      </c>
      <c r="C156" s="194">
        <v>46195</v>
      </c>
      <c r="D156" s="194">
        <v>46199</v>
      </c>
      <c r="E156" s="194">
        <v>46171</v>
      </c>
      <c r="F156" t="s">
        <v>62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516</v>
      </c>
      <c r="C157" s="194">
        <v>46268</v>
      </c>
      <c r="D157" s="194">
        <v>46271</v>
      </c>
      <c r="E157" s="194">
        <v>46172</v>
      </c>
      <c r="F157" t="s">
        <v>53</v>
      </c>
      <c r="G157" t="s">
        <v>6</v>
      </c>
      <c r="H157"/>
      <c r="J157" s="207">
        <v>0.05</v>
      </c>
      <c r="K157">
        <v>1</v>
      </c>
      <c r="L157">
        <v>2</v>
      </c>
      <c r="M157" t="s">
        <v>517</v>
      </c>
      <c r="N157"/>
      <c r="O157" t="s">
        <v>518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521</v>
      </c>
      <c r="C158" s="194">
        <v>46275</v>
      </c>
      <c r="D158" s="194">
        <v>46278</v>
      </c>
      <c r="E158" s="194">
        <v>46172</v>
      </c>
      <c r="F158" t="s">
        <v>53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522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523</v>
      </c>
    </row>
  </sheetData>
  <autoFilter ref="A1:V10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landscape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3" t="s">
        <v>53</v>
      </c>
      <c r="BC1" s="43" t="s">
        <v>53</v>
      </c>
      <c r="BD1" s="43" t="s">
        <v>54</v>
      </c>
      <c r="BE1" s="43" t="s">
        <v>54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62</v>
      </c>
      <c r="BK1" s="43" t="s">
        <v>62</v>
      </c>
      <c r="BL1" s="43" t="s">
        <v>63</v>
      </c>
      <c r="BM1" s="43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286</v>
      </c>
      <c r="BU1" s="2" t="str">
        <f>BT1</f>
        <v>CZ</v>
      </c>
      <c r="BV1" s="170" t="s">
        <v>456</v>
      </c>
      <c r="BW1" s="170" t="s">
        <v>456</v>
      </c>
      <c r="BX1" s="131" t="s">
        <v>289</v>
      </c>
      <c r="BY1" s="131" t="s">
        <v>289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1</v>
      </c>
      <c r="D120">
        <f>Database!D133-Database!C133</f>
        <v>3</v>
      </c>
      <c r="F120">
        <f>Database!L133</f>
        <v>2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2</v>
      </c>
      <c r="BM120" s="32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1</v>
      </c>
      <c r="D132">
        <f>Database!D146-Database!C146</f>
        <v>3</v>
      </c>
      <c r="F132">
        <f>Database!L146</f>
        <v>2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2">
        <f t="shared" si="110"/>
        <v>2</v>
      </c>
      <c r="BC132" s="32">
        <f t="shared" si="111"/>
        <v>6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0</v>
      </c>
      <c r="B145" s="22">
        <f>Database!E159</f>
        <v>0</v>
      </c>
      <c r="C145">
        <f>IF(Database!G159="cansl",0,Database!K159)</f>
        <v>0</v>
      </c>
      <c r="D145">
        <f>Database!D159-Database!C159</f>
        <v>0</v>
      </c>
      <c r="F145">
        <f>Database!L159</f>
        <v>0</v>
      </c>
      <c r="G145">
        <f>Database!F159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2">
        <f t="shared" si="110"/>
        <v>0</v>
      </c>
      <c r="BC145" s="32">
        <f t="shared" si="111"/>
        <v>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0</v>
      </c>
      <c r="B146" s="22">
        <f>Database!E160</f>
        <v>0</v>
      </c>
      <c r="C146">
        <f>IF(Database!G160="cansl",0,Database!K160)</f>
        <v>0</v>
      </c>
      <c r="D146">
        <f>Database!D160-Database!C160</f>
        <v>0</v>
      </c>
      <c r="F146">
        <f>Database!L160</f>
        <v>0</v>
      </c>
      <c r="G146">
        <f>Database!F160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2">
        <f t="shared" si="110"/>
        <v>0</v>
      </c>
      <c r="BC146" s="32">
        <f t="shared" si="111"/>
        <v>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0</v>
      </c>
      <c r="B147" s="22">
        <f>Database!E161</f>
        <v>0</v>
      </c>
      <c r="C147">
        <f>IF(Database!G161="cansl",0,Database!K161)</f>
        <v>0</v>
      </c>
      <c r="D147">
        <f>Database!D161-Database!C161</f>
        <v>0</v>
      </c>
      <c r="F147">
        <f>Database!L161</f>
        <v>0</v>
      </c>
      <c r="G147">
        <f>Database!F161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2">
        <f t="shared" si="110"/>
        <v>0</v>
      </c>
      <c r="BC147" s="32">
        <f t="shared" si="111"/>
        <v>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0</v>
      </c>
      <c r="B148" s="22">
        <f>Database!E162</f>
        <v>0</v>
      </c>
      <c r="C148">
        <f>IF(Database!G162="cansl",0,Database!K162)</f>
        <v>0</v>
      </c>
      <c r="D148">
        <f>Database!D162-Database!C162</f>
        <v>0</v>
      </c>
      <c r="F148">
        <f>Database!L162</f>
        <v>0</v>
      </c>
      <c r="G148">
        <f>Database!F162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2">
        <f t="shared" si="110"/>
        <v>0</v>
      </c>
      <c r="BC148" s="32">
        <f t="shared" si="111"/>
        <v>0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0</v>
      </c>
      <c r="B149" s="22">
        <f>Database!E163</f>
        <v>0</v>
      </c>
      <c r="C149">
        <f>IF(Database!G163="cansl",0,Database!K163)</f>
        <v>0</v>
      </c>
      <c r="D149">
        <f>Database!D163-Database!C163</f>
        <v>0</v>
      </c>
      <c r="F149">
        <f>Database!L163</f>
        <v>0</v>
      </c>
      <c r="G149">
        <f>Database!F163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2">
        <f t="shared" si="110"/>
        <v>0</v>
      </c>
      <c r="BC149" s="32">
        <f t="shared" si="111"/>
        <v>0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0</v>
      </c>
      <c r="B150" s="22">
        <f>Database!E164</f>
        <v>0</v>
      </c>
      <c r="C150">
        <f>IF(Database!G164="cansl",0,Database!K164)</f>
        <v>0</v>
      </c>
      <c r="D150">
        <f>Database!D164-Database!C164</f>
        <v>0</v>
      </c>
      <c r="F150">
        <f>Database!L164</f>
        <v>0</v>
      </c>
      <c r="G150">
        <f>Database!F164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0</v>
      </c>
      <c r="BG150" s="32">
        <f t="shared" si="115"/>
        <v>0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0</v>
      </c>
      <c r="B151" s="22">
        <f>Database!E165</f>
        <v>0</v>
      </c>
      <c r="C151">
        <f>IF(Database!G165="cansl",0,Database!K165)</f>
        <v>0</v>
      </c>
      <c r="D151">
        <f>Database!D165-Database!C165</f>
        <v>0</v>
      </c>
      <c r="F151">
        <f>Database!L165</f>
        <v>0</v>
      </c>
      <c r="G151">
        <f>Database!F165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2">
        <f t="shared" si="110"/>
        <v>0</v>
      </c>
      <c r="BC151" s="32">
        <f t="shared" si="111"/>
        <v>0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0</v>
      </c>
      <c r="B152" s="22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2">
        <f t="shared" si="110"/>
        <v>0</v>
      </c>
      <c r="BC152" s="32">
        <f t="shared" si="111"/>
        <v>0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0</v>
      </c>
      <c r="B153" s="22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2">
        <f t="shared" si="110"/>
        <v>0</v>
      </c>
      <c r="BC153" s="32">
        <f t="shared" si="111"/>
        <v>0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:BI196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2">
        <f t="shared" ref="BB196:BY196" si="167">SUM(BB2:BB195)</f>
        <v>185</v>
      </c>
      <c r="BC196" s="32">
        <f t="shared" si="167"/>
        <v>765</v>
      </c>
      <c r="BD196" s="32">
        <f t="shared" si="167"/>
        <v>23</v>
      </c>
      <c r="BE196" s="32">
        <f t="shared" si="167"/>
        <v>79</v>
      </c>
      <c r="BF196" s="32">
        <f t="shared" si="167"/>
        <v>0</v>
      </c>
      <c r="BG196" s="32">
        <f t="shared" si="167"/>
        <v>0</v>
      </c>
      <c r="BH196" s="32">
        <f t="shared" si="167"/>
        <v>32</v>
      </c>
      <c r="BI196" s="32">
        <f t="shared" si="154"/>
        <v>0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508</v>
      </c>
      <c r="AC198">
        <f t="shared" si="168"/>
        <v>517</v>
      </c>
      <c r="AD198">
        <f t="shared" si="168"/>
        <v>524</v>
      </c>
      <c r="AE198">
        <f t="shared" si="168"/>
        <v>548</v>
      </c>
      <c r="AF198">
        <f t="shared" si="168"/>
        <v>567</v>
      </c>
      <c r="AG198">
        <f t="shared" si="168"/>
        <v>585</v>
      </c>
      <c r="AH198">
        <f t="shared" si="168"/>
        <v>585</v>
      </c>
      <c r="AI198">
        <f t="shared" si="168"/>
        <v>585</v>
      </c>
      <c r="AJ198">
        <f t="shared" si="168"/>
        <v>585</v>
      </c>
      <c r="AK198">
        <f t="shared" si="168"/>
        <v>585</v>
      </c>
      <c r="AL198">
        <f t="shared" si="168"/>
        <v>585</v>
      </c>
      <c r="AM198">
        <f t="shared" si="168"/>
        <v>585</v>
      </c>
      <c r="AN198">
        <f t="shared" si="168"/>
        <v>585</v>
      </c>
      <c r="AO198">
        <f t="shared" si="168"/>
        <v>585</v>
      </c>
      <c r="AP198">
        <f t="shared" si="168"/>
        <v>585</v>
      </c>
      <c r="AQ198">
        <f t="shared" si="168"/>
        <v>585</v>
      </c>
      <c r="AR198">
        <f t="shared" si="168"/>
        <v>585</v>
      </c>
      <c r="AS198">
        <f t="shared" si="168"/>
        <v>585</v>
      </c>
      <c r="AT198">
        <f t="shared" si="168"/>
        <v>585</v>
      </c>
      <c r="AU198">
        <f t="shared" si="168"/>
        <v>585</v>
      </c>
      <c r="AV198">
        <f t="shared" si="168"/>
        <v>585</v>
      </c>
      <c r="AW198">
        <f t="shared" si="168"/>
        <v>585</v>
      </c>
      <c r="AX198">
        <f t="shared" si="168"/>
        <v>585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508</v>
      </c>
      <c r="AC200">
        <f t="shared" si="169"/>
        <v>517</v>
      </c>
      <c r="AD200">
        <f t="shared" si="169"/>
        <v>524</v>
      </c>
      <c r="AE200">
        <f t="shared" si="169"/>
        <v>548</v>
      </c>
      <c r="AF200">
        <f t="shared" si="169"/>
        <v>567</v>
      </c>
      <c r="AG200">
        <f t="shared" si="169"/>
        <v>585</v>
      </c>
      <c r="AH200">
        <f>AH198</f>
        <v>585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53</v>
      </c>
      <c r="BE201" s="26" t="s">
        <v>20</v>
      </c>
      <c r="BF201" s="26" t="s">
        <v>54</v>
      </c>
      <c r="BG201" s="26" t="s">
        <v>31</v>
      </c>
      <c r="BH201" s="26" t="s">
        <v>62</v>
      </c>
      <c r="BI201" s="27" t="s">
        <v>110</v>
      </c>
      <c r="BJ201" s="28" t="s">
        <v>58</v>
      </c>
      <c r="BK201" s="29" t="s">
        <v>111</v>
      </c>
      <c r="BL201" s="29" t="s">
        <v>57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112</v>
      </c>
      <c r="BD202" s="32">
        <f>BB196</f>
        <v>185</v>
      </c>
      <c r="BE202" s="32">
        <f>BD196</f>
        <v>23</v>
      </c>
      <c r="BF202" s="32">
        <f>BF196</f>
        <v>0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0</v>
      </c>
      <c r="BL202" s="35">
        <f>BR196</f>
        <v>3</v>
      </c>
      <c r="BM202" s="35">
        <f>BT196</f>
        <v>2</v>
      </c>
      <c r="BN202" s="35">
        <f>BV196</f>
        <v>4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113</v>
      </c>
      <c r="BD203" s="38">
        <f>BC196</f>
        <v>765</v>
      </c>
      <c r="BE203" s="38">
        <f>BE196</f>
        <v>79</v>
      </c>
      <c r="BF203" s="38">
        <f>BG196</f>
        <v>0</v>
      </c>
      <c r="BG203" s="38">
        <f>BI196</f>
        <v>0</v>
      </c>
      <c r="BH203" s="38">
        <f>BK196</f>
        <v>8</v>
      </c>
      <c r="BI203" s="39">
        <f>BM196</f>
        <v>39</v>
      </c>
      <c r="BJ203" s="40">
        <f>BO196</f>
        <v>0</v>
      </c>
      <c r="BK203" s="41">
        <f>BQ196</f>
        <v>0</v>
      </c>
      <c r="BL203" s="41">
        <f>BS196</f>
        <v>19</v>
      </c>
      <c r="BM203" s="41">
        <f>BU196</f>
        <v>10</v>
      </c>
      <c r="BN203" s="41">
        <f>BW196</f>
        <v>10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5"/>
      <c r="B29" s="26" t="s">
        <v>53</v>
      </c>
      <c r="C29" s="26" t="s">
        <v>20</v>
      </c>
      <c r="D29" s="26" t="s">
        <v>54</v>
      </c>
      <c r="E29" s="26" t="s">
        <v>31</v>
      </c>
      <c r="F29" s="26" t="s">
        <v>62</v>
      </c>
      <c r="G29" s="27" t="s">
        <v>110</v>
      </c>
      <c r="H29" s="28" t="s">
        <v>58</v>
      </c>
      <c r="I29" s="29" t="s">
        <v>111</v>
      </c>
      <c r="J29" s="29" t="s">
        <v>57</v>
      </c>
      <c r="K29" s="161" t="s">
        <v>286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112</v>
      </c>
      <c r="B30" s="32">
        <f>'book stat'!BD202</f>
        <v>185</v>
      </c>
      <c r="C30" s="32">
        <f>'book stat'!BE202</f>
        <v>23</v>
      </c>
      <c r="D30" s="32">
        <f>'book stat'!BF202</f>
        <v>0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0</v>
      </c>
      <c r="J30" s="163">
        <f>'book stat'!BL202</f>
        <v>3</v>
      </c>
      <c r="K30" s="164">
        <f>'book stat'!BM202</f>
        <v>2</v>
      </c>
      <c r="L30" s="165">
        <f>'book stat'!BN202</f>
        <v>4</v>
      </c>
      <c r="M30" s="166">
        <f>'book stat'!BO202</f>
        <v>0</v>
      </c>
    </row>
    <row r="31" spans="1:13" ht="15" customHeight="1" thickBot="1" x14ac:dyDescent="0.4">
      <c r="A31" s="37" t="s">
        <v>113</v>
      </c>
      <c r="B31" s="32">
        <f>'book stat'!BD203</f>
        <v>765</v>
      </c>
      <c r="C31" s="32">
        <f>'book stat'!BE203</f>
        <v>79</v>
      </c>
      <c r="D31" s="32">
        <f>'book stat'!BF203</f>
        <v>0</v>
      </c>
      <c r="E31" s="32">
        <f>'book stat'!BG203</f>
        <v>0</v>
      </c>
      <c r="F31" s="32">
        <f>'book stat'!BH203</f>
        <v>8</v>
      </c>
      <c r="G31" s="33">
        <f>'book stat'!BI203</f>
        <v>39</v>
      </c>
      <c r="H31" s="167">
        <f>'book stat'!BJ203</f>
        <v>0</v>
      </c>
      <c r="I31" s="168">
        <f>'book stat'!BK203</f>
        <v>0</v>
      </c>
      <c r="J31" s="168">
        <f>'book stat'!BL203</f>
        <v>19</v>
      </c>
      <c r="K31" s="169">
        <f>'book stat'!BM203</f>
        <v>10</v>
      </c>
      <c r="L31" s="165">
        <f>'book stat'!BN203</f>
        <v>10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opLeftCell="B1" zoomScaleNormal="100" workbookViewId="0">
      <pane ySplit="1" topLeftCell="A142" activePane="bottomLeft" state="frozen"/>
      <selection pane="bottomLeft" activeCell="AB147" sqref="AB147:AI150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114</v>
      </c>
      <c r="B1" s="13" t="s">
        <v>115</v>
      </c>
      <c r="C1" s="14" t="s">
        <v>116</v>
      </c>
      <c r="D1" s="217">
        <v>1</v>
      </c>
      <c r="E1" s="218"/>
      <c r="F1" s="64" t="s">
        <v>117</v>
      </c>
      <c r="G1" s="65" t="s">
        <v>8</v>
      </c>
      <c r="H1" s="219">
        <v>2</v>
      </c>
      <c r="I1" s="218"/>
      <c r="J1" s="64" t="s">
        <v>117</v>
      </c>
      <c r="K1" s="66" t="s">
        <v>8</v>
      </c>
      <c r="L1" s="219">
        <v>3</v>
      </c>
      <c r="M1" s="218"/>
      <c r="N1" s="64" t="s">
        <v>117</v>
      </c>
      <c r="O1" s="67" t="s">
        <v>8</v>
      </c>
      <c r="P1" s="217">
        <v>4</v>
      </c>
      <c r="Q1" s="218"/>
      <c r="R1" s="64" t="s">
        <v>117</v>
      </c>
      <c r="S1" s="66" t="s">
        <v>8</v>
      </c>
      <c r="T1" s="220">
        <v>5</v>
      </c>
      <c r="U1" s="221"/>
      <c r="V1" s="64" t="s">
        <v>117</v>
      </c>
      <c r="W1" s="66" t="s">
        <v>8</v>
      </c>
      <c r="X1" s="217">
        <v>6</v>
      </c>
      <c r="Y1" s="218"/>
      <c r="Z1" s="68" t="s">
        <v>118</v>
      </c>
      <c r="AA1" s="129">
        <f>SUM(AA2:AA171)</f>
        <v>593</v>
      </c>
      <c r="AB1" s="69" t="s">
        <v>119</v>
      </c>
      <c r="AC1" s="69" t="s">
        <v>120</v>
      </c>
      <c r="AD1" s="70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123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124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125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127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128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122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334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123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335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124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125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156</v>
      </c>
      <c r="L12" s="12"/>
      <c r="M12" s="138">
        <v>80</v>
      </c>
      <c r="N12" s="18"/>
      <c r="O12" s="18" t="s">
        <v>156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126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127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128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123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287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124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222</v>
      </c>
      <c r="B19" s="6" t="s">
        <v>125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156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126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287</v>
      </c>
      <c r="L20" s="12">
        <v>95</v>
      </c>
      <c r="M20" s="8">
        <v>95</v>
      </c>
      <c r="N20" s="18">
        <v>2</v>
      </c>
      <c r="O20" s="18" t="s">
        <v>287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159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127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287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128</v>
      </c>
      <c r="C22" s="7">
        <v>46159</v>
      </c>
      <c r="D22" s="138">
        <v>8</v>
      </c>
      <c r="E22" s="138">
        <v>8</v>
      </c>
      <c r="F22" s="18">
        <v>2</v>
      </c>
      <c r="G22" s="17" t="s">
        <v>157</v>
      </c>
      <c r="H22" s="8">
        <v>90</v>
      </c>
      <c r="I22" s="137">
        <v>108</v>
      </c>
      <c r="J22" s="114">
        <v>2</v>
      </c>
      <c r="K22" s="17" t="s">
        <v>159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38">
        <v>8</v>
      </c>
      <c r="E23" s="138">
        <v>8</v>
      </c>
      <c r="F23" s="18">
        <v>2</v>
      </c>
      <c r="G23" s="17" t="s">
        <v>130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157</v>
      </c>
      <c r="T23" s="138">
        <v>9</v>
      </c>
      <c r="U23" s="138">
        <v>9</v>
      </c>
      <c r="V23" s="18">
        <v>2</v>
      </c>
      <c r="W23" s="18" t="s">
        <v>135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123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391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124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125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126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127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223</v>
      </c>
      <c r="B29" s="6" t="s">
        <v>128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224</v>
      </c>
      <c r="B30" s="6" t="s">
        <v>122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124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125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126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432</v>
      </c>
      <c r="B35" s="6" t="s">
        <v>127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128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159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123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478</v>
      </c>
      <c r="B39" s="6" t="s">
        <v>124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159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135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125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9">
        <v>117</v>
      </c>
      <c r="E41" s="138">
        <v>6</v>
      </c>
      <c r="F41" s="114">
        <v>2</v>
      </c>
      <c r="G41" s="133" t="s">
        <v>156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127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156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128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122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156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123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159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124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159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/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4</v>
      </c>
      <c r="AB51" s="57">
        <f t="shared" si="0"/>
        <v>3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123</v>
      </c>
      <c r="C52" s="7">
        <v>46189</v>
      </c>
      <c r="D52" s="111">
        <v>140</v>
      </c>
      <c r="E52" s="8">
        <v>140</v>
      </c>
      <c r="F52" s="114"/>
      <c r="G52" s="133"/>
      <c r="H52" s="112"/>
      <c r="I52" s="8"/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157</v>
      </c>
      <c r="X52" s="20"/>
      <c r="Y52" s="20"/>
      <c r="Z52" s="134">
        <f t="shared" si="2"/>
        <v>6</v>
      </c>
      <c r="AA52" s="130">
        <f t="shared" si="3"/>
        <v>4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124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12"/>
      <c r="I53" s="8"/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266</v>
      </c>
      <c r="X53" s="20"/>
      <c r="Y53" s="20"/>
      <c r="Z53" s="134">
        <f t="shared" si="2"/>
        <v>6</v>
      </c>
      <c r="AA53" s="130">
        <f t="shared" si="3"/>
        <v>4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125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/>
      <c r="I54" s="8"/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3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126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/>
      <c r="I55" s="8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0</v>
      </c>
    </row>
    <row r="56" spans="1:30" ht="30" customHeight="1" x14ac:dyDescent="0.35">
      <c r="A56" s="6"/>
      <c r="B56" s="6" t="s">
        <v>127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8">
        <v>109</v>
      </c>
      <c r="I56" s="8">
        <v>109</v>
      </c>
      <c r="J56" s="18"/>
      <c r="K56" s="17" t="s">
        <v>225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128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8">
        <v>109</v>
      </c>
      <c r="I57" s="8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38">
        <v>31</v>
      </c>
      <c r="E58" s="153">
        <v>37</v>
      </c>
      <c r="F58" s="18">
        <v>1</v>
      </c>
      <c r="G58" s="18"/>
      <c r="H58" s="8">
        <v>109</v>
      </c>
      <c r="I58" s="8"/>
      <c r="J58" s="18"/>
      <c r="K58" s="17"/>
      <c r="L58" s="137">
        <v>129</v>
      </c>
      <c r="M58" s="137">
        <v>129</v>
      </c>
      <c r="N58" s="18"/>
      <c r="O58" s="18" t="s">
        <v>287</v>
      </c>
      <c r="P58" s="8">
        <v>130</v>
      </c>
      <c r="Q58" s="111">
        <v>130</v>
      </c>
      <c r="R58" s="114"/>
      <c r="S58" s="114" t="s">
        <v>287</v>
      </c>
      <c r="T58" s="138">
        <v>86</v>
      </c>
      <c r="U58" s="111">
        <v>141</v>
      </c>
      <c r="V58" s="18"/>
      <c r="W58" s="18"/>
      <c r="X58" s="20"/>
      <c r="Y58" s="20"/>
      <c r="Z58" s="134">
        <f t="shared" si="2"/>
        <v>1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123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2"/>
      <c r="I59" s="8"/>
      <c r="J59" s="18"/>
      <c r="K59" s="17"/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>
        <v>141</v>
      </c>
      <c r="U59" s="111">
        <v>141</v>
      </c>
      <c r="V59" s="114">
        <v>2</v>
      </c>
      <c r="W59" s="18" t="s">
        <v>512</v>
      </c>
      <c r="X59" s="20"/>
      <c r="Y59" s="20"/>
      <c r="Z59" s="134">
        <f t="shared" si="2"/>
        <v>4</v>
      </c>
      <c r="AA59" s="130">
        <f t="shared" si="3"/>
        <v>4</v>
      </c>
      <c r="AB59" s="57">
        <f t="shared" si="0"/>
        <v>0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124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2"/>
      <c r="I60" s="8"/>
      <c r="J60" s="18"/>
      <c r="K60" s="17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141</v>
      </c>
      <c r="U60" s="111">
        <v>141</v>
      </c>
      <c r="V60" s="114">
        <v>2</v>
      </c>
      <c r="W60" s="18"/>
      <c r="X60" s="20"/>
      <c r="Y60" s="20"/>
      <c r="Z60" s="134">
        <f t="shared" si="2"/>
        <v>4</v>
      </c>
      <c r="AA60" s="130">
        <f t="shared" si="3"/>
        <v>2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125</v>
      </c>
      <c r="C61" s="7">
        <v>46198</v>
      </c>
      <c r="D61" s="153">
        <v>37</v>
      </c>
      <c r="E61" s="111">
        <v>64</v>
      </c>
      <c r="F61" s="18">
        <v>2</v>
      </c>
      <c r="G61" s="18" t="s">
        <v>159</v>
      </c>
      <c r="H61" s="12"/>
      <c r="I61" s="8"/>
      <c r="J61" s="18"/>
      <c r="K61" s="17"/>
      <c r="L61" s="8"/>
      <c r="M61" s="8">
        <v>34</v>
      </c>
      <c r="N61" s="18"/>
      <c r="O61" s="18"/>
      <c r="P61" s="111"/>
      <c r="Q61" s="8"/>
      <c r="R61" s="114"/>
      <c r="S61" s="18"/>
      <c r="T61" s="111">
        <v>141</v>
      </c>
      <c r="U61" s="111">
        <v>141</v>
      </c>
      <c r="V61" s="18">
        <v>2</v>
      </c>
      <c r="W61" s="18"/>
      <c r="X61" s="20"/>
      <c r="Y61" s="20"/>
      <c r="Z61" s="134">
        <f t="shared" si="2"/>
        <v>4</v>
      </c>
      <c r="AA61" s="130">
        <f t="shared" si="3"/>
        <v>3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126</v>
      </c>
      <c r="C62" s="7">
        <v>46199</v>
      </c>
      <c r="D62" s="8">
        <v>64</v>
      </c>
      <c r="E62" s="8">
        <v>64</v>
      </c>
      <c r="F62" s="18"/>
      <c r="G62" s="18" t="s">
        <v>287</v>
      </c>
      <c r="H62" s="8"/>
      <c r="I62" s="8">
        <v>61</v>
      </c>
      <c r="J62" s="18"/>
      <c r="K62" s="17"/>
      <c r="L62" s="8">
        <v>34</v>
      </c>
      <c r="M62" s="8">
        <v>34</v>
      </c>
      <c r="N62" s="18">
        <v>2</v>
      </c>
      <c r="O62" s="18" t="s">
        <v>225</v>
      </c>
      <c r="P62" s="8"/>
      <c r="Q62" s="8">
        <v>87</v>
      </c>
      <c r="R62" s="18"/>
      <c r="S62" s="18"/>
      <c r="T62" s="111">
        <v>141</v>
      </c>
      <c r="U62" s="111"/>
      <c r="V62" s="18">
        <v>2</v>
      </c>
      <c r="W62" s="18"/>
      <c r="X62" s="8"/>
      <c r="Y62" s="8"/>
      <c r="Z62" s="134">
        <f t="shared" si="2"/>
        <v>4</v>
      </c>
      <c r="AA62" s="130">
        <f t="shared" si="3"/>
        <v>4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127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157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157</v>
      </c>
      <c r="T63" s="111"/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0</v>
      </c>
      <c r="AD63" s="16"/>
    </row>
    <row r="64" spans="1:30" ht="30" customHeight="1" x14ac:dyDescent="0.35">
      <c r="A64" s="6"/>
      <c r="B64" s="6" t="s">
        <v>128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213">
        <v>135</v>
      </c>
      <c r="E65" s="213">
        <v>135</v>
      </c>
      <c r="F65" s="114"/>
      <c r="G65" s="133" t="s">
        <v>157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159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123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124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125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4">
        <v>2</v>
      </c>
      <c r="G69" s="133" t="s">
        <v>226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4">
        <v>69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126</v>
      </c>
      <c r="C76" s="7">
        <v>46213</v>
      </c>
      <c r="D76" s="114">
        <v>69</v>
      </c>
      <c r="E76" s="114">
        <v>69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127</v>
      </c>
      <c r="C77" s="7">
        <v>46214</v>
      </c>
      <c r="D77" s="114">
        <v>69</v>
      </c>
      <c r="E77" s="114">
        <v>69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158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128</v>
      </c>
      <c r="C78" s="7">
        <v>46215</v>
      </c>
      <c r="D78" s="114">
        <v>69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158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123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124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125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131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126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131</v>
      </c>
      <c r="M83" s="190">
        <v>113</v>
      </c>
      <c r="N83" s="18"/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5</v>
      </c>
      <c r="AA83" s="130">
        <f t="shared" si="7"/>
        <v>5</v>
      </c>
      <c r="AB83" s="57">
        <f t="shared" si="5"/>
        <v>1</v>
      </c>
      <c r="AC83" s="21">
        <f t="shared" si="8"/>
        <v>1</v>
      </c>
      <c r="AD83" s="16"/>
    </row>
    <row r="84" spans="1:30" ht="30" customHeight="1" x14ac:dyDescent="0.35">
      <c r="A84" s="6"/>
      <c r="B84" s="6" t="s">
        <v>127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131</v>
      </c>
      <c r="M84" s="190">
        <v>131</v>
      </c>
      <c r="N84" s="18"/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5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128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225</v>
      </c>
      <c r="L85" s="190">
        <v>131</v>
      </c>
      <c r="M85" s="8">
        <v>44</v>
      </c>
      <c r="N85" s="18"/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3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5">
      <c r="A86">
        <v>30</v>
      </c>
      <c r="B86" s="6" t="s">
        <v>122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123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124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126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8"/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4</v>
      </c>
      <c r="AB90" s="57">
        <f t="shared" si="5"/>
        <v>0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127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8"/>
      <c r="M91" s="8"/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2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128</v>
      </c>
      <c r="C92" s="7">
        <v>46229</v>
      </c>
      <c r="D92" s="138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8"/>
      <c r="M92" s="138">
        <v>58</v>
      </c>
      <c r="N92" s="18"/>
      <c r="O92" s="17" t="s">
        <v>32</v>
      </c>
      <c r="P92" s="8"/>
      <c r="Q92" s="138">
        <v>58</v>
      </c>
      <c r="R92" s="114"/>
      <c r="S92" s="114" t="s">
        <v>32</v>
      </c>
      <c r="T92" s="8"/>
      <c r="U92" s="8"/>
      <c r="V92" s="18"/>
      <c r="W92" s="18"/>
      <c r="X92" s="20"/>
      <c r="Y92" s="20"/>
      <c r="Z92" s="134">
        <f t="shared" si="6"/>
        <v>3</v>
      </c>
      <c r="AA92" s="130">
        <f t="shared" si="7"/>
        <v>3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8">
        <v>58</v>
      </c>
      <c r="M93" s="138">
        <v>58</v>
      </c>
      <c r="N93" s="18">
        <v>1</v>
      </c>
      <c r="O93" s="17" t="s">
        <v>288</v>
      </c>
      <c r="P93" s="138">
        <v>58</v>
      </c>
      <c r="Q93" s="138">
        <v>58</v>
      </c>
      <c r="R93" s="114">
        <v>1</v>
      </c>
      <c r="S93" s="114" t="s">
        <v>288</v>
      </c>
      <c r="T93" s="8"/>
      <c r="U93" s="8">
        <v>30</v>
      </c>
      <c r="V93" s="18"/>
      <c r="W93" s="18" t="s">
        <v>159</v>
      </c>
      <c r="X93" s="8"/>
      <c r="Y93" s="8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0</v>
      </c>
      <c r="AD93" s="16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8">
        <v>58</v>
      </c>
      <c r="M94" s="138">
        <v>58</v>
      </c>
      <c r="N94" s="18">
        <v>1</v>
      </c>
      <c r="O94" s="17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8">
        <v>58</v>
      </c>
      <c r="M95" s="138">
        <v>58</v>
      </c>
      <c r="N95" s="18">
        <v>1</v>
      </c>
      <c r="O95" s="17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>
        <v>58</v>
      </c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8">
        <v>58</v>
      </c>
      <c r="M96" s="152">
        <v>115</v>
      </c>
      <c r="N96" s="18">
        <v>1</v>
      </c>
      <c r="O96" s="17" t="s">
        <v>156</v>
      </c>
      <c r="P96" s="159">
        <v>57</v>
      </c>
      <c r="Q96" s="160">
        <v>57</v>
      </c>
      <c r="R96" s="114"/>
      <c r="S96" s="114" t="s">
        <v>287</v>
      </c>
      <c r="T96" s="8">
        <v>30</v>
      </c>
      <c r="U96" s="8">
        <v>30</v>
      </c>
      <c r="V96" s="18">
        <v>2</v>
      </c>
      <c r="W96" s="18"/>
      <c r="X96" s="8">
        <v>58</v>
      </c>
      <c r="Y96" s="8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2">
        <v>115</v>
      </c>
      <c r="M97" s="152">
        <v>115</v>
      </c>
      <c r="N97" s="18">
        <v>2</v>
      </c>
      <c r="O97" s="17"/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8"/>
      <c r="Y97" s="8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127</v>
      </c>
      <c r="C98" s="7">
        <v>46235</v>
      </c>
      <c r="D98" s="114">
        <v>94</v>
      </c>
      <c r="E98" s="114">
        <v>94</v>
      </c>
      <c r="F98" s="18"/>
      <c r="G98" s="17" t="s">
        <v>157</v>
      </c>
      <c r="H98" s="8">
        <v>49</v>
      </c>
      <c r="I98" s="8"/>
      <c r="J98" s="18">
        <v>2</v>
      </c>
      <c r="K98" s="17"/>
      <c r="L98" s="151">
        <v>115</v>
      </c>
      <c r="M98" s="152">
        <v>115</v>
      </c>
      <c r="N98" s="18">
        <v>2</v>
      </c>
      <c r="O98" s="17"/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20"/>
      <c r="Y98" s="20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128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8">
        <v>74</v>
      </c>
      <c r="J99" s="18"/>
      <c r="K99" s="17"/>
      <c r="L99" s="151">
        <v>115</v>
      </c>
      <c r="M99" s="138">
        <v>74</v>
      </c>
      <c r="N99" s="18">
        <v>2</v>
      </c>
      <c r="O99" s="18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89">
        <v>94</v>
      </c>
      <c r="E100" s="137">
        <v>11</v>
      </c>
      <c r="F100" s="18"/>
      <c r="G100" s="17" t="s">
        <v>158</v>
      </c>
      <c r="H100" s="140">
        <v>74</v>
      </c>
      <c r="I100" s="138">
        <v>74</v>
      </c>
      <c r="J100" s="18">
        <v>2</v>
      </c>
      <c r="K100" s="17"/>
      <c r="L100" s="138">
        <v>74</v>
      </c>
      <c r="M100" s="138">
        <v>74</v>
      </c>
      <c r="N100" s="18">
        <v>1</v>
      </c>
      <c r="O100" s="18"/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123</v>
      </c>
      <c r="C101" s="7">
        <v>46238</v>
      </c>
      <c r="D101" s="137">
        <v>11</v>
      </c>
      <c r="E101" s="137">
        <v>11</v>
      </c>
      <c r="F101" s="18"/>
      <c r="G101" s="17" t="s">
        <v>157</v>
      </c>
      <c r="H101" s="140">
        <v>74</v>
      </c>
      <c r="I101" s="138">
        <v>74</v>
      </c>
      <c r="J101" s="18">
        <v>2</v>
      </c>
      <c r="K101" s="17"/>
      <c r="L101" s="138">
        <v>74</v>
      </c>
      <c r="M101" s="138">
        <v>74</v>
      </c>
      <c r="N101" s="18">
        <v>1</v>
      </c>
      <c r="O101" s="18"/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124</v>
      </c>
      <c r="C102" s="7">
        <v>46239</v>
      </c>
      <c r="D102" s="137">
        <v>11</v>
      </c>
      <c r="E102" s="137">
        <v>11</v>
      </c>
      <c r="F102" s="18"/>
      <c r="G102" s="17"/>
      <c r="H102" s="138">
        <v>74</v>
      </c>
      <c r="I102" s="138">
        <v>74</v>
      </c>
      <c r="J102" s="18">
        <v>2</v>
      </c>
      <c r="K102" s="17"/>
      <c r="L102" s="138">
        <v>74</v>
      </c>
      <c r="M102" s="138">
        <v>74</v>
      </c>
      <c r="N102" s="18">
        <v>1</v>
      </c>
      <c r="O102" s="18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125</v>
      </c>
      <c r="C103" s="7">
        <v>46240</v>
      </c>
      <c r="D103" s="137">
        <v>11</v>
      </c>
      <c r="E103" s="137">
        <v>11</v>
      </c>
      <c r="F103" s="18"/>
      <c r="G103" s="17"/>
      <c r="H103" s="138">
        <v>74</v>
      </c>
      <c r="I103" s="8">
        <v>32</v>
      </c>
      <c r="J103" s="18">
        <v>2</v>
      </c>
      <c r="K103" s="17" t="s">
        <v>156</v>
      </c>
      <c r="L103" s="138">
        <v>74</v>
      </c>
      <c r="M103" s="153">
        <v>33</v>
      </c>
      <c r="N103" s="18">
        <v>1</v>
      </c>
      <c r="O103" s="18" t="s">
        <v>32</v>
      </c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126</v>
      </c>
      <c r="C104" s="7">
        <v>46241</v>
      </c>
      <c r="D104" s="137">
        <v>11</v>
      </c>
      <c r="E104" s="137">
        <v>11</v>
      </c>
      <c r="F104" s="18"/>
      <c r="G104" s="17"/>
      <c r="H104" s="111">
        <v>32</v>
      </c>
      <c r="I104" s="111">
        <v>32</v>
      </c>
      <c r="J104" s="111">
        <v>2</v>
      </c>
      <c r="K104" s="186" t="s">
        <v>157</v>
      </c>
      <c r="L104" s="153">
        <v>33</v>
      </c>
      <c r="M104" s="153">
        <v>33</v>
      </c>
      <c r="N104" s="111">
        <v>1</v>
      </c>
      <c r="O104" s="111" t="s">
        <v>157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20"/>
      <c r="Y104" s="20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127</v>
      </c>
      <c r="C105" s="7">
        <v>46242</v>
      </c>
      <c r="D105" s="137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6"/>
      <c r="L105" s="153">
        <v>33</v>
      </c>
      <c r="M105" s="153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266</v>
      </c>
      <c r="X105" s="20"/>
      <c r="Y105" s="20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3">
        <v>33</v>
      </c>
      <c r="M106" s="153">
        <v>33</v>
      </c>
      <c r="N106" s="111">
        <v>1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20"/>
      <c r="Y106" s="20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18"/>
      <c r="G107" s="17" t="s">
        <v>156</v>
      </c>
      <c r="H107" s="8">
        <v>32</v>
      </c>
      <c r="I107" s="8">
        <v>32</v>
      </c>
      <c r="J107" s="18">
        <v>2</v>
      </c>
      <c r="K107" s="17"/>
      <c r="L107" s="153">
        <v>33</v>
      </c>
      <c r="M107" s="153">
        <v>33</v>
      </c>
      <c r="N107" s="18">
        <v>1</v>
      </c>
      <c r="O107" s="18"/>
      <c r="P107" s="152">
        <v>114</v>
      </c>
      <c r="Q107" s="152">
        <v>114</v>
      </c>
      <c r="R107" s="114">
        <v>2</v>
      </c>
      <c r="S107" s="114" t="s">
        <v>266</v>
      </c>
      <c r="T107" s="152">
        <v>92</v>
      </c>
      <c r="U107" s="152">
        <v>92</v>
      </c>
      <c r="V107" s="18"/>
      <c r="W107" s="18"/>
      <c r="X107" s="20"/>
      <c r="Y107" s="20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3">
        <v>33</v>
      </c>
      <c r="M108" s="153">
        <v>33</v>
      </c>
      <c r="N108" s="2">
        <v>1</v>
      </c>
      <c r="O108" s="18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20"/>
      <c r="Y108" s="20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3">
        <v>33</v>
      </c>
      <c r="M109" s="153">
        <v>33</v>
      </c>
      <c r="N109" s="18">
        <v>1</v>
      </c>
      <c r="O109" s="18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20"/>
      <c r="Y109" s="20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3">
        <v>46</v>
      </c>
      <c r="J110" s="18">
        <v>2</v>
      </c>
      <c r="K110" s="17"/>
      <c r="L110" s="153">
        <v>33</v>
      </c>
      <c r="M110" s="8">
        <v>23</v>
      </c>
      <c r="N110" s="18">
        <v>1</v>
      </c>
      <c r="O110" s="18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20"/>
      <c r="Y110" s="20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3">
        <v>46</v>
      </c>
      <c r="I111" s="153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20">
        <v>121</v>
      </c>
      <c r="Y111" s="20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4">
        <v>121</v>
      </c>
      <c r="E112" s="114">
        <v>121</v>
      </c>
      <c r="F112" s="18"/>
      <c r="G112" s="17"/>
      <c r="H112" s="153">
        <v>46</v>
      </c>
      <c r="I112" s="153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20"/>
      <c r="Y112" s="20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128</v>
      </c>
      <c r="C113" s="7">
        <v>46250</v>
      </c>
      <c r="D113" s="114">
        <v>121</v>
      </c>
      <c r="E113" s="8"/>
      <c r="F113" s="18"/>
      <c r="G113" s="17"/>
      <c r="H113" s="153">
        <v>46</v>
      </c>
      <c r="I113" s="153">
        <v>46</v>
      </c>
      <c r="J113" s="18"/>
      <c r="K113" s="17"/>
      <c r="L113" s="8">
        <v>23</v>
      </c>
      <c r="M113" s="8"/>
      <c r="N113" s="18">
        <v>2</v>
      </c>
      <c r="O113" s="18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20"/>
      <c r="Y113" s="20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53">
        <v>46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265</v>
      </c>
      <c r="T114" s="8"/>
      <c r="U114" s="138">
        <v>21</v>
      </c>
      <c r="V114" s="18"/>
      <c r="W114" s="18" t="s">
        <v>159</v>
      </c>
      <c r="X114" s="20"/>
      <c r="Y114" s="20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0</v>
      </c>
      <c r="AD114" s="16"/>
    </row>
    <row r="115" spans="1:30" ht="30" customHeight="1" x14ac:dyDescent="0.35">
      <c r="A115" s="6"/>
      <c r="B115" s="6" t="s">
        <v>123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53">
        <v>46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266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124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125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126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127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225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128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156</v>
      </c>
      <c r="L120" s="157">
        <v>54</v>
      </c>
      <c r="M120" s="137">
        <v>122</v>
      </c>
      <c r="N120" s="18">
        <v>2</v>
      </c>
      <c r="O120" s="18" t="s">
        <v>159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57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457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458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157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157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226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127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128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123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124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125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126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/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4</v>
      </c>
      <c r="AB132" s="57">
        <f t="shared" si="10"/>
        <v>1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127</v>
      </c>
      <c r="C133" s="7">
        <v>46270</v>
      </c>
      <c r="D133" s="139">
        <v>126</v>
      </c>
      <c r="E133" s="8"/>
      <c r="F133" s="18">
        <v>2</v>
      </c>
      <c r="G133" s="132"/>
      <c r="H133" s="216"/>
      <c r="I133" s="152">
        <v>139</v>
      </c>
      <c r="J133" s="18">
        <v>1</v>
      </c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0"/>
      <c r="Y133" s="20"/>
      <c r="Z133" s="134">
        <f t="shared" si="11"/>
        <v>6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128</v>
      </c>
      <c r="C134" s="7">
        <v>46271</v>
      </c>
      <c r="D134" s="9"/>
      <c r="E134" s="138">
        <v>145</v>
      </c>
      <c r="F134" s="18"/>
      <c r="G134" s="132" t="s">
        <v>23</v>
      </c>
      <c r="H134" s="152">
        <v>139</v>
      </c>
      <c r="I134" s="152">
        <v>139</v>
      </c>
      <c r="J134" s="18">
        <v>2</v>
      </c>
      <c r="K134" s="17"/>
      <c r="L134" s="137">
        <v>142</v>
      </c>
      <c r="M134" s="8"/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20"/>
      <c r="Y134" s="20"/>
      <c r="Z134" s="134">
        <f t="shared" si="11"/>
        <v>4</v>
      </c>
      <c r="AA134" s="130">
        <f t="shared" si="12"/>
        <v>3</v>
      </c>
      <c r="AB134" s="57">
        <f t="shared" si="10"/>
        <v>2</v>
      </c>
      <c r="AC134" s="21">
        <f t="shared" si="9"/>
        <v>2</v>
      </c>
      <c r="AD134" s="16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39">
        <v>145</v>
      </c>
      <c r="E135" s="138">
        <v>145</v>
      </c>
      <c r="F135" s="18">
        <v>2</v>
      </c>
      <c r="G135" s="17"/>
      <c r="H135" s="152">
        <v>139</v>
      </c>
      <c r="I135" s="152">
        <v>139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225</v>
      </c>
      <c r="X135" s="20"/>
      <c r="Y135" s="20"/>
      <c r="Z135" s="134">
        <f t="shared" si="11"/>
        <v>6</v>
      </c>
      <c r="AA135" s="130">
        <f t="shared" si="12"/>
        <v>4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123</v>
      </c>
      <c r="C136" s="7">
        <v>46273</v>
      </c>
      <c r="D136" s="139">
        <v>145</v>
      </c>
      <c r="E136" s="138">
        <v>145</v>
      </c>
      <c r="F136" s="18">
        <v>2</v>
      </c>
      <c r="G136" s="17"/>
      <c r="H136" s="152">
        <v>139</v>
      </c>
      <c r="I136" s="152">
        <v>139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20"/>
      <c r="Y136" s="20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124</v>
      </c>
      <c r="C137" s="7">
        <v>46274</v>
      </c>
      <c r="D137" s="139">
        <v>145</v>
      </c>
      <c r="E137" s="138">
        <v>145</v>
      </c>
      <c r="F137" s="18">
        <v>2</v>
      </c>
      <c r="G137" s="17"/>
      <c r="H137" s="152">
        <v>139</v>
      </c>
      <c r="I137" s="8"/>
      <c r="J137" s="18">
        <v>2</v>
      </c>
      <c r="K137" s="17"/>
      <c r="L137" s="8"/>
      <c r="M137" s="8"/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20"/>
      <c r="Y137" s="20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125</v>
      </c>
      <c r="C138" s="7">
        <v>46275</v>
      </c>
      <c r="D138" s="139">
        <v>145</v>
      </c>
      <c r="E138" s="138">
        <v>145</v>
      </c>
      <c r="F138" s="18">
        <v>2</v>
      </c>
      <c r="G138" s="17"/>
      <c r="H138" s="12"/>
      <c r="I138" s="8"/>
      <c r="J138" s="18"/>
      <c r="K138" s="17"/>
      <c r="L138" s="8"/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126</v>
      </c>
      <c r="C139" s="7">
        <v>46276</v>
      </c>
      <c r="D139" s="139">
        <v>144</v>
      </c>
      <c r="E139" s="137">
        <v>89</v>
      </c>
      <c r="F139" s="18">
        <v>2</v>
      </c>
      <c r="G139" s="17"/>
      <c r="H139" s="9"/>
      <c r="I139" s="137">
        <v>89</v>
      </c>
      <c r="J139" s="18"/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4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127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159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128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159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18"/>
      <c r="G145" s="17" t="s">
        <v>159</v>
      </c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/>
      <c r="R145" s="114">
        <v>2</v>
      </c>
      <c r="S145" s="114"/>
      <c r="T145" s="8">
        <v>22</v>
      </c>
      <c r="U145" s="153">
        <v>42</v>
      </c>
      <c r="V145" s="18"/>
      <c r="W145" s="18" t="s">
        <v>32</v>
      </c>
      <c r="X145" s="20"/>
      <c r="Y145" s="20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18"/>
      <c r="G146" s="17"/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111"/>
      <c r="Q146" s="111"/>
      <c r="R146" s="114">
        <v>2</v>
      </c>
      <c r="S146" s="114"/>
      <c r="T146" s="153">
        <v>42</v>
      </c>
      <c r="U146" s="153">
        <v>42</v>
      </c>
      <c r="V146" s="111"/>
      <c r="W146" s="111"/>
      <c r="X146" s="20"/>
      <c r="Y146" s="20"/>
      <c r="Z146" s="134">
        <f t="shared" si="11"/>
        <v>6</v>
      </c>
      <c r="AA146" s="130">
        <f t="shared" si="12"/>
        <v>4</v>
      </c>
      <c r="AB146" s="57">
        <f t="shared" si="10"/>
        <v>0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18"/>
      <c r="G147" s="17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111"/>
      <c r="Q147" s="111"/>
      <c r="R147" s="114">
        <v>2</v>
      </c>
      <c r="S147" s="114"/>
      <c r="T147" s="153">
        <v>42</v>
      </c>
      <c r="U147" s="153">
        <v>42</v>
      </c>
      <c r="V147" s="111"/>
      <c r="W147" s="111"/>
      <c r="X147" s="20"/>
      <c r="Y147" s="20"/>
      <c r="Z147" s="134">
        <f t="shared" si="11"/>
        <v>6</v>
      </c>
      <c r="AA147" s="130">
        <f t="shared" si="12"/>
        <v>3</v>
      </c>
      <c r="AB147" s="57">
        <f t="shared" si="10"/>
        <v>0</v>
      </c>
      <c r="AC147" s="21">
        <f t="shared" si="13"/>
        <v>1</v>
      </c>
      <c r="AD147" s="16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18"/>
      <c r="G148" s="17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159</v>
      </c>
      <c r="P148" s="111"/>
      <c r="Q148" s="8"/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2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4</v>
      </c>
      <c r="AA149" s="130">
        <f t="shared" si="12"/>
        <v>2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123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225</v>
      </c>
      <c r="X150" s="20"/>
      <c r="Y150" s="20"/>
      <c r="Z150" s="134">
        <f t="shared" si="11"/>
        <v>3</v>
      </c>
      <c r="AA150" s="130">
        <f t="shared" si="12"/>
        <v>2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124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3</v>
      </c>
      <c r="AA151" s="130">
        <f t="shared" si="12"/>
        <v>2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125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126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1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5">
      <c r="A154" s="6"/>
      <c r="B154" s="6" t="s">
        <v>127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5">
      <c r="A155" s="6" t="s">
        <v>160</v>
      </c>
      <c r="B155" s="6" t="s">
        <v>128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123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124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125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126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127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123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124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125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126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127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128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123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3:H57 H58:M58 F9:G15 D9:E13 D15:E15 D116:N123 J2:N18 N99:N107 I11:I18 D16:H33 I19:N33 D36:H52 I36:N57 D34:N35 T99 O103:Y123 D99:M115 O99:S102 U99:Z102 T101:T102 D53:G58 Y124:Y171 W141:X171 W124:W140 X124:X138 D59:M91 D92:Y98 O2:Y91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131</v>
      </c>
      <c r="B1" s="53" t="s">
        <v>116</v>
      </c>
      <c r="C1" s="71" t="s">
        <v>472</v>
      </c>
      <c r="D1" s="54" t="s">
        <v>130</v>
      </c>
      <c r="E1" s="55" t="s">
        <v>473</v>
      </c>
      <c r="F1" s="54" t="s">
        <v>132</v>
      </c>
      <c r="G1" s="55" t="s">
        <v>474</v>
      </c>
      <c r="H1" s="54" t="s">
        <v>133</v>
      </c>
      <c r="I1" s="55" t="s">
        <v>475</v>
      </c>
      <c r="J1" s="54" t="s">
        <v>134</v>
      </c>
      <c r="K1" s="55" t="s">
        <v>476</v>
      </c>
      <c r="L1" s="54" t="s">
        <v>135</v>
      </c>
      <c r="M1" s="55" t="s">
        <v>477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-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-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-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-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NL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-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-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udc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-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-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Y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udc</v>
      </c>
      <c r="I83" s="47" t="str">
        <f>IFERROR(IF(AND(booking!AB83&gt;0,booking!L83&lt;&gt;booking!M83),VLOOKUP(booking!M83,Database!$A$1:'Database'!$L$189,6,FALSE),"-"),"-")</f>
        <v>DK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-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-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-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-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-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-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DK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-</v>
      </c>
      <c r="G134" s="47" t="str">
        <f>IFERROR(IF(AND(booking!AB134&gt;0,booking!H134&lt;&gt;booking!I134),VLOOKUP(booking!I134,Database!$A$1:'Database'!$L$189,6,FALSE),"-"),"-")</f>
        <v>-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-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udc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udc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-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-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513</v>
      </c>
      <c r="D1" s="202" t="s">
        <v>136</v>
      </c>
      <c r="E1" s="200" t="s">
        <v>130</v>
      </c>
      <c r="F1" s="200" t="s">
        <v>397</v>
      </c>
      <c r="G1" s="203" t="s">
        <v>398</v>
      </c>
      <c r="H1" s="203" t="s">
        <v>399</v>
      </c>
      <c r="I1" s="200" t="s">
        <v>400</v>
      </c>
      <c r="J1" s="200" t="str">
        <f>rengoering!F1</f>
        <v>V2</v>
      </c>
      <c r="K1" s="203" t="s">
        <v>401</v>
      </c>
      <c r="L1" s="203" t="s">
        <v>402</v>
      </c>
      <c r="M1" s="203" t="s">
        <v>403</v>
      </c>
      <c r="N1" s="200" t="s">
        <v>404</v>
      </c>
      <c r="O1" s="200" t="str">
        <f>rengoering!H1</f>
        <v>V3</v>
      </c>
      <c r="P1" s="203" t="s">
        <v>405</v>
      </c>
      <c r="Q1" s="203" t="s">
        <v>406</v>
      </c>
      <c r="R1" s="203" t="s">
        <v>407</v>
      </c>
      <c r="S1" s="200" t="s">
        <v>408</v>
      </c>
      <c r="T1" s="204" t="str">
        <f>rengoering!J1</f>
        <v>V4</v>
      </c>
      <c r="U1" s="203" t="s">
        <v>409</v>
      </c>
      <c r="V1" s="203" t="s">
        <v>410</v>
      </c>
      <c r="W1" s="203" t="s">
        <v>411</v>
      </c>
      <c r="X1" s="200" t="s">
        <v>412</v>
      </c>
      <c r="Y1" s="200" t="str">
        <f>rengoering!L1</f>
        <v>V5</v>
      </c>
      <c r="Z1" s="203" t="s">
        <v>413</v>
      </c>
      <c r="AA1" s="203" t="s">
        <v>414</v>
      </c>
      <c r="AB1" s="203" t="s">
        <v>415</v>
      </c>
      <c r="AC1" s="200" t="s">
        <v>416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428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428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 t="str">
        <f>IF(AND(D51="Y",booking!H51&lt;&gt;booking!I51,booking!I51&gt;0),booking!I51,"-")</f>
        <v>-</v>
      </c>
      <c r="K51" s="76" t="str">
        <f>IFERROR(VLOOKUP(J51,Database!$A$2:$L$189,8,FALSE),"-")</f>
        <v>-</v>
      </c>
      <c r="L51" s="76" t="str">
        <f>IFERROR(VLOOKUP(J51,Database!$A$2:$L$189,6,FALSE),"-")</f>
        <v>-</v>
      </c>
      <c r="M51" s="91" t="str">
        <f>IFERROR(VLOOKUP(J51,Database!$A$2:$L$189,9,FALSE),"-")</f>
        <v>-</v>
      </c>
      <c r="N51" s="205" t="str">
        <f>IFERROR(VLOOKUP(J51,Database!$A$2:$S$189,19,FALSE),"-")</f>
        <v>-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 t="str">
        <f>IF(AND(D58="Y",booking!H58&lt;&gt;booking!I58,booking!I58&gt;0),booking!I58,"-")</f>
        <v>-</v>
      </c>
      <c r="K58" s="76" t="str">
        <f>IFERROR(VLOOKUP(J58,Database!$A$2:$L$189,8,FALSE),"-")</f>
        <v>-</v>
      </c>
      <c r="L58" s="76" t="str">
        <f>IFERROR(VLOOKUP(J58,Database!$A$2:$L$189,6,FALSE),"-")</f>
        <v>-</v>
      </c>
      <c r="M58" s="91" t="str">
        <f>IFERROR(VLOOKUP(J58,Database!$A$2:$L$189,9,FALSE),"-")</f>
        <v>-</v>
      </c>
      <c r="N58" s="205" t="str">
        <f>IFERROR(VLOOKUP(J58,Database!$A$2:$S$189,19,FALSE),"-")</f>
        <v>-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>
        <f>IF(AND(D58="Y",booking!T58&lt;&gt;booking!U58,booking!U58&gt;0),booking!U58,"-")</f>
        <v>141</v>
      </c>
      <c r="Z58" s="77">
        <f>IFERROR(VLOOKUP(Y58,Database!$A$2:$L$189,8,FALSE),"-")</f>
        <v>0</v>
      </c>
      <c r="AA58" s="77" t="str">
        <f>IFERROR(VLOOKUP(Y58,Database!$A$2:$L$189,6,FALSE),"-")</f>
        <v>NL</v>
      </c>
      <c r="AB58" s="90">
        <f>IFERROR(VLOOKUP(Y58,Database!$A$2:$L$189,9,FALSE),"-")</f>
        <v>0</v>
      </c>
      <c r="AC58" s="8" t="str">
        <f>IFERROR(VLOOKUP(Y58,Database!$A$2:$S$189,19,FALSE),"-")</f>
        <v>N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-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 t="str">
        <f>IF(AND(D59="Y",booking!T59&lt;&gt;booking!U59,booking!U59&gt;0),booking!U59,"-")</f>
        <v>-</v>
      </c>
      <c r="Z59" s="77" t="str">
        <f>IFERROR(VLOOKUP(Y59,Database!$A$2:$L$189,8,FALSE),"-")</f>
        <v>-</v>
      </c>
      <c r="AA59" s="77" t="str">
        <f>IFERROR(VLOOKUP(Y59,Database!$A$2:$L$189,6,FALSE),"-")</f>
        <v>-</v>
      </c>
      <c r="AB59" s="90" t="str">
        <f>IFERROR(VLOOKUP(Y59,Database!$A$2:$L$189,9,FALSE),"-")</f>
        <v>-</v>
      </c>
      <c r="AC59" s="8" t="str">
        <f>IFERROR(VLOOKUP(Y59,Database!$A$2:$S$189,19,FALSE),"-")</f>
        <v>-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131</v>
      </c>
      <c r="P82" s="76">
        <f>IFERROR(VLOOKUP(O82,Database!$A$2:$L$189,8,FALSE),"-")</f>
        <v>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Y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>
        <f>IF(AND(D83="Y",booking!L83&lt;&gt;booking!M83,booking!M83&gt;0),booking!M83,"-")</f>
        <v>113</v>
      </c>
      <c r="P83" s="76">
        <f>IFERROR(VLOOKUP(O83,Database!$A$2:$L$189,8,FALSE),"-")</f>
        <v>0</v>
      </c>
      <c r="Q83" s="76" t="str">
        <f>IFERROR(VLOOKUP(O83,Database!$A$2:$L$189,6,FALSE),"-")</f>
        <v>DK</v>
      </c>
      <c r="R83" s="80">
        <f>IFERROR(VLOOKUP(O83,Database!$A$2:$L$189,9,FALSE),"-")</f>
        <v>0</v>
      </c>
      <c r="S83" s="205" t="str">
        <f>IFERROR(VLOOKUP(O83,Database!$A$2:$S$189,19,FALSE),"-")</f>
        <v>N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-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 t="str">
        <f>IF(AND(D90="Y",booking!L90&lt;&gt;booking!M90,booking!M90&gt;0),booking!M90,"-")</f>
        <v>-</v>
      </c>
      <c r="P90" s="76" t="str">
        <f>IFERROR(VLOOKUP(O90,Database!$A$2:$L$189,8,FALSE),"-")</f>
        <v>-</v>
      </c>
      <c r="Q90" s="76" t="str">
        <f>IFERROR(VLOOKUP(O90,Database!$A$2:$L$189,6,FALSE),"-")</f>
        <v>-</v>
      </c>
      <c r="R90" s="80" t="str">
        <f>IFERROR(VLOOKUP(O90,Database!$A$2:$L$189,9,FALSE),"-")</f>
        <v>-</v>
      </c>
      <c r="S90" s="205" t="str">
        <f>IFERROR(VLOOKUP(O90,Database!$A$2:$S$189,19,FALSE),"-")</f>
        <v>-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5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5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5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5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5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5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5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5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5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5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 t="str">
        <f>IFERROR(VLOOKUP(J127,Database!$A$2:$L$189,8,FALSE),"-")</f>
        <v>-</v>
      </c>
      <c r="L127" s="76" t="str">
        <f>IFERROR(VLOOKUP(J127,Database!$A$2:$L$189,6,FALSE),"-")</f>
        <v>-</v>
      </c>
      <c r="M127" s="91" t="str">
        <f>IFERROR(VLOOKUP(J127,Database!$A$2:$L$189,9,FALSE),"-")</f>
        <v>-</v>
      </c>
      <c r="N127" s="205" t="str">
        <f>IFERROR(VLOOKUP(J127,Database!$A$2:$S$189,19,FALSE),"-")</f>
        <v>-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 t="str">
        <f>IF(AND(D132="Y",booking!H132&lt;&gt;booking!I132,booking!I132&gt;0),booking!I132,"-")</f>
        <v>-</v>
      </c>
      <c r="K132" s="76" t="str">
        <f>IFERROR(VLOOKUP(J132,Database!$A$2:$L$189,8,FALSE),"-")</f>
        <v>-</v>
      </c>
      <c r="L132" s="76" t="str">
        <f>IFERROR(VLOOKUP(J132,Database!$A$2:$L$189,6,FALSE),"-")</f>
        <v>-</v>
      </c>
      <c r="M132" s="91" t="str">
        <f>IFERROR(VLOOKUP(J132,Database!$A$2:$L$189,9,FALSE),"-")</f>
        <v>-</v>
      </c>
      <c r="N132" s="205" t="str">
        <f>IFERROR(VLOOKUP(J132,Database!$A$2:$S$189,19,FALSE),"-")</f>
        <v>-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 t="str">
        <f>IF(AND(D133="Y",booking!D133&lt;&gt;booking!E133,booking!E133&gt;0),booking!E133,"-")</f>
        <v>-</v>
      </c>
      <c r="F133" s="8" t="str">
        <f>IFERROR(VLOOKUP(E133,Database!$A$2:$L$189,8,FALSE),"-")</f>
        <v>-</v>
      </c>
      <c r="G133" s="76" t="str">
        <f>IFERROR(VLOOKUP(E133,Database!$A$2:$L$189,6,FALSE),"-")</f>
        <v>-</v>
      </c>
      <c r="H133" s="91" t="str">
        <f>IFERROR(VLOOKUP(E133,Database!$A$2:$L$189,9,FALSE),"-")</f>
        <v>-</v>
      </c>
      <c r="I133" s="109" t="str">
        <f>IFERROR(VLOOKUP(E133,Database!$A$2:$S$189,19,FALSE),"-")</f>
        <v>-</v>
      </c>
      <c r="J133" s="94">
        <f>IF(AND(D133="Y",booking!H133&lt;&gt;booking!I133,booking!I133&gt;0),booking!I133,"-")</f>
        <v>139</v>
      </c>
      <c r="K133" s="76">
        <f>IFERROR(VLOOKUP(J133,Database!$A$2:$L$189,8,FALSE),"-")</f>
        <v>0</v>
      </c>
      <c r="L133" s="76" t="str">
        <f>IFERROR(VLOOKUP(J133,Database!$A$2:$L$189,6,FALSE),"-")</f>
        <v>DK</v>
      </c>
      <c r="M133" s="91">
        <f>IFERROR(VLOOKUP(J133,Database!$A$2:$L$189,9,FALSE),"-")</f>
        <v>0</v>
      </c>
      <c r="N133" s="205" t="str">
        <f>IFERROR(VLOOKUP(J133,Database!$A$2:$S$189,19,FALSE),"-")</f>
        <v>Y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>
        <f>IF(AND(D134="Y",booking!D134&lt;&gt;booking!E134,booking!E134&gt;0),booking!E134,"-")</f>
        <v>145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 t="str">
        <f>IF(AND(D134="Y",booking!H134&lt;&gt;booking!I134,booking!I134&gt;0),booking!I134,"-")</f>
        <v>-</v>
      </c>
      <c r="K134" s="76" t="str">
        <f>IFERROR(VLOOKUP(J134,Database!$A$2:$L$189,8,FALSE),"-")</f>
        <v>-</v>
      </c>
      <c r="L134" s="76" t="str">
        <f>IFERROR(VLOOKUP(J134,Database!$A$2:$L$189,6,FALSE),"-")</f>
        <v>-</v>
      </c>
      <c r="M134" s="91" t="str">
        <f>IFERROR(VLOOKUP(J134,Database!$A$2:$L$189,9,FALSE),"-")</f>
        <v>-</v>
      </c>
      <c r="N134" s="205" t="str">
        <f>IFERROR(VLOOKUP(J134,Database!$A$2:$S$189,19,FALSE),"-")</f>
        <v>-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5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5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-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5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 t="str">
        <f>IFERROR(VLOOKUP(O148,Database!$A$2:$L$189,8,FALSE),"-")</f>
        <v>-</v>
      </c>
      <c r="Q148" s="76" t="str">
        <f>IFERROR(VLOOKUP(O148,Database!$A$2:$L$189,6,FALSE),"-")</f>
        <v>-</v>
      </c>
      <c r="R148" s="80" t="str">
        <f>IFERROR(VLOOKUP(O148,Database!$A$2:$L$189,9,FALSE),"-")</f>
        <v>-</v>
      </c>
      <c r="S148" s="205" t="str">
        <f>IFERROR(VLOOKUP(O148,Database!$A$2:$S$189,19,FALSE),"-")</f>
        <v>-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116</v>
      </c>
      <c r="B1" t="s">
        <v>131</v>
      </c>
      <c r="C1" t="s">
        <v>417</v>
      </c>
      <c r="D1" t="s">
        <v>418</v>
      </c>
      <c r="E1" t="s">
        <v>419</v>
      </c>
      <c r="F1" t="s">
        <v>420</v>
      </c>
      <c r="G1" t="s">
        <v>421</v>
      </c>
      <c r="H1" t="s">
        <v>422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 t="str">
        <f>ankomster!J51</f>
        <v>-</v>
      </c>
      <c r="G51" t="str">
        <f>IFERROR(VLOOKUP(F51,Database!$A$2:$L$189,2,FALSE),"-")</f>
        <v>-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 t="str">
        <f>ankomster!J58</f>
        <v>-</v>
      </c>
      <c r="G58" t="str">
        <f>IFERROR(VLOOKUP(F58,Database!$A$2:$L$189,2,FALSE),"-")</f>
        <v>-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>
        <f>ankomster!Y58</f>
        <v>141</v>
      </c>
      <c r="M58" t="str">
        <f>IFERROR(VLOOKUP(L58,Database!$A$2:$L$189,2,FALSE),"-")</f>
        <v>Ria Bakelaar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 t="str">
        <f>ankomster!Y59</f>
        <v>-</v>
      </c>
      <c r="M59" t="str">
        <f>IFERROR(VLOOKUP(L59,Database!$A$2:$L$189,2,FALSE),"-")</f>
        <v>-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131</v>
      </c>
      <c r="I82" t="str">
        <f>IFERROR(VLOOKUP(H82,Database!$A$2:$L$189,2,FALSE),"-")</f>
        <v>Nadia Maria Luczynska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>
        <f>ankomster!O83</f>
        <v>113</v>
      </c>
      <c r="I83" t="str">
        <f>IFERROR(VLOOKUP(H83,Database!$A$2:$L$189,2,FALSE),"-")</f>
        <v>Maria Friis Jensen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 t="str">
        <f>ankomster!O90</f>
        <v>-</v>
      </c>
      <c r="I90" t="str">
        <f>IFERROR(VLOOKUP(H90,Database!$A$2:$L$189,2,FALSE),"-")</f>
        <v>-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-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 t="str">
        <f>ankomster!J132</f>
        <v>-</v>
      </c>
      <c r="G132" t="str">
        <f>IFERROR(VLOOKUP(F132,Database!$A$2:$L$189,2,FALSE),"-")</f>
        <v>-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 t="str">
        <f>ankomster!E133</f>
        <v>-</v>
      </c>
      <c r="E133" t="str">
        <f>IFERROR(VLOOKUP(D133,Database!$A$2:$L$189,2,FALSE),"-")</f>
        <v>-</v>
      </c>
      <c r="F133">
        <f>ankomster!J133</f>
        <v>139</v>
      </c>
      <c r="G133" t="str">
        <f>IFERROR(VLOOKUP(F133,Database!$A$2:$L$189,2,FALSE),"-")</f>
        <v>Anette Arleth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>
        <f>ankomster!E134</f>
        <v>145</v>
      </c>
      <c r="E134" t="str">
        <f>IFERROR(VLOOKUP(D134,Database!$A$2:$L$189,2,FALSE),"-")</f>
        <v>-</v>
      </c>
      <c r="F134" t="str">
        <f>ankomster!J134</f>
        <v>-</v>
      </c>
      <c r="G134" t="str">
        <f>IFERROR(VLOOKUP(F134,Database!$A$2:$L$189,2,FALSE),"-")</f>
        <v>-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-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 t="str">
        <f>Database!Q133</f>
        <v>Y</v>
      </c>
      <c r="C120" s="2">
        <f t="shared" si="3"/>
        <v>2</v>
      </c>
      <c r="D120" s="2">
        <f>IF(B120="Y",Database!K133,"-")</f>
        <v>1</v>
      </c>
      <c r="E120" s="2">
        <f>IF(AND(D120&gt;1,B120="Y"),Database!L133/D120,Database!L133)</f>
        <v>2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 t="str">
        <f>Database!Q146</f>
        <v>N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2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0</v>
      </c>
      <c r="B145" s="2">
        <f>Database!Q159</f>
        <v>0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0</v>
      </c>
    </row>
    <row r="146" spans="1:5" x14ac:dyDescent="0.35">
      <c r="A146">
        <f>Database!A160</f>
        <v>0</v>
      </c>
      <c r="B146" s="2">
        <f>Database!Q160</f>
        <v>0</v>
      </c>
      <c r="C146" s="2" t="str">
        <f t="shared" si="4"/>
        <v>-</v>
      </c>
      <c r="D146" s="2" t="str">
        <f>IF(B146="Y",Database!K160,"-")</f>
        <v>-</v>
      </c>
      <c r="E146" s="2">
        <f>IF(AND(D146&gt;1,B146="Y"),Database!L160/D146,Database!L160)</f>
        <v>0</v>
      </c>
    </row>
    <row r="147" spans="1:5" x14ac:dyDescent="0.35">
      <c r="A147">
        <f>Database!A161</f>
        <v>0</v>
      </c>
      <c r="B147" s="2">
        <f>Database!Q161</f>
        <v>0</v>
      </c>
      <c r="C147" s="2" t="str">
        <f t="shared" si="4"/>
        <v>-</v>
      </c>
      <c r="D147" s="2" t="str">
        <f>IF(B147="Y",Database!K161,"-")</f>
        <v>-</v>
      </c>
      <c r="E147" s="2">
        <f>IF(AND(D147&gt;1,B147="Y"),Database!L161/D147,Database!L161)</f>
        <v>0</v>
      </c>
    </row>
    <row r="148" spans="1:5" x14ac:dyDescent="0.35">
      <c r="A148">
        <f>Database!A162</f>
        <v>0</v>
      </c>
      <c r="B148" s="2">
        <f>Database!Q162</f>
        <v>0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0</v>
      </c>
    </row>
    <row r="149" spans="1:5" x14ac:dyDescent="0.35">
      <c r="A149">
        <f>Database!A163</f>
        <v>0</v>
      </c>
      <c r="B149" s="2">
        <f>Database!Q163</f>
        <v>0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0</v>
      </c>
    </row>
    <row r="150" spans="1:5" x14ac:dyDescent="0.35">
      <c r="A150">
        <f>Database!A164</f>
        <v>0</v>
      </c>
      <c r="B150" s="2">
        <f>Database!Q164</f>
        <v>0</v>
      </c>
      <c r="C150" s="2" t="str">
        <f t="shared" si="4"/>
        <v>-</v>
      </c>
      <c r="D150" s="2" t="str">
        <f>IF(B150="Y",Database!K164,"-")</f>
        <v>-</v>
      </c>
      <c r="E150" s="2">
        <f>IF(AND(D150&gt;1,B150="Y"),Database!L164/D150,Database!L164)</f>
        <v>0</v>
      </c>
    </row>
    <row r="151" spans="1:5" x14ac:dyDescent="0.35">
      <c r="A151">
        <f>Database!A165</f>
        <v>0</v>
      </c>
      <c r="B151" s="2">
        <f>Database!Q165</f>
        <v>0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0</v>
      </c>
    </row>
    <row r="152" spans="1:5" x14ac:dyDescent="0.35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5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345</v>
      </c>
      <c r="D1" s="5" t="s">
        <v>41</v>
      </c>
      <c r="E1" t="s">
        <v>346</v>
      </c>
      <c r="F1" t="s">
        <v>347</v>
      </c>
      <c r="G1" t="s">
        <v>348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351</v>
      </c>
      <c r="M2" t="s">
        <v>350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349</v>
      </c>
      <c r="L3">
        <f>SUM(I2:I200)</f>
        <v>297</v>
      </c>
      <c r="M3">
        <f>SUM(J2:J200)</f>
        <v>288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bc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bc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0</v>
      </c>
      <c r="B145">
        <f>Database!G159</f>
        <v>0</v>
      </c>
      <c r="C145" s="5">
        <f>Database!C159</f>
        <v>0</v>
      </c>
      <c r="D145" s="5">
        <f>Database!D159</f>
        <v>0</v>
      </c>
      <c r="E145">
        <f t="shared" si="8"/>
        <v>0</v>
      </c>
      <c r="F145">
        <f>Database!K159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Database!A160</f>
        <v>0</v>
      </c>
      <c r="B146">
        <f>Database!G160</f>
        <v>0</v>
      </c>
      <c r="C146" s="5">
        <f>Database!C160</f>
        <v>0</v>
      </c>
      <c r="D146" s="5">
        <f>Database!D160</f>
        <v>0</v>
      </c>
      <c r="E146">
        <f t="shared" si="8"/>
        <v>0</v>
      </c>
      <c r="F146">
        <f>Database!K160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Database!A161</f>
        <v>0</v>
      </c>
      <c r="B147">
        <f>Database!G161</f>
        <v>0</v>
      </c>
      <c r="C147" s="5">
        <f>Database!C161</f>
        <v>0</v>
      </c>
      <c r="D147" s="5">
        <f>Database!D161</f>
        <v>0</v>
      </c>
      <c r="E147">
        <f t="shared" si="8"/>
        <v>0</v>
      </c>
      <c r="F147">
        <f>Database!K161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Database!A162</f>
        <v>0</v>
      </c>
      <c r="B148">
        <f>Database!G162</f>
        <v>0</v>
      </c>
      <c r="C148" s="5">
        <f>Database!C162</f>
        <v>0</v>
      </c>
      <c r="D148" s="5">
        <f>Database!D162</f>
        <v>0</v>
      </c>
      <c r="E148">
        <f t="shared" si="8"/>
        <v>0</v>
      </c>
      <c r="F148">
        <f>Database!K162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Database!A163</f>
        <v>0</v>
      </c>
      <c r="B149">
        <f>Database!G163</f>
        <v>0</v>
      </c>
      <c r="C149" s="5">
        <f>Database!C163</f>
        <v>0</v>
      </c>
      <c r="D149" s="5">
        <f>Database!D163</f>
        <v>0</v>
      </c>
      <c r="E149">
        <f t="shared" si="8"/>
        <v>0</v>
      </c>
      <c r="F149">
        <f>Database!K163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Database!A164</f>
        <v>0</v>
      </c>
      <c r="B150">
        <f>Database!G164</f>
        <v>0</v>
      </c>
      <c r="C150" s="5">
        <f>Database!C164</f>
        <v>0</v>
      </c>
      <c r="D150" s="5">
        <f>Database!D164</f>
        <v>0</v>
      </c>
      <c r="E150">
        <f t="shared" si="8"/>
        <v>0</v>
      </c>
      <c r="F150">
        <f>Database!K164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Database!A165</f>
        <v>0</v>
      </c>
      <c r="B151">
        <f>Database!G165</f>
        <v>0</v>
      </c>
      <c r="C151" s="5">
        <f>Database!C165</f>
        <v>0</v>
      </c>
      <c r="D151" s="5">
        <f>Database!D165</f>
        <v>0</v>
      </c>
      <c r="E151">
        <f t="shared" si="8"/>
        <v>0</v>
      </c>
      <c r="F151">
        <f>Database!K165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471</v>
      </c>
      <c r="C1" s="97" t="s">
        <v>141</v>
      </c>
      <c r="D1" s="98" t="s">
        <v>142</v>
      </c>
      <c r="E1" s="99" t="s">
        <v>143</v>
      </c>
      <c r="F1" s="96" t="s">
        <v>144</v>
      </c>
      <c r="G1" s="99" t="s">
        <v>145</v>
      </c>
      <c r="H1" s="96" t="s">
        <v>146</v>
      </c>
      <c r="I1" s="99" t="s">
        <v>147</v>
      </c>
      <c r="J1" s="96" t="s">
        <v>148</v>
      </c>
      <c r="K1" s="99" t="s">
        <v>149</v>
      </c>
      <c r="L1" s="96" t="s">
        <v>150</v>
      </c>
      <c r="M1" s="99" t="s">
        <v>151</v>
      </c>
      <c r="N1" s="96" t="s">
        <v>152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222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223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224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432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va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va</v>
      </c>
      <c r="F52" s="128" t="str">
        <f>IF(booking!I52&gt;0,"oc","va")</f>
        <v>va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va</v>
      </c>
      <c r="F53" s="128" t="str">
        <f>IF(booking!I53&gt;0,"oc","va")</f>
        <v>va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va</v>
      </c>
      <c r="F54" s="128" t="str">
        <f>IF(booking!I54&gt;0,"oc","va")</f>
        <v>va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va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va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oc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va</v>
      </c>
      <c r="F59" s="128" t="str">
        <f>IF(booking!I59&gt;0,"oc","va")</f>
        <v>va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oc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va</v>
      </c>
      <c r="F60" s="128" t="str">
        <f>IF(booking!I60&gt;0,"oc","va")</f>
        <v>va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va</v>
      </c>
      <c r="F61" s="128" t="str">
        <f>IF(booking!I61&gt;0,"oc","va")</f>
        <v>va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va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va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va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155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va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va</v>
      </c>
      <c r="H91" s="128" t="str">
        <f>IF(booking!M91&gt;0,"oc","va")</f>
        <v>va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va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oc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oc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va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va</v>
      </c>
      <c r="E133" s="127" t="str">
        <f>IF(booking!H133&gt;0,"oc","va")</f>
        <v>va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va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oc</v>
      </c>
      <c r="E137" s="127" t="str">
        <f>IF(booking!H137&gt;0,"oc","va")</f>
        <v>oc</v>
      </c>
      <c r="F137" s="128" t="str">
        <f>IF(booking!I137&gt;0,"oc","va")</f>
        <v>va</v>
      </c>
      <c r="G137" s="127" t="str">
        <f>IF(booking!L137&gt;0,"oc","va")</f>
        <v>va</v>
      </c>
      <c r="H137" s="128" t="str">
        <f>IF(booking!M137&gt;0,"oc","va")</f>
        <v>va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oc</v>
      </c>
      <c r="D138" s="128" t="str">
        <f>IF(booking!E138&gt;0,"oc","va")</f>
        <v>oc</v>
      </c>
      <c r="E138" s="127" t="str">
        <f>IF(booking!H138&gt;0,"oc","va")</f>
        <v>va</v>
      </c>
      <c r="F138" s="128" t="str">
        <f>IF(booking!I138&gt;0,"oc","va")</f>
        <v>va</v>
      </c>
      <c r="G138" s="127" t="str">
        <f>IF(booking!L138&gt;0,"oc","va")</f>
        <v>va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oc</v>
      </c>
      <c r="D139" s="128" t="str">
        <f>IF(booking!E139&gt;0,"oc","va")</f>
        <v>oc</v>
      </c>
      <c r="E139" s="127" t="str">
        <f>IF(booking!H139&gt;0,"oc","va")</f>
        <v>va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va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va</v>
      </c>
      <c r="J147" s="128" t="str">
        <f>IF(booking!Q147&gt;0,"oc","va")</f>
        <v>va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va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2026-06-06T05:39:11Z</cp:lastPrinted>
  <dcterms:created xsi:type="dcterms:W3CDTF">2024-07-25T07:35:10Z</dcterms:created>
  <dcterms:modified xsi:type="dcterms:W3CDTF">2026-06-06T05:41:15Z</dcterms:modified>
  <cp:category/>
  <cp:contentStatus/>
</cp:coreProperties>
</file>
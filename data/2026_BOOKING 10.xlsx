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186" documentId="8_{CBF31231-0F4D-4AAA-8243-F4B7D6A71111}" xr6:coauthVersionLast="47" xr6:coauthVersionMax="47" xr10:uidLastSave="{9354908D-3964-4046-B770-9669894A01A0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Database!$A$1:$U$152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C173" i="11"/>
  <c r="D173" i="11"/>
  <c r="E173" i="11"/>
  <c r="C174" i="11"/>
  <c r="D174" i="11"/>
  <c r="E174" i="11"/>
  <c r="E2" i="11"/>
  <c r="D2" i="11"/>
  <c r="C2" i="11"/>
  <c r="I2" i="7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I143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C140" i="8" s="1"/>
  <c r="A140" i="8"/>
  <c r="B139" i="8"/>
  <c r="C139" i="8" s="1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F174" i="11" s="1"/>
  <c r="G174" i="11" s="1"/>
  <c r="B174" i="7"/>
  <c r="A174" i="7"/>
  <c r="B174" i="11" s="1"/>
  <c r="D173" i="7"/>
  <c r="Y173" i="7" s="1"/>
  <c r="L173" i="11" s="1"/>
  <c r="M173" i="11" s="1"/>
  <c r="B173" i="7"/>
  <c r="A173" i="7"/>
  <c r="B173" i="11" s="1"/>
  <c r="D172" i="7"/>
  <c r="Y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M14" i="3" l="1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AB172" i="7"/>
  <c r="L172" i="11"/>
  <c r="M172" i="11" s="1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F172" i="7" s="1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E174" i="7"/>
  <c r="F174" i="7" s="1"/>
  <c r="Y174" i="7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R28" i="7" l="1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L52" i="7" l="1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<sst xmlns="http://schemas.openxmlformats.org/spreadsheetml/2006/main" count="1502" uniqueCount="511">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</sst>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473</c:v>
                </c:pt>
                <c:pt idx="14">
                  <c:v>478</c:v>
                </c:pt>
                <c:pt idx="15">
                  <c:v>488</c:v>
                </c:pt>
                <c:pt idx="16">
                  <c:v>502</c:v>
                </c:pt>
                <c:pt idx="17">
                  <c:v>514</c:v>
                </c:pt>
                <c:pt idx="18">
                  <c:v>523</c:v>
                </c:pt>
                <c:pt idx="19">
                  <c:v>530</c:v>
                </c:pt>
                <c:pt idx="20">
                  <c:v>557</c:v>
                </c:pt>
                <c:pt idx="21">
                  <c:v>579</c:v>
                </c:pt>
                <c:pt idx="22">
                  <c:v>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760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473</c:v>
                </c:pt>
                <c:pt idx="14">
                  <c:v>478</c:v>
                </c:pt>
                <c:pt idx="15">
                  <c:v>488</c:v>
                </c:pt>
                <c:pt idx="16">
                  <c:v>502</c:v>
                </c:pt>
                <c:pt idx="17">
                  <c:v>514</c:v>
                </c:pt>
                <c:pt idx="18">
                  <c:v>523</c:v>
                </c:pt>
                <c:pt idx="19">
                  <c:v>530</c:v>
                </c:pt>
                <c:pt idx="20">
                  <c:v>557</c:v>
                </c:pt>
                <c:pt idx="21">
                  <c:v>579</c:v>
                </c:pt>
                <c:pt idx="22">
                  <c:v>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290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183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760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290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4" bestFit="1" customWidth="1"/>
    <col min="4" max="4" width="10.88671875" style="24" bestFit="1" customWidth="1"/>
    <col min="5" max="5" width="13.5546875" style="24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">
      <c r="C12" s="113"/>
      <c r="D12" s="113"/>
      <c r="E12" s="113"/>
    </row>
    <row r="84" spans="1:19" x14ac:dyDescent="0.3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2"/>
  <sheetViews>
    <sheetView workbookViewId="0">
      <pane ySplit="1" topLeftCell="A55" activePane="bottomLeft" state="frozen"/>
      <selection pane="bottomLeft" activeCell="C70" sqref="C70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4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203"/>
    <col min="13" max="13" width="25.21875" customWidth="1"/>
    <col min="14" max="14" width="15.77734375" style="151" customWidth="1"/>
    <col min="15" max="15" width="16.109375" style="2" customWidth="1"/>
    <col min="16" max="16" width="8.5546875" style="2"/>
    <col min="17" max="17" width="8.5546875" style="2" customWidth="1"/>
    <col min="18" max="18" width="12.77734375" style="125" bestFit="1" customWidth="1"/>
    <col min="19" max="19" width="8.77734375" style="2"/>
    <col min="20" max="20" width="15.5546875" customWidth="1"/>
    <col min="21" max="21" width="11.6640625" bestFit="1" customWidth="1"/>
  </cols>
  <sheetData>
    <row r="1" spans="1:20" ht="20.100000000000001" customHeight="1" x14ac:dyDescent="0.3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0" x14ac:dyDescent="0.3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216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0" x14ac:dyDescent="0.3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264</v>
      </c>
      <c r="H3" s="217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0" x14ac:dyDescent="0.3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264</v>
      </c>
      <c r="H4" s="216"/>
      <c r="I4" s="126"/>
      <c r="J4" s="200"/>
      <c r="K4" s="104"/>
      <c r="L4" s="104"/>
      <c r="M4" s="148" t="s">
        <v>167</v>
      </c>
      <c r="N4" s="176"/>
      <c r="O4" s="126"/>
      <c r="P4" s="126"/>
      <c r="Q4" s="126"/>
      <c r="R4" s="158"/>
      <c r="S4" s="152"/>
      <c r="T4" s="124"/>
    </row>
    <row r="5" spans="1:20" x14ac:dyDescent="0.3">
      <c r="A5" s="140">
        <v>4</v>
      </c>
      <c r="B5" s="106" t="s">
        <v>168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217"/>
      <c r="I5" s="127"/>
      <c r="J5" s="201">
        <v>0.1</v>
      </c>
      <c r="K5" s="106">
        <v>2</v>
      </c>
      <c r="L5" s="106">
        <v>4</v>
      </c>
      <c r="M5" s="149" t="s">
        <v>170</v>
      </c>
      <c r="N5" s="178">
        <v>4530267986</v>
      </c>
      <c r="O5" s="127" t="s">
        <v>171</v>
      </c>
      <c r="P5" s="127"/>
      <c r="Q5" s="127" t="s">
        <v>21</v>
      </c>
      <c r="R5" s="158">
        <v>9180</v>
      </c>
      <c r="S5" s="153" t="s">
        <v>21</v>
      </c>
      <c r="T5" t="s">
        <v>169</v>
      </c>
    </row>
    <row r="6" spans="1:20" x14ac:dyDescent="0.3">
      <c r="A6" s="140">
        <v>4</v>
      </c>
      <c r="B6" s="106"/>
      <c r="C6" s="109"/>
      <c r="D6" s="109"/>
      <c r="E6" s="109"/>
      <c r="F6" s="106"/>
      <c r="G6" s="106"/>
      <c r="H6" s="217"/>
      <c r="I6" s="127"/>
      <c r="J6" s="201"/>
      <c r="K6" s="106"/>
      <c r="L6" s="106"/>
      <c r="M6" s="149"/>
      <c r="N6" s="178"/>
      <c r="O6" s="127"/>
      <c r="P6" s="127"/>
      <c r="Q6" s="127"/>
      <c r="R6" s="158"/>
      <c r="S6" s="153"/>
    </row>
    <row r="7" spans="1:20" x14ac:dyDescent="0.3">
      <c r="A7" s="139">
        <v>5</v>
      </c>
      <c r="B7" s="104" t="s">
        <v>172</v>
      </c>
      <c r="C7" s="107">
        <v>46169</v>
      </c>
      <c r="D7" s="107">
        <v>46174</v>
      </c>
      <c r="E7" s="107">
        <v>45903</v>
      </c>
      <c r="F7" s="104" t="s">
        <v>53</v>
      </c>
      <c r="G7" s="104" t="s">
        <v>6</v>
      </c>
      <c r="H7" s="216">
        <v>1430</v>
      </c>
      <c r="I7" s="126" t="s">
        <v>156</v>
      </c>
      <c r="J7" s="200">
        <v>0.1</v>
      </c>
      <c r="K7" s="104">
        <v>1</v>
      </c>
      <c r="L7" s="104">
        <v>2</v>
      </c>
      <c r="M7" s="148" t="s">
        <v>173</v>
      </c>
      <c r="N7" s="176"/>
      <c r="O7" s="126"/>
      <c r="P7" s="126"/>
      <c r="Q7" s="126" t="s">
        <v>21</v>
      </c>
      <c r="R7" s="158">
        <v>5175</v>
      </c>
      <c r="S7" s="152" t="s">
        <v>20</v>
      </c>
    </row>
    <row r="8" spans="1:20" x14ac:dyDescent="0.3">
      <c r="A8" s="139">
        <v>6</v>
      </c>
      <c r="B8" s="119" t="s">
        <v>174</v>
      </c>
      <c r="C8" s="122">
        <v>46178</v>
      </c>
      <c r="D8" s="122">
        <v>46180</v>
      </c>
      <c r="E8" s="122">
        <v>45910</v>
      </c>
      <c r="F8" s="119" t="s">
        <v>53</v>
      </c>
      <c r="G8" s="2" t="s">
        <v>6</v>
      </c>
      <c r="J8" s="202">
        <v>0.1</v>
      </c>
      <c r="K8" s="121">
        <v>2</v>
      </c>
      <c r="L8" s="121">
        <v>4</v>
      </c>
      <c r="M8" s="123" t="s">
        <v>175</v>
      </c>
      <c r="Q8" s="2" t="s">
        <v>21</v>
      </c>
      <c r="R8" s="125">
        <v>4140</v>
      </c>
      <c r="S8" s="2" t="s">
        <v>38</v>
      </c>
      <c r="T8" t="s">
        <v>176</v>
      </c>
    </row>
    <row r="9" spans="1:20" x14ac:dyDescent="0.3">
      <c r="A9" s="139">
        <v>6</v>
      </c>
      <c r="B9" s="119"/>
      <c r="C9" s="122"/>
      <c r="D9" s="122"/>
      <c r="E9" s="122"/>
      <c r="F9" s="119"/>
      <c r="G9" s="2"/>
      <c r="J9" s="202"/>
      <c r="K9" s="121"/>
      <c r="L9" s="121"/>
      <c r="M9" s="123"/>
    </row>
    <row r="10" spans="1:20" x14ac:dyDescent="0.3">
      <c r="A10" s="139">
        <v>6</v>
      </c>
      <c r="B10" s="119"/>
      <c r="C10" s="122"/>
      <c r="D10" s="122"/>
      <c r="E10" s="122"/>
      <c r="F10" s="119"/>
      <c r="G10" s="2"/>
      <c r="J10" s="202"/>
      <c r="K10" s="121"/>
      <c r="L10" s="121"/>
      <c r="M10" s="123"/>
    </row>
    <row r="11" spans="1:20" x14ac:dyDescent="0.3">
      <c r="A11" s="140">
        <v>7</v>
      </c>
      <c r="B11" s="119" t="s">
        <v>177</v>
      </c>
      <c r="C11" s="122">
        <v>46207</v>
      </c>
      <c r="D11" s="122">
        <v>46214</v>
      </c>
      <c r="E11" s="122">
        <v>45927</v>
      </c>
      <c r="F11" s="119" t="s">
        <v>53</v>
      </c>
      <c r="G11" s="2" t="s">
        <v>6</v>
      </c>
      <c r="J11" s="202">
        <v>0.1</v>
      </c>
      <c r="K11" s="121">
        <v>1</v>
      </c>
      <c r="L11" s="121">
        <v>2</v>
      </c>
      <c r="M11" s="123" t="s">
        <v>178</v>
      </c>
      <c r="N11" s="178">
        <v>4522701312</v>
      </c>
      <c r="O11" s="2" t="s">
        <v>179</v>
      </c>
      <c r="Q11" s="2" t="s">
        <v>20</v>
      </c>
      <c r="R11" s="158">
        <v>6772.5</v>
      </c>
      <c r="S11" s="2" t="s">
        <v>21</v>
      </c>
    </row>
    <row r="12" spans="1:20" x14ac:dyDescent="0.3">
      <c r="A12" s="139">
        <v>8</v>
      </c>
      <c r="B12" s="119" t="s">
        <v>180</v>
      </c>
      <c r="C12" s="122">
        <v>46158</v>
      </c>
      <c r="D12" s="122">
        <v>46163</v>
      </c>
      <c r="E12" s="122">
        <v>45953</v>
      </c>
      <c r="F12" s="119" t="s">
        <v>31</v>
      </c>
      <c r="G12" s="2" t="s">
        <v>6</v>
      </c>
      <c r="J12" s="202">
        <v>0.1</v>
      </c>
      <c r="K12" s="121">
        <v>1</v>
      </c>
      <c r="L12" s="121">
        <v>2</v>
      </c>
      <c r="M12" s="123" t="s">
        <v>181</v>
      </c>
      <c r="N12" s="178">
        <v>4917643882286</v>
      </c>
      <c r="O12" s="2" t="s">
        <v>182</v>
      </c>
      <c r="Q12" s="2" t="s">
        <v>21</v>
      </c>
      <c r="R12" s="125">
        <v>4275</v>
      </c>
      <c r="S12" s="2" t="s">
        <v>21</v>
      </c>
      <c r="T12" s="119" t="s">
        <v>183</v>
      </c>
    </row>
    <row r="13" spans="1:20" x14ac:dyDescent="0.3">
      <c r="A13" s="139">
        <v>9</v>
      </c>
      <c r="B13" s="119" t="s">
        <v>184</v>
      </c>
      <c r="C13" s="122">
        <v>46159</v>
      </c>
      <c r="D13" s="122">
        <v>46166</v>
      </c>
      <c r="E13" s="122">
        <v>45954</v>
      </c>
      <c r="F13" s="119" t="s">
        <v>53</v>
      </c>
      <c r="G13" s="2" t="s">
        <v>6</v>
      </c>
      <c r="H13" s="1">
        <v>1430</v>
      </c>
      <c r="I13" s="2" t="s">
        <v>156</v>
      </c>
      <c r="J13" s="202">
        <v>0.1</v>
      </c>
      <c r="K13" s="121">
        <v>1</v>
      </c>
      <c r="L13" s="121">
        <v>2</v>
      </c>
      <c r="M13" s="123" t="s">
        <v>185</v>
      </c>
      <c r="N13" s="151">
        <v>4551172451</v>
      </c>
      <c r="O13" s="2" t="s">
        <v>186</v>
      </c>
      <c r="Q13" s="2" t="s">
        <v>21</v>
      </c>
      <c r="R13" s="158">
        <v>7245</v>
      </c>
      <c r="S13" s="2" t="s">
        <v>21</v>
      </c>
    </row>
    <row r="14" spans="1:20" x14ac:dyDescent="0.3">
      <c r="A14" s="140">
        <v>10</v>
      </c>
      <c r="B14" s="119" t="s">
        <v>187</v>
      </c>
      <c r="C14" s="122">
        <v>46225</v>
      </c>
      <c r="D14" s="122">
        <v>46228</v>
      </c>
      <c r="E14" s="122">
        <v>45932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20" t="s">
        <v>188</v>
      </c>
      <c r="N14" s="151">
        <v>4561557600</v>
      </c>
      <c r="Q14" s="2" t="s">
        <v>21</v>
      </c>
      <c r="R14" s="125">
        <v>3442</v>
      </c>
      <c r="S14" s="2" t="s">
        <v>21</v>
      </c>
      <c r="T14" t="s">
        <v>189</v>
      </c>
    </row>
    <row r="15" spans="1:20" x14ac:dyDescent="0.3">
      <c r="A15" s="139">
        <v>11</v>
      </c>
      <c r="B15" s="119" t="s">
        <v>190</v>
      </c>
      <c r="C15" s="24">
        <v>46237</v>
      </c>
      <c r="D15" s="24">
        <v>46242</v>
      </c>
      <c r="E15" s="24">
        <v>45932</v>
      </c>
      <c r="F15" s="119" t="s">
        <v>31</v>
      </c>
      <c r="G15" s="2" t="s">
        <v>6</v>
      </c>
      <c r="J15" s="202">
        <v>0.1</v>
      </c>
      <c r="K15" s="121">
        <v>1</v>
      </c>
      <c r="L15" s="121">
        <v>2</v>
      </c>
      <c r="M15" s="123" t="s">
        <v>192</v>
      </c>
      <c r="Q15" s="2" t="s">
        <v>21</v>
      </c>
      <c r="R15" s="125">
        <v>5737.5</v>
      </c>
      <c r="S15" s="2" t="s">
        <v>20</v>
      </c>
      <c r="T15" t="s">
        <v>191</v>
      </c>
    </row>
    <row r="16" spans="1:20" x14ac:dyDescent="0.3">
      <c r="A16" s="139">
        <v>12</v>
      </c>
      <c r="B16" s="119" t="s">
        <v>193</v>
      </c>
      <c r="C16" s="122">
        <v>46175</v>
      </c>
      <c r="D16" s="122">
        <v>46179</v>
      </c>
      <c r="E16" s="122">
        <v>45977</v>
      </c>
      <c r="F16" s="119" t="s">
        <v>53</v>
      </c>
      <c r="G16" s="2" t="s">
        <v>6</v>
      </c>
      <c r="I16" s="2" t="s">
        <v>159</v>
      </c>
      <c r="J16" s="202">
        <v>0.1</v>
      </c>
      <c r="K16" s="121">
        <v>1</v>
      </c>
      <c r="L16" s="121">
        <v>2</v>
      </c>
      <c r="M16" s="123" t="s">
        <v>194</v>
      </c>
      <c r="N16" s="179">
        <v>4540552384</v>
      </c>
      <c r="O16" s="2" t="s">
        <v>195</v>
      </c>
      <c r="Q16" s="2" t="s">
        <v>21</v>
      </c>
      <c r="R16" s="125">
        <v>4140</v>
      </c>
      <c r="S16" s="2" t="s">
        <v>21</v>
      </c>
      <c r="T16" t="s">
        <v>196</v>
      </c>
    </row>
    <row r="17" spans="1:21" x14ac:dyDescent="0.3">
      <c r="A17" s="140">
        <v>13</v>
      </c>
      <c r="B17" s="119" t="s">
        <v>197</v>
      </c>
      <c r="C17" s="24">
        <v>46211</v>
      </c>
      <c r="D17" s="24">
        <v>46218</v>
      </c>
      <c r="E17" s="24">
        <v>45998</v>
      </c>
      <c r="F17" s="119" t="s">
        <v>53</v>
      </c>
      <c r="G17" s="2" t="s">
        <v>6</v>
      </c>
      <c r="J17" s="202">
        <v>0.1</v>
      </c>
      <c r="K17" s="121">
        <v>1</v>
      </c>
      <c r="L17" s="121">
        <v>2</v>
      </c>
      <c r="M17" s="116" t="s">
        <v>198</v>
      </c>
      <c r="N17" s="179">
        <v>4525582842</v>
      </c>
      <c r="O17" s="2" t="s">
        <v>200</v>
      </c>
      <c r="Q17" s="2" t="s">
        <v>21</v>
      </c>
      <c r="R17" s="125">
        <v>8032.5</v>
      </c>
      <c r="S17" s="2" t="s">
        <v>38</v>
      </c>
      <c r="T17" t="s">
        <v>199</v>
      </c>
    </row>
    <row r="18" spans="1:21" x14ac:dyDescent="0.3">
      <c r="A18" s="139">
        <v>14</v>
      </c>
      <c r="B18" s="119" t="s">
        <v>201</v>
      </c>
      <c r="C18" s="24">
        <v>46206</v>
      </c>
      <c r="D18" s="24">
        <v>46213</v>
      </c>
      <c r="E18" s="24">
        <v>46001</v>
      </c>
      <c r="F18" s="119" t="s">
        <v>53</v>
      </c>
      <c r="G18" s="2" t="s">
        <v>6</v>
      </c>
      <c r="J18" s="202">
        <v>0.1</v>
      </c>
      <c r="K18" s="121">
        <v>1</v>
      </c>
      <c r="L18" s="121">
        <v>2</v>
      </c>
      <c r="M18" s="150" t="s">
        <v>204</v>
      </c>
      <c r="N18" s="179">
        <v>4591191885</v>
      </c>
      <c r="O18" s="2" t="s">
        <v>202</v>
      </c>
      <c r="Q18" s="2" t="s">
        <v>21</v>
      </c>
      <c r="R18" s="125">
        <v>9180</v>
      </c>
      <c r="S18" s="2" t="s">
        <v>38</v>
      </c>
      <c r="T18" s="119" t="s">
        <v>203</v>
      </c>
    </row>
    <row r="19" spans="1:21" x14ac:dyDescent="0.3">
      <c r="A19" s="139">
        <v>15</v>
      </c>
      <c r="B19" s="119" t="s">
        <v>205</v>
      </c>
      <c r="C19" s="24">
        <v>46181</v>
      </c>
      <c r="D19" s="24">
        <v>46188</v>
      </c>
      <c r="E19" s="24">
        <v>45866</v>
      </c>
      <c r="F19" s="119" t="s">
        <v>53</v>
      </c>
      <c r="G19" s="2" t="s">
        <v>56</v>
      </c>
      <c r="K19" s="121">
        <v>1</v>
      </c>
      <c r="L19" s="121">
        <v>2</v>
      </c>
      <c r="M19" s="116" t="s">
        <v>206</v>
      </c>
      <c r="N19" s="151">
        <v>4531534745</v>
      </c>
      <c r="O19" s="2" t="s">
        <v>207</v>
      </c>
      <c r="Q19" s="2" t="s">
        <v>21</v>
      </c>
      <c r="R19" s="125">
        <v>8925</v>
      </c>
      <c r="S19" s="2" t="s">
        <v>38</v>
      </c>
      <c r="T19" t="s">
        <v>208</v>
      </c>
      <c r="U19" s="184">
        <f>R19*0.5</f>
        <v>4462.5</v>
      </c>
    </row>
    <row r="20" spans="1:21" x14ac:dyDescent="0.3">
      <c r="A20" s="140">
        <v>16</v>
      </c>
      <c r="B20" s="119" t="s">
        <v>219</v>
      </c>
      <c r="C20" s="24">
        <v>46182</v>
      </c>
      <c r="D20" s="24">
        <v>46188</v>
      </c>
      <c r="E20" s="24">
        <v>45832</v>
      </c>
      <c r="F20" s="119" t="s">
        <v>53</v>
      </c>
      <c r="G20" s="2" t="s">
        <v>56</v>
      </c>
      <c r="H20" s="1" t="s">
        <v>437</v>
      </c>
      <c r="K20" s="121">
        <v>2</v>
      </c>
      <c r="L20" s="121">
        <v>4</v>
      </c>
      <c r="M20" s="116" t="s">
        <v>220</v>
      </c>
      <c r="N20" s="179">
        <v>4530604703</v>
      </c>
      <c r="Q20" s="2" t="s">
        <v>21</v>
      </c>
      <c r="R20" s="125">
        <v>17850</v>
      </c>
      <c r="S20" s="2" t="s">
        <v>38</v>
      </c>
      <c r="T20" t="s">
        <v>221</v>
      </c>
      <c r="U20" s="185">
        <f t="shared" ref="U20:U23" si="0">R20*0.5</f>
        <v>8925</v>
      </c>
    </row>
    <row r="21" spans="1:21" x14ac:dyDescent="0.3">
      <c r="A21" s="140">
        <v>16</v>
      </c>
      <c r="B21" s="119"/>
      <c r="F21" s="119"/>
      <c r="G21" s="2"/>
      <c r="K21" s="121"/>
      <c r="L21" s="121"/>
      <c r="M21" s="116"/>
      <c r="N21" s="179"/>
      <c r="U21" s="185"/>
    </row>
    <row r="22" spans="1:21" x14ac:dyDescent="0.3">
      <c r="A22" s="139">
        <v>17</v>
      </c>
      <c r="B22" s="119" t="s">
        <v>213</v>
      </c>
      <c r="C22" s="24">
        <v>46181</v>
      </c>
      <c r="D22" s="24">
        <v>46188</v>
      </c>
      <c r="E22" s="24">
        <v>45824</v>
      </c>
      <c r="F22" s="119" t="s">
        <v>53</v>
      </c>
      <c r="G22" s="2" t="s">
        <v>56</v>
      </c>
      <c r="K22" s="121">
        <v>1</v>
      </c>
      <c r="L22" s="121">
        <v>2</v>
      </c>
      <c r="M22" s="116" t="s">
        <v>216</v>
      </c>
      <c r="N22" s="179">
        <v>4524669843</v>
      </c>
      <c r="O22" s="2" t="s">
        <v>217</v>
      </c>
      <c r="Q22" s="2" t="s">
        <v>21</v>
      </c>
      <c r="R22" s="125">
        <v>8925</v>
      </c>
      <c r="S22" s="2" t="s">
        <v>38</v>
      </c>
      <c r="T22" t="s">
        <v>218</v>
      </c>
      <c r="U22" s="185">
        <f t="shared" si="0"/>
        <v>4462.5</v>
      </c>
    </row>
    <row r="23" spans="1:21" x14ac:dyDescent="0.3">
      <c r="A23" s="139">
        <v>18</v>
      </c>
      <c r="B23" s="119" t="s">
        <v>211</v>
      </c>
      <c r="C23" s="24">
        <v>46182</v>
      </c>
      <c r="D23" s="24">
        <v>46187</v>
      </c>
      <c r="E23" s="24">
        <v>45834</v>
      </c>
      <c r="F23" s="119" t="s">
        <v>53</v>
      </c>
      <c r="G23" s="2" t="s">
        <v>56</v>
      </c>
      <c r="K23" s="121">
        <v>1</v>
      </c>
      <c r="L23" s="121">
        <v>2</v>
      </c>
      <c r="M23" s="150" t="s">
        <v>212</v>
      </c>
      <c r="N23" s="179">
        <v>4531909358</v>
      </c>
      <c r="O23" s="2" t="s">
        <v>215</v>
      </c>
      <c r="Q23" s="2" t="s">
        <v>21</v>
      </c>
      <c r="R23" s="125">
        <v>6375</v>
      </c>
      <c r="S23" s="2" t="s">
        <v>38</v>
      </c>
      <c r="T23" t="s">
        <v>214</v>
      </c>
      <c r="U23" s="185">
        <f t="shared" si="0"/>
        <v>3187.5</v>
      </c>
    </row>
    <row r="24" spans="1:21" x14ac:dyDescent="0.3">
      <c r="A24" s="140">
        <v>19</v>
      </c>
      <c r="B24" t="s">
        <v>209</v>
      </c>
      <c r="C24" s="24">
        <v>46215</v>
      </c>
      <c r="D24" s="24">
        <v>46229</v>
      </c>
      <c r="E24" s="24">
        <v>45931</v>
      </c>
      <c r="F24" t="s">
        <v>53</v>
      </c>
      <c r="G24" t="s">
        <v>6</v>
      </c>
      <c r="I24" s="2" t="s">
        <v>159</v>
      </c>
      <c r="J24" s="203">
        <v>0.1</v>
      </c>
      <c r="K24">
        <v>1</v>
      </c>
      <c r="L24">
        <v>1</v>
      </c>
      <c r="M24" s="116" t="s">
        <v>210</v>
      </c>
      <c r="N24" s="179">
        <v>4541515960</v>
      </c>
      <c r="P24" s="2" t="s">
        <v>21</v>
      </c>
      <c r="Q24" s="2" t="s">
        <v>21</v>
      </c>
      <c r="R24" s="125">
        <v>14805</v>
      </c>
      <c r="S24" s="2" t="s">
        <v>38</v>
      </c>
      <c r="T24" s="2" t="s">
        <v>199</v>
      </c>
    </row>
    <row r="25" spans="1:21" x14ac:dyDescent="0.3">
      <c r="A25" s="139">
        <v>20</v>
      </c>
      <c r="B25" s="119" t="s">
        <v>239</v>
      </c>
      <c r="C25" s="24">
        <v>46163</v>
      </c>
      <c r="D25" s="24">
        <v>46167</v>
      </c>
      <c r="E25" s="24">
        <v>46008</v>
      </c>
      <c r="F25" s="119" t="s">
        <v>53</v>
      </c>
      <c r="G25" s="2" t="s">
        <v>6</v>
      </c>
      <c r="K25" s="121">
        <v>3</v>
      </c>
      <c r="L25" s="121">
        <v>6</v>
      </c>
      <c r="M25" s="116" t="s">
        <v>240</v>
      </c>
      <c r="Q25" s="2" t="s">
        <v>21</v>
      </c>
      <c r="R25" s="158">
        <v>12420</v>
      </c>
      <c r="S25" s="2" t="s">
        <v>38</v>
      </c>
      <c r="T25" t="s">
        <v>241</v>
      </c>
    </row>
    <row r="26" spans="1:21" x14ac:dyDescent="0.3">
      <c r="A26" s="139">
        <v>20</v>
      </c>
      <c r="B26" s="119"/>
      <c r="F26" s="119"/>
      <c r="G26" s="2"/>
      <c r="K26" s="121"/>
      <c r="L26" s="121"/>
      <c r="M26" s="116"/>
      <c r="R26" s="158"/>
    </row>
    <row r="27" spans="1:21" x14ac:dyDescent="0.3">
      <c r="A27" s="139">
        <v>20</v>
      </c>
      <c r="B27" s="119"/>
      <c r="F27" s="119"/>
      <c r="G27" s="2"/>
      <c r="K27" s="121"/>
      <c r="L27" s="121"/>
      <c r="M27" s="116"/>
      <c r="R27" s="158"/>
    </row>
    <row r="28" spans="1:21" x14ac:dyDescent="0.3">
      <c r="A28" s="139">
        <v>21</v>
      </c>
      <c r="B28" s="119" t="s">
        <v>261</v>
      </c>
      <c r="C28" s="24">
        <v>46251</v>
      </c>
      <c r="D28" s="24">
        <v>46256</v>
      </c>
      <c r="E28" s="24">
        <v>46009</v>
      </c>
      <c r="F28" s="119" t="s">
        <v>54</v>
      </c>
      <c r="G28" s="2" t="s">
        <v>6</v>
      </c>
      <c r="J28" s="203">
        <v>0.1</v>
      </c>
      <c r="K28" s="121">
        <v>1</v>
      </c>
      <c r="L28" s="121">
        <v>2</v>
      </c>
      <c r="M28" s="116" t="s">
        <v>237</v>
      </c>
      <c r="N28" s="179">
        <v>46705125490</v>
      </c>
      <c r="O28" s="2" t="s">
        <v>236</v>
      </c>
      <c r="Q28" s="2" t="s">
        <v>21</v>
      </c>
      <c r="R28" s="158">
        <v>5175</v>
      </c>
      <c r="S28" s="2" t="s">
        <v>38</v>
      </c>
      <c r="T28" t="s">
        <v>238</v>
      </c>
    </row>
    <row r="29" spans="1:21" x14ac:dyDescent="0.3">
      <c r="A29" s="140">
        <v>22</v>
      </c>
      <c r="B29" t="s">
        <v>234</v>
      </c>
      <c r="C29" s="24">
        <v>46271</v>
      </c>
      <c r="D29" s="24">
        <v>46282</v>
      </c>
      <c r="E29" s="24">
        <v>46016</v>
      </c>
      <c r="F29" t="s">
        <v>31</v>
      </c>
      <c r="G29" t="s">
        <v>35</v>
      </c>
      <c r="K29" s="121">
        <v>1</v>
      </c>
      <c r="L29" s="121">
        <v>2</v>
      </c>
      <c r="M29" s="116"/>
      <c r="Q29" s="2" t="s">
        <v>21</v>
      </c>
      <c r="R29" s="125">
        <v>11500</v>
      </c>
      <c r="S29" s="2" t="s">
        <v>20</v>
      </c>
      <c r="T29" t="s">
        <v>235</v>
      </c>
    </row>
    <row r="30" spans="1:21" x14ac:dyDescent="0.3">
      <c r="A30" s="139">
        <v>23</v>
      </c>
      <c r="B30" t="s">
        <v>233</v>
      </c>
      <c r="C30" s="24">
        <v>46247</v>
      </c>
      <c r="D30" s="24">
        <v>46250</v>
      </c>
      <c r="E30" s="24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21">
        <v>1</v>
      </c>
      <c r="L30" s="121">
        <v>2</v>
      </c>
      <c r="Q30" s="2" t="s">
        <v>21</v>
      </c>
      <c r="R30" s="158">
        <v>3825</v>
      </c>
      <c r="S30" s="2" t="s">
        <v>20</v>
      </c>
    </row>
    <row r="31" spans="1:21" x14ac:dyDescent="0.3">
      <c r="A31" s="139">
        <v>24</v>
      </c>
      <c r="B31" t="s">
        <v>232</v>
      </c>
      <c r="C31" s="24">
        <v>46205</v>
      </c>
      <c r="D31" s="24">
        <v>46208</v>
      </c>
      <c r="E31" s="24">
        <v>46016</v>
      </c>
      <c r="F31" t="s">
        <v>54</v>
      </c>
      <c r="G31" t="s">
        <v>35</v>
      </c>
      <c r="I31" s="2" t="s">
        <v>156</v>
      </c>
      <c r="K31" s="121">
        <v>1</v>
      </c>
      <c r="L31" s="121">
        <v>2</v>
      </c>
      <c r="M31" s="116"/>
      <c r="Q31" s="2" t="s">
        <v>21</v>
      </c>
      <c r="R31" s="158">
        <v>3825</v>
      </c>
      <c r="S31" s="2" t="s">
        <v>20</v>
      </c>
    </row>
    <row r="32" spans="1:21" x14ac:dyDescent="0.3">
      <c r="A32" s="140">
        <v>25</v>
      </c>
      <c r="B32" t="s">
        <v>231</v>
      </c>
      <c r="C32" s="24">
        <v>46256</v>
      </c>
      <c r="D32" s="24">
        <v>46261</v>
      </c>
      <c r="E32" s="24">
        <v>46017</v>
      </c>
      <c r="F32" t="s">
        <v>57</v>
      </c>
      <c r="G32" t="s">
        <v>35</v>
      </c>
      <c r="I32" s="2" t="s">
        <v>159</v>
      </c>
      <c r="K32" s="121">
        <v>1</v>
      </c>
      <c r="L32" s="121">
        <v>1</v>
      </c>
      <c r="M32" s="116"/>
      <c r="P32" s="2" t="s">
        <v>21</v>
      </c>
      <c r="Q32" s="2" t="s">
        <v>20</v>
      </c>
      <c r="R32" s="125">
        <v>4250</v>
      </c>
      <c r="S32" s="2" t="s">
        <v>20</v>
      </c>
    </row>
    <row r="33" spans="1:20" x14ac:dyDescent="0.3">
      <c r="A33" s="139">
        <v>26</v>
      </c>
      <c r="B33" t="s">
        <v>230</v>
      </c>
      <c r="C33" s="24">
        <v>46251</v>
      </c>
      <c r="D33" s="24">
        <v>46255</v>
      </c>
      <c r="E33" s="24">
        <v>46019</v>
      </c>
      <c r="F33" t="s">
        <v>53</v>
      </c>
      <c r="G33" t="s">
        <v>35</v>
      </c>
      <c r="H33" s="1" t="s">
        <v>499</v>
      </c>
      <c r="K33" s="121">
        <v>1</v>
      </c>
      <c r="L33" s="121">
        <v>2</v>
      </c>
      <c r="N33" s="180"/>
      <c r="Q33" s="2" t="s">
        <v>21</v>
      </c>
      <c r="R33" s="125">
        <v>3450</v>
      </c>
      <c r="S33" s="2" t="s">
        <v>20</v>
      </c>
      <c r="T33" t="s">
        <v>317</v>
      </c>
    </row>
    <row r="34" spans="1:20" x14ac:dyDescent="0.3">
      <c r="A34" s="139">
        <v>27</v>
      </c>
      <c r="B34" t="s">
        <v>228</v>
      </c>
      <c r="C34" s="24">
        <v>46176</v>
      </c>
      <c r="D34" s="24">
        <v>46182</v>
      </c>
      <c r="E34" s="24">
        <v>46021</v>
      </c>
      <c r="F34" t="s">
        <v>53</v>
      </c>
      <c r="G34" t="s">
        <v>6</v>
      </c>
      <c r="I34" s="2" t="s">
        <v>438</v>
      </c>
      <c r="J34" s="203">
        <v>0.1</v>
      </c>
      <c r="K34" s="121">
        <v>1</v>
      </c>
      <c r="L34" s="121">
        <v>2</v>
      </c>
      <c r="M34" s="116" t="s">
        <v>229</v>
      </c>
      <c r="N34" s="179">
        <v>4561283743</v>
      </c>
      <c r="Q34" s="2" t="s">
        <v>21</v>
      </c>
      <c r="R34" s="125">
        <v>6210</v>
      </c>
      <c r="S34" s="2" t="s">
        <v>21</v>
      </c>
      <c r="T34" t="s">
        <v>439</v>
      </c>
    </row>
    <row r="35" spans="1:20" x14ac:dyDescent="0.3">
      <c r="A35" s="140">
        <v>28</v>
      </c>
      <c r="B35" t="s">
        <v>227</v>
      </c>
      <c r="C35" s="24">
        <v>46143</v>
      </c>
      <c r="D35" s="24">
        <v>46145</v>
      </c>
      <c r="E35" s="24">
        <v>46021</v>
      </c>
      <c r="F35" t="s">
        <v>53</v>
      </c>
      <c r="G35" t="s">
        <v>35</v>
      </c>
      <c r="K35">
        <v>2</v>
      </c>
      <c r="L35">
        <v>3</v>
      </c>
      <c r="M35" s="116"/>
      <c r="N35" s="151">
        <v>4540843915</v>
      </c>
      <c r="Q35" s="2" t="s">
        <v>21</v>
      </c>
      <c r="R35" s="125">
        <v>1900</v>
      </c>
      <c r="S35" s="2" t="s">
        <v>20</v>
      </c>
    </row>
    <row r="36" spans="1:20" x14ac:dyDescent="0.3">
      <c r="A36" s="139">
        <v>29</v>
      </c>
      <c r="B36" t="s">
        <v>244</v>
      </c>
      <c r="C36" s="24">
        <v>46177</v>
      </c>
      <c r="D36" s="24">
        <v>46179</v>
      </c>
      <c r="E36" s="24">
        <v>46023</v>
      </c>
      <c r="F36" t="s">
        <v>58</v>
      </c>
      <c r="G36" t="s">
        <v>264</v>
      </c>
      <c r="K36" s="121"/>
      <c r="L36" s="121"/>
      <c r="M36" s="116"/>
    </row>
    <row r="37" spans="1:20" x14ac:dyDescent="0.3">
      <c r="A37" s="139">
        <v>28</v>
      </c>
      <c r="K37" s="121"/>
      <c r="L37" s="121"/>
      <c r="M37" s="116"/>
    </row>
    <row r="38" spans="1:20" x14ac:dyDescent="0.3">
      <c r="A38" s="139">
        <v>30</v>
      </c>
      <c r="B38" t="s">
        <v>242</v>
      </c>
      <c r="C38" s="24">
        <v>46230</v>
      </c>
      <c r="D38" s="24">
        <v>46234</v>
      </c>
      <c r="E38" s="24">
        <v>46025</v>
      </c>
      <c r="F38" t="s">
        <v>53</v>
      </c>
      <c r="G38" t="s">
        <v>35</v>
      </c>
      <c r="K38" s="121">
        <v>1</v>
      </c>
      <c r="L38" s="121">
        <v>2</v>
      </c>
      <c r="N38" s="179">
        <v>4526241192</v>
      </c>
      <c r="Q38" s="2" t="s">
        <v>21</v>
      </c>
      <c r="R38" s="125">
        <v>5100</v>
      </c>
      <c r="S38" s="2" t="s">
        <v>21</v>
      </c>
      <c r="T38" t="s">
        <v>243</v>
      </c>
    </row>
    <row r="39" spans="1:20" x14ac:dyDescent="0.3">
      <c r="A39" s="140">
        <v>31</v>
      </c>
      <c r="B39" t="s">
        <v>245</v>
      </c>
      <c r="C39" s="24">
        <v>46190</v>
      </c>
      <c r="D39" s="24">
        <v>46195</v>
      </c>
      <c r="E39" s="24">
        <v>46029</v>
      </c>
      <c r="F39" t="s">
        <v>53</v>
      </c>
      <c r="G39" t="s">
        <v>6</v>
      </c>
      <c r="J39" s="203">
        <v>0.1</v>
      </c>
      <c r="K39" s="121">
        <v>1</v>
      </c>
      <c r="L39" s="121">
        <v>1</v>
      </c>
      <c r="M39" s="116" t="s">
        <v>246</v>
      </c>
      <c r="N39" s="151">
        <v>4541125671</v>
      </c>
      <c r="P39" s="2" t="s">
        <v>21</v>
      </c>
      <c r="Q39" s="2" t="s">
        <v>21</v>
      </c>
      <c r="R39" s="125">
        <v>4275</v>
      </c>
      <c r="S39" s="2" t="s">
        <v>21</v>
      </c>
      <c r="T39" s="119" t="s">
        <v>247</v>
      </c>
    </row>
    <row r="40" spans="1:20" x14ac:dyDescent="0.3">
      <c r="A40" s="139">
        <v>32</v>
      </c>
      <c r="B40" t="s">
        <v>260</v>
      </c>
      <c r="C40" s="24">
        <v>46240</v>
      </c>
      <c r="D40" s="24">
        <v>46247</v>
      </c>
      <c r="E40" s="24">
        <v>46029</v>
      </c>
      <c r="F40" t="s">
        <v>31</v>
      </c>
      <c r="G40" t="s">
        <v>35</v>
      </c>
      <c r="K40" s="121">
        <v>1</v>
      </c>
      <c r="L40" s="121">
        <v>2</v>
      </c>
      <c r="Q40" s="2" t="s">
        <v>21</v>
      </c>
      <c r="R40" s="125">
        <v>8925</v>
      </c>
      <c r="S40" s="2" t="s">
        <v>20</v>
      </c>
    </row>
    <row r="41" spans="1:20" x14ac:dyDescent="0.3">
      <c r="A41" s="139">
        <v>33</v>
      </c>
      <c r="B41" t="s">
        <v>259</v>
      </c>
      <c r="C41" s="24">
        <v>46240</v>
      </c>
      <c r="D41" s="24">
        <v>46247</v>
      </c>
      <c r="E41" s="24">
        <v>46029</v>
      </c>
      <c r="F41" t="s">
        <v>31</v>
      </c>
      <c r="G41" t="s">
        <v>35</v>
      </c>
      <c r="K41" s="121">
        <v>1</v>
      </c>
      <c r="L41" s="121">
        <v>1</v>
      </c>
      <c r="M41" s="116"/>
      <c r="P41" s="2" t="s">
        <v>21</v>
      </c>
      <c r="Q41" s="2" t="s">
        <v>21</v>
      </c>
      <c r="R41" s="125">
        <v>7525</v>
      </c>
      <c r="S41" s="2" t="s">
        <v>20</v>
      </c>
    </row>
    <row r="42" spans="1:20" x14ac:dyDescent="0.3">
      <c r="A42" s="140">
        <v>34</v>
      </c>
      <c r="B42" t="s">
        <v>258</v>
      </c>
      <c r="C42" s="24">
        <v>46198</v>
      </c>
      <c r="D42" s="24">
        <v>46208</v>
      </c>
      <c r="E42" s="24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21">
        <v>1</v>
      </c>
      <c r="L42" s="121">
        <v>2</v>
      </c>
      <c r="Q42" s="2" t="s">
        <v>21</v>
      </c>
      <c r="R42" s="125">
        <v>12375</v>
      </c>
      <c r="S42" s="2" t="s">
        <v>20</v>
      </c>
    </row>
    <row r="43" spans="1:20" x14ac:dyDescent="0.3">
      <c r="A43" s="139">
        <v>35</v>
      </c>
      <c r="B43" t="s">
        <v>254</v>
      </c>
      <c r="C43" s="24">
        <v>46261</v>
      </c>
      <c r="D43" s="24">
        <v>46265</v>
      </c>
      <c r="E43" s="24">
        <v>46030</v>
      </c>
      <c r="F43" t="s">
        <v>54</v>
      </c>
      <c r="G43" t="s">
        <v>6</v>
      </c>
      <c r="I43" s="2" t="s">
        <v>156</v>
      </c>
      <c r="J43" s="203">
        <v>0.1</v>
      </c>
      <c r="K43">
        <v>1</v>
      </c>
      <c r="L43">
        <v>2</v>
      </c>
      <c r="M43" s="159" t="s">
        <v>255</v>
      </c>
      <c r="N43" s="179">
        <v>46733448215</v>
      </c>
      <c r="O43" s="2" t="s">
        <v>256</v>
      </c>
      <c r="Q43" s="2" t="s">
        <v>21</v>
      </c>
      <c r="R43" s="125">
        <v>4140</v>
      </c>
      <c r="S43" s="2" t="s">
        <v>38</v>
      </c>
      <c r="T43" t="s">
        <v>257</v>
      </c>
    </row>
    <row r="44" spans="1:20" x14ac:dyDescent="0.3">
      <c r="A44" s="139">
        <v>36</v>
      </c>
      <c r="B44" t="s">
        <v>253</v>
      </c>
      <c r="C44" s="24">
        <v>46209</v>
      </c>
      <c r="D44" s="24">
        <v>46212</v>
      </c>
      <c r="E44" s="24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6"/>
      <c r="Q44" s="2" t="s">
        <v>20</v>
      </c>
      <c r="R44" s="125">
        <v>6450</v>
      </c>
      <c r="S44" s="2" t="s">
        <v>20</v>
      </c>
    </row>
    <row r="45" spans="1:20" x14ac:dyDescent="0.3">
      <c r="A45" s="139">
        <v>36</v>
      </c>
      <c r="M45" s="116"/>
    </row>
    <row r="46" spans="1:20" x14ac:dyDescent="0.3">
      <c r="A46" s="140">
        <v>37</v>
      </c>
      <c r="B46" t="s">
        <v>251</v>
      </c>
      <c r="C46" s="24">
        <v>46195</v>
      </c>
      <c r="D46" s="24">
        <v>46198</v>
      </c>
      <c r="E46" s="24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6"/>
      <c r="Q46" s="2" t="s">
        <v>21</v>
      </c>
      <c r="R46" s="125">
        <v>3450</v>
      </c>
      <c r="S46" s="2" t="s">
        <v>20</v>
      </c>
    </row>
    <row r="47" spans="1:20" x14ac:dyDescent="0.3">
      <c r="A47" s="139">
        <v>38</v>
      </c>
      <c r="B47" t="s">
        <v>250</v>
      </c>
      <c r="C47" s="24">
        <v>46221</v>
      </c>
      <c r="D47" s="24">
        <v>46228</v>
      </c>
      <c r="E47" s="24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6"/>
      <c r="Q47" s="2" t="s">
        <v>20</v>
      </c>
      <c r="R47" s="125">
        <v>7525</v>
      </c>
      <c r="S47" s="2" t="s">
        <v>20</v>
      </c>
    </row>
    <row r="48" spans="1:20" x14ac:dyDescent="0.3">
      <c r="A48" s="2">
        <v>39</v>
      </c>
      <c r="B48" t="s">
        <v>249</v>
      </c>
      <c r="C48" s="24">
        <v>46216</v>
      </c>
      <c r="D48" s="24">
        <v>46220</v>
      </c>
      <c r="E48" s="24">
        <v>46032</v>
      </c>
      <c r="G48" t="s">
        <v>264</v>
      </c>
    </row>
    <row r="49" spans="1:20" x14ac:dyDescent="0.3">
      <c r="A49" s="2">
        <v>40</v>
      </c>
      <c r="B49" t="s">
        <v>248</v>
      </c>
      <c r="C49" s="24">
        <v>46164</v>
      </c>
      <c r="D49" s="24">
        <v>46167</v>
      </c>
      <c r="E49" s="24">
        <v>46033</v>
      </c>
      <c r="F49" t="s">
        <v>53</v>
      </c>
      <c r="G49" t="s">
        <v>264</v>
      </c>
      <c r="M49" s="116"/>
    </row>
    <row r="50" spans="1:20" x14ac:dyDescent="0.3">
      <c r="A50" s="2">
        <v>41</v>
      </c>
      <c r="B50" t="s">
        <v>263</v>
      </c>
      <c r="C50" s="24">
        <v>46282</v>
      </c>
      <c r="D50" s="24">
        <v>46285</v>
      </c>
      <c r="E50" s="24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6"/>
      <c r="Q50" s="2" t="s">
        <v>20</v>
      </c>
      <c r="R50" s="125">
        <v>2850</v>
      </c>
      <c r="S50" s="2" t="s">
        <v>20</v>
      </c>
    </row>
    <row r="51" spans="1:20" x14ac:dyDescent="0.3">
      <c r="A51" s="2">
        <v>42</v>
      </c>
      <c r="B51" t="s">
        <v>262</v>
      </c>
      <c r="C51" s="24">
        <v>46282</v>
      </c>
      <c r="D51" s="24">
        <v>46285</v>
      </c>
      <c r="E51" s="24">
        <v>46036</v>
      </c>
      <c r="F51" t="s">
        <v>54</v>
      </c>
      <c r="G51" t="s">
        <v>35</v>
      </c>
      <c r="K51">
        <v>1</v>
      </c>
      <c r="L51">
        <v>1</v>
      </c>
      <c r="M51" s="116"/>
      <c r="P51" s="2" t="s">
        <v>21</v>
      </c>
      <c r="Q51" s="2" t="s">
        <v>20</v>
      </c>
      <c r="R51" s="125">
        <v>2550</v>
      </c>
      <c r="S51" s="2" t="s">
        <v>20</v>
      </c>
    </row>
    <row r="52" spans="1:20" x14ac:dyDescent="0.3">
      <c r="A52" s="2">
        <v>43</v>
      </c>
      <c r="B52" t="s">
        <v>280</v>
      </c>
      <c r="C52" s="24">
        <v>46216</v>
      </c>
      <c r="D52" s="24">
        <v>46219</v>
      </c>
      <c r="E52" s="24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6" t="s">
        <v>282</v>
      </c>
      <c r="N52" s="151">
        <v>4526140610</v>
      </c>
      <c r="Q52" s="2" t="s">
        <v>21</v>
      </c>
      <c r="R52" s="125">
        <v>4500</v>
      </c>
      <c r="S52" s="2" t="s">
        <v>20</v>
      </c>
      <c r="T52" t="s">
        <v>281</v>
      </c>
    </row>
    <row r="53" spans="1:20" x14ac:dyDescent="0.3">
      <c r="A53" s="2">
        <v>44</v>
      </c>
      <c r="B53" t="s">
        <v>279</v>
      </c>
      <c r="C53" s="24">
        <v>46222</v>
      </c>
      <c r="D53" s="24">
        <v>46227</v>
      </c>
      <c r="E53" s="24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5">
        <v>6375</v>
      </c>
      <c r="S53" s="2" t="s">
        <v>20</v>
      </c>
    </row>
    <row r="54" spans="1:20" x14ac:dyDescent="0.3">
      <c r="A54" s="2">
        <v>45</v>
      </c>
      <c r="B54" t="s">
        <v>278</v>
      </c>
      <c r="C54" s="24">
        <v>46240</v>
      </c>
      <c r="D54" s="24">
        <v>46243</v>
      </c>
      <c r="E54" s="24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5">
        <v>3825</v>
      </c>
      <c r="S54" s="2" t="s">
        <v>20</v>
      </c>
    </row>
    <row r="55" spans="1:20" x14ac:dyDescent="0.3">
      <c r="A55" s="2">
        <v>46</v>
      </c>
      <c r="B55" t="s">
        <v>275</v>
      </c>
      <c r="C55" s="24">
        <v>46247</v>
      </c>
      <c r="D55" s="24">
        <v>46252</v>
      </c>
      <c r="E55" s="24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6"/>
      <c r="Q55" s="2" t="s">
        <v>20</v>
      </c>
      <c r="R55" s="125">
        <v>5125</v>
      </c>
      <c r="S55" s="2" t="s">
        <v>277</v>
      </c>
      <c r="T55" t="s">
        <v>276</v>
      </c>
    </row>
    <row r="56" spans="1:20" x14ac:dyDescent="0.3">
      <c r="A56" s="2">
        <v>47</v>
      </c>
      <c r="B56" t="s">
        <v>211</v>
      </c>
      <c r="C56" s="24">
        <v>46281</v>
      </c>
      <c r="D56" s="24">
        <v>46286</v>
      </c>
      <c r="E56" s="24">
        <v>46037</v>
      </c>
      <c r="F56" t="s">
        <v>53</v>
      </c>
      <c r="G56" t="s">
        <v>6</v>
      </c>
      <c r="K56">
        <v>1</v>
      </c>
      <c r="L56">
        <v>2</v>
      </c>
      <c r="M56" s="116" t="s">
        <v>212</v>
      </c>
      <c r="N56" s="179">
        <v>4531909358</v>
      </c>
      <c r="O56" s="181" t="s">
        <v>273</v>
      </c>
      <c r="Q56" s="2" t="s">
        <v>21</v>
      </c>
      <c r="S56" s="2" t="s">
        <v>21</v>
      </c>
      <c r="T56" t="s">
        <v>274</v>
      </c>
    </row>
    <row r="57" spans="1:20" x14ac:dyDescent="0.3">
      <c r="A57" s="2">
        <v>48</v>
      </c>
      <c r="B57" t="s">
        <v>272</v>
      </c>
      <c r="C57" s="24">
        <v>46156</v>
      </c>
      <c r="D57" s="24">
        <v>46159</v>
      </c>
      <c r="E57" s="24">
        <v>46040</v>
      </c>
      <c r="F57" t="s">
        <v>53</v>
      </c>
      <c r="G57" t="s">
        <v>264</v>
      </c>
      <c r="M57" s="116"/>
    </row>
    <row r="58" spans="1:20" x14ac:dyDescent="0.3">
      <c r="A58" s="2">
        <v>49</v>
      </c>
      <c r="B58" t="s">
        <v>271</v>
      </c>
      <c r="C58" s="24">
        <v>46228</v>
      </c>
      <c r="D58" s="24">
        <v>46235</v>
      </c>
      <c r="E58" s="24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6"/>
      <c r="Q58" s="2" t="s">
        <v>21</v>
      </c>
      <c r="R58" s="125">
        <v>8925</v>
      </c>
      <c r="S58" s="2" t="s">
        <v>20</v>
      </c>
    </row>
    <row r="59" spans="1:20" x14ac:dyDescent="0.3">
      <c r="A59" s="2">
        <v>50</v>
      </c>
      <c r="B59" t="s">
        <v>270</v>
      </c>
      <c r="C59" s="24">
        <v>46237</v>
      </c>
      <c r="D59" s="24">
        <v>46241</v>
      </c>
      <c r="E59" s="24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5">
        <v>5100</v>
      </c>
      <c r="S59" s="2" t="s">
        <v>20</v>
      </c>
    </row>
    <row r="60" spans="1:20" x14ac:dyDescent="0.3">
      <c r="A60" s="2">
        <v>51</v>
      </c>
      <c r="B60" t="s">
        <v>267</v>
      </c>
      <c r="C60" s="24">
        <v>46250</v>
      </c>
      <c r="D60" s="24">
        <v>46255</v>
      </c>
      <c r="E60" s="24">
        <v>46041</v>
      </c>
      <c r="F60" t="s">
        <v>53</v>
      </c>
      <c r="G60" t="s">
        <v>6</v>
      </c>
      <c r="J60" s="203">
        <v>0.1</v>
      </c>
      <c r="K60">
        <v>1</v>
      </c>
      <c r="L60">
        <v>2</v>
      </c>
      <c r="M60" s="159" t="s">
        <v>269</v>
      </c>
      <c r="N60" s="179">
        <v>4540474386</v>
      </c>
      <c r="O60" s="181" t="s">
        <v>268</v>
      </c>
      <c r="Q60" s="2" t="s">
        <v>21</v>
      </c>
      <c r="R60" s="187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285</v>
      </c>
      <c r="C61" s="24">
        <v>46251</v>
      </c>
      <c r="D61" s="24">
        <v>46255</v>
      </c>
      <c r="E61" s="24">
        <v>46041</v>
      </c>
      <c r="F61" t="s">
        <v>53</v>
      </c>
      <c r="G61" t="s">
        <v>35</v>
      </c>
      <c r="H61" s="1" t="s">
        <v>440</v>
      </c>
      <c r="K61">
        <v>1</v>
      </c>
      <c r="L61">
        <v>2</v>
      </c>
      <c r="M61" s="116"/>
      <c r="Q61" s="2" t="s">
        <v>21</v>
      </c>
      <c r="R61" s="125">
        <v>4600</v>
      </c>
      <c r="S61" s="2" t="s">
        <v>20</v>
      </c>
    </row>
    <row r="62" spans="1:20" x14ac:dyDescent="0.3">
      <c r="A62" s="2">
        <v>53</v>
      </c>
      <c r="B62" t="s">
        <v>284</v>
      </c>
      <c r="C62" s="24">
        <v>46155</v>
      </c>
      <c r="D62" s="24">
        <v>46158</v>
      </c>
      <c r="E62" s="24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51">
        <v>4521467633</v>
      </c>
      <c r="Q62" s="2" t="s">
        <v>20</v>
      </c>
      <c r="R62" s="125">
        <v>2850</v>
      </c>
      <c r="S62" s="2" t="s">
        <v>20</v>
      </c>
    </row>
    <row r="63" spans="1:20" x14ac:dyDescent="0.3">
      <c r="A63" s="2">
        <v>54</v>
      </c>
      <c r="B63" t="s">
        <v>299</v>
      </c>
      <c r="C63" s="24">
        <v>46254</v>
      </c>
      <c r="D63" s="24">
        <v>46257</v>
      </c>
      <c r="E63" s="24">
        <v>46042</v>
      </c>
      <c r="F63" t="s">
        <v>53</v>
      </c>
      <c r="G63" t="s">
        <v>35</v>
      </c>
      <c r="H63" s="1" t="s">
        <v>374</v>
      </c>
      <c r="I63" s="2" t="s">
        <v>436</v>
      </c>
      <c r="K63">
        <v>2</v>
      </c>
      <c r="L63">
        <v>4</v>
      </c>
      <c r="M63" s="116"/>
      <c r="Q63" s="2" t="s">
        <v>20</v>
      </c>
      <c r="R63" s="158">
        <v>5700</v>
      </c>
    </row>
    <row r="64" spans="1:20" x14ac:dyDescent="0.3">
      <c r="A64" s="2">
        <v>54</v>
      </c>
      <c r="M64" s="116"/>
      <c r="R64" s="158"/>
    </row>
    <row r="65" spans="1:20" x14ac:dyDescent="0.3">
      <c r="A65" s="2">
        <v>55</v>
      </c>
      <c r="B65" t="s">
        <v>298</v>
      </c>
      <c r="C65" s="24">
        <v>46230</v>
      </c>
      <c r="D65" s="24">
        <v>46234</v>
      </c>
      <c r="E65" s="24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6"/>
      <c r="Q65" s="2" t="s">
        <v>20</v>
      </c>
      <c r="R65" s="125">
        <v>4300</v>
      </c>
      <c r="S65" s="2" t="s">
        <v>20</v>
      </c>
    </row>
    <row r="66" spans="1:20" x14ac:dyDescent="0.3">
      <c r="A66" s="2">
        <v>56</v>
      </c>
      <c r="B66" t="s">
        <v>295</v>
      </c>
      <c r="C66" s="24">
        <v>46192</v>
      </c>
      <c r="D66" s="24">
        <v>46194</v>
      </c>
      <c r="E66" s="24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6"/>
      <c r="Q66" s="2" t="s">
        <v>20</v>
      </c>
      <c r="R66" s="125">
        <v>1900</v>
      </c>
      <c r="S66" s="2" t="s">
        <v>20</v>
      </c>
      <c r="T66" t="s">
        <v>297</v>
      </c>
    </row>
    <row r="67" spans="1:20" x14ac:dyDescent="0.3">
      <c r="A67" s="2">
        <v>57</v>
      </c>
      <c r="B67" t="s">
        <v>292</v>
      </c>
      <c r="C67" s="24">
        <v>46232</v>
      </c>
      <c r="D67" s="24">
        <v>46238</v>
      </c>
      <c r="E67" s="24">
        <v>46043</v>
      </c>
      <c r="F67" t="s">
        <v>54</v>
      </c>
      <c r="G67" t="s">
        <v>35</v>
      </c>
      <c r="K67">
        <v>1</v>
      </c>
      <c r="L67">
        <v>2</v>
      </c>
      <c r="N67" s="179">
        <v>466700686</v>
      </c>
      <c r="O67" s="2" t="s">
        <v>293</v>
      </c>
      <c r="Q67" s="2" t="s">
        <v>20</v>
      </c>
      <c r="R67" s="158">
        <v>6450</v>
      </c>
      <c r="S67" s="2" t="s">
        <v>38</v>
      </c>
      <c r="T67" t="s">
        <v>294</v>
      </c>
    </row>
    <row r="68" spans="1:20" x14ac:dyDescent="0.3">
      <c r="A68" s="2">
        <v>58</v>
      </c>
      <c r="B68" t="s">
        <v>290</v>
      </c>
      <c r="C68" s="24">
        <v>46229</v>
      </c>
      <c r="D68" s="24">
        <v>46233</v>
      </c>
      <c r="E68" s="24">
        <v>46046</v>
      </c>
      <c r="F68" t="s">
        <v>53</v>
      </c>
      <c r="G68" t="s">
        <v>6</v>
      </c>
      <c r="I68" s="2" t="s">
        <v>159</v>
      </c>
      <c r="J68" s="203">
        <v>0.1</v>
      </c>
      <c r="K68">
        <v>2</v>
      </c>
      <c r="L68">
        <v>2</v>
      </c>
      <c r="M68" s="116"/>
      <c r="Q68" s="2" t="s">
        <v>21</v>
      </c>
      <c r="R68" s="158">
        <v>4590</v>
      </c>
      <c r="S68" s="2" t="s">
        <v>38</v>
      </c>
      <c r="T68" t="s">
        <v>291</v>
      </c>
    </row>
    <row r="69" spans="1:20" x14ac:dyDescent="0.3">
      <c r="A69" s="2">
        <v>58</v>
      </c>
      <c r="C69" s="24">
        <v>46229</v>
      </c>
      <c r="M69" s="116"/>
      <c r="R69" s="158"/>
    </row>
    <row r="70" spans="1:20" x14ac:dyDescent="0.3">
      <c r="A70" s="2">
        <v>59</v>
      </c>
      <c r="B70" t="s">
        <v>300</v>
      </c>
      <c r="C70" s="24">
        <v>46244</v>
      </c>
      <c r="D70" s="24">
        <v>46248</v>
      </c>
      <c r="E70" s="24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6"/>
      <c r="N70" s="151">
        <v>4542401010</v>
      </c>
      <c r="Q70" s="2" t="s">
        <v>21</v>
      </c>
      <c r="R70" s="158">
        <v>5100</v>
      </c>
      <c r="S70" s="2" t="s">
        <v>20</v>
      </c>
    </row>
    <row r="71" spans="1:20" x14ac:dyDescent="0.3">
      <c r="A71" s="2">
        <v>60</v>
      </c>
      <c r="B71" t="s">
        <v>307</v>
      </c>
      <c r="C71" s="24">
        <v>46258</v>
      </c>
      <c r="D71" s="24">
        <v>46262</v>
      </c>
      <c r="E71" s="24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8">
        <v>3800</v>
      </c>
      <c r="S71" s="2" t="s">
        <v>20</v>
      </c>
    </row>
    <row r="72" spans="1:20" x14ac:dyDescent="0.3">
      <c r="A72" s="2">
        <v>61</v>
      </c>
      <c r="B72" t="s">
        <v>305</v>
      </c>
      <c r="C72" s="24">
        <v>46199</v>
      </c>
      <c r="D72" s="24">
        <v>46202</v>
      </c>
      <c r="E72" s="24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6"/>
      <c r="Q72" s="2" t="s">
        <v>20</v>
      </c>
      <c r="R72" s="158">
        <v>2975</v>
      </c>
      <c r="S72" s="2" t="s">
        <v>20</v>
      </c>
    </row>
    <row r="73" spans="1:20" x14ac:dyDescent="0.3">
      <c r="A73" s="2">
        <v>62</v>
      </c>
      <c r="B73" t="s">
        <v>304</v>
      </c>
      <c r="C73" s="24">
        <v>46214</v>
      </c>
      <c r="D73" s="24">
        <v>46225</v>
      </c>
      <c r="E73" s="24">
        <v>46047</v>
      </c>
      <c r="F73" t="s">
        <v>53</v>
      </c>
      <c r="G73" t="s">
        <v>35</v>
      </c>
      <c r="I73" s="2" t="s">
        <v>296</v>
      </c>
      <c r="J73" s="203">
        <v>0.1</v>
      </c>
      <c r="K73">
        <v>1</v>
      </c>
      <c r="L73">
        <v>2</v>
      </c>
      <c r="Q73" s="2" t="s">
        <v>21</v>
      </c>
      <c r="R73" s="158">
        <f>8925+3442.5</f>
        <v>12367.5</v>
      </c>
      <c r="S73" s="2" t="s">
        <v>20</v>
      </c>
      <c r="T73" t="s">
        <v>316</v>
      </c>
    </row>
    <row r="74" spans="1:20" x14ac:dyDescent="0.3">
      <c r="A74" s="2">
        <v>63</v>
      </c>
      <c r="B74" t="s">
        <v>302</v>
      </c>
      <c r="C74" s="24">
        <v>46153</v>
      </c>
      <c r="D74" s="24">
        <v>46155</v>
      </c>
      <c r="E74" s="24">
        <v>46048</v>
      </c>
      <c r="F74" t="s">
        <v>54</v>
      </c>
      <c r="G74" t="s">
        <v>6</v>
      </c>
      <c r="H74" s="1" t="s">
        <v>441</v>
      </c>
      <c r="I74" s="2" t="s">
        <v>156</v>
      </c>
      <c r="J74" s="203">
        <v>0.05</v>
      </c>
      <c r="K74">
        <v>1</v>
      </c>
      <c r="L74">
        <v>2</v>
      </c>
      <c r="M74" s="116" t="s">
        <v>303</v>
      </c>
      <c r="N74" s="151">
        <v>460739771649</v>
      </c>
      <c r="Q74" s="2" t="s">
        <v>20</v>
      </c>
      <c r="R74" s="158">
        <v>1805</v>
      </c>
      <c r="S74" s="2" t="s">
        <v>20</v>
      </c>
    </row>
    <row r="75" spans="1:20" x14ac:dyDescent="0.3">
      <c r="A75" s="2">
        <v>64</v>
      </c>
      <c r="B75" t="s">
        <v>309</v>
      </c>
      <c r="C75" s="24">
        <v>46198</v>
      </c>
      <c r="D75" s="24">
        <v>46201</v>
      </c>
      <c r="E75" s="24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5">
        <v>2850</v>
      </c>
      <c r="S75" s="2" t="s">
        <v>20</v>
      </c>
    </row>
    <row r="76" spans="1:20" x14ac:dyDescent="0.3">
      <c r="A76" s="2">
        <v>65</v>
      </c>
      <c r="B76" t="s">
        <v>313</v>
      </c>
      <c r="C76" s="24">
        <v>46256</v>
      </c>
      <c r="D76" s="24">
        <v>46259</v>
      </c>
      <c r="E76" s="24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8">
        <v>2850</v>
      </c>
      <c r="S76" s="2" t="s">
        <v>20</v>
      </c>
    </row>
    <row r="77" spans="1:20" x14ac:dyDescent="0.3">
      <c r="A77" s="2">
        <v>66</v>
      </c>
      <c r="B77" t="s">
        <v>311</v>
      </c>
      <c r="C77" s="24">
        <v>46214</v>
      </c>
      <c r="D77" s="24">
        <v>46222</v>
      </c>
      <c r="E77" s="24">
        <v>46054</v>
      </c>
      <c r="F77" t="s">
        <v>53</v>
      </c>
      <c r="G77" t="s">
        <v>6</v>
      </c>
      <c r="J77" s="203">
        <v>0.1</v>
      </c>
      <c r="K77">
        <v>1</v>
      </c>
      <c r="L77">
        <v>2</v>
      </c>
      <c r="M77" s="116" t="s">
        <v>312</v>
      </c>
      <c r="N77" s="150">
        <v>4521261488</v>
      </c>
      <c r="O77" s="2" t="s">
        <v>179</v>
      </c>
      <c r="Q77" s="2" t="s">
        <v>21</v>
      </c>
      <c r="R77" s="158">
        <v>9180</v>
      </c>
      <c r="S77" s="2" t="s">
        <v>38</v>
      </c>
      <c r="T77">
        <v>2021.24</v>
      </c>
    </row>
    <row r="78" spans="1:20" x14ac:dyDescent="0.3">
      <c r="A78" s="2">
        <v>67</v>
      </c>
      <c r="B78" t="s">
        <v>310</v>
      </c>
      <c r="C78" s="24">
        <v>46260</v>
      </c>
      <c r="D78" s="24">
        <v>46265</v>
      </c>
      <c r="E78" s="24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6"/>
      <c r="Q78" s="2" t="s">
        <v>21</v>
      </c>
      <c r="R78" s="158">
        <v>5750</v>
      </c>
      <c r="S78" s="2" t="s">
        <v>20</v>
      </c>
    </row>
    <row r="79" spans="1:20" x14ac:dyDescent="0.3">
      <c r="A79" s="2">
        <v>68</v>
      </c>
      <c r="B79" t="s">
        <v>315</v>
      </c>
      <c r="C79" s="24">
        <v>46143</v>
      </c>
      <c r="D79" s="24">
        <v>46145</v>
      </c>
      <c r="E79" s="24">
        <v>46055</v>
      </c>
      <c r="F79" t="s">
        <v>53</v>
      </c>
      <c r="G79" t="s">
        <v>35</v>
      </c>
      <c r="H79" s="1" t="s">
        <v>441</v>
      </c>
      <c r="I79" s="2" t="s">
        <v>159</v>
      </c>
      <c r="K79">
        <v>1</v>
      </c>
      <c r="L79">
        <v>1</v>
      </c>
      <c r="N79" s="151">
        <v>4541102606</v>
      </c>
      <c r="P79" s="2" t="s">
        <v>21</v>
      </c>
      <c r="Q79" s="2" t="s">
        <v>20</v>
      </c>
      <c r="R79" s="158">
        <v>1700</v>
      </c>
      <c r="S79" s="2" t="s">
        <v>20</v>
      </c>
    </row>
    <row r="80" spans="1:20" x14ac:dyDescent="0.3">
      <c r="A80" s="2">
        <v>69</v>
      </c>
      <c r="B80" t="s">
        <v>314</v>
      </c>
      <c r="C80" s="24">
        <v>46212</v>
      </c>
      <c r="D80" s="24">
        <v>46215</v>
      </c>
      <c r="E80" s="24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8">
        <v>3225</v>
      </c>
      <c r="S80" s="2" t="s">
        <v>20</v>
      </c>
    </row>
    <row r="81" spans="1:20" x14ac:dyDescent="0.3">
      <c r="A81" s="2">
        <v>70</v>
      </c>
      <c r="B81" t="s">
        <v>322</v>
      </c>
      <c r="C81" s="24">
        <v>46188</v>
      </c>
      <c r="D81" s="24">
        <v>46193</v>
      </c>
      <c r="E81" s="24">
        <v>46056</v>
      </c>
      <c r="F81" t="s">
        <v>53</v>
      </c>
      <c r="G81" t="s">
        <v>6</v>
      </c>
      <c r="K81">
        <v>1</v>
      </c>
      <c r="L81">
        <v>2</v>
      </c>
      <c r="M81" s="116" t="s">
        <v>323</v>
      </c>
      <c r="N81" s="150">
        <v>4561793423</v>
      </c>
      <c r="Q81" s="2" t="s">
        <v>21</v>
      </c>
      <c r="R81" s="158">
        <v>5175</v>
      </c>
      <c r="S81" s="2" t="s">
        <v>21</v>
      </c>
      <c r="T81" t="s">
        <v>324</v>
      </c>
    </row>
    <row r="82" spans="1:20" x14ac:dyDescent="0.3">
      <c r="A82" s="2">
        <v>71</v>
      </c>
      <c r="B82" t="s">
        <v>325</v>
      </c>
      <c r="C82" s="24">
        <v>46260</v>
      </c>
      <c r="D82" s="24">
        <v>46264</v>
      </c>
      <c r="E82" s="24">
        <v>46057</v>
      </c>
      <c r="F82" t="s">
        <v>31</v>
      </c>
      <c r="G82" t="s">
        <v>264</v>
      </c>
      <c r="I82" s="2" t="s">
        <v>159</v>
      </c>
    </row>
    <row r="83" spans="1:20" x14ac:dyDescent="0.3">
      <c r="A83" s="2">
        <v>72</v>
      </c>
      <c r="B83" t="s">
        <v>319</v>
      </c>
      <c r="C83" s="24">
        <v>46145</v>
      </c>
      <c r="D83" s="24">
        <v>46152</v>
      </c>
      <c r="E83" s="24">
        <v>46060</v>
      </c>
      <c r="F83" t="s">
        <v>53</v>
      </c>
      <c r="G83" t="s">
        <v>35</v>
      </c>
      <c r="H83" s="1" t="s">
        <v>437</v>
      </c>
      <c r="I83" s="2" t="s">
        <v>159</v>
      </c>
      <c r="K83">
        <v>1</v>
      </c>
      <c r="L83">
        <v>2</v>
      </c>
      <c r="M83" s="159" t="s">
        <v>320</v>
      </c>
      <c r="N83" s="150">
        <v>4527139833</v>
      </c>
      <c r="Q83" s="2" t="s">
        <v>21</v>
      </c>
      <c r="R83" s="158">
        <v>8050</v>
      </c>
      <c r="S83" s="2" t="s">
        <v>21</v>
      </c>
      <c r="T83" t="s">
        <v>321</v>
      </c>
    </row>
    <row r="84" spans="1:20" x14ac:dyDescent="0.3">
      <c r="A84" s="2">
        <v>73</v>
      </c>
      <c r="B84" t="s">
        <v>318</v>
      </c>
      <c r="C84" s="24">
        <v>46143</v>
      </c>
      <c r="D84" s="24">
        <v>46145</v>
      </c>
      <c r="E84" s="24">
        <v>46061</v>
      </c>
      <c r="F84" t="s">
        <v>53</v>
      </c>
      <c r="G84" t="s">
        <v>264</v>
      </c>
    </row>
    <row r="85" spans="1:20" x14ac:dyDescent="0.3">
      <c r="A85" s="2">
        <v>74</v>
      </c>
      <c r="B85" t="s">
        <v>328</v>
      </c>
      <c r="C85" s="24">
        <v>46236</v>
      </c>
      <c r="D85" s="24">
        <v>46240</v>
      </c>
      <c r="E85" s="24">
        <v>46063</v>
      </c>
      <c r="F85" t="s">
        <v>53</v>
      </c>
      <c r="G85" t="s">
        <v>6</v>
      </c>
      <c r="J85" s="203">
        <v>0.1</v>
      </c>
      <c r="K85">
        <v>2</v>
      </c>
      <c r="L85">
        <v>3</v>
      </c>
      <c r="M85" s="116" t="s">
        <v>329</v>
      </c>
      <c r="Q85" s="2" t="s">
        <v>21</v>
      </c>
      <c r="R85" s="158">
        <v>8460</v>
      </c>
      <c r="S85" s="2" t="s">
        <v>21</v>
      </c>
      <c r="T85" t="s">
        <v>330</v>
      </c>
    </row>
    <row r="86" spans="1:20" x14ac:dyDescent="0.3">
      <c r="A86" s="2">
        <v>74</v>
      </c>
      <c r="M86" s="116"/>
      <c r="R86" s="158"/>
    </row>
    <row r="87" spans="1:20" x14ac:dyDescent="0.3">
      <c r="A87" s="2">
        <v>75</v>
      </c>
      <c r="B87" t="s">
        <v>327</v>
      </c>
      <c r="C87" s="24">
        <v>46276</v>
      </c>
      <c r="D87" s="24">
        <v>46279</v>
      </c>
      <c r="E87" s="24">
        <v>46067</v>
      </c>
      <c r="F87" t="s">
        <v>53</v>
      </c>
      <c r="G87" t="s">
        <v>264</v>
      </c>
      <c r="R87" s="158"/>
    </row>
    <row r="88" spans="1:20" x14ac:dyDescent="0.3">
      <c r="A88" s="2">
        <v>76</v>
      </c>
      <c r="B88" t="s">
        <v>326</v>
      </c>
      <c r="C88" s="24">
        <v>46202</v>
      </c>
      <c r="D88" s="24">
        <v>46206</v>
      </c>
      <c r="E88" s="24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8">
        <v>5100</v>
      </c>
      <c r="S88" s="2" t="s">
        <v>20</v>
      </c>
    </row>
    <row r="89" spans="1:20" x14ac:dyDescent="0.3">
      <c r="A89" s="2">
        <v>77</v>
      </c>
      <c r="B89" t="s">
        <v>331</v>
      </c>
      <c r="C89" s="24">
        <v>46200</v>
      </c>
      <c r="D89" s="24">
        <v>46207</v>
      </c>
      <c r="E89" s="24">
        <v>46069</v>
      </c>
      <c r="F89" t="s">
        <v>53</v>
      </c>
      <c r="G89" t="s">
        <v>6</v>
      </c>
      <c r="K89">
        <v>1</v>
      </c>
      <c r="L89">
        <v>2</v>
      </c>
      <c r="M89" s="159" t="s">
        <v>332</v>
      </c>
      <c r="N89" s="150">
        <v>4525240507</v>
      </c>
      <c r="Q89" s="2" t="s">
        <v>21</v>
      </c>
      <c r="R89" s="187">
        <v>8032.5</v>
      </c>
      <c r="S89" s="2" t="s">
        <v>21</v>
      </c>
      <c r="T89" t="s">
        <v>333</v>
      </c>
    </row>
    <row r="90" spans="1:20" x14ac:dyDescent="0.3">
      <c r="A90" s="2">
        <v>78</v>
      </c>
      <c r="B90" t="s">
        <v>341</v>
      </c>
      <c r="C90" s="24">
        <v>46260</v>
      </c>
      <c r="D90" s="24">
        <v>46268</v>
      </c>
      <c r="E90" s="24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5">
        <v>9200</v>
      </c>
      <c r="S90" s="2" t="s">
        <v>20</v>
      </c>
    </row>
    <row r="91" spans="1:20" x14ac:dyDescent="0.3">
      <c r="A91" s="2">
        <v>79</v>
      </c>
      <c r="B91" t="s">
        <v>36</v>
      </c>
      <c r="C91" s="24">
        <v>46173</v>
      </c>
      <c r="D91" s="24">
        <v>46178</v>
      </c>
      <c r="E91" s="24">
        <v>46073</v>
      </c>
      <c r="F91" t="s">
        <v>53</v>
      </c>
      <c r="G91" t="s">
        <v>6</v>
      </c>
      <c r="J91" s="203">
        <v>0.1</v>
      </c>
      <c r="K91">
        <v>1</v>
      </c>
      <c r="L91">
        <v>2</v>
      </c>
      <c r="M91" s="116" t="s">
        <v>339</v>
      </c>
      <c r="N91" s="150">
        <v>4520646004</v>
      </c>
      <c r="Q91" s="2" t="s">
        <v>21</v>
      </c>
      <c r="R91" s="158">
        <v>5175</v>
      </c>
      <c r="S91" s="2" t="s">
        <v>38</v>
      </c>
      <c r="T91" t="s">
        <v>340</v>
      </c>
    </row>
    <row r="92" spans="1:20" x14ac:dyDescent="0.3">
      <c r="A92" s="2">
        <v>80</v>
      </c>
      <c r="B92" t="s">
        <v>336</v>
      </c>
      <c r="C92" s="24">
        <v>46149</v>
      </c>
      <c r="D92" s="24">
        <v>46152</v>
      </c>
      <c r="E92" s="24">
        <v>46074</v>
      </c>
      <c r="F92" t="s">
        <v>53</v>
      </c>
      <c r="G92" t="s">
        <v>6</v>
      </c>
      <c r="I92" s="2" t="s">
        <v>26</v>
      </c>
      <c r="J92" s="203">
        <v>0.1</v>
      </c>
      <c r="K92">
        <v>2</v>
      </c>
      <c r="L92">
        <v>4</v>
      </c>
      <c r="M92" s="116" t="s">
        <v>337</v>
      </c>
      <c r="N92" s="150">
        <v>4520143818</v>
      </c>
      <c r="Q92" s="2" t="s">
        <v>21</v>
      </c>
      <c r="R92" s="125">
        <v>10350</v>
      </c>
      <c r="S92" s="2" t="s">
        <v>21</v>
      </c>
      <c r="T92" t="s">
        <v>338</v>
      </c>
    </row>
    <row r="93" spans="1:20" x14ac:dyDescent="0.3">
      <c r="A93" s="2">
        <v>80</v>
      </c>
      <c r="M93" s="116"/>
      <c r="N93" s="150"/>
    </row>
    <row r="94" spans="1:20" x14ac:dyDescent="0.3">
      <c r="A94" s="2">
        <v>81</v>
      </c>
      <c r="B94" t="s">
        <v>342</v>
      </c>
      <c r="C94" s="24">
        <v>46218</v>
      </c>
      <c r="D94" s="24">
        <v>46221</v>
      </c>
      <c r="E94" s="24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5">
        <v>3825</v>
      </c>
      <c r="S94" s="2" t="s">
        <v>20</v>
      </c>
    </row>
    <row r="95" spans="1:20" x14ac:dyDescent="0.3">
      <c r="A95" s="2">
        <v>82</v>
      </c>
      <c r="B95" s="183" t="s">
        <v>343</v>
      </c>
      <c r="C95" s="24">
        <v>46143</v>
      </c>
      <c r="D95" s="24">
        <v>46145</v>
      </c>
      <c r="E95" s="24">
        <v>46075</v>
      </c>
      <c r="F95" t="s">
        <v>53</v>
      </c>
      <c r="G95" t="s">
        <v>264</v>
      </c>
      <c r="R95" s="158"/>
    </row>
    <row r="96" spans="1:20" x14ac:dyDescent="0.3">
      <c r="A96" s="2">
        <v>83</v>
      </c>
      <c r="B96" s="186" t="s">
        <v>344</v>
      </c>
      <c r="C96" s="24">
        <v>46187</v>
      </c>
      <c r="D96" s="24">
        <v>46191</v>
      </c>
      <c r="E96" s="24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5">
        <v>4600</v>
      </c>
      <c r="S96" s="2" t="s">
        <v>20</v>
      </c>
    </row>
    <row r="97" spans="1:20" x14ac:dyDescent="0.3">
      <c r="A97" s="2">
        <v>84</v>
      </c>
      <c r="B97" s="183" t="s">
        <v>356</v>
      </c>
      <c r="C97" s="24">
        <v>46212</v>
      </c>
      <c r="D97" s="24">
        <v>46216</v>
      </c>
      <c r="E97" s="24">
        <v>46079</v>
      </c>
      <c r="F97" t="s">
        <v>53</v>
      </c>
      <c r="G97" t="s">
        <v>6</v>
      </c>
      <c r="J97" s="203">
        <v>0.1</v>
      </c>
      <c r="K97">
        <v>1</v>
      </c>
      <c r="L97">
        <v>2</v>
      </c>
      <c r="M97" s="159" t="s">
        <v>357</v>
      </c>
      <c r="N97" s="150">
        <v>4526251564</v>
      </c>
      <c r="O97" s="2" t="s">
        <v>358</v>
      </c>
      <c r="Q97" s="2" t="s">
        <v>20</v>
      </c>
      <c r="R97" s="158">
        <v>3870</v>
      </c>
    </row>
    <row r="98" spans="1:20" x14ac:dyDescent="0.3">
      <c r="A98" s="2">
        <v>85</v>
      </c>
      <c r="B98" t="s">
        <v>355</v>
      </c>
      <c r="C98" s="24">
        <v>46143</v>
      </c>
      <c r="D98" s="24">
        <v>46145</v>
      </c>
      <c r="E98" s="24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51">
        <v>4552167714</v>
      </c>
      <c r="Q98" s="2" t="s">
        <v>20</v>
      </c>
      <c r="R98" s="125">
        <v>1700</v>
      </c>
      <c r="S98" s="2" t="s">
        <v>20</v>
      </c>
    </row>
    <row r="99" spans="1:20" x14ac:dyDescent="0.3">
      <c r="A99" s="2">
        <v>86</v>
      </c>
      <c r="B99" t="s">
        <v>352</v>
      </c>
      <c r="C99" s="24">
        <v>46188</v>
      </c>
      <c r="D99" s="24">
        <v>46195</v>
      </c>
      <c r="E99" s="24">
        <v>46081</v>
      </c>
      <c r="F99" t="s">
        <v>31</v>
      </c>
      <c r="G99" t="s">
        <v>6</v>
      </c>
      <c r="J99" s="203">
        <v>0.1</v>
      </c>
      <c r="K99">
        <v>1</v>
      </c>
      <c r="L99">
        <v>2</v>
      </c>
      <c r="M99" s="116" t="s">
        <v>353</v>
      </c>
      <c r="O99" s="2" t="s">
        <v>354</v>
      </c>
      <c r="Q99" s="2" t="s">
        <v>21</v>
      </c>
      <c r="R99" s="125">
        <v>7245</v>
      </c>
      <c r="S99" s="2" t="s">
        <v>21</v>
      </c>
      <c r="T99">
        <v>20.22</v>
      </c>
    </row>
    <row r="100" spans="1:20" x14ac:dyDescent="0.3">
      <c r="A100" s="2">
        <v>87</v>
      </c>
      <c r="B100" t="s">
        <v>359</v>
      </c>
      <c r="C100" s="24">
        <v>46199</v>
      </c>
      <c r="D100" s="24">
        <v>46202</v>
      </c>
      <c r="E100" s="24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5">
        <v>2975</v>
      </c>
      <c r="S100" s="2" t="s">
        <v>20</v>
      </c>
    </row>
    <row r="101" spans="1:20" x14ac:dyDescent="0.3">
      <c r="A101" s="2">
        <v>88</v>
      </c>
      <c r="B101" t="s">
        <v>366</v>
      </c>
      <c r="C101" s="24">
        <v>46188</v>
      </c>
      <c r="D101" s="24">
        <v>46191</v>
      </c>
      <c r="E101" s="24">
        <v>46089</v>
      </c>
      <c r="F101" t="s">
        <v>31</v>
      </c>
      <c r="G101" t="s">
        <v>264</v>
      </c>
    </row>
    <row r="102" spans="1:20" x14ac:dyDescent="0.3">
      <c r="A102" s="2">
        <v>89</v>
      </c>
      <c r="B102" t="s">
        <v>362</v>
      </c>
      <c r="C102" s="24">
        <v>46276</v>
      </c>
      <c r="D102" s="24">
        <v>46278</v>
      </c>
      <c r="E102" s="24">
        <v>46091</v>
      </c>
      <c r="F102" t="s">
        <v>53</v>
      </c>
      <c r="G102" t="s">
        <v>6</v>
      </c>
      <c r="I102" t="s">
        <v>159</v>
      </c>
      <c r="J102" s="203">
        <v>0.05</v>
      </c>
      <c r="K102">
        <v>2</v>
      </c>
      <c r="L102">
        <v>3</v>
      </c>
      <c r="M102" s="116" t="s">
        <v>363</v>
      </c>
      <c r="N102">
        <v>4540528447</v>
      </c>
      <c r="O102"/>
      <c r="P102" s="2" t="s">
        <v>365</v>
      </c>
      <c r="Q102" s="2" t="s">
        <v>21</v>
      </c>
      <c r="R102" s="125">
        <f>2185+1805</f>
        <v>3990</v>
      </c>
      <c r="S102" s="2" t="s">
        <v>20</v>
      </c>
      <c r="T102" t="s">
        <v>364</v>
      </c>
    </row>
    <row r="103" spans="1:20" x14ac:dyDescent="0.3">
      <c r="I103"/>
      <c r="M103" s="116"/>
      <c r="N103"/>
      <c r="O103"/>
    </row>
    <row r="104" spans="1:20" x14ac:dyDescent="0.3">
      <c r="A104" s="2">
        <v>90</v>
      </c>
      <c r="B104" t="s">
        <v>360</v>
      </c>
      <c r="C104" s="24">
        <v>46156</v>
      </c>
      <c r="D104" s="24">
        <v>46159</v>
      </c>
      <c r="E104" s="24">
        <v>46091</v>
      </c>
      <c r="F104" t="s">
        <v>54</v>
      </c>
      <c r="G104" t="s">
        <v>35</v>
      </c>
      <c r="H104" s="1" t="s">
        <v>361</v>
      </c>
      <c r="I104" t="s">
        <v>156</v>
      </c>
      <c r="J104" s="203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5">
        <v>2850</v>
      </c>
      <c r="S104" s="2" t="s">
        <v>20</v>
      </c>
    </row>
    <row r="105" spans="1:20" x14ac:dyDescent="0.3">
      <c r="A105" s="2">
        <v>91</v>
      </c>
      <c r="B105" t="s">
        <v>367</v>
      </c>
      <c r="C105" s="24">
        <v>46157</v>
      </c>
      <c r="D105" s="24">
        <v>46159</v>
      </c>
      <c r="E105" s="24">
        <v>46095</v>
      </c>
      <c r="F105" t="s">
        <v>53</v>
      </c>
      <c r="G105" t="s">
        <v>6</v>
      </c>
      <c r="I105"/>
      <c r="J105" s="203">
        <v>0.05</v>
      </c>
      <c r="K105">
        <v>1</v>
      </c>
      <c r="L105">
        <v>2</v>
      </c>
      <c r="N105"/>
      <c r="O105" t="s">
        <v>497</v>
      </c>
      <c r="P105" s="2" t="s">
        <v>20</v>
      </c>
      <c r="Q105" s="2" t="s">
        <v>21</v>
      </c>
      <c r="R105" s="197">
        <v>2185</v>
      </c>
      <c r="S105" s="2" t="s">
        <v>20</v>
      </c>
    </row>
    <row r="106" spans="1:20" x14ac:dyDescent="0.3">
      <c r="A106" s="2">
        <v>92</v>
      </c>
      <c r="B106" t="s">
        <v>368</v>
      </c>
      <c r="C106" s="24">
        <v>46241</v>
      </c>
      <c r="D106" s="24">
        <v>46246</v>
      </c>
      <c r="E106" s="24">
        <v>46095</v>
      </c>
      <c r="F106" t="s">
        <v>53</v>
      </c>
      <c r="G106" t="s">
        <v>6</v>
      </c>
      <c r="H106" s="1" t="s">
        <v>369</v>
      </c>
      <c r="I106" t="s">
        <v>159</v>
      </c>
      <c r="J106" s="203">
        <v>0.1</v>
      </c>
      <c r="K106">
        <v>1</v>
      </c>
      <c r="L106">
        <v>2</v>
      </c>
      <c r="M106" s="116" t="s">
        <v>370</v>
      </c>
      <c r="N106"/>
      <c r="O106" t="s">
        <v>371</v>
      </c>
      <c r="P106" s="2" t="s">
        <v>20</v>
      </c>
      <c r="Q106" s="2" t="s">
        <v>20</v>
      </c>
      <c r="R106" s="197">
        <v>4837.5</v>
      </c>
      <c r="S106" s="2" t="s">
        <v>38</v>
      </c>
      <c r="T106" t="s">
        <v>372</v>
      </c>
    </row>
    <row r="107" spans="1:20" x14ac:dyDescent="0.3">
      <c r="A107" s="2">
        <v>93</v>
      </c>
      <c r="B107" t="s">
        <v>373</v>
      </c>
      <c r="C107" s="24">
        <v>46255</v>
      </c>
      <c r="D107" s="24">
        <v>46258</v>
      </c>
      <c r="E107" s="24">
        <v>46095</v>
      </c>
      <c r="F107" t="s">
        <v>31</v>
      </c>
      <c r="G107" t="s">
        <v>35</v>
      </c>
      <c r="H107" s="1" t="s">
        <v>374</v>
      </c>
      <c r="I107" t="s">
        <v>159</v>
      </c>
      <c r="J107" s="203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7">
        <v>2850</v>
      </c>
      <c r="S107" s="2" t="s">
        <v>20</v>
      </c>
    </row>
    <row r="108" spans="1:20" x14ac:dyDescent="0.3">
      <c r="A108" s="2">
        <v>94</v>
      </c>
      <c r="B108" t="s">
        <v>375</v>
      </c>
      <c r="C108" s="24">
        <v>46234</v>
      </c>
      <c r="D108" s="24">
        <v>46237</v>
      </c>
      <c r="E108" s="24">
        <v>46098</v>
      </c>
      <c r="F108" t="s">
        <v>31</v>
      </c>
      <c r="G108" t="s">
        <v>35</v>
      </c>
      <c r="I108"/>
      <c r="J108" s="203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5">
        <v>2925</v>
      </c>
      <c r="S108" s="2" t="s">
        <v>20</v>
      </c>
    </row>
    <row r="109" spans="1:20" x14ac:dyDescent="0.3">
      <c r="A109" s="2">
        <v>95</v>
      </c>
      <c r="B109" t="s">
        <v>376</v>
      </c>
      <c r="C109" s="24">
        <v>46156</v>
      </c>
      <c r="D109" s="24">
        <v>46159</v>
      </c>
      <c r="E109" s="24">
        <v>46098</v>
      </c>
      <c r="F109" t="s">
        <v>54</v>
      </c>
      <c r="G109" t="s">
        <v>35</v>
      </c>
      <c r="I109"/>
      <c r="J109" s="203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5">
        <v>3450</v>
      </c>
      <c r="S109" s="2" t="s">
        <v>20</v>
      </c>
    </row>
    <row r="110" spans="1:20" x14ac:dyDescent="0.3">
      <c r="A110" s="2">
        <v>96</v>
      </c>
      <c r="B110" t="s">
        <v>377</v>
      </c>
      <c r="C110" s="24">
        <v>46159</v>
      </c>
      <c r="D110" s="24">
        <v>46163</v>
      </c>
      <c r="E110" s="24">
        <v>46099</v>
      </c>
      <c r="F110" t="s">
        <v>31</v>
      </c>
      <c r="G110" t="s">
        <v>35</v>
      </c>
      <c r="H110" s="1" t="s">
        <v>378</v>
      </c>
      <c r="I110" t="s">
        <v>156</v>
      </c>
      <c r="J110" s="203">
        <v>0</v>
      </c>
      <c r="K110">
        <v>1</v>
      </c>
      <c r="L110">
        <v>2</v>
      </c>
      <c r="N110" s="76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">
      <c r="A111" s="2">
        <v>97</v>
      </c>
      <c r="B111" t="s">
        <v>379</v>
      </c>
      <c r="C111" s="24">
        <v>46156</v>
      </c>
      <c r="D111" s="24">
        <v>46159</v>
      </c>
      <c r="E111" s="24">
        <v>46102</v>
      </c>
      <c r="F111" t="s">
        <v>53</v>
      </c>
      <c r="G111" t="s">
        <v>35</v>
      </c>
      <c r="H111" s="1">
        <v>1300</v>
      </c>
      <c r="I111" t="s">
        <v>156</v>
      </c>
      <c r="J111" s="203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5">
        <v>2850</v>
      </c>
      <c r="S111" s="2" t="s">
        <v>20</v>
      </c>
    </row>
    <row r="112" spans="1:20" x14ac:dyDescent="0.3">
      <c r="A112" s="2">
        <v>98</v>
      </c>
      <c r="B112" t="s">
        <v>380</v>
      </c>
      <c r="C112" s="24">
        <v>46207</v>
      </c>
      <c r="D112" s="24">
        <v>46210</v>
      </c>
      <c r="E112" s="24">
        <v>46103</v>
      </c>
      <c r="F112" t="s">
        <v>53</v>
      </c>
      <c r="G112" t="s">
        <v>264</v>
      </c>
      <c r="I112"/>
      <c r="J112" s="203">
        <v>0</v>
      </c>
      <c r="N112"/>
      <c r="O112"/>
    </row>
    <row r="113" spans="1:20" x14ac:dyDescent="0.3">
      <c r="A113" s="2">
        <v>99</v>
      </c>
      <c r="B113" t="s">
        <v>381</v>
      </c>
      <c r="C113" s="24">
        <v>46171</v>
      </c>
      <c r="D113" s="24">
        <v>46173</v>
      </c>
      <c r="E113" s="24">
        <v>46104</v>
      </c>
      <c r="F113" t="s">
        <v>53</v>
      </c>
      <c r="G113" t="s">
        <v>6</v>
      </c>
      <c r="I113"/>
      <c r="J113" s="203">
        <v>0.1</v>
      </c>
      <c r="K113">
        <v>1</v>
      </c>
      <c r="L113">
        <v>2</v>
      </c>
      <c r="M113" s="116" t="s">
        <v>382</v>
      </c>
      <c r="N113" t="s">
        <v>383</v>
      </c>
      <c r="O113" t="s">
        <v>384</v>
      </c>
      <c r="P113" s="2" t="s">
        <v>20</v>
      </c>
      <c r="Q113" s="2" t="s">
        <v>21</v>
      </c>
      <c r="R113" s="125">
        <v>2070</v>
      </c>
      <c r="S113" s="2" t="s">
        <v>21</v>
      </c>
      <c r="T113" t="s">
        <v>385</v>
      </c>
    </row>
    <row r="114" spans="1:20" x14ac:dyDescent="0.3">
      <c r="A114" s="2">
        <v>100</v>
      </c>
      <c r="B114" t="s">
        <v>386</v>
      </c>
      <c r="C114" s="24">
        <v>46279</v>
      </c>
      <c r="D114" s="24">
        <v>46281</v>
      </c>
      <c r="E114" s="24">
        <v>46104</v>
      </c>
      <c r="F114" t="s">
        <v>53</v>
      </c>
      <c r="G114" t="s">
        <v>35</v>
      </c>
      <c r="H114" s="1" t="s">
        <v>498</v>
      </c>
      <c r="I114" t="s">
        <v>156</v>
      </c>
      <c r="J114" s="203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5">
        <v>1900</v>
      </c>
      <c r="S114" s="2" t="s">
        <v>20</v>
      </c>
    </row>
    <row r="115" spans="1:20" x14ac:dyDescent="0.3">
      <c r="A115" s="2">
        <v>101</v>
      </c>
      <c r="B115" t="s">
        <v>387</v>
      </c>
      <c r="C115" s="24">
        <v>46279</v>
      </c>
      <c r="D115" s="24">
        <v>46281</v>
      </c>
      <c r="E115" s="24">
        <v>46104</v>
      </c>
      <c r="F115" t="s">
        <v>53</v>
      </c>
      <c r="G115" t="s">
        <v>35</v>
      </c>
      <c r="H115" s="1" t="s">
        <v>498</v>
      </c>
      <c r="I115" t="s">
        <v>159</v>
      </c>
      <c r="J115" s="203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5">
        <v>1700</v>
      </c>
      <c r="S115" s="2" t="s">
        <v>20</v>
      </c>
    </row>
    <row r="116" spans="1:20" x14ac:dyDescent="0.3">
      <c r="A116" s="2">
        <v>102</v>
      </c>
      <c r="B116" t="s">
        <v>388</v>
      </c>
      <c r="C116" s="24">
        <v>46172</v>
      </c>
      <c r="D116" s="24">
        <v>46174</v>
      </c>
      <c r="E116" s="24">
        <v>46106</v>
      </c>
      <c r="F116" t="s">
        <v>53</v>
      </c>
      <c r="G116" t="s">
        <v>264</v>
      </c>
      <c r="I116"/>
      <c r="N116"/>
      <c r="O116"/>
    </row>
    <row r="117" spans="1:20" x14ac:dyDescent="0.3">
      <c r="A117" s="2">
        <v>103</v>
      </c>
      <c r="B117" t="s">
        <v>389</v>
      </c>
      <c r="C117" s="24">
        <v>46277</v>
      </c>
      <c r="D117" s="24">
        <v>46284</v>
      </c>
      <c r="E117" s="24">
        <v>46107</v>
      </c>
      <c r="F117" t="s">
        <v>53</v>
      </c>
      <c r="G117" t="s">
        <v>6</v>
      </c>
      <c r="I117" t="s">
        <v>159</v>
      </c>
      <c r="J117" s="203">
        <v>0.1</v>
      </c>
      <c r="K117">
        <v>1</v>
      </c>
      <c r="L117">
        <v>2</v>
      </c>
      <c r="M117" s="116" t="s">
        <v>390</v>
      </c>
      <c r="N117"/>
      <c r="O117"/>
      <c r="P117" s="2" t="s">
        <v>20</v>
      </c>
      <c r="Q117" s="2" t="s">
        <v>21</v>
      </c>
      <c r="R117" s="125">
        <v>6210</v>
      </c>
      <c r="S117" s="2" t="s">
        <v>20</v>
      </c>
    </row>
    <row r="118" spans="1:20" x14ac:dyDescent="0.3">
      <c r="A118" s="2">
        <v>104</v>
      </c>
      <c r="B118" t="s">
        <v>391</v>
      </c>
      <c r="C118" s="24">
        <v>46204</v>
      </c>
      <c r="D118" s="24">
        <v>46207</v>
      </c>
      <c r="E118" s="24">
        <v>46107</v>
      </c>
      <c r="F118" t="s">
        <v>53</v>
      </c>
      <c r="G118" t="s">
        <v>35</v>
      </c>
      <c r="I118"/>
      <c r="J118" s="203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5">
        <v>3225</v>
      </c>
      <c r="S118" s="2" t="s">
        <v>20</v>
      </c>
    </row>
    <row r="119" spans="1:20" x14ac:dyDescent="0.3">
      <c r="A119" s="2">
        <v>105</v>
      </c>
      <c r="B119" t="s">
        <v>397</v>
      </c>
      <c r="C119" s="198">
        <v>46260</v>
      </c>
      <c r="D119" s="198">
        <v>46264</v>
      </c>
      <c r="E119" s="198">
        <v>46108</v>
      </c>
      <c r="F119" t="s">
        <v>53</v>
      </c>
      <c r="G119" t="s">
        <v>35</v>
      </c>
      <c r="I119"/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5">
        <v>3400</v>
      </c>
      <c r="S119" s="2" t="s">
        <v>20</v>
      </c>
    </row>
    <row r="120" spans="1:20" x14ac:dyDescent="0.3">
      <c r="A120" s="2">
        <v>106</v>
      </c>
      <c r="B120" t="s">
        <v>396</v>
      </c>
      <c r="C120" s="198">
        <v>46207</v>
      </c>
      <c r="D120" s="198">
        <v>46210</v>
      </c>
      <c r="E120" s="198">
        <v>46109</v>
      </c>
      <c r="F120" t="s">
        <v>53</v>
      </c>
      <c r="G120" t="s">
        <v>35</v>
      </c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5">
        <v>3225</v>
      </c>
      <c r="S120" s="2" t="s">
        <v>20</v>
      </c>
    </row>
    <row r="121" spans="1:20" x14ac:dyDescent="0.3">
      <c r="A121" s="2">
        <v>107</v>
      </c>
      <c r="B121" t="s">
        <v>393</v>
      </c>
      <c r="C121" s="198">
        <v>46160</v>
      </c>
      <c r="D121" s="198">
        <v>46164</v>
      </c>
      <c r="E121" s="198">
        <v>46109</v>
      </c>
      <c r="F121" t="s">
        <v>394</v>
      </c>
      <c r="G121" t="s">
        <v>6</v>
      </c>
      <c r="H121" s="1">
        <v>1500</v>
      </c>
      <c r="I121"/>
      <c r="J121" s="203">
        <v>0.05</v>
      </c>
      <c r="K121">
        <v>1</v>
      </c>
      <c r="L121">
        <v>2</v>
      </c>
      <c r="M121" t="s">
        <v>395</v>
      </c>
      <c r="N121"/>
      <c r="O121"/>
      <c r="P121" s="2" t="s">
        <v>20</v>
      </c>
      <c r="Q121" s="2" t="s">
        <v>21</v>
      </c>
      <c r="R121" s="125">
        <v>4370</v>
      </c>
      <c r="S121" s="2" t="s">
        <v>20</v>
      </c>
    </row>
    <row r="122" spans="1:20" x14ac:dyDescent="0.3">
      <c r="A122" s="2">
        <v>108</v>
      </c>
      <c r="B122" t="s">
        <v>430</v>
      </c>
      <c r="C122" s="198">
        <v>46159</v>
      </c>
      <c r="D122" s="198">
        <v>46163</v>
      </c>
      <c r="E122" s="198">
        <v>46118</v>
      </c>
      <c r="F122" t="s">
        <v>53</v>
      </c>
      <c r="G122" t="s">
        <v>6</v>
      </c>
      <c r="I122"/>
      <c r="J122" s="211">
        <v>0.05</v>
      </c>
      <c r="K122">
        <v>1</v>
      </c>
      <c r="L122">
        <v>2</v>
      </c>
      <c r="M122" t="s">
        <v>431</v>
      </c>
      <c r="N122">
        <v>4520241122</v>
      </c>
      <c r="O122" t="s">
        <v>432</v>
      </c>
      <c r="P122" s="2" t="s">
        <v>20</v>
      </c>
      <c r="Q122" s="2" t="s">
        <v>21</v>
      </c>
      <c r="R122" s="125">
        <v>4370</v>
      </c>
      <c r="S122" s="2" t="s">
        <v>20</v>
      </c>
    </row>
    <row r="123" spans="1:20" x14ac:dyDescent="0.3">
      <c r="A123" s="2">
        <v>109</v>
      </c>
      <c r="B123" t="s">
        <v>434</v>
      </c>
      <c r="C123" s="198">
        <v>46192</v>
      </c>
      <c r="D123" s="198">
        <v>46195</v>
      </c>
      <c r="E123" s="198">
        <v>46115</v>
      </c>
      <c r="F123" t="s">
        <v>31</v>
      </c>
      <c r="G123" t="s">
        <v>35</v>
      </c>
      <c r="I123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5">
        <v>2850</v>
      </c>
      <c r="S123" s="2" t="s">
        <v>20</v>
      </c>
    </row>
    <row r="124" spans="1:20" x14ac:dyDescent="0.3">
      <c r="A124" s="2">
        <v>110</v>
      </c>
      <c r="B124" t="s">
        <v>435</v>
      </c>
      <c r="C124" s="198">
        <v>46143</v>
      </c>
      <c r="D124" s="198">
        <v>46145</v>
      </c>
      <c r="E124" s="198">
        <v>46117</v>
      </c>
      <c r="F124" t="s">
        <v>458</v>
      </c>
      <c r="G124" t="s">
        <v>35</v>
      </c>
      <c r="I124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5">
        <v>1900</v>
      </c>
      <c r="S124" s="2" t="s">
        <v>20</v>
      </c>
    </row>
    <row r="125" spans="1:20" x14ac:dyDescent="0.3">
      <c r="A125" s="2">
        <v>111</v>
      </c>
      <c r="B125" t="s">
        <v>442</v>
      </c>
      <c r="C125" s="198">
        <v>46178</v>
      </c>
      <c r="D125" s="198">
        <v>46181</v>
      </c>
      <c r="E125" s="198">
        <v>46120</v>
      </c>
      <c r="F125" t="s">
        <v>53</v>
      </c>
      <c r="G125" t="s">
        <v>264</v>
      </c>
      <c r="I125"/>
      <c r="J125">
        <v>0</v>
      </c>
      <c r="N125"/>
      <c r="O125"/>
      <c r="P125"/>
      <c r="Q125"/>
      <c r="R125"/>
      <c r="S125"/>
    </row>
    <row r="126" spans="1:20" x14ac:dyDescent="0.3">
      <c r="A126" s="2">
        <v>112</v>
      </c>
      <c r="B126" t="s">
        <v>443</v>
      </c>
      <c r="C126" s="198">
        <v>46195</v>
      </c>
      <c r="D126" s="198">
        <v>46199</v>
      </c>
      <c r="E126" s="198">
        <v>46121</v>
      </c>
      <c r="F126" t="s">
        <v>53</v>
      </c>
      <c r="G126" t="s">
        <v>35</v>
      </c>
      <c r="I126" t="s">
        <v>444</v>
      </c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4600</v>
      </c>
      <c r="S126" s="2" t="s">
        <v>20</v>
      </c>
    </row>
    <row r="127" spans="1:20" x14ac:dyDescent="0.3">
      <c r="A127" s="2">
        <v>113</v>
      </c>
      <c r="B127" t="s">
        <v>445</v>
      </c>
      <c r="C127" s="198">
        <v>46269</v>
      </c>
      <c r="D127" s="198">
        <v>46271</v>
      </c>
      <c r="E127" s="198">
        <v>46122</v>
      </c>
      <c r="F127" t="s">
        <v>53</v>
      </c>
      <c r="G127" t="s">
        <v>35</v>
      </c>
      <c r="I127"/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5">
        <v>1700</v>
      </c>
      <c r="S127" s="2" t="s">
        <v>20</v>
      </c>
    </row>
    <row r="128" spans="1:20" x14ac:dyDescent="0.3">
      <c r="A128" s="2">
        <v>114</v>
      </c>
      <c r="B128" t="s">
        <v>446</v>
      </c>
      <c r="C128" s="198">
        <v>46243</v>
      </c>
      <c r="D128" s="198">
        <v>46246</v>
      </c>
      <c r="E128" s="198">
        <v>46125</v>
      </c>
      <c r="F128" t="s">
        <v>53</v>
      </c>
      <c r="G128" t="s">
        <v>6</v>
      </c>
      <c r="I128"/>
      <c r="J128" s="211">
        <v>0.1</v>
      </c>
      <c r="K128">
        <v>1</v>
      </c>
      <c r="L128">
        <v>2</v>
      </c>
      <c r="N128" t="s">
        <v>447</v>
      </c>
      <c r="O128"/>
      <c r="P128" s="2" t="s">
        <v>20</v>
      </c>
      <c r="Q128" s="2" t="s">
        <v>21</v>
      </c>
      <c r="R128" s="125">
        <v>3442.5</v>
      </c>
      <c r="S128" s="2" t="s">
        <v>21</v>
      </c>
      <c r="T128" t="s">
        <v>448</v>
      </c>
    </row>
    <row r="129" spans="1:20" x14ac:dyDescent="0.3">
      <c r="A129" s="2">
        <v>115</v>
      </c>
      <c r="B129" t="s">
        <v>449</v>
      </c>
      <c r="C129" s="198">
        <v>46233</v>
      </c>
      <c r="D129" s="198">
        <v>46236</v>
      </c>
      <c r="E129" s="198">
        <v>46125</v>
      </c>
      <c r="F129" t="s">
        <v>53</v>
      </c>
      <c r="G129" t="s">
        <v>6</v>
      </c>
      <c r="I129"/>
      <c r="J129" s="211">
        <v>0.1</v>
      </c>
      <c r="K129">
        <v>1</v>
      </c>
      <c r="L129">
        <v>2</v>
      </c>
      <c r="M129" t="s">
        <v>450</v>
      </c>
      <c r="N129"/>
      <c r="O129"/>
      <c r="P129" s="2" t="s">
        <v>20</v>
      </c>
      <c r="Q129" s="2" t="s">
        <v>21</v>
      </c>
      <c r="R129" s="125">
        <v>3442.5</v>
      </c>
      <c r="S129" s="2" t="s">
        <v>451</v>
      </c>
    </row>
    <row r="130" spans="1:20" x14ac:dyDescent="0.3">
      <c r="A130" s="2">
        <v>116</v>
      </c>
      <c r="B130" t="s">
        <v>454</v>
      </c>
      <c r="C130" s="24">
        <v>46177</v>
      </c>
      <c r="D130" s="24">
        <v>46180</v>
      </c>
      <c r="E130" s="24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5">
        <v>2850</v>
      </c>
      <c r="S130" s="2" t="s">
        <v>20</v>
      </c>
    </row>
    <row r="131" spans="1:20" x14ac:dyDescent="0.3">
      <c r="A131" s="2">
        <v>117</v>
      </c>
      <c r="B131" t="s">
        <v>452</v>
      </c>
      <c r="C131" s="24">
        <v>46173</v>
      </c>
      <c r="D131" s="24">
        <v>46178</v>
      </c>
      <c r="E131" s="24">
        <v>46130</v>
      </c>
      <c r="F131" t="s">
        <v>53</v>
      </c>
      <c r="G131" t="s">
        <v>35</v>
      </c>
      <c r="H131" s="1" t="s">
        <v>453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5">
        <v>5750</v>
      </c>
      <c r="S131" s="2" t="s">
        <v>21</v>
      </c>
      <c r="T131">
        <v>2019</v>
      </c>
    </row>
    <row r="132" spans="1:20" x14ac:dyDescent="0.3">
      <c r="A132" s="2">
        <v>118</v>
      </c>
      <c r="B132" t="s">
        <v>456</v>
      </c>
      <c r="C132" s="198">
        <v>46272</v>
      </c>
      <c r="D132" s="198">
        <v>46275</v>
      </c>
      <c r="E132" s="198">
        <v>46132</v>
      </c>
      <c r="F132" t="s">
        <v>53</v>
      </c>
      <c r="G132" t="s">
        <v>35</v>
      </c>
      <c r="H132" s="1" t="s">
        <v>441</v>
      </c>
      <c r="I132"/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5">
        <v>2850</v>
      </c>
      <c r="S132" s="2" t="s">
        <v>20</v>
      </c>
    </row>
    <row r="133" spans="1:20" x14ac:dyDescent="0.3">
      <c r="A133" s="2">
        <v>119</v>
      </c>
      <c r="B133" t="s">
        <v>457</v>
      </c>
      <c r="C133" s="198">
        <v>46179</v>
      </c>
      <c r="D133" s="198">
        <v>46182</v>
      </c>
      <c r="E133" s="198">
        <v>46135</v>
      </c>
      <c r="F133" t="s">
        <v>458</v>
      </c>
      <c r="G133" t="s">
        <v>35</v>
      </c>
      <c r="H133" s="1">
        <v>1230</v>
      </c>
      <c r="I133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5">
        <v>3450</v>
      </c>
      <c r="S133" s="2" t="s">
        <v>20</v>
      </c>
    </row>
    <row r="134" spans="1:20" x14ac:dyDescent="0.3">
      <c r="A134" s="2">
        <v>120</v>
      </c>
      <c r="B134" t="s">
        <v>461</v>
      </c>
      <c r="C134" s="198">
        <v>46257</v>
      </c>
      <c r="D134" s="198">
        <v>46260</v>
      </c>
      <c r="E134" s="198">
        <v>46137</v>
      </c>
      <c r="F134" t="s">
        <v>53</v>
      </c>
      <c r="G134" t="s">
        <v>6</v>
      </c>
      <c r="I134" t="s">
        <v>296</v>
      </c>
      <c r="J134" s="211">
        <v>0.1</v>
      </c>
      <c r="K134">
        <v>1</v>
      </c>
      <c r="L134">
        <v>2</v>
      </c>
      <c r="M134" t="s">
        <v>462</v>
      </c>
      <c r="N134" t="s">
        <v>463</v>
      </c>
      <c r="O134" t="s">
        <v>464</v>
      </c>
      <c r="P134" s="2" t="s">
        <v>20</v>
      </c>
      <c r="Q134" s="2" t="s">
        <v>21</v>
      </c>
      <c r="R134" s="125">
        <v>0</v>
      </c>
      <c r="S134" s="2" t="s">
        <v>21</v>
      </c>
      <c r="T134" t="s">
        <v>465</v>
      </c>
    </row>
    <row r="135" spans="1:20" x14ac:dyDescent="0.3">
      <c r="A135" s="2">
        <v>121</v>
      </c>
      <c r="B135" t="s">
        <v>466</v>
      </c>
      <c r="C135" s="198">
        <v>46247</v>
      </c>
      <c r="D135" s="198">
        <v>46250</v>
      </c>
      <c r="E135" s="198">
        <v>46137</v>
      </c>
      <c r="F135" t="s">
        <v>53</v>
      </c>
      <c r="G135" t="s">
        <v>6</v>
      </c>
      <c r="I135"/>
      <c r="J135" s="211">
        <v>0.05</v>
      </c>
      <c r="K135">
        <v>1</v>
      </c>
      <c r="L135">
        <v>2</v>
      </c>
      <c r="M135" t="s">
        <v>467</v>
      </c>
      <c r="N135" t="s">
        <v>468</v>
      </c>
      <c r="O135" t="s">
        <v>469</v>
      </c>
      <c r="P135" s="2" t="s">
        <v>20</v>
      </c>
      <c r="Q135" s="2" t="s">
        <v>21</v>
      </c>
      <c r="R135" s="125">
        <v>3277.5</v>
      </c>
      <c r="S135" s="2" t="s">
        <v>20</v>
      </c>
      <c r="T135" t="s">
        <v>470</v>
      </c>
    </row>
    <row r="136" spans="1:20" x14ac:dyDescent="0.3">
      <c r="A136" s="2">
        <v>122</v>
      </c>
      <c r="B136" t="s">
        <v>471</v>
      </c>
      <c r="C136" s="198">
        <v>46257</v>
      </c>
      <c r="D136" s="198">
        <v>46259</v>
      </c>
      <c r="E136" s="198">
        <v>46140</v>
      </c>
      <c r="F136" t="s">
        <v>53</v>
      </c>
      <c r="G136" t="s">
        <v>6</v>
      </c>
      <c r="I136"/>
      <c r="J136" s="211">
        <v>0.05</v>
      </c>
      <c r="K136">
        <v>1</v>
      </c>
      <c r="L136">
        <v>2</v>
      </c>
      <c r="M136" t="s">
        <v>472</v>
      </c>
      <c r="N136"/>
      <c r="O136"/>
      <c r="P136" s="2" t="s">
        <v>20</v>
      </c>
      <c r="Q136" s="2" t="s">
        <v>21</v>
      </c>
      <c r="R136" s="125">
        <v>2185</v>
      </c>
      <c r="S136" s="2" t="s">
        <v>20</v>
      </c>
    </row>
    <row r="137" spans="1:20" x14ac:dyDescent="0.3">
      <c r="A137" s="2">
        <v>123</v>
      </c>
      <c r="B137" t="s">
        <v>481</v>
      </c>
      <c r="C137" s="198">
        <v>46262</v>
      </c>
      <c r="D137" s="198">
        <v>46269</v>
      </c>
      <c r="E137" s="198">
        <v>46145</v>
      </c>
      <c r="F137" t="s">
        <v>31</v>
      </c>
      <c r="G137" t="s">
        <v>6</v>
      </c>
      <c r="I137"/>
      <c r="J137" s="211">
        <v>0.1</v>
      </c>
      <c r="K137">
        <v>1</v>
      </c>
      <c r="L137">
        <v>2</v>
      </c>
      <c r="M137" t="s">
        <v>482</v>
      </c>
      <c r="N137" t="s">
        <v>483</v>
      </c>
      <c r="O137" t="s">
        <v>484</v>
      </c>
      <c r="P137" s="2" t="s">
        <v>20</v>
      </c>
      <c r="Q137" s="2" t="s">
        <v>21</v>
      </c>
      <c r="R137" s="125">
        <v>7245</v>
      </c>
      <c r="S137" s="2" t="s">
        <v>21</v>
      </c>
      <c r="T137" t="s">
        <v>485</v>
      </c>
    </row>
    <row r="138" spans="1:20" x14ac:dyDescent="0.3">
      <c r="A138" s="2">
        <v>124</v>
      </c>
      <c r="B138" t="s">
        <v>486</v>
      </c>
      <c r="C138" s="198">
        <v>46286</v>
      </c>
      <c r="D138" s="198">
        <v>46291</v>
      </c>
      <c r="E138" s="198">
        <v>46146</v>
      </c>
      <c r="F138" t="s">
        <v>31</v>
      </c>
      <c r="G138" t="s">
        <v>35</v>
      </c>
      <c r="I138"/>
      <c r="J138" s="211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5">
        <v>4750</v>
      </c>
      <c r="S138" s="2" t="s">
        <v>20</v>
      </c>
    </row>
    <row r="139" spans="1:20" x14ac:dyDescent="0.3">
      <c r="A139" s="2">
        <v>125</v>
      </c>
      <c r="B139" t="s">
        <v>487</v>
      </c>
      <c r="C139" s="198">
        <v>46171</v>
      </c>
      <c r="D139" s="198">
        <v>46173</v>
      </c>
      <c r="E139" s="198">
        <v>46149</v>
      </c>
      <c r="F139" t="s">
        <v>53</v>
      </c>
      <c r="G139" t="s">
        <v>35</v>
      </c>
      <c r="H139" s="1">
        <v>1400</v>
      </c>
      <c r="I139" t="s">
        <v>156</v>
      </c>
      <c r="J139" s="211">
        <v>0</v>
      </c>
      <c r="K139">
        <v>1</v>
      </c>
      <c r="L139">
        <v>2</v>
      </c>
      <c r="N139"/>
      <c r="O139"/>
      <c r="P139" s="2" t="s">
        <v>20</v>
      </c>
      <c r="Q139" s="2" t="s">
        <v>21</v>
      </c>
      <c r="R139" s="125">
        <v>2300</v>
      </c>
      <c r="S139" s="2" t="s">
        <v>20</v>
      </c>
    </row>
    <row r="140" spans="1:20" x14ac:dyDescent="0.3">
      <c r="A140" s="2">
        <v>126</v>
      </c>
      <c r="B140" t="s">
        <v>172</v>
      </c>
      <c r="C140" s="198">
        <v>46266</v>
      </c>
      <c r="D140" s="198">
        <v>46270</v>
      </c>
      <c r="E140" s="198">
        <v>46154</v>
      </c>
      <c r="F140" t="s">
        <v>53</v>
      </c>
      <c r="G140" t="s">
        <v>6</v>
      </c>
      <c r="H140" s="1" t="s">
        <v>252</v>
      </c>
      <c r="I140" t="s">
        <v>444</v>
      </c>
      <c r="J140" s="211">
        <v>0.1</v>
      </c>
      <c r="K140">
        <v>2</v>
      </c>
      <c r="L140">
        <v>3</v>
      </c>
      <c r="M140" t="s">
        <v>489</v>
      </c>
      <c r="N140" t="s">
        <v>490</v>
      </c>
      <c r="O140"/>
      <c r="P140" s="2" t="s">
        <v>21</v>
      </c>
      <c r="Q140" s="2" t="s">
        <v>21</v>
      </c>
      <c r="R140" s="125">
        <v>7560</v>
      </c>
      <c r="S140" s="2" t="s">
        <v>21</v>
      </c>
      <c r="T140" t="s">
        <v>491</v>
      </c>
    </row>
    <row r="141" spans="1:20" x14ac:dyDescent="0.3">
      <c r="A141" s="2">
        <v>126</v>
      </c>
      <c r="C141" s="198"/>
      <c r="D141" s="198"/>
      <c r="E141" s="198"/>
      <c r="I141"/>
      <c r="J141" s="211"/>
      <c r="N141"/>
      <c r="O141"/>
    </row>
    <row r="142" spans="1:20" x14ac:dyDescent="0.3">
      <c r="A142" s="2">
        <v>127</v>
      </c>
      <c r="B142" t="s">
        <v>492</v>
      </c>
      <c r="C142" s="198">
        <v>46188</v>
      </c>
      <c r="D142" s="198">
        <v>46191</v>
      </c>
      <c r="E142" s="198">
        <v>46153</v>
      </c>
      <c r="F142" t="s">
        <v>53</v>
      </c>
      <c r="G142" t="s">
        <v>35</v>
      </c>
      <c r="I142"/>
      <c r="J142" s="211">
        <v>0</v>
      </c>
      <c r="K142">
        <v>1</v>
      </c>
      <c r="L142">
        <v>1</v>
      </c>
      <c r="N142"/>
      <c r="O142"/>
      <c r="P142" s="2" t="s">
        <v>21</v>
      </c>
      <c r="Q142" s="2" t="s">
        <v>20</v>
      </c>
      <c r="R142" s="125">
        <v>2550</v>
      </c>
      <c r="S142" s="2" t="s">
        <v>20</v>
      </c>
    </row>
    <row r="143" spans="1:20" x14ac:dyDescent="0.3">
      <c r="A143" s="2">
        <v>128</v>
      </c>
      <c r="B143" t="s">
        <v>493</v>
      </c>
      <c r="C143" s="198">
        <v>46169</v>
      </c>
      <c r="D143" s="198">
        <v>46173</v>
      </c>
      <c r="E143" s="198">
        <v>46154</v>
      </c>
      <c r="F143" t="s">
        <v>53</v>
      </c>
      <c r="G143" t="s">
        <v>35</v>
      </c>
      <c r="H143" s="1">
        <v>1430</v>
      </c>
      <c r="I143" t="s">
        <v>159</v>
      </c>
      <c r="J143" s="211">
        <v>0</v>
      </c>
      <c r="K143">
        <v>1</v>
      </c>
      <c r="L143">
        <v>2</v>
      </c>
      <c r="N143"/>
      <c r="O143"/>
      <c r="P143" s="2" t="s">
        <v>20</v>
      </c>
      <c r="Q143" s="2" t="s">
        <v>20</v>
      </c>
      <c r="R143" s="125">
        <v>3800</v>
      </c>
      <c r="S143" s="2" t="s">
        <v>20</v>
      </c>
    </row>
    <row r="144" spans="1:20" x14ac:dyDescent="0.3">
      <c r="A144" s="2">
        <v>129</v>
      </c>
      <c r="B144" t="s">
        <v>495</v>
      </c>
      <c r="C144" s="198">
        <v>46194</v>
      </c>
      <c r="D144" s="198">
        <v>46197</v>
      </c>
      <c r="E144" s="198">
        <v>46154</v>
      </c>
      <c r="F144" t="s">
        <v>54</v>
      </c>
      <c r="G144" t="s">
        <v>35</v>
      </c>
      <c r="I144"/>
      <c r="J144" s="211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5">
        <v>2550</v>
      </c>
      <c r="S144" s="2" t="s">
        <v>20</v>
      </c>
    </row>
    <row r="145" spans="1:20" x14ac:dyDescent="0.3">
      <c r="A145" s="2">
        <v>130</v>
      </c>
      <c r="B145" t="s">
        <v>494</v>
      </c>
      <c r="C145" s="198">
        <v>46194</v>
      </c>
      <c r="D145" s="198">
        <v>46197</v>
      </c>
      <c r="E145" s="198">
        <v>46159</v>
      </c>
      <c r="F145" t="s">
        <v>54</v>
      </c>
      <c r="G145" t="s">
        <v>35</v>
      </c>
      <c r="I145"/>
      <c r="J145" s="215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5">
        <v>2550</v>
      </c>
      <c r="S145" s="2" t="s">
        <v>20</v>
      </c>
    </row>
    <row r="146" spans="1:20" x14ac:dyDescent="0.3">
      <c r="A146" s="2">
        <v>131</v>
      </c>
      <c r="B146" t="s">
        <v>496</v>
      </c>
      <c r="C146" s="198">
        <v>46219</v>
      </c>
      <c r="D146" s="198">
        <v>46222</v>
      </c>
      <c r="E146" s="198">
        <v>46157</v>
      </c>
      <c r="F146" t="s">
        <v>53</v>
      </c>
      <c r="G146" t="s">
        <v>35</v>
      </c>
      <c r="I146"/>
      <c r="J146" s="215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5">
        <v>3225</v>
      </c>
      <c r="S146" s="2" t="s">
        <v>20</v>
      </c>
    </row>
    <row r="147" spans="1:20" x14ac:dyDescent="0.3">
      <c r="A147" s="2">
        <v>132</v>
      </c>
      <c r="B147" t="s">
        <v>500</v>
      </c>
      <c r="C147" s="198">
        <v>46234</v>
      </c>
      <c r="D147" s="198">
        <v>46237</v>
      </c>
      <c r="E147" s="198">
        <v>46159</v>
      </c>
      <c r="F147" t="s">
        <v>54</v>
      </c>
      <c r="G147" t="s">
        <v>35</v>
      </c>
      <c r="H147"/>
      <c r="I147"/>
      <c r="J147" s="211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5">
        <v>3825</v>
      </c>
      <c r="S147" s="2" t="s">
        <v>20</v>
      </c>
    </row>
    <row r="148" spans="1:20" x14ac:dyDescent="0.3">
      <c r="A148" s="2">
        <v>133</v>
      </c>
      <c r="B148" t="s">
        <v>501</v>
      </c>
      <c r="C148" s="198">
        <v>46252</v>
      </c>
      <c r="D148" s="198">
        <v>46254</v>
      </c>
      <c r="E148" s="198">
        <v>46160</v>
      </c>
      <c r="F148" t="s">
        <v>53</v>
      </c>
      <c r="G148" t="s">
        <v>6</v>
      </c>
      <c r="H148"/>
      <c r="I148" t="s">
        <v>444</v>
      </c>
      <c r="J148" s="211">
        <v>0.1</v>
      </c>
      <c r="K148">
        <v>1</v>
      </c>
      <c r="L148">
        <v>2</v>
      </c>
      <c r="M148" t="s">
        <v>505</v>
      </c>
      <c r="N148" t="s">
        <v>502</v>
      </c>
      <c r="O148"/>
      <c r="P148" s="2" t="s">
        <v>20</v>
      </c>
      <c r="Q148" s="2" t="s">
        <v>20</v>
      </c>
      <c r="R148" s="125">
        <v>1710</v>
      </c>
      <c r="S148" s="2" t="s">
        <v>20</v>
      </c>
    </row>
    <row r="149" spans="1:20" x14ac:dyDescent="0.3">
      <c r="A149" s="2">
        <v>134</v>
      </c>
      <c r="B149" t="s">
        <v>503</v>
      </c>
      <c r="C149" s="198">
        <v>46274</v>
      </c>
      <c r="D149" s="198">
        <v>46277</v>
      </c>
      <c r="E149" s="198">
        <v>46160</v>
      </c>
      <c r="F149" t="s">
        <v>53</v>
      </c>
      <c r="G149" t="s">
        <v>35</v>
      </c>
      <c r="H149"/>
      <c r="I149"/>
      <c r="J149" s="211">
        <v>0</v>
      </c>
      <c r="K149">
        <v>1</v>
      </c>
      <c r="L149">
        <v>2</v>
      </c>
      <c r="N149"/>
      <c r="O149"/>
      <c r="P149" s="2" t="s">
        <v>20</v>
      </c>
      <c r="Q149" s="2" t="s">
        <v>21</v>
      </c>
      <c r="R149" s="125">
        <v>3450</v>
      </c>
      <c r="S149" s="2" t="s">
        <v>20</v>
      </c>
    </row>
    <row r="150" spans="1:20" x14ac:dyDescent="0.3">
      <c r="A150" s="2">
        <v>135</v>
      </c>
      <c r="B150" t="s">
        <v>504</v>
      </c>
      <c r="C150" s="198">
        <v>46201</v>
      </c>
      <c r="D150" s="198">
        <v>46205</v>
      </c>
      <c r="E150" s="198">
        <v>46162</v>
      </c>
      <c r="F150" t="s">
        <v>31</v>
      </c>
      <c r="G150" t="s">
        <v>35</v>
      </c>
      <c r="H150"/>
      <c r="I150"/>
      <c r="J150" s="211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5">
        <v>4300</v>
      </c>
      <c r="S150" s="2" t="s">
        <v>20</v>
      </c>
    </row>
    <row r="151" spans="1:20" x14ac:dyDescent="0.3">
      <c r="A151" s="2">
        <v>136</v>
      </c>
      <c r="B151" t="s">
        <v>506</v>
      </c>
      <c r="C151" s="198">
        <v>46170</v>
      </c>
      <c r="D151" s="198">
        <v>46174</v>
      </c>
      <c r="E151" s="198">
        <v>46163</v>
      </c>
      <c r="F151" t="s">
        <v>53</v>
      </c>
      <c r="G151" t="s">
        <v>6</v>
      </c>
      <c r="H151"/>
      <c r="I151" t="s">
        <v>156</v>
      </c>
      <c r="J151" s="211">
        <v>0.1</v>
      </c>
      <c r="K151">
        <v>1</v>
      </c>
      <c r="L151">
        <v>2</v>
      </c>
      <c r="N151" t="s">
        <v>507</v>
      </c>
      <c r="O151"/>
      <c r="P151" s="2" t="s">
        <v>20</v>
      </c>
      <c r="Q151" s="2" t="s">
        <v>21</v>
      </c>
      <c r="R151" s="125">
        <v>4140</v>
      </c>
      <c r="S151" s="2" t="s">
        <v>21</v>
      </c>
      <c r="T151" t="s">
        <v>508</v>
      </c>
    </row>
    <row r="152" spans="1:20" x14ac:dyDescent="0.3">
      <c r="A152" s="2">
        <v>137</v>
      </c>
      <c r="B152" t="s">
        <v>184</v>
      </c>
      <c r="C152" s="198">
        <v>46276</v>
      </c>
      <c r="D152" s="198">
        <v>46285</v>
      </c>
      <c r="E152" s="198">
        <v>46166</v>
      </c>
      <c r="F152" t="s">
        <v>53</v>
      </c>
      <c r="G152" t="s">
        <v>6</v>
      </c>
      <c r="H152"/>
      <c r="I152" t="s">
        <v>296</v>
      </c>
      <c r="J152" s="211">
        <v>0.1</v>
      </c>
      <c r="K152">
        <v>1</v>
      </c>
      <c r="L152">
        <v>2</v>
      </c>
      <c r="M152" t="s">
        <v>185</v>
      </c>
      <c r="N152" t="s">
        <v>509</v>
      </c>
      <c r="O152" t="s">
        <v>186</v>
      </c>
      <c r="P152" s="2" t="s">
        <v>20</v>
      </c>
      <c r="Q152" s="2" t="s">
        <v>20</v>
      </c>
      <c r="R152" s="125">
        <v>7695</v>
      </c>
      <c r="S152" s="2" t="s">
        <v>21</v>
      </c>
      <c r="T152" t="s">
        <v>510</v>
      </c>
    </row>
  </sheetData>
  <autoFilter ref="A1:U15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4" x14ac:dyDescent="0.3"/>
  <cols>
    <col min="1" max="1" width="6.5546875" bestFit="1" customWidth="1"/>
    <col min="2" max="2" width="8.5546875" style="24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4" t="s">
        <v>458</v>
      </c>
      <c r="BW1" s="174" t="s">
        <v>458</v>
      </c>
      <c r="BX1" s="134" t="s">
        <v>289</v>
      </c>
      <c r="BY1" s="134" t="s">
        <v>289</v>
      </c>
    </row>
    <row r="2" spans="1:77" x14ac:dyDescent="0.3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4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4">
        <f t="shared" si="9"/>
        <v>0</v>
      </c>
      <c r="BC4" s="34">
        <f t="shared" si="10"/>
        <v>0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4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4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4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4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4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4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4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4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4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4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4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4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4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4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4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4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4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4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4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4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4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4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4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4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4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4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4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4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4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4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4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4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4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4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4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4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4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4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4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4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4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4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4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4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4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4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4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4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4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4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Database!A65</f>
        <v>55</v>
      </c>
      <c r="B56" s="24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Database!A66</f>
        <v>56</v>
      </c>
      <c r="B57" s="24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Database!A67</f>
        <v>57</v>
      </c>
      <c r="B58" s="24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Database!A68</f>
        <v>58</v>
      </c>
      <c r="B59" s="24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Database!A70</f>
        <v>59</v>
      </c>
      <c r="B60" s="24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Database!A71</f>
        <v>60</v>
      </c>
      <c r="B61" s="24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Database!A72</f>
        <v>61</v>
      </c>
      <c r="B62" s="24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Database!A73</f>
        <v>62</v>
      </c>
      <c r="B63" s="24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Database!A74</f>
        <v>63</v>
      </c>
      <c r="B64" s="24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Database!A75</f>
        <v>64</v>
      </c>
      <c r="B65" s="24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Database!A76</f>
        <v>65</v>
      </c>
      <c r="B66" s="24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Database!A77</f>
        <v>66</v>
      </c>
      <c r="B67" s="24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Database!A78</f>
        <v>67</v>
      </c>
      <c r="B68" s="24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Database!A79</f>
        <v>68</v>
      </c>
      <c r="B69" s="24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Database!A80</f>
        <v>69</v>
      </c>
      <c r="B70" s="24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Database!A81</f>
        <v>70</v>
      </c>
      <c r="B71" s="24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Database!A82</f>
        <v>71</v>
      </c>
      <c r="B72" s="24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Database!A83</f>
        <v>72</v>
      </c>
      <c r="B73" s="24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Database!A84</f>
        <v>73</v>
      </c>
      <c r="B74" s="24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Database!A85</f>
        <v>74</v>
      </c>
      <c r="B75" s="24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Database!A87</f>
        <v>75</v>
      </c>
      <c r="B76" s="24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Database!A88</f>
        <v>76</v>
      </c>
      <c r="B77" s="24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Database!A89</f>
        <v>77</v>
      </c>
      <c r="B78" s="24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Database!A90</f>
        <v>78</v>
      </c>
      <c r="B79" s="24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Database!A91</f>
        <v>79</v>
      </c>
      <c r="B80" s="24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Database!A92</f>
        <v>80</v>
      </c>
      <c r="B81" s="24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Database!A94</f>
        <v>81</v>
      </c>
      <c r="B82" s="24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Database!A95</f>
        <v>82</v>
      </c>
      <c r="B83" s="24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Database!A96</f>
        <v>83</v>
      </c>
      <c r="B84" s="24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Database!A97</f>
        <v>84</v>
      </c>
      <c r="B85" s="24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Database!A98</f>
        <v>85</v>
      </c>
      <c r="B86" s="24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Database!A99</f>
        <v>86</v>
      </c>
      <c r="B87" s="24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Database!A100</f>
        <v>87</v>
      </c>
      <c r="B88" s="24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Database!A101</f>
        <v>88</v>
      </c>
      <c r="B89" s="24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Database!A102</f>
        <v>89</v>
      </c>
      <c r="B90" s="24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Database!A104</f>
        <v>90</v>
      </c>
      <c r="B91" s="24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Database!A105</f>
        <v>91</v>
      </c>
      <c r="B92" s="24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Database!A106</f>
        <v>92</v>
      </c>
      <c r="B93" s="24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Database!A107</f>
        <v>93</v>
      </c>
      <c r="B94" s="24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Database!A108</f>
        <v>94</v>
      </c>
      <c r="B95" s="24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Database!A109</f>
        <v>95</v>
      </c>
      <c r="B96" s="24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Database!A110</f>
        <v>96</v>
      </c>
      <c r="B97" s="24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Database!A111</f>
        <v>97</v>
      </c>
      <c r="B98" s="24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Database!A112</f>
        <v>98</v>
      </c>
      <c r="B99" s="24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Database!A113</f>
        <v>99</v>
      </c>
      <c r="B100" s="24">
        <f>Database!E113</f>
        <v>46104</v>
      </c>
      <c r="C100">
        <f>IF(Database!G113="cansl",0,Database!K113)</f>
        <v>1</v>
      </c>
      <c r="D100">
        <f>Database!D113-Database!C113</f>
        <v>2</v>
      </c>
      <c r="F100">
        <f>Database!L113</f>
        <v>2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Database!A114</f>
        <v>100</v>
      </c>
      <c r="B101" s="24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Database!A115</f>
        <v>101</v>
      </c>
      <c r="B102" s="24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Database!A116</f>
        <v>102</v>
      </c>
      <c r="B103" s="24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Database!A117</f>
        <v>103</v>
      </c>
      <c r="B104" s="24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Database!A118</f>
        <v>104</v>
      </c>
      <c r="B105" s="24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Database!A119</f>
        <v>105</v>
      </c>
      <c r="B106" s="24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Database!A120</f>
        <v>106</v>
      </c>
      <c r="B107" s="24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Database!A121</f>
        <v>107</v>
      </c>
      <c r="B108" s="24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Database!A122</f>
        <v>108</v>
      </c>
      <c r="B109" s="24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Database!A123</f>
        <v>109</v>
      </c>
      <c r="B110" s="24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Database!A124</f>
        <v>110</v>
      </c>
      <c r="B111" s="24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2</v>
      </c>
      <c r="BM111" s="34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Database!A125</f>
        <v>111</v>
      </c>
      <c r="B112" s="24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Database!A126</f>
        <v>112</v>
      </c>
      <c r="B113" s="24">
        <f>Database!E126</f>
        <v>46121</v>
      </c>
      <c r="C113">
        <f>IF(Database!G126="cansl",0,Database!K126)</f>
        <v>1</v>
      </c>
      <c r="D113">
        <f>Database!D126-Database!C126</f>
        <v>4</v>
      </c>
      <c r="F113">
        <f>Database!L126</f>
        <v>2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Database!A127</f>
        <v>113</v>
      </c>
      <c r="B114" s="24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Database!A128</f>
        <v>114</v>
      </c>
      <c r="B115" s="24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Database!A129</f>
        <v>115</v>
      </c>
      <c r="B116" s="24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Database!A130</f>
        <v>116</v>
      </c>
      <c r="B117" s="24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Database!A131</f>
        <v>117</v>
      </c>
      <c r="B118" s="24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Database!A132</f>
        <v>118</v>
      </c>
      <c r="B119" s="24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Database!A133</f>
        <v>119</v>
      </c>
      <c r="B120" s="24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Database!A134</f>
        <v>120</v>
      </c>
      <c r="B121" s="24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Database!A135</f>
        <v>121</v>
      </c>
      <c r="B122" s="24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Database!A136</f>
        <v>122</v>
      </c>
      <c r="B123" s="24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Database!A137</f>
        <v>123</v>
      </c>
      <c r="B124" s="24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2</v>
      </c>
      <c r="BI124" s="34">
        <f t="shared" si="70"/>
        <v>14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Database!A138</f>
        <v>124</v>
      </c>
      <c r="B125" s="24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1</v>
      </c>
      <c r="BI125" s="34">
        <f t="shared" si="70"/>
        <v>5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Database!A139</f>
        <v>125</v>
      </c>
      <c r="B126" s="24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Database!A140</f>
        <v>126</v>
      </c>
      <c r="B127" s="24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4">
        <f t="shared" si="63"/>
        <v>3</v>
      </c>
      <c r="BC127" s="34">
        <f t="shared" si="64"/>
        <v>12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Database!A142</f>
        <v>127</v>
      </c>
      <c r="B128" s="24">
        <f>Database!E142</f>
        <v>46153</v>
      </c>
      <c r="C128">
        <f>IF(Database!G142="cansl",0,Database!K142)</f>
        <v>1</v>
      </c>
      <c r="D128">
        <f>Database!D142-Database!C142</f>
        <v>3</v>
      </c>
      <c r="F128">
        <f>Database!L142</f>
        <v>1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4">
        <f t="shared" si="63"/>
        <v>1</v>
      </c>
      <c r="BC128" s="34">
        <f t="shared" si="64"/>
        <v>3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Database!A143</f>
        <v>128</v>
      </c>
      <c r="B129" s="24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4">
        <f t="shared" si="63"/>
        <v>2</v>
      </c>
      <c r="BC129" s="34">
        <f t="shared" si="64"/>
        <v>8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Database!A144</f>
        <v>129</v>
      </c>
      <c r="B130" s="24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4">
        <f t="shared" si="63"/>
        <v>0</v>
      </c>
      <c r="BC130" s="34">
        <f t="shared" si="64"/>
        <v>0</v>
      </c>
      <c r="BD130" s="34">
        <f t="shared" si="65"/>
        <v>1</v>
      </c>
      <c r="BE130" s="34">
        <f t="shared" si="66"/>
        <v>3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Database!A145</f>
        <v>130</v>
      </c>
      <c r="B131" s="24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1</v>
      </c>
      <c r="BE131" s="34">
        <f t="shared" ref="BE131:BE194" si="113">IF(AND($D131&gt;0,$G131=BE$1),$D131*F131,0)</f>
        <v>3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Database!A146</f>
        <v>131</v>
      </c>
      <c r="B132" s="24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4">
        <f t="shared" si="110"/>
        <v>2</v>
      </c>
      <c r="BC132" s="34">
        <f t="shared" si="111"/>
        <v>6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Database!A147</f>
        <v>132</v>
      </c>
      <c r="B133" s="24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4">
        <f t="shared" si="110"/>
        <v>0</v>
      </c>
      <c r="BC133" s="34">
        <f t="shared" si="111"/>
        <v>0</v>
      </c>
      <c r="BD133" s="34">
        <f t="shared" si="112"/>
        <v>2</v>
      </c>
      <c r="BE133" s="34">
        <f t="shared" si="113"/>
        <v>6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Database!A148</f>
        <v>133</v>
      </c>
      <c r="B134" s="24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4">
        <f t="shared" si="110"/>
        <v>2</v>
      </c>
      <c r="BC134" s="34">
        <f t="shared" si="111"/>
        <v>4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Database!A149</f>
        <v>134</v>
      </c>
      <c r="B135" s="24">
        <f>Database!E149</f>
        <v>46160</v>
      </c>
      <c r="C135">
        <f>IF(Database!G149="cansl",0,Database!K149)</f>
        <v>1</v>
      </c>
      <c r="D135">
        <f>Database!D149-Database!C149</f>
        <v>3</v>
      </c>
      <c r="F135">
        <f>Database!L149</f>
        <v>2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3</v>
      </c>
      <c r="AG135">
        <f t="shared" si="132"/>
        <v>3</v>
      </c>
      <c r="AH135">
        <f t="shared" si="107"/>
        <v>3</v>
      </c>
      <c r="AI135">
        <f t="shared" si="107"/>
        <v>3</v>
      </c>
      <c r="AJ135">
        <f t="shared" si="107"/>
        <v>3</v>
      </c>
      <c r="AK135">
        <f t="shared" si="107"/>
        <v>3</v>
      </c>
      <c r="AL135">
        <f t="shared" si="107"/>
        <v>3</v>
      </c>
      <c r="AM135">
        <f t="shared" si="107"/>
        <v>3</v>
      </c>
      <c r="AN135">
        <f t="shared" si="107"/>
        <v>3</v>
      </c>
      <c r="AO135">
        <f t="shared" si="107"/>
        <v>3</v>
      </c>
      <c r="AP135">
        <f t="shared" si="107"/>
        <v>3</v>
      </c>
      <c r="AQ135">
        <f t="shared" si="107"/>
        <v>3</v>
      </c>
      <c r="AR135">
        <f t="shared" si="108"/>
        <v>3</v>
      </c>
      <c r="AS135">
        <f t="shared" si="108"/>
        <v>3</v>
      </c>
      <c r="AT135">
        <f t="shared" si="108"/>
        <v>3</v>
      </c>
      <c r="AU135">
        <f t="shared" si="108"/>
        <v>3</v>
      </c>
      <c r="AV135">
        <f t="shared" si="108"/>
        <v>3</v>
      </c>
      <c r="AW135">
        <f t="shared" si="108"/>
        <v>3</v>
      </c>
      <c r="AX135">
        <f t="shared" si="108"/>
        <v>3</v>
      </c>
      <c r="BB135" s="34">
        <f t="shared" si="110"/>
        <v>2</v>
      </c>
      <c r="BC135" s="34">
        <f t="shared" si="111"/>
        <v>6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Database!A150</f>
        <v>135</v>
      </c>
      <c r="B136" s="24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2</v>
      </c>
      <c r="BI136" s="34">
        <f t="shared" si="117"/>
        <v>8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Database!A151</f>
        <v>136</v>
      </c>
      <c r="B137" s="24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4">
        <f t="shared" si="110"/>
        <v>2</v>
      </c>
      <c r="BC137" s="34">
        <f t="shared" si="111"/>
        <v>8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Database!A152</f>
        <v>137</v>
      </c>
      <c r="B138" s="24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4">
        <f t="shared" si="110"/>
        <v>2</v>
      </c>
      <c r="BC138" s="34">
        <f t="shared" si="111"/>
        <v>18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Database!A153</f>
        <v>0</v>
      </c>
      <c r="B139" s="24">
        <f>Database!E153</f>
        <v>0</v>
      </c>
      <c r="C139">
        <f>IF(Database!G153="cansl",0,Database!K153)</f>
        <v>0</v>
      </c>
      <c r="D139">
        <f>Database!D153-Database!C153</f>
        <v>0</v>
      </c>
      <c r="F139">
        <f>Database!L153</f>
        <v>0</v>
      </c>
      <c r="G139">
        <f>Database!F153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Database!A154</f>
        <v>0</v>
      </c>
      <c r="B140" s="24">
        <f>Database!E154</f>
        <v>0</v>
      </c>
      <c r="C140">
        <f>IF(Database!G154="cansl",0,Database!K154)</f>
        <v>0</v>
      </c>
      <c r="D140">
        <f>Database!D154-Database!C154</f>
        <v>0</v>
      </c>
      <c r="F140">
        <f>Database!L154</f>
        <v>0</v>
      </c>
      <c r="G140">
        <f>Database!F154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Database!A155</f>
        <v>0</v>
      </c>
      <c r="B141" s="24">
        <f>Database!E155</f>
        <v>0</v>
      </c>
      <c r="C141">
        <f>IF(Database!G155="cansl",0,Database!K155)</f>
        <v>0</v>
      </c>
      <c r="D141">
        <f>Database!D155-Database!C155</f>
        <v>0</v>
      </c>
      <c r="F141">
        <f>Database!L155</f>
        <v>0</v>
      </c>
      <c r="G141">
        <f>Database!F155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Database!A156</f>
        <v>0</v>
      </c>
      <c r="B142" s="24">
        <f>Database!E156</f>
        <v>0</v>
      </c>
      <c r="C142">
        <f>IF(Database!G156="cansl",0,Database!K156)</f>
        <v>0</v>
      </c>
      <c r="D142">
        <f>Database!D156-Database!C156</f>
        <v>0</v>
      </c>
      <c r="F142">
        <f>Database!L156</f>
        <v>0</v>
      </c>
      <c r="G142">
        <f>Database!F156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Database!A157</f>
        <v>0</v>
      </c>
      <c r="B143" s="24">
        <f>Database!E157</f>
        <v>0</v>
      </c>
      <c r="C143">
        <f>IF(Database!G157="cansl",0,Database!K157)</f>
        <v>0</v>
      </c>
      <c r="D143">
        <f>Database!D157-Database!C157</f>
        <v>0</v>
      </c>
      <c r="F143">
        <f>Database!L157</f>
        <v>0</v>
      </c>
      <c r="G143">
        <f>Database!F157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Database!A158</f>
        <v>0</v>
      </c>
      <c r="B144" s="24">
        <f>Database!E158</f>
        <v>0</v>
      </c>
      <c r="C144">
        <f>IF(Database!G158="cansl",0,Database!K158)</f>
        <v>0</v>
      </c>
      <c r="D144">
        <f>Database!D158-Database!C158</f>
        <v>0</v>
      </c>
      <c r="F144">
        <f>Database!L158</f>
        <v>0</v>
      </c>
      <c r="G144">
        <f>Database!F158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Database!A159</f>
        <v>0</v>
      </c>
      <c r="B145" s="24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Database!A160</f>
        <v>0</v>
      </c>
      <c r="B146" s="24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Database!A161</f>
        <v>0</v>
      </c>
      <c r="B147" s="24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Database!A162</f>
        <v>0</v>
      </c>
      <c r="B148" s="24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Database!A163</f>
        <v>0</v>
      </c>
      <c r="B149" s="24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Database!A164</f>
        <v>0</v>
      </c>
      <c r="B150" s="24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Database!A165</f>
        <v>0</v>
      </c>
      <c r="B151" s="24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Database!A166</f>
        <v>0</v>
      </c>
      <c r="B152" s="24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Database!A167</f>
        <v>0</v>
      </c>
      <c r="B153" s="24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Database!A168</f>
        <v>0</v>
      </c>
      <c r="B154" s="24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Database!A169</f>
        <v>0</v>
      </c>
      <c r="B155" s="24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Database!A170</f>
        <v>0</v>
      </c>
      <c r="B156" s="24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Database!A171</f>
        <v>0</v>
      </c>
      <c r="B157" s="24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Database!A172</f>
        <v>0</v>
      </c>
      <c r="B158" s="24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Database!A173</f>
        <v>0</v>
      </c>
      <c r="B159" s="24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Database!A174</f>
        <v>0</v>
      </c>
      <c r="B160" s="24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Database!A175</f>
        <v>0</v>
      </c>
      <c r="B161" s="24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Database!A176</f>
        <v>0</v>
      </c>
      <c r="B162" s="24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Database!A177</f>
        <v>0</v>
      </c>
      <c r="B163" s="24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Database!A178</f>
        <v>0</v>
      </c>
      <c r="B164" s="24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Database!A179</f>
        <v>0</v>
      </c>
      <c r="B165" s="24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Database!A180</f>
        <v>0</v>
      </c>
      <c r="B166" s="24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Database!A181</f>
        <v>0</v>
      </c>
      <c r="B167" s="24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Database!A182</f>
        <v>0</v>
      </c>
      <c r="B168" s="24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Database!A183</f>
        <v>0</v>
      </c>
      <c r="B169" s="24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Database!A184</f>
        <v>0</v>
      </c>
      <c r="B170" s="24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Database!A185</f>
        <v>0</v>
      </c>
      <c r="B171" s="24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Database!A186</f>
        <v>0</v>
      </c>
      <c r="B172" s="24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Database!A187</f>
        <v>0</v>
      </c>
      <c r="B173" s="24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Database!A188</f>
        <v>0</v>
      </c>
      <c r="B174" s="24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Database!A189</f>
        <v>0</v>
      </c>
      <c r="B175" s="24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Database!A190</f>
        <v>0</v>
      </c>
      <c r="B176" s="24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Database!A191</f>
        <v>0</v>
      </c>
      <c r="B177" s="24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Database!A192</f>
        <v>0</v>
      </c>
      <c r="B178" s="24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Database!A193</f>
        <v>0</v>
      </c>
      <c r="B179" s="24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Database!A194</f>
        <v>0</v>
      </c>
      <c r="B180" s="24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Database!A195</f>
        <v>0</v>
      </c>
      <c r="B181" s="24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Database!A196</f>
        <v>0</v>
      </c>
      <c r="B182" s="24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Database!A197</f>
        <v>0</v>
      </c>
      <c r="B183" s="24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Database!A198</f>
        <v>0</v>
      </c>
      <c r="B184" s="24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Database!A199</f>
        <v>0</v>
      </c>
      <c r="B185" s="24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Database!A200</f>
        <v>0</v>
      </c>
      <c r="B186" s="24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Database!A201</f>
        <v>0</v>
      </c>
      <c r="B187" s="24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Database!A202</f>
        <v>0</v>
      </c>
      <c r="B188" s="24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Database!A203</f>
        <v>0</v>
      </c>
      <c r="B189" s="24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Database!A204</f>
        <v>0</v>
      </c>
      <c r="B190" s="24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Database!A205</f>
        <v>0</v>
      </c>
      <c r="B191" s="24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Database!A206</f>
        <v>0</v>
      </c>
      <c r="B192" s="24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Database!A207</f>
        <v>0</v>
      </c>
      <c r="B193" s="24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Database!A208</f>
        <v>0</v>
      </c>
      <c r="B194" s="24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5">
        <f>Database!A209</f>
        <v>0</v>
      </c>
      <c r="B195" s="26">
        <f>Database!E209</f>
        <v>0</v>
      </c>
      <c r="C195">
        <f>IF(Database!G209="cansl",0,Database!K209)</f>
        <v>0</v>
      </c>
      <c r="D195" s="25">
        <f>Database!D209-Database!C209</f>
        <v>0</v>
      </c>
      <c r="E195" s="25"/>
      <c r="F195" s="25">
        <f>Database!L209</f>
        <v>0</v>
      </c>
      <c r="G195" s="25">
        <f>Database!F209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4">
        <f t="shared" ref="BB196:BY196" si="167">SUM(BB2:BB195)</f>
        <v>183</v>
      </c>
      <c r="BC196" s="34">
        <f t="shared" si="167"/>
        <v>760</v>
      </c>
      <c r="BD196" s="34">
        <f t="shared" si="167"/>
        <v>23</v>
      </c>
      <c r="BE196" s="34">
        <f t="shared" si="167"/>
        <v>79</v>
      </c>
      <c r="BF196" s="34">
        <f t="shared" si="167"/>
        <v>0</v>
      </c>
      <c r="BG196" s="34">
        <f t="shared" si="167"/>
        <v>0</v>
      </c>
      <c r="BH196" s="34">
        <f t="shared" si="167"/>
        <v>32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9</v>
      </c>
      <c r="BM196" s="34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473</v>
      </c>
      <c r="Y198">
        <f t="shared" si="168"/>
        <v>478</v>
      </c>
      <c r="Z198">
        <f t="shared" si="168"/>
        <v>488</v>
      </c>
      <c r="AA198">
        <f t="shared" si="168"/>
        <v>502</v>
      </c>
      <c r="AB198">
        <f t="shared" si="168"/>
        <v>514</v>
      </c>
      <c r="AC198">
        <f t="shared" si="168"/>
        <v>523</v>
      </c>
      <c r="AD198">
        <f t="shared" si="168"/>
        <v>530</v>
      </c>
      <c r="AE198">
        <f t="shared" si="168"/>
        <v>557</v>
      </c>
      <c r="AF198">
        <f t="shared" si="168"/>
        <v>579</v>
      </c>
      <c r="AG198">
        <f t="shared" si="168"/>
        <v>579</v>
      </c>
      <c r="AH198">
        <f t="shared" si="168"/>
        <v>579</v>
      </c>
      <c r="AI198">
        <f t="shared" si="168"/>
        <v>579</v>
      </c>
      <c r="AJ198">
        <f t="shared" si="168"/>
        <v>579</v>
      </c>
      <c r="AK198">
        <f t="shared" si="168"/>
        <v>579</v>
      </c>
      <c r="AL198">
        <f t="shared" si="168"/>
        <v>579</v>
      </c>
      <c r="AM198">
        <f t="shared" si="168"/>
        <v>579</v>
      </c>
      <c r="AN198">
        <f t="shared" si="168"/>
        <v>579</v>
      </c>
      <c r="AO198">
        <f t="shared" si="168"/>
        <v>579</v>
      </c>
      <c r="AP198">
        <f t="shared" si="168"/>
        <v>579</v>
      </c>
      <c r="AQ198">
        <f t="shared" si="168"/>
        <v>579</v>
      </c>
      <c r="AR198">
        <f t="shared" si="168"/>
        <v>579</v>
      </c>
      <c r="AS198">
        <f t="shared" si="168"/>
        <v>579</v>
      </c>
      <c r="AT198">
        <f t="shared" si="168"/>
        <v>579</v>
      </c>
      <c r="AU198">
        <f t="shared" si="168"/>
        <v>579</v>
      </c>
      <c r="AV198">
        <f t="shared" si="168"/>
        <v>579</v>
      </c>
      <c r="AW198">
        <f t="shared" si="168"/>
        <v>579</v>
      </c>
      <c r="AX198">
        <f t="shared" si="168"/>
        <v>579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473</v>
      </c>
      <c r="Y200">
        <f t="shared" si="169"/>
        <v>478</v>
      </c>
      <c r="Z200">
        <f t="shared" si="169"/>
        <v>488</v>
      </c>
      <c r="AA200">
        <f t="shared" si="169"/>
        <v>502</v>
      </c>
      <c r="AB200">
        <f t="shared" si="169"/>
        <v>514</v>
      </c>
      <c r="AC200">
        <f t="shared" si="169"/>
        <v>523</v>
      </c>
      <c r="AD200">
        <f t="shared" si="169"/>
        <v>530</v>
      </c>
      <c r="AE200">
        <f t="shared" si="169"/>
        <v>557</v>
      </c>
      <c r="AF200">
        <f t="shared" si="169"/>
        <v>579</v>
      </c>
      <c r="AG200">
        <f t="shared" si="169"/>
        <v>579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183</v>
      </c>
      <c r="BE202" s="34">
        <f>BD196</f>
        <v>23</v>
      </c>
      <c r="BF202" s="34">
        <f>BF196</f>
        <v>0</v>
      </c>
      <c r="BG202" s="34">
        <f>BH196</f>
        <v>32</v>
      </c>
      <c r="BH202" s="34">
        <f>BJ196</f>
        <v>0</v>
      </c>
      <c r="BI202" s="35">
        <f>BL196</f>
        <v>9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4</v>
      </c>
      <c r="BO202" s="38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760</v>
      </c>
      <c r="BE203" s="40">
        <f>BE196</f>
        <v>79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10</v>
      </c>
      <c r="BO203" s="44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4" x14ac:dyDescent="0.3"/>
  <sheetData>
    <row r="28" spans="1:13" ht="15" customHeight="1" thickBot="1" x14ac:dyDescent="0.35">
      <c r="A28" t="s">
        <v>154</v>
      </c>
      <c r="H28" t="s">
        <v>109</v>
      </c>
      <c r="J28" s="2"/>
    </row>
    <row r="29" spans="1:13" ht="15" thickBot="1" x14ac:dyDescent="0.35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286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35">
      <c r="A30" s="33" t="s">
        <v>112</v>
      </c>
      <c r="B30" s="34">
        <f>'book stat'!BD202</f>
        <v>183</v>
      </c>
      <c r="C30" s="34">
        <f>'book stat'!BE202</f>
        <v>23</v>
      </c>
      <c r="D30" s="34">
        <f>'book stat'!BF202</f>
        <v>0</v>
      </c>
      <c r="E30" s="34">
        <f>'book stat'!BG202</f>
        <v>32</v>
      </c>
      <c r="F30" s="34">
        <f>'book stat'!BH202</f>
        <v>0</v>
      </c>
      <c r="G30" s="35">
        <f>'book stat'!BI202</f>
        <v>9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4</v>
      </c>
      <c r="M30" s="170">
        <f>'book stat'!BO202</f>
        <v>0</v>
      </c>
    </row>
    <row r="31" spans="1:13" ht="15" customHeight="1" thickBot="1" x14ac:dyDescent="0.35">
      <c r="A31" s="39" t="s">
        <v>113</v>
      </c>
      <c r="B31" s="34">
        <f>'book stat'!BD203</f>
        <v>760</v>
      </c>
      <c r="C31" s="34">
        <f>'book stat'!BE203</f>
        <v>79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39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10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81" activePane="bottomLeft" state="frozen"/>
      <selection pane="bottomLeft" activeCell="X85" sqref="X85:Y90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4" customWidth="1"/>
    <col min="28" max="29" width="4.5546875" style="2" customWidth="1"/>
    <col min="30" max="30" width="8" style="17" customWidth="1"/>
  </cols>
  <sheetData>
    <row r="1" spans="1:30" s="6" customFormat="1" ht="30" customHeight="1" thickBot="1" x14ac:dyDescent="0.35">
      <c r="A1" s="58" t="s">
        <v>114</v>
      </c>
      <c r="B1" s="15" t="s">
        <v>115</v>
      </c>
      <c r="C1" s="16" t="s">
        <v>116</v>
      </c>
      <c r="D1" s="219">
        <v>1</v>
      </c>
      <c r="E1" s="220"/>
      <c r="F1" s="66" t="s">
        <v>117</v>
      </c>
      <c r="G1" s="67" t="s">
        <v>8</v>
      </c>
      <c r="H1" s="221">
        <v>2</v>
      </c>
      <c r="I1" s="220"/>
      <c r="J1" s="66" t="s">
        <v>117</v>
      </c>
      <c r="K1" s="68" t="s">
        <v>8</v>
      </c>
      <c r="L1" s="221">
        <v>3</v>
      </c>
      <c r="M1" s="220"/>
      <c r="N1" s="66" t="s">
        <v>117</v>
      </c>
      <c r="O1" s="69" t="s">
        <v>8</v>
      </c>
      <c r="P1" s="219">
        <v>4</v>
      </c>
      <c r="Q1" s="220"/>
      <c r="R1" s="66" t="s">
        <v>117</v>
      </c>
      <c r="S1" s="68" t="s">
        <v>8</v>
      </c>
      <c r="T1" s="222">
        <v>5</v>
      </c>
      <c r="U1" s="223"/>
      <c r="V1" s="66" t="s">
        <v>117</v>
      </c>
      <c r="W1" s="68" t="s">
        <v>8</v>
      </c>
      <c r="X1" s="219">
        <v>6</v>
      </c>
      <c r="Y1" s="220"/>
      <c r="Z1" s="70" t="s">
        <v>118</v>
      </c>
      <c r="AA1" s="132">
        <f>SUM(AA2:AA171)</f>
        <v>572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334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335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287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">
      <c r="A19" s="6" t="s">
        <v>222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287</v>
      </c>
      <c r="L20" s="14">
        <v>95</v>
      </c>
      <c r="M20" s="8">
        <v>95</v>
      </c>
      <c r="N20" s="20">
        <v>2</v>
      </c>
      <c r="O20" s="20" t="s">
        <v>287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287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392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">
      <c r="A29" s="6" t="s">
        <v>223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">
      <c r="A30" s="6" t="s">
        <v>224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">
      <c r="A32" s="6"/>
      <c r="B32" s="6" t="s">
        <v>124</v>
      </c>
      <c r="C32" s="7">
        <v>46169</v>
      </c>
      <c r="D32" s="8"/>
      <c r="E32" s="157">
        <v>128</v>
      </c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/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">
      <c r="A33" s="6"/>
      <c r="B33" s="6" t="s">
        <v>125</v>
      </c>
      <c r="C33" s="7">
        <v>46170</v>
      </c>
      <c r="D33" s="157">
        <v>128</v>
      </c>
      <c r="E33" s="157">
        <v>128</v>
      </c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/>
      <c r="Q33" s="142">
        <v>136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3</v>
      </c>
      <c r="AB33" s="59">
        <f t="shared" si="0"/>
        <v>1</v>
      </c>
      <c r="AC33" s="23">
        <f t="shared" si="1"/>
        <v>0</v>
      </c>
      <c r="AD33" s="18"/>
    </row>
    <row r="34" spans="1:30" ht="30" customHeight="1" x14ac:dyDescent="0.3">
      <c r="A34" s="6"/>
      <c r="B34" s="6" t="s">
        <v>126</v>
      </c>
      <c r="C34" s="7">
        <v>46171</v>
      </c>
      <c r="D34" s="157">
        <v>128</v>
      </c>
      <c r="E34" s="157">
        <v>128</v>
      </c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42">
        <v>136</v>
      </c>
      <c r="Q34" s="142">
        <v>136</v>
      </c>
      <c r="R34" s="114">
        <v>2</v>
      </c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4</v>
      </c>
      <c r="AA34" s="133">
        <f t="shared" si="3"/>
        <v>5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">
      <c r="A35" s="6" t="s">
        <v>433</v>
      </c>
      <c r="B35" s="6" t="s">
        <v>127</v>
      </c>
      <c r="C35" s="7">
        <v>46172</v>
      </c>
      <c r="D35" s="157">
        <v>128</v>
      </c>
      <c r="E35" s="157">
        <v>128</v>
      </c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42">
        <v>136</v>
      </c>
      <c r="Q35" s="142">
        <v>136</v>
      </c>
      <c r="R35" s="114">
        <v>2</v>
      </c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8</v>
      </c>
      <c r="AA35" s="133">
        <f t="shared" si="3"/>
        <v>5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">
      <c r="A36" s="6"/>
      <c r="B36" s="6" t="s">
        <v>128</v>
      </c>
      <c r="C36" s="7">
        <v>46173</v>
      </c>
      <c r="D36" s="157">
        <v>128</v>
      </c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42">
        <v>136</v>
      </c>
      <c r="Q36" s="142">
        <v>136</v>
      </c>
      <c r="R36" s="114">
        <v>2</v>
      </c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8</v>
      </c>
      <c r="AA36" s="133">
        <f t="shared" si="3"/>
        <v>4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42">
        <v>136</v>
      </c>
      <c r="Q37" s="114"/>
      <c r="R37" s="114">
        <v>2</v>
      </c>
      <c r="S37" s="117"/>
      <c r="T37" s="114"/>
      <c r="U37" s="114"/>
      <c r="V37" s="20"/>
      <c r="W37" s="20"/>
      <c r="X37" s="22"/>
      <c r="Y37" s="22"/>
      <c r="Z37" s="138">
        <f t="shared" si="2"/>
        <v>6</v>
      </c>
      <c r="AA37" s="133">
        <f t="shared" si="3"/>
        <v>2</v>
      </c>
      <c r="AB37" s="59">
        <f t="shared" si="0"/>
        <v>0</v>
      </c>
      <c r="AC37" s="23">
        <f t="shared" si="1"/>
        <v>2</v>
      </c>
      <c r="AD37" s="18"/>
    </row>
    <row r="38" spans="1:30" ht="30" customHeight="1" x14ac:dyDescent="0.3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">
      <c r="A39" s="6" t="s">
        <v>480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455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488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266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225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1">
        <v>129</v>
      </c>
      <c r="N57" s="117">
        <v>2</v>
      </c>
      <c r="O57" s="20" t="s">
        <v>32</v>
      </c>
      <c r="P57" s="8"/>
      <c r="Q57" s="8">
        <v>130</v>
      </c>
      <c r="R57" s="117"/>
      <c r="S57" s="117" t="s">
        <v>32</v>
      </c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1">
        <v>129</v>
      </c>
      <c r="M58" s="141">
        <v>129</v>
      </c>
      <c r="N58" s="20"/>
      <c r="O58" s="20" t="s">
        <v>287</v>
      </c>
      <c r="P58" s="8">
        <v>130</v>
      </c>
      <c r="Q58" s="114">
        <v>130</v>
      </c>
      <c r="R58" s="117"/>
      <c r="S58" s="117" t="s">
        <v>287</v>
      </c>
      <c r="T58" s="142">
        <v>86</v>
      </c>
      <c r="U58" s="157">
        <v>37</v>
      </c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141">
        <v>129</v>
      </c>
      <c r="M59" s="141">
        <v>129</v>
      </c>
      <c r="N59" s="20"/>
      <c r="O59" s="20"/>
      <c r="P59" s="114">
        <v>130</v>
      </c>
      <c r="Q59" s="114">
        <v>130</v>
      </c>
      <c r="R59" s="117"/>
      <c r="S59" s="117"/>
      <c r="T59" s="157">
        <v>37</v>
      </c>
      <c r="U59" s="157">
        <v>37</v>
      </c>
      <c r="V59" s="117">
        <v>2</v>
      </c>
      <c r="W59" s="20"/>
      <c r="X59" s="22"/>
      <c r="Y59" s="22"/>
      <c r="Z59" s="138">
        <f t="shared" si="2"/>
        <v>4</v>
      </c>
      <c r="AA59" s="133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141">
        <v>129</v>
      </c>
      <c r="M60" s="8"/>
      <c r="N60" s="20"/>
      <c r="O60" s="20"/>
      <c r="P60" s="114">
        <v>130</v>
      </c>
      <c r="Q60" s="114"/>
      <c r="R60" s="117"/>
      <c r="S60" s="117"/>
      <c r="T60" s="157">
        <v>37</v>
      </c>
      <c r="U60" s="157">
        <v>37</v>
      </c>
      <c r="V60" s="117">
        <v>2</v>
      </c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">
      <c r="A61" s="6"/>
      <c r="B61" s="6" t="s">
        <v>125</v>
      </c>
      <c r="C61" s="7">
        <v>46198</v>
      </c>
      <c r="D61" s="114"/>
      <c r="E61" s="8">
        <v>64</v>
      </c>
      <c r="F61" s="117">
        <v>2</v>
      </c>
      <c r="G61" s="20" t="s">
        <v>159</v>
      </c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14"/>
      <c r="Q61" s="8"/>
      <c r="R61" s="117"/>
      <c r="S61" s="20"/>
      <c r="T61" s="157">
        <v>37</v>
      </c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">
      <c r="A62" s="6"/>
      <c r="B62" s="6" t="s">
        <v>126</v>
      </c>
      <c r="C62" s="7">
        <v>46199</v>
      </c>
      <c r="D62" s="8">
        <v>64</v>
      </c>
      <c r="E62" s="8">
        <v>64</v>
      </c>
      <c r="F62" s="20"/>
      <c r="G62" s="20" t="s">
        <v>287</v>
      </c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225</v>
      </c>
      <c r="P62" s="8"/>
      <c r="Q62" s="8">
        <v>87</v>
      </c>
      <c r="R62" s="20"/>
      <c r="S62" s="20"/>
      <c r="T62" s="114"/>
      <c r="U62" s="114"/>
      <c r="V62" s="20"/>
      <c r="W62" s="20"/>
      <c r="X62" s="8"/>
      <c r="Y62" s="8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">
      <c r="A63" s="6"/>
      <c r="B63" s="6" t="s">
        <v>127</v>
      </c>
      <c r="C63" s="7">
        <v>46200</v>
      </c>
      <c r="D63" s="8">
        <v>64</v>
      </c>
      <c r="E63" s="8">
        <v>64</v>
      </c>
      <c r="F63" s="20"/>
      <c r="G63" s="20"/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87</v>
      </c>
      <c r="Q63" s="8">
        <v>87</v>
      </c>
      <c r="R63" s="20" t="s">
        <v>157</v>
      </c>
      <c r="S63" s="20"/>
      <c r="T63" s="114"/>
      <c r="U63" s="156">
        <v>77</v>
      </c>
      <c r="V63" s="20"/>
      <c r="W63" s="20" t="s">
        <v>23</v>
      </c>
      <c r="X63" s="8"/>
      <c r="Y63" s="8"/>
      <c r="Z63" s="138" t="e">
        <f t="shared" si="2"/>
        <v>#VALUE!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">
      <c r="A64" s="6"/>
      <c r="B64" s="6" t="s">
        <v>128</v>
      </c>
      <c r="C64" s="7">
        <v>46201</v>
      </c>
      <c r="D64" s="8">
        <v>64</v>
      </c>
      <c r="E64" s="218">
        <v>135</v>
      </c>
      <c r="F64" s="20"/>
      <c r="G64" s="20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87</v>
      </c>
      <c r="Q64" s="114">
        <v>87</v>
      </c>
      <c r="R64" s="20"/>
      <c r="S64" s="20"/>
      <c r="T64" s="156">
        <v>77</v>
      </c>
      <c r="U64" s="156">
        <v>77</v>
      </c>
      <c r="V64" s="20">
        <v>2</v>
      </c>
      <c r="W64" s="20"/>
      <c r="X64" s="8"/>
      <c r="Y64" s="8"/>
      <c r="Z64" s="138">
        <f t="shared" si="2"/>
        <v>6</v>
      </c>
      <c r="AA64" s="133">
        <f t="shared" si="3"/>
        <v>5</v>
      </c>
      <c r="AB64" s="59">
        <f t="shared" si="0"/>
        <v>1</v>
      </c>
      <c r="AC64" s="23">
        <f t="shared" si="4"/>
        <v>1</v>
      </c>
      <c r="AD64" s="18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218">
        <v>135</v>
      </c>
      <c r="E65" s="218">
        <v>135</v>
      </c>
      <c r="F65" s="117"/>
      <c r="G65" s="136" t="s">
        <v>157</v>
      </c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>
        <v>87</v>
      </c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8"/>
      <c r="Y65" s="8"/>
      <c r="Z65" s="138">
        <f t="shared" si="2"/>
        <v>6</v>
      </c>
      <c r="AA65" s="133">
        <f t="shared" si="3"/>
        <v>4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">
      <c r="A66" s="6"/>
      <c r="B66" s="6" t="s">
        <v>123</v>
      </c>
      <c r="C66" s="7">
        <v>46203</v>
      </c>
      <c r="D66" s="218">
        <v>135</v>
      </c>
      <c r="E66" s="218">
        <v>135</v>
      </c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4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">
      <c r="A67" s="6"/>
      <c r="B67" s="6" t="s">
        <v>124</v>
      </c>
      <c r="C67" s="7">
        <v>46204</v>
      </c>
      <c r="D67" s="218">
        <v>135</v>
      </c>
      <c r="E67" s="218">
        <v>135</v>
      </c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5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">
      <c r="A68" s="6"/>
      <c r="B68" s="6" t="s">
        <v>125</v>
      </c>
      <c r="C68" s="7">
        <v>46205</v>
      </c>
      <c r="D68" s="218">
        <v>135</v>
      </c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1</v>
      </c>
      <c r="AD68" s="18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226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194">
        <v>131</v>
      </c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5</v>
      </c>
      <c r="AB82" s="59">
        <f t="shared" si="5"/>
        <v>1</v>
      </c>
      <c r="AC82" s="23">
        <f t="shared" si="8"/>
        <v>1</v>
      </c>
      <c r="AD82" s="18"/>
    </row>
    <row r="83" spans="1:30" ht="30" customHeight="1" x14ac:dyDescent="0.3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194">
        <v>131</v>
      </c>
      <c r="M83" s="194">
        <v>113</v>
      </c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5</v>
      </c>
      <c r="AB83" s="59">
        <f t="shared" si="5"/>
        <v>1</v>
      </c>
      <c r="AC83" s="23">
        <f t="shared" si="8"/>
        <v>1</v>
      </c>
      <c r="AD83" s="18"/>
    </row>
    <row r="84" spans="1:30" ht="30" customHeight="1" x14ac:dyDescent="0.3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194">
        <v>38</v>
      </c>
      <c r="J84" s="20">
        <v>2</v>
      </c>
      <c r="K84" s="19"/>
      <c r="L84" s="194">
        <v>131</v>
      </c>
      <c r="M84" s="194">
        <v>131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5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194">
        <v>38</v>
      </c>
      <c r="I85" s="194">
        <v>38</v>
      </c>
      <c r="J85" s="20"/>
      <c r="K85" s="20" t="s">
        <v>225</v>
      </c>
      <c r="L85" s="194">
        <v>131</v>
      </c>
      <c r="M85" s="8">
        <v>44</v>
      </c>
      <c r="N85" s="20"/>
      <c r="O85" s="20"/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8"/>
      <c r="Y85" s="8"/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2</v>
      </c>
      <c r="AD85" s="18"/>
    </row>
    <row r="86" spans="1:30" ht="30" customHeight="1" x14ac:dyDescent="0.3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194">
        <v>38</v>
      </c>
      <c r="I86" s="194">
        <v>38</v>
      </c>
      <c r="J86" s="20"/>
      <c r="K86" s="20"/>
      <c r="L86" s="8">
        <v>44</v>
      </c>
      <c r="M86" s="8">
        <v>44</v>
      </c>
      <c r="N86" s="20">
        <v>2</v>
      </c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8"/>
      <c r="Y86" s="8"/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194">
        <v>38</v>
      </c>
      <c r="I87" s="194">
        <v>38</v>
      </c>
      <c r="J87" s="20"/>
      <c r="K87" s="20"/>
      <c r="L87" s="8">
        <v>44</v>
      </c>
      <c r="M87" s="8">
        <v>44</v>
      </c>
      <c r="N87" s="20">
        <v>2</v>
      </c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8"/>
      <c r="Y87" s="8"/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194">
        <v>38</v>
      </c>
      <c r="I88" s="194">
        <v>38</v>
      </c>
      <c r="J88" s="20"/>
      <c r="K88" s="20"/>
      <c r="L88" s="8">
        <v>44</v>
      </c>
      <c r="M88" s="8">
        <v>44</v>
      </c>
      <c r="N88" s="20">
        <v>2</v>
      </c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8"/>
      <c r="Y88" s="8"/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94">
        <v>38</v>
      </c>
      <c r="I89" s="194">
        <v>38</v>
      </c>
      <c r="J89" s="20"/>
      <c r="K89" s="20"/>
      <c r="L89" s="14">
        <v>44</v>
      </c>
      <c r="M89" s="8">
        <v>44</v>
      </c>
      <c r="N89" s="20">
        <v>2</v>
      </c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4"/>
      <c r="Y89" s="8"/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94">
        <v>38</v>
      </c>
      <c r="I90" s="194">
        <v>38</v>
      </c>
      <c r="J90" s="20"/>
      <c r="K90" s="20"/>
      <c r="L90" s="14">
        <v>44</v>
      </c>
      <c r="M90" s="8"/>
      <c r="N90" s="20">
        <v>2</v>
      </c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4"/>
      <c r="Y90" s="8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94">
        <v>38</v>
      </c>
      <c r="I91" s="8"/>
      <c r="J91" s="20"/>
      <c r="K91" s="20"/>
      <c r="L91" s="8"/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288</v>
      </c>
      <c r="P93" s="142">
        <v>58</v>
      </c>
      <c r="Q93" s="142">
        <v>58</v>
      </c>
      <c r="R93" s="117">
        <v>1</v>
      </c>
      <c r="S93" s="117" t="s">
        <v>288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287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115"/>
      <c r="Y99" s="114"/>
      <c r="Z99" s="20"/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115"/>
      <c r="Y100" s="114"/>
      <c r="Z100" s="20"/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115"/>
      <c r="Y101" s="114"/>
      <c r="Z101" s="20"/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114"/>
      <c r="Y102" s="114"/>
      <c r="Z102" s="20"/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114"/>
      <c r="Y103" s="114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266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266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265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142">
        <v>133</v>
      </c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266</v>
      </c>
      <c r="X115" s="22"/>
      <c r="Y115" s="22"/>
      <c r="Z115" s="138">
        <f t="shared" si="6"/>
        <v>8</v>
      </c>
      <c r="AA115" s="133">
        <f t="shared" si="7"/>
        <v>5</v>
      </c>
      <c r="AB115" s="59">
        <f t="shared" si="5"/>
        <v>1</v>
      </c>
      <c r="AC115" s="23">
        <f t="shared" si="9"/>
        <v>1</v>
      </c>
      <c r="AD115" s="18"/>
    </row>
    <row r="116" spans="1:30" ht="30" customHeight="1" x14ac:dyDescent="0.3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4">
        <v>133</v>
      </c>
      <c r="I116" s="142">
        <v>133</v>
      </c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5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4">
        <v>133</v>
      </c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1</v>
      </c>
      <c r="AD117" s="18"/>
    </row>
    <row r="118" spans="1:30" ht="30" customHeight="1" x14ac:dyDescent="0.3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225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459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460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226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225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>
        <v>134</v>
      </c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3</v>
      </c>
      <c r="AB137" s="59">
        <f t="shared" si="10"/>
        <v>1</v>
      </c>
      <c r="AC137" s="23">
        <f t="shared" si="9"/>
        <v>0</v>
      </c>
      <c r="AD137" s="18"/>
    </row>
    <row r="138" spans="1:30" ht="30" customHeight="1" x14ac:dyDescent="0.3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>
        <v>134</v>
      </c>
      <c r="M138" s="8">
        <v>134</v>
      </c>
      <c r="N138" s="20">
        <v>2</v>
      </c>
      <c r="O138" s="20" t="s">
        <v>287</v>
      </c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4</v>
      </c>
      <c r="AA138" s="133">
        <f t="shared" si="12"/>
        <v>2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>
        <v>134</v>
      </c>
      <c r="M139" s="8">
        <v>134</v>
      </c>
      <c r="N139" s="20">
        <v>2</v>
      </c>
      <c r="O139" s="20"/>
      <c r="P139" s="8"/>
      <c r="Q139" s="142">
        <v>137</v>
      </c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4</v>
      </c>
      <c r="AA139" s="133">
        <f t="shared" si="12"/>
        <v>5</v>
      </c>
      <c r="AB139" s="59">
        <f t="shared" si="10"/>
        <v>3</v>
      </c>
      <c r="AC139" s="23">
        <f t="shared" si="9"/>
        <v>0</v>
      </c>
      <c r="AD139" s="18"/>
    </row>
    <row r="140" spans="1:30" ht="30" customHeight="1" x14ac:dyDescent="0.3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>
        <v>134</v>
      </c>
      <c r="M140" s="156">
        <v>103</v>
      </c>
      <c r="N140" s="20">
        <v>2</v>
      </c>
      <c r="O140" s="20" t="s">
        <v>159</v>
      </c>
      <c r="P140" s="142">
        <v>137</v>
      </c>
      <c r="Q140" s="142">
        <v>137</v>
      </c>
      <c r="R140" s="117">
        <v>2</v>
      </c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9</v>
      </c>
      <c r="AA140" s="133">
        <f t="shared" si="12"/>
        <v>5</v>
      </c>
      <c r="AB140" s="59">
        <f t="shared" si="10"/>
        <v>1</v>
      </c>
      <c r="AC140" s="23">
        <f t="shared" si="9"/>
        <v>1</v>
      </c>
      <c r="AD140" s="18"/>
    </row>
    <row r="141" spans="1:30" ht="30" customHeight="1" x14ac:dyDescent="0.3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142">
        <v>137</v>
      </c>
      <c r="Q141" s="142">
        <v>137</v>
      </c>
      <c r="R141" s="117">
        <v>2</v>
      </c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9</v>
      </c>
      <c r="AA141" s="133">
        <f t="shared" si="12"/>
        <v>3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8"/>
      <c r="I142" s="8">
        <v>101</v>
      </c>
      <c r="J142" s="117"/>
      <c r="K142" s="117" t="s">
        <v>32</v>
      </c>
      <c r="L142" s="156">
        <v>103</v>
      </c>
      <c r="M142" s="156">
        <v>103</v>
      </c>
      <c r="N142" s="20">
        <v>2</v>
      </c>
      <c r="O142" s="20"/>
      <c r="P142" s="142">
        <v>137</v>
      </c>
      <c r="Q142" s="142">
        <v>137</v>
      </c>
      <c r="R142" s="117">
        <v>2</v>
      </c>
      <c r="S142" s="117"/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6</v>
      </c>
      <c r="AA142" s="133">
        <f t="shared" si="12"/>
        <v>5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8">
        <v>101</v>
      </c>
      <c r="I143" s="8">
        <v>101</v>
      </c>
      <c r="J143" s="117"/>
      <c r="K143" s="117"/>
      <c r="L143" s="156">
        <v>103</v>
      </c>
      <c r="M143" s="156">
        <v>103</v>
      </c>
      <c r="N143" s="20">
        <v>2</v>
      </c>
      <c r="O143" s="20"/>
      <c r="P143" s="142">
        <v>137</v>
      </c>
      <c r="Q143" s="142">
        <v>137</v>
      </c>
      <c r="R143" s="117">
        <v>2</v>
      </c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6</v>
      </c>
      <c r="AA143" s="133">
        <f t="shared" si="12"/>
        <v>5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>
        <v>101</v>
      </c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142">
        <v>137</v>
      </c>
      <c r="Q144" s="142">
        <v>137</v>
      </c>
      <c r="R144" s="117">
        <v>2</v>
      </c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6</v>
      </c>
      <c r="AA144" s="133">
        <f t="shared" si="12"/>
        <v>4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142">
        <v>137</v>
      </c>
      <c r="Q145" s="114"/>
      <c r="R145" s="117">
        <v>2</v>
      </c>
      <c r="S145" s="117"/>
      <c r="T145" s="8">
        <v>22</v>
      </c>
      <c r="U145" s="157">
        <v>42</v>
      </c>
      <c r="V145" s="20"/>
      <c r="W145" s="20" t="s">
        <v>32</v>
      </c>
      <c r="X145" s="22"/>
      <c r="Y145" s="22"/>
      <c r="Z145" s="138">
        <f t="shared" si="11"/>
        <v>6</v>
      </c>
      <c r="AA145" s="133">
        <f t="shared" si="12"/>
        <v>4</v>
      </c>
      <c r="AB145" s="59">
        <f t="shared" si="10"/>
        <v>2</v>
      </c>
      <c r="AC145" s="23">
        <f t="shared" si="13"/>
        <v>2</v>
      </c>
      <c r="AD145" s="18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114"/>
      <c r="Q146" s="114"/>
      <c r="R146" s="117">
        <v>2</v>
      </c>
      <c r="S146" s="117"/>
      <c r="T146" s="157">
        <v>42</v>
      </c>
      <c r="U146" s="157">
        <v>42</v>
      </c>
      <c r="V146" s="114"/>
      <c r="W146" s="114"/>
      <c r="X146" s="22"/>
      <c r="Y146" s="22"/>
      <c r="Z146" s="138">
        <f t="shared" si="11"/>
        <v>6</v>
      </c>
      <c r="AA146" s="133">
        <f t="shared" si="12"/>
        <v>4</v>
      </c>
      <c r="AB146" s="59">
        <f t="shared" si="10"/>
        <v>0</v>
      </c>
      <c r="AC146" s="23">
        <f t="shared" si="13"/>
        <v>0</v>
      </c>
      <c r="AD146" s="18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114"/>
      <c r="Q147" s="114"/>
      <c r="R147" s="117">
        <v>2</v>
      </c>
      <c r="S147" s="117"/>
      <c r="T147" s="157">
        <v>42</v>
      </c>
      <c r="U147" s="157">
        <v>42</v>
      </c>
      <c r="V147" s="114"/>
      <c r="W147" s="114"/>
      <c r="X147" s="22"/>
      <c r="Y147" s="22"/>
      <c r="Z147" s="138">
        <f t="shared" si="11"/>
        <v>6</v>
      </c>
      <c r="AA147" s="133">
        <f t="shared" si="12"/>
        <v>3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114"/>
      <c r="Q148" s="8"/>
      <c r="R148" s="117">
        <v>2</v>
      </c>
      <c r="S148" s="117"/>
      <c r="T148" s="157">
        <v>42</v>
      </c>
      <c r="U148" s="8"/>
      <c r="V148" s="114"/>
      <c r="W148" s="114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2</v>
      </c>
      <c r="AD148" s="18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225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35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35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35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35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35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35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109:N115 N58:N91 D2:H8 I2:I9 D14 H9:H10 H12:H15 H53:H57 H58:M58 D53:G58 F9:G15 D9:E13 D15:E15 T35 V34:Y36 T34:U34 T36:U36 D116:N123 O2:Y32 J2:N18 N99:N107 D92:Y98 I11:I18 D16:H33 I19:N33 D36:H52 I36:N57 D34:N35 Q34:S36 O33:P36 Q33:Y33 O99:Z102 O103:Y123 O37:Y91 D59:M91 D99:M115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4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4" customFormat="1" ht="19.350000000000001" customHeight="1" thickBot="1" x14ac:dyDescent="0.4">
      <c r="A1" s="54" t="s">
        <v>131</v>
      </c>
      <c r="B1" s="55" t="s">
        <v>116</v>
      </c>
      <c r="C1" s="73" t="s">
        <v>474</v>
      </c>
      <c r="D1" s="56" t="s">
        <v>130</v>
      </c>
      <c r="E1" s="57" t="s">
        <v>475</v>
      </c>
      <c r="F1" s="56" t="s">
        <v>132</v>
      </c>
      <c r="G1" s="57" t="s">
        <v>476</v>
      </c>
      <c r="H1" s="56" t="s">
        <v>133</v>
      </c>
      <c r="I1" s="57" t="s">
        <v>477</v>
      </c>
      <c r="J1" s="56" t="s">
        <v>134</v>
      </c>
      <c r="K1" s="57" t="s">
        <v>478</v>
      </c>
      <c r="L1" s="56" t="s">
        <v>135</v>
      </c>
      <c r="M1" s="57" t="s">
        <v>479</v>
      </c>
    </row>
    <row r="2" spans="1:13" ht="15" customHeight="1" thickBot="1" x14ac:dyDescent="0.35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IFERROR(IF(AND(booking!AB2&gt;0,booking!D2&lt;&gt;booking!E2),VLOOKUP(booking!E2,Database!$A$1:'Database'!$L$189,6,FALSE),"-"),"-")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IFERROR(IF(AND(booking!AB2&gt;0,booking!H2&lt;&gt;booking!I2),VLOOKUP(booking!I2,Database!$A$1:'Database'!$L$189,6,FALSE),"-"),"-")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IFERROR(IF(AND(booking!AB2&gt;0,booking!L2&lt;&gt;booking!M2),VLOOKUP(booking!M2,Database!$A$1:'Database'!$L$189,6,FALSE),"-"),"-")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IFERROR(IF(AND(booking!AB2&gt;0,booking!P2&lt;&gt;booking!Q2),VLOOKUP(booking!Q2,Database!$A$1:'Database'!$L$189,6,FALSE),"-"),"-")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35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IFERROR(IF(AND(booking!AB3&gt;0,booking!D3&lt;&gt;booking!E3),VLOOKUP(booking!E3,Database!$A$1:'Database'!$L$189,6,FALSE),"-"),"-")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IFERROR(IF(AND(booking!AB3&gt;0,booking!H3&lt;&gt;booking!I3),VLOOKUP(booking!I3,Database!$A$1:'Database'!$L$189,6,FALSE),"-"),"-")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IFERROR(IF(AND(booking!AB3&gt;0,booking!L3&lt;&gt;booking!M3),VLOOKUP(booking!M3,Database!$A$1:'Database'!$L$189,6,FALSE),"-"),"-")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IFERROR(IF(AND(booking!AB3&gt;0,booking!P3&lt;&gt;booking!Q3),VLOOKUP(booking!Q3,Database!$A$1:'Database'!$L$189,6,FALSE),"-"),"-")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35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IFERROR(IF(AND(booking!AB4&gt;0,booking!D4&lt;&gt;booking!E4),VLOOKUP(booking!E4,Database!$A$1:'Database'!$L$189,6,FALSE),"-"),"-")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IFERROR(IF(AND(booking!AB4&gt;0,booking!H4&lt;&gt;booking!I4),VLOOKUP(booking!I4,Database!$A$1:'Database'!$L$189,6,FALSE),"-"),"-")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IFERROR(IF(AND(booking!AB4&gt;0,booking!L4&lt;&gt;booking!M4),VLOOKUP(booking!M4,Database!$A$1:'Database'!$L$189,6,FALSE),"-"),"-")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IFERROR(IF(AND(booking!AB4&gt;0,booking!P4&lt;&gt;booking!Q4),VLOOKUP(booking!Q4,Database!$A$1:'Database'!$L$189,6,FALSE),"-"),"-")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35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IFERROR(IF(AND(booking!AB5&gt;0,booking!D5&lt;&gt;booking!E5),VLOOKUP(booking!E5,Database!$A$1:'Database'!$L$189,6,FALSE),"-"),"-")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IFERROR(IF(AND(booking!AB5&gt;0,booking!H5&lt;&gt;booking!I5),VLOOKUP(booking!I5,Database!$A$1:'Database'!$L$189,6,FALSE),"-"),"-")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IFERROR(IF(AND(booking!AB5&gt;0,booking!L5&lt;&gt;booking!M5),VLOOKUP(booking!M5,Database!$A$1:'Database'!$L$189,6,FALSE),"-"),"-")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IFERROR(IF(AND(booking!AB5&gt;0,booking!P5&lt;&gt;booking!Q5),VLOOKUP(booking!Q5,Database!$A$1:'Database'!$L$189,6,FALSE),"-"),"-")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35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IFERROR(IF(AND(booking!AB6&gt;0,booking!D6&lt;&gt;booking!E6),VLOOKUP(booking!E6,Database!$A$1:'Database'!$L$189,6,FALSE),"-"),"-")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IFERROR(IF(AND(booking!AB6&gt;0,booking!H6&lt;&gt;booking!I6),VLOOKUP(booking!I6,Database!$A$1:'Database'!$L$189,6,FALSE),"-"),"-")</f>
        <v>it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IFERROR(IF(AND(booking!AB6&gt;0,booking!L6&lt;&gt;booking!M6),VLOOKUP(booking!M6,Database!$A$1:'Database'!$L$189,6,FALSE),"-"),"-")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IFERROR(IF(AND(booking!AB6&gt;0,booking!P6&lt;&gt;booking!Q6),VLOOKUP(booking!Q6,Database!$A$1:'Database'!$L$189,6,FALSE),"-"),"-")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35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IFERROR(IF(AND(booking!AB7&gt;0,booking!D7&lt;&gt;booking!E7),VLOOKUP(booking!E7,Database!$A$1:'Database'!$L$189,6,FALSE),"-"),"-")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IFERROR(IF(AND(booking!AB7&gt;0,booking!H7&lt;&gt;booking!I7),VLOOKUP(booking!I7,Database!$A$1:'Database'!$L$189,6,FALSE),"-"),"-")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IFERROR(IF(AND(booking!AB7&gt;0,booking!L7&lt;&gt;booking!M7),VLOOKUP(booking!M7,Database!$A$1:'Database'!$L$189,6,FALSE),"-"),"-")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IFERROR(IF(AND(booking!AB7&gt;0,booking!P7&lt;&gt;booking!Q7),VLOOKUP(booking!Q7,Database!$A$1:'Database'!$L$189,6,FALSE),"-"),"-")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35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IFERROR(IF(AND(booking!AB8&gt;0,booking!D8&lt;&gt;booking!E8),VLOOKUP(booking!E8,Database!$A$1:'Database'!$L$189,6,FALSE),"-"),"-")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IFERROR(IF(AND(booking!AB8&gt;0,booking!H8&lt;&gt;booking!I8),VLOOKUP(booking!I8,Database!$A$1:'Database'!$L$189,6,FALSE),"-"),"-")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IFERROR(IF(AND(booking!AB8&gt;0,booking!L8&lt;&gt;booking!M8),VLOOKUP(booking!M8,Database!$A$1:'Database'!$L$189,6,FALSE),"-"),"-")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IFERROR(IF(AND(booking!AB8&gt;0,booking!P8&lt;&gt;booking!Q8),VLOOKUP(booking!Q8,Database!$A$1:'Database'!$L$189,6,FALSE),"-"),"-")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35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IFERROR(IF(AND(booking!AB9&gt;0,booking!D9&lt;&gt;booking!E9),VLOOKUP(booking!E9,Database!$A$1:'Database'!$L$189,6,FALSE),"-"),"-")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IFERROR(IF(AND(booking!AB9&gt;0,booking!H9&lt;&gt;booking!I9),VLOOKUP(booking!I9,Database!$A$1:'Database'!$L$189,6,FALSE),"-"),"-")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IFERROR(IF(AND(booking!AB9&gt;0,booking!L9&lt;&gt;booking!M9),VLOOKUP(booking!M9,Database!$A$1:'Database'!$L$189,6,FALSE),"-"),"-")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IFERROR(IF(AND(booking!AB9&gt;0,booking!P9&lt;&gt;booking!Q9),VLOOKUP(booking!Q9,Database!$A$1:'Database'!$L$189,6,FALSE),"-"),"-")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35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IFERROR(IF(AND(booking!AB10&gt;0,booking!D10&lt;&gt;booking!E10),VLOOKUP(booking!E10,Database!$A$1:'Database'!$L$189,6,FALSE),"-"),"-")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IFERROR(IF(AND(booking!AB10&gt;0,booking!H10&lt;&gt;booking!I11),VLOOKUP(booking!I11,Database!$A$1:'Database'!$L$189,6,FALSE),"-"),"-")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IFERROR(IF(AND(booking!AB10&gt;0,booking!L10&lt;&gt;booking!M10),VLOOKUP(booking!M10,Database!$A$1:'Database'!$L$189,6,FALSE),"-"),"-")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IFERROR(IF(AND(booking!AB10&gt;0,booking!P10&lt;&gt;booking!Q10),VLOOKUP(booking!Q10,Database!$A$1:'Database'!$L$189,6,FALSE),"-"),"-")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35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IFERROR(IF(AND(booking!AB11&gt;0,booking!D11&lt;&gt;booking!E11),VLOOKUP(booking!E11,Database!$A$1:'Database'!$L$189,6,FALSE),"-"),"-")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IFERROR(IF(AND(booking!AB11&gt;0,booking!H11&lt;&gt;booking!#REF!),VLOOKUP(booking!#REF!,Database!$A$1:'Database'!$L$189,6,FALSE),"-"),"-")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IFERROR(IF(AND(booking!AB11&gt;0,booking!L11&lt;&gt;booking!M11),VLOOKUP(booking!M11,Database!$A$1:'Database'!$L$189,6,FALSE),"-"),"-")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IFERROR(IF(AND(booking!AB11&gt;0,booking!P11&lt;&gt;booking!Q11),VLOOKUP(booking!Q11,Database!$A$1:'Database'!$L$189,6,FALSE),"-"),"-")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35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IFERROR(IF(AND(booking!AB12&gt;0,booking!D12&lt;&gt;booking!E12),VLOOKUP(booking!E12,Database!$A$1:'Database'!$L$189,6,FALSE),"-"),"-")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IFERROR(IF(AND(booking!AB12&gt;0,booking!H12&lt;&gt;booking!I12),VLOOKUP(booking!I12,Database!$A$1:'Database'!$L$189,6,FALSE),"-"),"-")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IFERROR(IF(AND(booking!AB12&gt;0,booking!L12&lt;&gt;booking!M12),VLOOKUP(booking!M12,Database!$A$1:'Database'!$L$189,6,FALSE),"-"),"-")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IFERROR(IF(AND(booking!AB12&gt;0,booking!P12&lt;&gt;booking!Q12),VLOOKUP(booking!Q12,Database!$A$1:'Database'!$L$189,6,FALSE),"-"),"-")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35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IFERROR(IF(AND(booking!AB13&gt;0,booking!D13&lt;&gt;booking!E13),VLOOKUP(booking!E13,Database!$A$1:'Database'!$L$189,6,FALSE),"-"),"-")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IFERROR(IF(AND(booking!AB13&gt;0,booking!H13&lt;&gt;booking!I13),VLOOKUP(booking!I13,Database!$A$1:'Database'!$L$189,6,FALSE),"-"),"-")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IFERROR(IF(AND(booking!AB13&gt;0,booking!L13&lt;&gt;booking!M13),VLOOKUP(booking!M13,Database!$A$1:'Database'!$L$189,6,FALSE),"-"),"-")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IFERROR(IF(AND(booking!AB13&gt;0,booking!P13&lt;&gt;booking!Q13),VLOOKUP(booking!Q13,Database!$A$1:'Database'!$L$189,6,FALSE),"-"),"-")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35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IFERROR(IF(AND(booking!AB14&gt;0,booking!#REF!&lt;&gt;booking!D14),VLOOKUP(booking!D14,Database!$A$1:'Database'!$L$189,6,FALSE),"-"),"-")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IFERROR(IF(AND(booking!AB14&gt;0,booking!H14&lt;&gt;booking!I14),VLOOKUP(booking!I14,Database!$A$1:'Database'!$L$189,6,FALSE),"-"),"-")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IFERROR(IF(AND(booking!AB14&gt;0,booking!L14&lt;&gt;booking!M14),VLOOKUP(booking!M14,Database!$A$1:'Database'!$L$189,6,FALSE),"-"),"-")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IFERROR(IF(AND(booking!AB14&gt;0,booking!P14&lt;&gt;booking!Q14),VLOOKUP(booking!Q14,Database!$A$1:'Database'!$L$189,6,FALSE),"-"),"-")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IFERROR(IF(AND(booking!AB14&gt;0,booking!T14&lt;&gt;booking!U14),VLOOKUP(booking!U14,Database!$A$1:'Database'!$L$189,6,FALSE),"-"),"-")</f>
        <v>-</v>
      </c>
    </row>
    <row r="15" spans="1:13" ht="14.1" customHeight="1" thickBot="1" x14ac:dyDescent="0.35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IFERROR(IF(AND(booking!AB15&gt;0,booking!D15&lt;&gt;booking!E15),VLOOKUP(booking!E15,Database!$A$1:'Database'!$L$189,6,FALSE),"-"),"-")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IFERROR(IF(AND(booking!AB15&gt;0,booking!H15&lt;&gt;booking!I15),VLOOKUP(booking!I15,Database!$A$1:'Database'!$L$189,6,FALSE),"-"),"-")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IFERROR(IF(AND(booking!AB15&gt;0,booking!L15&lt;&gt;booking!M15),VLOOKUP(booking!M15,Database!$A$1:'Database'!$L$189,6,FALSE),"-"),"-")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IFERROR(IF(AND(booking!AB15&gt;0,booking!P15&lt;&gt;booking!Q15),VLOOKUP(booking!Q15,Database!$A$1:'Database'!$L$189,6,FALSE),"-"),"-")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35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IFERROR(IF(AND(booking!AB16&gt;0,booking!D16&lt;&gt;booking!E16),VLOOKUP(booking!E16,Database!$A$1:'Database'!$L$189,6,FALSE),"-"),"-")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IFERROR(IF(AND(booking!AB16&gt;0,booking!H16&lt;&gt;booking!I16),VLOOKUP(booking!I16,Database!$A$1:'Database'!$L$189,6,FALSE),"-"),"-")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IFERROR(IF(AND(booking!AB16&gt;0,booking!L16&lt;&gt;booking!M16),VLOOKUP(booking!M16,Database!$A$1:'Database'!$L$189,6,FALSE),"-"),"-")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IFERROR(IF(AND(booking!AB16&gt;0,booking!P16&lt;&gt;booking!Q16),VLOOKUP(booking!Q16,Database!$A$1:'Database'!$L$189,6,FALSE),"-"),"-")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35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IFERROR(IF(AND(booking!AB17&gt;0,booking!D17&lt;&gt;booking!E17),VLOOKUP(booking!E17,Database!$A$1:'Database'!$L$189,6,FALSE),"-"),"-")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IFERROR(IF(AND(booking!AB17&gt;0,booking!H17&lt;&gt;booking!I17),VLOOKUP(booking!I17,Database!$A$1:'Database'!$L$189,6,FALSE),"-"),"-")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IFERROR(IF(AND(booking!AB17&gt;0,booking!L17&lt;&gt;booking!M17),VLOOKUP(booking!M17,Database!$A$1:'Database'!$L$189,6,FALSE),"-"),"-")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IFERROR(IF(AND(booking!AB17&gt;0,booking!P17&lt;&gt;booking!Q17),VLOOKUP(booking!Q17,Database!$A$1:'Database'!$L$189,6,FALSE),"-"),"-")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35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IFERROR(IF(AND(booking!AB18&gt;0,booking!D18&lt;&gt;booking!E18),VLOOKUP(booking!E18,Database!$A$1:'Database'!$L$189,6,FALSE),"-"),"-")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IFERROR(IF(AND(booking!AB18&gt;0,booking!H18&lt;&gt;booking!I18),VLOOKUP(booking!I18,Database!$A$1:'Database'!$L$189,6,FALSE),"-"),"-")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IFERROR(IF(AND(booking!AB18&gt;0,booking!L18&lt;&gt;booking!M18),VLOOKUP(booking!M18,Database!$A$1:'Database'!$L$189,6,FALSE),"-"),"-")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IFERROR(IF(AND(booking!AB18&gt;0,booking!P18&lt;&gt;booking!Q18),VLOOKUP(booking!Q18,Database!$A$1:'Database'!$L$189,6,FALSE),"-"),"-")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35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IFERROR(IF(AND(booking!AB19&gt;0,booking!D19&lt;&gt;booking!E19),VLOOKUP(booking!E19,Database!$A$1:'Database'!$L$189,6,FALSE),"-"),"-")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IFERROR(IF(AND(booking!AB19&gt;0,booking!H19&lt;&gt;booking!I19),VLOOKUP(booking!I19,Database!$A$1:'Database'!$L$189,6,FALSE),"-"),"-")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IFERROR(IF(AND(booking!AB19&gt;0,booking!L19&lt;&gt;booking!M19),VLOOKUP(booking!M19,Database!$A$1:'Database'!$L$189,6,FALSE),"-"),"-")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IFERROR(IF(AND(booking!AB19&gt;0,booking!P19&lt;&gt;booking!Q19),VLOOKUP(booking!Q19,Database!$A$1:'Database'!$L$189,6,FALSE),"-"),"-")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35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IFERROR(IF(AND(booking!AB20&gt;0,booking!D20&lt;&gt;booking!E20),VLOOKUP(booking!E20,Database!$A$1:'Database'!$L$189,6,FALSE),"-"),"-")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IFERROR(IF(AND(booking!AB20&gt;0,booking!H20&lt;&gt;booking!I20),VLOOKUP(booking!I20,Database!$A$1:'Database'!$L$189,6,FALSE),"-"),"-")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IFERROR(IF(AND(booking!AB20&gt;0,booking!L20&lt;&gt;booking!M20),VLOOKUP(booking!M20,Database!$A$1:'Database'!$L$189,6,FALSE),"-"),"-")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IFERROR(IF(AND(booking!AB20&gt;0,booking!P20&lt;&gt;booking!Q20),VLOOKUP(booking!Q20,Database!$A$1:'Database'!$L$189,6,FALSE),"-"),"-")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35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IFERROR(IF(AND(booking!AB21&gt;0,booking!D21&lt;&gt;booking!E21),VLOOKUP(booking!E21,Database!$A$1:'Database'!$L$189,6,FALSE),"-"),"-")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IFERROR(IF(AND(booking!AB21&gt;0,booking!H21&lt;&gt;booking!I21),VLOOKUP(booking!I21,Database!$A$1:'Database'!$L$189,6,FALSE),"-"),"-")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IFERROR(IF(AND(booking!AB21&gt;0,booking!L21&lt;&gt;booking!M21),VLOOKUP(booking!M21,Database!$A$1:'Database'!$L$189,6,FALSE),"-"),"-")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IFERROR(IF(AND(booking!AB21&gt;0,booking!P21&lt;&gt;booking!Q21),VLOOKUP(booking!Q21,Database!$A$1:'Database'!$L$189,6,FALSE),"-"),"-")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35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IFERROR(IF(AND(booking!AB22&gt;0,booking!D22&lt;&gt;booking!E22),VLOOKUP(booking!E22,Database!$A$1:'Database'!$L$189,6,FALSE),"-"),"-")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IFERROR(IF(AND(booking!AB22&gt;0,booking!H22&lt;&gt;booking!I22),VLOOKUP(booking!I22,Database!$A$1:'Database'!$L$189,6,FALSE),"-"),"-")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IFERROR(IF(AND(booking!AB22&gt;0,booking!L22&lt;&gt;booking!M22),VLOOKUP(booking!M22,Database!$A$1:'Database'!$L$189,6,FALSE),"-"),"-")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IFERROR(IF(AND(booking!AB22&gt;0,booking!P22&lt;&gt;booking!Q22),VLOOKUP(booking!Q22,Database!$A$1:'Database'!$L$189,6,FALSE),"-"),"-")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35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IFERROR(IF(AND(booking!AB23&gt;0,booking!D23&lt;&gt;booking!E23),VLOOKUP(booking!E23,Database!$A$1:'Database'!$L$189,6,FALSE),"-"),"-")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IFERROR(IF(AND(booking!AB23&gt;0,booking!H23&lt;&gt;booking!I23),VLOOKUP(booking!I23,Database!$A$1:'Database'!$L$189,6,FALSE),"-"),"-")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IFERROR(IF(AND(booking!AB23&gt;0,booking!L23&lt;&gt;booking!M23),VLOOKUP(booking!M23,Database!$A$1:'Database'!$L$189,6,FALSE),"-"),"-")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IFERROR(IF(AND(booking!AB23&gt;0,booking!P23&lt;&gt;booking!Q23),VLOOKUP(booking!Q23,Database!$A$1:'Database'!$L$189,6,FALSE),"-"),"-")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35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IFERROR(IF(AND(booking!AB24&gt;0,booking!D24&lt;&gt;booking!E24),VLOOKUP(booking!E24,Database!$A$1:'Database'!$L$189,6,FALSE),"-"),"-")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IFERROR(IF(AND(booking!AB24&gt;0,booking!H24&lt;&gt;booking!I24),VLOOKUP(booking!I24,Database!$A$1:'Database'!$L$189,6,FALSE),"-"),"-")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IFERROR(IF(AND(booking!AB24&gt;0,booking!L24&lt;&gt;booking!M24),VLOOKUP(booking!M24,Database!$A$1:'Database'!$L$189,6,FALSE),"-"),"-")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IFERROR(IF(AND(booking!AB24&gt;0,booking!P24&lt;&gt;booking!Q24),VLOOKUP(booking!Q24,Database!$A$1:'Database'!$L$189,6,FALSE),"-"),"-")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35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IFERROR(IF(AND(booking!AB25&gt;0,booking!D25&lt;&gt;booking!E25),VLOOKUP(booking!E25,Database!$A$1:'Database'!$L$189,6,FALSE),"-"),"-")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IFERROR(IF(AND(booking!AB25&gt;0,booking!H25&lt;&gt;booking!I25),VLOOKUP(booking!I25,Database!$A$1:'Database'!$L$189,6,FALSE),"-"),"-")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IFERROR(IF(AND(booking!AB25&gt;0,booking!L25&lt;&gt;booking!M25),VLOOKUP(booking!M25,Database!$A$1:'Database'!$L$189,6,FALSE),"-"),"-")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IFERROR(IF(AND(booking!AB25&gt;0,booking!P25&lt;&gt;booking!Q25),VLOOKUP(booking!Q25,Database!$A$1:'Database'!$L$189,6,FALSE),"-"),"-")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35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IFERROR(IF(AND(booking!AB26&gt;0,booking!D26&lt;&gt;booking!E26),VLOOKUP(booking!E26,Database!$A$1:'Database'!$L$189,6,FALSE),"-"),"-")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IFERROR(IF(AND(booking!AB26&gt;0,booking!H26&lt;&gt;booking!I26),VLOOKUP(booking!I26,Database!$A$1:'Database'!$L$189,6,FALSE),"-"),"-")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IFERROR(IF(AND(booking!AB26&gt;0,booking!L26&lt;&gt;booking!M26),VLOOKUP(booking!M26,Database!$A$1:'Database'!$L$189,6,FALSE),"-"),"-")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IFERROR(IF(AND(booking!AB26&gt;0,booking!P26&lt;&gt;booking!Q26),VLOOKUP(booking!Q26,Database!$A$1:'Database'!$L$189,6,FALSE),"-"),"-")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35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IFERROR(IF(AND(booking!AB27&gt;0,booking!D27&lt;&gt;booking!E27),VLOOKUP(booking!E27,Database!$A$1:'Database'!$L$189,6,FALSE),"-"),"-")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IFERROR(IF(AND(booking!AB27&gt;0,booking!H27&lt;&gt;booking!I27),VLOOKUP(booking!I27,Database!$A$1:'Database'!$L$189,6,FALSE),"-"),"-")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IFERROR(IF(AND(booking!AB27&gt;0,booking!L27&lt;&gt;booking!M27),VLOOKUP(booking!M27,Database!$A$1:'Database'!$L$189,6,FALSE),"-"),"-")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IFERROR(IF(AND(booking!AB27&gt;0,booking!P27&lt;&gt;booking!Q27),VLOOKUP(booking!Q27,Database!$A$1:'Database'!$L$189,6,FALSE),"-"),"-")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35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IFERROR(IF(AND(booking!AB28&gt;0,booking!D28&lt;&gt;booking!E28),VLOOKUP(booking!E28,Database!$A$1:'Database'!$L$189,6,FALSE),"-"),"-")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IFERROR(IF(AND(booking!AB28&gt;0,booking!H28&lt;&gt;booking!I28),VLOOKUP(booking!I28,Database!$A$1:'Database'!$L$189,6,FALSE),"-"),"-")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IFERROR(IF(AND(booking!AB28&gt;0,booking!L28&lt;&gt;booking!M28),VLOOKUP(booking!M28,Database!$A$1:'Database'!$L$189,6,FALSE),"-"),"-")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IFERROR(IF(AND(booking!AB28&gt;0,booking!P28&lt;&gt;booking!Q28),VLOOKUP(booking!Q28,Database!$A$1:'Database'!$L$189,6,FALSE),"-"),"-")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35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IFERROR(IF(AND(booking!AB29&gt;0,booking!D29&lt;&gt;booking!E29),VLOOKUP(booking!E29,Database!$A$1:'Database'!$L$189,6,FALSE),"-"),"-")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IFERROR(IF(AND(booking!AB29&gt;0,booking!H29&lt;&gt;booking!I29),VLOOKUP(booking!I29,Database!$A$1:'Database'!$L$189,6,FALSE),"-"),"-")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IFERROR(IF(AND(booking!AB29&gt;0,booking!L29&lt;&gt;booking!M29),VLOOKUP(booking!M29,Database!$A$1:'Database'!$L$189,6,FALSE),"-"),"-")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IFERROR(IF(AND(booking!AB29&gt;0,booking!P29&lt;&gt;booking!Q29),VLOOKUP(booking!Q29,Database!$A$1:'Database'!$L$189,6,FALSE),"-"),"-")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35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IFERROR(IF(AND(booking!AB30&gt;0,booking!D30&lt;&gt;booking!E30),VLOOKUP(booking!E30,Database!$A$1:'Database'!$L$189,6,FALSE),"-"),"-")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IFERROR(IF(AND(booking!AB30&gt;0,booking!H30&lt;&gt;booking!I30),VLOOKUP(booking!I30,Database!$A$1:'Database'!$L$189,6,FALSE),"-"),"-")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IFERROR(IF(AND(booking!AB30&gt;0,booking!L30&lt;&gt;booking!M30),VLOOKUP(booking!M30,Database!$A$1:'Database'!$L$189,6,FALSE),"-"),"-")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IFERROR(IF(AND(booking!AB30&gt;0,booking!P30&lt;&gt;booking!Q30),VLOOKUP(booking!Q30,Database!$A$1:'Database'!$L$189,6,FALSE),"-"),"-")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35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IFERROR(IF(AND(booking!AB31&gt;0,booking!D31&lt;&gt;booking!E31),VLOOKUP(booking!E31,Database!$A$1:'Database'!$L$189,6,FALSE),"-"),"-")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IFERROR(IF(AND(booking!AB31&gt;0,booking!H31&lt;&gt;booking!I31),VLOOKUP(booking!I31,Database!$A$1:'Database'!$L$189,6,FALSE),"-"),"-")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IFERROR(IF(AND(booking!AB31&gt;0,booking!L31&lt;&gt;booking!M31),VLOOKUP(booking!M31,Database!$A$1:'Database'!$L$189,6,FALSE),"-"),"-")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IFERROR(IF(AND(booking!AB31&gt;0,booking!P31&lt;&gt;booking!Q31),VLOOKUP(booking!Q31,Database!$A$1:'Database'!$L$189,6,FALSE),"-"),"-")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35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IFERROR(IF(AND(booking!AB32&gt;0,booking!D32&lt;&gt;booking!E32),VLOOKUP(booking!E32,Database!$A$1:'Database'!$L$189,6,FALSE),"-"),"-")</f>
        <v>DK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IFERROR(IF(AND(booking!AB32&gt;0,booking!H32&lt;&gt;booking!I32),VLOOKUP(booking!I32,Database!$A$1:'Database'!$L$189,6,FALSE),"-"),"-")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IFERROR(IF(AND(booking!AB32&gt;0,booking!L32&lt;&gt;booking!M32),VLOOKUP(booking!M32,Database!$A$1:'Database'!$L$189,6,FALSE),"-"),"-")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IFERROR(IF(AND(booking!AB32&gt;0,booking!P32&lt;&gt;booking!Q32),VLOOKUP(booking!Q32,Database!$A$1:'Database'!$L$189,6,FALSE),"-"),"-")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IFERROR(IF(AND(booking!AB32&gt;0,booking!T32&lt;&gt;booking!U32),VLOOKUP(booking!U32,Database!$A$1:'Database'!$L$189,6,FALSE),"-"),"-")</f>
        <v>-</v>
      </c>
    </row>
    <row r="33" spans="1:13" ht="15" customHeight="1" thickBot="1" x14ac:dyDescent="0.35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IFERROR(IF(AND(booking!AB33&gt;0,booking!D33&lt;&gt;booking!E33),VLOOKUP(booking!E33,Database!$A$1:'Database'!$L$189,6,FALSE),"-"),"-")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IFERROR(IF(AND(booking!AB33&gt;0,booking!H33&lt;&gt;booking!I33),VLOOKUP(booking!I33,Database!$A$1:'Database'!$L$189,6,FALSE),"-"),"-")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IFERROR(IF(AND(booking!AB33&gt;0,booking!L33&lt;&gt;booking!M33),VLOOKUP(booking!M33,Database!$A$1:'Database'!$L$189,6,FALSE),"-"),"-")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IFERROR(IF(AND(booking!AB33&gt;0,booking!P33&lt;&gt;booking!Q33),VLOOKUP(booking!Q33,Database!$A$1:'Database'!$L$189,6,FALSE),"-"),"-")</f>
        <v>DK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35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IFERROR(IF(AND(booking!AB34&gt;0,booking!D34&lt;&gt;booking!E34),VLOOKUP(booking!E34,Database!$A$1:'Database'!$L$189,6,FALSE),"-"),"-")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IFERROR(IF(AND(booking!AB34&gt;0,booking!H34&lt;&gt;booking!I34),VLOOKUP(booking!I34,Database!$A$1:'Database'!$L$189,6,FALSE),"-"),"-")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IFERROR(IF(AND(booking!AB34&gt;0,booking!L34&lt;&gt;booking!M34),VLOOKUP(booking!M34,Database!$A$1:'Database'!$L$189,6,FALSE),"-"),"-")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IFERROR(IF(AND(booking!AB34&gt;0,booking!P34&lt;&gt;booking!Q34),VLOOKUP(booking!Q34,Database!$A$1:'Database'!$L$189,6,FALSE),"-"),"-")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IFERROR(IF(AND(booking!AB34&gt;0,booking!T34&lt;&gt;booking!U34),VLOOKUP(booking!U34,Database!$A$1:'Database'!$L$189,6,FALSE),"-"),"-")</f>
        <v>DK</v>
      </c>
    </row>
    <row r="35" spans="1:13" ht="15" customHeight="1" thickBot="1" x14ac:dyDescent="0.35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IFERROR(IF(AND(booking!AB35&gt;0,booking!D35&lt;&gt;booking!E35),VLOOKUP(booking!E35,Database!$A$1:'Database'!$L$189,6,FALSE),"-"),"-")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IFERROR(IF(AND(booking!AB35&gt;0,booking!H35&lt;&gt;booking!I35),VLOOKUP(booking!I35,Database!$A$1:'Database'!$L$189,6,FALSE),"-"),"-")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IFERROR(IF(AND(booking!AB35&gt;0,booking!L35&lt;&gt;booking!M35),VLOOKUP(booking!M35,Database!$A$1:'Database'!$L$189,6,FALSE),"-"),"-")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IFERROR(IF(AND(booking!AB35&gt;0,booking!P35&lt;&gt;booking!Q35),VLOOKUP(booking!Q35,Database!$A$1:'Database'!$L$189,6,FALSE),"-"),"-")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35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udc</v>
      </c>
      <c r="E36" s="49" t="str">
        <f>IFERROR(IF(AND(booking!AB36&gt;0,booking!D36&lt;&gt;booking!E36),VLOOKUP(booking!E36,Database!$A$1:'Database'!$L$189,6,FALSE),"-"),"-")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IFERROR(IF(AND(booking!AB36&gt;0,booking!H36&lt;&gt;booking!I36),VLOOKUP(booking!I36,Database!$A$1:'Database'!$L$189,6,FALSE),"-"),"-")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IFERROR(IF(AND(booking!AB36&gt;0,booking!L36&lt;&gt;booking!M36),VLOOKUP(booking!M36,Database!$A$1:'Database'!$L$189,6,FALSE),"-"),"-")</f>
        <v>-</v>
      </c>
      <c r="J36" s="53" t="str">
        <f>IF(AND(booking!P36&lt;&gt;booking!Q36,booking!P36&gt;0),"udc","-")</f>
        <v>-</v>
      </c>
      <c r="K36" s="49" t="str">
        <f>IFERROR(IF(AND(booking!AB36&gt;0,booking!P36&lt;&gt;booking!Q36),VLOOKUP(booking!Q36,Database!$A$1:'Database'!$L$189,6,FALSE),"-"),"-")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35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IFERROR(IF(AND(booking!AB37&gt;0,booking!D37&lt;&gt;booking!E37),VLOOKUP(booking!E37,Database!$A$1:'Database'!$L$189,6,FALSE),"-"),"-")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IFERROR(IF(AND(booking!AB37&gt;0,booking!H37&lt;&gt;booking!I37),VLOOKUP(booking!I37,Database!$A$1:'Database'!$L$189,6,FALSE),"-"),"-")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IFERROR(IF(AND(booking!AB37&gt;0,booking!L37&lt;&gt;booking!M37),VLOOKUP(booking!M37,Database!$A$1:'Database'!$L$189,6,FALSE),"-"),"-")</f>
        <v>-</v>
      </c>
      <c r="J37" s="53" t="str">
        <f>IF(AND(booking!P37&lt;&gt;booking!Q37,booking!P37&gt;0),"udc","-")</f>
        <v>udc</v>
      </c>
      <c r="K37" s="49" t="str">
        <f>IFERROR(IF(AND(booking!AB37&gt;0,booking!P37&lt;&gt;booking!Q37),VLOOKUP(booking!Q37,Database!$A$1:'Database'!$L$189,6,FALSE),"-"),"-")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35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IFERROR(IF(AND(booking!AB38&gt;0,booking!D38&lt;&gt;booking!E38),VLOOKUP(booking!E38,Database!$A$1:'Database'!$L$189,6,FALSE),"-"),"-")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IFERROR(IF(AND(booking!AB38&gt;0,booking!H38&lt;&gt;booking!I38),VLOOKUP(booking!I38,Database!$A$1:'Database'!$L$189,6,FALSE),"-"),"-")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IFERROR(IF(AND(booking!AB38&gt;0,booking!L38&lt;&gt;booking!M38),VLOOKUP(booking!M38,Database!$A$1:'Database'!$L$189,6,FALSE),"-"),"-")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IFERROR(IF(AND(booking!AB38&gt;0,booking!P38&lt;&gt;booking!Q38),VLOOKUP(booking!Q38,Database!$A$1:'Database'!$L$189,6,FALSE),"-"),"-")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35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IFERROR(IF(AND(booking!AB39&gt;0,booking!D39&lt;&gt;booking!E39),VLOOKUP(booking!E39,Database!$A$1:'Database'!$L$189,6,FALSE),"-"),"-")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IFERROR(IF(AND(booking!AB39&gt;0,booking!H39&lt;&gt;booking!I39),VLOOKUP(booking!I39,Database!$A$1:'Database'!$L$189,6,FALSE),"-"),"-")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IFERROR(IF(AND(booking!AB39&gt;0,booking!L39&lt;&gt;booking!M39),VLOOKUP(booking!M39,Database!$A$1:'Database'!$L$189,6,FALSE),"-"),"-")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IFERROR(IF(AND(booking!AB39&gt;0,booking!P39&lt;&gt;booking!Q39),VLOOKUP(booking!Q39,Database!$A$1:'Database'!$L$189,6,FALSE),"-"),"-")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35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IFERROR(IF(AND(booking!AB40&gt;0,booking!D40&lt;&gt;booking!E40),VLOOKUP(booking!E40,Database!$A$1:'Database'!$L$189,6,FALSE),"-"),"-")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IFERROR(IF(AND(booking!AB40&gt;0,booking!H40&lt;&gt;booking!I40),VLOOKUP(booking!I40,Database!$A$1:'Database'!$L$189,6,FALSE),"-"),"-")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IFERROR(IF(AND(booking!AB40&gt;0,booking!L40&lt;&gt;booking!M40),VLOOKUP(booking!M40,Database!$A$1:'Database'!$L$189,6,FALSE),"-"),"-")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IFERROR(IF(AND(booking!AB40&gt;0,booking!P40&lt;&gt;booking!Q40),VLOOKUP(booking!Q40,Database!$A$1:'Database'!$L$189,6,FALSE),"-"),"-")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35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IFERROR(IF(AND(booking!AB41&gt;0,booking!D41&lt;&gt;booking!E41),VLOOKUP(booking!E41,Database!$A$1:'Database'!$L$189,6,FALSE),"-"),"-")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IFERROR(IF(AND(booking!AB41&gt;0,booking!H41&lt;&gt;booking!I41),VLOOKUP(booking!I41,Database!$A$1:'Database'!$L$189,6,FALSE),"-"),"-")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IFERROR(IF(AND(booking!AB41&gt;0,booking!L41&lt;&gt;booking!M41),VLOOKUP(booking!M41,Database!$A$1:'Database'!$L$189,6,FALSE),"-"),"-")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IFERROR(IF(AND(booking!AB41&gt;0,booking!P41&lt;&gt;booking!Q41),VLOOKUP(booking!Q41,Database!$A$1:'Database'!$L$189,6,FALSE),"-"),"-")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35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IFERROR(IF(AND(booking!AB42&gt;0,booking!D42&lt;&gt;booking!E42),VLOOKUP(booking!E42,Database!$A$1:'Database'!$L$189,6,FALSE),"-"),"-")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IFERROR(IF(AND(booking!AB42&gt;0,booking!H42&lt;&gt;booking!I42),VLOOKUP(booking!I42,Database!$A$1:'Database'!$L$189,6,FALSE),"-"),"-")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IFERROR(IF(AND(booking!AB42&gt;0,booking!L42&lt;&gt;booking!M42),VLOOKUP(booking!M42,Database!$A$1:'Database'!$L$189,6,FALSE),"-"),"-")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IFERROR(IF(AND(booking!AB42&gt;0,booking!P42&lt;&gt;booking!Q42),VLOOKUP(booking!Q42,Database!$A$1:'Database'!$L$189,6,FALSE),"-"),"-")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IFERROR(IF(AND(booking!AB42&gt;0,booking!T42&lt;&gt;booking!U42),VLOOKUP(booking!U42,Database!$A$1:'Database'!$L$189,6,FALSE),"-"),"-")</f>
        <v>it</v>
      </c>
    </row>
    <row r="43" spans="1:13" ht="15" customHeight="1" thickBot="1" x14ac:dyDescent="0.35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IFERROR(IF(AND(booking!AB43&gt;0,booking!D43&lt;&gt;booking!E43),VLOOKUP(booking!E43,Database!$A$1:'Database'!$L$189,6,FALSE),"-"),"-")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IFERROR(IF(AND(booking!AB43&gt;0,booking!H43&lt;&gt;booking!I43),VLOOKUP(booking!I43,Database!$A$1:'Database'!$L$189,6,FALSE),"-"),"-")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IFERROR(IF(AND(booking!AB43&gt;0,booking!L43&lt;&gt;booking!M43),VLOOKUP(booking!M43,Database!$A$1:'Database'!$L$189,6,FALSE),"-"),"-")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IFERROR(IF(AND(booking!AB43&gt;0,booking!P43&lt;&gt;booking!Q43),VLOOKUP(booking!Q43,Database!$A$1:'Database'!$L$189,6,FALSE),"-"),"-")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35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IFERROR(IF(AND(booking!AB44&gt;0,booking!D44&lt;&gt;booking!E44),VLOOKUP(booking!E44,Database!$A$1:'Database'!$L$189,6,FALSE),"-"),"-")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IFERROR(IF(AND(booking!AB44&gt;0,booking!H44&lt;&gt;booking!I44),VLOOKUP(booking!I44,Database!$A$1:'Database'!$L$189,6,FALSE),"-"),"-")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IFERROR(IF(AND(booking!AB44&gt;0,booking!L44&lt;&gt;booking!M44),VLOOKUP(booking!M44,Database!$A$1:'Database'!$L$189,6,FALSE),"-"),"-")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IFERROR(IF(AND(booking!AB44&gt;0,booking!P44&lt;&gt;booking!Q44),VLOOKUP(booking!Q44,Database!$A$1:'Database'!$L$189,6,FALSE),"-"),"-")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IFERROR(IF(AND(booking!AB44&gt;0,booking!T44&lt;&gt;booking!U44),VLOOKUP(booking!U44,Database!$A$1:'Database'!$L$189,6,FALSE),"-"),"-")</f>
        <v>-</v>
      </c>
    </row>
    <row r="45" spans="1:13" ht="15" customHeight="1" thickBot="1" x14ac:dyDescent="0.35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IFERROR(IF(AND(booking!AB45&gt;0,booking!D45&lt;&gt;booking!E45),VLOOKUP(booking!E45,Database!$A$1:'Database'!$L$189,6,FALSE),"-"),"-")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IFERROR(IF(AND(booking!AB45&gt;0,booking!H45&lt;&gt;booking!I45),VLOOKUP(booking!I45,Database!$A$1:'Database'!$L$189,6,FALSE),"-"),"-")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IFERROR(IF(AND(booking!AB45&gt;0,booking!L45&lt;&gt;booking!#REF!),VLOOKUP(booking!#REF!,Database!$A$1:'Database'!$L$189,6,FALSE),"-"),"-")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IFERROR(IF(AND(booking!AB45&gt;0,booking!P45&lt;&gt;booking!Q45),VLOOKUP(booking!Q45,Database!$A$1:'Database'!$L$189,6,FALSE),"-"),"-")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IFERROR(IF(AND(booking!AB45&gt;0,booking!T45&lt;&gt;booking!U45),VLOOKUP(booking!U45,Database!$A$1:'Database'!$L$189,6,FALSE),"-"),"-")</f>
        <v>DK</v>
      </c>
    </row>
    <row r="46" spans="1:13" ht="15" customHeight="1" thickBot="1" x14ac:dyDescent="0.35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IFERROR(IF(AND(booking!AB46&gt;0,booking!D46&lt;&gt;booking!E46),VLOOKUP(booking!E46,Database!$A$1:'Database'!$L$189,6,FALSE),"-"),"-")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IFERROR(IF(AND(booking!AB46&gt;0,booking!H46&lt;&gt;booking!I46),VLOOKUP(booking!I46,Database!$A$1:'Database'!$L$189,6,FALSE),"-"),"-")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IFERROR(IF(AND(booking!AB46&gt;0,booking!L46&lt;&gt;booking!M45),VLOOKUP(booking!M45,Database!$A$1:'Database'!$L$189,6,FALSE),"-"),"-")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IFERROR(IF(AND(booking!AB46&gt;0,booking!P46&lt;&gt;booking!Q46),VLOOKUP(booking!Q46,Database!$A$1:'Database'!$L$189,6,FALSE),"-"),"-")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35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IFERROR(IF(AND(booking!AB47&gt;0,booking!D47&lt;&gt;booking!E47),VLOOKUP(booking!E47,Database!$A$1:'Database'!$L$189,6,FALSE),"-"),"-")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IFERROR(IF(AND(booking!AB47&gt;0,booking!H47&lt;&gt;booking!I47),VLOOKUP(booking!I47,Database!$A$1:'Database'!$L$189,6,FALSE),"-"),"-")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IFERROR(IF(AND(booking!AB47&gt;0,booking!L47&lt;&gt;booking!M47),VLOOKUP(booking!M47,Database!$A$1:'Database'!$L$189,6,FALSE),"-"),"-")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IFERROR(IF(AND(booking!AB47&gt;0,booking!P47&lt;&gt;booking!Q47),VLOOKUP(booking!Q47,Database!$A$1:'Database'!$L$189,6,FALSE),"-"),"-")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35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IFERROR(IF(AND(booking!AB48&gt;0,booking!D48&lt;&gt;booking!E48),VLOOKUP(booking!E48,Database!$A$1:'Database'!$L$189,6,FALSE),"-"),"-")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IFERROR(IF(AND(booking!AB48&gt;0,booking!H48&lt;&gt;booking!I48),VLOOKUP(booking!I48,Database!$A$1:'Database'!$L$189,6,FALSE),"-"),"-")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IFERROR(IF(AND(booking!AB48&gt;0,booking!L48&lt;&gt;booking!M48),VLOOKUP(booking!M48,Database!$A$1:'Database'!$L$189,6,FALSE),"-"),"-")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IFERROR(IF(AND(booking!AB48&gt;0,booking!P48&lt;&gt;booking!Q48),VLOOKUP(booking!Q48,Database!$A$1:'Database'!$L$189,6,FALSE),"-"),"-")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35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IFERROR(IF(AND(booking!AB49&gt;0,booking!D49&lt;&gt;booking!E49),VLOOKUP(booking!E49,Database!$A$1:'Database'!$L$189,6,FALSE),"-"),"-")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IFERROR(IF(AND(booking!AB49&gt;0,booking!H49&lt;&gt;booking!I49),VLOOKUP(booking!I49,Database!$A$1:'Database'!$L$189,6,FALSE),"-"),"-")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IFERROR(IF(AND(booking!AB49&gt;0,booking!L49&lt;&gt;booking!M49),VLOOKUP(booking!M49,Database!$A$1:'Database'!$L$189,6,FALSE),"-"),"-")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IFERROR(IF(AND(booking!AB49&gt;0,booking!P49&lt;&gt;booking!Q49),VLOOKUP(booking!Q49,Database!$A$1:'Database'!$L$189,6,FALSE),"-"),"-")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35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IFERROR(IF(AND(booking!AB50&gt;0,booking!D50&lt;&gt;booking!E50),VLOOKUP(booking!E50,Database!$A$1:'Database'!$L$189,6,FALSE),"-"),"-")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IFERROR(IF(AND(booking!AB50&gt;0,booking!H50&lt;&gt;booking!I50),VLOOKUP(booking!I50,Database!$A$1:'Database'!$L$189,6,FALSE),"-"),"-")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IFERROR(IF(AND(booking!AB50&gt;0,booking!L50&lt;&gt;booking!M50),VLOOKUP(booking!M50,Database!$A$1:'Database'!$L$189,6,FALSE),"-"),"-")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IFERROR(IF(AND(booking!AB50&gt;0,booking!P50&lt;&gt;booking!Q50),VLOOKUP(booking!Q50,Database!$A$1:'Database'!$L$189,6,FALSE),"-"),"-")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35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IFERROR(IF(AND(booking!AB51&gt;0,booking!D51&lt;&gt;booking!E51),VLOOKUP(booking!E51,Database!$A$1:'Database'!$L$189,6,FALSE),"-"),"-")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IFERROR(IF(AND(booking!AB51&gt;0,booking!H51&lt;&gt;booking!I51),VLOOKUP(booking!I51,Database!$A$1:'Database'!$L$189,6,FALSE),"-"),"-")</f>
        <v>DK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IFERROR(IF(AND(booking!AB51&gt;0,booking!L51&lt;&gt;booking!M51),VLOOKUP(booking!M51,Database!$A$1:'Database'!$L$189,6,FALSE),"-"),"-")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IFERROR(IF(AND(booking!AB51&gt;0,booking!P51&lt;&gt;booking!Q51),VLOOKUP(booking!Q51,Database!$A$1:'Database'!$L$189,6,FALSE),"-"),"-")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35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IFERROR(IF(AND(booking!AB52&gt;0,booking!D52&lt;&gt;booking!E52),VLOOKUP(booking!E52,Database!$A$1:'Database'!$L$189,6,FALSE),"-"),"-")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IFERROR(IF(AND(booking!AB52&gt;0,booking!H52&lt;&gt;booking!I52),VLOOKUP(booking!I52,Database!$A$1:'Database'!$L$189,6,FALSE),"-"),"-")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IFERROR(IF(AND(booking!AB52&gt;0,booking!L52&lt;&gt;booking!M52),VLOOKUP(booking!M52,Database!$A$1:'Database'!$L$189,6,FALSE),"-"),"-")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IFERROR(IF(AND(booking!AB52&gt;0,booking!P52&lt;&gt;booking!Q52),VLOOKUP(booking!Q52,Database!$A$1:'Database'!$L$189,6,FALSE),"-"),"-")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35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IFERROR(IF(AND(booking!AB53&gt;0,booking!D53&lt;&gt;booking!E53),VLOOKUP(booking!E53,Database!$A$1:'Database'!$L$189,6,FALSE),"-"),"-")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IFERROR(IF(AND(booking!AB53&gt;0,booking!H53&lt;&gt;booking!I53),VLOOKUP(booking!I53,Database!$A$1:'Database'!$L$189,6,FALSE),"-"),"-")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IFERROR(IF(AND(booking!AB53&gt;0,booking!L53&lt;&gt;booking!M53),VLOOKUP(booking!M53,Database!$A$1:'Database'!$L$189,6,FALSE),"-"),"-")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IFERROR(IF(AND(booking!AB53&gt;0,booking!P53&lt;&gt;booking!Q53),VLOOKUP(booking!Q53,Database!$A$1:'Database'!$L$189,6,FALSE),"-"),"-")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35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IFERROR(IF(AND(booking!AB54&gt;0,booking!D54&lt;&gt;booking!E54),VLOOKUP(booking!E54,Database!$A$1:'Database'!$L$189,6,FALSE),"-"),"-")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IFERROR(IF(AND(booking!AB54&gt;0,booking!H54&lt;&gt;booking!I54),VLOOKUP(booking!I54,Database!$A$1:'Database'!$L$189,6,FALSE),"-"),"-")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IFERROR(IF(AND(booking!AB54&gt;0,booking!L54&lt;&gt;booking!M54),VLOOKUP(booking!M54,Database!$A$1:'Database'!$L$189,6,FALSE),"-"),"-")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IFERROR(IF(AND(booking!AB54&gt;0,booking!P54&lt;&gt;booking!Q54),VLOOKUP(booking!Q54,Database!$A$1:'Database'!$L$189,6,FALSE),"-"),"-")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35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IFERROR(IF(AND(booking!AB55&gt;0,booking!D55&lt;&gt;booking!E55),VLOOKUP(booking!E55,Database!$A$1:'Database'!$L$189,6,FALSE),"-"),"-")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IFERROR(IF(AND(booking!AB55&gt;0,booking!H55&lt;&gt;booking!I55),VLOOKUP(booking!I55,Database!$A$1:'Database'!$L$189,6,FALSE),"-"),"-")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IFERROR(IF(AND(booking!AB55&gt;0,booking!L55&lt;&gt;booking!M55),VLOOKUP(booking!M55,Database!$A$1:'Database'!$L$189,6,FALSE),"-"),"-")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IFERROR(IF(AND(booking!AB55&gt;0,booking!P55&lt;&gt;booking!Q55),VLOOKUP(booking!Q55,Database!$A$1:'Database'!$L$189,6,FALSE),"-"),"-")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35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IFERROR(IF(AND(booking!AB56&gt;0,booking!D56&lt;&gt;booking!E56),VLOOKUP(booking!E56,Database!$A$1:'Database'!$L$189,6,FALSE),"-"),"-")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IFERROR(IF(AND(booking!AB56&gt;0,booking!H56&lt;&gt;booking!I56),VLOOKUP(booking!I56,Database!$A$1:'Database'!$L$189,6,FALSE),"-"),"-")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IFERROR(IF(AND(booking!AB56&gt;0,booking!L56&lt;&gt;booking!M56),VLOOKUP(booking!M56,Database!$A$1:'Database'!$L$189,6,FALSE),"-"),"-")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IFERROR(IF(AND(booking!AB56&gt;0,booking!P56&lt;&gt;booking!Q56),VLOOKUP(booking!Q56,Database!$A$1:'Database'!$L$189,6,FALSE),"-"),"-")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35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IFERROR(IF(AND(booking!AB57&gt;0,booking!D57&lt;&gt;booking!E57),VLOOKUP(booking!E57,Database!$A$1:'Database'!$L$189,6,FALSE),"-"),"-")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IFERROR(IF(AND(booking!AB57&gt;0,booking!H57&lt;&gt;booking!I57),VLOOKUP(booking!I57,Database!$A$1:'Database'!$L$189,6,FALSE),"-"),"-")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IFERROR(IF(AND(booking!AB57&gt;0,booking!L57&lt;&gt;booking!M57),VLOOKUP(booking!M57,Database!$A$1:'Database'!$L$189,6,FALSE),"-"),"-")</f>
        <v>S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IFERROR(IF(AND(booking!AB57&gt;0,booking!P57&lt;&gt;booking!Q57),VLOOKUP(booking!Q57,Database!$A$1:'Database'!$L$189,6,FALSE),"-"),"-")</f>
        <v>S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35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IFERROR(IF(AND(booking!AB58&gt;0,booking!D58&lt;&gt;booking!E58),VLOOKUP(booking!E58,Database!$A$1:'Database'!$L$189,6,FALSE),"-"),"-")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IFERROR(IF(AND(booking!AB58&gt;0,booking!H58&lt;&gt;booking!I58),VLOOKUP(booking!I58,Database!$A$1:'Database'!$L$189,6,FALSE),"-"),"-")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IFERROR(IF(AND(booking!AB58&gt;0,booking!L58&lt;&gt;booking!M58),VLOOKUP(booking!M58,Database!$A$1:'Database'!$L$189,6,FALSE),"-"),"-")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IFERROR(IF(AND(booking!AB58&gt;0,booking!P58&lt;&gt;booking!Q58),VLOOKUP(booking!Q58,Database!$A$1:'Database'!$L$189,6,FALSE),"-"),"-")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IFERROR(IF(AND(booking!AB58&gt;0,booking!T58&lt;&gt;booking!U58),VLOOKUP(booking!U58,Database!$A$1:'Database'!$L$189,6,FALSE),"-"),"-")</f>
        <v>DK</v>
      </c>
    </row>
    <row r="59" spans="1:13" ht="15" customHeight="1" thickBot="1" x14ac:dyDescent="0.35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IFERROR(IF(AND(booking!AB59&gt;0,booking!D59&lt;&gt;booking!E59),VLOOKUP(booking!E59,Database!$A$1:'Database'!$L$189,6,FALSE),"-"),"-")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IFERROR(IF(AND(booking!AB59&gt;0,booking!H59&lt;&gt;booking!I59),VLOOKUP(booking!I59,Database!$A$1:'Database'!$L$189,6,FALSE),"-"),"-")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IFERROR(IF(AND(booking!AB59&gt;0,booking!L59&lt;&gt;booking!M59),VLOOKUP(booking!M59,Database!$A$1:'Database'!$L$189,6,FALSE),"-"),"-")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IFERROR(IF(AND(booking!AB59&gt;0,booking!P59&lt;&gt;booking!Q59),VLOOKUP(booking!Q59,Database!$A$1:'Database'!$L$189,6,FALSE),"-"),"-")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35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IFERROR(IF(AND(booking!AB60&gt;0,booking!D60&lt;&gt;booking!E60),VLOOKUP(booking!E60,Database!$A$1:'Database'!$L$189,6,FALSE),"-"),"-")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IFERROR(IF(AND(booking!AB60&gt;0,booking!H60&lt;&gt;booking!I60),VLOOKUP(booking!I60,Database!$A$1:'Database'!$L$189,6,FALSE),"-"),"-")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IFERROR(IF(AND(booking!AB60&gt;0,booking!L60&lt;&gt;booking!M60),VLOOKUP(booking!M60,Database!$A$1:'Database'!$L$189,6,FALSE),"-"),"-")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IFERROR(IF(AND(booking!AB60&gt;0,booking!P60&lt;&gt;booking!Q60),VLOOKUP(booking!Q60,Database!$A$1:'Database'!$L$189,6,FALSE),"-"),"-")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35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IFERROR(IF(AND(booking!AB61&gt;0,booking!D61&lt;&gt;booking!E61),VLOOKUP(booking!E61,Database!$A$1:'Database'!$L$189,6,FALSE),"-"),"-")</f>
        <v>S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IFERROR(IF(AND(booking!AB61&gt;0,booking!H61&lt;&gt;booking!I61),VLOOKUP(booking!I61,Database!$A$1:'Database'!$L$189,6,FALSE),"-"),"-")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IFERROR(IF(AND(booking!AB61&gt;0,booking!L61&lt;&gt;booking!M61),VLOOKUP(booking!M61,Database!$A$1:'Database'!$L$189,6,FALSE),"-"),"-")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IFERROR(IF(AND(booking!AB61&gt;0,booking!P61&lt;&gt;booking!Q61),VLOOKUP(booking!Q61,Database!$A$1:'Database'!$L$189,6,FALSE),"-"),"-")</f>
        <v>-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35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IFERROR(IF(AND(booking!AB62&gt;0,booking!D62&lt;&gt;booking!E62),VLOOKUP(booking!E62,Database!$A$1:'Database'!$L$189,6,FALSE),"-"),"-")</f>
        <v>-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IFERROR(IF(AND(booking!AB62&gt;0,booking!H62&lt;&gt;booking!I62),VLOOKUP(booking!I62,Database!$A$1:'Database'!$L$189,6,FALSE),"-"),"-")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IFERROR(IF(AND(booking!AB62&gt;0,booking!L62&lt;&gt;booking!M62),VLOOKUP(booking!M62,Database!$A$1:'Database'!$L$189,6,FALSE),"-"),"-")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IFERROR(IF(AND(booking!AB62&gt;0,booking!P62&lt;&gt;booking!Q62),VLOOKUP(booking!Q62,Database!$A$1:'Database'!$L$189,6,FALSE),"-"),"-")</f>
        <v>D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35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IFERROR(IF(AND(booking!AB63&gt;0,booking!D63&lt;&gt;booking!E63),VLOOKUP(booking!E63,Database!$A$1:'Database'!$L$189,6,FALSE),"-"),"-")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IFERROR(IF(AND(booking!AB63&gt;0,booking!H63&lt;&gt;booking!I63),VLOOKUP(booking!I63,Database!$A$1:'Database'!$L$189,6,FALSE),"-"),"-")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IFERROR(IF(AND(booking!AB63&gt;0,booking!L63&lt;&gt;booking!M63),VLOOKUP(booking!M63,Database!$A$1:'Database'!$L$189,6,FALSE),"-"),"-")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IFERROR(IF(AND(booking!AB63&gt;0,booking!P63&lt;&gt;booking!Q63),VLOOKUP(booking!Q63,Database!$A$1:'Database'!$L$189,6,FALSE),"-"),"-")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35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udc</v>
      </c>
      <c r="E64" s="49" t="str">
        <f>IFERROR(IF(AND(booking!AB64&gt;0,booking!D64&lt;&gt;booking!E64),VLOOKUP(booking!E64,Database!$A$1:'Database'!$L$189,6,FALSE),"-"),"-")</f>
        <v>D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IFERROR(IF(AND(booking!AB64&gt;0,booking!H64&lt;&gt;booking!I64),VLOOKUP(booking!I64,Database!$A$1:'Database'!$L$189,6,FALSE),"-"),"-")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IFERROR(IF(AND(booking!AB64&gt;0,booking!L64&lt;&gt;booking!M64),VLOOKUP(booking!M64,Database!$A$1:'Database'!$L$189,6,FALSE),"-"),"-")</f>
        <v>-</v>
      </c>
      <c r="J64" s="53" t="str">
        <f>IF(AND(booking!P64&lt;&gt;booking!Q64,booking!P64&gt;0),"udc","-")</f>
        <v>-</v>
      </c>
      <c r="K64" s="49" t="str">
        <f>IFERROR(IF(AND(booking!AB64&gt;0,booking!P64&lt;&gt;booking!Q64),VLOOKUP(booking!Q64,Database!$A$1:'Database'!$L$189,6,FALSE),"-"),"-")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35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-</v>
      </c>
      <c r="E65" s="49" t="str">
        <f>IFERROR(IF(AND(booking!AB65&gt;0,booking!D65&lt;&gt;booking!E65),VLOOKUP(booking!E65,Database!$A$1:'Database'!$L$189,6,FALSE),"-"),"-")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IFERROR(IF(AND(booking!AB65&gt;0,booking!H65&lt;&gt;booking!I65),VLOOKUP(booking!I65,Database!$A$1:'Database'!$L$189,6,FALSE),"-"),"-")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IFERROR(IF(AND(booking!AB65&gt;0,booking!L65&lt;&gt;booking!M65),VLOOKUP(booking!M65,Database!$A$1:'Database'!$L$189,6,FALSE),"-"),"-")</f>
        <v>-</v>
      </c>
      <c r="J65" s="53" t="str">
        <f>IF(AND(booking!P65&lt;&gt;booking!Q65,booking!P65&gt;0),"udc","-")</f>
        <v>udc</v>
      </c>
      <c r="K65" s="49" t="str">
        <f>IFERROR(IF(AND(booking!AB65&gt;0,booking!P65&lt;&gt;booking!Q65),VLOOKUP(booking!Q65,Database!$A$1:'Database'!$L$189,6,FALSE),"-"),"-")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35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IFERROR(IF(AND(booking!AB66&gt;0,booking!D66&lt;&gt;booking!E66),VLOOKUP(booking!E66,Database!$A$1:'Database'!$L$189,6,FALSE),"-"),"-")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IFERROR(IF(AND(booking!AB66&gt;0,booking!H66&lt;&gt;booking!I66),VLOOKUP(booking!I66,Database!$A$1:'Database'!$L$189,6,FALSE),"-"),"-")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IFERROR(IF(AND(booking!AB66&gt;0,booking!L66&lt;&gt;booking!M66),VLOOKUP(booking!M66,Database!$A$1:'Database'!$L$189,6,FALSE),"-"),"-")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IFERROR(IF(AND(booking!AB66&gt;0,booking!P66&lt;&gt;booking!Q66),VLOOKUP(booking!Q66,Database!$A$1:'Database'!$L$189,6,FALSE),"-"),"-")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35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IFERROR(IF(AND(booking!AB67&gt;0,booking!D67&lt;&gt;booking!E67),VLOOKUP(booking!E67,Database!$A$1:'Database'!$L$189,6,FALSE),"-"),"-")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IFERROR(IF(AND(booking!AB67&gt;0,booking!H67&lt;&gt;booking!I67),VLOOKUP(booking!I67,Database!$A$1:'Database'!$L$189,6,FALSE),"-"),"-")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IFERROR(IF(AND(booking!AB67&gt;0,booking!L67&lt;&gt;booking!M67),VLOOKUP(booking!M67,Database!$A$1:'Database'!$L$189,6,FALSE),"-"),"-")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IFERROR(IF(AND(booking!AB67&gt;0,booking!P67&lt;&gt;booking!Q67),VLOOKUP(booking!Q67,Database!$A$1:'Database'!$L$189,6,FALSE),"-"),"-")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35">
      <c r="A68" t="str">
        <f>booking!B68</f>
        <v>torsdag</v>
      </c>
      <c r="B68" s="24">
        <f>booking!C68</f>
        <v>46205</v>
      </c>
      <c r="C68" s="2" t="str">
        <f>IF(booking!AC68&gt;0,"Y","-")</f>
        <v>Y</v>
      </c>
      <c r="D68" s="53" t="str">
        <f>IF(AND(booking!D68&lt;&gt;booking!E68,booking!D68&gt;0),"udc","-")</f>
        <v>udc</v>
      </c>
      <c r="E68" s="49" t="str">
        <f>IFERROR(IF(AND(booking!AB68&gt;0,booking!D68&lt;&gt;booking!E68),VLOOKUP(booking!E68,Database!$A$1:'Database'!$L$189,6,FALSE),"-"),"-")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IFERROR(IF(AND(booking!AB68&gt;0,booking!H68&lt;&gt;booking!I68),VLOOKUP(booking!I68,Database!$A$1:'Database'!$L$189,6,FALSE),"-"),"-")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IFERROR(IF(AND(booking!AB68&gt;0,booking!L68&lt;&gt;booking!M68),VLOOKUP(booking!M68,Database!$A$1:'Database'!$L$189,6,FALSE),"-"),"-")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IFERROR(IF(AND(booking!AB68&gt;0,booking!P68&lt;&gt;booking!Q68),VLOOKUP(booking!Q68,Database!$A$1:'Database'!$L$189,6,FALSE),"-"),"-")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35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IFERROR(IF(AND(booking!AB69&gt;0,booking!D69&lt;&gt;booking!E69),VLOOKUP(booking!E69,Database!$A$1:'Database'!$L$189,6,FALSE),"-"),"-")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IFERROR(IF(AND(booking!AB69&gt;0,booking!H69&lt;&gt;booking!I69),VLOOKUP(booking!I69,Database!$A$1:'Database'!$L$189,6,FALSE),"-"),"-")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IFERROR(IF(AND(booking!AB69&gt;0,booking!L69&lt;&gt;booking!M69),VLOOKUP(booking!M69,Database!$A$1:'Database'!$L$189,6,FALSE),"-"),"-")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IFERROR(IF(AND(booking!AB69&gt;0,booking!P69&lt;&gt;booking!Q69),VLOOKUP(booking!Q69,Database!$A$1:'Database'!$L$189,6,FALSE),"-"),"-")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35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IFERROR(IF(AND(booking!AB70&gt;0,booking!D70&lt;&gt;booking!E70),VLOOKUP(booking!E70,Database!$A$1:'Database'!$L$189,6,FALSE),"-"),"-")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IFERROR(IF(AND(booking!AB70&gt;0,booking!H70&lt;&gt;booking!I70),VLOOKUP(booking!I70,Database!$A$1:'Database'!$L$189,6,FALSE),"-"),"-")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IFERROR(IF(AND(booking!AB70&gt;0,booking!L70&lt;&gt;booking!M70),VLOOKUP(booking!M70,Database!$A$1:'Database'!$L$189,6,FALSE),"-"),"-")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IFERROR(IF(AND(booking!AB70&gt;0,booking!P70&lt;&gt;booking!Q70),VLOOKUP(booking!Q70,Database!$A$1:'Database'!$L$189,6,FALSE),"-"),"-")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35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IFERROR(IF(AND(booking!AB71&gt;0,booking!D71&lt;&gt;booking!E71),VLOOKUP(booking!E71,Database!$A$1:'Database'!$L$189,6,FALSE),"-"),"-")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IFERROR(IF(AND(booking!AB71&gt;0,booking!H71&lt;&gt;booking!I71),VLOOKUP(booking!I71,Database!$A$1:'Database'!$L$189,6,FALSE),"-"),"-")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IFERROR(IF(AND(booking!AB71&gt;0,booking!L71&lt;&gt;booking!M71),VLOOKUP(booking!M71,Database!$A$1:'Database'!$L$189,6,FALSE),"-"),"-")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IFERROR(IF(AND(booking!AB71&gt;0,booking!P71&lt;&gt;booking!Q71),VLOOKUP(booking!Q71,Database!$A$1:'Database'!$L$189,6,FALSE),"-"),"-")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35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IFERROR(IF(AND(booking!AB72&gt;0,booking!D72&lt;&gt;booking!E72),VLOOKUP(booking!E72,Database!$A$1:'Database'!$L$189,6,FALSE),"-"),"-")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IFERROR(IF(AND(booking!AB72&gt;0,booking!H72&lt;&gt;booking!I72),VLOOKUP(booking!I72,Database!$A$1:'Database'!$L$189,6,FALSE),"-"),"-")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IFERROR(IF(AND(booking!AB72&gt;0,booking!L72&lt;&gt;booking!M72),VLOOKUP(booking!M72,Database!$A$1:'Database'!$L$189,6,FALSE),"-"),"-")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IFERROR(IF(AND(booking!AB72&gt;0,booking!P72&lt;&gt;booking!Q72),VLOOKUP(booking!Q72,Database!$A$1:'Database'!$L$189,6,FALSE),"-"),"-")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35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IFERROR(IF(AND(booking!AB73&gt;0,booking!D73&lt;&gt;booking!E73),VLOOKUP(booking!E73,Database!$A$1:'Database'!$L$189,6,FALSE),"-"),"-")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IFERROR(IF(AND(booking!AB73&gt;0,booking!H73&lt;&gt;booking!I73),VLOOKUP(booking!I73,Database!$A$1:'Database'!$L$189,6,FALSE),"-"),"-")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IFERROR(IF(AND(booking!AB73&gt;0,booking!L73&lt;&gt;booking!M73),VLOOKUP(booking!M73,Database!$A$1:'Database'!$L$189,6,FALSE),"-"),"-")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IFERROR(IF(AND(booking!AB73&gt;0,booking!P73&lt;&gt;booking!Q73),VLOOKUP(booking!Q73,Database!$A$1:'Database'!$L$189,6,FALSE),"-"),"-")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35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IFERROR(IF(AND(booking!AB74&gt;0,booking!D74&lt;&gt;booking!E74),VLOOKUP(booking!E74,Database!$A$1:'Database'!$L$189,6,FALSE),"-"),"-")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IFERROR(IF(AND(booking!AB74&gt;0,booking!H74&lt;&gt;booking!I74),VLOOKUP(booking!I74,Database!$A$1:'Database'!$L$189,6,FALSE),"-"),"-")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IFERROR(IF(AND(booking!AB74&gt;0,booking!L74&lt;&gt;booking!M74),VLOOKUP(booking!M74,Database!$A$1:'Database'!$L$189,6,FALSE),"-"),"-")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IFERROR(IF(AND(booking!AB74&gt;0,booking!P74&lt;&gt;booking!Q74),VLOOKUP(booking!Q74,Database!$A$1:'Database'!$L$189,6,FALSE),"-"),"-")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35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IFERROR(IF(AND(booking!AB75&gt;0,booking!D75&lt;&gt;booking!E75),VLOOKUP(booking!E75,Database!$A$1:'Database'!$L$189,6,FALSE),"-"),"-")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IFERROR(IF(AND(booking!AB75&gt;0,booking!H75&lt;&gt;booking!I75),VLOOKUP(booking!I75,Database!$A$1:'Database'!$L$189,6,FALSE),"-"),"-")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IFERROR(IF(AND(booking!AB75&gt;0,booking!L75&lt;&gt;booking!M75),VLOOKUP(booking!M75,Database!$A$1:'Database'!$L$189,6,FALSE),"-"),"-")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IFERROR(IF(AND(booking!AB75&gt;0,booking!P75&lt;&gt;booking!Q75),VLOOKUP(booking!Q75,Database!$A$1:'Database'!$L$189,6,FALSE),"-"),"-")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35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IFERROR(IF(AND(booking!AB76&gt;0,booking!D76&lt;&gt;booking!E76),VLOOKUP(booking!E76,Database!$A$1:'Database'!$L$189,6,FALSE),"-"),"-")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IFERROR(IF(AND(booking!AB76&gt;0,booking!H76&lt;&gt;booking!I76),VLOOKUP(booking!I76,Database!$A$1:'Database'!$L$189,6,FALSE),"-"),"-")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IFERROR(IF(AND(booking!AB76&gt;0,booking!L76&lt;&gt;booking!M76),VLOOKUP(booking!M76,Database!$A$1:'Database'!$L$189,6,FALSE),"-"),"-")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IFERROR(IF(AND(booking!AB76&gt;0,booking!P76&lt;&gt;booking!Q76),VLOOKUP(booking!Q76,Database!$A$1:'Database'!$L$189,6,FALSE),"-"),"-")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35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IFERROR(IF(AND(booking!AB77&gt;0,booking!D77&lt;&gt;booking!E77),VLOOKUP(booking!E77,Database!$A$1:'Database'!$L$189,6,FALSE),"-"),"-")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IFERROR(IF(AND(booking!AB77&gt;0,booking!H77&lt;&gt;booking!I77),VLOOKUP(booking!I77,Database!$A$1:'Database'!$L$189,6,FALSE),"-"),"-")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IFERROR(IF(AND(booking!AB77&gt;0,booking!L77&lt;&gt;booking!M77),VLOOKUP(booking!M77,Database!$A$1:'Database'!$L$189,6,FALSE),"-"),"-")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IFERROR(IF(AND(booking!AB77&gt;0,booking!P77&lt;&gt;booking!Q77),VLOOKUP(booking!Q77,Database!$A$1:'Database'!$L$189,6,FALSE),"-"),"-")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35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IFERROR(IF(AND(booking!AB78&gt;0,booking!D78&lt;&gt;booking!E78),VLOOKUP(booking!E78,Database!$A$1:'Database'!$L$189,6,FALSE),"-"),"-")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IFERROR(IF(AND(booking!AB78&gt;0,booking!H78&lt;&gt;booking!I78),VLOOKUP(booking!I78,Database!$A$1:'Database'!$L$189,6,FALSE),"-"),"-")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IFERROR(IF(AND(booking!AB78&gt;0,booking!L78&lt;&gt;booking!M78),VLOOKUP(booking!M78,Database!$A$1:'Database'!$L$189,6,FALSE),"-"),"-")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IFERROR(IF(AND(booking!AB78&gt;0,booking!P78&lt;&gt;booking!Q78),VLOOKUP(booking!Q78,Database!$A$1:'Database'!$L$189,6,FALSE),"-"),"-")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35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IFERROR(IF(AND(booking!AB79&gt;0,booking!D79&lt;&gt;booking!E79),VLOOKUP(booking!E79,Database!$A$1:'Database'!$L$189,6,FALSE),"-"),"-")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IFERROR(IF(AND(booking!AB79&gt;0,booking!H79&lt;&gt;booking!I79),VLOOKUP(booking!I79,Database!$A$1:'Database'!$L$189,6,FALSE),"-"),"-")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IFERROR(IF(AND(booking!AB79&gt;0,booking!L79&lt;&gt;booking!M79),VLOOKUP(booking!M79,Database!$A$1:'Database'!$L$189,6,FALSE),"-"),"-")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IFERROR(IF(AND(booking!AB79&gt;0,booking!P79&lt;&gt;booking!Q79),VLOOKUP(booking!Q79,Database!$A$1:'Database'!$L$189,6,FALSE),"-"),"-")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35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IFERROR(IF(AND(booking!AB80&gt;0,booking!D80&lt;&gt;booking!E80),VLOOKUP(booking!E80,Database!$A$1:'Database'!$L$189,6,FALSE),"-"),"-")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IFERROR(IF(AND(booking!AB80&gt;0,booking!H80&lt;&gt;booking!I80),VLOOKUP(booking!I80,Database!$A$1:'Database'!$L$189,6,FALSE),"-"),"-")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IFERROR(IF(AND(booking!AB80&gt;0,booking!L80&lt;&gt;booking!M80),VLOOKUP(booking!M80,Database!$A$1:'Database'!$L$189,6,FALSE),"-"),"-")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IFERROR(IF(AND(booking!AB80&gt;0,booking!P80&lt;&gt;booking!Q80),VLOOKUP(booking!Q80,Database!$A$1:'Database'!$L$189,6,FALSE),"-"),"-")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35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IFERROR(IF(AND(booking!AB81&gt;0,booking!D81&lt;&gt;booking!E81),VLOOKUP(booking!E81,Database!$A$1:'Database'!$L$189,6,FALSE),"-"),"-")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IFERROR(IF(AND(booking!AB81&gt;0,booking!H81&lt;&gt;booking!I81),VLOOKUP(booking!I81,Database!$A$1:'Database'!$L$189,6,FALSE),"-"),"-")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IFERROR(IF(AND(booking!AB81&gt;0,booking!L81&lt;&gt;booking!M81),VLOOKUP(booking!M81,Database!$A$1:'Database'!$L$189,6,FALSE),"-"),"-")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IFERROR(IF(AND(booking!AB81&gt;0,booking!P81&lt;&gt;booking!Q81),VLOOKUP(booking!Q81,Database!$A$1:'Database'!$L$189,6,FALSE),"-"),"-")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35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IFERROR(IF(AND(booking!AB82&gt;0,booking!D82&lt;&gt;booking!E82),VLOOKUP(booking!E82,Database!$A$1:'Database'!$L$189,6,FALSE),"-"),"-")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IFERROR(IF(AND(booking!AB82&gt;0,booking!H82&lt;&gt;booking!I82),VLOOKUP(booking!I82,Database!$A$1:'Database'!$L$189,6,FALSE),"-"),"-")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IFERROR(IF(AND(booking!AB82&gt;0,booking!L82&lt;&gt;booking!M82),VLOOKUP(booking!M82,Database!$A$1:'Database'!$L$189,6,FALSE),"-"),"-")</f>
        <v>DK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IFERROR(IF(AND(booking!AB82&gt;0,booking!P82&lt;&gt;booking!Q82),VLOOKUP(booking!Q82,Database!$A$1:'Database'!$L$189,6,FALSE),"-"),"-")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35">
      <c r="A83" t="str">
        <f>booking!B83</f>
        <v>fredag</v>
      </c>
      <c r="B83" s="24">
        <f>booking!C83</f>
        <v>46220</v>
      </c>
      <c r="C83" s="2" t="str">
        <f>IF(booking!AC83&gt;0,"Y","-")</f>
        <v>Y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IFERROR(IF(AND(booking!AB83&gt;0,booking!D83&lt;&gt;booking!E83),VLOOKUP(booking!E83,Database!$A$1:'Database'!$L$189,6,FALSE),"-"),"-")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IFERROR(IF(AND(booking!AB83&gt;0,booking!H83&lt;&gt;booking!I83),VLOOKUP(booking!I83,Database!$A$1:'Database'!$L$189,6,FALSE),"-"),"-")</f>
        <v>-</v>
      </c>
      <c r="H83" s="53" t="str">
        <f>IF(AND(booking!L83&lt;&gt;booking!M83,booking!L83&gt;0),"udc","-")</f>
        <v>udc</v>
      </c>
      <c r="I83" s="49" t="str">
        <f>IFERROR(IF(AND(booking!AB83&gt;0,booking!L83&lt;&gt;booking!M83),VLOOKUP(booking!M83,Database!$A$1:'Database'!$L$189,6,FALSE),"-"),"-")</f>
        <v>DK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IFERROR(IF(AND(booking!AB83&gt;0,booking!P83&lt;&gt;booking!Q83),VLOOKUP(booking!Q83,Database!$A$1:'Database'!$L$189,6,FALSE),"-"),"-")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35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IFERROR(IF(AND(booking!AB84&gt;0,booking!D84&lt;&gt;booking!E84),VLOOKUP(booking!E84,Database!$A$1:'Database'!$L$189,6,FALSE),"-"),"-")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IFERROR(IF(AND(booking!AB84&gt;0,booking!H84&lt;&gt;booking!I84),VLOOKUP(booking!I84,Database!$A$1:'Database'!$L$189,6,FALSE),"-"),"-")</f>
        <v>CH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IFERROR(IF(AND(booking!AB84&gt;0,booking!L84&lt;&gt;booking!M84),VLOOKUP(booking!M84,Database!$A$1:'Database'!$L$189,6,FALSE),"-"),"-")</f>
        <v>-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IFERROR(IF(AND(booking!AB84&gt;0,booking!P84&lt;&gt;booking!Q84),VLOOKUP(booking!Q84,Database!$A$1:'Database'!$L$189,6,FALSE),"-"),"-")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35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IFERROR(IF(AND(booking!AB85&gt;0,booking!D85&lt;&gt;booking!E85),VLOOKUP(booking!E85,Database!$A$1:'Database'!$L$189,6,FALSE),"-"),"-")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IFERROR(IF(AND(booking!AB85&gt;0,booking!H85&lt;&gt;booking!I85),VLOOKUP(booking!I85,Database!$A$1:'Database'!$L$189,6,FALSE),"-"),"-")</f>
        <v>-</v>
      </c>
      <c r="H85" s="53" t="str">
        <f>IF(AND(booking!L85&lt;&gt;booking!M85,booking!L85&gt;0),"udc","-")</f>
        <v>udc</v>
      </c>
      <c r="I85" s="49" t="str">
        <f>IFERROR(IF(AND(booking!AB85&gt;0,booking!L85&lt;&gt;booking!M85),VLOOKUP(booking!M85,Database!$A$1:'Database'!$L$189,6,FALSE),"-"),"-")</f>
        <v>CZ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IFERROR(IF(AND(booking!AB85&gt;0,booking!P85&lt;&gt;booking!Q85),VLOOKUP(booking!Q85,Database!$A$1:'Database'!$L$189,6,FALSE),"-"),"-")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35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IFERROR(IF(AND(booking!AB86&gt;0,booking!D86&lt;&gt;booking!E86),VLOOKUP(booking!E86,Database!$A$1:'Database'!$L$189,6,FALSE),"-"),"-")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IFERROR(IF(AND(booking!AB86&gt;0,booking!H86&lt;&gt;booking!I86),VLOOKUP(booking!I86,Database!$A$1:'Database'!$L$189,6,FALSE),"-"),"-")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IFERROR(IF(AND(booking!AB86&gt;0,booking!L86&lt;&gt;booking!M86),VLOOKUP(booking!M86,Database!$A$1:'Database'!$L$189,6,FALSE),"-"),"-")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IFERROR(IF(AND(booking!AB86&gt;0,booking!P86&lt;&gt;booking!Q86),VLOOKUP(booking!Q86,Database!$A$1:'Database'!$L$189,6,FALSE),"-"),"-")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35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IFERROR(IF(AND(booking!AB87&gt;0,booking!D87&lt;&gt;booking!E87),VLOOKUP(booking!E87,Database!$A$1:'Database'!$L$189,6,FALSE),"-"),"-")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IFERROR(IF(AND(booking!AB87&gt;0,booking!H87&lt;&gt;booking!I87),VLOOKUP(booking!I87,Database!$A$1:'Database'!$L$189,6,FALSE),"-"),"-")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IFERROR(IF(AND(booking!AB87&gt;0,booking!L87&lt;&gt;booking!M87),VLOOKUP(booking!M87,Database!$A$1:'Database'!$L$189,6,FALSE),"-"),"-")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IFERROR(IF(AND(booking!AB87&gt;0,booking!P87&lt;&gt;booking!Q87),VLOOKUP(booking!Q87,Database!$A$1:'Database'!$L$189,6,FALSE),"-"),"-")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35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IFERROR(IF(AND(booking!AB88&gt;0,booking!D88&lt;&gt;booking!E88),VLOOKUP(booking!E88,Database!$A$1:'Database'!$L$189,6,FALSE),"-"),"-")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IFERROR(IF(AND(booking!AB88&gt;0,booking!H88&lt;&gt;booking!I88),VLOOKUP(booking!I88,Database!$A$1:'Database'!$L$189,6,FALSE),"-"),"-")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IFERROR(IF(AND(booking!AB88&gt;0,booking!L88&lt;&gt;booking!M88),VLOOKUP(booking!M88,Database!$A$1:'Database'!$L$189,6,FALSE),"-"),"-")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IFERROR(IF(AND(booking!AB88&gt;0,booking!P88&lt;&gt;booking!Q88),VLOOKUP(booking!Q88,Database!$A$1:'Database'!$L$189,6,FALSE),"-"),"-")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35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IFERROR(IF(AND(booking!AB89&gt;0,booking!D89&lt;&gt;booking!E89),VLOOKUP(booking!E89,Database!$A$1:'Database'!$L$189,6,FALSE),"-"),"-")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IFERROR(IF(AND(booking!AB89&gt;0,booking!H89&lt;&gt;booking!I89),VLOOKUP(booking!I89,Database!$A$1:'Database'!$L$189,6,FALSE),"-"),"-")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IFERROR(IF(AND(booking!AB89&gt;0,booking!L89&lt;&gt;booking!M89),VLOOKUP(booking!M89,Database!$A$1:'Database'!$L$189,6,FALSE),"-"),"-")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IFERROR(IF(AND(booking!AB89&gt;0,booking!P89&lt;&gt;booking!Q89),VLOOKUP(booking!Q89,Database!$A$1:'Database'!$L$189,6,FALSE),"-"),"-")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35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IFERROR(IF(AND(booking!AB90&gt;0,booking!D90&lt;&gt;booking!E90),VLOOKUP(booking!E90,Database!$A$1:'Database'!$L$189,6,FALSE),"-"),"-")</f>
        <v>-</v>
      </c>
      <c r="F90" s="53" t="str">
        <f>IF(AND(booking!H90&lt;&gt;booking!I90,booking!H90&gt;0),"udc","-")</f>
        <v>-</v>
      </c>
      <c r="G90" s="49" t="str">
        <f>IFERROR(IF(AND(booking!AB90&gt;0,booking!H90&lt;&gt;booking!I90),VLOOKUP(booking!I90,Database!$A$1:'Database'!$L$189,6,FALSE),"-"),"-")</f>
        <v>-</v>
      </c>
      <c r="H90" s="53" t="str">
        <f>IF(AND(booking!L90&lt;&gt;booking!M90,booking!L90&gt;0),"udc","-")</f>
        <v>udc</v>
      </c>
      <c r="I90" s="49" t="str">
        <f>IFERROR(IF(AND(booking!AB90&gt;0,booking!L90&lt;&gt;booking!M90),VLOOKUP(booking!M90,Database!$A$1:'Database'!$L$189,6,FALSE),"-"),"-")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IFERROR(IF(AND(booking!AB90&gt;0,booking!P90&lt;&gt;booking!Q90),VLOOKUP(booking!Q90,Database!$A$1:'Database'!$L$189,6,FALSE),"-"),"-")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35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IFERROR(IF(AND(booking!AB91&gt;0,booking!D91&lt;&gt;booking!E91),VLOOKUP(booking!E91,Database!$A$1:'Database'!$L$189,6,FALSE),"-"),"-")</f>
        <v>-</v>
      </c>
      <c r="F91" s="53" t="str">
        <f>IF(AND(booking!H91&lt;&gt;booking!I91,booking!H91&gt;0),"udc","-")</f>
        <v>udc</v>
      </c>
      <c r="G91" s="49" t="str">
        <f>IFERROR(IF(AND(booking!AB91&gt;0,booking!H91&lt;&gt;booking!I91),VLOOKUP(booking!I91,Database!$A$1:'Database'!$L$189,6,FALSE),"-"),"-")</f>
        <v>-</v>
      </c>
      <c r="H91" s="53" t="str">
        <f>IF(AND(booking!L91&lt;&gt;booking!M91,booking!L91&gt;0),"udc","-")</f>
        <v>-</v>
      </c>
      <c r="I91" s="49" t="str">
        <f>IFERROR(IF(AND(booking!AB91&gt;0,booking!L91&lt;&gt;booking!M91),VLOOKUP(booking!M91,Database!$A$1:'Database'!$L$189,6,FALSE),"-"),"-")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IFERROR(IF(AND(booking!AB91&gt;0,booking!P91&lt;&gt;booking!Q91),VLOOKUP(booking!Q91,Database!$A$1:'Database'!$L$189,6,FALSE),"-"),"-")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IFERROR(IF(AND(booking!AB91&gt;0,booking!T91&lt;&gt;booking!U91),VLOOKUP(booking!U91,Database!$A$1:'Database'!$L$189,6,FALSE),"-"),"-")</f>
        <v>DK</v>
      </c>
    </row>
    <row r="92" spans="1:13" ht="15" customHeight="1" thickBot="1" x14ac:dyDescent="0.35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IFERROR(IF(AND(booking!AB92&gt;0,booking!D92&lt;&gt;booking!E92),VLOOKUP(booking!E92,Database!$A$1:'Database'!$L$189,6,FALSE),"-"),"-")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IFERROR(IF(AND(booking!AB92&gt;0,booking!H92&lt;&gt;booking!I92),VLOOKUP(booking!I92,Database!$A$1:'Database'!$L$189,6,FALSE),"-"),"-")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IFERROR(IF(AND(booking!AB92&gt;0,booking!L92&lt;&gt;booking!M92),VLOOKUP(booking!M92,Database!$A$1:'Database'!$L$189,6,FALSE),"-"),"-")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IFERROR(IF(AND(booking!AB92&gt;0,booking!P92&lt;&gt;booking!Q92),VLOOKUP(booking!Q92,Database!$A$1:'Database'!$L$189,6,FALSE),"-"),"-")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35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IFERROR(IF(AND(booking!AB93&gt;0,booking!D93&lt;&gt;booking!E93),VLOOKUP(booking!E93,Database!$A$1:'Database'!$L$189,6,FALSE),"-"),"-")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IFERROR(IF(AND(booking!AB93&gt;0,booking!H93&lt;&gt;booking!I93),VLOOKUP(booking!I93,Database!$A$1:'Database'!$L$189,6,FALSE),"-"),"-")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IFERROR(IF(AND(booking!AB93&gt;0,booking!L93&lt;&gt;booking!M93),VLOOKUP(booking!M93,Database!$A$1:'Database'!$L$189,6,FALSE),"-"),"-")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IFERROR(IF(AND(booking!AB93&gt;0,booking!P93&lt;&gt;booking!Q93),VLOOKUP(booking!Q93,Database!$A$1:'Database'!$L$189,6,FALSE),"-"),"-")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IFERROR(IF(AND(booking!AB93&gt;0,booking!T93&lt;&gt;booking!U93),VLOOKUP(booking!U93,Database!$A$1:'Database'!$L$189,6,FALSE),"-"),"-")</f>
        <v>-</v>
      </c>
    </row>
    <row r="94" spans="1:13" ht="15" customHeight="1" thickBot="1" x14ac:dyDescent="0.35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IFERROR(IF(AND(booking!AB94&gt;0,booking!D94&lt;&gt;booking!E94),VLOOKUP(booking!E94,Database!$A$1:'Database'!$L$189,6,FALSE),"-"),"-")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IFERROR(IF(AND(booking!AB94&gt;0,booking!H94&lt;&gt;booking!I94),VLOOKUP(booking!I94,Database!$A$1:'Database'!$L$189,6,FALSE),"-"),"-")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IFERROR(IF(AND(booking!AB94&gt;0,booking!L94&lt;&gt;booking!M94),VLOOKUP(booking!M94,Database!$A$1:'Database'!$L$189,6,FALSE),"-"),"-")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IFERROR(IF(AND(booking!AB94&gt;0,booking!P94&lt;&gt;booking!Q94),VLOOKUP(booking!Q94,Database!$A$1:'Database'!$L$189,6,FALSE),"-"),"-")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35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IFERROR(IF(AND(booking!AB95&gt;0,booking!D95&lt;&gt;booking!E95),VLOOKUP(booking!E95,Database!$A$1:'Database'!$L$189,6,FALSE),"-"),"-")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IFERROR(IF(AND(booking!AB95&gt;0,booking!H95&lt;&gt;booking!I95),VLOOKUP(booking!I95,Database!$A$1:'Database'!$L$189,6,FALSE),"-"),"-")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IFERROR(IF(AND(booking!AB95&gt;0,booking!L95&lt;&gt;booking!M95),VLOOKUP(booking!M95,Database!$A$1:'Database'!$L$189,6,FALSE),"-"),"-")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IFERROR(IF(AND(booking!AB95&gt;0,booking!P95&lt;&gt;booking!Q95),VLOOKUP(booking!Q95,Database!$A$1:'Database'!$L$189,6,FALSE),"-"),"-")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35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IFERROR(IF(AND(booking!AB96&gt;0,booking!D96&lt;&gt;booking!E96),VLOOKUP(booking!E96,Database!$A$1:'Database'!$L$189,6,FALSE),"-"),"-")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IFERROR(IF(AND(booking!AB96&gt;0,booking!H96&lt;&gt;booking!I96),VLOOKUP(booking!I96,Database!$A$1:'Database'!$L$189,6,FALSE),"-"),"-")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IFERROR(IF(AND(booking!AB96&gt;0,booking!L96&lt;&gt;booking!M96),VLOOKUP(booking!M96,Database!$A$1:'Database'!$L$189,6,FALSE),"-"),"-")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IFERROR(IF(AND(booking!AB96&gt;0,booking!P96&lt;&gt;booking!Q96),VLOOKUP(booking!Q96,Database!$A$1:'Database'!$L$189,6,FALSE),"-"),"-")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35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IFERROR(IF(AND(booking!AB97&gt;0,booking!D97&lt;&gt;booking!E97),VLOOKUP(booking!E97,Database!$A$1:'Database'!$L$189,6,FALSE),"-"),"-")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IFERROR(IF(AND(booking!AB97&gt;0,booking!H97&lt;&gt;booking!I97),VLOOKUP(booking!I97,Database!$A$1:'Database'!$L$189,6,FALSE),"-"),"-")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IFERROR(IF(AND(booking!AB97&gt;0,booking!L97&lt;&gt;booking!M97),VLOOKUP(booking!M97,Database!$A$1:'Database'!$L$189,6,FALSE),"-"),"-")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IFERROR(IF(AND(booking!AB97&gt;0,booking!P97&lt;&gt;booking!Q97),VLOOKUP(booking!Q97,Database!$A$1:'Database'!$L$189,6,FALSE),"-"),"-")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IFERROR(IF(AND(booking!AB97&gt;0,booking!T97&lt;&gt;booking!U97),VLOOKUP(booking!U97,Database!$A$1:'Database'!$L$189,6,FALSE),"-"),"-")</f>
        <v>-</v>
      </c>
    </row>
    <row r="98" spans="1:13" ht="15" customHeight="1" thickBot="1" x14ac:dyDescent="0.35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IFERROR(IF(AND(booking!AB98&gt;0,booking!D98&lt;&gt;booking!E98),VLOOKUP(booking!E98,Database!$A$1:'Database'!$L$189,6,FALSE),"-"),"-")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IFERROR(IF(AND(booking!AB98&gt;0,booking!H98&lt;&gt;booking!I98),VLOOKUP(booking!I98,Database!$A$1:'Database'!$L$189,6,FALSE),"-"),"-")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IFERROR(IF(AND(booking!AB98&gt;0,booking!L98&lt;&gt;booking!M98),VLOOKUP(booking!M98,Database!$A$1:'Database'!$L$189,6,FALSE),"-"),"-")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IFERROR(IF(AND(booking!AB98&gt;0,booking!P98&lt;&gt;booking!Q98),VLOOKUP(booking!Q98,Database!$A$1:'Database'!$L$189,6,FALSE),"-"),"-")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35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IFERROR(IF(AND(booking!AB99&gt;0,booking!D99&lt;&gt;booking!E99),VLOOKUP(booking!E99,Database!$A$1:'Database'!$L$189,6,FALSE),"-"),"-")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IFERROR(IF(AND(booking!AB99&gt;0,booking!H99&lt;&gt;booking!I99),VLOOKUP(booking!I99,Database!$A$1:'Database'!$L$189,6,FALSE),"-"),"-")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IFERROR(IF(AND(booking!AB99&gt;0,booking!L99&lt;&gt;booking!M99),VLOOKUP(booking!M99,Database!$A$1:'Database'!$L$189,6,FALSE),"-"),"-")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IFERROR(IF(AND(booking!AB99&gt;0,booking!P99&lt;&gt;booking!Q99),VLOOKUP(booking!Q99,Database!$A$1:'Database'!$L$189,6,FALSE),"-"),"-")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IFERROR(IF(AND(booking!AB99&gt;0,booking!T99&lt;&gt;booking!U99),VLOOKUP(booking!U99,Database!$A$1:'Database'!$L$189,6,FALSE),"-"),"-")</f>
        <v>-</v>
      </c>
    </row>
    <row r="100" spans="1:13" ht="15" customHeight="1" thickBot="1" x14ac:dyDescent="0.35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IFERROR(IF(AND(booking!AB100&gt;0,booking!D100&lt;&gt;booking!E100),VLOOKUP(booking!E100,Database!$A$1:'Database'!$L$189,6,FALSE),"-"),"-")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IFERROR(IF(AND(booking!AB100&gt;0,booking!H100&lt;&gt;booking!I100),VLOOKUP(booking!I100,Database!$A$1:'Database'!$L$189,6,FALSE),"-"),"-")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IFERROR(IF(AND(booking!AB100&gt;0,booking!L100&lt;&gt;booking!M100),VLOOKUP(booking!M100,Database!$A$1:'Database'!$L$189,6,FALSE),"-"),"-")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IFERROR(IF(AND(booking!AB100&gt;0,booking!P100&lt;&gt;booking!Q100),VLOOKUP(booking!Q100,Database!$A$1:'Database'!$L$189,6,FALSE),"-"),"-")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IFERROR(IF(AND(booking!AB100&gt;0,booking!T100&lt;&gt;booking!U100),VLOOKUP(booking!U100,Database!$A$1:'Database'!$L$189,6,FALSE),"-"),"-")</f>
        <v>DK</v>
      </c>
    </row>
    <row r="101" spans="1:13" ht="15" customHeight="1" thickBot="1" x14ac:dyDescent="0.35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IFERROR(IF(AND(booking!AB101&gt;0,booking!D101&lt;&gt;booking!E101),VLOOKUP(booking!E101,Database!$A$1:'Database'!$L$189,6,FALSE),"-"),"-")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IFERROR(IF(AND(booking!AB101&gt;0,booking!H101&lt;&gt;booking!I101),VLOOKUP(booking!I101,Database!$A$1:'Database'!$L$189,6,FALSE),"-"),"-")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IFERROR(IF(AND(booking!AB101&gt;0,booking!L101&lt;&gt;booking!M101),VLOOKUP(booking!M101,Database!$A$1:'Database'!$L$189,6,FALSE),"-"),"-")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IFERROR(IF(AND(booking!AB101&gt;0,booking!P101&lt;&gt;booking!Q101),VLOOKUP(booking!Q101,Database!$A$1:'Database'!$L$189,6,FALSE),"-"),"-")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35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IFERROR(IF(AND(booking!AB102&gt;0,booking!D102&lt;&gt;booking!E102),VLOOKUP(booking!E102,Database!$A$1:'Database'!$L$189,6,FALSE),"-"),"-")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IFERROR(IF(AND(booking!AB102&gt;0,booking!H102&lt;&gt;booking!I102),VLOOKUP(booking!I102,Database!$A$1:'Database'!$L$189,6,FALSE),"-"),"-")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IFERROR(IF(AND(booking!AB102&gt;0,booking!L102&lt;&gt;booking!M102),VLOOKUP(booking!M102,Database!$A$1:'Database'!$L$189,6,FALSE),"-"),"-")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IFERROR(IF(AND(booking!AB102&gt;0,booking!P102&lt;&gt;booking!Q102),VLOOKUP(booking!Q102,Database!$A$1:'Database'!$L$189,6,FALSE),"-"),"-")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35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IFERROR(IF(AND(booking!AB103&gt;0,booking!D103&lt;&gt;booking!E103),VLOOKUP(booking!E103,Database!$A$1:'Database'!$L$189,6,FALSE),"-"),"-")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IFERROR(IF(AND(booking!AB103&gt;0,booking!H103&lt;&gt;booking!I103),VLOOKUP(booking!I103,Database!$A$1:'Database'!$L$189,6,FALSE),"-"),"-")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IFERROR(IF(AND(booking!AB103&gt;0,booking!L103&lt;&gt;booking!M103),VLOOKUP(booking!M103,Database!$A$1:'Database'!$L$189,6,FALSE),"-"),"-")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IFERROR(IF(AND(booking!AB103&gt;0,booking!P103&lt;&gt;booking!Q103),VLOOKUP(booking!Q103,Database!$A$1:'Database'!$L$189,6,FALSE),"-"),"-")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35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IFERROR(IF(AND(booking!AB104&gt;0,booking!D104&lt;&gt;booking!E104),VLOOKUP(booking!E104,Database!$A$1:'Database'!$L$189,6,FALSE),"-"),"-")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IFERROR(IF(AND(booking!AB104&gt;0,booking!H104&lt;&gt;booking!I104),VLOOKUP(booking!I104,Database!$A$1:'Database'!$L$189,6,FALSE),"-"),"-")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IFERROR(IF(AND(booking!AB104&gt;0,booking!L104&lt;&gt;booking!M104),VLOOKUP(booking!M104,Database!$A$1:'Database'!$L$189,6,FALSE),"-"),"-")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IFERROR(IF(AND(booking!AB104&gt;0,booking!P104&lt;&gt;booking!Q104),VLOOKUP(booking!Q104,Database!$A$1:'Database'!$L$189,6,FALSE),"-"),"-")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35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IFERROR(IF(AND(booking!AB105&gt;0,booking!D105&lt;&gt;booking!E105),VLOOKUP(booking!E105,Database!$A$1:'Database'!$L$189,6,FALSE),"-"),"-")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IFERROR(IF(AND(booking!AB105&gt;0,booking!H105&lt;&gt;booking!I105),VLOOKUP(booking!I105,Database!$A$1:'Database'!$L$189,6,FALSE),"-"),"-")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IFERROR(IF(AND(booking!AB105&gt;0,booking!L105&lt;&gt;booking!M105),VLOOKUP(booking!M105,Database!$A$1:'Database'!$L$189,6,FALSE),"-"),"-")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IFERROR(IF(AND(booking!AB105&gt;0,booking!P105&lt;&gt;booking!Q105),VLOOKUP(booking!Q105,Database!$A$1:'Database'!$L$189,6,FALSE),"-"),"-")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35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IFERROR(IF(AND(booking!AB106&gt;0,booking!D106&lt;&gt;booking!E106),VLOOKUP(booking!E106,Database!$A$1:'Database'!$L$189,6,FALSE),"-"),"-")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IFERROR(IF(AND(booking!AB106&gt;0,booking!H106&lt;&gt;booking!I106),VLOOKUP(booking!I106,Database!$A$1:'Database'!$L$189,6,FALSE),"-"),"-")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IFERROR(IF(AND(booking!AB106&gt;0,booking!L106&lt;&gt;booking!M106),VLOOKUP(booking!M106,Database!$A$1:'Database'!$L$189,6,FALSE),"-"),"-")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IFERROR(IF(AND(booking!AB106&gt;0,booking!P106&lt;&gt;booking!Q106),VLOOKUP(booking!Q106,Database!$A$1:'Database'!$L$189,6,FALSE),"-"),"-")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35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IFERROR(IF(AND(booking!AB107&gt;0,booking!D107&lt;&gt;booking!E107),VLOOKUP(booking!E107,Database!$A$1:'Database'!$L$189,6,FALSE),"-"),"-")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IFERROR(IF(AND(booking!AB107&gt;0,booking!H107&lt;&gt;booking!I107),VLOOKUP(booking!I107,Database!$A$1:'Database'!$L$189,6,FALSE),"-"),"-")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IFERROR(IF(AND(booking!AB107&gt;0,booking!L107&lt;&gt;booking!M107),VLOOKUP(booking!M107,Database!$A$1:'Database'!$L$189,6,FALSE),"-"),"-")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IFERROR(IF(AND(booking!AB107&gt;0,booking!P107&lt;&gt;booking!Q107),VLOOKUP(booking!Q107,Database!$A$1:'Database'!$L$189,6,FALSE),"-"),"-")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35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IFERROR(IF(AND(booking!AB108&gt;0,booking!D108&lt;&gt;booking!E108),VLOOKUP(booking!E108,Database!$A$1:'Database'!$L$189,6,FALSE),"-"),"-")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IFERROR(IF(AND(booking!AB108&gt;0,booking!H108&lt;&gt;booking!I108),VLOOKUP(booking!I108,Database!$A$1:'Database'!$L$189,6,FALSE),"-"),"-")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IFERROR(IF(AND(booking!AB108&gt;0,booking!L108&lt;&gt;booking!M108),VLOOKUP(booking!M108,Database!$A$1:'Database'!$L$189,6,FALSE),"-"),"-")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IFERROR(IF(AND(booking!AB108&gt;0,booking!P108&lt;&gt;booking!Q108),VLOOKUP(booking!Q108,Database!$A$1:'Database'!$L$189,6,FALSE),"-"),"-")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35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IFERROR(IF(AND(booking!AB109&gt;0,booking!D109&lt;&gt;booking!E109),VLOOKUP(booking!E109,Database!$A$1:'Database'!$L$189,6,FALSE),"-"),"-")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IFERROR(IF(AND(booking!AB109&gt;0,booking!H109&lt;&gt;booking!I109),VLOOKUP(booking!I109,Database!$A$1:'Database'!$L$189,6,FALSE),"-"),"-")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IFERROR(IF(AND(booking!AB109&gt;0,booking!L109&lt;&gt;booking!M109),VLOOKUP(booking!M109,Database!$A$1:'Database'!$L$189,6,FALSE),"-"),"-")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IFERROR(IF(AND(booking!AB109&gt;0,booking!P109&lt;&gt;booking!Q109),VLOOKUP(booking!Q109,Database!$A$1:'Database'!$L$189,6,FALSE),"-"),"-")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35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IFERROR(IF(AND(booking!AB110&gt;0,booking!D110&lt;&gt;booking!E110),VLOOKUP(booking!E110,Database!$A$1:'Database'!$L$189,6,FALSE),"-"),"-")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IFERROR(IF(AND(booking!AB110&gt;0,booking!H110&lt;&gt;booking!I110),VLOOKUP(booking!I110,Database!$A$1:'Database'!$L$189,6,FALSE),"-"),"-")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IFERROR(IF(AND(booking!AB110&gt;0,booking!L110&lt;&gt;booking!M110),VLOOKUP(booking!M110,Database!$A$1:'Database'!$L$189,6,FALSE),"-"),"-")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IFERROR(IF(AND(booking!AB110&gt;0,booking!P110&lt;&gt;booking!Q110),VLOOKUP(booking!Q110,Database!$A$1:'Database'!$L$189,6,FALSE),"-"),"-")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35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IFERROR(IF(AND(booking!AB111&gt;0,booking!D111&lt;&gt;booking!E111),VLOOKUP(booking!E111,Database!$A$1:'Database'!$L$189,6,FALSE),"-"),"-")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IFERROR(IF(AND(booking!AB111&gt;0,booking!H111&lt;&gt;booking!I111),VLOOKUP(booking!I111,Database!$A$1:'Database'!$L$189,6,FALSE),"-"),"-")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IFERROR(IF(AND(booking!AB111&gt;0,booking!L111&lt;&gt;booking!M111),VLOOKUP(booking!M111,Database!$A$1:'Database'!$L$189,6,FALSE),"-"),"-")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IFERROR(IF(AND(booking!AB111&gt;0,booking!P111&lt;&gt;booking!Q111),VLOOKUP(booking!Q111,Database!$A$1:'Database'!$L$189,6,FALSE),"-"),"-")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35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IFERROR(IF(AND(booking!AB112&gt;0,booking!D112&lt;&gt;booking!E112),VLOOKUP(booking!E112,Database!$A$1:'Database'!$L$189,6,FALSE),"-"),"-")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IFERROR(IF(AND(booking!AB112&gt;0,booking!H112&lt;&gt;booking!I112),VLOOKUP(booking!I112,Database!$A$1:'Database'!$L$189,6,FALSE),"-"),"-")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IFERROR(IF(AND(booking!AB112&gt;0,booking!L112&lt;&gt;booking!M112),VLOOKUP(booking!M112,Database!$A$1:'Database'!$L$189,6,FALSE),"-"),"-")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IFERROR(IF(AND(booking!AB112&gt;0,booking!P112&lt;&gt;booking!Q112),VLOOKUP(booking!Q112,Database!$A$1:'Database'!$L$189,6,FALSE),"-"),"-")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35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IFERROR(IF(AND(booking!AB113&gt;0,booking!D113&lt;&gt;booking!E113),VLOOKUP(booking!E113,Database!$A$1:'Database'!$L$189,6,FALSE),"-"),"-")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IFERROR(IF(AND(booking!AB113&gt;0,booking!H113&lt;&gt;booking!I113),VLOOKUP(booking!I113,Database!$A$1:'Database'!$L$189,6,FALSE),"-"),"-")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IFERROR(IF(AND(booking!AB113&gt;0,booking!L113&lt;&gt;booking!M113),VLOOKUP(booking!M113,Database!$A$1:'Database'!$L$189,6,FALSE),"-"),"-")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IFERROR(IF(AND(booking!AB113&gt;0,booking!P113&lt;&gt;booking!Q113),VLOOKUP(booking!Q113,Database!$A$1:'Database'!$L$189,6,FALSE),"-"),"-")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35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IFERROR(IF(AND(booking!AB114&gt;0,booking!D114&lt;&gt;booking!E114),VLOOKUP(booking!E114,Database!$A$1:'Database'!$L$189,6,FALSE),"-"),"-")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IFERROR(IF(AND(booking!AB114&gt;0,booking!H114&lt;&gt;booking!I114),VLOOKUP(booking!I114,Database!$A$1:'Database'!$L$189,6,FALSE),"-"),"-")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IFERROR(IF(AND(booking!AB114&gt;0,booking!L114&lt;&gt;booking!M114),VLOOKUP(booking!M114,Database!$A$1:'Database'!$L$189,6,FALSE),"-"),"-")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IFERROR(IF(AND(booking!AB114&gt;0,booking!P114&lt;&gt;booking!Q114),VLOOKUP(booking!Q114,Database!$A$1:'Database'!$L$189,6,FALSE),"-"),"-")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35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IFERROR(IF(AND(booking!AB115&gt;0,booking!D115&lt;&gt;booking!E115),VLOOKUP(booking!E115,Database!$A$1:'Database'!$L$189,6,FALSE),"-"),"-")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IFERROR(IF(AND(booking!AB115&gt;0,booking!H115&lt;&gt;booking!I115),VLOOKUP(booking!I115,Database!$A$1:'Database'!$L$189,6,FALSE),"-"),"-")</f>
        <v>DK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IFERROR(IF(AND(booking!AB115&gt;0,booking!L115&lt;&gt;booking!M115),VLOOKUP(booking!M115,Database!$A$1:'Database'!$L$189,6,FALSE),"-"),"-")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IFERROR(IF(AND(booking!AB115&gt;0,booking!P115&lt;&gt;booking!Q115),VLOOKUP(booking!Q115,Database!$A$1:'Database'!$L$189,6,FALSE),"-"),"-")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35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IFERROR(IF(AND(booking!AB116&gt;0,booking!D116&lt;&gt;booking!E116),VLOOKUP(booking!E116,Database!$A$1:'Database'!$L$189,6,FALSE),"-"),"-")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IFERROR(IF(AND(booking!AB116&gt;0,booking!H116&lt;&gt;booking!I116),VLOOKUP(booking!I116,Database!$A$1:'Database'!$L$189,6,FALSE),"-"),"-")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IFERROR(IF(AND(booking!AB116&gt;0,booking!L116&lt;&gt;booking!M116),VLOOKUP(booking!M116,Database!$A$1:'Database'!$L$189,6,FALSE),"-"),"-")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IFERROR(IF(AND(booking!AB116&gt;0,booking!P116&lt;&gt;booking!Q116),VLOOKUP(booking!Q116,Database!$A$1:'Database'!$L$189,6,FALSE),"-"),"-")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35">
      <c r="A117" t="str">
        <f>booking!B117</f>
        <v>torsdag</v>
      </c>
      <c r="B117" s="24">
        <f>booking!C117</f>
        <v>46254</v>
      </c>
      <c r="C117" s="2" t="str">
        <f>IF(booking!AC117&gt;0,"Y","-")</f>
        <v>Y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IFERROR(IF(AND(booking!AB117&gt;0,booking!D117&lt;&gt;booking!E117),VLOOKUP(booking!E117,Database!$A$1:'Database'!$L$189,6,FALSE),"-"),"-")</f>
        <v>-</v>
      </c>
      <c r="F117" s="53" t="str">
        <f>IF(AND(booking!H117&lt;&gt;booking!I117,booking!H117&gt;0),"udc","-")</f>
        <v>udc</v>
      </c>
      <c r="G117" s="49" t="str">
        <f>IFERROR(IF(AND(booking!AB117&gt;0,booking!H117&lt;&gt;booking!I117),VLOOKUP(booking!I117,Database!$A$1:'Database'!$L$189,6,FALSE),"-"),"-")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IFERROR(IF(AND(booking!AB117&gt;0,booking!L117&lt;&gt;booking!M117),VLOOKUP(booking!M117,Database!$A$1:'Database'!$L$189,6,FALSE),"-"),"-")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IFERROR(IF(AND(booking!AB117&gt;0,booking!P117&lt;&gt;booking!Q117),VLOOKUP(booking!Q117,Database!$A$1:'Database'!$L$189,6,FALSE),"-"),"-")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35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IFERROR(IF(AND(booking!AB118&gt;0,booking!D118&lt;&gt;booking!E118),VLOOKUP(booking!E118,Database!$A$1:'Database'!$L$189,6,FALSE),"-"),"-")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IFERROR(IF(AND(booking!AB118&gt;0,booking!H118&lt;&gt;booking!I118),VLOOKUP(booking!I118,Database!$A$1:'Database'!$L$189,6,FALSE),"-"),"-")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IFERROR(IF(AND(booking!AB118&gt;0,booking!L118&lt;&gt;booking!M118),VLOOKUP(booking!M118,Database!$A$1:'Database'!$L$189,6,FALSE),"-"),"-")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IFERROR(IF(AND(booking!AB118&gt;0,booking!P118&lt;&gt;booking!Q118),VLOOKUP(booking!Q118,Database!$A$1:'Database'!$L$189,6,FALSE),"-"),"-")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35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IFERROR(IF(AND(booking!AB119&gt;0,booking!D119&lt;&gt;booking!E119),VLOOKUP(booking!E119,Database!$A$1:'Database'!$L$189,6,FALSE),"-"),"-")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IFERROR(IF(AND(booking!AB119&gt;0,booking!H119&lt;&gt;booking!I119),VLOOKUP(booking!I119,Database!$A$1:'Database'!$L$189,6,FALSE),"-"),"-")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IFERROR(IF(AND(booking!AB119&gt;0,booking!L119&lt;&gt;booking!M119),VLOOKUP(booking!M119,Database!$A$1:'Database'!$L$189,6,FALSE),"-"),"-")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IFERROR(IF(AND(booking!AB119&gt;0,booking!P119&lt;&gt;booking!Q119),VLOOKUP(booking!Q119,Database!$A$1:'Database'!$L$189,6,FALSE),"-"),"-")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35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IFERROR(IF(AND(booking!AB120&gt;0,booking!D120&lt;&gt;booking!E120),VLOOKUP(booking!E120,Database!$A$1:'Database'!$L$189,6,FALSE),"-"),"-")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IFERROR(IF(AND(booking!AB120&gt;0,booking!H120&lt;&gt;booking!I120),VLOOKUP(booking!I120,Database!$A$1:'Database'!$L$189,6,FALSE),"-"),"-")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IFERROR(IF(AND(booking!AB120&gt;0,booking!L120&lt;&gt;booking!M120),VLOOKUP(booking!M120,Database!$A$1:'Database'!$L$189,6,FALSE),"-"),"-")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IFERROR(IF(AND(booking!AB120&gt;0,booking!P120&lt;&gt;booking!Q120),VLOOKUP(booking!Q120,Database!$A$1:'Database'!$L$189,6,FALSE),"-"),"-")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35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IFERROR(IF(AND(booking!AB121&gt;0,booking!D121&lt;&gt;booking!E121),VLOOKUP(booking!E121,Database!$A$1:'Database'!$L$189,6,FALSE),"-"),"-")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IFERROR(IF(AND(booking!AB121&gt;0,booking!H121&lt;&gt;booking!I121),VLOOKUP(booking!I121,Database!$A$1:'Database'!$L$189,6,FALSE),"-"),"-")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IFERROR(IF(AND(booking!AB121&gt;0,booking!L121&lt;&gt;booking!M121),VLOOKUP(booking!M121,Database!$A$1:'Database'!$L$189,6,FALSE),"-"),"-")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IFERROR(IF(AND(booking!AB121&gt;0,booking!P121&lt;&gt;booking!Q121),VLOOKUP(booking!Q121,Database!$A$1:'Database'!$L$189,6,FALSE),"-"),"-")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35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IFERROR(IF(AND(booking!AB122&gt;0,booking!D122&lt;&gt;booking!E122),VLOOKUP(booking!E122,Database!$A$1:'Database'!$L$189,6,FALSE),"-"),"-")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IFERROR(IF(AND(booking!AB122&gt;0,booking!H122&lt;&gt;booking!I122),VLOOKUP(booking!I122,Database!$A$1:'Database'!$L$189,6,FALSE),"-"),"-")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IFERROR(IF(AND(booking!AB122&gt;0,booking!L122&lt;&gt;booking!M122),VLOOKUP(booking!M122,Database!$A$1:'Database'!$L$189,6,FALSE),"-"),"-")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IFERROR(IF(AND(booking!AB122&gt;0,booking!P122&lt;&gt;booking!Q122),VLOOKUP(booking!Q122,Database!$A$1:'Database'!$L$189,6,FALSE),"-"),"-")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35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IFERROR(IF(AND(booking!AB123&gt;0,booking!D123&lt;&gt;booking!E123),VLOOKUP(booking!E123,Database!$A$1:'Database'!$L$189,6,FALSE),"-"),"-")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IFERROR(IF(AND(booking!AB123&gt;0,booking!H123&lt;&gt;booking!I123),VLOOKUP(booking!I123,Database!$A$1:'Database'!$L$189,6,FALSE),"-"),"-")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IFERROR(IF(AND(booking!AB123&gt;0,booking!L123&lt;&gt;booking!M123),VLOOKUP(booking!M123,Database!$A$1:'Database'!$L$189,6,FALSE),"-"),"-")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IFERROR(IF(AND(booking!AB123&gt;0,booking!P123&lt;&gt;booking!Q123),VLOOKUP(booking!Q123,Database!$A$1:'Database'!$L$189,6,FALSE),"-"),"-")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35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IFERROR(IF(AND(booking!AB124&gt;0,booking!D124&lt;&gt;booking!E124),VLOOKUP(booking!E124,Database!$A$1:'Database'!$L$189,6,FALSE),"-"),"-")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IFERROR(IF(AND(booking!AB124&gt;0,booking!H124&lt;&gt;booking!I124),VLOOKUP(booking!I124,Database!$A$1:'Database'!$L$189,6,FALSE),"-"),"-")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IFERROR(IF(AND(booking!AB124&gt;0,booking!L124&lt;&gt;booking!M124),VLOOKUP(booking!M124,Database!$A$1:'Database'!$L$189,6,FALSE),"-"),"-")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IFERROR(IF(AND(booking!AB124&gt;0,booking!P124&lt;&gt;booking!Q124),VLOOKUP(booking!Q124,Database!$A$1:'Database'!$L$189,6,FALSE),"-"),"-")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35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IFERROR(IF(AND(booking!AB125&gt;0,booking!D125&lt;&gt;booking!E125),VLOOKUP(booking!E125,Database!$A$1:'Database'!$L$189,6,FALSE),"-"),"-")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IFERROR(IF(AND(booking!AB125&gt;0,booking!H125&lt;&gt;booking!I125),VLOOKUP(booking!I125,Database!$A$1:'Database'!$L$189,6,FALSE),"-"),"-")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IFERROR(IF(AND(booking!AB125&gt;0,booking!L125&lt;&gt;booking!M125),VLOOKUP(booking!M125,Database!$A$1:'Database'!$L$189,6,FALSE),"-"),"-")</f>
        <v>-</v>
      </c>
      <c r="J125" s="53" t="str">
        <f>IF(AND(booking!P125&lt;&gt;booking!Q125,booking!P125&gt;0),"udc","-")</f>
        <v>udc</v>
      </c>
      <c r="K125" s="49" t="str">
        <f>IFERROR(IF(AND(booking!AB125&gt;0,booking!P125&lt;&gt;booking!Q125),VLOOKUP(booking!Q125,Database!$A$1:'Database'!$L$189,6,FALSE),"-"),"-")</f>
        <v>D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35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IFERROR(IF(AND(booking!AB126&gt;0,booking!D126&lt;&gt;booking!E126),VLOOKUP(booking!E126,Database!$A$1:'Database'!$L$189,6,FALSE),"-"),"-")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IFERROR(IF(AND(booking!AB126&gt;0,booking!H126&lt;&gt;booking!I126),VLOOKUP(booking!I126,Database!$A$1:'Database'!$L$189,6,FALSE),"-"),"-")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IFERROR(IF(AND(booking!AB126&gt;0,booking!L126&lt;&gt;booking!M126),VLOOKUP(booking!M126,Database!$A$1:'Database'!$L$189,6,FALSE),"-"),"-")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IFERROR(IF(AND(booking!AB126&gt;0,booking!P126&lt;&gt;booking!Q126),VLOOKUP(booking!Q126,Database!$A$1:'Database'!$L$189,6,FALSE),"-"),"-")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35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IFERROR(IF(AND(booking!AB127&gt;0,booking!D127&lt;&gt;booking!E127),VLOOKUP(booking!E127,Database!$A$1:'Database'!$L$189,6,FALSE),"-"),"-")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IFERROR(IF(AND(booking!AB127&gt;0,booking!H127&lt;&gt;booking!I127),VLOOKUP(booking!I127,Database!$A$1:'Database'!$L$189,6,FALSE),"-"),"-")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IFERROR(IF(AND(booking!AB127&gt;0,booking!L127&lt;&gt;booking!M127),VLOOKUP(booking!M127,Database!$A$1:'Database'!$L$189,6,FALSE),"-"),"-")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IFERROR(IF(AND(booking!AB127&gt;0,booking!P127&lt;&gt;booking!Q127),VLOOKUP(booking!Q127,Database!$A$1:'Database'!$L$189,6,FALSE),"-"),"-")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35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IFERROR(IF(AND(booking!AB128&gt;0,booking!D128&lt;&gt;booking!E128),VLOOKUP(booking!E128,Database!$A$1:'Database'!$L$189,6,FALSE),"-"),"-")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IFERROR(IF(AND(booking!AB128&gt;0,booking!H128&lt;&gt;booking!I128),VLOOKUP(booking!I128,Database!$A$1:'Database'!$L$189,6,FALSE),"-"),"-")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IFERROR(IF(AND(booking!AB128&gt;0,booking!L128&lt;&gt;booking!M128),VLOOKUP(booking!M128,Database!$A$1:'Database'!$L$189,6,FALSE),"-"),"-")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IFERROR(IF(AND(booking!AB128&gt;0,booking!P128&lt;&gt;booking!Q128),VLOOKUP(booking!Q128,Database!$A$1:'Database'!$L$189,6,FALSE),"-"),"-")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35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IFERROR(IF(AND(booking!AB129&gt;0,booking!D129&lt;&gt;booking!E129),VLOOKUP(booking!E129,Database!$A$1:'Database'!$L$189,6,FALSE),"-"),"-")</f>
        <v>DK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IFERROR(IF(AND(booking!AB129&gt;0,booking!H129&lt;&gt;booking!I129),VLOOKUP(booking!I129,Database!$A$1:'Database'!$L$189,6,FALSE),"-"),"-")</f>
        <v>DK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IFERROR(IF(AND(booking!AB129&gt;0,booking!L129&lt;&gt;booking!M129),VLOOKUP(booking!M129,Database!$A$1:'Database'!$L$189,6,FALSE),"-"),"-")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IFERROR(IF(AND(booking!AB129&gt;0,booking!P129&lt;&gt;booking!Q129),VLOOKUP(booking!Q129,Database!$A$1:'Database'!$L$189,6,FALSE),"-"),"-")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IFERROR(IF(AND(booking!AB129&gt;0,booking!T129&lt;&gt;booking!U129),VLOOKUP(booking!U129,Database!$A$1:'Database'!$L$189,6,FALSE),"-"),"-")</f>
        <v>-</v>
      </c>
    </row>
    <row r="130" spans="1:13" ht="15" customHeight="1" thickBot="1" x14ac:dyDescent="0.35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IFERROR(IF(AND(booking!AB130&gt;0,booking!D130&lt;&gt;booking!E130),VLOOKUP(booking!E130,Database!$A$1:'Database'!$L$189,6,FALSE),"-"),"-")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IFERROR(IF(AND(booking!AB130&gt;0,booking!H130&lt;&gt;booking!I130),VLOOKUP(booking!I130,Database!$A$1:'Database'!$L$189,6,FALSE),"-"),"-")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IFERROR(IF(AND(booking!AB130&gt;0,booking!L130&lt;&gt;booking!M130),VLOOKUP(booking!M130,Database!$A$1:'Database'!$L$189,6,FALSE),"-"),"-")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IFERROR(IF(AND(booking!AB130&gt;0,booking!P130&lt;&gt;booking!Q130),VLOOKUP(booking!Q130,Database!$A$1:'Database'!$L$189,6,FALSE),"-"),"-")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35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IFERROR(IF(AND(booking!AB131&gt;0,booking!D131&lt;&gt;booking!E131),VLOOKUP(booking!E131,Database!$A$1:'Database'!$L$189,6,FALSE),"-"),"-")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IFERROR(IF(AND(booking!AB131&gt;0,booking!H131&lt;&gt;booking!I131),VLOOKUP(booking!I131,Database!$A$1:'Database'!$L$189,6,FALSE),"-"),"-")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IFERROR(IF(AND(booking!AB131&gt;0,booking!L131&lt;&gt;booking!M131),VLOOKUP(booking!M131,Database!$A$1:'Database'!$L$189,6,FALSE),"-"),"-")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IFERROR(IF(AND(booking!AB131&gt;0,booking!P131&lt;&gt;booking!Q131),VLOOKUP(booking!Q131,Database!$A$1:'Database'!$L$189,6,FALSE),"-"),"-")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35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IFERROR(IF(AND(booking!AB132&gt;0,booking!D132&lt;&gt;booking!E132),VLOOKUP(booking!E132,Database!$A$1:'Database'!$L$189,6,FALSE),"-"),"-")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IFERROR(IF(AND(booking!AB132&gt;0,booking!H132&lt;&gt;booking!I132),VLOOKUP(booking!I132,Database!$A$1:'Database'!$L$189,6,FALSE),"-"),"-")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IFERROR(IF(AND(booking!AB132&gt;0,booking!L132&lt;&gt;booking!M132),VLOOKUP(booking!M132,Database!$A$1:'Database'!$L$189,6,FALSE),"-"),"-")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IFERROR(IF(AND(booking!AB132&gt;0,booking!P132&lt;&gt;booking!Q132),VLOOKUP(booking!Q132,Database!$A$1:'Database'!$L$189,6,FALSE),"-"),"-")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35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IFERROR(IF(AND(booking!AB133&gt;0,booking!D133&lt;&gt;booking!E133),VLOOKUP(booking!E133,Database!$A$1:'Database'!$L$189,6,FALSE),"-"),"-")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IFERROR(IF(AND(booking!AB133&gt;0,booking!H133&lt;&gt;booking!I133),VLOOKUP(booking!I133,Database!$A$1:'Database'!$L$189,6,FALSE),"-"),"-")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IFERROR(IF(AND(booking!AB133&gt;0,booking!L133&lt;&gt;booking!M133),VLOOKUP(booking!M133,Database!$A$1:'Database'!$L$189,6,FALSE),"-"),"-")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IFERROR(IF(AND(booking!AB133&gt;0,booking!P133&lt;&gt;booking!Q133),VLOOKUP(booking!Q133,Database!$A$1:'Database'!$L$189,6,FALSE),"-"),"-")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35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IFERROR(IF(AND(booking!AB134&gt;0,booking!D134&lt;&gt;booking!E134),VLOOKUP(booking!E134,Database!$A$1:'Database'!$L$189,6,FALSE),"-"),"-")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IFERROR(IF(AND(booking!AB134&gt;0,booking!H134&lt;&gt;booking!I134),VLOOKUP(booking!I134,Database!$A$1:'Database'!$L$189,6,FALSE),"-"),"-")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IFERROR(IF(AND(booking!AB134&gt;0,booking!L134&lt;&gt;booking!M134),VLOOKUP(booking!M134,Database!$A$1:'Database'!$L$189,6,FALSE),"-"),"-")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IFERROR(IF(AND(booking!AB134&gt;0,booking!P134&lt;&gt;booking!Q134),VLOOKUP(booking!Q134,Database!$A$1:'Database'!$L$189,6,FALSE),"-"),"-")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35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IFERROR(IF(AND(booking!AB135&gt;0,booking!D135&lt;&gt;booking!E135),VLOOKUP(booking!E135,Database!$A$1:'Database'!$L$189,6,FALSE),"-"),"-")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IFERROR(IF(AND(booking!AB135&gt;0,booking!H135&lt;&gt;booking!I135),VLOOKUP(booking!I135,Database!$A$1:'Database'!$L$189,6,FALSE),"-"),"-")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IFERROR(IF(AND(booking!AB135&gt;0,booking!L135&lt;&gt;booking!M135),VLOOKUP(booking!M135,Database!$A$1:'Database'!$L$189,6,FALSE),"-"),"-")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IFERROR(IF(AND(booking!AB135&gt;0,booking!P135&lt;&gt;booking!Q135),VLOOKUP(booking!Q135,Database!$A$1:'Database'!$L$189,6,FALSE),"-"),"-")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35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IFERROR(IF(AND(booking!AB136&gt;0,booking!D136&lt;&gt;booking!E136),VLOOKUP(booking!E136,Database!$A$1:'Database'!$L$189,6,FALSE),"-"),"-")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IFERROR(IF(AND(booking!AB136&gt;0,booking!H136&lt;&gt;booking!I136),VLOOKUP(booking!I136,Database!$A$1:'Database'!$L$189,6,FALSE),"-"),"-")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IFERROR(IF(AND(booking!AB136&gt;0,booking!L136&lt;&gt;booking!M136),VLOOKUP(booking!M136,Database!$A$1:'Database'!$L$189,6,FALSE),"-"),"-")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IFERROR(IF(AND(booking!AB136&gt;0,booking!P136&lt;&gt;booking!Q136),VLOOKUP(booking!Q136,Database!$A$1:'Database'!$L$189,6,FALSE),"-"),"-")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35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IFERROR(IF(AND(booking!AB137&gt;0,booking!D137&lt;&gt;booking!E137),VLOOKUP(booking!E137,Database!$A$1:'Database'!$L$189,6,FALSE),"-"),"-")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IFERROR(IF(AND(booking!AB137&gt;0,booking!H137&lt;&gt;booking!I137),VLOOKUP(booking!I137,Database!$A$1:'Database'!$L$189,6,FALSE),"-"),"-")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IFERROR(IF(AND(booking!AB137&gt;0,booking!L137&lt;&gt;booking!M137),VLOOKUP(booking!M137,Database!$A$1:'Database'!$L$189,6,FALSE),"-"),"-")</f>
        <v>DK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IFERROR(IF(AND(booking!AB137&gt;0,booking!P137&lt;&gt;booking!Q137),VLOOKUP(booking!Q137,Database!$A$1:'Database'!$L$189,6,FALSE),"-"),"-")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35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IFERROR(IF(AND(booking!AB138&gt;0,booking!D138&lt;&gt;booking!E138),VLOOKUP(booking!E138,Database!$A$1:'Database'!$L$189,6,FALSE),"-"),"-")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IFERROR(IF(AND(booking!AB138&gt;0,booking!H138&lt;&gt;booking!I138),VLOOKUP(booking!I138,Database!$A$1:'Database'!$L$189,6,FALSE),"-"),"-")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IFERROR(IF(AND(booking!AB138&gt;0,booking!L138&lt;&gt;booking!M138),VLOOKUP(booking!M138,Database!$A$1:'Database'!$L$189,6,FALSE),"-"),"-")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IFERROR(IF(AND(booking!AB138&gt;0,booking!P138&lt;&gt;booking!Q138),VLOOKUP(booking!Q138,Database!$A$1:'Database'!$L$189,6,FALSE),"-"),"-")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35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IFERROR(IF(AND(booking!AB139&gt;0,booking!D139&lt;&gt;booking!E139),VLOOKUP(booking!E139,Database!$A$1:'Database'!$L$189,6,FALSE),"-"),"-")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IFERROR(IF(AND(booking!AB139&gt;0,booking!H139&lt;&gt;booking!I139),VLOOKUP(booking!I139,Database!$A$1:'Database'!$L$189,6,FALSE),"-"),"-")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IFERROR(IF(AND(booking!AB139&gt;0,booking!L139&lt;&gt;booking!M139),VLOOKUP(booking!M139,Database!$A$1:'Database'!$L$189,6,FALSE),"-"),"-")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IFERROR(IF(AND(booking!AB139&gt;0,booking!P139&lt;&gt;booking!Q139),VLOOKUP(booking!Q139,Database!$A$1:'Database'!$L$189,6,FALSE),"-"),"-")</f>
        <v>DK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35">
      <c r="A140" t="str">
        <f>booking!B140</f>
        <v>lørdag</v>
      </c>
      <c r="B140" s="24">
        <f>booking!C140</f>
        <v>46277</v>
      </c>
      <c r="C140" s="2" t="str">
        <f>IF(booking!AC140&gt;0,"Y","-")</f>
        <v>Y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IFERROR(IF(AND(booking!AB140&gt;0,booking!D140&lt;&gt;booking!E140),VLOOKUP(booking!E140,Database!$A$1:'Database'!$L$189,6,FALSE),"-"),"-")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IFERROR(IF(AND(booking!AB140&gt;0,booking!H140&lt;&gt;booking!I140),VLOOKUP(booking!I140,Database!$A$1:'Database'!$L$189,6,FALSE),"-"),"-")</f>
        <v>-</v>
      </c>
      <c r="H140" s="53" t="str">
        <f>IF(AND(booking!L140&lt;&gt;booking!M140,booking!L140&gt;0),"udc","-")</f>
        <v>udc</v>
      </c>
      <c r="I140" s="49" t="str">
        <f>IFERROR(IF(AND(booking!AB140&gt;0,booking!L140&lt;&gt;booking!M140),VLOOKUP(booking!M140,Database!$A$1:'Database'!$L$189,6,FALSE),"-"),"-")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IFERROR(IF(AND(booking!AB140&gt;0,booking!P140&lt;&gt;booking!Q140),VLOOKUP(booking!Q140,Database!$A$1:'Database'!$L$189,6,FALSE),"-"),"-")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35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IFERROR(IF(AND(booking!AB141&gt;0,booking!D141&lt;&gt;booking!E141),VLOOKUP(booking!E141,Database!$A$1:'Database'!$L$189,6,FALSE),"-"),"-")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IFERROR(IF(AND(booking!AB141&gt;0,booking!H141&lt;&gt;booking!I141),VLOOKUP(booking!I141,Database!$A$1:'Database'!$L$189,6,FALSE),"-"),"-")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IFERROR(IF(AND(booking!AB141&gt;0,booking!L141&lt;&gt;booking!M141),VLOOKUP(booking!M141,Database!$A$1:'Database'!$L$189,6,FALSE),"-"),"-")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IFERROR(IF(AND(booking!AB141&gt;0,booking!P141&lt;&gt;booking!Q141),VLOOKUP(booking!Q141,Database!$A$1:'Database'!$L$189,6,FALSE),"-"),"-")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35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IFERROR(IF(AND(booking!AB142&gt;0,booking!D142&lt;&gt;booking!E142),VLOOKUP(booking!E142,Database!$A$1:'Database'!$L$189,6,FALSE),"-"),"-")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IFERROR(IF(AND(booking!AB142&gt;0,booking!H142&lt;&gt;booking!I142),VLOOKUP(booking!I142,Database!$A$1:'Database'!$L$189,6,FALSE),"-"),"-")</f>
        <v>DK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IFERROR(IF(AND(booking!AB142&gt;0,booking!L142&lt;&gt;booking!M142),VLOOKUP(booking!M142,Database!$A$1:'Database'!$L$189,6,FALSE),"-"),"-")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IFERROR(IF(AND(booking!AB142&gt;0,booking!P142&lt;&gt;booking!Q142),VLOOKUP(booking!Q142,Database!$A$1:'Database'!$L$189,6,FALSE),"-"),"-")</f>
        <v>-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35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IFERROR(IF(AND(booking!AB143&gt;0,booking!D143&lt;&gt;booking!E143),VLOOKUP(booking!E143,Database!$A$1:'Database'!$L$189,6,FALSE),"-"),"-")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IFERROR(IF(AND(booking!AB143&gt;0,booking!H143&lt;&gt;booking!I143),VLOOKUP(booking!I143,Database!$A$1:'Database'!$L$189,6,FALSE),"-"),"-")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IFERROR(IF(AND(booking!AB143&gt;0,booking!L143&lt;&gt;booking!M143),VLOOKUP(booking!M143,Database!$A$1:'Database'!$L$189,6,FALSE),"-"),"-")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IFERROR(IF(AND(booking!AB143&gt;0,booking!P143&lt;&gt;booking!Q143),VLOOKUP(booking!Q143,Database!$A$1:'Database'!$L$189,6,FALSE),"-"),"-")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35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IFERROR(IF(AND(booking!AB144&gt;0,booking!D144&lt;&gt;booking!E144),VLOOKUP(booking!E144,Database!$A$1:'Database'!$L$189,6,FALSE),"-"),"-")</f>
        <v>-</v>
      </c>
      <c r="F144" s="53" t="str">
        <f>IF(AND(booking!H144&lt;&gt;booking!I144,booking!H144&gt;0),"udc","-")</f>
        <v>udc</v>
      </c>
      <c r="G144" s="49" t="str">
        <f>IFERROR(IF(AND(booking!AB144&gt;0,booking!H144&lt;&gt;booking!I144),VLOOKUP(booking!I144,Database!$A$1:'Database'!$L$189,6,FALSE),"-"),"-")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IFERROR(IF(AND(booking!AB144&gt;0,booking!L144&lt;&gt;booking!M144),VLOOKUP(booking!M144,Database!$A$1:'Database'!$L$189,6,FALSE),"-"),"-")</f>
        <v>-</v>
      </c>
      <c r="J144" s="53" t="str">
        <f>IF(AND(booking!P144&lt;&gt;booking!Q144,booking!P144&gt;0),"udc","-")</f>
        <v>-</v>
      </c>
      <c r="K144" s="49" t="str">
        <f>IFERROR(IF(AND(booking!AB144&gt;0,booking!P144&lt;&gt;booking!Q144),VLOOKUP(booking!Q144,Database!$A$1:'Database'!$L$189,6,FALSE),"-"),"-")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35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IFERROR(IF(AND(booking!AB145&gt;0,booking!D145&lt;&gt;booking!E145),VLOOKUP(booking!E145,Database!$A$1:'Database'!$L$189,6,FALSE),"-"),"-")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IFERROR(IF(AND(booking!AB145&gt;0,booking!H145&lt;&gt;booking!I145),VLOOKUP(booking!I145,Database!$A$1:'Database'!$L$189,6,FALSE),"-"),"-")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IFERROR(IF(AND(booking!AB145&gt;0,booking!L145&lt;&gt;booking!M145),VLOOKUP(booking!M145,Database!$A$1:'Database'!$L$189,6,FALSE),"-"),"-")</f>
        <v>-</v>
      </c>
      <c r="J145" s="53" t="str">
        <f>IF(AND(booking!P145&lt;&gt;booking!Q145,booking!P145&gt;0),"udc","-")</f>
        <v>udc</v>
      </c>
      <c r="K145" s="49" t="str">
        <f>IFERROR(IF(AND(booking!AB145&gt;0,booking!P145&lt;&gt;booking!Q145),VLOOKUP(booking!Q145,Database!$A$1:'Database'!$L$189,6,FALSE),"-"),"-")</f>
        <v>-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35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IFERROR(IF(AND(booking!AB146&gt;0,booking!D146&lt;&gt;booking!E146),VLOOKUP(booking!E146,Database!$A$1:'Database'!$L$189,6,FALSE),"-"),"-")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IFERROR(IF(AND(booking!AB146&gt;0,booking!H146&lt;&gt;booking!I146),VLOOKUP(booking!I146,Database!$A$1:'Database'!$L$189,6,FALSE),"-"),"-")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IFERROR(IF(AND(booking!AB146&gt;0,booking!L146&lt;&gt;booking!M146),VLOOKUP(booking!M146,Database!$A$1:'Database'!$L$189,6,FALSE),"-"),"-")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IFERROR(IF(AND(booking!AB146&gt;0,booking!P146&lt;&gt;booking!Q146),VLOOKUP(booking!Q146,Database!$A$1:'Database'!$L$189,6,FALSE),"-"),"-")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35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IFERROR(IF(AND(booking!AB147&gt;0,booking!D147&lt;&gt;booking!E147),VLOOKUP(booking!E147,Database!$A$1:'Database'!$L$189,6,FALSE),"-"),"-")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IFERROR(IF(AND(booking!AB147&gt;0,booking!H147&lt;&gt;booking!I147),VLOOKUP(booking!I147,Database!$A$1:'Database'!$L$189,6,FALSE),"-"),"-")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IFERROR(IF(AND(booking!AB147&gt;0,booking!L147&lt;&gt;booking!M147),VLOOKUP(booking!M147,Database!$A$1:'Database'!$L$189,6,FALSE),"-"),"-")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IFERROR(IF(AND(booking!AB147&gt;0,booking!P147&lt;&gt;booking!Q147),VLOOKUP(booking!Q147,Database!$A$1:'Database'!$L$189,6,FALSE),"-"),"-")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35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IFERROR(IF(AND(booking!AB148&gt;0,booking!D148&lt;&gt;booking!E148),VLOOKUP(booking!E148,Database!$A$1:'Database'!$L$189,6,FALSE),"-"),"-")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IFERROR(IF(AND(booking!AB148&gt;0,booking!H148&lt;&gt;booking!I148),VLOOKUP(booking!I148,Database!$A$1:'Database'!$L$189,6,FALSE),"-"),"-")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IFERROR(IF(AND(booking!AB148&gt;0,booking!L148&lt;&gt;booking!M148),VLOOKUP(booking!M148,Database!$A$1:'Database'!$L$189,6,FALSE),"-"),"-")</f>
        <v>-</v>
      </c>
      <c r="J148" s="53" t="str">
        <f>IF(AND(booking!P148&lt;&gt;booking!Q148,booking!P148&gt;0),"udc","-")</f>
        <v>-</v>
      </c>
      <c r="K148" s="49" t="str">
        <f>IFERROR(IF(AND(booking!AB148&gt;0,booking!P148&lt;&gt;booking!Q148),VLOOKUP(booking!Q148,Database!$A$1:'Database'!$L$189,6,FALSE),"-"),"-")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35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IFERROR(IF(AND(booking!AB149&gt;0,booking!D149&lt;&gt;booking!E149),VLOOKUP(booking!E149,Database!$A$1:'Database'!$L$189,6,FALSE),"-"),"-")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IFERROR(IF(AND(booking!AB149&gt;0,booking!H149&lt;&gt;booking!I149),VLOOKUP(booking!I149,Database!$A$1:'Database'!$L$189,6,FALSE),"-"),"-")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IFERROR(IF(AND(booking!AB149&gt;0,booking!L149&lt;&gt;booking!M149),VLOOKUP(booking!M149,Database!$A$1:'Database'!$L$189,6,FALSE),"-"),"-")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IFERROR(IF(AND(booking!AB149&gt;0,booking!P149&lt;&gt;booking!Q149),VLOOKUP(booking!Q149,Database!$A$1:'Database'!$L$189,6,FALSE),"-"),"-")</f>
        <v>-</v>
      </c>
      <c r="L149" s="53" t="str">
        <f>IF(AND(booking!T149&lt;&gt;booking!U149,booking!T149&gt;0),"udc","-")</f>
        <v>-</v>
      </c>
      <c r="M149" s="49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35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IFERROR(IF(AND(booking!AB150&gt;0,booking!D150&lt;&gt;booking!E150),VLOOKUP(booking!E150,Database!$A$1:'Database'!$L$189,6,FALSE),"-"),"-")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IFERROR(IF(AND(booking!AB150&gt;0,booking!H150&lt;&gt;booking!I150),VLOOKUP(booking!I150,Database!$A$1:'Database'!$L$189,6,FALSE),"-"),"-")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IFERROR(IF(AND(booking!AB150&gt;0,booking!L150&lt;&gt;booking!M150),VLOOKUP(booking!M150,Database!$A$1:'Database'!$L$189,6,FALSE),"-"),"-")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IFERROR(IF(AND(booking!AB150&gt;0,booking!P150&lt;&gt;booking!Q150),VLOOKUP(booking!Q150,Database!$A$1:'Database'!$L$189,6,FALSE),"-"),"-")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35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IFERROR(IF(AND(booking!AB151&gt;0,booking!D151&lt;&gt;booking!E151),VLOOKUP(booking!E151,Database!$A$1:'Database'!$L$189,6,FALSE),"-"),"-")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IFERROR(IF(AND(booking!AB151&gt;0,booking!H151&lt;&gt;booking!I151),VLOOKUP(booking!I151,Database!$A$1:'Database'!$L$189,6,FALSE),"-"),"-")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IFERROR(IF(AND(booking!AB151&gt;0,booking!L151&lt;&gt;booking!M151),VLOOKUP(booking!M151,Database!$A$1:'Database'!$L$189,6,FALSE),"-"),"-")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IFERROR(IF(AND(booking!AB151&gt;0,booking!P151&lt;&gt;booking!Q151),VLOOKUP(booking!Q151,Database!$A$1:'Database'!$L$189,6,FALSE),"-"),"-")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35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IFERROR(IF(AND(booking!AB152&gt;0,booking!D152&lt;&gt;booking!E152),VLOOKUP(booking!E152,Database!$A$1:'Database'!$L$189,6,FALSE),"-"),"-")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IFERROR(IF(AND(booking!AB152&gt;0,booking!H152&lt;&gt;booking!I152),VLOOKUP(booking!I152,Database!$A$1:'Database'!$L$189,6,FALSE),"-"),"-")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IFERROR(IF(AND(booking!AB152&gt;0,booking!L152&lt;&gt;booking!M152),VLOOKUP(booking!M152,Database!$A$1:'Database'!$L$189,6,FALSE),"-"),"-")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IFERROR(IF(AND(booking!AB152&gt;0,booking!P152&lt;&gt;booking!Q152),VLOOKUP(booking!Q152,Database!$A$1:'Database'!$L$189,6,FALSE),"-"),"-")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35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IFERROR(IF(AND(booking!AB153&gt;0,booking!D153&lt;&gt;booking!E153),VLOOKUP(booking!E153,Database!$A$1:'Database'!$L$189,6,FALSE),"-"),"-")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IFERROR(IF(AND(booking!AB153&gt;0,booking!H153&lt;&gt;booking!I153),VLOOKUP(booking!I153,Database!$A$1:'Database'!$L$189,6,FALSE),"-"),"-")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IFERROR(IF(AND(booking!AB153&gt;0,booking!L153&lt;&gt;booking!M153),VLOOKUP(booking!M153,Database!$A$1:'Database'!$L$189,6,FALSE),"-"),"-")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IFERROR(IF(AND(booking!AB153&gt;0,booking!P153&lt;&gt;booking!Q153),VLOOKUP(booking!Q153,Database!$A$1:'Database'!$L$189,6,FALSE),"-"),"-")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35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IFERROR(IF(AND(booking!AB154&gt;0,booking!D154&lt;&gt;booking!E154),VLOOKUP(booking!E154,Database!$A$1:'Database'!$L$189,6,FALSE),"-"),"-")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IFERROR(IF(AND(booking!AB154&gt;0,booking!H154&lt;&gt;booking!I154),VLOOKUP(booking!I154,Database!$A$1:'Database'!$L$189,6,FALSE),"-"),"-")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IFERROR(IF(AND(booking!AB154&gt;0,booking!L154&lt;&gt;booking!M154),VLOOKUP(booking!M154,Database!$A$1:'Database'!$L$189,6,FALSE),"-"),"-")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IFERROR(IF(AND(booking!AB154&gt;0,booking!P154&lt;&gt;booking!Q154),VLOOKUP(booking!Q154,Database!$A$1:'Database'!$L$189,6,FALSE),"-"),"-")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35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IFERROR(IF(AND(booking!AB155&gt;0,booking!D155&lt;&gt;booking!E155),VLOOKUP(booking!E155,Database!$A$1:'Database'!$L$189,6,FALSE),"-"),"-")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IFERROR(IF(AND(booking!AB155&gt;0,booking!H155&lt;&gt;booking!I155),VLOOKUP(booking!I155,Database!$A$1:'Database'!$L$189,6,FALSE),"-"),"-")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IFERROR(IF(AND(booking!AB155&gt;0,booking!L155&lt;&gt;booking!M155),VLOOKUP(booking!M155,Database!$A$1:'Database'!$L$189,6,FALSE),"-"),"-")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IFERROR(IF(AND(booking!AB155&gt;0,booking!P155&lt;&gt;booking!Q155),VLOOKUP(booking!Q155,Database!$A$1:'Database'!$L$189,6,FALSE),"-"),"-")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35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IFERROR(IF(AND(booking!AB156&gt;0,booking!D156&lt;&gt;booking!E156),VLOOKUP(booking!E156,Database!$A$1:'Database'!$L$189,6,FALSE),"-"),"-")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IFERROR(IF(AND(booking!AB156&gt;0,booking!H156&lt;&gt;booking!I156),VLOOKUP(booking!I156,Database!$A$1:'Database'!$L$189,6,FALSE),"-"),"-")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IFERROR(IF(AND(booking!AB156&gt;0,booking!L156&lt;&gt;booking!M156),VLOOKUP(booking!M156,Database!$A$1:'Database'!$L$189,6,FALSE),"-"),"-")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IFERROR(IF(AND(booking!AB156&gt;0,booking!P156&lt;&gt;booking!Q156),VLOOKUP(booking!Q156,Database!$A$1:'Database'!$L$189,6,FALSE),"-"),"-")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35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IFERROR(IF(AND(booking!AB157&gt;0,booking!D157&lt;&gt;booking!E157),VLOOKUP(booking!E157,Database!$A$1:'Database'!$L$189,6,FALSE),"-"),"-")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IFERROR(IF(AND(booking!AB157&gt;0,booking!H157&lt;&gt;booking!I157),VLOOKUP(booking!I157,Database!$A$1:'Database'!$L$189,6,FALSE),"-"),"-")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IFERROR(IF(AND(booking!AB157&gt;0,booking!L157&lt;&gt;booking!M157),VLOOKUP(booking!M157,Database!$A$1:'Database'!$L$189,6,FALSE),"-"),"-")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IFERROR(IF(AND(booking!AB157&gt;0,booking!P157&lt;&gt;booking!Q157),VLOOKUP(booking!Q157,Database!$A$1:'Database'!$L$189,6,FALSE),"-"),"-")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35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IFERROR(IF(AND(booking!AB158&gt;0,booking!D158&lt;&gt;booking!E158),VLOOKUP(booking!E158,Database!$A$1:'Database'!$L$189,6,FALSE),"-"),"-")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IFERROR(IF(AND(booking!AB158&gt;0,booking!H158&lt;&gt;booking!I158),VLOOKUP(booking!I158,Database!$A$1:'Database'!$L$189,6,FALSE),"-"),"-")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IFERROR(IF(AND(booking!AB158&gt;0,booking!L158&lt;&gt;booking!M158),VLOOKUP(booking!M158,Database!$A$1:'Database'!$L$189,6,FALSE),"-"),"-")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IFERROR(IF(AND(booking!AB158&gt;0,booking!P158&lt;&gt;booking!Q158),VLOOKUP(booking!Q158,Database!$A$1:'Database'!$L$189,6,FALSE),"-"),"-")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35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IFERROR(IF(AND(booking!AB159&gt;0,booking!D159&lt;&gt;booking!E159),VLOOKUP(booking!E159,Database!$A$1:'Database'!$L$189,6,FALSE),"-"),"-")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IFERROR(IF(AND(booking!AB159&gt;0,booking!H159&lt;&gt;booking!I159),VLOOKUP(booking!I159,Database!$A$1:'Database'!$L$189,6,FALSE),"-"),"-")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IFERROR(IF(AND(booking!AB159&gt;0,booking!L159&lt;&gt;booking!M159),VLOOKUP(booking!M159,Database!$A$1:'Database'!$L$189,6,FALSE),"-"),"-")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IFERROR(IF(AND(booking!AB159&gt;0,booking!P159&lt;&gt;booking!Q159),VLOOKUP(booking!Q159,Database!$A$1:'Database'!$L$189,6,FALSE),"-"),"-")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35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IFERROR(IF(AND(booking!AB160&gt;0,booking!D160&lt;&gt;booking!E160),VLOOKUP(booking!E160,Database!$A$1:'Database'!$L$189,6,FALSE),"-"),"-")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IFERROR(IF(AND(booking!AB160&gt;0,booking!H160&lt;&gt;booking!I160),VLOOKUP(booking!I160,Database!$A$1:'Database'!$L$189,6,FALSE),"-"),"-")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IFERROR(IF(AND(booking!AB160&gt;0,booking!L160&lt;&gt;booking!M160),VLOOKUP(booking!M160,Database!$A$1:'Database'!$L$189,6,FALSE),"-"),"-")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IFERROR(IF(AND(booking!AB160&gt;0,booking!P160&lt;&gt;booking!Q160),VLOOKUP(booking!Q160,Database!$A$1:'Database'!$L$189,6,FALSE),"-"),"-")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35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IFERROR(IF(AND(booking!AB161&gt;0,booking!D161&lt;&gt;booking!E161),VLOOKUP(booking!E161,Database!$A$1:'Database'!$L$189,6,FALSE),"-"),"-")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IFERROR(IF(AND(booking!AB161&gt;0,booking!H161&lt;&gt;booking!I161),VLOOKUP(booking!I161,Database!$A$1:'Database'!$L$189,6,FALSE),"-"),"-")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IFERROR(IF(AND(booking!AB161&gt;0,booking!L161&lt;&gt;booking!M161),VLOOKUP(booking!M161,Database!$A$1:'Database'!$L$189,6,FALSE),"-"),"-")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IFERROR(IF(AND(booking!AB161&gt;0,booking!P161&lt;&gt;booking!Q161),VLOOKUP(booking!Q161,Database!$A$1:'Database'!$L$189,6,FALSE),"-"),"-")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35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IFERROR(IF(AND(booking!AB162&gt;0,booking!D162&lt;&gt;booking!E162),VLOOKUP(booking!E162,Database!$A$1:'Database'!$L$189,6,FALSE),"-"),"-")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IFERROR(IF(AND(booking!AB162&gt;0,booking!H162&lt;&gt;booking!I162),VLOOKUP(booking!I162,Database!$A$1:'Database'!$L$189,6,FALSE),"-"),"-")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IFERROR(IF(AND(booking!AB162&gt;0,booking!L162&lt;&gt;booking!M162),VLOOKUP(booking!M162,Database!$A$1:'Database'!$L$189,6,FALSE),"-"),"-")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IFERROR(IF(AND(booking!AB162&gt;0,booking!P162&lt;&gt;booking!Q162),VLOOKUP(booking!Q162,Database!$A$1:'Database'!$L$189,6,FALSE),"-"),"-")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35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IFERROR(IF(AND(booking!AB163&gt;0,booking!D163&lt;&gt;booking!E163),VLOOKUP(booking!E163,Database!$A$1:'Database'!$L$189,6,FALSE),"-"),"-")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IFERROR(IF(AND(booking!AB163&gt;0,booking!H163&lt;&gt;booking!I163),VLOOKUP(booking!I163,Database!$A$1:'Database'!$L$189,6,FALSE),"-"),"-")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IFERROR(IF(AND(booking!AB163&gt;0,booking!L163&lt;&gt;booking!M163),VLOOKUP(booking!M163,Database!$A$1:'Database'!$L$189,6,FALSE),"-"),"-")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IFERROR(IF(AND(booking!AB163&gt;0,booking!P163&lt;&gt;booking!Q163),VLOOKUP(booking!Q163,Database!$A$1:'Database'!$L$189,6,FALSE),"-"),"-")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35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IFERROR(IF(AND(booking!AB164&gt;0,booking!D164&lt;&gt;booking!E164),VLOOKUP(booking!E164,Database!$A$1:'Database'!$L$189,6,FALSE),"-"),"-")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IFERROR(IF(AND(booking!AB164&gt;0,booking!H164&lt;&gt;booking!I164),VLOOKUP(booking!I164,Database!$A$1:'Database'!$L$189,6,FALSE),"-"),"-")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IFERROR(IF(AND(booking!AB164&gt;0,booking!L164&lt;&gt;booking!M164),VLOOKUP(booking!M164,Database!$A$1:'Database'!$L$189,6,FALSE),"-"),"-")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IFERROR(IF(AND(booking!AB164&gt;0,booking!P164&lt;&gt;booking!Q164),VLOOKUP(booking!Q164,Database!$A$1:'Database'!$L$189,6,FALSE),"-"),"-")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35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IFERROR(IF(AND(booking!AB165&gt;0,booking!D165&lt;&gt;booking!E165),VLOOKUP(booking!E165,Database!$A$1:'Database'!$L$189,6,FALSE),"-"),"-")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IFERROR(IF(AND(booking!AB165&gt;0,booking!H165&lt;&gt;booking!I165),VLOOKUP(booking!I165,Database!$A$1:'Database'!$L$189,6,FALSE),"-"),"-")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IFERROR(IF(AND(booking!AB165&gt;0,booking!L165&lt;&gt;booking!M165),VLOOKUP(booking!M165,Database!$A$1:'Database'!$L$189,6,FALSE),"-"),"-")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IFERROR(IF(AND(booking!AB165&gt;0,booking!P165&lt;&gt;booking!Q165),VLOOKUP(booking!Q165,Database!$A$1:'Database'!$L$189,6,FALSE),"-"),"-")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35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IFERROR(IF(AND(booking!AB166&gt;0,booking!D166&lt;&gt;booking!E166),VLOOKUP(booking!E166,Database!$A$1:'Database'!$L$189,6,FALSE),"-"),"-")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IFERROR(IF(AND(booking!AB166&gt;0,booking!H166&lt;&gt;booking!I166),VLOOKUP(booking!I166,Database!$A$1:'Database'!$L$189,6,FALSE),"-"),"-")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IFERROR(IF(AND(booking!AB166&gt;0,booking!L166&lt;&gt;booking!M166),VLOOKUP(booking!M166,Database!$A$1:'Database'!$L$189,6,FALSE),"-"),"-")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IFERROR(IF(AND(booking!AB166&gt;0,booking!P166&lt;&gt;booking!Q166),VLOOKUP(booking!Q166,Database!$A$1:'Database'!$L$189,6,FALSE),"-"),"-")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35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IFERROR(IF(AND(booking!AB167&gt;0,booking!D167&lt;&gt;booking!E167),VLOOKUP(booking!E167,Database!$A$1:'Database'!$L$189,6,FALSE),"-"),"-")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IFERROR(IF(AND(booking!AB167&gt;0,booking!H167&lt;&gt;booking!I167),VLOOKUP(booking!I167,Database!$A$1:'Database'!$L$189,6,FALSE),"-"),"-")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IFERROR(IF(AND(booking!AB167&gt;0,booking!L167&lt;&gt;booking!M167),VLOOKUP(booking!M167,Database!$A$1:'Database'!$L$189,6,FALSE),"-"),"-")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IFERROR(IF(AND(booking!AB167&gt;0,booking!P167&lt;&gt;booking!Q167),VLOOKUP(booking!Q167,Database!$A$1:'Database'!$L$189,6,FALSE),"-"),"-")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35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IFERROR(IF(AND(booking!AB168&gt;0,booking!D168&lt;&gt;booking!E168),VLOOKUP(booking!E168,Database!$A$1:'Database'!$L$189,6,FALSE),"-"),"-")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IFERROR(IF(AND(booking!AB168&gt;0,booking!H168&lt;&gt;booking!I168),VLOOKUP(booking!I168,Database!$A$1:'Database'!$L$189,6,FALSE),"-"),"-")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IFERROR(IF(AND(booking!AB168&gt;0,booking!L168&lt;&gt;booking!M168),VLOOKUP(booking!M168,Database!$A$1:'Database'!$L$189,6,FALSE),"-"),"-")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IFERROR(IF(AND(booking!AB168&gt;0,booking!P168&lt;&gt;booking!Q168),VLOOKUP(booking!Q168,Database!$A$1:'Database'!$L$189,6,FALSE),"-"),"-")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35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IFERROR(IF(AND(booking!AB169&gt;0,booking!D169&lt;&gt;booking!E169),VLOOKUP(booking!E169,Database!$A$1:'Database'!$L$189,6,FALSE),"-"),"-")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IFERROR(IF(AND(booking!AB169&gt;0,booking!H169&lt;&gt;booking!I169),VLOOKUP(booking!I169,Database!$A$1:'Database'!$L$189,6,FALSE),"-"),"-")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IFERROR(IF(AND(booking!AB169&gt;0,booking!L169&lt;&gt;booking!M169),VLOOKUP(booking!M169,Database!$A$1:'Database'!$L$189,6,FALSE),"-"),"-")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IFERROR(IF(AND(booking!AB169&gt;0,booking!P169&lt;&gt;booking!Q169),VLOOKUP(booking!Q169,Database!$A$1:'Database'!$L$189,6,FALSE),"-"),"-")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35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IFERROR(IF(AND(booking!AB170&gt;0,booking!D170&lt;&gt;booking!E170),VLOOKUP(booking!E170,Database!$A$1:'Database'!$L$189,6,FALSE),"-"),"-")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IFERROR(IF(AND(booking!AB170&gt;0,booking!H170&lt;&gt;booking!I170),VLOOKUP(booking!I170,Database!$A$1:'Database'!$L$189,6,FALSE),"-"),"-")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IFERROR(IF(AND(booking!AB170&gt;0,booking!L170&lt;&gt;booking!M170),VLOOKUP(booking!M170,Database!$A$1:'Database'!$L$189,6,FALSE),"-"),"-")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IFERROR(IF(AND(booking!AB170&gt;0,booking!P170&lt;&gt;booking!Q170),VLOOKUP(booking!Q170,Database!$A$1:'Database'!$L$189,6,FALSE),"-"),"-")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35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IFERROR(IF(AND(booking!AB171&gt;0,booking!D171&lt;&gt;booking!E171),VLOOKUP(booking!E171,Database!$A$1:'Database'!$L$189,6,FALSE),"-"),"-")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IFERROR(IF(AND(booking!AB171&gt;0,booking!H171&lt;&gt;booking!I171),VLOOKUP(booking!I171,Database!$A$1:'Database'!$L$189,6,FALSE),"-"),"-")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IFERROR(IF(AND(booking!AB171&gt;0,booking!L171&lt;&gt;booking!M171),VLOOKUP(booking!M171,Database!$A$1:'Database'!$L$189,6,FALSE),"-"),"-")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IFERROR(IF(AND(booking!AB171&gt;0,booking!P171&lt;&gt;booking!Q171),VLOOKUP(booking!Q171,Database!$A$1:'Database'!$L$189,6,FALSE),"-"),"-")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4" x14ac:dyDescent="0.3"/>
  <cols>
    <col min="1" max="1" width="7.44140625" bestFit="1" customWidth="1"/>
    <col min="2" max="2" width="8.109375" style="24" bestFit="1" customWidth="1"/>
    <col min="3" max="3" width="2.44140625" customWidth="1"/>
    <col min="4" max="5" width="3.77734375" style="2" bestFit="1" customWidth="1"/>
    <col min="6" max="6" width="4.77734375" bestFit="1" customWidth="1"/>
    <col min="7" max="7" width="5" style="77" bestFit="1" customWidth="1"/>
    <col min="8" max="8" width="5.109375" style="77" bestFit="1" customWidth="1"/>
    <col min="9" max="9" width="4.77734375" bestFit="1" customWidth="1"/>
    <col min="10" max="10" width="3.77734375" bestFit="1" customWidth="1"/>
    <col min="11" max="11" width="4.77734375" style="77" bestFit="1" customWidth="1"/>
    <col min="12" max="12" width="5" style="77" bestFit="1" customWidth="1"/>
    <col min="13" max="13" width="5.109375" style="77" bestFit="1" customWidth="1"/>
    <col min="14" max="14" width="6.21875" bestFit="1" customWidth="1"/>
    <col min="15" max="15" width="3.77734375" bestFit="1" customWidth="1"/>
    <col min="16" max="16" width="4.77734375" style="77" bestFit="1" customWidth="1"/>
    <col min="17" max="17" width="5" style="77" bestFit="1" customWidth="1"/>
    <col min="18" max="18" width="7.21875" style="77" bestFit="1" customWidth="1"/>
    <col min="19" max="19" width="4.77734375" bestFit="1" customWidth="1"/>
    <col min="20" max="20" width="3.77734375" style="76" bestFit="1" customWidth="1"/>
    <col min="21" max="21" width="4.77734375" style="77" bestFit="1" customWidth="1"/>
    <col min="22" max="22" width="5" style="77" bestFit="1" customWidth="1"/>
    <col min="23" max="23" width="4.77734375" style="77" bestFit="1" customWidth="1"/>
    <col min="24" max="24" width="4.77734375" bestFit="1" customWidth="1"/>
    <col min="25" max="25" width="2.88671875" bestFit="1" customWidth="1"/>
    <col min="26" max="26" width="4.77734375" style="77" bestFit="1" customWidth="1"/>
    <col min="27" max="27" width="5" style="77" bestFit="1" customWidth="1"/>
    <col min="28" max="28" width="5.109375" style="77" bestFit="1" customWidth="1"/>
    <col min="29" max="29" width="4.77734375" bestFit="1" customWidth="1"/>
  </cols>
  <sheetData>
    <row r="1" spans="1:29" ht="20.100000000000001" customHeight="1" thickBot="1" x14ac:dyDescent="0.35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398</v>
      </c>
      <c r="G1" s="207" t="s">
        <v>399</v>
      </c>
      <c r="H1" s="207" t="s">
        <v>400</v>
      </c>
      <c r="I1" s="204" t="s">
        <v>401</v>
      </c>
      <c r="J1" s="204" t="str">
        <f>rengoering!F1</f>
        <v>V2</v>
      </c>
      <c r="K1" s="207" t="s">
        <v>402</v>
      </c>
      <c r="L1" s="207" t="s">
        <v>403</v>
      </c>
      <c r="M1" s="207" t="s">
        <v>404</v>
      </c>
      <c r="N1" s="204" t="s">
        <v>405</v>
      </c>
      <c r="O1" s="204" t="str">
        <f>rengoering!H1</f>
        <v>V3</v>
      </c>
      <c r="P1" s="207" t="s">
        <v>406</v>
      </c>
      <c r="Q1" s="207" t="s">
        <v>407</v>
      </c>
      <c r="R1" s="207" t="s">
        <v>408</v>
      </c>
      <c r="S1" s="204" t="s">
        <v>409</v>
      </c>
      <c r="T1" s="208" t="str">
        <f>rengoering!J1</f>
        <v>V4</v>
      </c>
      <c r="U1" s="207" t="s">
        <v>410</v>
      </c>
      <c r="V1" s="207" t="s">
        <v>411</v>
      </c>
      <c r="W1" s="207" t="s">
        <v>412</v>
      </c>
      <c r="X1" s="204" t="s">
        <v>413</v>
      </c>
      <c r="Y1" s="204" t="str">
        <f>rengoering!L1</f>
        <v>V5</v>
      </c>
      <c r="Z1" s="207" t="s">
        <v>414</v>
      </c>
      <c r="AA1" s="207" t="s">
        <v>415</v>
      </c>
      <c r="AB1" s="207" t="s">
        <v>416</v>
      </c>
      <c r="AC1" s="204" t="s">
        <v>417</v>
      </c>
    </row>
    <row r="2" spans="1:29" ht="15" customHeight="1" thickBot="1" x14ac:dyDescent="0.35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429</v>
      </c>
      <c r="G2" s="79" t="str">
        <f>IFERROR(VLOOKUP(E2,Database!$A$2:$L$189,6,FALSE),"-")</f>
        <v>-</v>
      </c>
      <c r="H2" s="92" t="str">
        <f>IFERROR(VLOOKUP(E2,Database!$A$2:$L$189,9,FALSE),"-")</f>
        <v>-</v>
      </c>
      <c r="I2" s="111" t="str">
        <f>IFERROR(VLOOKUP(E2,Database!$A$2:$S$189,19,FALSE),"-")</f>
        <v>-</v>
      </c>
      <c r="J2" s="96" t="str">
        <f>IF(AND(D2="Y",booking!H2&lt;&gt;booking!I2,booking!I2&gt;0),booking!I2,"-")</f>
        <v>-</v>
      </c>
      <c r="K2" s="79" t="str">
        <f>IFERROR(VLOOKUP(J2,Database!$A$2:$L$189,8,FALSE),"-")</f>
        <v>-</v>
      </c>
      <c r="L2" s="79" t="str">
        <f>IFERROR(VLOOKUP(J2,Database!$A$2:$L$189,6,FALSE),"-")</f>
        <v>-</v>
      </c>
      <c r="M2" s="92" t="str">
        <f>IFERROR(VLOOKUP(J2,Database!$A$2:$L$189,9,FALSE),"-")</f>
        <v>-</v>
      </c>
      <c r="N2" s="209" t="str">
        <f>IFERROR(VLOOKUP(J2,Database!$A$2:$S$189,19,FALSE),"-")</f>
        <v>-</v>
      </c>
      <c r="O2" s="96" t="str">
        <f>IF(AND(D2="Y",booking!L2&lt;&gt;booking!M2,booking!M2&gt;0),booking!M2,"-")</f>
        <v>-</v>
      </c>
      <c r="P2" s="79" t="str">
        <f>IFERROR(VLOOKUP(O2,Database!$A$2:$L$189,8,FALSE),"-")</f>
        <v>-</v>
      </c>
      <c r="Q2" s="79" t="str">
        <f>IFERROR(VLOOKUP(O2,Database!$A$2:$L$189,6,FALSE),"-")</f>
        <v>-</v>
      </c>
      <c r="R2" s="81" t="str">
        <f>IFERROR(VLOOKUP(O2,Database!$A$2:$L$189,9,FALSE),"-")</f>
        <v>-</v>
      </c>
      <c r="S2" s="209" t="str">
        <f>IFERROR(VLOOKUP(O2,Database!$A$2:$S$189,19,FALSE),"-")</f>
        <v>-</v>
      </c>
      <c r="T2" s="97" t="str">
        <f>IF(AND(D2="Y",booking!P2&lt;&gt;booking!Q2,booking!Q2&gt;0),booking!Q2,"-")</f>
        <v>-</v>
      </c>
      <c r="U2" s="79" t="str">
        <f>IFERROR(VLOOKUP(T2,Database!$A$2:$L$189,8,FALSE),"-")</f>
        <v>-</v>
      </c>
      <c r="V2" s="79" t="str">
        <f>IFERROR(VLOOKUP(T2,Database!$A$2:$L$189,6,FALSE),"-")</f>
        <v>-</v>
      </c>
      <c r="W2" s="81" t="str">
        <f>IFERROR(VLOOKUP(T2,Database!$A$2:$L$189,9,FALSE),"-")</f>
        <v>-</v>
      </c>
      <c r="X2" s="209" t="str">
        <f>IFERROR(VLOOKUP(T2,Database!$A$2:$S$189,19,FALSE),"-")</f>
        <v>-</v>
      </c>
      <c r="Y2" s="96" t="str">
        <f>IF(AND(D2="Y",booking!T2&lt;&gt;booking!U2,booking!U2&gt;0),booking!U2,"-")</f>
        <v>-</v>
      </c>
      <c r="Z2" s="79" t="str">
        <f>IFERROR(VLOOKUP(Y2,Database!$A$2:$L$189,8,FALSE),"-")</f>
        <v>-</v>
      </c>
      <c r="AA2" s="79" t="str">
        <f>IFERROR(VLOOKUP(Y2,Database!$A$2:$L$189,6,FALSE),"-")</f>
        <v>-</v>
      </c>
      <c r="AB2" s="92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35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429</v>
      </c>
      <c r="G3" s="78" t="str">
        <f>IFERROR(VLOOKUP(E3,Database!$A$2:$L$189,6,FALSE),"-")</f>
        <v>-</v>
      </c>
      <c r="H3" s="93" t="str">
        <f>IFERROR(VLOOKUP(E3,Database!$A$2:$L$189,9,FALSE),"-")</f>
        <v>-</v>
      </c>
      <c r="I3" s="111" t="str">
        <f>IFERROR(VLOOKUP(E3,Database!$A$2:$S$189,19,FALSE),"-")</f>
        <v>-</v>
      </c>
      <c r="J3" s="96" t="str">
        <f>IF(AND(D3="Y",booking!H3&lt;&gt;booking!I3,booking!I3&gt;0),booking!I3,"-")</f>
        <v>-</v>
      </c>
      <c r="K3" s="78" t="str">
        <f>IFERROR(VLOOKUP(J3,Database!$A$2:$L$189,8,FALSE),"-")</f>
        <v>-</v>
      </c>
      <c r="L3" s="78" t="str">
        <f>IFERROR(VLOOKUP(J3,Database!$A$2:$L$189,6,FALSE),"-")</f>
        <v>-</v>
      </c>
      <c r="M3" s="93" t="str">
        <f>IFERROR(VLOOKUP(J3,Database!$A$2:$L$189,9,FALSE),"-")</f>
        <v>-</v>
      </c>
      <c r="N3" s="209" t="str">
        <f>IFERROR(VLOOKUP(J3,Database!$A$2:$S$189,19,FALSE),"-")</f>
        <v>-</v>
      </c>
      <c r="O3" s="96" t="str">
        <f>IF(AND(D3="Y",booking!L3&lt;&gt;booking!M3,booking!M3&gt;0),booking!M3,"-")</f>
        <v>-</v>
      </c>
      <c r="P3" s="78" t="str">
        <f>IFERROR(VLOOKUP(O3,Database!$A$2:$L$189,8,FALSE),"-")</f>
        <v>-</v>
      </c>
      <c r="Q3" s="78" t="str">
        <f>IFERROR(VLOOKUP(O3,Database!$A$2:$L$189,6,FALSE),"-")</f>
        <v>-</v>
      </c>
      <c r="R3" s="82" t="str">
        <f>IFERROR(VLOOKUP(O3,Database!$A$2:$L$189,9,FALSE),"-")</f>
        <v>-</v>
      </c>
      <c r="S3" s="209" t="str">
        <f>IFERROR(VLOOKUP(O3,Database!$A$2:$S$189,19,FALSE),"-")</f>
        <v>-</v>
      </c>
      <c r="T3" s="97" t="str">
        <f>IF(AND(D3="Y",booking!P3&lt;&gt;booking!Q3,booking!Q3&gt;0),booking!Q3,"-")</f>
        <v>-</v>
      </c>
      <c r="U3" s="78" t="str">
        <f>IFERROR(VLOOKUP(T3,Database!$A$2:$L$189,8,FALSE),"-")</f>
        <v>-</v>
      </c>
      <c r="V3" s="78" t="str">
        <f>IFERROR(VLOOKUP(T3,Database!$A$2:$L$189,6,FALSE),"-")</f>
        <v>-</v>
      </c>
      <c r="W3" s="82" t="str">
        <f>IFERROR(VLOOKUP(T3,Database!$A$2:$L$189,9,FALSE),"-")</f>
        <v>-</v>
      </c>
      <c r="X3" s="209" t="str">
        <f>IFERROR(VLOOKUP(T3,Database!$A$2:$S$189,19,FALSE),"-")</f>
        <v>-</v>
      </c>
      <c r="Y3" s="96" t="str">
        <f>IF(AND(D3="Y",booking!T3&lt;&gt;booking!U3,booking!U3&gt;0),booking!U3,"-")</f>
        <v>-</v>
      </c>
      <c r="Z3" s="79" t="str">
        <f>IFERROR(VLOOKUP(Y3,Database!$A$2:$L$189,8,FALSE),"-")</f>
        <v>-</v>
      </c>
      <c r="AA3" s="79" t="str">
        <f>IFERROR(VLOOKUP(Y3,Database!$A$2:$L$189,6,FALSE),"-")</f>
        <v>-</v>
      </c>
      <c r="AB3" s="92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35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IFERROR(VLOOKUP(E4,Database!$A$2:$L$189,8,FALSE),"-")</f>
        <v>-</v>
      </c>
      <c r="G4" s="78" t="str">
        <f>IFERROR(VLOOKUP(E4,Database!$A$2:$L$189,6,FALSE),"-")</f>
        <v>-</v>
      </c>
      <c r="H4" s="93" t="str">
        <f>IFERROR(VLOOKUP(E4,Database!$A$2:$L$189,9,FALSE),"-")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IFERROR(VLOOKUP(J4,Database!$A$2:$L$189,8,FALSE),"-")</f>
        <v>-</v>
      </c>
      <c r="L4" s="78" t="str">
        <f>IFERROR(VLOOKUP(J4,Database!$A$2:$L$189,6,FALSE),"-")</f>
        <v>-</v>
      </c>
      <c r="M4" s="93" t="str">
        <f>IFERROR(VLOOKUP(J4,Database!$A$2:$L$189,9,FALSE),"-")</f>
        <v>-</v>
      </c>
      <c r="N4" s="209" t="str">
        <f>IFERROR(VLOOKUP(J4,Database!$A$2:$S$189,19,FALSE),"-")</f>
        <v>-</v>
      </c>
      <c r="O4" s="96" t="str">
        <f>IF(AND(D4="Y",booking!L4&lt;&gt;booking!M4,booking!M4&gt;0),booking!M4,"-")</f>
        <v>-</v>
      </c>
      <c r="P4" s="78" t="str">
        <f>IFERROR(VLOOKUP(O4,Database!$A$2:$L$189,8,FALSE),"-")</f>
        <v>-</v>
      </c>
      <c r="Q4" s="78" t="str">
        <f>IFERROR(VLOOKUP(O4,Database!$A$2:$L$189,6,FALSE),"-")</f>
        <v>-</v>
      </c>
      <c r="R4" s="82" t="str">
        <f>IFERROR(VLOOKUP(O4,Database!$A$2:$L$189,9,FALSE),"-")</f>
        <v>-</v>
      </c>
      <c r="S4" s="209" t="str">
        <f>IFERROR(VLOOKUP(O4,Database!$A$2:$S$189,19,FALSE),"-")</f>
        <v>-</v>
      </c>
      <c r="T4" s="97" t="str">
        <f>IF(AND(D4="Y",booking!P4&lt;&gt;booking!Q4,booking!Q4&gt;0),booking!Q4,"-")</f>
        <v>-</v>
      </c>
      <c r="U4" s="78" t="str">
        <f>IFERROR(VLOOKUP(T4,Database!$A$2:$L$189,8,FALSE),"-")</f>
        <v>-</v>
      </c>
      <c r="V4" s="78" t="str">
        <f>IFERROR(VLOOKUP(T4,Database!$A$2:$L$189,6,FALSE),"-")</f>
        <v>-</v>
      </c>
      <c r="W4" s="82" t="str">
        <f>IFERROR(VLOOKUP(T4,Database!$A$2:$L$189,9,FALSE),"-")</f>
        <v>-</v>
      </c>
      <c r="X4" s="209" t="str">
        <f>IFERROR(VLOOKUP(T4,Database!$A$2:$S$189,19,FALSE),"-")</f>
        <v>-</v>
      </c>
      <c r="Y4" s="96" t="str">
        <f>IF(AND(D4="Y",booking!T4&lt;&gt;booking!U4,booking!U4&gt;0),booking!U4,"-")</f>
        <v>-</v>
      </c>
      <c r="Z4" s="79" t="str">
        <f>IFERROR(VLOOKUP(Y4,Database!$A$2:$L$189,8,FALSE),"-")</f>
        <v>-</v>
      </c>
      <c r="AA4" s="79" t="str">
        <f>IFERROR(VLOOKUP(Y4,Database!$A$2:$L$189,6,FALSE),"-")</f>
        <v>-</v>
      </c>
      <c r="AB4" s="92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35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IFERROR(VLOOKUP(E5,Database!$A$2:$L$189,8,FALSE),"-")</f>
        <v>-</v>
      </c>
      <c r="G5" s="78" t="str">
        <f>IFERROR(VLOOKUP(E5,Database!$A$2:$L$189,6,FALSE),"-")</f>
        <v>-</v>
      </c>
      <c r="H5" s="93" t="str">
        <f>IFERROR(VLOOKUP(E5,Database!$A$2:$L$189,9,FALSE),"-")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IFERROR(VLOOKUP(J5,Database!$A$2:$L$189,8,FALSE),"-")</f>
        <v>-</v>
      </c>
      <c r="L5" s="78" t="str">
        <f>IFERROR(VLOOKUP(J5,Database!$A$2:$L$189,6,FALSE),"-")</f>
        <v>-</v>
      </c>
      <c r="M5" s="93" t="str">
        <f>IFERROR(VLOOKUP(J5,Database!$A$2:$L$189,9,FALSE),"-")</f>
        <v>-</v>
      </c>
      <c r="N5" s="209" t="str">
        <f>IFERROR(VLOOKUP(J5,Database!$A$2:$S$189,19,FALSE),"-")</f>
        <v>-</v>
      </c>
      <c r="O5" s="96" t="str">
        <f>IF(AND(D5="Y",booking!L5&lt;&gt;booking!M5,booking!M5&gt;0),booking!M5,"-")</f>
        <v>-</v>
      </c>
      <c r="P5" s="78" t="str">
        <f>IFERROR(VLOOKUP(O5,Database!$A$2:$L$189,8,FALSE),"-")</f>
        <v>-</v>
      </c>
      <c r="Q5" s="78" t="str">
        <f>IFERROR(VLOOKUP(O5,Database!$A$2:$L$189,6,FALSE),"-")</f>
        <v>-</v>
      </c>
      <c r="R5" s="82" t="str">
        <f>IFERROR(VLOOKUP(O5,Database!$A$2:$L$189,9,FALSE),"-")</f>
        <v>-</v>
      </c>
      <c r="S5" s="209" t="str">
        <f>IFERROR(VLOOKUP(O5,Database!$A$2:$S$189,19,FALSE),"-")</f>
        <v>-</v>
      </c>
      <c r="T5" s="97" t="str">
        <f>IF(AND(D5="Y",booking!P5&lt;&gt;booking!Q5,booking!Q5&gt;0),booking!Q5,"-")</f>
        <v>-</v>
      </c>
      <c r="U5" s="78" t="str">
        <f>IFERROR(VLOOKUP(T5,Database!$A$2:$L$189,8,FALSE),"-")</f>
        <v>-</v>
      </c>
      <c r="V5" s="78" t="str">
        <f>IFERROR(VLOOKUP(T5,Database!$A$2:$L$189,6,FALSE),"-")</f>
        <v>-</v>
      </c>
      <c r="W5" s="82" t="str">
        <f>IFERROR(VLOOKUP(T5,Database!$A$2:$L$189,9,FALSE),"-")</f>
        <v>-</v>
      </c>
      <c r="X5" s="209" t="str">
        <f>IFERROR(VLOOKUP(T5,Database!$A$2:$S$189,19,FALSE),"-")</f>
        <v>-</v>
      </c>
      <c r="Y5" s="96" t="str">
        <f>IF(AND(D5="Y",booking!T5&lt;&gt;booking!U5,booking!U5&gt;0),booking!U5,"-")</f>
        <v>-</v>
      </c>
      <c r="Z5" s="79" t="str">
        <f>IFERROR(VLOOKUP(Y5,Database!$A$2:$L$189,8,FALSE),"-")</f>
        <v>-</v>
      </c>
      <c r="AA5" s="79" t="str">
        <f>IFERROR(VLOOKUP(Y5,Database!$A$2:$L$189,6,FALSE),"-")</f>
        <v>-</v>
      </c>
      <c r="AB5" s="92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35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 t="str">
        <f>IFERROR(VLOOKUP(E6,Database!$A$2:$L$189,8,FALSE),"-")</f>
        <v>1430</v>
      </c>
      <c r="G6" s="78" t="str">
        <f>IFERROR(VLOOKUP(E6,Database!$A$2:$L$189,6,FALSE),"-")</f>
        <v>DK</v>
      </c>
      <c r="H6" s="93" t="str">
        <f>IFERROR(VLOOKUP(E6,Database!$A$2:$L$189,9,FALSE),"-")</f>
        <v>sing</v>
      </c>
      <c r="I6" s="112"/>
      <c r="J6" s="96">
        <f>IF(AND(D6="Y",booking!H6&lt;&gt;booking!I6,booking!I6&gt;0),booking!I6,"-")</f>
        <v>110</v>
      </c>
      <c r="K6" s="78">
        <f>IFERROR(VLOOKUP(J6,Database!$A$2:$L$189,8,FALSE),"-")</f>
        <v>0</v>
      </c>
      <c r="L6" s="78" t="str">
        <f>IFERROR(VLOOKUP(J6,Database!$A$2:$L$189,6,FALSE),"-")</f>
        <v>it</v>
      </c>
      <c r="M6" s="93" t="str">
        <f>IFERROR(VLOOKUP(J6,Database!$A$2:$L$189,9,FALSE),"-")</f>
        <v>dobb</v>
      </c>
      <c r="N6" s="209" t="str">
        <f>IFERROR(VLOOKUP(J6,Database!$A$2:$S$189,19,FALSE),"-")</f>
        <v>N</v>
      </c>
      <c r="O6" s="96">
        <f>IF(AND(D6="Y",booking!L6&lt;&gt;booking!M6,booking!M6&gt;0),booking!M6,"-")</f>
        <v>68</v>
      </c>
      <c r="P6" s="78" t="str">
        <f>IFERROR(VLOOKUP(O6,Database!$A$2:$L$189,8,FALSE),"-")</f>
        <v>1500</v>
      </c>
      <c r="Q6" s="78" t="str">
        <f>IFERROR(VLOOKUP(O6,Database!$A$2:$L$189,6,FALSE),"-")</f>
        <v>DK</v>
      </c>
      <c r="R6" s="82" t="str">
        <f>IFERROR(VLOOKUP(O6,Database!$A$2:$L$189,9,FALSE),"-")</f>
        <v>sing</v>
      </c>
      <c r="S6" s="209" t="str">
        <f>IFERROR(VLOOKUP(O6,Database!$A$2:$S$189,19,FALSE),"-")</f>
        <v>N</v>
      </c>
      <c r="T6" s="97">
        <f>IF(AND(D6="Y",booking!P6&lt;&gt;booking!Q6,booking!Q6&gt;0),booking!Q6,"-")</f>
        <v>28</v>
      </c>
      <c r="U6" s="78">
        <f>IFERROR(VLOOKUP(T6,Database!$A$2:$L$189,8,FALSE),"-")</f>
        <v>0</v>
      </c>
      <c r="V6" s="78" t="str">
        <f>IFERROR(VLOOKUP(T6,Database!$A$2:$L$189,6,FALSE),"-")</f>
        <v>DK</v>
      </c>
      <c r="W6" s="82">
        <f>IFERROR(VLOOKUP(T6,Database!$A$2:$L$189,9,FALSE),"-")</f>
        <v>0</v>
      </c>
      <c r="X6" s="209" t="str">
        <f>IFERROR(VLOOKUP(T6,Database!$A$2:$S$189,19,FALSE),"-")</f>
        <v>N</v>
      </c>
      <c r="Y6" s="96">
        <f>IF(AND(D6="Y",booking!T6&lt;&gt;booking!U6,booking!U6&gt;0),booking!U6,"-")</f>
        <v>28</v>
      </c>
      <c r="Z6" s="79">
        <f>IFERROR(VLOOKUP(Y6,Database!$A$2:$L$189,8,FALSE),"-")</f>
        <v>0</v>
      </c>
      <c r="AA6" s="79" t="str">
        <f>IFERROR(VLOOKUP(Y6,Database!$A$2:$L$189,6,FALSE),"-")</f>
        <v>DK</v>
      </c>
      <c r="AB6" s="92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35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IFERROR(VLOOKUP(E7,Database!$A$2:$L$189,8,FALSE),"-")</f>
        <v>-</v>
      </c>
      <c r="G7" s="78" t="str">
        <f>IFERROR(VLOOKUP(E7,Database!$A$2:$L$189,6,FALSE),"-")</f>
        <v>-</v>
      </c>
      <c r="H7" s="93" t="str">
        <f>IFERROR(VLOOKUP(E7,Database!$A$2:$L$189,9,FALSE),"-")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IFERROR(VLOOKUP(J7,Database!$A$2:$L$189,8,FALSE),"-")</f>
        <v>-</v>
      </c>
      <c r="L7" s="78" t="str">
        <f>IFERROR(VLOOKUP(J7,Database!$A$2:$L$189,6,FALSE),"-")</f>
        <v>-</v>
      </c>
      <c r="M7" s="93" t="str">
        <f>IFERROR(VLOOKUP(J7,Database!$A$2:$L$189,9,FALSE),"-")</f>
        <v>-</v>
      </c>
      <c r="N7" s="209" t="str">
        <f>IFERROR(VLOOKUP(J7,Database!$A$2:$S$189,19,FALSE),"-")</f>
        <v>-</v>
      </c>
      <c r="O7" s="96" t="str">
        <f>IF(AND(D7="Y",booking!L7&lt;&gt;booking!M7,booking!M7&gt;0),booking!M7,"-")</f>
        <v>-</v>
      </c>
      <c r="P7" s="78" t="str">
        <f>IFERROR(VLOOKUP(O7,Database!$A$2:$L$189,8,FALSE),"-")</f>
        <v>-</v>
      </c>
      <c r="Q7" s="78" t="str">
        <f>IFERROR(VLOOKUP(O7,Database!$A$2:$L$189,6,FALSE),"-")</f>
        <v>-</v>
      </c>
      <c r="R7" s="82" t="str">
        <f>IFERROR(VLOOKUP(O7,Database!$A$2:$L$189,9,FALSE),"-")</f>
        <v>-</v>
      </c>
      <c r="S7" s="209" t="str">
        <f>IFERROR(VLOOKUP(O7,Database!$A$2:$S$189,19,FALSE),"-")</f>
        <v>-</v>
      </c>
      <c r="T7" s="97" t="str">
        <f>IF(AND(D7="Y",booking!P7&lt;&gt;booking!Q7,booking!Q7&gt;0),booking!Q7,"-")</f>
        <v>-</v>
      </c>
      <c r="U7" s="78" t="str">
        <f>IFERROR(VLOOKUP(T7,Database!$A$2:$L$189,8,FALSE),"-")</f>
        <v>-</v>
      </c>
      <c r="V7" s="78" t="str">
        <f>IFERROR(VLOOKUP(T7,Database!$A$2:$L$189,6,FALSE),"-")</f>
        <v>-</v>
      </c>
      <c r="W7" s="82" t="str">
        <f>IFERROR(VLOOKUP(T7,Database!$A$2:$L$189,9,FALSE),"-")</f>
        <v>-</v>
      </c>
      <c r="X7" s="209" t="str">
        <f>IFERROR(VLOOKUP(T7,Database!$A$2:$S$189,19,FALSE),"-")</f>
        <v>-</v>
      </c>
      <c r="Y7" s="96" t="str">
        <f>IF(AND(D7="Y",booking!T7&lt;&gt;booking!U7,booking!U7&gt;0),booking!U7,"-")</f>
        <v>-</v>
      </c>
      <c r="Z7" s="79" t="str">
        <f>IFERROR(VLOOKUP(Y7,Database!$A$2:$L$189,8,FALSE),"-")</f>
        <v>-</v>
      </c>
      <c r="AA7" s="79" t="str">
        <f>IFERROR(VLOOKUP(Y7,Database!$A$2:$L$189,6,FALSE),"-")</f>
        <v>-</v>
      </c>
      <c r="AB7" s="92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35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IFERROR(VLOOKUP(E8,Database!$A$2:$L$189,8,FALSE),"-")</f>
        <v>-</v>
      </c>
      <c r="G8" s="78" t="str">
        <f>IFERROR(VLOOKUP(E8,Database!$A$2:$L$189,6,FALSE),"-")</f>
        <v>-</v>
      </c>
      <c r="H8" s="93" t="str">
        <f>IFERROR(VLOOKUP(E8,Database!$A$2:$L$189,9,FALSE),"-")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IFERROR(VLOOKUP(J8,Database!$A$2:$L$189,8,FALSE),"-")</f>
        <v>-</v>
      </c>
      <c r="L8" s="78" t="str">
        <f>IFERROR(VLOOKUP(J8,Database!$A$2:$L$189,6,FALSE),"-")</f>
        <v>-</v>
      </c>
      <c r="M8" s="93" t="str">
        <f>IFERROR(VLOOKUP(J8,Database!$A$2:$L$189,9,FALSE),"-")</f>
        <v>-</v>
      </c>
      <c r="N8" s="209" t="str">
        <f>IFERROR(VLOOKUP(J8,Database!$A$2:$S$189,19,FALSE),"-")</f>
        <v>-</v>
      </c>
      <c r="O8" s="96" t="str">
        <f>IF(AND(D8="Y",booking!L8&lt;&gt;booking!M8,booking!M8&gt;0),booking!M8,"-")</f>
        <v>-</v>
      </c>
      <c r="P8" s="78" t="str">
        <f>IFERROR(VLOOKUP(O8,Database!$A$2:$L$189,8,FALSE),"-")</f>
        <v>-</v>
      </c>
      <c r="Q8" s="78" t="str">
        <f>IFERROR(VLOOKUP(O8,Database!$A$2:$L$189,6,FALSE),"-")</f>
        <v>-</v>
      </c>
      <c r="R8" s="82" t="str">
        <f>IFERROR(VLOOKUP(O8,Database!$A$2:$L$189,9,FALSE),"-")</f>
        <v>-</v>
      </c>
      <c r="S8" s="209" t="str">
        <f>IFERROR(VLOOKUP(O8,Database!$A$2:$S$189,19,FALSE),"-")</f>
        <v>-</v>
      </c>
      <c r="T8" s="97">
        <f>IF(AND(D8="Y",booking!P8&lt;&gt;booking!Q8,booking!Q8&gt;0),booking!Q8,"-")</f>
        <v>72</v>
      </c>
      <c r="U8" s="78" t="str">
        <f>IFERROR(VLOOKUP(T8,Database!$A$2:$L$189,8,FALSE),"-")</f>
        <v>2030</v>
      </c>
      <c r="V8" s="78" t="str">
        <f>IFERROR(VLOOKUP(T8,Database!$A$2:$L$189,6,FALSE),"-")</f>
        <v>DK</v>
      </c>
      <c r="W8" s="82" t="str">
        <f>IFERROR(VLOOKUP(T8,Database!$A$2:$L$189,9,FALSE),"-")</f>
        <v>sing</v>
      </c>
      <c r="X8" s="209" t="str">
        <f>IFERROR(VLOOKUP(T8,Database!$A$2:$S$189,19,FALSE),"-")</f>
        <v>Y</v>
      </c>
      <c r="Y8" s="96" t="str">
        <f>IF(AND(D8="Y",booking!T8&lt;&gt;booking!U8,booking!U8&gt;0),booking!U8,"-")</f>
        <v>-</v>
      </c>
      <c r="Z8" s="79" t="str">
        <f>IFERROR(VLOOKUP(Y8,Database!$A$2:$L$189,8,FALSE),"-")</f>
        <v>-</v>
      </c>
      <c r="AA8" s="79" t="str">
        <f>IFERROR(VLOOKUP(Y8,Database!$A$2:$L$189,6,FALSE),"-")</f>
        <v>-</v>
      </c>
      <c r="AB8" s="92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35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IFERROR(VLOOKUP(E9,Database!$A$2:$L$189,8,FALSE),"-")</f>
        <v>-</v>
      </c>
      <c r="G9" s="78" t="str">
        <f>IFERROR(VLOOKUP(E9,Database!$A$2:$L$189,6,FALSE),"-")</f>
        <v>-</v>
      </c>
      <c r="H9" s="93" t="str">
        <f>IFERROR(VLOOKUP(E9,Database!$A$2:$L$189,9,FALSE),"-")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IFERROR(VLOOKUP(J9,Database!$A$2:$L$189,8,FALSE),"-")</f>
        <v>-</v>
      </c>
      <c r="L9" s="78" t="str">
        <f>IFERROR(VLOOKUP(J9,Database!$A$2:$L$189,6,FALSE),"-")</f>
        <v>-</v>
      </c>
      <c r="M9" s="93" t="str">
        <f>IFERROR(VLOOKUP(J9,Database!$A$2:$L$189,9,FALSE),"-")</f>
        <v>-</v>
      </c>
      <c r="N9" s="209" t="str">
        <f>IFERROR(VLOOKUP(J9,Database!$A$2:$S$189,19,FALSE),"-")</f>
        <v>-</v>
      </c>
      <c r="O9" s="96" t="str">
        <f>IF(AND(D9="Y",booking!L9&lt;&gt;booking!M9,booking!M9&gt;0),booking!M9,"-")</f>
        <v>-</v>
      </c>
      <c r="P9" s="78" t="str">
        <f>IFERROR(VLOOKUP(O9,Database!$A$2:$L$189,8,FALSE),"-")</f>
        <v>-</v>
      </c>
      <c r="Q9" s="78" t="str">
        <f>IFERROR(VLOOKUP(O9,Database!$A$2:$L$189,6,FALSE),"-")</f>
        <v>-</v>
      </c>
      <c r="R9" s="82" t="str">
        <f>IFERROR(VLOOKUP(O9,Database!$A$2:$L$189,9,FALSE),"-")</f>
        <v>-</v>
      </c>
      <c r="S9" s="209" t="str">
        <f>IFERROR(VLOOKUP(O9,Database!$A$2:$S$189,19,FALSE),"-")</f>
        <v>-</v>
      </c>
      <c r="T9" s="97" t="str">
        <f>IF(AND(D9="Y",booking!P9&lt;&gt;booking!Q9,booking!Q9&gt;0),booking!Q9,"-")</f>
        <v>-</v>
      </c>
      <c r="U9" s="78" t="str">
        <f>IFERROR(VLOOKUP(T9,Database!$A$2:$L$189,8,FALSE),"-")</f>
        <v>-</v>
      </c>
      <c r="V9" s="78" t="str">
        <f>IFERROR(VLOOKUP(T9,Database!$A$2:$L$189,6,FALSE),"-")</f>
        <v>-</v>
      </c>
      <c r="W9" s="82" t="str">
        <f>IFERROR(VLOOKUP(T9,Database!$A$2:$L$189,9,FALSE),"-")</f>
        <v>-</v>
      </c>
      <c r="X9" s="209" t="str">
        <f>IFERROR(VLOOKUP(T9,Database!$A$2:$S$189,19,FALSE),"-")</f>
        <v>-</v>
      </c>
      <c r="Y9" s="96" t="str">
        <f>IF(AND(D9="Y",booking!T9&lt;&gt;booking!U9,booking!U9&gt;0),booking!U9,"-")</f>
        <v>-</v>
      </c>
      <c r="Z9" s="79" t="str">
        <f>IFERROR(VLOOKUP(Y9,Database!$A$2:$L$189,8,FALSE),"-")</f>
        <v>-</v>
      </c>
      <c r="AA9" s="79" t="str">
        <f>IFERROR(VLOOKUP(Y9,Database!$A$2:$L$189,6,FALSE),"-")</f>
        <v>-</v>
      </c>
      <c r="AB9" s="92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35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8" t="str">
        <f>IFERROR(VLOOKUP(E10,Database!$A$2:$L$189,6,FALSE),"-")</f>
        <v>-</v>
      </c>
      <c r="H10" s="93" t="str">
        <f>IFERROR(VLOOKUP(E10,Database!$A$2:$L$189,9,FALSE),"-")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IFERROR(VLOOKUP(J10,Database!$A$2:$L$189,8,FALSE),"-")</f>
        <v>-</v>
      </c>
      <c r="L10" s="78" t="str">
        <f>IFERROR(VLOOKUP(J10,Database!$A$2:$L$189,6,FALSE),"-")</f>
        <v>-</v>
      </c>
      <c r="M10" s="93" t="str">
        <f>IFERROR(VLOOKUP(J10,Database!$A$2:$L$189,9,FALSE),"-")</f>
        <v>-</v>
      </c>
      <c r="N10" s="209" t="str">
        <f>IFERROR(VLOOKUP(J10,Database!$A$2:$S$189,19,FALSE),"-")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IFERROR(VLOOKUP(O10,Database!$A$2:$L$189,8,FALSE),"-")</f>
        <v>-</v>
      </c>
      <c r="Q10" s="78" t="str">
        <f>IFERROR(VLOOKUP(O10,Database!$A$2:$L$189,6,FALSE),"-")</f>
        <v>-</v>
      </c>
      <c r="R10" s="82" t="str">
        <f>IFERROR(VLOOKUP(O10,Database!$A$2:$L$189,9,FALSE),"-")</f>
        <v>-</v>
      </c>
      <c r="S10" s="209" t="str">
        <f>IFERROR(VLOOKUP(O10,Database!$A$2:$S$189,19,FALSE),"-")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IFERROR(VLOOKUP(T10,Database!$A$2:$L$189,8,FALSE),"-")</f>
        <v>-</v>
      </c>
      <c r="V10" s="78" t="str">
        <f>IFERROR(VLOOKUP(T10,Database!$A$2:$L$189,6,FALSE),"-")</f>
        <v>-</v>
      </c>
      <c r="W10" s="82" t="str">
        <f>IFERROR(VLOOKUP(T10,Database!$A$2:$L$189,9,FALSE),"-")</f>
        <v>-</v>
      </c>
      <c r="X10" s="209" t="str">
        <f>IFERROR(VLOOKUP(T10,Database!$A$2:$S$189,19,FALSE),"-")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IFERROR(VLOOKUP(Y10,Database!$A$2:$L$189,8,FALSE),"-")</f>
        <v>-</v>
      </c>
      <c r="AA10" s="79" t="str">
        <f>IFERROR(VLOOKUP(Y10,Database!$A$2:$L$189,6,FALSE),"-")</f>
        <v>-</v>
      </c>
      <c r="AB10" s="92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35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8" t="str">
        <f>IFERROR(VLOOKUP(E11,Database!$A$2:$L$189,6,FALSE),"-")</f>
        <v>-</v>
      </c>
      <c r="H11" s="93" t="str">
        <f>IFERROR(VLOOKUP(E11,Database!$A$2:$L$189,9,FALSE),"-")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IFERROR(VLOOKUP(J11,Database!$A$2:$L$189,8,FALSE),"-")</f>
        <v>-</v>
      </c>
      <c r="L11" s="78" t="str">
        <f>IFERROR(VLOOKUP(J11,Database!$A$2:$L$189,6,FALSE),"-")</f>
        <v>-</v>
      </c>
      <c r="M11" s="93" t="str">
        <f>IFERROR(VLOOKUP(J11,Database!$A$2:$L$189,9,FALSE),"-")</f>
        <v>-</v>
      </c>
      <c r="N11" s="209" t="str">
        <f>IFERROR(VLOOKUP(J11,Database!$A$2:$S$189,19,FALSE),"-")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IFERROR(VLOOKUP(O11,Database!$A$2:$L$189,8,FALSE),"-")</f>
        <v>-</v>
      </c>
      <c r="Q11" s="78" t="str">
        <f>IFERROR(VLOOKUP(O11,Database!$A$2:$L$189,6,FALSE),"-")</f>
        <v>-</v>
      </c>
      <c r="R11" s="82" t="str">
        <f>IFERROR(VLOOKUP(O11,Database!$A$2:$L$189,9,FALSE),"-")</f>
        <v>-</v>
      </c>
      <c r="S11" s="209" t="str">
        <f>IFERROR(VLOOKUP(O11,Database!$A$2:$S$189,19,FALSE),"-")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IFERROR(VLOOKUP(T11,Database!$A$2:$L$189,8,FALSE),"-")</f>
        <v>-</v>
      </c>
      <c r="V11" s="78" t="str">
        <f>IFERROR(VLOOKUP(T11,Database!$A$2:$L$189,6,FALSE),"-")</f>
        <v>-</v>
      </c>
      <c r="W11" s="82" t="str">
        <f>IFERROR(VLOOKUP(T11,Database!$A$2:$L$189,9,FALSE),"-")</f>
        <v>-</v>
      </c>
      <c r="X11" s="209" t="str">
        <f>IFERROR(VLOOKUP(T11,Database!$A$2:$S$189,19,FALSE),"-")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IFERROR(VLOOKUP(Y11,Database!$A$2:$L$189,8,FALSE),"-")</f>
        <v>-</v>
      </c>
      <c r="AA11" s="79" t="str">
        <f>IFERROR(VLOOKUP(Y11,Database!$A$2:$L$189,6,FALSE),"-")</f>
        <v>-</v>
      </c>
      <c r="AB11" s="92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35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8" t="str">
        <f>IFERROR(VLOOKUP(E12,Database!$A$2:$L$189,6,FALSE),"-")</f>
        <v>-</v>
      </c>
      <c r="H12" s="93" t="str">
        <f>IFERROR(VLOOKUP(E12,Database!$A$2:$L$189,9,FALSE),"-")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IFERROR(VLOOKUP(J12,Database!$A$2:$L$189,8,FALSE),"-")</f>
        <v>0</v>
      </c>
      <c r="L12" s="78" t="str">
        <f>IFERROR(VLOOKUP(J12,Database!$A$2:$L$189,6,FALSE),"-")</f>
        <v>DK</v>
      </c>
      <c r="M12" s="93" t="str">
        <f>IFERROR(VLOOKUP(J12,Database!$A$2:$L$189,9,FALSE),"-")</f>
        <v>db</v>
      </c>
      <c r="N12" s="209" t="str">
        <f>IFERROR(VLOOKUP(J12,Database!$A$2:$S$189,19,FALSE),"-")</f>
        <v>Y</v>
      </c>
      <c r="O12" s="96">
        <f>IF(AND(D12="Y",booking!L12&lt;&gt;booking!M12,booking!M12&gt;0),booking!M12,"-")</f>
        <v>80</v>
      </c>
      <c r="P12" s="78">
        <f>IFERROR(VLOOKUP(O12,Database!$A$2:$L$189,8,FALSE),"-")</f>
        <v>0</v>
      </c>
      <c r="Q12" s="78" t="str">
        <f>IFERROR(VLOOKUP(O12,Database!$A$2:$L$189,6,FALSE),"-")</f>
        <v>DK</v>
      </c>
      <c r="R12" s="82" t="str">
        <f>IFERROR(VLOOKUP(O12,Database!$A$2:$L$189,9,FALSE),"-")</f>
        <v>db</v>
      </c>
      <c r="S12" s="209" t="str">
        <f>IFERROR(VLOOKUP(O12,Database!$A$2:$S$189,19,FALSE),"-")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IFERROR(VLOOKUP(T12,Database!$A$2:$L$189,8,FALSE),"-")</f>
        <v>-</v>
      </c>
      <c r="V12" s="78" t="str">
        <f>IFERROR(VLOOKUP(T12,Database!$A$2:$L$189,6,FALSE),"-")</f>
        <v>-</v>
      </c>
      <c r="W12" s="82" t="str">
        <f>IFERROR(VLOOKUP(T12,Database!$A$2:$L$189,9,FALSE),"-")</f>
        <v>-</v>
      </c>
      <c r="X12" s="209" t="str">
        <f>IFERROR(VLOOKUP(T12,Database!$A$2:$S$189,19,FALSE),"-")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IFERROR(VLOOKUP(Y12,Database!$A$2:$L$189,8,FALSE),"-")</f>
        <v>-</v>
      </c>
      <c r="AA12" s="79" t="str">
        <f>IFERROR(VLOOKUP(Y12,Database!$A$2:$L$189,6,FALSE),"-")</f>
        <v>-</v>
      </c>
      <c r="AB12" s="92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35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8" t="str">
        <f>IFERROR(VLOOKUP(E13,Database!$A$2:$L$189,6,FALSE),"-")</f>
        <v>-</v>
      </c>
      <c r="H13" s="93" t="str">
        <f>IFERROR(VLOOKUP(E13,Database!$A$2:$L$189,9,FALSE),"-")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IFERROR(VLOOKUP(J13,Database!$A$2:$L$189,8,FALSE),"-")</f>
        <v>-</v>
      </c>
      <c r="L13" s="78" t="str">
        <f>IFERROR(VLOOKUP(J13,Database!$A$2:$L$189,6,FALSE),"-")</f>
        <v>-</v>
      </c>
      <c r="M13" s="93" t="str">
        <f>IFERROR(VLOOKUP(J13,Database!$A$2:$L$189,9,FALSE),"-")</f>
        <v>-</v>
      </c>
      <c r="N13" s="209" t="str">
        <f>IFERROR(VLOOKUP(J13,Database!$A$2:$S$189,19,FALSE),"-")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IFERROR(VLOOKUP(O13,Database!$A$2:$L$189,8,FALSE),"-")</f>
        <v>-</v>
      </c>
      <c r="Q13" s="78" t="str">
        <f>IFERROR(VLOOKUP(O13,Database!$A$2:$L$189,6,FALSE),"-")</f>
        <v>-</v>
      </c>
      <c r="R13" s="82" t="str">
        <f>IFERROR(VLOOKUP(O13,Database!$A$2:$L$189,9,FALSE),"-")</f>
        <v>-</v>
      </c>
      <c r="S13" s="209" t="str">
        <f>IFERROR(VLOOKUP(O13,Database!$A$2:$S$189,19,FALSE),"-")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IFERROR(VLOOKUP(T13,Database!$A$2:$L$189,8,FALSE),"-")</f>
        <v>-</v>
      </c>
      <c r="V13" s="78" t="str">
        <f>IFERROR(VLOOKUP(T13,Database!$A$2:$L$189,6,FALSE),"-")</f>
        <v>-</v>
      </c>
      <c r="W13" s="82" t="str">
        <f>IFERROR(VLOOKUP(T13,Database!$A$2:$L$189,9,FALSE),"-")</f>
        <v>-</v>
      </c>
      <c r="X13" s="209" t="str">
        <f>IFERROR(VLOOKUP(T13,Database!$A$2:$S$189,19,FALSE),"-")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IFERROR(VLOOKUP(Y13,Database!$A$2:$L$189,8,FALSE),"-")</f>
        <v>-</v>
      </c>
      <c r="AA13" s="79" t="str">
        <f>IFERROR(VLOOKUP(Y13,Database!$A$2:$L$189,6,FALSE),"-")</f>
        <v>-</v>
      </c>
      <c r="AB13" s="92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35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8" t="str">
        <f>IFERROR(VLOOKUP(E14,Database!$A$2:$L$189,6,FALSE),"-")</f>
        <v>-</v>
      </c>
      <c r="H14" s="93" t="str">
        <f>IFERROR(VLOOKUP(E14,Database!$A$2:$L$189,9,FALSE),"-")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IFERROR(VLOOKUP(J14,Database!$A$2:$L$189,8,FALSE),"-")</f>
        <v>-</v>
      </c>
      <c r="L14" s="78" t="str">
        <f>IFERROR(VLOOKUP(J14,Database!$A$2:$L$189,6,FALSE),"-")</f>
        <v>-</v>
      </c>
      <c r="M14" s="93" t="str">
        <f>IFERROR(VLOOKUP(J14,Database!$A$2:$L$189,9,FALSE),"-")</f>
        <v>-</v>
      </c>
      <c r="N14" s="209" t="str">
        <f>IFERROR(VLOOKUP(J14,Database!$A$2:$S$189,19,FALSE),"-")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IFERROR(VLOOKUP(O14,Database!$A$2:$L$189,8,FALSE),"-")</f>
        <v>-</v>
      </c>
      <c r="Q14" s="78" t="str">
        <f>IFERROR(VLOOKUP(O14,Database!$A$2:$L$189,6,FALSE),"-")</f>
        <v>-</v>
      </c>
      <c r="R14" s="82" t="str">
        <f>IFERROR(VLOOKUP(O14,Database!$A$2:$L$189,9,FALSE),"-")</f>
        <v>-</v>
      </c>
      <c r="S14" s="209" t="str">
        <f>IFERROR(VLOOKUP(O14,Database!$A$2:$S$189,19,FALSE),"-")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IFERROR(VLOOKUP(T14,Database!$A$2:$L$189,8,FALSE),"-")</f>
        <v>-</v>
      </c>
      <c r="V14" s="78" t="str">
        <f>IFERROR(VLOOKUP(T14,Database!$A$2:$L$189,6,FALSE),"-")</f>
        <v>-</v>
      </c>
      <c r="W14" s="82" t="str">
        <f>IFERROR(VLOOKUP(T14,Database!$A$2:$L$189,9,FALSE),"-")</f>
        <v>-</v>
      </c>
      <c r="X14" s="209" t="str">
        <f>IFERROR(VLOOKUP(T14,Database!$A$2:$S$189,19,FALSE),"-")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IFERROR(VLOOKUP(Y14,Database!$A$2:$L$189,8,FALSE),"-")</f>
        <v>-</v>
      </c>
      <c r="AA14" s="79" t="str">
        <f>IFERROR(VLOOKUP(Y14,Database!$A$2:$L$189,6,FALSE),"-")</f>
        <v>-</v>
      </c>
      <c r="AB14" s="92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35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8" t="str">
        <f>IFERROR(VLOOKUP(E15,Database!$A$2:$L$189,6,FALSE),"-")</f>
        <v>-</v>
      </c>
      <c r="H15" s="93" t="str">
        <f>IFERROR(VLOOKUP(E15,Database!$A$2:$L$189,9,FALSE),"-")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IFERROR(VLOOKUP(J15,Database!$A$2:$L$189,8,FALSE),"-")</f>
        <v>-</v>
      </c>
      <c r="L15" s="78" t="str">
        <f>IFERROR(VLOOKUP(J15,Database!$A$2:$L$189,6,FALSE),"-")</f>
        <v>-</v>
      </c>
      <c r="M15" s="93" t="str">
        <f>IFERROR(VLOOKUP(J15,Database!$A$2:$L$189,9,FALSE),"-")</f>
        <v>-</v>
      </c>
      <c r="N15" s="209" t="str">
        <f>IFERROR(VLOOKUP(J15,Database!$A$2:$S$189,19,FALSE),"-")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IFERROR(VLOOKUP(O15,Database!$A$2:$L$189,8,FALSE),"-")</f>
        <v>-</v>
      </c>
      <c r="Q15" s="78" t="str">
        <f>IFERROR(VLOOKUP(O15,Database!$A$2:$L$189,6,FALSE),"-")</f>
        <v>-</v>
      </c>
      <c r="R15" s="82" t="str">
        <f>IFERROR(VLOOKUP(O15,Database!$A$2:$L$189,9,FALSE),"-")</f>
        <v>-</v>
      </c>
      <c r="S15" s="209" t="str">
        <f>IFERROR(VLOOKUP(O15,Database!$A$2:$S$189,19,FALSE),"-")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IFERROR(VLOOKUP(T15,Database!$A$2:$L$189,8,FALSE),"-")</f>
        <v>-</v>
      </c>
      <c r="V15" s="78" t="str">
        <f>IFERROR(VLOOKUP(T15,Database!$A$2:$L$189,6,FALSE),"-")</f>
        <v>-</v>
      </c>
      <c r="W15" s="82" t="str">
        <f>IFERROR(VLOOKUP(T15,Database!$A$2:$L$189,9,FALSE),"-")</f>
        <v>-</v>
      </c>
      <c r="X15" s="209" t="str">
        <f>IFERROR(VLOOKUP(T15,Database!$A$2:$S$189,19,FALSE),"-")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IFERROR(VLOOKUP(Y15,Database!$A$2:$L$189,8,FALSE),"-")</f>
        <v>-</v>
      </c>
      <c r="AA15" s="79" t="str">
        <f>IFERROR(VLOOKUP(Y15,Database!$A$2:$L$189,6,FALSE),"-")</f>
        <v>-</v>
      </c>
      <c r="AB15" s="92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35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8" t="str">
        <f>IFERROR(VLOOKUP(E16,Database!$A$2:$L$189,6,FALSE),"-")</f>
        <v>-</v>
      </c>
      <c r="H16" s="93" t="str">
        <f>IFERROR(VLOOKUP(E16,Database!$A$2:$L$189,9,FALSE),"-")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IFERROR(VLOOKUP(J16,Database!$A$2:$L$189,8,FALSE),"-")</f>
        <v>-</v>
      </c>
      <c r="L16" s="78" t="str">
        <f>IFERROR(VLOOKUP(J16,Database!$A$2:$L$189,6,FALSE),"-")</f>
        <v>-</v>
      </c>
      <c r="M16" s="93" t="str">
        <f>IFERROR(VLOOKUP(J16,Database!$A$2:$L$189,9,FALSE),"-")</f>
        <v>-</v>
      </c>
      <c r="N16" s="209" t="str">
        <f>IFERROR(VLOOKUP(J16,Database!$A$2:$S$189,19,FALSE),"-")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IFERROR(VLOOKUP(O16,Database!$A$2:$L$189,8,FALSE),"-")</f>
        <v>-</v>
      </c>
      <c r="Q16" s="78" t="str">
        <f>IFERROR(VLOOKUP(O16,Database!$A$2:$L$189,6,FALSE),"-")</f>
        <v>-</v>
      </c>
      <c r="R16" s="82" t="str">
        <f>IFERROR(VLOOKUP(O16,Database!$A$2:$L$189,9,FALSE),"-")</f>
        <v>-</v>
      </c>
      <c r="S16" s="209" t="str">
        <f>IFERROR(VLOOKUP(O16,Database!$A$2:$S$189,19,FALSE),"-")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IFERROR(VLOOKUP(T16,Database!$A$2:$L$189,8,FALSE),"-")</f>
        <v>-</v>
      </c>
      <c r="V16" s="78" t="str">
        <f>IFERROR(VLOOKUP(T16,Database!$A$2:$L$189,6,FALSE),"-")</f>
        <v>-</v>
      </c>
      <c r="W16" s="82" t="str">
        <f>IFERROR(VLOOKUP(T16,Database!$A$2:$L$189,9,FALSE),"-")</f>
        <v>-</v>
      </c>
      <c r="X16" s="209" t="str">
        <f>IFERROR(VLOOKUP(T16,Database!$A$2:$S$189,19,FALSE),"-")</f>
        <v>-</v>
      </c>
      <c r="Y16" s="96">
        <f>IF(AND(D16="Y",booking!T16&lt;&gt;booking!U16,booking!U16&gt;0),booking!U16,"-")</f>
        <v>63</v>
      </c>
      <c r="Z16" s="79" t="str">
        <f>IFERROR(VLOOKUP(Y16,Database!$A$2:$L$189,8,FALSE),"-")</f>
        <v>1500</v>
      </c>
      <c r="AA16" s="79" t="str">
        <f>IFERROR(VLOOKUP(Y16,Database!$A$2:$L$189,6,FALSE),"-")</f>
        <v>S</v>
      </c>
      <c r="AB16" s="92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35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8" t="str">
        <f>IFERROR(VLOOKUP(E17,Database!$A$2:$L$189,6,FALSE),"-")</f>
        <v>-</v>
      </c>
      <c r="H17" s="93" t="str">
        <f>IFERROR(VLOOKUP(E17,Database!$A$2:$L$189,9,FALSE),"-")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IFERROR(VLOOKUP(J17,Database!$A$2:$L$189,8,FALSE),"-")</f>
        <v>-</v>
      </c>
      <c r="L17" s="78" t="str">
        <f>IFERROR(VLOOKUP(J17,Database!$A$2:$L$189,6,FALSE),"-")</f>
        <v>-</v>
      </c>
      <c r="M17" s="93" t="str">
        <f>IFERROR(VLOOKUP(J17,Database!$A$2:$L$189,9,FALSE),"-")</f>
        <v>-</v>
      </c>
      <c r="N17" s="209" t="str">
        <f>IFERROR(VLOOKUP(J17,Database!$A$2:$S$189,19,FALSE),"-")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IFERROR(VLOOKUP(O17,Database!$A$2:$L$189,8,FALSE),"-")</f>
        <v>-</v>
      </c>
      <c r="Q17" s="78" t="str">
        <f>IFERROR(VLOOKUP(O17,Database!$A$2:$L$189,6,FALSE),"-")</f>
        <v>-</v>
      </c>
      <c r="R17" s="82" t="str">
        <f>IFERROR(VLOOKUP(O17,Database!$A$2:$L$189,9,FALSE),"-")</f>
        <v>-</v>
      </c>
      <c r="S17" s="209" t="str">
        <f>IFERROR(VLOOKUP(O17,Database!$A$2:$S$189,19,FALSE),"-")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IFERROR(VLOOKUP(T17,Database!$A$2:$L$189,8,FALSE),"-")</f>
        <v>-</v>
      </c>
      <c r="V17" s="78" t="str">
        <f>IFERROR(VLOOKUP(T17,Database!$A$2:$L$189,6,FALSE),"-")</f>
        <v>-</v>
      </c>
      <c r="W17" s="82" t="str">
        <f>IFERROR(VLOOKUP(T17,Database!$A$2:$L$189,9,FALSE),"-")</f>
        <v>-</v>
      </c>
      <c r="X17" s="209" t="str">
        <f>IFERROR(VLOOKUP(T17,Database!$A$2:$S$189,19,FALSE),"-")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IFERROR(VLOOKUP(Y17,Database!$A$2:$L$189,8,FALSE),"-")</f>
        <v>-</v>
      </c>
      <c r="AA17" s="79" t="str">
        <f>IFERROR(VLOOKUP(Y17,Database!$A$2:$L$189,6,FALSE),"-")</f>
        <v>-</v>
      </c>
      <c r="AB17" s="92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35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8" t="str">
        <f>IFERROR(VLOOKUP(E18,Database!$A$2:$L$189,6,FALSE),"-")</f>
        <v>DK</v>
      </c>
      <c r="H18" s="93" t="str">
        <f>IFERROR(VLOOKUP(E18,Database!$A$2:$L$189,9,FALSE),"-")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IFERROR(VLOOKUP(J18,Database!$A$2:$L$189,8,FALSE),"-")</f>
        <v>-</v>
      </c>
      <c r="L18" s="78" t="str">
        <f>IFERROR(VLOOKUP(J18,Database!$A$2:$L$189,6,FALSE),"-")</f>
        <v>-</v>
      </c>
      <c r="M18" s="93" t="str">
        <f>IFERROR(VLOOKUP(J18,Database!$A$2:$L$189,9,FALSE),"-")</f>
        <v>-</v>
      </c>
      <c r="N18" s="209" t="str">
        <f>IFERROR(VLOOKUP(J18,Database!$A$2:$S$189,19,FALSE),"-")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IFERROR(VLOOKUP(O18,Database!$A$2:$L$189,8,FALSE),"-")</f>
        <v>-</v>
      </c>
      <c r="Q18" s="78" t="str">
        <f>IFERROR(VLOOKUP(O18,Database!$A$2:$L$189,6,FALSE),"-")</f>
        <v>-</v>
      </c>
      <c r="R18" s="82" t="str">
        <f>IFERROR(VLOOKUP(O18,Database!$A$2:$L$189,9,FALSE),"-")</f>
        <v>-</v>
      </c>
      <c r="S18" s="209" t="str">
        <f>IFERROR(VLOOKUP(O18,Database!$A$2:$S$189,19,FALSE),"-")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IFERROR(VLOOKUP(T18,Database!$A$2:$L$189,8,FALSE),"-")</f>
        <v>-</v>
      </c>
      <c r="V18" s="78" t="str">
        <f>IFERROR(VLOOKUP(T18,Database!$A$2:$L$189,6,FALSE),"-")</f>
        <v>-</v>
      </c>
      <c r="W18" s="82" t="str">
        <f>IFERROR(VLOOKUP(T18,Database!$A$2:$L$189,9,FALSE),"-")</f>
        <v>-</v>
      </c>
      <c r="X18" s="209" t="str">
        <f>IFERROR(VLOOKUP(T18,Database!$A$2:$S$189,19,FALSE),"-")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IFERROR(VLOOKUP(Y18,Database!$A$2:$L$189,8,FALSE),"-")</f>
        <v>-</v>
      </c>
      <c r="AA18" s="79" t="str">
        <f>IFERROR(VLOOKUP(Y18,Database!$A$2:$L$189,6,FALSE),"-")</f>
        <v>-</v>
      </c>
      <c r="AB18" s="92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35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8" t="str">
        <f>IFERROR(VLOOKUP(E19,Database!$A$2:$L$189,6,FALSE),"-")</f>
        <v>-</v>
      </c>
      <c r="H19" s="93" t="str">
        <f>IFERROR(VLOOKUP(E19,Database!$A$2:$L$189,9,FALSE),"-")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IFERROR(VLOOKUP(J19,Database!$A$2:$L$189,8,FALSE),"-")</f>
        <v>1630</v>
      </c>
      <c r="L19" s="78" t="str">
        <f>IFERROR(VLOOKUP(J19,Database!$A$2:$L$189,6,FALSE),"-")</f>
        <v>S</v>
      </c>
      <c r="M19" s="93" t="str">
        <f>IFERROR(VLOOKUP(J19,Database!$A$2:$L$189,9,FALSE),"-")</f>
        <v>dobb</v>
      </c>
      <c r="N19" s="209" t="str">
        <f>IFERROR(VLOOKUP(J19,Database!$A$2:$S$189,19,FALSE),"-")</f>
        <v>N</v>
      </c>
      <c r="O19" s="96">
        <f>IF(AND(D19="Y",booking!L19&lt;&gt;booking!M19,booking!M19&gt;0),booking!M19,"-")</f>
        <v>95</v>
      </c>
      <c r="P19" s="78">
        <f>IFERROR(VLOOKUP(O19,Database!$A$2:$L$189,8,FALSE),"-")</f>
        <v>0</v>
      </c>
      <c r="Q19" s="78" t="str">
        <f>IFERROR(VLOOKUP(O19,Database!$A$2:$L$189,6,FALSE),"-")</f>
        <v>S</v>
      </c>
      <c r="R19" s="82">
        <f>IFERROR(VLOOKUP(O19,Database!$A$2:$L$189,9,FALSE),"-")</f>
        <v>0</v>
      </c>
      <c r="S19" s="209" t="str">
        <f>IFERROR(VLOOKUP(O19,Database!$A$2:$S$189,19,FALSE),"-")</f>
        <v>N</v>
      </c>
      <c r="T19" s="97">
        <f>IF(AND(D19="Y",booking!P19&lt;&gt;booking!Q19,booking!Q19&gt;0),booking!Q19,"-")</f>
        <v>97</v>
      </c>
      <c r="U19" s="78">
        <f>IFERROR(VLOOKUP(T19,Database!$A$2:$L$189,8,FALSE),"-")</f>
        <v>1300</v>
      </c>
      <c r="V19" s="78" t="str">
        <f>IFERROR(VLOOKUP(T19,Database!$A$2:$L$189,6,FALSE),"-")</f>
        <v>DK</v>
      </c>
      <c r="W19" s="82" t="str">
        <f>IFERROR(VLOOKUP(T19,Database!$A$2:$L$189,9,FALSE),"-")</f>
        <v>dobb</v>
      </c>
      <c r="X19" s="209" t="str">
        <f>IFERROR(VLOOKUP(T19,Database!$A$2:$S$189,19,FALSE),"-")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IFERROR(VLOOKUP(Y19,Database!$A$2:$L$189,8,FALSE),"-")</f>
        <v>-</v>
      </c>
      <c r="AA19" s="79" t="str">
        <f>IFERROR(VLOOKUP(Y19,Database!$A$2:$L$189,6,FALSE),"-")</f>
        <v>-</v>
      </c>
      <c r="AB19" s="92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35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8" t="str">
        <f>IFERROR(VLOOKUP(E20,Database!$A$2:$L$189,6,FALSE),"-")</f>
        <v>-</v>
      </c>
      <c r="H20" s="93" t="str">
        <f>IFERROR(VLOOKUP(E20,Database!$A$2:$L$189,9,FALSE),"-")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IFERROR(VLOOKUP(J20,Database!$A$2:$L$189,8,FALSE),"-")</f>
        <v>-</v>
      </c>
      <c r="L20" s="78" t="str">
        <f>IFERROR(VLOOKUP(J20,Database!$A$2:$L$189,6,FALSE),"-")</f>
        <v>-</v>
      </c>
      <c r="M20" s="93" t="str">
        <f>IFERROR(VLOOKUP(J20,Database!$A$2:$L$189,9,FALSE),"-")</f>
        <v>-</v>
      </c>
      <c r="N20" s="209" t="str">
        <f>IFERROR(VLOOKUP(J20,Database!$A$2:$S$189,19,FALSE),"-")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IFERROR(VLOOKUP(O20,Database!$A$2:$L$189,8,FALSE),"-")</f>
        <v>-</v>
      </c>
      <c r="Q20" s="78" t="str">
        <f>IFERROR(VLOOKUP(O20,Database!$A$2:$L$189,6,FALSE),"-")</f>
        <v>-</v>
      </c>
      <c r="R20" s="82" t="str">
        <f>IFERROR(VLOOKUP(O20,Database!$A$2:$L$189,9,FALSE),"-")</f>
        <v>-</v>
      </c>
      <c r="S20" s="209" t="str">
        <f>IFERROR(VLOOKUP(O20,Database!$A$2:$S$189,19,FALSE),"-")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IFERROR(VLOOKUP(T20,Database!$A$2:$L$189,8,FALSE),"-")</f>
        <v>-</v>
      </c>
      <c r="V20" s="78" t="str">
        <f>IFERROR(VLOOKUP(T20,Database!$A$2:$L$189,6,FALSE),"-")</f>
        <v>-</v>
      </c>
      <c r="W20" s="82" t="str">
        <f>IFERROR(VLOOKUP(T20,Database!$A$2:$L$189,9,FALSE),"-")</f>
        <v>-</v>
      </c>
      <c r="X20" s="209" t="str">
        <f>IFERROR(VLOOKUP(T20,Database!$A$2:$S$189,19,FALSE),"-")</f>
        <v>-</v>
      </c>
      <c r="Y20" s="96">
        <f>IF(AND(D20="Y",booking!T20&lt;&gt;booking!U20,booking!U20&gt;0),booking!U20,"-")</f>
        <v>91</v>
      </c>
      <c r="Z20" s="79">
        <f>IFERROR(VLOOKUP(Y20,Database!$A$2:$L$189,8,FALSE),"-")</f>
        <v>0</v>
      </c>
      <c r="AA20" s="79" t="str">
        <f>IFERROR(VLOOKUP(Y20,Database!$A$2:$L$189,6,FALSE),"-")</f>
        <v>DK</v>
      </c>
      <c r="AB20" s="92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35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IFERROR(VLOOKUP(E21,Database!$A$2:$L$189,8,FALSE),"-")</f>
        <v>0</v>
      </c>
      <c r="G21" s="78" t="str">
        <f>IFERROR(VLOOKUP(E21,Database!$A$2:$L$189,6,FALSE),"-")</f>
        <v>D</v>
      </c>
      <c r="H21" s="93">
        <f>IFERROR(VLOOKUP(E21,Database!$A$2:$L$189,9,FALSE),"-")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IFERROR(VLOOKUP(J21,Database!$A$2:$L$189,8,FALSE),"-")</f>
        <v>-</v>
      </c>
      <c r="L21" s="78" t="str">
        <f>IFERROR(VLOOKUP(J21,Database!$A$2:$L$189,6,FALSE),"-")</f>
        <v>-</v>
      </c>
      <c r="M21" s="93" t="str">
        <f>IFERROR(VLOOKUP(J21,Database!$A$2:$L$189,9,FALSE),"-")</f>
        <v>-</v>
      </c>
      <c r="N21" s="209" t="str">
        <f>IFERROR(VLOOKUP(J21,Database!$A$2:$S$189,19,FALSE),"-")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IFERROR(VLOOKUP(O21,Database!$A$2:$L$189,8,FALSE),"-")</f>
        <v>-</v>
      </c>
      <c r="Q21" s="78" t="str">
        <f>IFERROR(VLOOKUP(O21,Database!$A$2:$L$189,6,FALSE),"-")</f>
        <v>-</v>
      </c>
      <c r="R21" s="82" t="str">
        <f>IFERROR(VLOOKUP(O21,Database!$A$2:$L$189,9,FALSE),"-")</f>
        <v>-</v>
      </c>
      <c r="S21" s="209" t="str">
        <f>IFERROR(VLOOKUP(O21,Database!$A$2:$S$189,19,FALSE),"-")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IFERROR(VLOOKUP(T21,Database!$A$2:$L$189,8,FALSE),"-")</f>
        <v>-</v>
      </c>
      <c r="V21" s="78" t="str">
        <f>IFERROR(VLOOKUP(T21,Database!$A$2:$L$189,6,FALSE),"-")</f>
        <v>-</v>
      </c>
      <c r="W21" s="82" t="str">
        <f>IFERROR(VLOOKUP(T21,Database!$A$2:$L$189,9,FALSE),"-")</f>
        <v>-</v>
      </c>
      <c r="X21" s="209" t="str">
        <f>IFERROR(VLOOKUP(T21,Database!$A$2:$S$189,19,FALSE),"-")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IFERROR(VLOOKUP(Y21,Database!$A$2:$L$189,8,FALSE),"-")</f>
        <v>-</v>
      </c>
      <c r="AA21" s="79" t="str">
        <f>IFERROR(VLOOKUP(Y21,Database!$A$2:$L$189,6,FALSE),"-")</f>
        <v>-</v>
      </c>
      <c r="AB21" s="92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35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8" t="str">
        <f>IFERROR(VLOOKUP(E22,Database!$A$2:$L$189,6,FALSE),"-")</f>
        <v>-</v>
      </c>
      <c r="H22" s="93" t="str">
        <f>IFERROR(VLOOKUP(E22,Database!$A$2:$L$189,9,FALSE),"-")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IFERROR(VLOOKUP(J22,Database!$A$2:$L$189,8,FALSE),"-")</f>
        <v>0</v>
      </c>
      <c r="L22" s="78" t="str">
        <f>IFERROR(VLOOKUP(J22,Database!$A$2:$L$189,6,FALSE),"-")</f>
        <v>DK</v>
      </c>
      <c r="M22" s="93">
        <f>IFERROR(VLOOKUP(J22,Database!$A$2:$L$189,9,FALSE),"-")</f>
        <v>0</v>
      </c>
      <c r="N22" s="209" t="str">
        <f>IFERROR(VLOOKUP(J22,Database!$A$2:$S$189,19,FALSE),"-")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IFERROR(VLOOKUP(O22,Database!$A$2:$L$189,8,FALSE),"-")</f>
        <v>-</v>
      </c>
      <c r="Q22" s="78" t="str">
        <f>IFERROR(VLOOKUP(O22,Database!$A$2:$L$189,6,FALSE),"-")</f>
        <v>-</v>
      </c>
      <c r="R22" s="82" t="str">
        <f>IFERROR(VLOOKUP(O22,Database!$A$2:$L$189,9,FALSE),"-")</f>
        <v>-</v>
      </c>
      <c r="S22" s="209" t="str">
        <f>IFERROR(VLOOKUP(O22,Database!$A$2:$S$189,19,FALSE),"-")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IFERROR(VLOOKUP(T22,Database!$A$2:$L$189,8,FALSE),"-")</f>
        <v>1700</v>
      </c>
      <c r="V22" s="78" t="str">
        <f>IFERROR(VLOOKUP(T22,Database!$A$2:$L$189,6,FALSE),"-")</f>
        <v>D</v>
      </c>
      <c r="W22" s="82" t="str">
        <f>IFERROR(VLOOKUP(T22,Database!$A$2:$L$189,9,FALSE),"-")</f>
        <v>dobb</v>
      </c>
      <c r="X22" s="209" t="str">
        <f>IFERROR(VLOOKUP(T22,Database!$A$2:$S$189,19,FALSE),"-")</f>
        <v>N</v>
      </c>
      <c r="Y22" s="96">
        <f>IF(AND(D22="Y",booking!T22&lt;&gt;booking!U22,booking!U22&gt;0),booking!U22,"-")</f>
        <v>9</v>
      </c>
      <c r="Z22" s="79">
        <f>IFERROR(VLOOKUP(Y22,Database!$A$2:$L$189,8,FALSE),"-")</f>
        <v>1430</v>
      </c>
      <c r="AA22" s="79" t="str">
        <f>IFERROR(VLOOKUP(Y22,Database!$A$2:$L$189,6,FALSE),"-")</f>
        <v>DK</v>
      </c>
      <c r="AB22" s="92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35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8" t="str">
        <f>IFERROR(VLOOKUP(E23,Database!$A$2:$L$189,6,FALSE),"-")</f>
        <v>-</v>
      </c>
      <c r="H23" s="93" t="str">
        <f>IFERROR(VLOOKUP(E23,Database!$A$2:$L$189,9,FALSE),"-")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IFERROR(VLOOKUP(J23,Database!$A$2:$L$189,8,FALSE),"-")</f>
        <v>-</v>
      </c>
      <c r="L23" s="78" t="str">
        <f>IFERROR(VLOOKUP(J23,Database!$A$2:$L$189,6,FALSE),"-")</f>
        <v>-</v>
      </c>
      <c r="M23" s="93" t="str">
        <f>IFERROR(VLOOKUP(J23,Database!$A$2:$L$189,9,FALSE),"-")</f>
        <v>-</v>
      </c>
      <c r="N23" s="209" t="str">
        <f>IFERROR(VLOOKUP(J23,Database!$A$2:$S$189,19,FALSE),"-")</f>
        <v>-</v>
      </c>
      <c r="O23" s="96">
        <f>IF(AND(D23="Y",booking!L23&lt;&gt;booking!M23,booking!M23&gt;0),booking!M23,"-")</f>
        <v>107</v>
      </c>
      <c r="P23" s="78">
        <f>IFERROR(VLOOKUP(O23,Database!$A$2:$L$189,8,FALSE),"-")</f>
        <v>1500</v>
      </c>
      <c r="Q23" s="78" t="str">
        <f>IFERROR(VLOOKUP(O23,Database!$A$2:$L$189,6,FALSE),"-")</f>
        <v>USA</v>
      </c>
      <c r="R23" s="82">
        <f>IFERROR(VLOOKUP(O23,Database!$A$2:$L$189,9,FALSE),"-")</f>
        <v>0</v>
      </c>
      <c r="S23" s="209" t="str">
        <f>IFERROR(VLOOKUP(O23,Database!$A$2:$S$189,19,FALSE),"-")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IFERROR(VLOOKUP(T23,Database!$A$2:$L$189,8,FALSE),"-")</f>
        <v>-</v>
      </c>
      <c r="V23" s="78" t="str">
        <f>IFERROR(VLOOKUP(T23,Database!$A$2:$L$189,6,FALSE),"-")</f>
        <v>-</v>
      </c>
      <c r="W23" s="82" t="str">
        <f>IFERROR(VLOOKUP(T23,Database!$A$2:$L$189,9,FALSE),"-")</f>
        <v>-</v>
      </c>
      <c r="X23" s="209" t="str">
        <f>IFERROR(VLOOKUP(T23,Database!$A$2:$S$189,19,FALSE),"-")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IFERROR(VLOOKUP(Y23,Database!$A$2:$L$189,8,FALSE),"-")</f>
        <v>-</v>
      </c>
      <c r="AA23" s="79" t="str">
        <f>IFERROR(VLOOKUP(Y23,Database!$A$2:$L$189,6,FALSE),"-")</f>
        <v>-</v>
      </c>
      <c r="AB23" s="92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35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8" t="str">
        <f>IFERROR(VLOOKUP(E24,Database!$A$2:$L$189,6,FALSE),"-")</f>
        <v>-</v>
      </c>
      <c r="H24" s="93" t="str">
        <f>IFERROR(VLOOKUP(E24,Database!$A$2:$L$189,9,FALSE),"-")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IFERROR(VLOOKUP(J24,Database!$A$2:$L$189,8,FALSE),"-")</f>
        <v>-</v>
      </c>
      <c r="L24" s="78" t="str">
        <f>IFERROR(VLOOKUP(J24,Database!$A$2:$L$189,6,FALSE),"-")</f>
        <v>-</v>
      </c>
      <c r="M24" s="93" t="str">
        <f>IFERROR(VLOOKUP(J24,Database!$A$2:$L$189,9,FALSE),"-")</f>
        <v>-</v>
      </c>
      <c r="N24" s="209" t="str">
        <f>IFERROR(VLOOKUP(J24,Database!$A$2:$S$189,19,FALSE),"-")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IFERROR(VLOOKUP(O24,Database!$A$2:$L$189,8,FALSE),"-")</f>
        <v>-</v>
      </c>
      <c r="Q24" s="78" t="str">
        <f>IFERROR(VLOOKUP(O24,Database!$A$2:$L$189,6,FALSE),"-")</f>
        <v>-</v>
      </c>
      <c r="R24" s="82" t="str">
        <f>IFERROR(VLOOKUP(O24,Database!$A$2:$L$189,9,FALSE),"-")</f>
        <v>-</v>
      </c>
      <c r="S24" s="209" t="str">
        <f>IFERROR(VLOOKUP(O24,Database!$A$2:$S$189,19,FALSE),"-")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IFERROR(VLOOKUP(T24,Database!$A$2:$L$189,8,FALSE),"-")</f>
        <v>-</v>
      </c>
      <c r="V24" s="78" t="str">
        <f>IFERROR(VLOOKUP(T24,Database!$A$2:$L$189,6,FALSE),"-")</f>
        <v>-</v>
      </c>
      <c r="W24" s="82" t="str">
        <f>IFERROR(VLOOKUP(T24,Database!$A$2:$L$189,9,FALSE),"-")</f>
        <v>-</v>
      </c>
      <c r="X24" s="209" t="str">
        <f>IFERROR(VLOOKUP(T24,Database!$A$2:$S$189,19,FALSE),"-")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IFERROR(VLOOKUP(Y24,Database!$A$2:$L$189,8,FALSE),"-")</f>
        <v>-</v>
      </c>
      <c r="AA24" s="79" t="str">
        <f>IFERROR(VLOOKUP(Y24,Database!$A$2:$L$189,6,FALSE),"-")</f>
        <v>-</v>
      </c>
      <c r="AB24" s="92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35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8" t="str">
        <f>IFERROR(VLOOKUP(E25,Database!$A$2:$L$189,6,FALSE),"-")</f>
        <v>-</v>
      </c>
      <c r="H25" s="93" t="str">
        <f>IFERROR(VLOOKUP(E25,Database!$A$2:$L$189,9,FALSE),"-")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IFERROR(VLOOKUP(J25,Database!$A$2:$L$189,8,FALSE),"-")</f>
        <v>-</v>
      </c>
      <c r="L25" s="78" t="str">
        <f>IFERROR(VLOOKUP(J25,Database!$A$2:$L$189,6,FALSE),"-")</f>
        <v>-</v>
      </c>
      <c r="M25" s="93" t="str">
        <f>IFERROR(VLOOKUP(J25,Database!$A$2:$L$189,9,FALSE),"-")</f>
        <v>-</v>
      </c>
      <c r="N25" s="209" t="str">
        <f>IFERROR(VLOOKUP(J25,Database!$A$2:$S$189,19,FALSE),"-")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IFERROR(VLOOKUP(O25,Database!$A$2:$L$189,8,FALSE),"-")</f>
        <v>-</v>
      </c>
      <c r="Q25" s="78" t="str">
        <f>IFERROR(VLOOKUP(O25,Database!$A$2:$L$189,6,FALSE),"-")</f>
        <v>-</v>
      </c>
      <c r="R25" s="82" t="str">
        <f>IFERROR(VLOOKUP(O25,Database!$A$2:$L$189,9,FALSE),"-")</f>
        <v>-</v>
      </c>
      <c r="S25" s="209" t="str">
        <f>IFERROR(VLOOKUP(O25,Database!$A$2:$S$189,19,FALSE),"-")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IFERROR(VLOOKUP(T25,Database!$A$2:$L$189,8,FALSE),"-")</f>
        <v>-</v>
      </c>
      <c r="V25" s="78" t="str">
        <f>IFERROR(VLOOKUP(T25,Database!$A$2:$L$189,6,FALSE),"-")</f>
        <v>-</v>
      </c>
      <c r="W25" s="82" t="str">
        <f>IFERROR(VLOOKUP(T25,Database!$A$2:$L$189,9,FALSE),"-")</f>
        <v>-</v>
      </c>
      <c r="X25" s="209" t="str">
        <f>IFERROR(VLOOKUP(T25,Database!$A$2:$S$189,19,FALSE),"-")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IFERROR(VLOOKUP(Y25,Database!$A$2:$L$189,8,FALSE),"-")</f>
        <v>-</v>
      </c>
      <c r="AA25" s="79" t="str">
        <f>IFERROR(VLOOKUP(Y25,Database!$A$2:$L$189,6,FALSE),"-")</f>
        <v>-</v>
      </c>
      <c r="AB25" s="92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35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IFERROR(VLOOKUP(E26,Database!$A$2:$L$189,8,FALSE),"-")</f>
        <v>0</v>
      </c>
      <c r="G26" s="78" t="str">
        <f>IFERROR(VLOOKUP(E26,Database!$A$2:$L$189,6,FALSE),"-")</f>
        <v>DK</v>
      </c>
      <c r="H26" s="93">
        <f>IFERROR(VLOOKUP(E26,Database!$A$2:$L$189,9,FALSE),"-")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IFERROR(VLOOKUP(J26,Database!$A$2:$L$189,8,FALSE),"-")</f>
        <v>0</v>
      </c>
      <c r="L26" s="78" t="str">
        <f>IFERROR(VLOOKUP(J26,Database!$A$2:$L$189,6,FALSE),"-")</f>
        <v>DK</v>
      </c>
      <c r="M26" s="93">
        <f>IFERROR(VLOOKUP(J26,Database!$A$2:$L$189,9,FALSE),"-")</f>
        <v>0</v>
      </c>
      <c r="N26" s="209" t="str">
        <f>IFERROR(VLOOKUP(J26,Database!$A$2:$S$189,19,FALSE),"-")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IFERROR(VLOOKUP(O26,Database!$A$2:$L$189,8,FALSE),"-")</f>
        <v>-</v>
      </c>
      <c r="Q26" s="78" t="str">
        <f>IFERROR(VLOOKUP(O26,Database!$A$2:$L$189,6,FALSE),"-")</f>
        <v>-</v>
      </c>
      <c r="R26" s="82" t="str">
        <f>IFERROR(VLOOKUP(O26,Database!$A$2:$L$189,9,FALSE),"-")</f>
        <v>-</v>
      </c>
      <c r="S26" s="209" t="str">
        <f>IFERROR(VLOOKUP(O26,Database!$A$2:$S$189,19,FALSE),"-")</f>
        <v>-</v>
      </c>
      <c r="T26" s="97">
        <f>IF(AND(D26="Y",booking!P26&lt;&gt;booking!Q26,booking!Q26&gt;0),booking!Q26,"-")</f>
        <v>20</v>
      </c>
      <c r="U26" s="78">
        <f>IFERROR(VLOOKUP(T26,Database!$A$2:$L$189,8,FALSE),"-")</f>
        <v>0</v>
      </c>
      <c r="V26" s="78" t="str">
        <f>IFERROR(VLOOKUP(T26,Database!$A$2:$L$189,6,FALSE),"-")</f>
        <v>DK</v>
      </c>
      <c r="W26" s="82">
        <f>IFERROR(VLOOKUP(T26,Database!$A$2:$L$189,9,FALSE),"-")</f>
        <v>0</v>
      </c>
      <c r="X26" s="209" t="str">
        <f>IFERROR(VLOOKUP(T26,Database!$A$2:$S$189,19,FALSE),"-")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IFERROR(VLOOKUP(Y26,Database!$A$2:$L$189,8,FALSE),"-")</f>
        <v>-</v>
      </c>
      <c r="AA26" s="79" t="str">
        <f>IFERROR(VLOOKUP(Y26,Database!$A$2:$L$189,6,FALSE),"-")</f>
        <v>-</v>
      </c>
      <c r="AB26" s="92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35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8" t="str">
        <f>IFERROR(VLOOKUP(E27,Database!$A$2:$L$189,6,FALSE),"-")</f>
        <v>-</v>
      </c>
      <c r="H27" s="93" t="str">
        <f>IFERROR(VLOOKUP(E27,Database!$A$2:$L$189,9,FALSE),"-")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IFERROR(VLOOKUP(J27,Database!$A$2:$L$189,8,FALSE),"-")</f>
        <v>-</v>
      </c>
      <c r="L27" s="78" t="str">
        <f>IFERROR(VLOOKUP(J27,Database!$A$2:$L$189,6,FALSE),"-")</f>
        <v>-</v>
      </c>
      <c r="M27" s="93" t="str">
        <f>IFERROR(VLOOKUP(J27,Database!$A$2:$L$189,9,FALSE),"-")</f>
        <v>-</v>
      </c>
      <c r="N27" s="209" t="str">
        <f>IFERROR(VLOOKUP(J27,Database!$A$2:$S$189,19,FALSE),"-")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IFERROR(VLOOKUP(O27,Database!$A$2:$L$189,8,FALSE),"-")</f>
        <v>-</v>
      </c>
      <c r="Q27" s="78" t="str">
        <f>IFERROR(VLOOKUP(O27,Database!$A$2:$L$189,6,FALSE),"-")</f>
        <v>-</v>
      </c>
      <c r="R27" s="82" t="str">
        <f>IFERROR(VLOOKUP(O27,Database!$A$2:$L$189,9,FALSE),"-")</f>
        <v>-</v>
      </c>
      <c r="S27" s="209" t="str">
        <f>IFERROR(VLOOKUP(O27,Database!$A$2:$S$189,19,FALSE),"-")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IFERROR(VLOOKUP(T27,Database!$A$2:$L$189,8,FALSE),"-")</f>
        <v>-</v>
      </c>
      <c r="V27" s="78" t="str">
        <f>IFERROR(VLOOKUP(T27,Database!$A$2:$L$189,6,FALSE),"-")</f>
        <v>-</v>
      </c>
      <c r="W27" s="82" t="str">
        <f>IFERROR(VLOOKUP(T27,Database!$A$2:$L$189,9,FALSE),"-")</f>
        <v>-</v>
      </c>
      <c r="X27" s="209" t="str">
        <f>IFERROR(VLOOKUP(T27,Database!$A$2:$S$189,19,FALSE),"-")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IFERROR(VLOOKUP(Y27,Database!$A$2:$L$189,8,FALSE),"-")</f>
        <v>-</v>
      </c>
      <c r="AA27" s="79" t="str">
        <f>IFERROR(VLOOKUP(Y27,Database!$A$2:$L$189,6,FALSE),"-")</f>
        <v>-</v>
      </c>
      <c r="AB27" s="92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35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8" t="str">
        <f>IFERROR(VLOOKUP(E28,Database!$A$2:$L$189,6,FALSE),"-")</f>
        <v>-</v>
      </c>
      <c r="H28" s="93" t="str">
        <f>IFERROR(VLOOKUP(E28,Database!$A$2:$L$189,9,FALSE),"-")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IFERROR(VLOOKUP(J28,Database!$A$2:$L$189,8,FALSE),"-")</f>
        <v>-</v>
      </c>
      <c r="L28" s="78" t="str">
        <f>IFERROR(VLOOKUP(J28,Database!$A$2:$L$189,6,FALSE),"-")</f>
        <v>-</v>
      </c>
      <c r="M28" s="93" t="str">
        <f>IFERROR(VLOOKUP(J28,Database!$A$2:$L$189,9,FALSE),"-")</f>
        <v>-</v>
      </c>
      <c r="N28" s="209" t="str">
        <f>IFERROR(VLOOKUP(J28,Database!$A$2:$S$189,19,FALSE),"-")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IFERROR(VLOOKUP(O28,Database!$A$2:$L$189,8,FALSE),"-")</f>
        <v>-</v>
      </c>
      <c r="Q28" s="78" t="str">
        <f>IFERROR(VLOOKUP(O28,Database!$A$2:$L$189,6,FALSE),"-")</f>
        <v>-</v>
      </c>
      <c r="R28" s="82" t="str">
        <f>IFERROR(VLOOKUP(O28,Database!$A$2:$L$189,9,FALSE),"-")</f>
        <v>-</v>
      </c>
      <c r="S28" s="209" t="str">
        <f>IFERROR(VLOOKUP(O28,Database!$A$2:$S$189,19,FALSE),"-")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IFERROR(VLOOKUP(T28,Database!$A$2:$L$189,8,FALSE),"-")</f>
        <v>-</v>
      </c>
      <c r="V28" s="78" t="str">
        <f>IFERROR(VLOOKUP(T28,Database!$A$2:$L$189,6,FALSE),"-")</f>
        <v>-</v>
      </c>
      <c r="W28" s="82" t="str">
        <f>IFERROR(VLOOKUP(T28,Database!$A$2:$L$189,9,FALSE),"-")</f>
        <v>-</v>
      </c>
      <c r="X28" s="209" t="str">
        <f>IFERROR(VLOOKUP(T28,Database!$A$2:$S$189,19,FALSE),"-")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IFERROR(VLOOKUP(Y28,Database!$A$2:$L$189,8,FALSE),"-")</f>
        <v>-</v>
      </c>
      <c r="AA28" s="79" t="str">
        <f>IFERROR(VLOOKUP(Y28,Database!$A$2:$L$189,6,FALSE),"-")</f>
        <v>-</v>
      </c>
      <c r="AB28" s="92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35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8" t="str">
        <f>IFERROR(VLOOKUP(E29,Database!$A$2:$L$189,6,FALSE),"-")</f>
        <v>-</v>
      </c>
      <c r="H29" s="93" t="str">
        <f>IFERROR(VLOOKUP(E29,Database!$A$2:$L$189,9,FALSE),"-")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IFERROR(VLOOKUP(J29,Database!$A$2:$L$189,8,FALSE),"-")</f>
        <v>-</v>
      </c>
      <c r="L29" s="78" t="str">
        <f>IFERROR(VLOOKUP(J29,Database!$A$2:$L$189,6,FALSE),"-")</f>
        <v>-</v>
      </c>
      <c r="M29" s="93" t="str">
        <f>IFERROR(VLOOKUP(J29,Database!$A$2:$L$189,9,FALSE),"-")</f>
        <v>-</v>
      </c>
      <c r="N29" s="209" t="str">
        <f>IFERROR(VLOOKUP(J29,Database!$A$2:$S$189,19,FALSE),"-")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IFERROR(VLOOKUP(O29,Database!$A$2:$L$189,8,FALSE),"-")</f>
        <v>-</v>
      </c>
      <c r="Q29" s="78" t="str">
        <f>IFERROR(VLOOKUP(O29,Database!$A$2:$L$189,6,FALSE),"-")</f>
        <v>-</v>
      </c>
      <c r="R29" s="82" t="str">
        <f>IFERROR(VLOOKUP(O29,Database!$A$2:$L$189,9,FALSE),"-")</f>
        <v>-</v>
      </c>
      <c r="S29" s="209" t="str">
        <f>IFERROR(VLOOKUP(O29,Database!$A$2:$S$189,19,FALSE),"-")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IFERROR(VLOOKUP(T29,Database!$A$2:$L$189,8,FALSE),"-")</f>
        <v>-</v>
      </c>
      <c r="V29" s="78" t="str">
        <f>IFERROR(VLOOKUP(T29,Database!$A$2:$L$189,6,FALSE),"-")</f>
        <v>-</v>
      </c>
      <c r="W29" s="82" t="str">
        <f>IFERROR(VLOOKUP(T29,Database!$A$2:$L$189,9,FALSE),"-")</f>
        <v>-</v>
      </c>
      <c r="X29" s="209" t="str">
        <f>IFERROR(VLOOKUP(T29,Database!$A$2:$S$189,19,FALSE),"-")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IFERROR(VLOOKUP(Y29,Database!$A$2:$L$189,8,FALSE),"-")</f>
        <v>-</v>
      </c>
      <c r="AA29" s="79" t="str">
        <f>IFERROR(VLOOKUP(Y29,Database!$A$2:$L$189,6,FALSE),"-")</f>
        <v>-</v>
      </c>
      <c r="AB29" s="92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35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8" t="str">
        <f>IFERROR(VLOOKUP(E30,Database!$A$2:$L$189,6,FALSE),"-")</f>
        <v>-</v>
      </c>
      <c r="H30" s="93" t="str">
        <f>IFERROR(VLOOKUP(E30,Database!$A$2:$L$189,9,FALSE),"-")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IFERROR(VLOOKUP(J30,Database!$A$2:$L$189,8,FALSE),"-")</f>
        <v>-</v>
      </c>
      <c r="L30" s="78" t="str">
        <f>IFERROR(VLOOKUP(J30,Database!$A$2:$L$189,6,FALSE),"-")</f>
        <v>-</v>
      </c>
      <c r="M30" s="93" t="str">
        <f>IFERROR(VLOOKUP(J30,Database!$A$2:$L$189,9,FALSE),"-")</f>
        <v>-</v>
      </c>
      <c r="N30" s="209" t="str">
        <f>IFERROR(VLOOKUP(J30,Database!$A$2:$S$189,19,FALSE),"-")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IFERROR(VLOOKUP(O30,Database!$A$2:$L$189,8,FALSE),"-")</f>
        <v>-</v>
      </c>
      <c r="Q30" s="78" t="str">
        <f>IFERROR(VLOOKUP(O30,Database!$A$2:$L$189,6,FALSE),"-")</f>
        <v>-</v>
      </c>
      <c r="R30" s="82" t="str">
        <f>IFERROR(VLOOKUP(O30,Database!$A$2:$L$189,9,FALSE),"-")</f>
        <v>-</v>
      </c>
      <c r="S30" s="209" t="str">
        <f>IFERROR(VLOOKUP(O30,Database!$A$2:$S$189,19,FALSE),"-")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IFERROR(VLOOKUP(T30,Database!$A$2:$L$189,8,FALSE),"-")</f>
        <v>-</v>
      </c>
      <c r="V30" s="78" t="str">
        <f>IFERROR(VLOOKUP(T30,Database!$A$2:$L$189,6,FALSE),"-")</f>
        <v>-</v>
      </c>
      <c r="W30" s="82" t="str">
        <f>IFERROR(VLOOKUP(T30,Database!$A$2:$L$189,9,FALSE),"-")</f>
        <v>-</v>
      </c>
      <c r="X30" s="209" t="str">
        <f>IFERROR(VLOOKUP(T30,Database!$A$2:$S$189,19,FALSE),"-")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IFERROR(VLOOKUP(Y30,Database!$A$2:$L$189,8,FALSE),"-")</f>
        <v>-</v>
      </c>
      <c r="AA30" s="79" t="str">
        <f>IFERROR(VLOOKUP(Y30,Database!$A$2:$L$189,6,FALSE),"-")</f>
        <v>-</v>
      </c>
      <c r="AB30" s="92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35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8" t="str">
        <f>IFERROR(VLOOKUP(E31,Database!$A$2:$L$189,6,FALSE),"-")</f>
        <v>-</v>
      </c>
      <c r="H31" s="93" t="str">
        <f>IFERROR(VLOOKUP(E31,Database!$A$2:$L$189,9,FALSE),"-")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IFERROR(VLOOKUP(J31,Database!$A$2:$L$189,8,FALSE),"-")</f>
        <v>-</v>
      </c>
      <c r="L31" s="78" t="str">
        <f>IFERROR(VLOOKUP(J31,Database!$A$2:$L$189,6,FALSE),"-")</f>
        <v>-</v>
      </c>
      <c r="M31" s="93" t="str">
        <f>IFERROR(VLOOKUP(J31,Database!$A$2:$L$189,9,FALSE),"-")</f>
        <v>-</v>
      </c>
      <c r="N31" s="209" t="str">
        <f>IFERROR(VLOOKUP(J31,Database!$A$2:$S$189,19,FALSE),"-")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IFERROR(VLOOKUP(O31,Database!$A$2:$L$189,8,FALSE),"-")</f>
        <v>-</v>
      </c>
      <c r="Q31" s="78" t="str">
        <f>IFERROR(VLOOKUP(O31,Database!$A$2:$L$189,6,FALSE),"-")</f>
        <v>-</v>
      </c>
      <c r="R31" s="82" t="str">
        <f>IFERROR(VLOOKUP(O31,Database!$A$2:$L$189,9,FALSE),"-")</f>
        <v>-</v>
      </c>
      <c r="S31" s="209" t="str">
        <f>IFERROR(VLOOKUP(O31,Database!$A$2:$S$189,19,FALSE),"-")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IFERROR(VLOOKUP(T31,Database!$A$2:$L$189,8,FALSE),"-")</f>
        <v>-</v>
      </c>
      <c r="V31" s="78" t="str">
        <f>IFERROR(VLOOKUP(T31,Database!$A$2:$L$189,6,FALSE),"-")</f>
        <v>-</v>
      </c>
      <c r="W31" s="82" t="str">
        <f>IFERROR(VLOOKUP(T31,Database!$A$2:$L$189,9,FALSE),"-")</f>
        <v>-</v>
      </c>
      <c r="X31" s="209" t="str">
        <f>IFERROR(VLOOKUP(T31,Database!$A$2:$S$189,19,FALSE),"-")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IFERROR(VLOOKUP(Y31,Database!$A$2:$L$189,8,FALSE),"-")</f>
        <v>-</v>
      </c>
      <c r="AA31" s="79" t="str">
        <f>IFERROR(VLOOKUP(Y31,Database!$A$2:$L$189,6,FALSE),"-")</f>
        <v>-</v>
      </c>
      <c r="AB31" s="92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35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>
        <f>IF(AND(D32="Y",booking!D32&lt;&gt;booking!E32,booking!E32&gt;0),booking!E32,"-")</f>
        <v>128</v>
      </c>
      <c r="F32" s="8">
        <f>IFERROR(VLOOKUP(E32,Database!$A$2:$L$189,8,FALSE),"-")</f>
        <v>1430</v>
      </c>
      <c r="G32" s="78" t="str">
        <f>IFERROR(VLOOKUP(E32,Database!$A$2:$L$189,6,FALSE),"-")</f>
        <v>DK</v>
      </c>
      <c r="H32" s="93" t="str">
        <f>IFERROR(VLOOKUP(E32,Database!$A$2:$L$189,9,FALSE),"-")</f>
        <v>sing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IFERROR(VLOOKUP(J32,Database!$A$2:$L$189,8,FALSE),"-")</f>
        <v>-</v>
      </c>
      <c r="L32" s="78" t="str">
        <f>IFERROR(VLOOKUP(J32,Database!$A$2:$L$189,6,FALSE),"-")</f>
        <v>-</v>
      </c>
      <c r="M32" s="93" t="str">
        <f>IFERROR(VLOOKUP(J32,Database!$A$2:$L$189,9,FALSE),"-")</f>
        <v>-</v>
      </c>
      <c r="N32" s="209" t="str">
        <f>IFERROR(VLOOKUP(J32,Database!$A$2:$S$189,19,FALSE),"-")</f>
        <v>-</v>
      </c>
      <c r="O32" s="96">
        <f>IF(AND(D32="Y",booking!L32&lt;&gt;booking!M32,booking!M32&gt;0),booking!M32,"-")</f>
        <v>5</v>
      </c>
      <c r="P32" s="78">
        <f>IFERROR(VLOOKUP(O32,Database!$A$2:$L$189,8,FALSE),"-")</f>
        <v>1430</v>
      </c>
      <c r="Q32" s="78" t="str">
        <f>IFERROR(VLOOKUP(O32,Database!$A$2:$L$189,6,FALSE),"-")</f>
        <v>DK</v>
      </c>
      <c r="R32" s="82" t="str">
        <f>IFERROR(VLOOKUP(O32,Database!$A$2:$L$189,9,FALSE),"-")</f>
        <v>dobb</v>
      </c>
      <c r="S32" s="209" t="str">
        <f>IFERROR(VLOOKUP(O32,Database!$A$2:$S$189,19,FALSE),"-")</f>
        <v>N</v>
      </c>
      <c r="T32" s="97" t="str">
        <f>IF(AND(D32="Y",booking!P32&lt;&gt;booking!Q32,booking!Q32&gt;0),booking!Q32,"-")</f>
        <v>-</v>
      </c>
      <c r="U32" s="78" t="str">
        <f>IFERROR(VLOOKUP(T32,Database!$A$2:$L$189,8,FALSE),"-")</f>
        <v>-</v>
      </c>
      <c r="V32" s="78" t="str">
        <f>IFERROR(VLOOKUP(T32,Database!$A$2:$L$189,6,FALSE),"-")</f>
        <v>-</v>
      </c>
      <c r="W32" s="82" t="str">
        <f>IFERROR(VLOOKUP(T32,Database!$A$2:$L$189,9,FALSE),"-")</f>
        <v>-</v>
      </c>
      <c r="X32" s="209" t="str">
        <f>IFERROR(VLOOKUP(T32,Database!$A$2:$S$189,19,FALSE),"-")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IFERROR(VLOOKUP(Y32,Database!$A$2:$L$189,8,FALSE),"-")</f>
        <v>-</v>
      </c>
      <c r="AA32" s="79" t="str">
        <f>IFERROR(VLOOKUP(Y32,Database!$A$2:$L$189,6,FALSE),"-")</f>
        <v>-</v>
      </c>
      <c r="AB32" s="92" t="str">
        <f>IFERROR(VLOOKUP(Y32,Database!$A$2:$L$189,9,FALSE),"-")</f>
        <v>-</v>
      </c>
      <c r="AC32" s="8" t="str">
        <f>IFERROR(VLOOKUP(Y32,Database!$A$2:$S$189,19,FALSE),"-")</f>
        <v>-</v>
      </c>
    </row>
    <row r="33" spans="1:29" ht="15" customHeight="1" thickBot="1" x14ac:dyDescent="0.35">
      <c r="A33" s="88" t="str">
        <f>rengoering!A33</f>
        <v>torsdag</v>
      </c>
      <c r="B33" s="84">
        <v>46170</v>
      </c>
      <c r="C33" s="9"/>
      <c r="D33" s="89" t="str">
        <f>IF(booking!AB33&gt;0,"Y","-")</f>
        <v>Y</v>
      </c>
      <c r="E33" s="95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8" t="str">
        <f>IFERROR(VLOOKUP(E33,Database!$A$2:$L$189,6,FALSE),"-")</f>
        <v>-</v>
      </c>
      <c r="H33" s="93" t="str">
        <f>IFERROR(VLOOKUP(E33,Database!$A$2:$L$189,9,FALSE),"-")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IFERROR(VLOOKUP(J33,Database!$A$2:$L$189,8,FALSE),"-")</f>
        <v>-</v>
      </c>
      <c r="L33" s="78" t="str">
        <f>IFERROR(VLOOKUP(J33,Database!$A$2:$L$189,6,FALSE),"-")</f>
        <v>-</v>
      </c>
      <c r="M33" s="93" t="str">
        <f>IFERROR(VLOOKUP(J33,Database!$A$2:$L$189,9,FALSE),"-")</f>
        <v>-</v>
      </c>
      <c r="N33" s="209" t="str">
        <f>IFERROR(VLOOKUP(J33,Database!$A$2:$S$189,19,FALSE),"-")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IFERROR(VLOOKUP(O33,Database!$A$2:$L$189,8,FALSE),"-")</f>
        <v>-</v>
      </c>
      <c r="Q33" s="78" t="str">
        <f>IFERROR(VLOOKUP(O33,Database!$A$2:$L$189,6,FALSE),"-")</f>
        <v>-</v>
      </c>
      <c r="R33" s="82" t="str">
        <f>IFERROR(VLOOKUP(O33,Database!$A$2:$L$189,9,FALSE),"-")</f>
        <v>-</v>
      </c>
      <c r="S33" s="209" t="str">
        <f>IFERROR(VLOOKUP(O33,Database!$A$2:$S$189,19,FALSE),"-")</f>
        <v>-</v>
      </c>
      <c r="T33" s="97">
        <f>IF(AND(D33="Y",booking!P33&lt;&gt;booking!Q33,booking!Q33&gt;0),booking!Q33,"-")</f>
        <v>136</v>
      </c>
      <c r="U33" s="78">
        <f>IFERROR(VLOOKUP(T33,Database!$A$2:$L$189,8,FALSE),"-")</f>
        <v>0</v>
      </c>
      <c r="V33" s="78" t="str">
        <f>IFERROR(VLOOKUP(T33,Database!$A$2:$L$189,6,FALSE),"-")</f>
        <v>DK</v>
      </c>
      <c r="W33" s="82" t="str">
        <f>IFERROR(VLOOKUP(T33,Database!$A$2:$L$189,9,FALSE),"-")</f>
        <v>dobb</v>
      </c>
      <c r="X33" s="209" t="str">
        <f>IFERROR(VLOOKUP(T33,Database!$A$2:$S$189,19,FALSE),"-")</f>
        <v>Y</v>
      </c>
      <c r="Y33" s="96" t="str">
        <f>IF(AND(D33="Y",booking!T33&lt;&gt;booking!U33,booking!U33&gt;0),booking!U33,"-")</f>
        <v>-</v>
      </c>
      <c r="Z33" s="79" t="str">
        <f>IFERROR(VLOOKUP(Y33,Database!$A$2:$L$189,8,FALSE),"-")</f>
        <v>-</v>
      </c>
      <c r="AA33" s="79" t="str">
        <f>IFERROR(VLOOKUP(Y33,Database!$A$2:$L$189,6,FALSE),"-")</f>
        <v>-</v>
      </c>
      <c r="AB33" s="92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35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8" t="str">
        <f>IFERROR(VLOOKUP(E34,Database!$A$2:$L$189,6,FALSE),"-")</f>
        <v>-</v>
      </c>
      <c r="H34" s="93" t="str">
        <f>IFERROR(VLOOKUP(E34,Database!$A$2:$L$189,9,FALSE),"-")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IFERROR(VLOOKUP(J34,Database!$A$2:$L$189,8,FALSE),"-")</f>
        <v>1400</v>
      </c>
      <c r="L34" s="78" t="str">
        <f>IFERROR(VLOOKUP(J34,Database!$A$2:$L$189,6,FALSE),"-")</f>
        <v>DK</v>
      </c>
      <c r="M34" s="93" t="str">
        <f>IFERROR(VLOOKUP(J34,Database!$A$2:$L$189,9,FALSE),"-")</f>
        <v>dobb</v>
      </c>
      <c r="N34" s="209" t="str">
        <f>IFERROR(VLOOKUP(J34,Database!$A$2:$S$189,19,FALSE),"-")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IFERROR(VLOOKUP(O34,Database!$A$2:$L$189,8,FALSE),"-")</f>
        <v>-</v>
      </c>
      <c r="Q34" s="78" t="str">
        <f>IFERROR(VLOOKUP(O34,Database!$A$2:$L$189,6,FALSE),"-")</f>
        <v>-</v>
      </c>
      <c r="R34" s="82" t="str">
        <f>IFERROR(VLOOKUP(O34,Database!$A$2:$L$189,9,FALSE),"-")</f>
        <v>-</v>
      </c>
      <c r="S34" s="209" t="str">
        <f>IFERROR(VLOOKUP(O34,Database!$A$2:$S$189,19,FALSE),"-")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IFERROR(VLOOKUP(T34,Database!$A$2:$L$189,8,FALSE),"-")</f>
        <v>-</v>
      </c>
      <c r="V34" s="78" t="str">
        <f>IFERROR(VLOOKUP(T34,Database!$A$2:$L$189,6,FALSE),"-")</f>
        <v>-</v>
      </c>
      <c r="W34" s="82" t="str">
        <f>IFERROR(VLOOKUP(T34,Database!$A$2:$L$189,9,FALSE),"-")</f>
        <v>-</v>
      </c>
      <c r="X34" s="209" t="str">
        <f>IFERROR(VLOOKUP(T34,Database!$A$2:$S$189,19,FALSE),"-")</f>
        <v>-</v>
      </c>
      <c r="Y34" s="96">
        <f>IF(AND(D34="Y",booking!T34&lt;&gt;booking!U34,booking!U34&gt;0),booking!U34,"-")</f>
        <v>99</v>
      </c>
      <c r="Z34" s="79">
        <f>IFERROR(VLOOKUP(Y34,Database!$A$2:$L$189,8,FALSE),"-")</f>
        <v>0</v>
      </c>
      <c r="AA34" s="79" t="str">
        <f>IFERROR(VLOOKUP(Y34,Database!$A$2:$L$189,6,FALSE),"-")</f>
        <v>DK</v>
      </c>
      <c r="AB34" s="92">
        <f>IFERROR(VLOOKUP(Y34,Database!$A$2:$L$189,9,FALSE),"-")</f>
        <v>0</v>
      </c>
      <c r="AC34" s="8" t="str">
        <f>IFERROR(VLOOKUP(Y34,Database!$A$2:$S$189,19,FALSE),"-")</f>
        <v>Y</v>
      </c>
    </row>
    <row r="35" spans="1:29" ht="15" customHeight="1" thickBot="1" x14ac:dyDescent="0.35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8" t="str">
        <f>IFERROR(VLOOKUP(E35,Database!$A$2:$L$189,6,FALSE),"-")</f>
        <v>-</v>
      </c>
      <c r="H35" s="93" t="str">
        <f>IFERROR(VLOOKUP(E35,Database!$A$2:$L$189,9,FALSE),"-")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IFERROR(VLOOKUP(J35,Database!$A$2:$L$189,8,FALSE),"-")</f>
        <v>-</v>
      </c>
      <c r="L35" s="78" t="str">
        <f>IFERROR(VLOOKUP(J35,Database!$A$2:$L$189,6,FALSE),"-")</f>
        <v>-</v>
      </c>
      <c r="M35" s="93" t="str">
        <f>IFERROR(VLOOKUP(J35,Database!$A$2:$L$189,9,FALSE),"-")</f>
        <v>-</v>
      </c>
      <c r="N35" s="209" t="str">
        <f>IFERROR(VLOOKUP(J35,Database!$A$2:$S$189,19,FALSE),"-")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IFERROR(VLOOKUP(O35,Database!$A$2:$L$189,8,FALSE),"-")</f>
        <v>-</v>
      </c>
      <c r="Q35" s="78" t="str">
        <f>IFERROR(VLOOKUP(O35,Database!$A$2:$L$189,6,FALSE),"-")</f>
        <v>-</v>
      </c>
      <c r="R35" s="82" t="str">
        <f>IFERROR(VLOOKUP(O35,Database!$A$2:$L$189,9,FALSE),"-")</f>
        <v>-</v>
      </c>
      <c r="S35" s="209" t="str">
        <f>IFERROR(VLOOKUP(O35,Database!$A$2:$S$189,19,FALSE),"-")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IFERROR(VLOOKUP(T35,Database!$A$2:$L$189,8,FALSE),"-")</f>
        <v>-</v>
      </c>
      <c r="V35" s="78" t="str">
        <f>IFERROR(VLOOKUP(T35,Database!$A$2:$L$189,6,FALSE),"-")</f>
        <v>-</v>
      </c>
      <c r="W35" s="82" t="str">
        <f>IFERROR(VLOOKUP(T35,Database!$A$2:$L$189,9,FALSE),"-")</f>
        <v>-</v>
      </c>
      <c r="X35" s="209" t="str">
        <f>IFERROR(VLOOKUP(T35,Database!$A$2:$S$189,19,FALSE),"-")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IFERROR(VLOOKUP(Y35,Database!$A$2:$L$189,8,FALSE),"-")</f>
        <v>-</v>
      </c>
      <c r="AA35" s="79" t="str">
        <f>IFERROR(VLOOKUP(Y35,Database!$A$2:$L$189,6,FALSE),"-")</f>
        <v>-</v>
      </c>
      <c r="AB35" s="92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35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8" t="str">
        <f>IFERROR(VLOOKUP(E36,Database!$A$2:$L$189,6,FALSE),"-")</f>
        <v>DK</v>
      </c>
      <c r="H36" s="93" t="str">
        <f>IFERROR(VLOOKUP(E36,Database!$A$2:$L$189,9,FALSE),"-")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IFERROR(VLOOKUP(J36,Database!$A$2:$L$189,8,FALSE),"-")</f>
        <v>0</v>
      </c>
      <c r="L36" s="78" t="str">
        <f>IFERROR(VLOOKUP(J36,Database!$A$2:$L$189,6,FALSE),"-")</f>
        <v>DK</v>
      </c>
      <c r="M36" s="93">
        <f>IFERROR(VLOOKUP(J36,Database!$A$2:$L$189,9,FALSE),"-")</f>
        <v>0</v>
      </c>
      <c r="N36" s="209" t="str">
        <f>IFERROR(VLOOKUP(J36,Database!$A$2:$S$189,19,FALSE),"-")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IFERROR(VLOOKUP(O36,Database!$A$2:$L$189,8,FALSE),"-")</f>
        <v>-</v>
      </c>
      <c r="Q36" s="78" t="str">
        <f>IFERROR(VLOOKUP(O36,Database!$A$2:$L$189,6,FALSE),"-")</f>
        <v>-</v>
      </c>
      <c r="R36" s="82" t="str">
        <f>IFERROR(VLOOKUP(O36,Database!$A$2:$L$189,9,FALSE),"-")</f>
        <v>-</v>
      </c>
      <c r="S36" s="209" t="str">
        <f>IFERROR(VLOOKUP(O36,Database!$A$2:$S$189,19,FALSE),"-")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IFERROR(VLOOKUP(T36,Database!$A$2:$L$189,8,FALSE),"-")</f>
        <v>-</v>
      </c>
      <c r="V36" s="78" t="str">
        <f>IFERROR(VLOOKUP(T36,Database!$A$2:$L$189,6,FALSE),"-")</f>
        <v>-</v>
      </c>
      <c r="W36" s="82" t="str">
        <f>IFERROR(VLOOKUP(T36,Database!$A$2:$L$189,9,FALSE),"-")</f>
        <v>-</v>
      </c>
      <c r="X36" s="209" t="str">
        <f>IFERROR(VLOOKUP(T36,Database!$A$2:$S$189,19,FALSE),"-")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IFERROR(VLOOKUP(Y36,Database!$A$2:$L$189,8,FALSE),"-")</f>
        <v>-</v>
      </c>
      <c r="AA36" s="79" t="str">
        <f>IFERROR(VLOOKUP(Y36,Database!$A$2:$L$189,6,FALSE),"-")</f>
        <v>-</v>
      </c>
      <c r="AB36" s="92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35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8" t="str">
        <f>IFERROR(VLOOKUP(E37,Database!$A$2:$L$189,6,FALSE),"-")</f>
        <v>-</v>
      </c>
      <c r="H37" s="93" t="str">
        <f>IFERROR(VLOOKUP(E37,Database!$A$2:$L$189,9,FALSE),"-")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IFERROR(VLOOKUP(J37,Database!$A$2:$L$189,8,FALSE),"-")</f>
        <v>-</v>
      </c>
      <c r="L37" s="78" t="str">
        <f>IFERROR(VLOOKUP(J37,Database!$A$2:$L$189,6,FALSE),"-")</f>
        <v>-</v>
      </c>
      <c r="M37" s="93" t="str">
        <f>IFERROR(VLOOKUP(J37,Database!$A$2:$L$189,9,FALSE),"-")</f>
        <v>-</v>
      </c>
      <c r="N37" s="209" t="str">
        <f>IFERROR(VLOOKUP(J37,Database!$A$2:$S$189,19,FALSE),"-")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IFERROR(VLOOKUP(O37,Database!$A$2:$L$189,8,FALSE),"-")</f>
        <v>-</v>
      </c>
      <c r="Q37" s="78" t="str">
        <f>IFERROR(VLOOKUP(O37,Database!$A$2:$L$189,6,FALSE),"-")</f>
        <v>-</v>
      </c>
      <c r="R37" s="82" t="str">
        <f>IFERROR(VLOOKUP(O37,Database!$A$2:$L$189,9,FALSE),"-")</f>
        <v>-</v>
      </c>
      <c r="S37" s="209" t="str">
        <f>IFERROR(VLOOKUP(O37,Database!$A$2:$S$189,19,FALSE),"-")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IFERROR(VLOOKUP(T37,Database!$A$2:$L$189,8,FALSE),"-")</f>
        <v>-</v>
      </c>
      <c r="V37" s="78" t="str">
        <f>IFERROR(VLOOKUP(T37,Database!$A$2:$L$189,6,FALSE),"-")</f>
        <v>-</v>
      </c>
      <c r="W37" s="82" t="str">
        <f>IFERROR(VLOOKUP(T37,Database!$A$2:$L$189,9,FALSE),"-")</f>
        <v>-</v>
      </c>
      <c r="X37" s="209" t="str">
        <f>IFERROR(VLOOKUP(T37,Database!$A$2:$S$189,19,FALSE),"-")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IFERROR(VLOOKUP(Y37,Database!$A$2:$L$189,8,FALSE),"-")</f>
        <v>-</v>
      </c>
      <c r="AA37" s="79" t="str">
        <f>IFERROR(VLOOKUP(Y37,Database!$A$2:$L$189,6,FALSE),"-")</f>
        <v>-</v>
      </c>
      <c r="AB37" s="92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35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8" t="str">
        <f>IFERROR(VLOOKUP(E38,Database!$A$2:$L$189,6,FALSE),"-")</f>
        <v>-</v>
      </c>
      <c r="H38" s="93" t="str">
        <f>IFERROR(VLOOKUP(E38,Database!$A$2:$L$189,9,FALSE),"-")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IFERROR(VLOOKUP(J38,Database!$A$2:$L$189,8,FALSE),"-")</f>
        <v>-</v>
      </c>
      <c r="L38" s="78" t="str">
        <f>IFERROR(VLOOKUP(J38,Database!$A$2:$L$189,6,FALSE),"-")</f>
        <v>-</v>
      </c>
      <c r="M38" s="93" t="str">
        <f>IFERROR(VLOOKUP(J38,Database!$A$2:$L$189,9,FALSE),"-")</f>
        <v>-</v>
      </c>
      <c r="N38" s="209" t="str">
        <f>IFERROR(VLOOKUP(J38,Database!$A$2:$S$189,19,FALSE),"-")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IFERROR(VLOOKUP(O38,Database!$A$2:$L$189,8,FALSE),"-")</f>
        <v>-</v>
      </c>
      <c r="Q38" s="78" t="str">
        <f>IFERROR(VLOOKUP(O38,Database!$A$2:$L$189,6,FALSE),"-")</f>
        <v>-</v>
      </c>
      <c r="R38" s="82" t="str">
        <f>IFERROR(VLOOKUP(O38,Database!$A$2:$L$189,9,FALSE),"-")</f>
        <v>-</v>
      </c>
      <c r="S38" s="209" t="str">
        <f>IFERROR(VLOOKUP(O38,Database!$A$2:$S$189,19,FALSE),"-")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IFERROR(VLOOKUP(T38,Database!$A$2:$L$189,8,FALSE),"-")</f>
        <v>-</v>
      </c>
      <c r="V38" s="78" t="str">
        <f>IFERROR(VLOOKUP(T38,Database!$A$2:$L$189,6,FALSE),"-")</f>
        <v>-</v>
      </c>
      <c r="W38" s="82" t="str">
        <f>IFERROR(VLOOKUP(T38,Database!$A$2:$L$189,9,FALSE),"-")</f>
        <v>-</v>
      </c>
      <c r="X38" s="209" t="str">
        <f>IFERROR(VLOOKUP(T38,Database!$A$2:$S$189,19,FALSE),"-")</f>
        <v>-</v>
      </c>
      <c r="Y38" s="96">
        <f>IF(AND(D38="Y",booking!T38&lt;&gt;booking!U38,booking!U38&gt;0),booking!U38,"-")</f>
        <v>12</v>
      </c>
      <c r="Z38" s="79">
        <f>IFERROR(VLOOKUP(Y38,Database!$A$2:$L$189,8,FALSE),"-")</f>
        <v>0</v>
      </c>
      <c r="AA38" s="79" t="str">
        <f>IFERROR(VLOOKUP(Y38,Database!$A$2:$L$189,6,FALSE),"-")</f>
        <v>DK</v>
      </c>
      <c r="AB38" s="92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35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8" t="str">
        <f>IFERROR(VLOOKUP(E39,Database!$A$2:$L$189,6,FALSE),"-")</f>
        <v>-</v>
      </c>
      <c r="H39" s="93" t="str">
        <f>IFERROR(VLOOKUP(E39,Database!$A$2:$L$189,9,FALSE),"-")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IFERROR(VLOOKUP(J39,Database!$A$2:$L$189,8,FALSE),"-")</f>
        <v>-</v>
      </c>
      <c r="L39" s="78" t="str">
        <f>IFERROR(VLOOKUP(J39,Database!$A$2:$L$189,6,FALSE),"-")</f>
        <v>-</v>
      </c>
      <c r="M39" s="93" t="str">
        <f>IFERROR(VLOOKUP(J39,Database!$A$2:$L$189,9,FALSE),"-")</f>
        <v>-</v>
      </c>
      <c r="N39" s="209" t="str">
        <f>IFERROR(VLOOKUP(J39,Database!$A$2:$S$189,19,FALSE),"-")</f>
        <v>-</v>
      </c>
      <c r="O39" s="96">
        <f>IF(AND(D39="Y",booking!L39&lt;&gt;booking!M39,booking!M39&gt;0),booking!M39,"-")</f>
        <v>27</v>
      </c>
      <c r="P39" s="78">
        <f>IFERROR(VLOOKUP(O39,Database!$A$2:$L$189,8,FALSE),"-")</f>
        <v>0</v>
      </c>
      <c r="Q39" s="78" t="str">
        <f>IFERROR(VLOOKUP(O39,Database!$A$2:$L$189,6,FALSE),"-")</f>
        <v>DK</v>
      </c>
      <c r="R39" s="82" t="str">
        <f>IFERROR(VLOOKUP(O39,Database!$A$2:$L$189,9,FALSE),"-")</f>
        <v>sing/dobb</v>
      </c>
      <c r="S39" s="209" t="str">
        <f>IFERROR(VLOOKUP(O39,Database!$A$2:$S$189,19,FALSE),"-")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IFERROR(VLOOKUP(T39,Database!$A$2:$L$189,8,FALSE),"-")</f>
        <v>-</v>
      </c>
      <c r="V39" s="78" t="str">
        <f>IFERROR(VLOOKUP(T39,Database!$A$2:$L$189,6,FALSE),"-")</f>
        <v>-</v>
      </c>
      <c r="W39" s="82" t="str">
        <f>IFERROR(VLOOKUP(T39,Database!$A$2:$L$189,9,FALSE),"-")</f>
        <v>-</v>
      </c>
      <c r="X39" s="209" t="str">
        <f>IFERROR(VLOOKUP(T39,Database!$A$2:$S$189,19,FALSE),"-")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IFERROR(VLOOKUP(Y39,Database!$A$2:$L$189,8,FALSE),"-")</f>
        <v>-</v>
      </c>
      <c r="AA39" s="79" t="str">
        <f>IFERROR(VLOOKUP(Y39,Database!$A$2:$L$189,6,FALSE),"-")</f>
        <v>-</v>
      </c>
      <c r="AB39" s="92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35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8" t="str">
        <f>IFERROR(VLOOKUP(E40,Database!$A$2:$L$189,6,FALSE),"-")</f>
        <v>-</v>
      </c>
      <c r="H40" s="93" t="str">
        <f>IFERROR(VLOOKUP(E40,Database!$A$2:$L$189,9,FALSE),"-")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IFERROR(VLOOKUP(J40,Database!$A$2:$L$189,8,FALSE),"-")</f>
        <v>-</v>
      </c>
      <c r="L40" s="78" t="str">
        <f>IFERROR(VLOOKUP(J40,Database!$A$2:$L$189,6,FALSE),"-")</f>
        <v>-</v>
      </c>
      <c r="M40" s="93" t="str">
        <f>IFERROR(VLOOKUP(J40,Database!$A$2:$L$189,9,FALSE),"-")</f>
        <v>-</v>
      </c>
      <c r="N40" s="209" t="str">
        <f>IFERROR(VLOOKUP(J40,Database!$A$2:$S$189,19,FALSE),"-")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IFERROR(VLOOKUP(O40,Database!$A$2:$L$189,8,FALSE),"-")</f>
        <v>-</v>
      </c>
      <c r="Q40" s="78" t="str">
        <f>IFERROR(VLOOKUP(O40,Database!$A$2:$L$189,6,FALSE),"-")</f>
        <v>-</v>
      </c>
      <c r="R40" s="82" t="str">
        <f>IFERROR(VLOOKUP(O40,Database!$A$2:$L$189,9,FALSE),"-")</f>
        <v>-</v>
      </c>
      <c r="S40" s="209" t="str">
        <f>IFERROR(VLOOKUP(O40,Database!$A$2:$S$189,19,FALSE),"-")</f>
        <v>-</v>
      </c>
      <c r="T40" s="97">
        <f>IF(AND(D40="Y",booking!P40&lt;&gt;booking!Q40,booking!Q40&gt;0),booking!Q40,"-")</f>
        <v>116</v>
      </c>
      <c r="U40" s="78">
        <f>IFERROR(VLOOKUP(T40,Database!$A$2:$L$189,8,FALSE),"-")</f>
        <v>0</v>
      </c>
      <c r="V40" s="78" t="str">
        <f>IFERROR(VLOOKUP(T40,Database!$A$2:$L$189,6,FALSE),"-")</f>
        <v>DK</v>
      </c>
      <c r="W40" s="82">
        <f>IFERROR(VLOOKUP(T40,Database!$A$2:$L$189,9,FALSE),"-")</f>
        <v>0</v>
      </c>
      <c r="X40" s="209" t="str">
        <f>IFERROR(VLOOKUP(T40,Database!$A$2:$S$189,19,FALSE),"-")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IFERROR(VLOOKUP(Y40,Database!$A$2:$L$189,8,FALSE),"-")</f>
        <v>-</v>
      </c>
      <c r="AA40" s="79" t="str">
        <f>IFERROR(VLOOKUP(Y40,Database!$A$2:$L$189,6,FALSE),"-")</f>
        <v>-</v>
      </c>
      <c r="AB40" s="92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35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IFERROR(VLOOKUP(E41,Database!$A$2:$L$189,8,FALSE),"-")</f>
        <v>0</v>
      </c>
      <c r="G41" s="78" t="str">
        <f>IFERROR(VLOOKUP(E41,Database!$A$2:$L$189,6,FALSE),"-")</f>
        <v>DK</v>
      </c>
      <c r="H41" s="93">
        <f>IFERROR(VLOOKUP(E41,Database!$A$2:$L$189,9,FALSE),"-")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IFERROR(VLOOKUP(J41,Database!$A$2:$L$189,8,FALSE),"-")</f>
        <v>0</v>
      </c>
      <c r="L41" s="78" t="str">
        <f>IFERROR(VLOOKUP(J41,Database!$A$2:$L$189,6,FALSE),"-")</f>
        <v>DK</v>
      </c>
      <c r="M41" s="93">
        <f>IFERROR(VLOOKUP(J41,Database!$A$2:$L$189,9,FALSE),"-")</f>
        <v>0</v>
      </c>
      <c r="N41" s="209" t="str">
        <f>IFERROR(VLOOKUP(J41,Database!$A$2:$S$189,19,FALSE),"-")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IFERROR(VLOOKUP(O41,Database!$A$2:$L$189,8,FALSE),"-")</f>
        <v>-</v>
      </c>
      <c r="Q41" s="78" t="str">
        <f>IFERROR(VLOOKUP(O41,Database!$A$2:$L$189,6,FALSE),"-")</f>
        <v>-</v>
      </c>
      <c r="R41" s="82" t="str">
        <f>IFERROR(VLOOKUP(O41,Database!$A$2:$L$189,9,FALSE),"-")</f>
        <v>-</v>
      </c>
      <c r="S41" s="209" t="str">
        <f>IFERROR(VLOOKUP(O41,Database!$A$2:$S$189,19,FALSE),"-")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IFERROR(VLOOKUP(T41,Database!$A$2:$L$189,8,FALSE),"-")</f>
        <v>-</v>
      </c>
      <c r="V41" s="78" t="str">
        <f>IFERROR(VLOOKUP(T41,Database!$A$2:$L$189,6,FALSE),"-")</f>
        <v>-</v>
      </c>
      <c r="W41" s="82" t="str">
        <f>IFERROR(VLOOKUP(T41,Database!$A$2:$L$189,9,FALSE),"-")</f>
        <v>-</v>
      </c>
      <c r="X41" s="209" t="str">
        <f>IFERROR(VLOOKUP(T41,Database!$A$2:$S$189,19,FALSE),"-")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IFERROR(VLOOKUP(Y41,Database!$A$2:$L$189,8,FALSE),"-")</f>
        <v>-</v>
      </c>
      <c r="AA41" s="79" t="str">
        <f>IFERROR(VLOOKUP(Y41,Database!$A$2:$L$189,6,FALSE),"-")</f>
        <v>-</v>
      </c>
      <c r="AB41" s="92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35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8" t="str">
        <f>IFERROR(VLOOKUP(E42,Database!$A$2:$L$189,6,FALSE),"-")</f>
        <v>-</v>
      </c>
      <c r="H42" s="93" t="str">
        <f>IFERROR(VLOOKUP(E42,Database!$A$2:$L$189,9,FALSE),"-")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IFERROR(VLOOKUP(J42,Database!$A$2:$L$189,8,FALSE),"-")</f>
        <v>-</v>
      </c>
      <c r="L42" s="78" t="str">
        <f>IFERROR(VLOOKUP(J42,Database!$A$2:$L$189,6,FALSE),"-")</f>
        <v>-</v>
      </c>
      <c r="M42" s="93" t="str">
        <f>IFERROR(VLOOKUP(J42,Database!$A$2:$L$189,9,FALSE),"-")</f>
        <v>-</v>
      </c>
      <c r="N42" s="209" t="str">
        <f>IFERROR(VLOOKUP(J42,Database!$A$2:$S$189,19,FALSE),"-")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IFERROR(VLOOKUP(O42,Database!$A$2:$L$189,8,FALSE),"-")</f>
        <v>-</v>
      </c>
      <c r="Q42" s="78" t="str">
        <f>IFERROR(VLOOKUP(O42,Database!$A$2:$L$189,6,FALSE),"-")</f>
        <v>-</v>
      </c>
      <c r="R42" s="82" t="str">
        <f>IFERROR(VLOOKUP(O42,Database!$A$2:$L$189,9,FALSE),"-")</f>
        <v>-</v>
      </c>
      <c r="S42" s="209" t="str">
        <f>IFERROR(VLOOKUP(O42,Database!$A$2:$S$189,19,FALSE),"-")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IFERROR(VLOOKUP(T42,Database!$A$2:$L$189,8,FALSE),"-")</f>
        <v>-</v>
      </c>
      <c r="V42" s="78" t="str">
        <f>IFERROR(VLOOKUP(T42,Database!$A$2:$L$189,6,FALSE),"-")</f>
        <v>-</v>
      </c>
      <c r="W42" s="82" t="str">
        <f>IFERROR(VLOOKUP(T42,Database!$A$2:$L$189,9,FALSE),"-")</f>
        <v>-</v>
      </c>
      <c r="X42" s="209" t="str">
        <f>IFERROR(VLOOKUP(T42,Database!$A$2:$S$189,19,FALSE),"-")</f>
        <v>-</v>
      </c>
      <c r="Y42" s="96">
        <f>IF(AND(D42="Y",booking!T42&lt;&gt;booking!U42,booking!U42&gt;0),booking!U42,"-")</f>
        <v>119</v>
      </c>
      <c r="Z42" s="79">
        <f>IFERROR(VLOOKUP(Y42,Database!$A$2:$L$189,8,FALSE),"-")</f>
        <v>1230</v>
      </c>
      <c r="AA42" s="79" t="str">
        <f>IFERROR(VLOOKUP(Y42,Database!$A$2:$L$189,6,FALSE),"-")</f>
        <v>it</v>
      </c>
      <c r="AB42" s="92" t="str">
        <f>IFERROR(VLOOKUP(Y42,Database!$A$2:$L$189,9,FALSE),"-")</f>
        <v>sing</v>
      </c>
      <c r="AC42" s="8" t="str">
        <f>IFERROR(VLOOKUP(Y42,Database!$A$2:$S$189,19,FALSE),"-")</f>
        <v>N</v>
      </c>
    </row>
    <row r="43" spans="1:29" ht="15" customHeight="1" thickBot="1" x14ac:dyDescent="0.35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8" t="str">
        <f>IFERROR(VLOOKUP(E43,Database!$A$2:$L$189,6,FALSE),"-")</f>
        <v>-</v>
      </c>
      <c r="H43" s="93" t="str">
        <f>IFERROR(VLOOKUP(E43,Database!$A$2:$L$189,9,FALSE),"-")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IFERROR(VLOOKUP(J43,Database!$A$2:$L$189,8,FALSE),"-")</f>
        <v>-</v>
      </c>
      <c r="L43" s="78" t="str">
        <f>IFERROR(VLOOKUP(J43,Database!$A$2:$L$189,6,FALSE),"-")</f>
        <v>-</v>
      </c>
      <c r="M43" s="93" t="str">
        <f>IFERROR(VLOOKUP(J43,Database!$A$2:$L$189,9,FALSE),"-")</f>
        <v>-</v>
      </c>
      <c r="N43" s="209" t="str">
        <f>IFERROR(VLOOKUP(J43,Database!$A$2:$S$189,19,FALSE),"-")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IFERROR(VLOOKUP(O43,Database!$A$2:$L$189,8,FALSE),"-")</f>
        <v>-</v>
      </c>
      <c r="Q43" s="78" t="str">
        <f>IFERROR(VLOOKUP(O43,Database!$A$2:$L$189,6,FALSE),"-")</f>
        <v>-</v>
      </c>
      <c r="R43" s="82" t="str">
        <f>IFERROR(VLOOKUP(O43,Database!$A$2:$L$189,9,FALSE),"-")</f>
        <v>-</v>
      </c>
      <c r="S43" s="209" t="str">
        <f>IFERROR(VLOOKUP(O43,Database!$A$2:$S$189,19,FALSE),"-")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IFERROR(VLOOKUP(T43,Database!$A$2:$L$189,8,FALSE),"-")</f>
        <v>-</v>
      </c>
      <c r="V43" s="78" t="str">
        <f>IFERROR(VLOOKUP(T43,Database!$A$2:$L$189,6,FALSE),"-")</f>
        <v>-</v>
      </c>
      <c r="W43" s="82" t="str">
        <f>IFERROR(VLOOKUP(T43,Database!$A$2:$L$189,9,FALSE),"-")</f>
        <v>-</v>
      </c>
      <c r="X43" s="209" t="str">
        <f>IFERROR(VLOOKUP(T43,Database!$A$2:$S$189,19,FALSE),"-")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IFERROR(VLOOKUP(Y43,Database!$A$2:$L$189,8,FALSE),"-")</f>
        <v>-</v>
      </c>
      <c r="AA43" s="79" t="str">
        <f>IFERROR(VLOOKUP(Y43,Database!$A$2:$L$189,6,FALSE),"-")</f>
        <v>-</v>
      </c>
      <c r="AB43" s="92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35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8" t="str">
        <f>IFERROR(VLOOKUP(E44,Database!$A$2:$L$189,6,FALSE),"-")</f>
        <v>-</v>
      </c>
      <c r="H44" s="93" t="str">
        <f>IFERROR(VLOOKUP(E44,Database!$A$2:$L$189,9,FALSE),"-")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IFERROR(VLOOKUP(J44,Database!$A$2:$L$189,8,FALSE),"-")</f>
        <v>0</v>
      </c>
      <c r="L44" s="78" t="str">
        <f>IFERROR(VLOOKUP(J44,Database!$A$2:$L$189,6,FALSE),"-")</f>
        <v>DK</v>
      </c>
      <c r="M44" s="93">
        <f>IFERROR(VLOOKUP(J44,Database!$A$2:$L$189,9,FALSE),"-")</f>
        <v>0</v>
      </c>
      <c r="N44" s="209" t="str">
        <f>IFERROR(VLOOKUP(J44,Database!$A$2:$S$189,19,FALSE),"-")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IFERROR(VLOOKUP(O44,Database!$A$2:$L$189,8,FALSE),"-")</f>
        <v>-</v>
      </c>
      <c r="Q44" s="78" t="str">
        <f>IFERROR(VLOOKUP(O44,Database!$A$2:$L$189,6,FALSE),"-")</f>
        <v>-</v>
      </c>
      <c r="R44" s="82" t="str">
        <f>IFERROR(VLOOKUP(O44,Database!$A$2:$L$189,9,FALSE),"-")</f>
        <v>-</v>
      </c>
      <c r="S44" s="209" t="str">
        <f>IFERROR(VLOOKUP(O44,Database!$A$2:$S$189,19,FALSE),"-")</f>
        <v>-</v>
      </c>
      <c r="T44" s="97">
        <f>IF(AND(D44="Y",booking!P44&lt;&gt;booking!Q44,booking!Q44&gt;0),booking!Q44,"-")</f>
        <v>15</v>
      </c>
      <c r="U44" s="78">
        <f>IFERROR(VLOOKUP(T44,Database!$A$2:$L$189,8,FALSE),"-")</f>
        <v>0</v>
      </c>
      <c r="V44" s="78" t="str">
        <f>IFERROR(VLOOKUP(T44,Database!$A$2:$L$189,6,FALSE),"-")</f>
        <v>DK</v>
      </c>
      <c r="W44" s="82">
        <f>IFERROR(VLOOKUP(T44,Database!$A$2:$L$189,9,FALSE),"-")</f>
        <v>0</v>
      </c>
      <c r="X44" s="209" t="str">
        <f>IFERROR(VLOOKUP(T44,Database!$A$2:$S$189,19,FALSE),"-")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IFERROR(VLOOKUP(Y44,Database!$A$2:$L$189,8,FALSE),"-")</f>
        <v>-</v>
      </c>
      <c r="AA44" s="79" t="str">
        <f>IFERROR(VLOOKUP(Y44,Database!$A$2:$L$189,6,FALSE),"-")</f>
        <v>-</v>
      </c>
      <c r="AB44" s="92" t="str">
        <f>IFERROR(VLOOKUP(Y44,Database!$A$2:$L$189,9,FALSE),"-")</f>
        <v>-</v>
      </c>
      <c r="AC44" s="8" t="str">
        <f>IFERROR(VLOOKUP(Y44,Database!$A$2:$S$189,19,FALSE),"-")</f>
        <v>-</v>
      </c>
    </row>
    <row r="45" spans="1:29" ht="15" customHeight="1" thickBot="1" x14ac:dyDescent="0.35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8" t="str">
        <f>IFERROR(VLOOKUP(E45,Database!$A$2:$L$189,6,FALSE),"-")</f>
        <v>DK</v>
      </c>
      <c r="H45" s="93">
        <f>IFERROR(VLOOKUP(E45,Database!$A$2:$L$189,9,FALSE),"-")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IFERROR(VLOOKUP(J45,Database!$A$2:$L$189,8,FALSE),"-")</f>
        <v>-</v>
      </c>
      <c r="L45" s="78" t="str">
        <f>IFERROR(VLOOKUP(J45,Database!$A$2:$L$189,6,FALSE),"-")</f>
        <v>-</v>
      </c>
      <c r="M45" s="93" t="str">
        <f>IFERROR(VLOOKUP(J45,Database!$A$2:$L$189,9,FALSE),"-")</f>
        <v>-</v>
      </c>
      <c r="N45" s="209" t="str">
        <f>IFERROR(VLOOKUP(J45,Database!$A$2:$S$189,19,FALSE),"-")</f>
        <v>-</v>
      </c>
      <c r="O45" s="96">
        <f>IF(AND(D45="Y",booking!L45&lt;&gt;booking!M45,booking!M45&gt;0),booking!M45,"-")</f>
        <v>18</v>
      </c>
      <c r="P45" s="78">
        <f>IFERROR(VLOOKUP(O45,Database!$A$2:$L$189,8,FALSE),"-")</f>
        <v>0</v>
      </c>
      <c r="Q45" s="78" t="str">
        <f>IFERROR(VLOOKUP(O45,Database!$A$2:$L$189,6,FALSE),"-")</f>
        <v>DK</v>
      </c>
      <c r="R45" s="82">
        <f>IFERROR(VLOOKUP(O45,Database!$A$2:$L$189,9,FALSE),"-")</f>
        <v>0</v>
      </c>
      <c r="S45" s="209" t="str">
        <f>IFERROR(VLOOKUP(O45,Database!$A$2:$S$189,19,FALSE),"-")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IFERROR(VLOOKUP(T45,Database!$A$2:$L$189,8,FALSE),"-")</f>
        <v>-</v>
      </c>
      <c r="V45" s="78" t="str">
        <f>IFERROR(VLOOKUP(T45,Database!$A$2:$L$189,6,FALSE),"-")</f>
        <v>-</v>
      </c>
      <c r="W45" s="82" t="str">
        <f>IFERROR(VLOOKUP(T45,Database!$A$2:$L$189,9,FALSE),"-")</f>
        <v>-</v>
      </c>
      <c r="X45" s="209" t="str">
        <f>IFERROR(VLOOKUP(T45,Database!$A$2:$S$189,19,FALSE),"-")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IFERROR(VLOOKUP(Y45,Database!$A$2:$L$189,8,FALSE),"-")</f>
        <v>2030</v>
      </c>
      <c r="AA45" s="79" t="str">
        <f>IFERROR(VLOOKUP(Y45,Database!$A$2:$L$189,6,FALSE),"-")</f>
        <v>DK</v>
      </c>
      <c r="AB45" s="92">
        <f>IFERROR(VLOOKUP(Y45,Database!$A$2:$L$189,9,FALSE),"-")</f>
        <v>0</v>
      </c>
      <c r="AC45" s="8" t="str">
        <f>IFERROR(VLOOKUP(Y45,Database!$A$2:$S$189,19,FALSE),"-")</f>
        <v>YY</v>
      </c>
    </row>
    <row r="46" spans="1:29" ht="15" customHeight="1" thickBot="1" x14ac:dyDescent="0.35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8" t="str">
        <f>IFERROR(VLOOKUP(E46,Database!$A$2:$L$189,6,FALSE),"-")</f>
        <v>-</v>
      </c>
      <c r="H46" s="93" t="str">
        <f>IFERROR(VLOOKUP(E46,Database!$A$2:$L$189,9,FALSE),"-")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IFERROR(VLOOKUP(J46,Database!$A$2:$L$189,8,FALSE),"-")</f>
        <v>-</v>
      </c>
      <c r="L46" s="78" t="str">
        <f>IFERROR(VLOOKUP(J46,Database!$A$2:$L$189,6,FALSE),"-")</f>
        <v>-</v>
      </c>
      <c r="M46" s="93" t="str">
        <f>IFERROR(VLOOKUP(J46,Database!$A$2:$L$189,9,FALSE),"-")</f>
        <v>-</v>
      </c>
      <c r="N46" s="209" t="str">
        <f>IFERROR(VLOOKUP(J46,Database!$A$2:$S$189,19,FALSE),"-")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IFERROR(VLOOKUP(O46,Database!$A$2:$L$189,8,FALSE),"-")</f>
        <v>-</v>
      </c>
      <c r="Q46" s="78" t="str">
        <f>IFERROR(VLOOKUP(O46,Database!$A$2:$L$189,6,FALSE),"-")</f>
        <v>-</v>
      </c>
      <c r="R46" s="82" t="str">
        <f>IFERROR(VLOOKUP(O46,Database!$A$2:$L$189,9,FALSE),"-")</f>
        <v>-</v>
      </c>
      <c r="S46" s="209" t="str">
        <f>IFERROR(VLOOKUP(O46,Database!$A$2:$S$189,19,FALSE),"-")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IFERROR(VLOOKUP(T46,Database!$A$2:$L$189,8,FALSE),"-")</f>
        <v>-</v>
      </c>
      <c r="V46" s="78" t="str">
        <f>IFERROR(VLOOKUP(T46,Database!$A$2:$L$189,6,FALSE),"-")</f>
        <v>-</v>
      </c>
      <c r="W46" s="82" t="str">
        <f>IFERROR(VLOOKUP(T46,Database!$A$2:$L$189,9,FALSE),"-")</f>
        <v>-</v>
      </c>
      <c r="X46" s="209" t="str">
        <f>IFERROR(VLOOKUP(T46,Database!$A$2:$S$189,19,FALSE),"-")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IFERROR(VLOOKUP(Y46,Database!$A$2:$L$189,8,FALSE),"-")</f>
        <v>-</v>
      </c>
      <c r="AA46" s="79" t="str">
        <f>IFERROR(VLOOKUP(Y46,Database!$A$2:$L$189,6,FALSE),"-")</f>
        <v>-</v>
      </c>
      <c r="AB46" s="92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35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8" t="str">
        <f>IFERROR(VLOOKUP(E47,Database!$A$2:$L$189,6,FALSE),"-")</f>
        <v>-</v>
      </c>
      <c r="H47" s="93" t="str">
        <f>IFERROR(VLOOKUP(E47,Database!$A$2:$L$189,9,FALSE),"-")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IFERROR(VLOOKUP(J47,Database!$A$2:$L$189,8,FALSE),"-")</f>
        <v>-</v>
      </c>
      <c r="L47" s="78" t="str">
        <f>IFERROR(VLOOKUP(J47,Database!$A$2:$L$189,6,FALSE),"-")</f>
        <v>-</v>
      </c>
      <c r="M47" s="93" t="str">
        <f>IFERROR(VLOOKUP(J47,Database!$A$2:$L$189,9,FALSE),"-")</f>
        <v>-</v>
      </c>
      <c r="N47" s="209" t="str">
        <f>IFERROR(VLOOKUP(J47,Database!$A$2:$S$189,19,FALSE),"-")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IFERROR(VLOOKUP(O47,Database!$A$2:$L$189,8,FALSE),"-")</f>
        <v>-</v>
      </c>
      <c r="Q47" s="78" t="str">
        <f>IFERROR(VLOOKUP(O47,Database!$A$2:$L$189,6,FALSE),"-")</f>
        <v>-</v>
      </c>
      <c r="R47" s="82" t="str">
        <f>IFERROR(VLOOKUP(O47,Database!$A$2:$L$189,9,FALSE),"-")</f>
        <v>-</v>
      </c>
      <c r="S47" s="209" t="str">
        <f>IFERROR(VLOOKUP(O47,Database!$A$2:$S$189,19,FALSE),"-")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IFERROR(VLOOKUP(T47,Database!$A$2:$L$189,8,FALSE),"-")</f>
        <v>-</v>
      </c>
      <c r="V47" s="78" t="str">
        <f>IFERROR(VLOOKUP(T47,Database!$A$2:$L$189,6,FALSE),"-")</f>
        <v>-</v>
      </c>
      <c r="W47" s="82" t="str">
        <f>IFERROR(VLOOKUP(T47,Database!$A$2:$L$189,9,FALSE),"-")</f>
        <v>-</v>
      </c>
      <c r="X47" s="209" t="str">
        <f>IFERROR(VLOOKUP(T47,Database!$A$2:$S$189,19,FALSE),"-")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IFERROR(VLOOKUP(Y47,Database!$A$2:$L$189,8,FALSE),"-")</f>
        <v>-</v>
      </c>
      <c r="AA47" s="79" t="str">
        <f>IFERROR(VLOOKUP(Y47,Database!$A$2:$L$189,6,FALSE),"-")</f>
        <v>-</v>
      </c>
      <c r="AB47" s="92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35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8" t="str">
        <f>IFERROR(VLOOKUP(E48,Database!$A$2:$L$189,6,FALSE),"-")</f>
        <v>-</v>
      </c>
      <c r="H48" s="93" t="str">
        <f>IFERROR(VLOOKUP(E48,Database!$A$2:$L$189,9,FALSE),"-")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IFERROR(VLOOKUP(J48,Database!$A$2:$L$189,8,FALSE),"-")</f>
        <v>-</v>
      </c>
      <c r="L48" s="78" t="str">
        <f>IFERROR(VLOOKUP(J48,Database!$A$2:$L$189,6,FALSE),"-")</f>
        <v>-</v>
      </c>
      <c r="M48" s="93" t="str">
        <f>IFERROR(VLOOKUP(J48,Database!$A$2:$L$189,9,FALSE),"-")</f>
        <v>-</v>
      </c>
      <c r="N48" s="209" t="str">
        <f>IFERROR(VLOOKUP(J48,Database!$A$2:$S$189,19,FALSE),"-")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IFERROR(VLOOKUP(O48,Database!$A$2:$L$189,8,FALSE),"-")</f>
        <v>-</v>
      </c>
      <c r="Q48" s="78" t="str">
        <f>IFERROR(VLOOKUP(O48,Database!$A$2:$L$189,6,FALSE),"-")</f>
        <v>-</v>
      </c>
      <c r="R48" s="82" t="str">
        <f>IFERROR(VLOOKUP(O48,Database!$A$2:$L$189,9,FALSE),"-")</f>
        <v>-</v>
      </c>
      <c r="S48" s="209" t="str">
        <f>IFERROR(VLOOKUP(O48,Database!$A$2:$S$189,19,FALSE),"-")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IFERROR(VLOOKUP(T48,Database!$A$2:$L$189,8,FALSE),"-")</f>
        <v>-</v>
      </c>
      <c r="V48" s="78" t="str">
        <f>IFERROR(VLOOKUP(T48,Database!$A$2:$L$189,6,FALSE),"-")</f>
        <v>-</v>
      </c>
      <c r="W48" s="82" t="str">
        <f>IFERROR(VLOOKUP(T48,Database!$A$2:$L$189,9,FALSE),"-")</f>
        <v>-</v>
      </c>
      <c r="X48" s="209" t="str">
        <f>IFERROR(VLOOKUP(T48,Database!$A$2:$S$189,19,FALSE),"-")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IFERROR(VLOOKUP(Y48,Database!$A$2:$L$189,8,FALSE),"-")</f>
        <v>-</v>
      </c>
      <c r="AA48" s="79" t="str">
        <f>IFERROR(VLOOKUP(Y48,Database!$A$2:$L$189,6,FALSE),"-")</f>
        <v>-</v>
      </c>
      <c r="AB48" s="92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35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8" t="str">
        <f>IFERROR(VLOOKUP(E49,Database!$A$2:$L$189,6,FALSE),"-")</f>
        <v>-</v>
      </c>
      <c r="H49" s="93" t="str">
        <f>IFERROR(VLOOKUP(E49,Database!$A$2:$L$189,9,FALSE),"-")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IFERROR(VLOOKUP(J49,Database!$A$2:$L$189,8,FALSE),"-")</f>
        <v>-</v>
      </c>
      <c r="L49" s="78" t="str">
        <f>IFERROR(VLOOKUP(J49,Database!$A$2:$L$189,6,FALSE),"-")</f>
        <v>-</v>
      </c>
      <c r="M49" s="93" t="str">
        <f>IFERROR(VLOOKUP(J49,Database!$A$2:$L$189,9,FALSE),"-")</f>
        <v>-</v>
      </c>
      <c r="N49" s="209" t="str">
        <f>IFERROR(VLOOKUP(J49,Database!$A$2:$S$189,19,FALSE),"-")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IFERROR(VLOOKUP(O49,Database!$A$2:$L$189,8,FALSE),"-")</f>
        <v>-</v>
      </c>
      <c r="Q49" s="78" t="str">
        <f>IFERROR(VLOOKUP(O49,Database!$A$2:$L$189,6,FALSE),"-")</f>
        <v>-</v>
      </c>
      <c r="R49" s="82" t="str">
        <f>IFERROR(VLOOKUP(O49,Database!$A$2:$L$189,9,FALSE),"-")</f>
        <v>-</v>
      </c>
      <c r="S49" s="209" t="str">
        <f>IFERROR(VLOOKUP(O49,Database!$A$2:$S$189,19,FALSE),"-")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IFERROR(VLOOKUP(T49,Database!$A$2:$L$189,8,FALSE),"-")</f>
        <v>-</v>
      </c>
      <c r="V49" s="78" t="str">
        <f>IFERROR(VLOOKUP(T49,Database!$A$2:$L$189,6,FALSE),"-")</f>
        <v>-</v>
      </c>
      <c r="W49" s="82" t="str">
        <f>IFERROR(VLOOKUP(T49,Database!$A$2:$L$189,9,FALSE),"-")</f>
        <v>-</v>
      </c>
      <c r="X49" s="209" t="str">
        <f>IFERROR(VLOOKUP(T49,Database!$A$2:$S$189,19,FALSE),"-")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IFERROR(VLOOKUP(Y49,Database!$A$2:$L$189,8,FALSE),"-")</f>
        <v>-</v>
      </c>
      <c r="AA49" s="79" t="str">
        <f>IFERROR(VLOOKUP(Y49,Database!$A$2:$L$189,6,FALSE),"-")</f>
        <v>-</v>
      </c>
      <c r="AB49" s="92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35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8" t="str">
        <f>IFERROR(VLOOKUP(E50,Database!$A$2:$L$189,6,FALSE),"-")</f>
        <v>-</v>
      </c>
      <c r="H50" s="93" t="str">
        <f>IFERROR(VLOOKUP(E50,Database!$A$2:$L$189,9,FALSE),"-")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IFERROR(VLOOKUP(J50,Database!$A$2:$L$189,8,FALSE),"-")</f>
        <v>-</v>
      </c>
      <c r="L50" s="78" t="str">
        <f>IFERROR(VLOOKUP(J50,Database!$A$2:$L$189,6,FALSE),"-")</f>
        <v>-</v>
      </c>
      <c r="M50" s="93" t="str">
        <f>IFERROR(VLOOKUP(J50,Database!$A$2:$L$189,9,FALSE),"-")</f>
        <v>-</v>
      </c>
      <c r="N50" s="209" t="str">
        <f>IFERROR(VLOOKUP(J50,Database!$A$2:$S$189,19,FALSE),"-")</f>
        <v>-</v>
      </c>
      <c r="O50" s="96">
        <f>IF(AND(D50="Y",booking!L50&lt;&gt;booking!M50,booking!M50&gt;0),booking!M50,"-")</f>
        <v>83</v>
      </c>
      <c r="P50" s="78">
        <f>IFERROR(VLOOKUP(O50,Database!$A$2:$L$189,8,FALSE),"-")</f>
        <v>0</v>
      </c>
      <c r="Q50" s="78" t="str">
        <f>IFERROR(VLOOKUP(O50,Database!$A$2:$L$189,6,FALSE),"-")</f>
        <v>DK</v>
      </c>
      <c r="R50" s="82">
        <f>IFERROR(VLOOKUP(O50,Database!$A$2:$L$189,9,FALSE),"-")</f>
        <v>0</v>
      </c>
      <c r="S50" s="209" t="str">
        <f>IFERROR(VLOOKUP(O50,Database!$A$2:$S$189,19,FALSE),"-")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IFERROR(VLOOKUP(T50,Database!$A$2:$L$189,8,FALSE),"-")</f>
        <v>-</v>
      </c>
      <c r="V50" s="78" t="str">
        <f>IFERROR(VLOOKUP(T50,Database!$A$2:$L$189,6,FALSE),"-")</f>
        <v>-</v>
      </c>
      <c r="W50" s="82" t="str">
        <f>IFERROR(VLOOKUP(T50,Database!$A$2:$L$189,9,FALSE),"-")</f>
        <v>-</v>
      </c>
      <c r="X50" s="209" t="str">
        <f>IFERROR(VLOOKUP(T50,Database!$A$2:$S$189,19,FALSE),"-")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IFERROR(VLOOKUP(Y50,Database!$A$2:$L$189,8,FALSE),"-")</f>
        <v>-</v>
      </c>
      <c r="AA50" s="79" t="str">
        <f>IFERROR(VLOOKUP(Y50,Database!$A$2:$L$189,6,FALSE),"-")</f>
        <v>-</v>
      </c>
      <c r="AB50" s="92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35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IFERROR(VLOOKUP(E51,Database!$A$2:$L$189,8,FALSE),"-")</f>
        <v>-</v>
      </c>
      <c r="G51" s="78" t="str">
        <f>IFERROR(VLOOKUP(E51,Database!$A$2:$L$189,6,FALSE),"-")</f>
        <v>-</v>
      </c>
      <c r="H51" s="93" t="str">
        <f>IFERROR(VLOOKUP(E51,Database!$A$2:$L$189,9,FALSE),"-")</f>
        <v>-</v>
      </c>
      <c r="I51" s="112"/>
      <c r="J51" s="96">
        <f>IF(AND(D51="Y",booking!H51&lt;&gt;booking!I51,booking!I51&gt;0),booking!I51,"-")</f>
        <v>127</v>
      </c>
      <c r="K51" s="78">
        <f>IFERROR(VLOOKUP(J51,Database!$A$2:$L$189,8,FALSE),"-")</f>
        <v>0</v>
      </c>
      <c r="L51" s="78" t="str">
        <f>IFERROR(VLOOKUP(J51,Database!$A$2:$L$189,6,FALSE),"-")</f>
        <v>DK</v>
      </c>
      <c r="M51" s="93">
        <f>IFERROR(VLOOKUP(J51,Database!$A$2:$L$189,9,FALSE),"-")</f>
        <v>0</v>
      </c>
      <c r="N51" s="209" t="str">
        <f>IFERROR(VLOOKUP(J51,Database!$A$2:$S$189,19,FALSE),"-")</f>
        <v>N</v>
      </c>
      <c r="O51" s="96" t="str">
        <f>IF(AND(D51="Y",booking!L51&lt;&gt;booking!M51,booking!M51&gt;0),booking!M51,"-")</f>
        <v>-</v>
      </c>
      <c r="P51" s="78" t="str">
        <f>IFERROR(VLOOKUP(O51,Database!$A$2:$L$189,8,FALSE),"-")</f>
        <v>-</v>
      </c>
      <c r="Q51" s="78" t="str">
        <f>IFERROR(VLOOKUP(O51,Database!$A$2:$L$189,6,FALSE),"-")</f>
        <v>-</v>
      </c>
      <c r="R51" s="82" t="str">
        <f>IFERROR(VLOOKUP(O51,Database!$A$2:$L$189,9,FALSE),"-")</f>
        <v>-</v>
      </c>
      <c r="S51" s="209" t="str">
        <f>IFERROR(VLOOKUP(O51,Database!$A$2:$S$189,19,FALSE),"-")</f>
        <v>-</v>
      </c>
      <c r="T51" s="97">
        <f>IF(AND(D51="Y",booking!P51&lt;&gt;booking!Q51,booking!Q51&gt;0),booking!Q51,"-")</f>
        <v>70</v>
      </c>
      <c r="U51" s="78">
        <f>IFERROR(VLOOKUP(T51,Database!$A$2:$L$189,8,FALSE),"-")</f>
        <v>0</v>
      </c>
      <c r="V51" s="78" t="str">
        <f>IFERROR(VLOOKUP(T51,Database!$A$2:$L$189,6,FALSE),"-")</f>
        <v>DK</v>
      </c>
      <c r="W51" s="82">
        <f>IFERROR(VLOOKUP(T51,Database!$A$2:$L$189,9,FALSE),"-")</f>
        <v>0</v>
      </c>
      <c r="X51" s="209" t="str">
        <f>IFERROR(VLOOKUP(T51,Database!$A$2:$S$189,19,FALSE),"-")</f>
        <v>Y</v>
      </c>
      <c r="Y51" s="96">
        <f>IF(AND(D51="Y",booking!T51&lt;&gt;booking!U51,booking!U51&gt;0),booking!U51,"-")</f>
        <v>86</v>
      </c>
      <c r="Z51" s="79">
        <f>IFERROR(VLOOKUP(Y51,Database!$A$2:$L$189,8,FALSE),"-")</f>
        <v>0</v>
      </c>
      <c r="AA51" s="79" t="str">
        <f>IFERROR(VLOOKUP(Y51,Database!$A$2:$L$189,6,FALSE),"-")</f>
        <v>D</v>
      </c>
      <c r="AB51" s="92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35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8" t="str">
        <f>IFERROR(VLOOKUP(E52,Database!$A$2:$L$189,6,FALSE),"-")</f>
        <v>-</v>
      </c>
      <c r="H52" s="93" t="str">
        <f>IFERROR(VLOOKUP(E52,Database!$A$2:$L$189,9,FALSE),"-")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IFERROR(VLOOKUP(J52,Database!$A$2:$L$189,8,FALSE),"-")</f>
        <v>-</v>
      </c>
      <c r="L52" s="78" t="str">
        <f>IFERROR(VLOOKUP(J52,Database!$A$2:$L$189,6,FALSE),"-")</f>
        <v>-</v>
      </c>
      <c r="M52" s="93" t="str">
        <f>IFERROR(VLOOKUP(J52,Database!$A$2:$L$189,9,FALSE),"-")</f>
        <v>-</v>
      </c>
      <c r="N52" s="209" t="str">
        <f>IFERROR(VLOOKUP(J52,Database!$A$2:$S$189,19,FALSE),"-")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IFERROR(VLOOKUP(O52,Database!$A$2:$L$189,8,FALSE),"-")</f>
        <v>-</v>
      </c>
      <c r="Q52" s="78" t="str">
        <f>IFERROR(VLOOKUP(O52,Database!$A$2:$L$189,6,FALSE),"-")</f>
        <v>-</v>
      </c>
      <c r="R52" s="82" t="str">
        <f>IFERROR(VLOOKUP(O52,Database!$A$2:$L$189,9,FALSE),"-")</f>
        <v>-</v>
      </c>
      <c r="S52" s="209" t="str">
        <f>IFERROR(VLOOKUP(O52,Database!$A$2:$S$189,19,FALSE),"-")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IFERROR(VLOOKUP(T52,Database!$A$2:$L$189,8,FALSE),"-")</f>
        <v>-</v>
      </c>
      <c r="V52" s="78" t="str">
        <f>IFERROR(VLOOKUP(T52,Database!$A$2:$L$189,6,FALSE),"-")</f>
        <v>-</v>
      </c>
      <c r="W52" s="82" t="str">
        <f>IFERROR(VLOOKUP(T52,Database!$A$2:$L$189,9,FALSE),"-")</f>
        <v>-</v>
      </c>
      <c r="X52" s="209" t="str">
        <f>IFERROR(VLOOKUP(T52,Database!$A$2:$S$189,19,FALSE),"-")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IFERROR(VLOOKUP(Y52,Database!$A$2:$L$189,8,FALSE),"-")</f>
        <v>-</v>
      </c>
      <c r="AA52" s="79" t="str">
        <f>IFERROR(VLOOKUP(Y52,Database!$A$2:$L$189,6,FALSE),"-")</f>
        <v>-</v>
      </c>
      <c r="AB52" s="92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35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IFERROR(VLOOKUP(E53,Database!$A$2:$L$189,8,FALSE),"-")</f>
        <v>0</v>
      </c>
      <c r="G53" s="78" t="str">
        <f>IFERROR(VLOOKUP(E53,Database!$A$2:$L$189,6,FALSE),"-")</f>
        <v>DK</v>
      </c>
      <c r="H53" s="93">
        <f>IFERROR(VLOOKUP(E53,Database!$A$2:$L$189,9,FALSE),"-")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IFERROR(VLOOKUP(J53,Database!$A$2:$L$189,8,FALSE),"-")</f>
        <v>-</v>
      </c>
      <c r="L53" s="78" t="str">
        <f>IFERROR(VLOOKUP(J53,Database!$A$2:$L$189,6,FALSE),"-")</f>
        <v>-</v>
      </c>
      <c r="M53" s="93" t="str">
        <f>IFERROR(VLOOKUP(J53,Database!$A$2:$L$189,9,FALSE),"-")</f>
        <v>-</v>
      </c>
      <c r="N53" s="209" t="str">
        <f>IFERROR(VLOOKUP(J53,Database!$A$2:$S$189,19,FALSE),"-")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IFERROR(VLOOKUP(O53,Database!$A$2:$L$189,8,FALSE),"-")</f>
        <v>-</v>
      </c>
      <c r="Q53" s="78" t="str">
        <f>IFERROR(VLOOKUP(O53,Database!$A$2:$L$189,6,FALSE),"-")</f>
        <v>-</v>
      </c>
      <c r="R53" s="82" t="str">
        <f>IFERROR(VLOOKUP(O53,Database!$A$2:$L$189,9,FALSE),"-")</f>
        <v>-</v>
      </c>
      <c r="S53" s="209" t="str">
        <f>IFERROR(VLOOKUP(O53,Database!$A$2:$S$189,19,FALSE),"-")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IFERROR(VLOOKUP(T53,Database!$A$2:$L$189,8,FALSE),"-")</f>
        <v>-</v>
      </c>
      <c r="V53" s="78" t="str">
        <f>IFERROR(VLOOKUP(T53,Database!$A$2:$L$189,6,FALSE),"-")</f>
        <v>-</v>
      </c>
      <c r="W53" s="82" t="str">
        <f>IFERROR(VLOOKUP(T53,Database!$A$2:$L$189,9,FALSE),"-")</f>
        <v>-</v>
      </c>
      <c r="X53" s="209" t="str">
        <f>IFERROR(VLOOKUP(T53,Database!$A$2:$S$189,19,FALSE),"-")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IFERROR(VLOOKUP(Y53,Database!$A$2:$L$189,8,FALSE),"-")</f>
        <v>-</v>
      </c>
      <c r="AA53" s="79" t="str">
        <f>IFERROR(VLOOKUP(Y53,Database!$A$2:$L$189,6,FALSE),"-")</f>
        <v>-</v>
      </c>
      <c r="AB53" s="92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35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8" t="str">
        <f>IFERROR(VLOOKUP(E54,Database!$A$2:$L$189,6,FALSE),"-")</f>
        <v>-</v>
      </c>
      <c r="H54" s="93" t="str">
        <f>IFERROR(VLOOKUP(E54,Database!$A$2:$L$189,9,FALSE),"-")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IFERROR(VLOOKUP(J54,Database!$A$2:$L$189,8,FALSE),"-")</f>
        <v>-</v>
      </c>
      <c r="L54" s="78" t="str">
        <f>IFERROR(VLOOKUP(J54,Database!$A$2:$L$189,6,FALSE),"-")</f>
        <v>-</v>
      </c>
      <c r="M54" s="93" t="str">
        <f>IFERROR(VLOOKUP(J54,Database!$A$2:$L$189,9,FALSE),"-")</f>
        <v>-</v>
      </c>
      <c r="N54" s="209" t="str">
        <f>IFERROR(VLOOKUP(J54,Database!$A$2:$S$189,19,FALSE),"-")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IFERROR(VLOOKUP(O54,Database!$A$2:$L$189,8,FALSE),"-")</f>
        <v>-</v>
      </c>
      <c r="Q54" s="78" t="str">
        <f>IFERROR(VLOOKUP(O54,Database!$A$2:$L$189,6,FALSE),"-")</f>
        <v>-</v>
      </c>
      <c r="R54" s="82" t="str">
        <f>IFERROR(VLOOKUP(O54,Database!$A$2:$L$189,9,FALSE),"-")</f>
        <v>-</v>
      </c>
      <c r="S54" s="209" t="str">
        <f>IFERROR(VLOOKUP(O54,Database!$A$2:$S$189,19,FALSE),"-")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IFERROR(VLOOKUP(T54,Database!$A$2:$L$189,8,FALSE),"-")</f>
        <v>-</v>
      </c>
      <c r="V54" s="78" t="str">
        <f>IFERROR(VLOOKUP(T54,Database!$A$2:$L$189,6,FALSE),"-")</f>
        <v>-</v>
      </c>
      <c r="W54" s="82" t="str">
        <f>IFERROR(VLOOKUP(T54,Database!$A$2:$L$189,9,FALSE),"-")</f>
        <v>-</v>
      </c>
      <c r="X54" s="209" t="str">
        <f>IFERROR(VLOOKUP(T54,Database!$A$2:$S$189,19,FALSE),"-")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IFERROR(VLOOKUP(Y54,Database!$A$2:$L$189,8,FALSE),"-")</f>
        <v>-</v>
      </c>
      <c r="AA54" s="79" t="str">
        <f>IFERROR(VLOOKUP(Y54,Database!$A$2:$L$189,6,FALSE),"-")</f>
        <v>-</v>
      </c>
      <c r="AB54" s="92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35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8" t="str">
        <f>IFERROR(VLOOKUP(E55,Database!$A$2:$L$189,6,FALSE),"-")</f>
        <v>-</v>
      </c>
      <c r="H55" s="93" t="str">
        <f>IFERROR(VLOOKUP(E55,Database!$A$2:$L$189,9,FALSE),"-")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IFERROR(VLOOKUP(J55,Database!$A$2:$L$189,8,FALSE),"-")</f>
        <v>0</v>
      </c>
      <c r="L55" s="78" t="str">
        <f>IFERROR(VLOOKUP(J55,Database!$A$2:$L$189,6,FALSE),"-")</f>
        <v>D</v>
      </c>
      <c r="M55" s="93" t="str">
        <f>IFERROR(VLOOKUP(J55,Database!$A$2:$L$189,9,FALSE),"-")</f>
        <v>sing</v>
      </c>
      <c r="N55" s="209" t="str">
        <f>IFERROR(VLOOKUP(J55,Database!$A$2:$S$189,19,FALSE),"-")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IFERROR(VLOOKUP(O55,Database!$A$2:$L$189,8,FALSE),"-")</f>
        <v>2000</v>
      </c>
      <c r="Q55" s="78" t="str">
        <f>IFERROR(VLOOKUP(O55,Database!$A$2:$L$189,6,FALSE),"-")</f>
        <v>DK</v>
      </c>
      <c r="R55" s="82" t="str">
        <f>IFERROR(VLOOKUP(O55,Database!$A$2:$L$189,9,FALSE),"-")</f>
        <v>dobb</v>
      </c>
      <c r="S55" s="209" t="str">
        <f>IFERROR(VLOOKUP(O55,Database!$A$2:$S$189,19,FALSE),"-")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IFERROR(VLOOKUP(T55,Database!$A$2:$L$189,8,FALSE),"-")</f>
        <v>-</v>
      </c>
      <c r="V55" s="78" t="str">
        <f>IFERROR(VLOOKUP(T55,Database!$A$2:$L$189,6,FALSE),"-")</f>
        <v>-</v>
      </c>
      <c r="W55" s="82" t="str">
        <f>IFERROR(VLOOKUP(T55,Database!$A$2:$L$189,9,FALSE),"-")</f>
        <v>-</v>
      </c>
      <c r="X55" s="209" t="str">
        <f>IFERROR(VLOOKUP(T55,Database!$A$2:$S$189,19,FALSE),"-")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IFERROR(VLOOKUP(Y55,Database!$A$2:$L$189,8,FALSE),"-")</f>
        <v>-</v>
      </c>
      <c r="AA55" s="79" t="str">
        <f>IFERROR(VLOOKUP(Y55,Database!$A$2:$L$189,6,FALSE),"-")</f>
        <v>-</v>
      </c>
      <c r="AB55" s="92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35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8" t="str">
        <f>IFERROR(VLOOKUP(E56,Database!$A$2:$L$189,6,FALSE),"-")</f>
        <v>-</v>
      </c>
      <c r="H56" s="93" t="str">
        <f>IFERROR(VLOOKUP(E56,Database!$A$2:$L$189,9,FALSE),"-")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IFERROR(VLOOKUP(J56,Database!$A$2:$L$189,8,FALSE),"-")</f>
        <v>-</v>
      </c>
      <c r="L56" s="78" t="str">
        <f>IFERROR(VLOOKUP(J56,Database!$A$2:$L$189,6,FALSE),"-")</f>
        <v>-</v>
      </c>
      <c r="M56" s="93" t="str">
        <f>IFERROR(VLOOKUP(J56,Database!$A$2:$L$189,9,FALSE),"-")</f>
        <v>-</v>
      </c>
      <c r="N56" s="209" t="str">
        <f>IFERROR(VLOOKUP(J56,Database!$A$2:$S$189,19,FALSE),"-")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IFERROR(VLOOKUP(O56,Database!$A$2:$L$189,8,FALSE),"-")</f>
        <v>-</v>
      </c>
      <c r="Q56" s="78" t="str">
        <f>IFERROR(VLOOKUP(O56,Database!$A$2:$L$189,6,FALSE),"-")</f>
        <v>-</v>
      </c>
      <c r="R56" s="82" t="str">
        <f>IFERROR(VLOOKUP(O56,Database!$A$2:$L$189,9,FALSE),"-")</f>
        <v>-</v>
      </c>
      <c r="S56" s="209" t="str">
        <f>IFERROR(VLOOKUP(O56,Database!$A$2:$S$189,19,FALSE),"-")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IFERROR(VLOOKUP(T56,Database!$A$2:$L$189,8,FALSE),"-")</f>
        <v>-</v>
      </c>
      <c r="V56" s="78" t="str">
        <f>IFERROR(VLOOKUP(T56,Database!$A$2:$L$189,6,FALSE),"-")</f>
        <v>-</v>
      </c>
      <c r="W56" s="82" t="str">
        <f>IFERROR(VLOOKUP(T56,Database!$A$2:$L$189,9,FALSE),"-")</f>
        <v>-</v>
      </c>
      <c r="X56" s="209" t="str">
        <f>IFERROR(VLOOKUP(T56,Database!$A$2:$S$189,19,FALSE),"-")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IFERROR(VLOOKUP(Y56,Database!$A$2:$L$189,8,FALSE),"-")</f>
        <v>-</v>
      </c>
      <c r="AA56" s="79" t="str">
        <f>IFERROR(VLOOKUP(Y56,Database!$A$2:$L$189,6,FALSE),"-")</f>
        <v>-</v>
      </c>
      <c r="AB56" s="92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35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8" t="str">
        <f>IFERROR(VLOOKUP(E57,Database!$A$2:$L$189,6,FALSE),"-")</f>
        <v>-</v>
      </c>
      <c r="H57" s="93" t="str">
        <f>IFERROR(VLOOKUP(E57,Database!$A$2:$L$189,9,FALSE),"-")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IFERROR(VLOOKUP(J57,Database!$A$2:$L$189,8,FALSE),"-")</f>
        <v>-</v>
      </c>
      <c r="L57" s="78" t="str">
        <f>IFERROR(VLOOKUP(J57,Database!$A$2:$L$189,6,FALSE),"-")</f>
        <v>-</v>
      </c>
      <c r="M57" s="93" t="str">
        <f>IFERROR(VLOOKUP(J57,Database!$A$2:$L$189,9,FALSE),"-")</f>
        <v>-</v>
      </c>
      <c r="N57" s="209" t="str">
        <f>IFERROR(VLOOKUP(J57,Database!$A$2:$S$189,19,FALSE),"-")</f>
        <v>-</v>
      </c>
      <c r="O57" s="96">
        <f>IF(AND(D57="Y",booking!L57&lt;&gt;booking!M57,booking!M57&gt;0),booking!M57,"-")</f>
        <v>129</v>
      </c>
      <c r="P57" s="78">
        <f>IFERROR(VLOOKUP(O57,Database!$A$2:$L$189,8,FALSE),"-")</f>
        <v>0</v>
      </c>
      <c r="Q57" s="78" t="str">
        <f>IFERROR(VLOOKUP(O57,Database!$A$2:$L$189,6,FALSE),"-")</f>
        <v>S</v>
      </c>
      <c r="R57" s="82">
        <f>IFERROR(VLOOKUP(O57,Database!$A$2:$L$189,9,FALSE),"-")</f>
        <v>0</v>
      </c>
      <c r="S57" s="209" t="str">
        <f>IFERROR(VLOOKUP(O57,Database!$A$2:$S$189,19,FALSE),"-")</f>
        <v>N</v>
      </c>
      <c r="T57" s="97">
        <f>IF(AND(D57="Y",booking!P57&lt;&gt;booking!Q57,booking!Q57&gt;0),booking!Q57,"-")</f>
        <v>130</v>
      </c>
      <c r="U57" s="78">
        <f>IFERROR(VLOOKUP(T57,Database!$A$2:$L$189,8,FALSE),"-")</f>
        <v>0</v>
      </c>
      <c r="V57" s="78" t="str">
        <f>IFERROR(VLOOKUP(T57,Database!$A$2:$L$189,6,FALSE),"-")</f>
        <v>S</v>
      </c>
      <c r="W57" s="82">
        <f>IFERROR(VLOOKUP(T57,Database!$A$2:$L$189,9,FALSE),"-")</f>
        <v>0</v>
      </c>
      <c r="X57" s="209" t="str">
        <f>IFERROR(VLOOKUP(T57,Database!$A$2:$S$189,19,FALSE),"-")</f>
        <v>N</v>
      </c>
      <c r="Y57" s="96" t="str">
        <f>IF(AND(D57="Y",booking!T57&lt;&gt;booking!U57,booking!U57&gt;0),booking!U57,"-")</f>
        <v>-</v>
      </c>
      <c r="Z57" s="79" t="str">
        <f>IFERROR(VLOOKUP(Y57,Database!$A$2:$L$189,8,FALSE),"-")</f>
        <v>-</v>
      </c>
      <c r="AA57" s="79" t="str">
        <f>IFERROR(VLOOKUP(Y57,Database!$A$2:$L$189,6,FALSE),"-")</f>
        <v>-</v>
      </c>
      <c r="AB57" s="92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35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IFERROR(VLOOKUP(E58,Database!$A$2:$L$189,8,FALSE),"-")</f>
        <v>-</v>
      </c>
      <c r="G58" s="78" t="str">
        <f>IFERROR(VLOOKUP(E58,Database!$A$2:$L$189,6,FALSE),"-")</f>
        <v>-</v>
      </c>
      <c r="H58" s="93" t="str">
        <f>IFERROR(VLOOKUP(E58,Database!$A$2:$L$189,9,FALSE),"-")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IFERROR(VLOOKUP(J58,Database!$A$2:$L$189,8,FALSE),"-")</f>
        <v>0</v>
      </c>
      <c r="L58" s="78" t="str">
        <f>IFERROR(VLOOKUP(J58,Database!$A$2:$L$189,6,FALSE),"-")</f>
        <v>DK</v>
      </c>
      <c r="M58" s="93" t="str">
        <f>IFERROR(VLOOKUP(J58,Database!$A$2:$L$189,9,FALSE),"-")</f>
        <v>Sing</v>
      </c>
      <c r="N58" s="209" t="str">
        <f>IFERROR(VLOOKUP(J58,Database!$A$2:$S$189,19,FALSE),"-")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IFERROR(VLOOKUP(O58,Database!$A$2:$L$189,8,FALSE),"-")</f>
        <v>-</v>
      </c>
      <c r="Q58" s="78" t="str">
        <f>IFERROR(VLOOKUP(O58,Database!$A$2:$L$189,6,FALSE),"-")</f>
        <v>-</v>
      </c>
      <c r="R58" s="82" t="str">
        <f>IFERROR(VLOOKUP(O58,Database!$A$2:$L$189,9,FALSE),"-")</f>
        <v>-</v>
      </c>
      <c r="S58" s="209" t="str">
        <f>IFERROR(VLOOKUP(O58,Database!$A$2:$S$189,19,FALSE),"-")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IFERROR(VLOOKUP(T58,Database!$A$2:$L$189,8,FALSE),"-")</f>
        <v>-</v>
      </c>
      <c r="V58" s="78" t="str">
        <f>IFERROR(VLOOKUP(T58,Database!$A$2:$L$189,6,FALSE),"-")</f>
        <v>-</v>
      </c>
      <c r="W58" s="82" t="str">
        <f>IFERROR(VLOOKUP(T58,Database!$A$2:$L$189,9,FALSE),"-")</f>
        <v>-</v>
      </c>
      <c r="X58" s="209" t="str">
        <f>IFERROR(VLOOKUP(T58,Database!$A$2:$S$189,19,FALSE),"-")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IFERROR(VLOOKUP(Y58,Database!$A$2:$L$189,8,FALSE),"-")</f>
        <v>1430</v>
      </c>
      <c r="AA58" s="79" t="str">
        <f>IFERROR(VLOOKUP(Y58,Database!$A$2:$L$189,6,FALSE),"-")</f>
        <v>DK</v>
      </c>
      <c r="AB58" s="92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35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8" t="str">
        <f>IFERROR(VLOOKUP(E59,Database!$A$2:$L$189,6,FALSE),"-")</f>
        <v>-</v>
      </c>
      <c r="H59" s="93" t="str">
        <f>IFERROR(VLOOKUP(E59,Database!$A$2:$L$189,9,FALSE),"-")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IFERROR(VLOOKUP(J59,Database!$A$2:$L$189,8,FALSE),"-")</f>
        <v>-</v>
      </c>
      <c r="L59" s="78" t="str">
        <f>IFERROR(VLOOKUP(J59,Database!$A$2:$L$189,6,FALSE),"-")</f>
        <v>-</v>
      </c>
      <c r="M59" s="93" t="str">
        <f>IFERROR(VLOOKUP(J59,Database!$A$2:$L$189,9,FALSE),"-")</f>
        <v>-</v>
      </c>
      <c r="N59" s="209" t="str">
        <f>IFERROR(VLOOKUP(J59,Database!$A$2:$S$189,19,FALSE),"-")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IFERROR(VLOOKUP(O59,Database!$A$2:$L$189,8,FALSE),"-")</f>
        <v>-</v>
      </c>
      <c r="Q59" s="78" t="str">
        <f>IFERROR(VLOOKUP(O59,Database!$A$2:$L$189,6,FALSE),"-")</f>
        <v>-</v>
      </c>
      <c r="R59" s="82" t="str">
        <f>IFERROR(VLOOKUP(O59,Database!$A$2:$L$189,9,FALSE),"-")</f>
        <v>-</v>
      </c>
      <c r="S59" s="209" t="str">
        <f>IFERROR(VLOOKUP(O59,Database!$A$2:$S$189,19,FALSE),"-")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IFERROR(VLOOKUP(T59,Database!$A$2:$L$189,8,FALSE),"-")</f>
        <v>-</v>
      </c>
      <c r="V59" s="78" t="str">
        <f>IFERROR(VLOOKUP(T59,Database!$A$2:$L$189,6,FALSE),"-")</f>
        <v>-</v>
      </c>
      <c r="W59" s="82" t="str">
        <f>IFERROR(VLOOKUP(T59,Database!$A$2:$L$189,9,FALSE),"-")</f>
        <v>-</v>
      </c>
      <c r="X59" s="209" t="str">
        <f>IFERROR(VLOOKUP(T59,Database!$A$2:$S$189,19,FALSE),"-")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IFERROR(VLOOKUP(Y59,Database!$A$2:$L$189,8,FALSE),"-")</f>
        <v>-</v>
      </c>
      <c r="AA59" s="79" t="str">
        <f>IFERROR(VLOOKUP(Y59,Database!$A$2:$L$189,6,FALSE),"-")</f>
        <v>-</v>
      </c>
      <c r="AB59" s="92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35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8" t="str">
        <f>IFERROR(VLOOKUP(E60,Database!$A$2:$L$189,6,FALSE),"-")</f>
        <v>-</v>
      </c>
      <c r="H60" s="93" t="str">
        <f>IFERROR(VLOOKUP(E60,Database!$A$2:$L$189,9,FALSE),"-")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IFERROR(VLOOKUP(J60,Database!$A$2:$L$189,8,FALSE),"-")</f>
        <v>-</v>
      </c>
      <c r="L60" s="78" t="str">
        <f>IFERROR(VLOOKUP(J60,Database!$A$2:$L$189,6,FALSE),"-")</f>
        <v>-</v>
      </c>
      <c r="M60" s="93" t="str">
        <f>IFERROR(VLOOKUP(J60,Database!$A$2:$L$189,9,FALSE),"-")</f>
        <v>-</v>
      </c>
      <c r="N60" s="209" t="str">
        <f>IFERROR(VLOOKUP(J60,Database!$A$2:$S$189,19,FALSE),"-")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IFERROR(VLOOKUP(O60,Database!$A$2:$L$189,8,FALSE),"-")</f>
        <v>-</v>
      </c>
      <c r="Q60" s="78" t="str">
        <f>IFERROR(VLOOKUP(O60,Database!$A$2:$L$189,6,FALSE),"-")</f>
        <v>-</v>
      </c>
      <c r="R60" s="82" t="str">
        <f>IFERROR(VLOOKUP(O60,Database!$A$2:$L$189,9,FALSE),"-")</f>
        <v>-</v>
      </c>
      <c r="S60" s="209" t="str">
        <f>IFERROR(VLOOKUP(O60,Database!$A$2:$S$189,19,FALSE),"-")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IFERROR(VLOOKUP(T60,Database!$A$2:$L$189,8,FALSE),"-")</f>
        <v>-</v>
      </c>
      <c r="V60" s="78" t="str">
        <f>IFERROR(VLOOKUP(T60,Database!$A$2:$L$189,6,FALSE),"-")</f>
        <v>-</v>
      </c>
      <c r="W60" s="82" t="str">
        <f>IFERROR(VLOOKUP(T60,Database!$A$2:$L$189,9,FALSE),"-")</f>
        <v>-</v>
      </c>
      <c r="X60" s="209" t="str">
        <f>IFERROR(VLOOKUP(T60,Database!$A$2:$S$189,19,FALSE),"-")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IFERROR(VLOOKUP(Y60,Database!$A$2:$L$189,8,FALSE),"-")</f>
        <v>-</v>
      </c>
      <c r="AA60" s="79" t="str">
        <f>IFERROR(VLOOKUP(Y60,Database!$A$2:$L$189,6,FALSE),"-")</f>
        <v>-</v>
      </c>
      <c r="AB60" s="92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35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>
        <f>IF(AND(D61="Y",booking!D61&lt;&gt;booking!E61,booking!E61&gt;0),booking!E61,"-")</f>
        <v>64</v>
      </c>
      <c r="F61" s="8">
        <f>IFERROR(VLOOKUP(E61,Database!$A$2:$L$189,8,FALSE),"-")</f>
        <v>0</v>
      </c>
      <c r="G61" s="78" t="str">
        <f>IFERROR(VLOOKUP(E61,Database!$A$2:$L$189,6,FALSE),"-")</f>
        <v>S</v>
      </c>
      <c r="H61" s="93" t="str">
        <f>IFERROR(VLOOKUP(E61,Database!$A$2:$L$189,9,FALSE),"-")</f>
        <v>sing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IFERROR(VLOOKUP(J61,Database!$A$2:$L$189,8,FALSE),"-")</f>
        <v>-</v>
      </c>
      <c r="L61" s="78" t="str">
        <f>IFERROR(VLOOKUP(J61,Database!$A$2:$L$189,6,FALSE),"-")</f>
        <v>-</v>
      </c>
      <c r="M61" s="93" t="str">
        <f>IFERROR(VLOOKUP(J61,Database!$A$2:$L$189,9,FALSE),"-")</f>
        <v>-</v>
      </c>
      <c r="N61" s="209" t="str">
        <f>IFERROR(VLOOKUP(J61,Database!$A$2:$S$189,19,FALSE),"-")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IFERROR(VLOOKUP(O61,Database!$A$2:$L$189,8,FALSE),"-")</f>
        <v>1630</v>
      </c>
      <c r="Q61" s="78" t="str">
        <f>IFERROR(VLOOKUP(O61,Database!$A$2:$L$189,6,FALSE),"-")</f>
        <v>D</v>
      </c>
      <c r="R61" s="82" t="str">
        <f>IFERROR(VLOOKUP(O61,Database!$A$2:$L$189,9,FALSE),"-")</f>
        <v>dobb</v>
      </c>
      <c r="S61" s="209" t="str">
        <f>IFERROR(VLOOKUP(O61,Database!$A$2:$S$189,19,FALSE),"-")</f>
        <v>N</v>
      </c>
      <c r="T61" s="97" t="str">
        <f>IF(AND(D61="Y",booking!P61&lt;&gt;booking!Q61,booking!Q61&gt;0),booking!Q61,"-")</f>
        <v>-</v>
      </c>
      <c r="U61" s="78" t="str">
        <f>IFERROR(VLOOKUP(T61,Database!$A$2:$L$189,8,FALSE),"-")</f>
        <v>-</v>
      </c>
      <c r="V61" s="78" t="str">
        <f>IFERROR(VLOOKUP(T61,Database!$A$2:$L$189,6,FALSE),"-")</f>
        <v>-</v>
      </c>
      <c r="W61" s="82" t="str">
        <f>IFERROR(VLOOKUP(T61,Database!$A$2:$L$189,9,FALSE),"-")</f>
        <v>-</v>
      </c>
      <c r="X61" s="209" t="str">
        <f>IFERROR(VLOOKUP(T61,Database!$A$2:$S$189,19,FALSE),"-")</f>
        <v>-</v>
      </c>
      <c r="Y61" s="96" t="str">
        <f>IF(AND(D61="Y",booking!T61&lt;&gt;booking!U61,booking!U61&gt;0),booking!U61,"-")</f>
        <v>-</v>
      </c>
      <c r="Z61" s="79" t="str">
        <f>IFERROR(VLOOKUP(Y61,Database!$A$2:$L$189,8,FALSE),"-")</f>
        <v>-</v>
      </c>
      <c r="AA61" s="79" t="str">
        <f>IFERROR(VLOOKUP(Y61,Database!$A$2:$L$189,6,FALSE),"-")</f>
        <v>-</v>
      </c>
      <c r="AB61" s="92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35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8" t="str">
        <f>IFERROR(VLOOKUP(E62,Database!$A$2:$L$189,6,FALSE),"-")</f>
        <v>-</v>
      </c>
      <c r="H62" s="93" t="str">
        <f>IFERROR(VLOOKUP(E62,Database!$A$2:$L$189,9,FALSE),"-")</f>
        <v>-</v>
      </c>
      <c r="I62" s="112"/>
      <c r="J62" s="96">
        <f>IF(AND(D62="Y",booking!H62&lt;&gt;booking!I62,booking!I62&gt;0),booking!I62,"-")</f>
        <v>61</v>
      </c>
      <c r="K62" s="78" t="str">
        <f>IFERROR(VLOOKUP(J62,Database!$A$2:$L$189,8,FALSE),"-")</f>
        <v>1230</v>
      </c>
      <c r="L62" s="78" t="str">
        <f>IFERROR(VLOOKUP(J62,Database!$A$2:$L$189,6,FALSE),"-")</f>
        <v>D</v>
      </c>
      <c r="M62" s="93" t="str">
        <f>IFERROR(VLOOKUP(J62,Database!$A$2:$L$189,9,FALSE),"-")</f>
        <v>Dobb</v>
      </c>
      <c r="N62" s="209" t="str">
        <f>IFERROR(VLOOKUP(J62,Database!$A$2:$S$189,19,FALSE),"-")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IFERROR(VLOOKUP(O62,Database!$A$2:$L$189,8,FALSE),"-")</f>
        <v>-</v>
      </c>
      <c r="Q62" s="78" t="str">
        <f>IFERROR(VLOOKUP(O62,Database!$A$2:$L$189,6,FALSE),"-")</f>
        <v>-</v>
      </c>
      <c r="R62" s="82" t="str">
        <f>IFERROR(VLOOKUP(O62,Database!$A$2:$L$189,9,FALSE),"-")</f>
        <v>-</v>
      </c>
      <c r="S62" s="209" t="str">
        <f>IFERROR(VLOOKUP(O62,Database!$A$2:$S$189,19,FALSE),"-")</f>
        <v>-</v>
      </c>
      <c r="T62" s="97">
        <f>IF(AND(D62="Y",booking!P62&lt;&gt;booking!Q62,booking!Q62&gt;0),booking!Q62,"-")</f>
        <v>87</v>
      </c>
      <c r="U62" s="78">
        <f>IFERROR(VLOOKUP(T62,Database!$A$2:$L$189,8,FALSE),"-")</f>
        <v>0</v>
      </c>
      <c r="V62" s="78" t="str">
        <f>IFERROR(VLOOKUP(T62,Database!$A$2:$L$189,6,FALSE),"-")</f>
        <v>D</v>
      </c>
      <c r="W62" s="82">
        <f>IFERROR(VLOOKUP(T62,Database!$A$2:$L$189,9,FALSE),"-")</f>
        <v>0</v>
      </c>
      <c r="X62" s="209" t="str">
        <f>IFERROR(VLOOKUP(T62,Database!$A$2:$S$189,19,FALSE),"-")</f>
        <v>N</v>
      </c>
      <c r="Y62" s="96" t="str">
        <f>IF(AND(D62="Y",booking!T62&lt;&gt;booking!U62,booking!U62&gt;0),booking!U62,"-")</f>
        <v>-</v>
      </c>
      <c r="Z62" s="79" t="str">
        <f>IFERROR(VLOOKUP(Y62,Database!$A$2:$L$189,8,FALSE),"-")</f>
        <v>-</v>
      </c>
      <c r="AA62" s="79" t="str">
        <f>IFERROR(VLOOKUP(Y62,Database!$A$2:$L$189,6,FALSE),"-")</f>
        <v>-</v>
      </c>
      <c r="AB62" s="92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35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8" t="str">
        <f>IFERROR(VLOOKUP(E63,Database!$A$2:$L$189,6,FALSE),"-")</f>
        <v>-</v>
      </c>
      <c r="H63" s="93" t="str">
        <f>IFERROR(VLOOKUP(E63,Database!$A$2:$L$189,9,FALSE),"-")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IFERROR(VLOOKUP(J63,Database!$A$2:$L$189,8,FALSE),"-")</f>
        <v>-</v>
      </c>
      <c r="L63" s="78" t="str">
        <f>IFERROR(VLOOKUP(J63,Database!$A$2:$L$189,6,FALSE),"-")</f>
        <v>-</v>
      </c>
      <c r="M63" s="93" t="str">
        <f>IFERROR(VLOOKUP(J63,Database!$A$2:$L$189,9,FALSE),"-")</f>
        <v>-</v>
      </c>
      <c r="N63" s="209" t="str">
        <f>IFERROR(VLOOKUP(J63,Database!$A$2:$S$189,19,FALSE),"-")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IFERROR(VLOOKUP(O63,Database!$A$2:$L$189,8,FALSE),"-")</f>
        <v>-</v>
      </c>
      <c r="Q63" s="78" t="str">
        <f>IFERROR(VLOOKUP(O63,Database!$A$2:$L$189,6,FALSE),"-")</f>
        <v>-</v>
      </c>
      <c r="R63" s="82" t="str">
        <f>IFERROR(VLOOKUP(O63,Database!$A$2:$L$189,9,FALSE),"-")</f>
        <v>-</v>
      </c>
      <c r="S63" s="209" t="str">
        <f>IFERROR(VLOOKUP(O63,Database!$A$2:$S$189,19,FALSE),"-")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IFERROR(VLOOKUP(T63,Database!$A$2:$L$189,8,FALSE),"-")</f>
        <v>-</v>
      </c>
      <c r="V63" s="78" t="str">
        <f>IFERROR(VLOOKUP(T63,Database!$A$2:$L$189,6,FALSE),"-")</f>
        <v>-</v>
      </c>
      <c r="W63" s="82" t="str">
        <f>IFERROR(VLOOKUP(T63,Database!$A$2:$L$189,9,FALSE),"-")</f>
        <v>-</v>
      </c>
      <c r="X63" s="209" t="str">
        <f>IFERROR(VLOOKUP(T63,Database!$A$2:$S$189,19,FALSE),"-")</f>
        <v>-</v>
      </c>
      <c r="Y63" s="96">
        <f>IF(AND(D63="Y",booking!T63&lt;&gt;booking!U63,booking!U63&gt;0),booking!U63,"-")</f>
        <v>77</v>
      </c>
      <c r="Z63" s="79">
        <f>IFERROR(VLOOKUP(Y63,Database!$A$2:$L$189,8,FALSE),"-")</f>
        <v>0</v>
      </c>
      <c r="AA63" s="79" t="str">
        <f>IFERROR(VLOOKUP(Y63,Database!$A$2:$L$189,6,FALSE),"-")</f>
        <v>DK</v>
      </c>
      <c r="AB63" s="92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35">
      <c r="A64" s="88" t="str">
        <f>rengoering!A64</f>
        <v>søndag</v>
      </c>
      <c r="B64" s="86">
        <v>46201</v>
      </c>
      <c r="C64" s="9"/>
      <c r="D64" s="89" t="str">
        <f>IF(booking!AB64&gt;0,"Y","-")</f>
        <v>Y</v>
      </c>
      <c r="E64" s="95">
        <f>IF(AND(D64="Y",booking!D64&lt;&gt;booking!E64,booking!E64&gt;0),booking!E64,"-")</f>
        <v>135</v>
      </c>
      <c r="F64" s="8">
        <f>IFERROR(VLOOKUP(E64,Database!$A$2:$L$189,8,FALSE),"-")</f>
        <v>0</v>
      </c>
      <c r="G64" s="78" t="str">
        <f>IFERROR(VLOOKUP(E64,Database!$A$2:$L$189,6,FALSE),"-")</f>
        <v>D</v>
      </c>
      <c r="H64" s="93">
        <f>IFERROR(VLOOKUP(E64,Database!$A$2:$L$189,9,FALSE),"-")</f>
        <v>0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IFERROR(VLOOKUP(J64,Database!$A$2:$L$189,8,FALSE),"-")</f>
        <v>-</v>
      </c>
      <c r="L64" s="78" t="str">
        <f>IFERROR(VLOOKUP(J64,Database!$A$2:$L$189,6,FALSE),"-")</f>
        <v>-</v>
      </c>
      <c r="M64" s="93" t="str">
        <f>IFERROR(VLOOKUP(J64,Database!$A$2:$L$189,9,FALSE),"-")</f>
        <v>-</v>
      </c>
      <c r="N64" s="209" t="str">
        <f>IFERROR(VLOOKUP(J64,Database!$A$2:$S$189,19,FALSE),"-")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IFERROR(VLOOKUP(O64,Database!$A$2:$L$189,8,FALSE),"-")</f>
        <v>-</v>
      </c>
      <c r="Q64" s="78" t="str">
        <f>IFERROR(VLOOKUP(O64,Database!$A$2:$L$189,6,FALSE),"-")</f>
        <v>-</v>
      </c>
      <c r="R64" s="82" t="str">
        <f>IFERROR(VLOOKUP(O64,Database!$A$2:$L$189,9,FALSE),"-")</f>
        <v>-</v>
      </c>
      <c r="S64" s="209" t="str">
        <f>IFERROR(VLOOKUP(O64,Database!$A$2:$S$189,19,FALSE),"-")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IFERROR(VLOOKUP(T64,Database!$A$2:$L$189,8,FALSE),"-")</f>
        <v>-</v>
      </c>
      <c r="V64" s="78" t="str">
        <f>IFERROR(VLOOKUP(T64,Database!$A$2:$L$189,6,FALSE),"-")</f>
        <v>-</v>
      </c>
      <c r="W64" s="82" t="str">
        <f>IFERROR(VLOOKUP(T64,Database!$A$2:$L$189,9,FALSE),"-")</f>
        <v>-</v>
      </c>
      <c r="X64" s="209" t="str">
        <f>IFERROR(VLOOKUP(T64,Database!$A$2:$S$189,19,FALSE),"-")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IFERROR(VLOOKUP(Y64,Database!$A$2:$L$189,8,FALSE),"-")</f>
        <v>-</v>
      </c>
      <c r="AA64" s="79" t="str">
        <f>IFERROR(VLOOKUP(Y64,Database!$A$2:$L$189,6,FALSE),"-")</f>
        <v>-</v>
      </c>
      <c r="AB64" s="92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35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8" t="str">
        <f>IFERROR(VLOOKUP(E65,Database!$A$2:$L$189,6,FALSE),"-")</f>
        <v>-</v>
      </c>
      <c r="H65" s="93" t="str">
        <f>IFERROR(VLOOKUP(E65,Database!$A$2:$L$189,9,FALSE),"-")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IFERROR(VLOOKUP(J65,Database!$A$2:$L$189,8,FALSE),"-")</f>
        <v>-</v>
      </c>
      <c r="L65" s="78" t="str">
        <f>IFERROR(VLOOKUP(J65,Database!$A$2:$L$189,6,FALSE),"-")</f>
        <v>-</v>
      </c>
      <c r="M65" s="93" t="str">
        <f>IFERROR(VLOOKUP(J65,Database!$A$2:$L$189,9,FALSE),"-")</f>
        <v>-</v>
      </c>
      <c r="N65" s="209" t="str">
        <f>IFERROR(VLOOKUP(J65,Database!$A$2:$S$189,19,FALSE),"-")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IFERROR(VLOOKUP(O65,Database!$A$2:$L$189,8,FALSE),"-")</f>
        <v>-</v>
      </c>
      <c r="Q65" s="78" t="str">
        <f>IFERROR(VLOOKUP(O65,Database!$A$2:$L$189,6,FALSE),"-")</f>
        <v>-</v>
      </c>
      <c r="R65" s="82" t="str">
        <f>IFERROR(VLOOKUP(O65,Database!$A$2:$L$189,9,FALSE),"-")</f>
        <v>-</v>
      </c>
      <c r="S65" s="209" t="str">
        <f>IFERROR(VLOOKUP(O65,Database!$A$2:$S$189,19,FALSE),"-")</f>
        <v>-</v>
      </c>
      <c r="T65" s="97">
        <f>IF(AND(D65="Y",booking!P65&lt;&gt;booking!Q65,booking!Q65&gt;0),booking!Q65,"-")</f>
        <v>76</v>
      </c>
      <c r="U65" s="78">
        <f>IFERROR(VLOOKUP(T65,Database!$A$2:$L$189,8,FALSE),"-")</f>
        <v>0</v>
      </c>
      <c r="V65" s="78" t="str">
        <f>IFERROR(VLOOKUP(T65,Database!$A$2:$L$189,6,FALSE),"-")</f>
        <v>DK</v>
      </c>
      <c r="W65" s="82" t="str">
        <f>IFERROR(VLOOKUP(T65,Database!$A$2:$L$189,9,FALSE),"-")</f>
        <v>sing</v>
      </c>
      <c r="X65" s="209" t="str">
        <f>IFERROR(VLOOKUP(T65,Database!$A$2:$S$189,19,FALSE),"-")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IFERROR(VLOOKUP(Y65,Database!$A$2:$L$189,8,FALSE),"-")</f>
        <v>-</v>
      </c>
      <c r="AA65" s="79" t="str">
        <f>IFERROR(VLOOKUP(Y65,Database!$A$2:$L$189,6,FALSE),"-")</f>
        <v>-</v>
      </c>
      <c r="AB65" s="92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35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8" t="str">
        <f>IFERROR(VLOOKUP(E66,Database!$A$2:$L$189,6,FALSE),"-")</f>
        <v>-</v>
      </c>
      <c r="H66" s="93" t="str">
        <f>IFERROR(VLOOKUP(E66,Database!$A$2:$L$189,9,FALSE),"-")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IFERROR(VLOOKUP(J66,Database!$A$2:$L$189,8,FALSE),"-")</f>
        <v>-</v>
      </c>
      <c r="L66" s="78" t="str">
        <f>IFERROR(VLOOKUP(J66,Database!$A$2:$L$189,6,FALSE),"-")</f>
        <v>-</v>
      </c>
      <c r="M66" s="93" t="str">
        <f>IFERROR(VLOOKUP(J66,Database!$A$2:$L$189,9,FALSE),"-")</f>
        <v>-</v>
      </c>
      <c r="N66" s="209" t="str">
        <f>IFERROR(VLOOKUP(J66,Database!$A$2:$S$189,19,FALSE),"-")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IFERROR(VLOOKUP(O66,Database!$A$2:$L$189,8,FALSE),"-")</f>
        <v>-</v>
      </c>
      <c r="Q66" s="78" t="str">
        <f>IFERROR(VLOOKUP(O66,Database!$A$2:$L$189,6,FALSE),"-")</f>
        <v>-</v>
      </c>
      <c r="R66" s="82" t="str">
        <f>IFERROR(VLOOKUP(O66,Database!$A$2:$L$189,9,FALSE),"-")</f>
        <v>-</v>
      </c>
      <c r="S66" s="209" t="str">
        <f>IFERROR(VLOOKUP(O66,Database!$A$2:$S$189,19,FALSE),"-")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IFERROR(VLOOKUP(T66,Database!$A$2:$L$189,8,FALSE),"-")</f>
        <v>-</v>
      </c>
      <c r="V66" s="78" t="str">
        <f>IFERROR(VLOOKUP(T66,Database!$A$2:$L$189,6,FALSE),"-")</f>
        <v>-</v>
      </c>
      <c r="W66" s="82" t="str">
        <f>IFERROR(VLOOKUP(T66,Database!$A$2:$L$189,9,FALSE),"-")</f>
        <v>-</v>
      </c>
      <c r="X66" s="209" t="str">
        <f>IFERROR(VLOOKUP(T66,Database!$A$2:$S$189,19,FALSE),"-")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IFERROR(VLOOKUP(Y66,Database!$A$2:$L$189,8,FALSE),"-")</f>
        <v>-</v>
      </c>
      <c r="AA66" s="79" t="str">
        <f>IFERROR(VLOOKUP(Y66,Database!$A$2:$L$189,6,FALSE),"-")</f>
        <v>-</v>
      </c>
      <c r="AB66" s="92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35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8" t="str">
        <f>IFERROR(VLOOKUP(E67,Database!$A$2:$L$189,6,FALSE),"-")</f>
        <v>-</v>
      </c>
      <c r="H67" s="93" t="str">
        <f>IFERROR(VLOOKUP(E67,Database!$A$2:$L$189,9,FALSE),"-")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IFERROR(VLOOKUP(J67,Database!$A$2:$L$189,8,FALSE),"-")</f>
        <v>0</v>
      </c>
      <c r="L67" s="78" t="str">
        <f>IFERROR(VLOOKUP(J67,Database!$A$2:$L$189,6,FALSE),"-")</f>
        <v>DK</v>
      </c>
      <c r="M67" s="93">
        <f>IFERROR(VLOOKUP(J67,Database!$A$2:$L$189,9,FALSE),"-")</f>
        <v>0</v>
      </c>
      <c r="N67" s="209" t="str">
        <f>IFERROR(VLOOKUP(J67,Database!$A$2:$S$189,19,FALSE),"-")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IFERROR(VLOOKUP(O67,Database!$A$2:$L$189,8,FALSE),"-")</f>
        <v>-</v>
      </c>
      <c r="Q67" s="78" t="str">
        <f>IFERROR(VLOOKUP(O67,Database!$A$2:$L$189,6,FALSE),"-")</f>
        <v>-</v>
      </c>
      <c r="R67" s="82" t="str">
        <f>IFERROR(VLOOKUP(O67,Database!$A$2:$L$189,9,FALSE),"-")</f>
        <v>-</v>
      </c>
      <c r="S67" s="209" t="str">
        <f>IFERROR(VLOOKUP(O67,Database!$A$2:$S$189,19,FALSE),"-")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IFERROR(VLOOKUP(T67,Database!$A$2:$L$189,8,FALSE),"-")</f>
        <v>-</v>
      </c>
      <c r="V67" s="78" t="str">
        <f>IFERROR(VLOOKUP(T67,Database!$A$2:$L$189,6,FALSE),"-")</f>
        <v>-</v>
      </c>
      <c r="W67" s="82" t="str">
        <f>IFERROR(VLOOKUP(T67,Database!$A$2:$L$189,9,FALSE),"-")</f>
        <v>-</v>
      </c>
      <c r="X67" s="209" t="str">
        <f>IFERROR(VLOOKUP(T67,Database!$A$2:$S$189,19,FALSE),"-")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IFERROR(VLOOKUP(Y67,Database!$A$2:$L$189,8,FALSE),"-")</f>
        <v>-</v>
      </c>
      <c r="AA67" s="79" t="str">
        <f>IFERROR(VLOOKUP(Y67,Database!$A$2:$L$189,6,FALSE),"-")</f>
        <v>-</v>
      </c>
      <c r="AB67" s="92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35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IFERROR(VLOOKUP(E68,Database!$A$2:$L$189,8,FALSE),"-")</f>
        <v>0</v>
      </c>
      <c r="G68" s="78" t="str">
        <f>IFERROR(VLOOKUP(E68,Database!$A$2:$L$189,6,FALSE),"-")</f>
        <v>S</v>
      </c>
      <c r="H68" s="93" t="str">
        <f>IFERROR(VLOOKUP(E68,Database!$A$2:$L$189,9,FALSE),"-")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IFERROR(VLOOKUP(J68,Database!$A$2:$L$189,8,FALSE),"-")</f>
        <v>-</v>
      </c>
      <c r="L68" s="78" t="str">
        <f>IFERROR(VLOOKUP(J68,Database!$A$2:$L$189,6,FALSE),"-")</f>
        <v>-</v>
      </c>
      <c r="M68" s="93" t="str">
        <f>IFERROR(VLOOKUP(J68,Database!$A$2:$L$189,9,FALSE),"-")</f>
        <v>-</v>
      </c>
      <c r="N68" s="209" t="str">
        <f>IFERROR(VLOOKUP(J68,Database!$A$2:$S$189,19,FALSE),"-")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IFERROR(VLOOKUP(O68,Database!$A$2:$L$189,8,FALSE),"-")</f>
        <v>-</v>
      </c>
      <c r="Q68" s="78" t="str">
        <f>IFERROR(VLOOKUP(O68,Database!$A$2:$L$189,6,FALSE),"-")</f>
        <v>-</v>
      </c>
      <c r="R68" s="82" t="str">
        <f>IFERROR(VLOOKUP(O68,Database!$A$2:$L$189,9,FALSE),"-")</f>
        <v>-</v>
      </c>
      <c r="S68" s="209" t="str">
        <f>IFERROR(VLOOKUP(O68,Database!$A$2:$S$189,19,FALSE),"-")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IFERROR(VLOOKUP(T68,Database!$A$2:$L$189,8,FALSE),"-")</f>
        <v>-</v>
      </c>
      <c r="V68" s="78" t="str">
        <f>IFERROR(VLOOKUP(T68,Database!$A$2:$L$189,6,FALSE),"-")</f>
        <v>-</v>
      </c>
      <c r="W68" s="82" t="str">
        <f>IFERROR(VLOOKUP(T68,Database!$A$2:$L$189,9,FALSE),"-")</f>
        <v>-</v>
      </c>
      <c r="X68" s="209" t="str">
        <f>IFERROR(VLOOKUP(T68,Database!$A$2:$S$189,19,FALSE),"-")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IFERROR(VLOOKUP(Y68,Database!$A$2:$L$189,8,FALSE),"-")</f>
        <v>-</v>
      </c>
      <c r="AA68" s="79" t="str">
        <f>IFERROR(VLOOKUP(Y68,Database!$A$2:$L$189,6,FALSE),"-")</f>
        <v>-</v>
      </c>
      <c r="AB68" s="92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35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8" t="str">
        <f>IFERROR(VLOOKUP(E69,Database!$A$2:$L$189,6,FALSE),"-")</f>
        <v>-</v>
      </c>
      <c r="H69" s="93" t="str">
        <f>IFERROR(VLOOKUP(E69,Database!$A$2:$L$189,9,FALSE),"-")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IFERROR(VLOOKUP(J69,Database!$A$2:$L$189,8,FALSE),"-")</f>
        <v>-</v>
      </c>
      <c r="L69" s="78" t="str">
        <f>IFERROR(VLOOKUP(J69,Database!$A$2:$L$189,6,FALSE),"-")</f>
        <v>-</v>
      </c>
      <c r="M69" s="93" t="str">
        <f>IFERROR(VLOOKUP(J69,Database!$A$2:$L$189,9,FALSE),"-")</f>
        <v>-</v>
      </c>
      <c r="N69" s="209" t="str">
        <f>IFERROR(VLOOKUP(J69,Database!$A$2:$S$189,19,FALSE),"-")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IFERROR(VLOOKUP(O69,Database!$A$2:$L$189,8,FALSE),"-")</f>
        <v>-</v>
      </c>
      <c r="Q69" s="78" t="str">
        <f>IFERROR(VLOOKUP(O69,Database!$A$2:$L$189,6,FALSE),"-")</f>
        <v>-</v>
      </c>
      <c r="R69" s="82" t="str">
        <f>IFERROR(VLOOKUP(O69,Database!$A$2:$L$189,9,FALSE),"-")</f>
        <v>-</v>
      </c>
      <c r="S69" s="209" t="str">
        <f>IFERROR(VLOOKUP(O69,Database!$A$2:$S$189,19,FALSE),"-")</f>
        <v>-</v>
      </c>
      <c r="T69" s="97">
        <f>IF(AND(D69="Y",booking!P69&lt;&gt;booking!Q69,booking!Q69&gt;0),booking!Q69,"-")</f>
        <v>14</v>
      </c>
      <c r="U69" s="78">
        <f>IFERROR(VLOOKUP(T69,Database!$A$2:$L$189,8,FALSE),"-")</f>
        <v>0</v>
      </c>
      <c r="V69" s="78" t="str">
        <f>IFERROR(VLOOKUP(T69,Database!$A$2:$L$189,6,FALSE),"-")</f>
        <v>DK</v>
      </c>
      <c r="W69" s="82">
        <f>IFERROR(VLOOKUP(T69,Database!$A$2:$L$189,9,FALSE),"-")</f>
        <v>0</v>
      </c>
      <c r="X69" s="209" t="str">
        <f>IFERROR(VLOOKUP(T69,Database!$A$2:$S$189,19,FALSE),"-")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IFERROR(VLOOKUP(Y69,Database!$A$2:$L$189,8,FALSE),"-")</f>
        <v>-</v>
      </c>
      <c r="AA69" s="79" t="str">
        <f>IFERROR(VLOOKUP(Y69,Database!$A$2:$L$189,6,FALSE),"-")</f>
        <v>-</v>
      </c>
      <c r="AB69" s="92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35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8" t="str">
        <f>IFERROR(VLOOKUP(E70,Database!$A$2:$L$189,6,FALSE),"-")</f>
        <v>-</v>
      </c>
      <c r="H70" s="93" t="str">
        <f>IFERROR(VLOOKUP(E70,Database!$A$2:$L$189,9,FALSE),"-")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IFERROR(VLOOKUP(J70,Database!$A$2:$L$189,8,FALSE),"-")</f>
        <v>0</v>
      </c>
      <c r="L70" s="78" t="str">
        <f>IFERROR(VLOOKUP(J70,Database!$A$2:$L$189,6,FALSE),"-")</f>
        <v>DK</v>
      </c>
      <c r="M70" s="93">
        <f>IFERROR(VLOOKUP(J70,Database!$A$2:$L$189,9,FALSE),"-")</f>
        <v>0</v>
      </c>
      <c r="N70" s="209" t="str">
        <f>IFERROR(VLOOKUP(J70,Database!$A$2:$S$189,19,FALSE),"-")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IFERROR(VLOOKUP(O70,Database!$A$2:$L$189,8,FALSE),"-")</f>
        <v>-</v>
      </c>
      <c r="Q70" s="78" t="str">
        <f>IFERROR(VLOOKUP(O70,Database!$A$2:$L$189,6,FALSE),"-")</f>
        <v>-</v>
      </c>
      <c r="R70" s="82" t="str">
        <f>IFERROR(VLOOKUP(O70,Database!$A$2:$L$189,9,FALSE),"-")</f>
        <v>-</v>
      </c>
      <c r="S70" s="209" t="str">
        <f>IFERROR(VLOOKUP(O70,Database!$A$2:$S$189,19,FALSE),"-")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IFERROR(VLOOKUP(T70,Database!$A$2:$L$189,8,FALSE),"-")</f>
        <v>-</v>
      </c>
      <c r="V70" s="78" t="str">
        <f>IFERROR(VLOOKUP(T70,Database!$A$2:$L$189,6,FALSE),"-")</f>
        <v>-</v>
      </c>
      <c r="W70" s="82" t="str">
        <f>IFERROR(VLOOKUP(T70,Database!$A$2:$L$189,9,FALSE),"-")</f>
        <v>-</v>
      </c>
      <c r="X70" s="209" t="str">
        <f>IFERROR(VLOOKUP(T70,Database!$A$2:$S$189,19,FALSE),"-")</f>
        <v>-</v>
      </c>
      <c r="Y70" s="96">
        <f>IF(AND(D70="Y",booking!T70&lt;&gt;booking!U70,booking!U70&gt;0),booking!U70,"-")</f>
        <v>7</v>
      </c>
      <c r="Z70" s="79">
        <f>IFERROR(VLOOKUP(Y70,Database!$A$2:$L$189,8,FALSE),"-")</f>
        <v>0</v>
      </c>
      <c r="AA70" s="79" t="str">
        <f>IFERROR(VLOOKUP(Y70,Database!$A$2:$L$189,6,FALSE),"-")</f>
        <v>DK</v>
      </c>
      <c r="AB70" s="92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35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8" t="str">
        <f>IFERROR(VLOOKUP(E71,Database!$A$2:$L$189,6,FALSE),"-")</f>
        <v>-</v>
      </c>
      <c r="H71" s="93" t="str">
        <f>IFERROR(VLOOKUP(E71,Database!$A$2:$L$189,9,FALSE),"-")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IFERROR(VLOOKUP(J71,Database!$A$2:$L$189,8,FALSE),"-")</f>
        <v>-</v>
      </c>
      <c r="L71" s="78" t="str">
        <f>IFERROR(VLOOKUP(J71,Database!$A$2:$L$189,6,FALSE),"-")</f>
        <v>-</v>
      </c>
      <c r="M71" s="93" t="str">
        <f>IFERROR(VLOOKUP(J71,Database!$A$2:$L$189,9,FALSE),"-")</f>
        <v>-</v>
      </c>
      <c r="N71" s="209" t="str">
        <f>IFERROR(VLOOKUP(J71,Database!$A$2:$S$189,19,FALSE),"-")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IFERROR(VLOOKUP(O71,Database!$A$2:$L$189,8,FALSE),"-")</f>
        <v>-</v>
      </c>
      <c r="Q71" s="78" t="str">
        <f>IFERROR(VLOOKUP(O71,Database!$A$2:$L$189,6,FALSE),"-")</f>
        <v>-</v>
      </c>
      <c r="R71" s="82" t="str">
        <f>IFERROR(VLOOKUP(O71,Database!$A$2:$L$189,9,FALSE),"-")</f>
        <v>-</v>
      </c>
      <c r="S71" s="209" t="str">
        <f>IFERROR(VLOOKUP(O71,Database!$A$2:$S$189,19,FALSE),"-")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IFERROR(VLOOKUP(T71,Database!$A$2:$L$189,8,FALSE),"-")</f>
        <v>-</v>
      </c>
      <c r="V71" s="78" t="str">
        <f>IFERROR(VLOOKUP(T71,Database!$A$2:$L$189,6,FALSE),"-")</f>
        <v>-</v>
      </c>
      <c r="W71" s="82" t="str">
        <f>IFERROR(VLOOKUP(T71,Database!$A$2:$L$189,9,FALSE),"-")</f>
        <v>-</v>
      </c>
      <c r="X71" s="209" t="str">
        <f>IFERROR(VLOOKUP(T71,Database!$A$2:$S$189,19,FALSE),"-")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IFERROR(VLOOKUP(Y71,Database!$A$2:$L$189,8,FALSE),"-")</f>
        <v>-</v>
      </c>
      <c r="AA71" s="79" t="str">
        <f>IFERROR(VLOOKUP(Y71,Database!$A$2:$L$189,6,FALSE),"-")</f>
        <v>-</v>
      </c>
      <c r="AB71" s="92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35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IFERROR(VLOOKUP(E72,Database!$A$2:$L$189,8,FALSE),"-")</f>
        <v>0</v>
      </c>
      <c r="G72" s="78" t="str">
        <f>IFERROR(VLOOKUP(E72,Database!$A$2:$L$189,6,FALSE),"-")</f>
        <v>DK</v>
      </c>
      <c r="H72" s="93" t="str">
        <f>IFERROR(VLOOKUP(E72,Database!$A$2:$L$189,9,FALSE),"-")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IFERROR(VLOOKUP(J72,Database!$A$2:$L$189,8,FALSE),"-")</f>
        <v>-</v>
      </c>
      <c r="L72" s="78" t="str">
        <f>IFERROR(VLOOKUP(J72,Database!$A$2:$L$189,6,FALSE),"-")</f>
        <v>-</v>
      </c>
      <c r="M72" s="93" t="str">
        <f>IFERROR(VLOOKUP(J72,Database!$A$2:$L$189,9,FALSE),"-")</f>
        <v>-</v>
      </c>
      <c r="N72" s="209" t="str">
        <f>IFERROR(VLOOKUP(J72,Database!$A$2:$S$189,19,FALSE),"-")</f>
        <v>-</v>
      </c>
      <c r="O72" s="96">
        <f>IF(AND(D72="Y",booking!L72&lt;&gt;booking!M72,booking!M72&gt;0),booking!M72,"-")</f>
        <v>36</v>
      </c>
      <c r="P72" s="78">
        <f>IFERROR(VLOOKUP(O72,Database!$A$2:$L$189,8,FALSE),"-")</f>
        <v>0</v>
      </c>
      <c r="Q72" s="78" t="str">
        <f>IFERROR(VLOOKUP(O72,Database!$A$2:$L$189,6,FALSE),"-")</f>
        <v>DK</v>
      </c>
      <c r="R72" s="82" t="str">
        <f>IFERROR(VLOOKUP(O72,Database!$A$2:$L$189,9,FALSE),"-")</f>
        <v>sing</v>
      </c>
      <c r="S72" s="209" t="str">
        <f>IFERROR(VLOOKUP(O72,Database!$A$2:$S$189,19,FALSE),"-")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IFERROR(VLOOKUP(T72,Database!$A$2:$L$189,8,FALSE),"-")</f>
        <v>-</v>
      </c>
      <c r="V72" s="78" t="str">
        <f>IFERROR(VLOOKUP(T72,Database!$A$2:$L$189,6,FALSE),"-")</f>
        <v>-</v>
      </c>
      <c r="W72" s="82" t="str">
        <f>IFERROR(VLOOKUP(T72,Database!$A$2:$L$189,9,FALSE),"-")</f>
        <v>-</v>
      </c>
      <c r="X72" s="209" t="str">
        <f>IFERROR(VLOOKUP(T72,Database!$A$2:$S$189,19,FALSE),"-")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IFERROR(VLOOKUP(Y72,Database!$A$2:$L$189,8,FALSE),"-")</f>
        <v>-</v>
      </c>
      <c r="AA72" s="79" t="str">
        <f>IFERROR(VLOOKUP(Y72,Database!$A$2:$L$189,6,FALSE),"-")</f>
        <v>-</v>
      </c>
      <c r="AB72" s="92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35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8" t="str">
        <f>IFERROR(VLOOKUP(E73,Database!$A$2:$L$189,6,FALSE),"-")</f>
        <v>-</v>
      </c>
      <c r="H73" s="93" t="str">
        <f>IFERROR(VLOOKUP(E73,Database!$A$2:$L$189,9,FALSE),"-")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IFERROR(VLOOKUP(J73,Database!$A$2:$L$189,8,FALSE),"-")</f>
        <v>-</v>
      </c>
      <c r="L73" s="78" t="str">
        <f>IFERROR(VLOOKUP(J73,Database!$A$2:$L$189,6,FALSE),"-")</f>
        <v>-</v>
      </c>
      <c r="M73" s="93" t="str">
        <f>IFERROR(VLOOKUP(J73,Database!$A$2:$L$189,9,FALSE),"-")</f>
        <v>-</v>
      </c>
      <c r="N73" s="209" t="str">
        <f>IFERROR(VLOOKUP(J73,Database!$A$2:$S$189,19,FALSE),"-")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IFERROR(VLOOKUP(O73,Database!$A$2:$L$189,8,FALSE),"-")</f>
        <v>-</v>
      </c>
      <c r="Q73" s="78" t="str">
        <f>IFERROR(VLOOKUP(O73,Database!$A$2:$L$189,6,FALSE),"-")</f>
        <v>-</v>
      </c>
      <c r="R73" s="82" t="str">
        <f>IFERROR(VLOOKUP(O73,Database!$A$2:$L$189,9,FALSE),"-")</f>
        <v>-</v>
      </c>
      <c r="S73" s="209" t="str">
        <f>IFERROR(VLOOKUP(O73,Database!$A$2:$S$189,19,FALSE),"-")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IFERROR(VLOOKUP(T73,Database!$A$2:$L$189,8,FALSE),"-")</f>
        <v>-</v>
      </c>
      <c r="V73" s="78" t="str">
        <f>IFERROR(VLOOKUP(T73,Database!$A$2:$L$189,6,FALSE),"-")</f>
        <v>-</v>
      </c>
      <c r="W73" s="82" t="str">
        <f>IFERROR(VLOOKUP(T73,Database!$A$2:$L$189,9,FALSE),"-")</f>
        <v>-</v>
      </c>
      <c r="X73" s="209" t="str">
        <f>IFERROR(VLOOKUP(T73,Database!$A$2:$S$189,19,FALSE),"-")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IFERROR(VLOOKUP(Y73,Database!$A$2:$L$189,8,FALSE),"-")</f>
        <v>-</v>
      </c>
      <c r="AA73" s="79" t="str">
        <f>IFERROR(VLOOKUP(Y73,Database!$A$2:$L$189,6,FALSE),"-")</f>
        <v>-</v>
      </c>
      <c r="AB73" s="92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35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8" t="str">
        <f>IFERROR(VLOOKUP(E74,Database!$A$2:$L$189,6,FALSE),"-")</f>
        <v>-</v>
      </c>
      <c r="H74" s="93" t="str">
        <f>IFERROR(VLOOKUP(E74,Database!$A$2:$L$189,9,FALSE),"-")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IFERROR(VLOOKUP(J74,Database!$A$2:$L$189,8,FALSE),"-")</f>
        <v>0</v>
      </c>
      <c r="L74" s="78" t="str">
        <f>IFERROR(VLOOKUP(J74,Database!$A$2:$L$189,6,FALSE),"-")</f>
        <v>DK</v>
      </c>
      <c r="M74" s="93">
        <f>IFERROR(VLOOKUP(J74,Database!$A$2:$L$189,9,FALSE),"-")</f>
        <v>0</v>
      </c>
      <c r="N74" s="209" t="str">
        <f>IFERROR(VLOOKUP(J74,Database!$A$2:$S$189,19,FALSE),"-")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IFERROR(VLOOKUP(O74,Database!$A$2:$L$189,8,FALSE),"-")</f>
        <v>-</v>
      </c>
      <c r="Q74" s="78" t="str">
        <f>IFERROR(VLOOKUP(O74,Database!$A$2:$L$189,6,FALSE),"-")</f>
        <v>-</v>
      </c>
      <c r="R74" s="82" t="str">
        <f>IFERROR(VLOOKUP(O74,Database!$A$2:$L$189,9,FALSE),"-")</f>
        <v>-</v>
      </c>
      <c r="S74" s="209" t="str">
        <f>IFERROR(VLOOKUP(O74,Database!$A$2:$S$189,19,FALSE),"-")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IFERROR(VLOOKUP(T74,Database!$A$2:$L$189,8,FALSE),"-")</f>
        <v>-</v>
      </c>
      <c r="V74" s="78" t="str">
        <f>IFERROR(VLOOKUP(T74,Database!$A$2:$L$189,6,FALSE),"-")</f>
        <v>-</v>
      </c>
      <c r="W74" s="82" t="str">
        <f>IFERROR(VLOOKUP(T74,Database!$A$2:$L$189,9,FALSE),"-")</f>
        <v>-</v>
      </c>
      <c r="X74" s="209" t="str">
        <f>IFERROR(VLOOKUP(T74,Database!$A$2:$S$189,19,FALSE),"-")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IFERROR(VLOOKUP(Y74,Database!$A$2:$L$189,8,FALSE),"-")</f>
        <v>-</v>
      </c>
      <c r="AA74" s="79" t="str">
        <f>IFERROR(VLOOKUP(Y74,Database!$A$2:$L$189,6,FALSE),"-")</f>
        <v>-</v>
      </c>
      <c r="AB74" s="92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35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IFERROR(VLOOKUP(E75,Database!$A$2:$L$189,8,FALSE),"-")</f>
        <v>0</v>
      </c>
      <c r="G75" s="78" t="str">
        <f>IFERROR(VLOOKUP(E75,Database!$A$2:$L$189,6,FALSE),"-")</f>
        <v>DK</v>
      </c>
      <c r="H75" s="93">
        <f>IFERROR(VLOOKUP(E75,Database!$A$2:$L$189,9,FALSE),"-")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IFERROR(VLOOKUP(J75,Database!$A$2:$L$189,8,FALSE),"-")</f>
        <v>-</v>
      </c>
      <c r="L75" s="78" t="str">
        <f>IFERROR(VLOOKUP(J75,Database!$A$2:$L$189,6,FALSE),"-")</f>
        <v>-</v>
      </c>
      <c r="M75" s="93" t="str">
        <f>IFERROR(VLOOKUP(J75,Database!$A$2:$L$189,9,FALSE),"-")</f>
        <v>-</v>
      </c>
      <c r="N75" s="209" t="str">
        <f>IFERROR(VLOOKUP(J75,Database!$A$2:$S$189,19,FALSE),"-")</f>
        <v>-</v>
      </c>
      <c r="O75" s="96">
        <f>IF(AND(D75="Y",booking!L75&lt;&gt;booking!M75,booking!M75&gt;0),booking!M75,"-")</f>
        <v>84</v>
      </c>
      <c r="P75" s="78">
        <f>IFERROR(VLOOKUP(O75,Database!$A$2:$L$189,8,FALSE),"-")</f>
        <v>0</v>
      </c>
      <c r="Q75" s="78" t="str">
        <f>IFERROR(VLOOKUP(O75,Database!$A$2:$L$189,6,FALSE),"-")</f>
        <v>DK</v>
      </c>
      <c r="R75" s="82">
        <f>IFERROR(VLOOKUP(O75,Database!$A$2:$L$189,9,FALSE),"-")</f>
        <v>0</v>
      </c>
      <c r="S75" s="209">
        <f>IFERROR(VLOOKUP(O75,Database!$A$2:$S$189,19,FALSE),"-")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IFERROR(VLOOKUP(T75,Database!$A$2:$L$189,8,FALSE),"-")</f>
        <v>-</v>
      </c>
      <c r="V75" s="78" t="str">
        <f>IFERROR(VLOOKUP(T75,Database!$A$2:$L$189,6,FALSE),"-")</f>
        <v>-</v>
      </c>
      <c r="W75" s="82" t="str">
        <f>IFERROR(VLOOKUP(T75,Database!$A$2:$L$189,9,FALSE),"-")</f>
        <v>-</v>
      </c>
      <c r="X75" s="209" t="str">
        <f>IFERROR(VLOOKUP(T75,Database!$A$2:$S$189,19,FALSE),"-")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IFERROR(VLOOKUP(Y75,Database!$A$2:$L$189,8,FALSE),"-")</f>
        <v>-</v>
      </c>
      <c r="AA75" s="79" t="str">
        <f>IFERROR(VLOOKUP(Y75,Database!$A$2:$L$189,6,FALSE),"-")</f>
        <v>-</v>
      </c>
      <c r="AB75" s="92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35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8" t="str">
        <f>IFERROR(VLOOKUP(E76,Database!$A$2:$L$189,6,FALSE),"-")</f>
        <v>-</v>
      </c>
      <c r="H76" s="93" t="str">
        <f>IFERROR(VLOOKUP(E76,Database!$A$2:$L$189,9,FALSE),"-")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IFERROR(VLOOKUP(J76,Database!$A$2:$L$189,8,FALSE),"-")</f>
        <v>-</v>
      </c>
      <c r="L76" s="78" t="str">
        <f>IFERROR(VLOOKUP(J76,Database!$A$2:$L$189,6,FALSE),"-")</f>
        <v>-</v>
      </c>
      <c r="M76" s="93" t="str">
        <f>IFERROR(VLOOKUP(J76,Database!$A$2:$L$189,9,FALSE),"-")</f>
        <v>-</v>
      </c>
      <c r="N76" s="209" t="str">
        <f>IFERROR(VLOOKUP(J76,Database!$A$2:$S$189,19,FALSE),"-")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IFERROR(VLOOKUP(O76,Database!$A$2:$L$189,8,FALSE),"-")</f>
        <v>-</v>
      </c>
      <c r="Q76" s="78" t="str">
        <f>IFERROR(VLOOKUP(O76,Database!$A$2:$L$189,6,FALSE),"-")</f>
        <v>-</v>
      </c>
      <c r="R76" s="82" t="str">
        <f>IFERROR(VLOOKUP(O76,Database!$A$2:$L$189,9,FALSE),"-")</f>
        <v>-</v>
      </c>
      <c r="S76" s="209" t="str">
        <f>IFERROR(VLOOKUP(O76,Database!$A$2:$S$189,19,FALSE),"-")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IFERROR(VLOOKUP(T76,Database!$A$2:$L$189,8,FALSE),"-")</f>
        <v>-</v>
      </c>
      <c r="V76" s="78" t="str">
        <f>IFERROR(VLOOKUP(T76,Database!$A$2:$L$189,6,FALSE),"-")</f>
        <v>-</v>
      </c>
      <c r="W76" s="82" t="str">
        <f>IFERROR(VLOOKUP(T76,Database!$A$2:$L$189,9,FALSE),"-")</f>
        <v>-</v>
      </c>
      <c r="X76" s="209" t="str">
        <f>IFERROR(VLOOKUP(T76,Database!$A$2:$S$189,19,FALSE),"-")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IFERROR(VLOOKUP(Y76,Database!$A$2:$L$189,8,FALSE),"-")</f>
        <v>-</v>
      </c>
      <c r="AA76" s="79" t="str">
        <f>IFERROR(VLOOKUP(Y76,Database!$A$2:$L$189,6,FALSE),"-")</f>
        <v>-</v>
      </c>
      <c r="AB76" s="92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35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8" t="str">
        <f>IFERROR(VLOOKUP(E77,Database!$A$2:$L$189,6,FALSE),"-")</f>
        <v>-</v>
      </c>
      <c r="H77" s="93" t="str">
        <f>IFERROR(VLOOKUP(E77,Database!$A$2:$L$189,9,FALSE),"-")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IFERROR(VLOOKUP(J77,Database!$A$2:$L$189,8,FALSE),"-")</f>
        <v>-</v>
      </c>
      <c r="L77" s="78" t="str">
        <f>IFERROR(VLOOKUP(J77,Database!$A$2:$L$189,6,FALSE),"-")</f>
        <v>-</v>
      </c>
      <c r="M77" s="93" t="str">
        <f>IFERROR(VLOOKUP(J77,Database!$A$2:$L$189,9,FALSE),"-")</f>
        <v>-</v>
      </c>
      <c r="N77" s="209" t="str">
        <f>IFERROR(VLOOKUP(J77,Database!$A$2:$S$189,19,FALSE),"-")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IFERROR(VLOOKUP(O77,Database!$A$2:$L$189,8,FALSE),"-")</f>
        <v>-</v>
      </c>
      <c r="Q77" s="78" t="str">
        <f>IFERROR(VLOOKUP(O77,Database!$A$2:$L$189,6,FALSE),"-")</f>
        <v>-</v>
      </c>
      <c r="R77" s="82" t="str">
        <f>IFERROR(VLOOKUP(O77,Database!$A$2:$L$189,9,FALSE),"-")</f>
        <v>-</v>
      </c>
      <c r="S77" s="209" t="str">
        <f>IFERROR(VLOOKUP(O77,Database!$A$2:$S$189,19,FALSE),"-")</f>
        <v>-</v>
      </c>
      <c r="T77" s="97">
        <f>IF(AND(D77="Y",booking!P77&lt;&gt;booking!Q77,booking!Q77&gt;0),booking!Q77,"-")</f>
        <v>66</v>
      </c>
      <c r="U77" s="78">
        <f>IFERROR(VLOOKUP(T77,Database!$A$2:$L$189,8,FALSE),"-")</f>
        <v>0</v>
      </c>
      <c r="V77" s="78" t="str">
        <f>IFERROR(VLOOKUP(T77,Database!$A$2:$L$189,6,FALSE),"-")</f>
        <v>DK</v>
      </c>
      <c r="W77" s="82">
        <f>IFERROR(VLOOKUP(T77,Database!$A$2:$L$189,9,FALSE),"-")</f>
        <v>0</v>
      </c>
      <c r="X77" s="209" t="str">
        <f>IFERROR(VLOOKUP(T77,Database!$A$2:$S$189,19,FALSE),"-")</f>
        <v>YY</v>
      </c>
      <c r="Y77" s="96">
        <f>IF(AND(D77="Y",booking!T77&lt;&gt;booking!U77,booking!U77&gt;0),booking!U77,"-")</f>
        <v>62</v>
      </c>
      <c r="Z77" s="79">
        <f>IFERROR(VLOOKUP(Y77,Database!$A$2:$L$189,8,FALSE),"-")</f>
        <v>0</v>
      </c>
      <c r="AA77" s="79" t="str">
        <f>IFERROR(VLOOKUP(Y77,Database!$A$2:$L$189,6,FALSE),"-")</f>
        <v>DK</v>
      </c>
      <c r="AB77" s="92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35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IFERROR(VLOOKUP(E78,Database!$A$2:$L$189,8,FALSE),"-")</f>
        <v>0</v>
      </c>
      <c r="G78" s="78" t="str">
        <f>IFERROR(VLOOKUP(E78,Database!$A$2:$L$189,6,FALSE),"-")</f>
        <v>DK</v>
      </c>
      <c r="H78" s="93" t="str">
        <f>IFERROR(VLOOKUP(E78,Database!$A$2:$L$189,9,FALSE),"-")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IFERROR(VLOOKUP(J78,Database!$A$2:$L$189,8,FALSE),"-")</f>
        <v>-</v>
      </c>
      <c r="L78" s="78" t="str">
        <f>IFERROR(VLOOKUP(J78,Database!$A$2:$L$189,6,FALSE),"-")</f>
        <v>-</v>
      </c>
      <c r="M78" s="93" t="str">
        <f>IFERROR(VLOOKUP(J78,Database!$A$2:$L$189,9,FALSE),"-")</f>
        <v>-</v>
      </c>
      <c r="N78" s="209" t="str">
        <f>IFERROR(VLOOKUP(J78,Database!$A$2:$S$189,19,FALSE),"-")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IFERROR(VLOOKUP(O78,Database!$A$2:$L$189,8,FALSE),"-")</f>
        <v>-</v>
      </c>
      <c r="Q78" s="78" t="str">
        <f>IFERROR(VLOOKUP(O78,Database!$A$2:$L$189,6,FALSE),"-")</f>
        <v>-</v>
      </c>
      <c r="R78" s="82" t="str">
        <f>IFERROR(VLOOKUP(O78,Database!$A$2:$L$189,9,FALSE),"-")</f>
        <v>-</v>
      </c>
      <c r="S78" s="209" t="str">
        <f>IFERROR(VLOOKUP(O78,Database!$A$2:$S$189,19,FALSE),"-")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IFERROR(VLOOKUP(T78,Database!$A$2:$L$189,8,FALSE),"-")</f>
        <v>-</v>
      </c>
      <c r="V78" s="78" t="str">
        <f>IFERROR(VLOOKUP(T78,Database!$A$2:$L$189,6,FALSE),"-")</f>
        <v>-</v>
      </c>
      <c r="W78" s="82" t="str">
        <f>IFERROR(VLOOKUP(T78,Database!$A$2:$L$189,9,FALSE),"-")</f>
        <v>-</v>
      </c>
      <c r="X78" s="209" t="str">
        <f>IFERROR(VLOOKUP(T78,Database!$A$2:$S$189,19,FALSE),"-")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IFERROR(VLOOKUP(Y78,Database!$A$2:$L$189,8,FALSE),"-")</f>
        <v>-</v>
      </c>
      <c r="AA78" s="79" t="str">
        <f>IFERROR(VLOOKUP(Y78,Database!$A$2:$L$189,6,FALSE),"-")</f>
        <v>-</v>
      </c>
      <c r="AB78" s="92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35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8" t="str">
        <f>IFERROR(VLOOKUP(E79,Database!$A$2:$L$189,6,FALSE),"-")</f>
        <v>-</v>
      </c>
      <c r="H79" s="93" t="str">
        <f>IFERROR(VLOOKUP(E79,Database!$A$2:$L$189,9,FALSE),"-")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IFERROR(VLOOKUP(J79,Database!$A$2:$L$189,8,FALSE),"-")</f>
        <v>-</v>
      </c>
      <c r="L79" s="78" t="str">
        <f>IFERROR(VLOOKUP(J79,Database!$A$2:$L$189,6,FALSE),"-")</f>
        <v>-</v>
      </c>
      <c r="M79" s="93" t="str">
        <f>IFERROR(VLOOKUP(J79,Database!$A$2:$L$189,9,FALSE),"-")</f>
        <v>-</v>
      </c>
      <c r="N79" s="209" t="str">
        <f>IFERROR(VLOOKUP(J79,Database!$A$2:$S$189,19,FALSE),"-")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IFERROR(VLOOKUP(O79,Database!$A$2:$L$189,8,FALSE),"-")</f>
        <v>1430</v>
      </c>
      <c r="Q79" s="78" t="str">
        <f>IFERROR(VLOOKUP(O79,Database!$A$2:$L$189,6,FALSE),"-")</f>
        <v>DK</v>
      </c>
      <c r="R79" s="82" t="str">
        <f>IFERROR(VLOOKUP(O79,Database!$A$2:$L$189,9,FALSE),"-")</f>
        <v>db + opr</v>
      </c>
      <c r="S79" s="209" t="str">
        <f>IFERROR(VLOOKUP(O79,Database!$A$2:$S$189,19,FALSE),"-")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IFERROR(VLOOKUP(T79,Database!$A$2:$L$189,8,FALSE),"-")</f>
        <v>-</v>
      </c>
      <c r="V79" s="78" t="str">
        <f>IFERROR(VLOOKUP(T79,Database!$A$2:$L$189,6,FALSE),"-")</f>
        <v>-</v>
      </c>
      <c r="W79" s="82" t="str">
        <f>IFERROR(VLOOKUP(T79,Database!$A$2:$L$189,9,FALSE),"-")</f>
        <v>-</v>
      </c>
      <c r="X79" s="209" t="str">
        <f>IFERROR(VLOOKUP(T79,Database!$A$2:$S$189,19,FALSE),"-")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IFERROR(VLOOKUP(Y79,Database!$A$2:$L$189,8,FALSE),"-")</f>
        <v>-</v>
      </c>
      <c r="AA79" s="79" t="str">
        <f>IFERROR(VLOOKUP(Y79,Database!$A$2:$L$189,6,FALSE),"-")</f>
        <v>-</v>
      </c>
      <c r="AB79" s="92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35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8" t="str">
        <f>IFERROR(VLOOKUP(E80,Database!$A$2:$L$189,6,FALSE),"-")</f>
        <v>-</v>
      </c>
      <c r="H80" s="93" t="str">
        <f>IFERROR(VLOOKUP(E80,Database!$A$2:$L$189,9,FALSE),"-")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IFERROR(VLOOKUP(J80,Database!$A$2:$L$189,8,FALSE),"-")</f>
        <v>-</v>
      </c>
      <c r="L80" s="78" t="str">
        <f>IFERROR(VLOOKUP(J80,Database!$A$2:$L$189,6,FALSE),"-")</f>
        <v>-</v>
      </c>
      <c r="M80" s="93" t="str">
        <f>IFERROR(VLOOKUP(J80,Database!$A$2:$L$189,9,FALSE),"-")</f>
        <v>-</v>
      </c>
      <c r="N80" s="209" t="str">
        <f>IFERROR(VLOOKUP(J80,Database!$A$2:$S$189,19,FALSE),"-")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IFERROR(VLOOKUP(O80,Database!$A$2:$L$189,8,FALSE),"-")</f>
        <v>-</v>
      </c>
      <c r="Q80" s="78" t="str">
        <f>IFERROR(VLOOKUP(O80,Database!$A$2:$L$189,6,FALSE),"-")</f>
        <v>-</v>
      </c>
      <c r="R80" s="82" t="str">
        <f>IFERROR(VLOOKUP(O80,Database!$A$2:$L$189,9,FALSE),"-")</f>
        <v>-</v>
      </c>
      <c r="S80" s="209" t="str">
        <f>IFERROR(VLOOKUP(O80,Database!$A$2:$S$189,19,FALSE),"-")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IFERROR(VLOOKUP(T80,Database!$A$2:$L$189,8,FALSE),"-")</f>
        <v>-</v>
      </c>
      <c r="V80" s="78" t="str">
        <f>IFERROR(VLOOKUP(T80,Database!$A$2:$L$189,6,FALSE),"-")</f>
        <v>-</v>
      </c>
      <c r="W80" s="82" t="str">
        <f>IFERROR(VLOOKUP(T80,Database!$A$2:$L$189,9,FALSE),"-")</f>
        <v>-</v>
      </c>
      <c r="X80" s="209" t="str">
        <f>IFERROR(VLOOKUP(T80,Database!$A$2:$S$189,19,FALSE),"-")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IFERROR(VLOOKUP(Y80,Database!$A$2:$L$189,8,FALSE),"-")</f>
        <v>-</v>
      </c>
      <c r="AA80" s="79" t="str">
        <f>IFERROR(VLOOKUP(Y80,Database!$A$2:$L$189,6,FALSE),"-")</f>
        <v>-</v>
      </c>
      <c r="AB80" s="92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35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8" t="str">
        <f>IFERROR(VLOOKUP(E81,Database!$A$2:$L$189,6,FALSE),"-")</f>
        <v>-</v>
      </c>
      <c r="H81" s="93" t="str">
        <f>IFERROR(VLOOKUP(E81,Database!$A$2:$L$189,9,FALSE),"-")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IFERROR(VLOOKUP(J81,Database!$A$2:$L$189,8,FALSE),"-")</f>
        <v>0</v>
      </c>
      <c r="L81" s="78" t="str">
        <f>IFERROR(VLOOKUP(J81,Database!$A$2:$L$189,6,FALSE),"-")</f>
        <v>DK</v>
      </c>
      <c r="M81" s="93">
        <f>IFERROR(VLOOKUP(J81,Database!$A$2:$L$189,9,FALSE),"-")</f>
        <v>0</v>
      </c>
      <c r="N81" s="209" t="str">
        <f>IFERROR(VLOOKUP(J81,Database!$A$2:$S$189,19,FALSE),"-")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IFERROR(VLOOKUP(O81,Database!$A$2:$L$189,8,FALSE),"-")</f>
        <v>-</v>
      </c>
      <c r="Q81" s="78" t="str">
        <f>IFERROR(VLOOKUP(O81,Database!$A$2:$L$189,6,FALSE),"-")</f>
        <v>-</v>
      </c>
      <c r="R81" s="82" t="str">
        <f>IFERROR(VLOOKUP(O81,Database!$A$2:$L$189,9,FALSE),"-")</f>
        <v>-</v>
      </c>
      <c r="S81" s="209" t="str">
        <f>IFERROR(VLOOKUP(O81,Database!$A$2:$S$189,19,FALSE),"-")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IFERROR(VLOOKUP(T81,Database!$A$2:$L$189,8,FALSE),"-")</f>
        <v>-</v>
      </c>
      <c r="V81" s="78" t="str">
        <f>IFERROR(VLOOKUP(T81,Database!$A$2:$L$189,6,FALSE),"-")</f>
        <v>-</v>
      </c>
      <c r="W81" s="82" t="str">
        <f>IFERROR(VLOOKUP(T81,Database!$A$2:$L$189,9,FALSE),"-")</f>
        <v>-</v>
      </c>
      <c r="X81" s="209" t="str">
        <f>IFERROR(VLOOKUP(T81,Database!$A$2:$S$189,19,FALSE),"-")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IFERROR(VLOOKUP(Y81,Database!$A$2:$L$189,8,FALSE),"-")</f>
        <v>-</v>
      </c>
      <c r="AA81" s="79" t="str">
        <f>IFERROR(VLOOKUP(Y81,Database!$A$2:$L$189,6,FALSE),"-")</f>
        <v>-</v>
      </c>
      <c r="AB81" s="92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35">
      <c r="A82" s="88" t="str">
        <f>rengoering!A82</f>
        <v>torsdag</v>
      </c>
      <c r="B82" s="86">
        <v>46219</v>
      </c>
      <c r="C82" s="9"/>
      <c r="D82" s="89" t="str">
        <f>IF(booking!AB82&gt;0,"Y","-")</f>
        <v>Y</v>
      </c>
      <c r="E82" s="95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8" t="str">
        <f>IFERROR(VLOOKUP(E82,Database!$A$2:$L$189,6,FALSE),"-")</f>
        <v>-</v>
      </c>
      <c r="H82" s="93" t="str">
        <f>IFERROR(VLOOKUP(E82,Database!$A$2:$L$189,9,FALSE),"-")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IFERROR(VLOOKUP(J82,Database!$A$2:$L$189,8,FALSE),"-")</f>
        <v>-</v>
      </c>
      <c r="L82" s="78" t="str">
        <f>IFERROR(VLOOKUP(J82,Database!$A$2:$L$189,6,FALSE),"-")</f>
        <v>-</v>
      </c>
      <c r="M82" s="93" t="str">
        <f>IFERROR(VLOOKUP(J82,Database!$A$2:$L$189,9,FALSE),"-")</f>
        <v>-</v>
      </c>
      <c r="N82" s="209" t="str">
        <f>IFERROR(VLOOKUP(J82,Database!$A$2:$S$189,19,FALSE),"-")</f>
        <v>-</v>
      </c>
      <c r="O82" s="96">
        <f>IF(AND(D82="Y",booking!L82&lt;&gt;booking!M82,booking!M82&gt;0),booking!M82,"-")</f>
        <v>131</v>
      </c>
      <c r="P82" s="78">
        <f>IFERROR(VLOOKUP(O82,Database!$A$2:$L$189,8,FALSE),"-")</f>
        <v>0</v>
      </c>
      <c r="Q82" s="78" t="str">
        <f>IFERROR(VLOOKUP(O82,Database!$A$2:$L$189,6,FALSE),"-")</f>
        <v>DK</v>
      </c>
      <c r="R82" s="82">
        <f>IFERROR(VLOOKUP(O82,Database!$A$2:$L$189,9,FALSE),"-")</f>
        <v>0</v>
      </c>
      <c r="S82" s="209" t="str">
        <f>IFERROR(VLOOKUP(O82,Database!$A$2:$S$189,19,FALSE),"-")</f>
        <v>N</v>
      </c>
      <c r="T82" s="97" t="str">
        <f>IF(AND(D82="Y",booking!P82&lt;&gt;booking!Q82,booking!Q82&gt;0),booking!Q82,"-")</f>
        <v>-</v>
      </c>
      <c r="U82" s="78" t="str">
        <f>IFERROR(VLOOKUP(T82,Database!$A$2:$L$189,8,FALSE),"-")</f>
        <v>-</v>
      </c>
      <c r="V82" s="78" t="str">
        <f>IFERROR(VLOOKUP(T82,Database!$A$2:$L$189,6,FALSE),"-")</f>
        <v>-</v>
      </c>
      <c r="W82" s="82" t="str">
        <f>IFERROR(VLOOKUP(T82,Database!$A$2:$L$189,9,FALSE),"-")</f>
        <v>-</v>
      </c>
      <c r="X82" s="209" t="str">
        <f>IFERROR(VLOOKUP(T82,Database!$A$2:$S$189,19,FALSE),"-")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IFERROR(VLOOKUP(Y82,Database!$A$2:$L$189,8,FALSE),"-")</f>
        <v>-</v>
      </c>
      <c r="AA82" s="79" t="str">
        <f>IFERROR(VLOOKUP(Y82,Database!$A$2:$L$189,6,FALSE),"-")</f>
        <v>-</v>
      </c>
      <c r="AB82" s="92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35">
      <c r="A83" s="88" t="str">
        <f>rengoering!A83</f>
        <v>fredag</v>
      </c>
      <c r="B83" s="84">
        <v>46220</v>
      </c>
      <c r="C83" s="9"/>
      <c r="D83" s="89" t="str">
        <f>IF(booking!AB83&gt;0,"Y","-")</f>
        <v>Y</v>
      </c>
      <c r="E83" s="95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8" t="str">
        <f>IFERROR(VLOOKUP(E83,Database!$A$2:$L$189,6,FALSE),"-")</f>
        <v>-</v>
      </c>
      <c r="H83" s="93" t="str">
        <f>IFERROR(VLOOKUP(E83,Database!$A$2:$L$189,9,FALSE),"-")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IFERROR(VLOOKUP(J83,Database!$A$2:$L$189,8,FALSE),"-")</f>
        <v>-</v>
      </c>
      <c r="L83" s="78" t="str">
        <f>IFERROR(VLOOKUP(J83,Database!$A$2:$L$189,6,FALSE),"-")</f>
        <v>-</v>
      </c>
      <c r="M83" s="93" t="str">
        <f>IFERROR(VLOOKUP(J83,Database!$A$2:$L$189,9,FALSE),"-")</f>
        <v>-</v>
      </c>
      <c r="N83" s="209" t="str">
        <f>IFERROR(VLOOKUP(J83,Database!$A$2:$S$189,19,FALSE),"-")</f>
        <v>-</v>
      </c>
      <c r="O83" s="96">
        <f>IF(AND(D83="Y",booking!L83&lt;&gt;booking!M83,booking!M83&gt;0),booking!M83,"-")</f>
        <v>113</v>
      </c>
      <c r="P83" s="78">
        <f>IFERROR(VLOOKUP(O83,Database!$A$2:$L$189,8,FALSE),"-")</f>
        <v>0</v>
      </c>
      <c r="Q83" s="78" t="str">
        <f>IFERROR(VLOOKUP(O83,Database!$A$2:$L$189,6,FALSE),"-")</f>
        <v>DK</v>
      </c>
      <c r="R83" s="82">
        <f>IFERROR(VLOOKUP(O83,Database!$A$2:$L$189,9,FALSE),"-")</f>
        <v>0</v>
      </c>
      <c r="S83" s="209" t="str">
        <f>IFERROR(VLOOKUP(O83,Database!$A$2:$S$189,19,FALSE),"-")</f>
        <v>N</v>
      </c>
      <c r="T83" s="97" t="str">
        <f>IF(AND(D83="Y",booking!P83&lt;&gt;booking!Q83,booking!Q83&gt;0),booking!Q83,"-")</f>
        <v>-</v>
      </c>
      <c r="U83" s="78" t="str">
        <f>IFERROR(VLOOKUP(T83,Database!$A$2:$L$189,8,FALSE),"-")</f>
        <v>-</v>
      </c>
      <c r="V83" s="78" t="str">
        <f>IFERROR(VLOOKUP(T83,Database!$A$2:$L$189,6,FALSE),"-")</f>
        <v>-</v>
      </c>
      <c r="W83" s="82" t="str">
        <f>IFERROR(VLOOKUP(T83,Database!$A$2:$L$189,9,FALSE),"-")</f>
        <v>-</v>
      </c>
      <c r="X83" s="209" t="str">
        <f>IFERROR(VLOOKUP(T83,Database!$A$2:$S$189,19,FALSE),"-")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IFERROR(VLOOKUP(Y83,Database!$A$2:$L$189,8,FALSE),"-")</f>
        <v>-</v>
      </c>
      <c r="AA83" s="79" t="str">
        <f>IFERROR(VLOOKUP(Y83,Database!$A$2:$L$189,6,FALSE),"-")</f>
        <v>-</v>
      </c>
      <c r="AB83" s="92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35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8" t="str">
        <f>IFERROR(VLOOKUP(E84,Database!$A$2:$L$189,6,FALSE),"-")</f>
        <v>-</v>
      </c>
      <c r="H84" s="93" t="str">
        <f>IFERROR(VLOOKUP(E84,Database!$A$2:$L$189,9,FALSE),"-")</f>
        <v>-</v>
      </c>
      <c r="I84" s="112"/>
      <c r="J84" s="96">
        <f>IF(AND(D84="Y",booking!H84&lt;&gt;booking!I84,booking!I84&gt;0),booking!I84,"-")</f>
        <v>38</v>
      </c>
      <c r="K84" s="78">
        <f>IFERROR(VLOOKUP(J84,Database!$A$2:$L$189,8,FALSE),"-")</f>
        <v>0</v>
      </c>
      <c r="L84" s="78" t="str">
        <f>IFERROR(VLOOKUP(J84,Database!$A$2:$L$189,6,FALSE),"-")</f>
        <v>CH</v>
      </c>
      <c r="M84" s="93" t="str">
        <f>IFERROR(VLOOKUP(J84,Database!$A$2:$L$189,9,FALSE),"-")</f>
        <v>sing</v>
      </c>
      <c r="N84" s="209" t="str">
        <f>IFERROR(VLOOKUP(J84,Database!$A$2:$S$189,19,FALSE),"-")</f>
        <v>N</v>
      </c>
      <c r="O84" s="96" t="str">
        <f>IF(AND(D84="Y",booking!L84&lt;&gt;booking!M84,booking!M84&gt;0),booking!M84,"-")</f>
        <v>-</v>
      </c>
      <c r="P84" s="78" t="str">
        <f>IFERROR(VLOOKUP(O84,Database!$A$2:$L$189,8,FALSE),"-")</f>
        <v>-</v>
      </c>
      <c r="Q84" s="78" t="str">
        <f>IFERROR(VLOOKUP(O84,Database!$A$2:$L$189,6,FALSE),"-")</f>
        <v>-</v>
      </c>
      <c r="R84" s="82" t="str">
        <f>IFERROR(VLOOKUP(O84,Database!$A$2:$L$189,9,FALSE),"-")</f>
        <v>-</v>
      </c>
      <c r="S84" s="209" t="str">
        <f>IFERROR(VLOOKUP(O84,Database!$A$2:$S$189,19,FALSE),"-")</f>
        <v>-</v>
      </c>
      <c r="T84" s="97" t="str">
        <f>IF(AND(D84="Y",booking!P84&lt;&gt;booking!Q84,booking!Q84&gt;0),booking!Q84,"-")</f>
        <v>-</v>
      </c>
      <c r="U84" s="78" t="str">
        <f>IFERROR(VLOOKUP(T84,Database!$A$2:$L$189,8,FALSE),"-")</f>
        <v>-</v>
      </c>
      <c r="V84" s="78" t="str">
        <f>IFERROR(VLOOKUP(T84,Database!$A$2:$L$189,6,FALSE),"-")</f>
        <v>-</v>
      </c>
      <c r="W84" s="82" t="str">
        <f>IFERROR(VLOOKUP(T84,Database!$A$2:$L$189,9,FALSE),"-")</f>
        <v>-</v>
      </c>
      <c r="X84" s="209" t="str">
        <f>IFERROR(VLOOKUP(T84,Database!$A$2:$S$189,19,FALSE),"-")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IFERROR(VLOOKUP(Y84,Database!$A$2:$L$189,8,FALSE),"-")</f>
        <v>-</v>
      </c>
      <c r="AA84" s="79" t="str">
        <f>IFERROR(VLOOKUP(Y84,Database!$A$2:$L$189,6,FALSE),"-")</f>
        <v>-</v>
      </c>
      <c r="AB84" s="92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35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8" t="str">
        <f>IFERROR(VLOOKUP(E85,Database!$A$2:$L$189,6,FALSE),"-")</f>
        <v>-</v>
      </c>
      <c r="H85" s="93" t="str">
        <f>IFERROR(VLOOKUP(E85,Database!$A$2:$L$189,9,FALSE),"-")</f>
        <v>-</v>
      </c>
      <c r="I85" s="112"/>
      <c r="J85" s="96" t="str">
        <f>IF(AND(D85="Y",booking!H85&lt;&gt;booking!I85,booking!I85&gt;0),booking!I85,"-")</f>
        <v>-</v>
      </c>
      <c r="K85" s="78" t="str">
        <f>IFERROR(VLOOKUP(J85,Database!$A$2:$L$189,8,FALSE),"-")</f>
        <v>-</v>
      </c>
      <c r="L85" s="78" t="str">
        <f>IFERROR(VLOOKUP(J85,Database!$A$2:$L$189,6,FALSE),"-")</f>
        <v>-</v>
      </c>
      <c r="M85" s="93" t="str">
        <f>IFERROR(VLOOKUP(J85,Database!$A$2:$L$189,9,FALSE),"-")</f>
        <v>-</v>
      </c>
      <c r="N85" s="209" t="str">
        <f>IFERROR(VLOOKUP(J85,Database!$A$2:$S$189,19,FALSE),"-")</f>
        <v>-</v>
      </c>
      <c r="O85" s="96">
        <f>IF(AND(D85="Y",booking!L85&lt;&gt;booking!M85,booking!M85&gt;0),booking!M85,"-")</f>
        <v>44</v>
      </c>
      <c r="P85" s="78">
        <f>IFERROR(VLOOKUP(O85,Database!$A$2:$L$189,8,FALSE),"-")</f>
        <v>0</v>
      </c>
      <c r="Q85" s="78" t="str">
        <f>IFERROR(VLOOKUP(O85,Database!$A$2:$L$189,6,FALSE),"-")</f>
        <v>CZ</v>
      </c>
      <c r="R85" s="82" t="str">
        <f>IFERROR(VLOOKUP(O85,Database!$A$2:$L$189,9,FALSE),"-")</f>
        <v>dobb</v>
      </c>
      <c r="S85" s="209" t="str">
        <f>IFERROR(VLOOKUP(O85,Database!$A$2:$S$189,19,FALSE),"-")</f>
        <v>N</v>
      </c>
      <c r="T85" s="97">
        <f>IF(AND(D85="Y",booking!P85&lt;&gt;booking!Q85,booking!Q85&gt;0),booking!Q85,"-")</f>
        <v>1</v>
      </c>
      <c r="U85" s="78">
        <f>IFERROR(VLOOKUP(T85,Database!$A$2:$L$189,8,FALSE),"-")</f>
        <v>0</v>
      </c>
      <c r="V85" s="78" t="str">
        <f>IFERROR(VLOOKUP(T85,Database!$A$2:$L$189,6,FALSE),"-")</f>
        <v>DK</v>
      </c>
      <c r="W85" s="82">
        <f>IFERROR(VLOOKUP(T85,Database!$A$2:$L$189,9,FALSE),"-")</f>
        <v>0</v>
      </c>
      <c r="X85" s="209" t="str">
        <f>IFERROR(VLOOKUP(T85,Database!$A$2:$S$189,19,FALSE),"-")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IFERROR(VLOOKUP(Y85,Database!$A$2:$L$189,8,FALSE),"-")</f>
        <v>-</v>
      </c>
      <c r="AA85" s="79" t="str">
        <f>IFERROR(VLOOKUP(Y85,Database!$A$2:$L$189,6,FALSE),"-")</f>
        <v>-</v>
      </c>
      <c r="AB85" s="92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35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8" t="str">
        <f>IFERROR(VLOOKUP(E86,Database!$A$2:$L$189,6,FALSE),"-")</f>
        <v>-</v>
      </c>
      <c r="H86" s="93" t="str">
        <f>IFERROR(VLOOKUP(E86,Database!$A$2:$L$189,9,FALSE),"-")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IFERROR(VLOOKUP(J86,Database!$A$2:$L$189,8,FALSE),"-")</f>
        <v>-</v>
      </c>
      <c r="L86" s="78" t="str">
        <f>IFERROR(VLOOKUP(J86,Database!$A$2:$L$189,6,FALSE),"-")</f>
        <v>-</v>
      </c>
      <c r="M86" s="93" t="str">
        <f>IFERROR(VLOOKUP(J86,Database!$A$2:$L$189,9,FALSE),"-")</f>
        <v>-</v>
      </c>
      <c r="N86" s="209" t="str">
        <f>IFERROR(VLOOKUP(J86,Database!$A$2:$S$189,19,FALSE),"-")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IFERROR(VLOOKUP(O86,Database!$A$2:$L$189,8,FALSE),"-")</f>
        <v>-</v>
      </c>
      <c r="Q86" s="78" t="str">
        <f>IFERROR(VLOOKUP(O86,Database!$A$2:$L$189,6,FALSE),"-")</f>
        <v>-</v>
      </c>
      <c r="R86" s="82" t="str">
        <f>IFERROR(VLOOKUP(O86,Database!$A$2:$L$189,9,FALSE),"-")</f>
        <v>-</v>
      </c>
      <c r="S86" s="209" t="str">
        <f>IFERROR(VLOOKUP(O86,Database!$A$2:$S$189,19,FALSE),"-")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IFERROR(VLOOKUP(T86,Database!$A$2:$L$189,8,FALSE),"-")</f>
        <v>-</v>
      </c>
      <c r="V86" s="78" t="str">
        <f>IFERROR(VLOOKUP(T86,Database!$A$2:$L$189,6,FALSE),"-")</f>
        <v>-</v>
      </c>
      <c r="W86" s="82" t="str">
        <f>IFERROR(VLOOKUP(T86,Database!$A$2:$L$189,9,FALSE),"-")</f>
        <v>-</v>
      </c>
      <c r="X86" s="209" t="str">
        <f>IFERROR(VLOOKUP(T86,Database!$A$2:$S$189,19,FALSE),"-")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IFERROR(VLOOKUP(Y86,Database!$A$2:$L$189,8,FALSE),"-")</f>
        <v>-</v>
      </c>
      <c r="AA86" s="79" t="str">
        <f>IFERROR(VLOOKUP(Y86,Database!$A$2:$L$189,6,FALSE),"-")</f>
        <v>-</v>
      </c>
      <c r="AB86" s="92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35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8" t="str">
        <f>IFERROR(VLOOKUP(E87,Database!$A$2:$L$189,6,FALSE),"-")</f>
        <v>-</v>
      </c>
      <c r="H87" s="93" t="str">
        <f>IFERROR(VLOOKUP(E87,Database!$A$2:$L$189,9,FALSE),"-")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IFERROR(VLOOKUP(J87,Database!$A$2:$L$189,8,FALSE),"-")</f>
        <v>-</v>
      </c>
      <c r="L87" s="78" t="str">
        <f>IFERROR(VLOOKUP(J87,Database!$A$2:$L$189,6,FALSE),"-")</f>
        <v>-</v>
      </c>
      <c r="M87" s="93" t="str">
        <f>IFERROR(VLOOKUP(J87,Database!$A$2:$L$189,9,FALSE),"-")</f>
        <v>-</v>
      </c>
      <c r="N87" s="209" t="str">
        <f>IFERROR(VLOOKUP(J87,Database!$A$2:$S$189,19,FALSE),"-")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IFERROR(VLOOKUP(O87,Database!$A$2:$L$189,8,FALSE),"-")</f>
        <v>-</v>
      </c>
      <c r="Q87" s="78" t="str">
        <f>IFERROR(VLOOKUP(O87,Database!$A$2:$L$189,6,FALSE),"-")</f>
        <v>-</v>
      </c>
      <c r="R87" s="82" t="str">
        <f>IFERROR(VLOOKUP(O87,Database!$A$2:$L$189,9,FALSE),"-")</f>
        <v>-</v>
      </c>
      <c r="S87" s="209" t="str">
        <f>IFERROR(VLOOKUP(O87,Database!$A$2:$S$189,19,FALSE),"-")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IFERROR(VLOOKUP(T87,Database!$A$2:$L$189,8,FALSE),"-")</f>
        <v>-</v>
      </c>
      <c r="V87" s="78" t="str">
        <f>IFERROR(VLOOKUP(T87,Database!$A$2:$L$189,6,FALSE),"-")</f>
        <v>-</v>
      </c>
      <c r="W87" s="82" t="str">
        <f>IFERROR(VLOOKUP(T87,Database!$A$2:$L$189,9,FALSE),"-")</f>
        <v>-</v>
      </c>
      <c r="X87" s="209" t="str">
        <f>IFERROR(VLOOKUP(T87,Database!$A$2:$S$189,19,FALSE),"-")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IFERROR(VLOOKUP(Y87,Database!$A$2:$L$189,8,FALSE),"-")</f>
        <v>-</v>
      </c>
      <c r="AA87" s="79" t="str">
        <f>IFERROR(VLOOKUP(Y87,Database!$A$2:$L$189,6,FALSE),"-")</f>
        <v>-</v>
      </c>
      <c r="AB87" s="92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35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8" t="str">
        <f>IFERROR(VLOOKUP(E88,Database!$A$2:$L$189,6,FALSE),"-")</f>
        <v>-</v>
      </c>
      <c r="H88" s="93" t="str">
        <f>IFERROR(VLOOKUP(E88,Database!$A$2:$L$189,9,FALSE),"-")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IFERROR(VLOOKUP(J88,Database!$A$2:$L$189,8,FALSE),"-")</f>
        <v>-</v>
      </c>
      <c r="L88" s="78" t="str">
        <f>IFERROR(VLOOKUP(J88,Database!$A$2:$L$189,6,FALSE),"-")</f>
        <v>-</v>
      </c>
      <c r="M88" s="93" t="str">
        <f>IFERROR(VLOOKUP(J88,Database!$A$2:$L$189,9,FALSE),"-")</f>
        <v>-</v>
      </c>
      <c r="N88" s="209" t="str">
        <f>IFERROR(VLOOKUP(J88,Database!$A$2:$S$189,19,FALSE),"-")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IFERROR(VLOOKUP(O88,Database!$A$2:$L$189,8,FALSE),"-")</f>
        <v>-</v>
      </c>
      <c r="Q88" s="78" t="str">
        <f>IFERROR(VLOOKUP(O88,Database!$A$2:$L$189,6,FALSE),"-")</f>
        <v>-</v>
      </c>
      <c r="R88" s="82" t="str">
        <f>IFERROR(VLOOKUP(O88,Database!$A$2:$L$189,9,FALSE),"-")</f>
        <v>-</v>
      </c>
      <c r="S88" s="209" t="str">
        <f>IFERROR(VLOOKUP(O88,Database!$A$2:$S$189,19,FALSE),"-")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IFERROR(VLOOKUP(T88,Database!$A$2:$L$189,8,FALSE),"-")</f>
        <v>-</v>
      </c>
      <c r="V88" s="78" t="str">
        <f>IFERROR(VLOOKUP(T88,Database!$A$2:$L$189,6,FALSE),"-")</f>
        <v>-</v>
      </c>
      <c r="W88" s="82" t="str">
        <f>IFERROR(VLOOKUP(T88,Database!$A$2:$L$189,9,FALSE),"-")</f>
        <v>-</v>
      </c>
      <c r="X88" s="209" t="str">
        <f>IFERROR(VLOOKUP(T88,Database!$A$2:$S$189,19,FALSE),"-")</f>
        <v>-</v>
      </c>
      <c r="Y88" s="96">
        <f>IF(AND(D88="Y",booking!T88&lt;&gt;booking!U88,booking!U88&gt;0),booking!U88,"-")</f>
        <v>10</v>
      </c>
      <c r="Z88" s="79">
        <f>IFERROR(VLOOKUP(Y88,Database!$A$2:$L$189,8,FALSE),"-")</f>
        <v>0</v>
      </c>
      <c r="AA88" s="79" t="str">
        <f>IFERROR(VLOOKUP(Y88,Database!$A$2:$L$189,6,FALSE),"-")</f>
        <v>DK</v>
      </c>
      <c r="AB88" s="92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35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8" t="str">
        <f>IFERROR(VLOOKUP(E89,Database!$A$2:$L$189,6,FALSE),"-")</f>
        <v>-</v>
      </c>
      <c r="H89" s="93" t="str">
        <f>IFERROR(VLOOKUP(E89,Database!$A$2:$L$189,9,FALSE),"-")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IFERROR(VLOOKUP(J89,Database!$A$2:$L$189,8,FALSE),"-")</f>
        <v>-</v>
      </c>
      <c r="L89" s="78" t="str">
        <f>IFERROR(VLOOKUP(J89,Database!$A$2:$L$189,6,FALSE),"-")</f>
        <v>-</v>
      </c>
      <c r="M89" s="93" t="str">
        <f>IFERROR(VLOOKUP(J89,Database!$A$2:$L$189,9,FALSE),"-")</f>
        <v>-</v>
      </c>
      <c r="N89" s="209" t="str">
        <f>IFERROR(VLOOKUP(J89,Database!$A$2:$S$189,19,FALSE),"-")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IFERROR(VLOOKUP(O89,Database!$A$2:$L$189,8,FALSE),"-")</f>
        <v>-</v>
      </c>
      <c r="Q89" s="78" t="str">
        <f>IFERROR(VLOOKUP(O89,Database!$A$2:$L$189,6,FALSE),"-")</f>
        <v>-</v>
      </c>
      <c r="R89" s="82" t="str">
        <f>IFERROR(VLOOKUP(O89,Database!$A$2:$L$189,9,FALSE),"-")</f>
        <v>-</v>
      </c>
      <c r="S89" s="209" t="str">
        <f>IFERROR(VLOOKUP(O89,Database!$A$2:$S$189,19,FALSE),"-")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IFERROR(VLOOKUP(T89,Database!$A$2:$L$189,8,FALSE),"-")</f>
        <v>-</v>
      </c>
      <c r="V89" s="78" t="str">
        <f>IFERROR(VLOOKUP(T89,Database!$A$2:$L$189,6,FALSE),"-")</f>
        <v>-</v>
      </c>
      <c r="W89" s="82" t="str">
        <f>IFERROR(VLOOKUP(T89,Database!$A$2:$L$189,9,FALSE),"-")</f>
        <v>-</v>
      </c>
      <c r="X89" s="209" t="str">
        <f>IFERROR(VLOOKUP(T89,Database!$A$2:$S$189,19,FALSE),"-")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IFERROR(VLOOKUP(Y89,Database!$A$2:$L$189,8,FALSE),"-")</f>
        <v>-</v>
      </c>
      <c r="AA89" s="79" t="str">
        <f>IFERROR(VLOOKUP(Y89,Database!$A$2:$L$189,6,FALSE),"-")</f>
        <v>-</v>
      </c>
      <c r="AB89" s="92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35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8" t="str">
        <f>IFERROR(VLOOKUP(E90,Database!$A$2:$L$189,6,FALSE),"-")</f>
        <v>-</v>
      </c>
      <c r="H90" s="93" t="str">
        <f>IFERROR(VLOOKUP(E90,Database!$A$2:$L$189,9,FALSE),"-")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IFERROR(VLOOKUP(J90,Database!$A$2:$L$189,8,FALSE),"-")</f>
        <v>-</v>
      </c>
      <c r="L90" s="78" t="str">
        <f>IFERROR(VLOOKUP(J90,Database!$A$2:$L$189,6,FALSE),"-")</f>
        <v>-</v>
      </c>
      <c r="M90" s="93" t="str">
        <f>IFERROR(VLOOKUP(J90,Database!$A$2:$L$189,9,FALSE),"-")</f>
        <v>-</v>
      </c>
      <c r="N90" s="209" t="str">
        <f>IFERROR(VLOOKUP(J90,Database!$A$2:$S$189,19,FALSE),"-")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IFERROR(VLOOKUP(O90,Database!$A$2:$L$189,8,FALSE),"-")</f>
        <v>-</v>
      </c>
      <c r="Q90" s="78" t="str">
        <f>IFERROR(VLOOKUP(O90,Database!$A$2:$L$189,6,FALSE),"-")</f>
        <v>-</v>
      </c>
      <c r="R90" s="82" t="str">
        <f>IFERROR(VLOOKUP(O90,Database!$A$2:$L$189,9,FALSE),"-")</f>
        <v>-</v>
      </c>
      <c r="S90" s="209" t="str">
        <f>IFERROR(VLOOKUP(O90,Database!$A$2:$S$189,19,FALSE),"-")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IFERROR(VLOOKUP(T90,Database!$A$2:$L$189,8,FALSE),"-")</f>
        <v>-</v>
      </c>
      <c r="V90" s="78" t="str">
        <f>IFERROR(VLOOKUP(T90,Database!$A$2:$L$189,6,FALSE),"-")</f>
        <v>-</v>
      </c>
      <c r="W90" s="82" t="str">
        <f>IFERROR(VLOOKUP(T90,Database!$A$2:$L$189,9,FALSE),"-")</f>
        <v>-</v>
      </c>
      <c r="X90" s="209" t="str">
        <f>IFERROR(VLOOKUP(T90,Database!$A$2:$S$189,19,FALSE),"-")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IFERROR(VLOOKUP(Y90,Database!$A$2:$L$189,8,FALSE),"-")</f>
        <v>-</v>
      </c>
      <c r="AA90" s="79" t="str">
        <f>IFERROR(VLOOKUP(Y90,Database!$A$2:$L$189,6,FALSE),"-")</f>
        <v>-</v>
      </c>
      <c r="AB90" s="92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35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8" t="str">
        <f>IFERROR(VLOOKUP(E91,Database!$A$2:$L$189,6,FALSE),"-")</f>
        <v>-</v>
      </c>
      <c r="H91" s="93" t="str">
        <f>IFERROR(VLOOKUP(E91,Database!$A$2:$L$189,9,FALSE),"-")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IFERROR(VLOOKUP(J91,Database!$A$2:$L$189,8,FALSE),"-")</f>
        <v>-</v>
      </c>
      <c r="L91" s="78" t="str">
        <f>IFERROR(VLOOKUP(J91,Database!$A$2:$L$189,6,FALSE),"-")</f>
        <v>-</v>
      </c>
      <c r="M91" s="93" t="str">
        <f>IFERROR(VLOOKUP(J91,Database!$A$2:$L$189,9,FALSE),"-")</f>
        <v>-</v>
      </c>
      <c r="N91" s="209" t="str">
        <f>IFERROR(VLOOKUP(J91,Database!$A$2:$S$189,19,FALSE),"-")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IFERROR(VLOOKUP(O91,Database!$A$2:$L$189,8,FALSE),"-")</f>
        <v>-</v>
      </c>
      <c r="Q91" s="78" t="str">
        <f>IFERROR(VLOOKUP(O91,Database!$A$2:$L$189,6,FALSE),"-")</f>
        <v>-</v>
      </c>
      <c r="R91" s="82" t="str">
        <f>IFERROR(VLOOKUP(O91,Database!$A$2:$L$189,9,FALSE),"-")</f>
        <v>-</v>
      </c>
      <c r="S91" s="209" t="str">
        <f>IFERROR(VLOOKUP(O91,Database!$A$2:$S$189,19,FALSE),"-")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IFERROR(VLOOKUP(T91,Database!$A$2:$L$189,8,FALSE),"-")</f>
        <v>-</v>
      </c>
      <c r="V91" s="78" t="str">
        <f>IFERROR(VLOOKUP(T91,Database!$A$2:$L$189,6,FALSE),"-")</f>
        <v>-</v>
      </c>
      <c r="W91" s="82" t="str">
        <f>IFERROR(VLOOKUP(T91,Database!$A$2:$L$189,9,FALSE),"-")</f>
        <v>-</v>
      </c>
      <c r="X91" s="209" t="str">
        <f>IFERROR(VLOOKUP(T91,Database!$A$2:$S$189,19,FALSE),"-")</f>
        <v>-</v>
      </c>
      <c r="Y91" s="96">
        <f>IF(AND(D91="Y",booking!T91&lt;&gt;booking!U91,booking!U91&gt;0),booking!U91,"-")</f>
        <v>49</v>
      </c>
      <c r="Z91" s="79">
        <f>IFERROR(VLOOKUP(Y91,Database!$A$2:$L$189,8,FALSE),"-")</f>
        <v>0</v>
      </c>
      <c r="AA91" s="79" t="str">
        <f>IFERROR(VLOOKUP(Y91,Database!$A$2:$L$189,6,FALSE),"-")</f>
        <v>DK</v>
      </c>
      <c r="AB91" s="92" t="str">
        <f>IFERROR(VLOOKUP(Y91,Database!$A$2:$L$189,9,FALSE),"-")</f>
        <v>dobb</v>
      </c>
      <c r="AC91" s="8" t="str">
        <f>IFERROR(VLOOKUP(Y91,Database!$A$2:$S$189,19,FALSE),"-")</f>
        <v>N</v>
      </c>
    </row>
    <row r="92" spans="1:29" ht="15" customHeight="1" thickBot="1" x14ac:dyDescent="0.35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8" t="str">
        <f>IFERROR(VLOOKUP(E92,Database!$A$2:$L$189,6,FALSE),"-")</f>
        <v>-</v>
      </c>
      <c r="H92" s="93" t="str">
        <f>IFERROR(VLOOKUP(E92,Database!$A$2:$L$189,9,FALSE),"-")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IFERROR(VLOOKUP(J92,Database!$A$2:$L$189,8,FALSE),"-")</f>
        <v>-</v>
      </c>
      <c r="L92" s="78" t="str">
        <f>IFERROR(VLOOKUP(J92,Database!$A$2:$L$189,6,FALSE),"-")</f>
        <v>-</v>
      </c>
      <c r="M92" s="93" t="str">
        <f>IFERROR(VLOOKUP(J92,Database!$A$2:$L$189,9,FALSE),"-")</f>
        <v>-</v>
      </c>
      <c r="N92" s="209" t="str">
        <f>IFERROR(VLOOKUP(J92,Database!$A$2:$S$189,19,FALSE),"-")</f>
        <v>-</v>
      </c>
      <c r="O92" s="96">
        <f>IF(AND(D92="Y",booking!L92&lt;&gt;booking!M92,booking!M92&gt;0),booking!M92,"-")</f>
        <v>58</v>
      </c>
      <c r="P92" s="78">
        <f>IFERROR(VLOOKUP(O92,Database!$A$2:$L$189,8,FALSE),"-")</f>
        <v>0</v>
      </c>
      <c r="Q92" s="78" t="str">
        <f>IFERROR(VLOOKUP(O92,Database!$A$2:$L$189,6,FALSE),"-")</f>
        <v>DK</v>
      </c>
      <c r="R92" s="82" t="str">
        <f>IFERROR(VLOOKUP(O92,Database!$A$2:$L$189,9,FALSE),"-")</f>
        <v>sing</v>
      </c>
      <c r="S92" s="209" t="str">
        <f>IFERROR(VLOOKUP(O92,Database!$A$2:$S$189,19,FALSE),"-")</f>
        <v>YY</v>
      </c>
      <c r="T92" s="97">
        <f>IF(AND(D92="Y",booking!P92&lt;&gt;booking!Q92,booking!Q92&gt;0),booking!Q92,"-")</f>
        <v>58</v>
      </c>
      <c r="U92" s="78">
        <f>IFERROR(VLOOKUP(T92,Database!$A$2:$L$189,8,FALSE),"-")</f>
        <v>0</v>
      </c>
      <c r="V92" s="78" t="str">
        <f>IFERROR(VLOOKUP(T92,Database!$A$2:$L$189,6,FALSE),"-")</f>
        <v>DK</v>
      </c>
      <c r="W92" s="82" t="str">
        <f>IFERROR(VLOOKUP(T92,Database!$A$2:$L$189,9,FALSE),"-")</f>
        <v>sing</v>
      </c>
      <c r="X92" s="209" t="str">
        <f>IFERROR(VLOOKUP(T92,Database!$A$2:$S$189,19,FALSE),"-")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IFERROR(VLOOKUP(Y92,Database!$A$2:$L$189,8,FALSE),"-")</f>
        <v>-</v>
      </c>
      <c r="AA92" s="79" t="str">
        <f>IFERROR(VLOOKUP(Y92,Database!$A$2:$L$189,6,FALSE),"-")</f>
        <v>-</v>
      </c>
      <c r="AB92" s="92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35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IFERROR(VLOOKUP(E93,Database!$A$2:$L$189,8,FALSE),"-")</f>
        <v>0</v>
      </c>
      <c r="G93" s="78" t="str">
        <f>IFERROR(VLOOKUP(E93,Database!$A$2:$L$189,6,FALSE),"-")</f>
        <v>DK</v>
      </c>
      <c r="H93" s="93" t="str">
        <f>IFERROR(VLOOKUP(E93,Database!$A$2:$L$189,9,FALSE),"-")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IFERROR(VLOOKUP(J93,Database!$A$2:$L$189,8,FALSE),"-")</f>
        <v>0</v>
      </c>
      <c r="L93" s="78" t="str">
        <f>IFERROR(VLOOKUP(J93,Database!$A$2:$L$189,6,FALSE),"-")</f>
        <v>DK</v>
      </c>
      <c r="M93" s="93">
        <f>IFERROR(VLOOKUP(J93,Database!$A$2:$L$189,9,FALSE),"-")</f>
        <v>0</v>
      </c>
      <c r="N93" s="209" t="str">
        <f>IFERROR(VLOOKUP(J93,Database!$A$2:$S$189,19,FALSE),"-")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IFERROR(VLOOKUP(O93,Database!$A$2:$L$189,8,FALSE),"-")</f>
        <v>-</v>
      </c>
      <c r="Q93" s="78" t="str">
        <f>IFERROR(VLOOKUP(O93,Database!$A$2:$L$189,6,FALSE),"-")</f>
        <v>-</v>
      </c>
      <c r="R93" s="82" t="str">
        <f>IFERROR(VLOOKUP(O93,Database!$A$2:$L$189,9,FALSE),"-")</f>
        <v>-</v>
      </c>
      <c r="S93" s="209" t="str">
        <f>IFERROR(VLOOKUP(O93,Database!$A$2:$S$189,19,FALSE),"-")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IFERROR(VLOOKUP(T93,Database!$A$2:$L$189,8,FALSE),"-")</f>
        <v>-</v>
      </c>
      <c r="V93" s="78" t="str">
        <f>IFERROR(VLOOKUP(T93,Database!$A$2:$L$189,6,FALSE),"-")</f>
        <v>-</v>
      </c>
      <c r="W93" s="82" t="str">
        <f>IFERROR(VLOOKUP(T93,Database!$A$2:$L$189,9,FALSE),"-")</f>
        <v>-</v>
      </c>
      <c r="X93" s="209" t="str">
        <f>IFERROR(VLOOKUP(T93,Database!$A$2:$S$189,19,FALSE),"-")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IFERROR(VLOOKUP(Y93,Database!$A$2:$L$189,8,FALSE),"-")</f>
        <v>-</v>
      </c>
      <c r="AA93" s="79" t="str">
        <f>IFERROR(VLOOKUP(Y93,Database!$A$2:$L$189,6,FALSE),"-")</f>
        <v>-</v>
      </c>
      <c r="AB93" s="92" t="str">
        <f>IFERROR(VLOOKUP(Y93,Database!$A$2:$L$189,9,FALSE),"-")</f>
        <v>-</v>
      </c>
      <c r="AC93" s="8" t="str">
        <f>IFERROR(VLOOKUP(Y93,Database!$A$2:$S$189,19,FALSE),"-")</f>
        <v>-</v>
      </c>
    </row>
    <row r="94" spans="1:29" ht="15" customHeight="1" thickBot="1" x14ac:dyDescent="0.35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8" t="str">
        <f>IFERROR(VLOOKUP(E94,Database!$A$2:$L$189,6,FALSE),"-")</f>
        <v>-</v>
      </c>
      <c r="H94" s="93" t="str">
        <f>IFERROR(VLOOKUP(E94,Database!$A$2:$L$189,9,FALSE),"-")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IFERROR(VLOOKUP(J94,Database!$A$2:$L$189,8,FALSE),"-")</f>
        <v>-</v>
      </c>
      <c r="L94" s="78" t="str">
        <f>IFERROR(VLOOKUP(J94,Database!$A$2:$L$189,6,FALSE),"-")</f>
        <v>-</v>
      </c>
      <c r="M94" s="93" t="str">
        <f>IFERROR(VLOOKUP(J94,Database!$A$2:$L$189,9,FALSE),"-")</f>
        <v>-</v>
      </c>
      <c r="N94" s="209" t="str">
        <f>IFERROR(VLOOKUP(J94,Database!$A$2:$S$189,19,FALSE),"-")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IFERROR(VLOOKUP(O94,Database!$A$2:$L$189,8,FALSE),"-")</f>
        <v>-</v>
      </c>
      <c r="Q94" s="78" t="str">
        <f>IFERROR(VLOOKUP(O94,Database!$A$2:$L$189,6,FALSE),"-")</f>
        <v>-</v>
      </c>
      <c r="R94" s="82" t="str">
        <f>IFERROR(VLOOKUP(O94,Database!$A$2:$L$189,9,FALSE),"-")</f>
        <v>-</v>
      </c>
      <c r="S94" s="209" t="str">
        <f>IFERROR(VLOOKUP(O94,Database!$A$2:$S$189,19,FALSE),"-")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IFERROR(VLOOKUP(T94,Database!$A$2:$L$189,8,FALSE),"-")</f>
        <v>-</v>
      </c>
      <c r="V94" s="78" t="str">
        <f>IFERROR(VLOOKUP(T94,Database!$A$2:$L$189,6,FALSE),"-")</f>
        <v>-</v>
      </c>
      <c r="W94" s="82" t="str">
        <f>IFERROR(VLOOKUP(T94,Database!$A$2:$L$189,9,FALSE),"-")</f>
        <v>-</v>
      </c>
      <c r="X94" s="209" t="str">
        <f>IFERROR(VLOOKUP(T94,Database!$A$2:$S$189,19,FALSE),"-")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IFERROR(VLOOKUP(Y94,Database!$A$2:$L$189,8,FALSE),"-")</f>
        <v>-</v>
      </c>
      <c r="AA94" s="79" t="str">
        <f>IFERROR(VLOOKUP(Y94,Database!$A$2:$L$189,6,FALSE),"-")</f>
        <v>-</v>
      </c>
      <c r="AB94" s="92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35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8" t="str">
        <f>IFERROR(VLOOKUP(E95,Database!$A$2:$L$189,6,FALSE),"-")</f>
        <v>-</v>
      </c>
      <c r="H95" s="93" t="str">
        <f>IFERROR(VLOOKUP(E95,Database!$A$2:$L$189,9,FALSE),"-")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IFERROR(VLOOKUP(J95,Database!$A$2:$L$189,8,FALSE),"-")</f>
        <v>-</v>
      </c>
      <c r="L95" s="78" t="str">
        <f>IFERROR(VLOOKUP(J95,Database!$A$2:$L$189,6,FALSE),"-")</f>
        <v>-</v>
      </c>
      <c r="M95" s="93" t="str">
        <f>IFERROR(VLOOKUP(J95,Database!$A$2:$L$189,9,FALSE),"-")</f>
        <v>-</v>
      </c>
      <c r="N95" s="209" t="str">
        <f>IFERROR(VLOOKUP(J95,Database!$A$2:$S$189,19,FALSE),"-")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IFERROR(VLOOKUP(O95,Database!$A$2:$L$189,8,FALSE),"-")</f>
        <v>-</v>
      </c>
      <c r="Q95" s="78" t="str">
        <f>IFERROR(VLOOKUP(O95,Database!$A$2:$L$189,6,FALSE),"-")</f>
        <v>-</v>
      </c>
      <c r="R95" s="82" t="str">
        <f>IFERROR(VLOOKUP(O95,Database!$A$2:$L$189,9,FALSE),"-")</f>
        <v>-</v>
      </c>
      <c r="S95" s="209" t="str">
        <f>IFERROR(VLOOKUP(O95,Database!$A$2:$S$189,19,FALSE),"-")</f>
        <v>-</v>
      </c>
      <c r="T95" s="97">
        <f>IF(AND(D95="Y",booking!P95&lt;&gt;booking!Q95,booking!Q95&gt;0),booking!Q95,"-")</f>
        <v>57</v>
      </c>
      <c r="U95" s="78">
        <f>IFERROR(VLOOKUP(T95,Database!$A$2:$L$189,8,FALSE),"-")</f>
        <v>0</v>
      </c>
      <c r="V95" s="78" t="str">
        <f>IFERROR(VLOOKUP(T95,Database!$A$2:$L$189,6,FALSE),"-")</f>
        <v>S</v>
      </c>
      <c r="W95" s="82">
        <f>IFERROR(VLOOKUP(T95,Database!$A$2:$L$189,9,FALSE),"-")</f>
        <v>0</v>
      </c>
      <c r="X95" s="209" t="str">
        <f>IFERROR(VLOOKUP(T95,Database!$A$2:$S$189,19,FALSE),"-")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IFERROR(VLOOKUP(Y95,Database!$A$2:$L$189,8,FALSE),"-")</f>
        <v>-</v>
      </c>
      <c r="AA95" s="79" t="str">
        <f>IFERROR(VLOOKUP(Y95,Database!$A$2:$L$189,6,FALSE),"-")</f>
        <v>-</v>
      </c>
      <c r="AB95" s="92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35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8" t="str">
        <f>IFERROR(VLOOKUP(E96,Database!$A$2:$L$189,6,FALSE),"-")</f>
        <v>-</v>
      </c>
      <c r="H96" s="93" t="str">
        <f>IFERROR(VLOOKUP(E96,Database!$A$2:$L$189,9,FALSE),"-")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IFERROR(VLOOKUP(J96,Database!$A$2:$L$189,8,FALSE),"-")</f>
        <v>-</v>
      </c>
      <c r="L96" s="78" t="str">
        <f>IFERROR(VLOOKUP(J96,Database!$A$2:$L$189,6,FALSE),"-")</f>
        <v>-</v>
      </c>
      <c r="M96" s="93" t="str">
        <f>IFERROR(VLOOKUP(J96,Database!$A$2:$L$189,9,FALSE),"-")</f>
        <v>-</v>
      </c>
      <c r="N96" s="209" t="str">
        <f>IFERROR(VLOOKUP(J96,Database!$A$2:$S$189,19,FALSE),"-")</f>
        <v>-</v>
      </c>
      <c r="O96" s="96">
        <f>IF(AND(D96="Y",booking!L96&lt;&gt;booking!M96,booking!M96&gt;0),booking!M96,"-")</f>
        <v>115</v>
      </c>
      <c r="P96" s="78">
        <f>IFERROR(VLOOKUP(O96,Database!$A$2:$L$189,8,FALSE),"-")</f>
        <v>0</v>
      </c>
      <c r="Q96" s="78" t="str">
        <f>IFERROR(VLOOKUP(O96,Database!$A$2:$L$189,6,FALSE),"-")</f>
        <v>DK</v>
      </c>
      <c r="R96" s="82">
        <f>IFERROR(VLOOKUP(O96,Database!$A$2:$L$189,9,FALSE),"-")</f>
        <v>0</v>
      </c>
      <c r="S96" s="209" t="str">
        <f>IFERROR(VLOOKUP(O96,Database!$A$2:$S$189,19,FALSE),"-")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IFERROR(VLOOKUP(T96,Database!$A$2:$L$189,8,FALSE),"-")</f>
        <v>-</v>
      </c>
      <c r="V96" s="78" t="str">
        <f>IFERROR(VLOOKUP(T96,Database!$A$2:$L$189,6,FALSE),"-")</f>
        <v>-</v>
      </c>
      <c r="W96" s="82" t="str">
        <f>IFERROR(VLOOKUP(T96,Database!$A$2:$L$189,9,FALSE),"-")</f>
        <v>-</v>
      </c>
      <c r="X96" s="209" t="str">
        <f>IFERROR(VLOOKUP(T96,Database!$A$2:$S$189,19,FALSE),"-")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IFERROR(VLOOKUP(Y96,Database!$A$2:$L$189,8,FALSE),"-")</f>
        <v>-</v>
      </c>
      <c r="AA96" s="79" t="str">
        <f>IFERROR(VLOOKUP(Y96,Database!$A$2:$L$189,6,FALSE),"-")</f>
        <v>-</v>
      </c>
      <c r="AB96" s="92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35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IFERROR(VLOOKUP(E97,Database!$A$2:$L$189,8,FALSE),"-")</f>
        <v>0</v>
      </c>
      <c r="G97" s="78" t="str">
        <f>IFERROR(VLOOKUP(E97,Database!$A$2:$L$189,6,FALSE),"-")</f>
        <v>D</v>
      </c>
      <c r="H97" s="93">
        <f>IFERROR(VLOOKUP(E97,Database!$A$2:$L$189,9,FALSE),"-")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IFERROR(VLOOKUP(J97,Database!$A$2:$L$189,8,FALSE),"-")</f>
        <v>-</v>
      </c>
      <c r="L97" s="78" t="str">
        <f>IFERROR(VLOOKUP(J97,Database!$A$2:$L$189,6,FALSE),"-")</f>
        <v>-</v>
      </c>
      <c r="M97" s="93" t="str">
        <f>IFERROR(VLOOKUP(J97,Database!$A$2:$L$189,9,FALSE),"-")</f>
        <v>-</v>
      </c>
      <c r="N97" s="209" t="str">
        <f>IFERROR(VLOOKUP(J97,Database!$A$2:$S$189,19,FALSE),"-")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IFERROR(VLOOKUP(O97,Database!$A$2:$L$189,8,FALSE),"-")</f>
        <v>-</v>
      </c>
      <c r="Q97" s="78" t="str">
        <f>IFERROR(VLOOKUP(O97,Database!$A$2:$L$189,6,FALSE),"-")</f>
        <v>-</v>
      </c>
      <c r="R97" s="82" t="str">
        <f>IFERROR(VLOOKUP(O97,Database!$A$2:$L$189,9,FALSE),"-")</f>
        <v>-</v>
      </c>
      <c r="S97" s="209" t="str">
        <f>IFERROR(VLOOKUP(O97,Database!$A$2:$S$189,19,FALSE),"-")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IFERROR(VLOOKUP(T97,Database!$A$2:$L$189,8,FALSE),"-")</f>
        <v>-</v>
      </c>
      <c r="V97" s="78" t="str">
        <f>IFERROR(VLOOKUP(T97,Database!$A$2:$L$189,6,FALSE),"-")</f>
        <v>-</v>
      </c>
      <c r="W97" s="82" t="str">
        <f>IFERROR(VLOOKUP(T97,Database!$A$2:$L$189,9,FALSE),"-")</f>
        <v>-</v>
      </c>
      <c r="X97" s="209" t="str">
        <f>IFERROR(VLOOKUP(T97,Database!$A$2:$S$189,19,FALSE),"-")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IFERROR(VLOOKUP(Y97,Database!$A$2:$L$189,8,FALSE),"-")</f>
        <v>-</v>
      </c>
      <c r="AA97" s="79" t="str">
        <f>IFERROR(VLOOKUP(Y97,Database!$A$2:$L$189,6,FALSE),"-")</f>
        <v>-</v>
      </c>
      <c r="AB97" s="92" t="str">
        <f>IFERROR(VLOOKUP(Y97,Database!$A$2:$L$189,9,FALSE),"-")</f>
        <v>-</v>
      </c>
      <c r="AC97" s="8" t="str">
        <f>IFERROR(VLOOKUP(Y97,Database!$A$2:$S$189,19,FALSE),"-")</f>
        <v>-</v>
      </c>
    </row>
    <row r="98" spans="1:29" ht="15" customHeight="1" thickBot="1" x14ac:dyDescent="0.35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8" t="str">
        <f>IFERROR(VLOOKUP(E98,Database!$A$2:$L$189,6,FALSE),"-")</f>
        <v>-</v>
      </c>
      <c r="H98" s="93" t="str">
        <f>IFERROR(VLOOKUP(E98,Database!$A$2:$L$189,9,FALSE),"-")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IFERROR(VLOOKUP(J98,Database!$A$2:$L$189,8,FALSE),"-")</f>
        <v>-</v>
      </c>
      <c r="L98" s="78" t="str">
        <f>IFERROR(VLOOKUP(J98,Database!$A$2:$L$189,6,FALSE),"-")</f>
        <v>-</v>
      </c>
      <c r="M98" s="93" t="str">
        <f>IFERROR(VLOOKUP(J98,Database!$A$2:$L$189,9,FALSE),"-")</f>
        <v>-</v>
      </c>
      <c r="N98" s="209" t="str">
        <f>IFERROR(VLOOKUP(J98,Database!$A$2:$S$189,19,FALSE),"-")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IFERROR(VLOOKUP(O98,Database!$A$2:$L$189,8,FALSE),"-")</f>
        <v>-</v>
      </c>
      <c r="Q98" s="78" t="str">
        <f>IFERROR(VLOOKUP(O98,Database!$A$2:$L$189,6,FALSE),"-")</f>
        <v>-</v>
      </c>
      <c r="R98" s="82" t="str">
        <f>IFERROR(VLOOKUP(O98,Database!$A$2:$L$189,9,FALSE),"-")</f>
        <v>-</v>
      </c>
      <c r="S98" s="209" t="str">
        <f>IFERROR(VLOOKUP(O98,Database!$A$2:$S$189,19,FALSE),"-")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IFERROR(VLOOKUP(T98,Database!$A$2:$L$189,8,FALSE),"-")</f>
        <v>-</v>
      </c>
      <c r="V98" s="78" t="str">
        <f>IFERROR(VLOOKUP(T98,Database!$A$2:$L$189,6,FALSE),"-")</f>
        <v>-</v>
      </c>
      <c r="W98" s="82" t="str">
        <f>IFERROR(VLOOKUP(T98,Database!$A$2:$L$189,9,FALSE),"-")</f>
        <v>-</v>
      </c>
      <c r="X98" s="209" t="str">
        <f>IFERROR(VLOOKUP(T98,Database!$A$2:$S$189,19,FALSE),"-")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IFERROR(VLOOKUP(Y98,Database!$A$2:$L$189,8,FALSE),"-")</f>
        <v>-</v>
      </c>
      <c r="AA98" s="79" t="str">
        <f>IFERROR(VLOOKUP(Y98,Database!$A$2:$L$189,6,FALSE),"-")</f>
        <v>-</v>
      </c>
      <c r="AB98" s="92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35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8" t="str">
        <f>IFERROR(VLOOKUP(E99,Database!$A$2:$L$189,6,FALSE),"-")</f>
        <v>-</v>
      </c>
      <c r="H99" s="93" t="str">
        <f>IFERROR(VLOOKUP(E99,Database!$A$2:$L$189,9,FALSE),"-")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IFERROR(VLOOKUP(J99,Database!$A$2:$L$189,8,FALSE),"-")</f>
        <v>0</v>
      </c>
      <c r="L99" s="78" t="str">
        <f>IFERROR(VLOOKUP(J99,Database!$A$2:$L$189,6,FALSE),"-")</f>
        <v>DK</v>
      </c>
      <c r="M99" s="93">
        <f>IFERROR(VLOOKUP(J99,Database!$A$2:$L$189,9,FALSE),"-")</f>
        <v>0</v>
      </c>
      <c r="N99" s="209" t="str">
        <f>IFERROR(VLOOKUP(J99,Database!$A$2:$S$189,19,FALSE),"-")</f>
        <v>Y</v>
      </c>
      <c r="O99" s="96">
        <f>IF(AND(D99="Y",booking!L99&lt;&gt;booking!M99,booking!M99&gt;0),booking!M99,"-")</f>
        <v>74</v>
      </c>
      <c r="P99" s="78">
        <f>IFERROR(VLOOKUP(O99,Database!$A$2:$L$189,8,FALSE),"-")</f>
        <v>0</v>
      </c>
      <c r="Q99" s="78" t="str">
        <f>IFERROR(VLOOKUP(O99,Database!$A$2:$L$189,6,FALSE),"-")</f>
        <v>DK</v>
      </c>
      <c r="R99" s="82">
        <f>IFERROR(VLOOKUP(O99,Database!$A$2:$L$189,9,FALSE),"-")</f>
        <v>0</v>
      </c>
      <c r="S99" s="209" t="str">
        <f>IFERROR(VLOOKUP(O99,Database!$A$2:$S$189,19,FALSE),"-")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IFERROR(VLOOKUP(T99,Database!$A$2:$L$189,8,FALSE),"-")</f>
        <v>-</v>
      </c>
      <c r="V99" s="78" t="str">
        <f>IFERROR(VLOOKUP(T99,Database!$A$2:$L$189,6,FALSE),"-")</f>
        <v>-</v>
      </c>
      <c r="W99" s="82" t="str">
        <f>IFERROR(VLOOKUP(T99,Database!$A$2:$L$189,9,FALSE),"-")</f>
        <v>-</v>
      </c>
      <c r="X99" s="209" t="str">
        <f>IFERROR(VLOOKUP(T99,Database!$A$2:$S$189,19,FALSE),"-")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IFERROR(VLOOKUP(Y99,Database!$A$2:$L$189,8,FALSE),"-")</f>
        <v>-</v>
      </c>
      <c r="AA99" s="79" t="str">
        <f>IFERROR(VLOOKUP(Y99,Database!$A$2:$L$189,6,FALSE),"-")</f>
        <v>-</v>
      </c>
      <c r="AB99" s="92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35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IFERROR(VLOOKUP(E100,Database!$A$2:$L$189,8,FALSE),"-")</f>
        <v>0</v>
      </c>
      <c r="G100" s="78" t="str">
        <f>IFERROR(VLOOKUP(E100,Database!$A$2:$L$189,6,FALSE),"-")</f>
        <v>D</v>
      </c>
      <c r="H100" s="93">
        <f>IFERROR(VLOOKUP(E100,Database!$A$2:$L$189,9,FALSE),"-")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IFERROR(VLOOKUP(J100,Database!$A$2:$L$189,8,FALSE),"-")</f>
        <v>-</v>
      </c>
      <c r="L100" s="78" t="str">
        <f>IFERROR(VLOOKUP(J100,Database!$A$2:$L$189,6,FALSE),"-")</f>
        <v>-</v>
      </c>
      <c r="M100" s="93" t="str">
        <f>IFERROR(VLOOKUP(J100,Database!$A$2:$L$189,9,FALSE),"-")</f>
        <v>-</v>
      </c>
      <c r="N100" s="209" t="str">
        <f>IFERROR(VLOOKUP(J100,Database!$A$2:$S$189,19,FALSE),"-")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IFERROR(VLOOKUP(O100,Database!$A$2:$L$189,8,FALSE),"-")</f>
        <v>-</v>
      </c>
      <c r="Q100" s="78" t="str">
        <f>IFERROR(VLOOKUP(O100,Database!$A$2:$L$189,6,FALSE),"-")</f>
        <v>-</v>
      </c>
      <c r="R100" s="82" t="str">
        <f>IFERROR(VLOOKUP(O100,Database!$A$2:$L$189,9,FALSE),"-")</f>
        <v>-</v>
      </c>
      <c r="S100" s="209" t="str">
        <f>IFERROR(VLOOKUP(O100,Database!$A$2:$S$189,19,FALSE),"-")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IFERROR(VLOOKUP(T100,Database!$A$2:$L$189,8,FALSE),"-")</f>
        <v>-</v>
      </c>
      <c r="V100" s="78" t="str">
        <f>IFERROR(VLOOKUP(T100,Database!$A$2:$L$189,6,FALSE),"-")</f>
        <v>-</v>
      </c>
      <c r="W100" s="82" t="str">
        <f>IFERROR(VLOOKUP(T100,Database!$A$2:$L$189,9,FALSE),"-")</f>
        <v>-</v>
      </c>
      <c r="X100" s="209" t="str">
        <f>IFERROR(VLOOKUP(T100,Database!$A$2:$S$189,19,FALSE),"-")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IFERROR(VLOOKUP(Y100,Database!$A$2:$L$189,8,FALSE),"-")</f>
        <v>0</v>
      </c>
      <c r="AA100" s="79" t="str">
        <f>IFERROR(VLOOKUP(Y100,Database!$A$2:$L$189,6,FALSE),"-")</f>
        <v>DK</v>
      </c>
      <c r="AB100" s="92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35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8" t="str">
        <f>IFERROR(VLOOKUP(E101,Database!$A$2:$L$189,6,FALSE),"-")</f>
        <v>-</v>
      </c>
      <c r="H101" s="93" t="str">
        <f>IFERROR(VLOOKUP(E101,Database!$A$2:$L$189,9,FALSE),"-")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IFERROR(VLOOKUP(J101,Database!$A$2:$L$189,8,FALSE),"-")</f>
        <v>-</v>
      </c>
      <c r="L101" s="78" t="str">
        <f>IFERROR(VLOOKUP(J101,Database!$A$2:$L$189,6,FALSE),"-")</f>
        <v>-</v>
      </c>
      <c r="M101" s="93" t="str">
        <f>IFERROR(VLOOKUP(J101,Database!$A$2:$L$189,9,FALSE),"-")</f>
        <v>-</v>
      </c>
      <c r="N101" s="209" t="str">
        <f>IFERROR(VLOOKUP(J101,Database!$A$2:$S$189,19,FALSE),"-")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IFERROR(VLOOKUP(O101,Database!$A$2:$L$189,8,FALSE),"-")</f>
        <v>-</v>
      </c>
      <c r="Q101" s="78" t="str">
        <f>IFERROR(VLOOKUP(O101,Database!$A$2:$L$189,6,FALSE),"-")</f>
        <v>-</v>
      </c>
      <c r="R101" s="82" t="str">
        <f>IFERROR(VLOOKUP(O101,Database!$A$2:$L$189,9,FALSE),"-")</f>
        <v>-</v>
      </c>
      <c r="S101" s="209" t="str">
        <f>IFERROR(VLOOKUP(O101,Database!$A$2:$S$189,19,FALSE),"-")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IFERROR(VLOOKUP(T101,Database!$A$2:$L$189,8,FALSE),"-")</f>
        <v>-</v>
      </c>
      <c r="V101" s="78" t="str">
        <f>IFERROR(VLOOKUP(T101,Database!$A$2:$L$189,6,FALSE),"-")</f>
        <v>-</v>
      </c>
      <c r="W101" s="82" t="str">
        <f>IFERROR(VLOOKUP(T101,Database!$A$2:$L$189,9,FALSE),"-")</f>
        <v>-</v>
      </c>
      <c r="X101" s="209" t="str">
        <f>IFERROR(VLOOKUP(T101,Database!$A$2:$S$189,19,FALSE),"-")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IFERROR(VLOOKUP(Y101,Database!$A$2:$L$189,8,FALSE),"-")</f>
        <v>-</v>
      </c>
      <c r="AA101" s="79" t="str">
        <f>IFERROR(VLOOKUP(Y101,Database!$A$2:$L$189,6,FALSE),"-")</f>
        <v>-</v>
      </c>
      <c r="AB101" s="92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35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8" t="str">
        <f>IFERROR(VLOOKUP(E102,Database!$A$2:$L$189,6,FALSE),"-")</f>
        <v>-</v>
      </c>
      <c r="H102" s="93" t="str">
        <f>IFERROR(VLOOKUP(E102,Database!$A$2:$L$189,9,FALSE),"-")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IFERROR(VLOOKUP(J102,Database!$A$2:$L$189,8,FALSE),"-")</f>
        <v>-</v>
      </c>
      <c r="L102" s="78" t="str">
        <f>IFERROR(VLOOKUP(J102,Database!$A$2:$L$189,6,FALSE),"-")</f>
        <v>-</v>
      </c>
      <c r="M102" s="93" t="str">
        <f>IFERROR(VLOOKUP(J102,Database!$A$2:$L$189,9,FALSE),"-")</f>
        <v>-</v>
      </c>
      <c r="N102" s="209" t="str">
        <f>IFERROR(VLOOKUP(J102,Database!$A$2:$S$189,19,FALSE),"-")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IFERROR(VLOOKUP(O102,Database!$A$2:$L$189,8,FALSE),"-")</f>
        <v>-</v>
      </c>
      <c r="Q102" s="78" t="str">
        <f>IFERROR(VLOOKUP(O102,Database!$A$2:$L$189,6,FALSE),"-")</f>
        <v>-</v>
      </c>
      <c r="R102" s="82" t="str">
        <f>IFERROR(VLOOKUP(O102,Database!$A$2:$L$189,9,FALSE),"-")</f>
        <v>-</v>
      </c>
      <c r="S102" s="209" t="str">
        <f>IFERROR(VLOOKUP(O102,Database!$A$2:$S$189,19,FALSE),"-")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IFERROR(VLOOKUP(T102,Database!$A$2:$L$189,8,FALSE),"-")</f>
        <v>-</v>
      </c>
      <c r="V102" s="78" t="str">
        <f>IFERROR(VLOOKUP(T102,Database!$A$2:$L$189,6,FALSE),"-")</f>
        <v>-</v>
      </c>
      <c r="W102" s="82" t="str">
        <f>IFERROR(VLOOKUP(T102,Database!$A$2:$L$189,9,FALSE),"-")</f>
        <v>-</v>
      </c>
      <c r="X102" s="209" t="str">
        <f>IFERROR(VLOOKUP(T102,Database!$A$2:$S$189,19,FALSE),"-")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IFERROR(VLOOKUP(Y102,Database!$A$2:$L$189,8,FALSE),"-")</f>
        <v>-</v>
      </c>
      <c r="AA102" s="79" t="str">
        <f>IFERROR(VLOOKUP(Y102,Database!$A$2:$L$189,6,FALSE),"-")</f>
        <v>-</v>
      </c>
      <c r="AB102" s="92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35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8" t="str">
        <f>IFERROR(VLOOKUP(E103,Database!$A$2:$L$189,6,FALSE),"-")</f>
        <v>-</v>
      </c>
      <c r="H103" s="93" t="str">
        <f>IFERROR(VLOOKUP(E103,Database!$A$2:$L$189,9,FALSE),"-")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IFERROR(VLOOKUP(J103,Database!$A$2:$L$189,8,FALSE),"-")</f>
        <v>0</v>
      </c>
      <c r="L103" s="78" t="str">
        <f>IFERROR(VLOOKUP(J103,Database!$A$2:$L$189,6,FALSE),"-")</f>
        <v>D</v>
      </c>
      <c r="M103" s="93">
        <f>IFERROR(VLOOKUP(J103,Database!$A$2:$L$189,9,FALSE),"-")</f>
        <v>0</v>
      </c>
      <c r="N103" s="209" t="str">
        <f>IFERROR(VLOOKUP(J103,Database!$A$2:$S$189,19,FALSE),"-")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IFERROR(VLOOKUP(O103,Database!$A$2:$L$189,8,FALSE),"-")</f>
        <v>0</v>
      </c>
      <c r="Q103" s="78" t="str">
        <f>IFERROR(VLOOKUP(O103,Database!$A$2:$L$189,6,FALSE),"-")</f>
        <v>D</v>
      </c>
      <c r="R103" s="82">
        <f>IFERROR(VLOOKUP(O103,Database!$A$2:$L$189,9,FALSE),"-")</f>
        <v>0</v>
      </c>
      <c r="S103" s="209" t="str">
        <f>IFERROR(VLOOKUP(O103,Database!$A$2:$S$189,19,FALSE),"-")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IFERROR(VLOOKUP(T103,Database!$A$2:$L$189,8,FALSE),"-")</f>
        <v>0</v>
      </c>
      <c r="V103" s="78" t="str">
        <f>IFERROR(VLOOKUP(T103,Database!$A$2:$L$189,6,FALSE),"-")</f>
        <v>S</v>
      </c>
      <c r="W103" s="82">
        <f>IFERROR(VLOOKUP(T103,Database!$A$2:$L$189,9,FALSE),"-")</f>
        <v>0</v>
      </c>
      <c r="X103" s="209" t="str">
        <f>IFERROR(VLOOKUP(T103,Database!$A$2:$S$189,19,FALSE),"-")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IFERROR(VLOOKUP(Y103,Database!$A$2:$L$189,8,FALSE),"-")</f>
        <v>-</v>
      </c>
      <c r="AA103" s="79" t="str">
        <f>IFERROR(VLOOKUP(Y103,Database!$A$2:$L$189,6,FALSE),"-")</f>
        <v>-</v>
      </c>
      <c r="AB103" s="92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35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8" t="str">
        <f>IFERROR(VLOOKUP(E104,Database!$A$2:$L$189,6,FALSE),"-")</f>
        <v>-</v>
      </c>
      <c r="H104" s="93" t="str">
        <f>IFERROR(VLOOKUP(E104,Database!$A$2:$L$189,9,FALSE),"-")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IFERROR(VLOOKUP(J104,Database!$A$2:$L$189,8,FALSE),"-")</f>
        <v>-</v>
      </c>
      <c r="L104" s="78" t="str">
        <f>IFERROR(VLOOKUP(J104,Database!$A$2:$L$189,6,FALSE),"-")</f>
        <v>-</v>
      </c>
      <c r="M104" s="93" t="str">
        <f>IFERROR(VLOOKUP(J104,Database!$A$2:$L$189,9,FALSE),"-")</f>
        <v>-</v>
      </c>
      <c r="N104" s="209" t="str">
        <f>IFERROR(VLOOKUP(J104,Database!$A$2:$S$189,19,FALSE),"-")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IFERROR(VLOOKUP(O104,Database!$A$2:$L$189,8,FALSE),"-")</f>
        <v>-</v>
      </c>
      <c r="Q104" s="78" t="str">
        <f>IFERROR(VLOOKUP(O104,Database!$A$2:$L$189,6,FALSE),"-")</f>
        <v>-</v>
      </c>
      <c r="R104" s="82" t="str">
        <f>IFERROR(VLOOKUP(O104,Database!$A$2:$L$189,9,FALSE),"-")</f>
        <v>-</v>
      </c>
      <c r="S104" s="209" t="str">
        <f>IFERROR(VLOOKUP(O104,Database!$A$2:$S$189,19,FALSE),"-")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IFERROR(VLOOKUP(T104,Database!$A$2:$L$189,8,FALSE),"-")</f>
        <v>-</v>
      </c>
      <c r="V104" s="78" t="str">
        <f>IFERROR(VLOOKUP(T104,Database!$A$2:$L$189,6,FALSE),"-")</f>
        <v>-</v>
      </c>
      <c r="W104" s="82" t="str">
        <f>IFERROR(VLOOKUP(T104,Database!$A$2:$L$189,9,FALSE),"-")</f>
        <v>-</v>
      </c>
      <c r="X104" s="209" t="str">
        <f>IFERROR(VLOOKUP(T104,Database!$A$2:$S$189,19,FALSE),"-")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IFERROR(VLOOKUP(Y104,Database!$A$2:$L$189,8,FALSE),"-")</f>
        <v>1400</v>
      </c>
      <c r="AA104" s="79" t="str">
        <f>IFERROR(VLOOKUP(Y104,Database!$A$2:$L$189,6,FALSE),"-")</f>
        <v>DK</v>
      </c>
      <c r="AB104" s="92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35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8" t="str">
        <f>IFERROR(VLOOKUP(E105,Database!$A$2:$L$189,6,FALSE),"-")</f>
        <v>-</v>
      </c>
      <c r="H105" s="93" t="str">
        <f>IFERROR(VLOOKUP(E105,Database!$A$2:$L$189,9,FALSE),"-")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IFERROR(VLOOKUP(J105,Database!$A$2:$L$189,8,FALSE),"-")</f>
        <v>-</v>
      </c>
      <c r="L105" s="78" t="str">
        <f>IFERROR(VLOOKUP(J105,Database!$A$2:$L$189,6,FALSE),"-")</f>
        <v>-</v>
      </c>
      <c r="M105" s="93" t="str">
        <f>IFERROR(VLOOKUP(J105,Database!$A$2:$L$189,9,FALSE),"-")</f>
        <v>-</v>
      </c>
      <c r="N105" s="209" t="str">
        <f>IFERROR(VLOOKUP(J105,Database!$A$2:$S$189,19,FALSE),"-")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IFERROR(VLOOKUP(O105,Database!$A$2:$L$189,8,FALSE),"-")</f>
        <v>-</v>
      </c>
      <c r="Q105" s="78" t="str">
        <f>IFERROR(VLOOKUP(O105,Database!$A$2:$L$189,6,FALSE),"-")</f>
        <v>-</v>
      </c>
      <c r="R105" s="82" t="str">
        <f>IFERROR(VLOOKUP(O105,Database!$A$2:$L$189,9,FALSE),"-")</f>
        <v>-</v>
      </c>
      <c r="S105" s="209" t="str">
        <f>IFERROR(VLOOKUP(O105,Database!$A$2:$S$189,19,FALSE),"-")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IFERROR(VLOOKUP(T105,Database!$A$2:$L$189,8,FALSE),"-")</f>
        <v>-</v>
      </c>
      <c r="V105" s="78" t="str">
        <f>IFERROR(VLOOKUP(T105,Database!$A$2:$L$189,6,FALSE),"-")</f>
        <v>-</v>
      </c>
      <c r="W105" s="82" t="str">
        <f>IFERROR(VLOOKUP(T105,Database!$A$2:$L$189,9,FALSE),"-")</f>
        <v>-</v>
      </c>
      <c r="X105" s="209" t="str">
        <f>IFERROR(VLOOKUP(T105,Database!$A$2:$S$189,19,FALSE),"-")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IFERROR(VLOOKUP(Y105,Database!$A$2:$L$189,8,FALSE),"-")</f>
        <v>-</v>
      </c>
      <c r="AA105" s="79" t="str">
        <f>IFERROR(VLOOKUP(Y105,Database!$A$2:$L$189,6,FALSE),"-")</f>
        <v>-</v>
      </c>
      <c r="AB105" s="92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35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8" t="str">
        <f>IFERROR(VLOOKUP(E106,Database!$A$2:$L$189,6,FALSE),"-")</f>
        <v>-</v>
      </c>
      <c r="H106" s="93" t="str">
        <f>IFERROR(VLOOKUP(E106,Database!$A$2:$L$189,9,FALSE),"-")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IFERROR(VLOOKUP(J106,Database!$A$2:$L$189,8,FALSE),"-")</f>
        <v>-</v>
      </c>
      <c r="L106" s="78" t="str">
        <f>IFERROR(VLOOKUP(J106,Database!$A$2:$L$189,6,FALSE),"-")</f>
        <v>-</v>
      </c>
      <c r="M106" s="93" t="str">
        <f>IFERROR(VLOOKUP(J106,Database!$A$2:$L$189,9,FALSE),"-")</f>
        <v>-</v>
      </c>
      <c r="N106" s="209" t="str">
        <f>IFERROR(VLOOKUP(J106,Database!$A$2:$S$189,19,FALSE),"-")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IFERROR(VLOOKUP(O106,Database!$A$2:$L$189,8,FALSE),"-")</f>
        <v>-</v>
      </c>
      <c r="Q106" s="78" t="str">
        <f>IFERROR(VLOOKUP(O106,Database!$A$2:$L$189,6,FALSE),"-")</f>
        <v>-</v>
      </c>
      <c r="R106" s="82" t="str">
        <f>IFERROR(VLOOKUP(O106,Database!$A$2:$L$189,9,FALSE),"-")</f>
        <v>-</v>
      </c>
      <c r="S106" s="209" t="str">
        <f>IFERROR(VLOOKUP(O106,Database!$A$2:$S$189,19,FALSE),"-")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IFERROR(VLOOKUP(T106,Database!$A$2:$L$189,8,FALSE),"-")</f>
        <v>0</v>
      </c>
      <c r="V106" s="78" t="str">
        <f>IFERROR(VLOOKUP(T106,Database!$A$2:$L$189,6,FALSE),"-")</f>
        <v>DK</v>
      </c>
      <c r="W106" s="82">
        <f>IFERROR(VLOOKUP(T106,Database!$A$2:$L$189,9,FALSE),"-")</f>
        <v>0</v>
      </c>
      <c r="X106" s="209" t="str">
        <f>IFERROR(VLOOKUP(T106,Database!$A$2:$S$189,19,FALSE),"-")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IFERROR(VLOOKUP(Y106,Database!$A$2:$L$189,8,FALSE),"-")</f>
        <v>-</v>
      </c>
      <c r="AA106" s="79" t="str">
        <f>IFERROR(VLOOKUP(Y106,Database!$A$2:$L$189,6,FALSE),"-")</f>
        <v>-</v>
      </c>
      <c r="AB106" s="92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35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8" t="str">
        <f>IFERROR(VLOOKUP(E107,Database!$A$2:$L$189,6,FALSE),"-")</f>
        <v>DK</v>
      </c>
      <c r="H107" s="93" t="str">
        <f>IFERROR(VLOOKUP(E107,Database!$A$2:$L$189,9,FALSE),"-")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IFERROR(VLOOKUP(J107,Database!$A$2:$L$189,8,FALSE),"-")</f>
        <v>-</v>
      </c>
      <c r="L107" s="78" t="str">
        <f>IFERROR(VLOOKUP(J107,Database!$A$2:$L$189,6,FALSE),"-")</f>
        <v>-</v>
      </c>
      <c r="M107" s="93" t="str">
        <f>IFERROR(VLOOKUP(J107,Database!$A$2:$L$189,9,FALSE),"-")</f>
        <v>-</v>
      </c>
      <c r="N107" s="209" t="str">
        <f>IFERROR(VLOOKUP(J107,Database!$A$2:$S$189,19,FALSE),"-")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IFERROR(VLOOKUP(O107,Database!$A$2:$L$189,8,FALSE),"-")</f>
        <v>-</v>
      </c>
      <c r="Q107" s="78" t="str">
        <f>IFERROR(VLOOKUP(O107,Database!$A$2:$L$189,6,FALSE),"-")</f>
        <v>-</v>
      </c>
      <c r="R107" s="82" t="str">
        <f>IFERROR(VLOOKUP(O107,Database!$A$2:$L$189,9,FALSE),"-")</f>
        <v>-</v>
      </c>
      <c r="S107" s="209" t="str">
        <f>IFERROR(VLOOKUP(O107,Database!$A$2:$S$189,19,FALSE),"-")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IFERROR(VLOOKUP(T107,Database!$A$2:$L$189,8,FALSE),"-")</f>
        <v>-</v>
      </c>
      <c r="V107" s="78" t="str">
        <f>IFERROR(VLOOKUP(T107,Database!$A$2:$L$189,6,FALSE),"-")</f>
        <v>-</v>
      </c>
      <c r="W107" s="82" t="str">
        <f>IFERROR(VLOOKUP(T107,Database!$A$2:$L$189,9,FALSE),"-")</f>
        <v>-</v>
      </c>
      <c r="X107" s="209" t="str">
        <f>IFERROR(VLOOKUP(T107,Database!$A$2:$S$189,19,FALSE),"-")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IFERROR(VLOOKUP(Y107,Database!$A$2:$L$189,8,FALSE),"-")</f>
        <v>-</v>
      </c>
      <c r="AA107" s="79" t="str">
        <f>IFERROR(VLOOKUP(Y107,Database!$A$2:$L$189,6,FALSE),"-")</f>
        <v>-</v>
      </c>
      <c r="AB107" s="92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35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8" t="str">
        <f>IFERROR(VLOOKUP(E108,Database!$A$2:$L$189,6,FALSE),"-")</f>
        <v>-</v>
      </c>
      <c r="H108" s="93" t="str">
        <f>IFERROR(VLOOKUP(E108,Database!$A$2:$L$189,9,FALSE),"-")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IFERROR(VLOOKUP(J108,Database!$A$2:$L$189,8,FALSE),"-")</f>
        <v>-</v>
      </c>
      <c r="L108" s="78" t="str">
        <f>IFERROR(VLOOKUP(J108,Database!$A$2:$L$189,6,FALSE),"-")</f>
        <v>-</v>
      </c>
      <c r="M108" s="93" t="str">
        <f>IFERROR(VLOOKUP(J108,Database!$A$2:$L$189,9,FALSE),"-")</f>
        <v>-</v>
      </c>
      <c r="N108" s="209" t="str">
        <f>IFERROR(VLOOKUP(J108,Database!$A$2:$S$189,19,FALSE),"-")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IFERROR(VLOOKUP(O108,Database!$A$2:$L$189,8,FALSE),"-")</f>
        <v>-</v>
      </c>
      <c r="Q108" s="78" t="str">
        <f>IFERROR(VLOOKUP(O108,Database!$A$2:$L$189,6,FALSE),"-")</f>
        <v>-</v>
      </c>
      <c r="R108" s="82" t="str">
        <f>IFERROR(VLOOKUP(O108,Database!$A$2:$L$189,9,FALSE),"-")</f>
        <v>-</v>
      </c>
      <c r="S108" s="209" t="str">
        <f>IFERROR(VLOOKUP(O108,Database!$A$2:$S$189,19,FALSE),"-")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IFERROR(VLOOKUP(T108,Database!$A$2:$L$189,8,FALSE),"-")</f>
        <v>-</v>
      </c>
      <c r="V108" s="78" t="str">
        <f>IFERROR(VLOOKUP(T108,Database!$A$2:$L$189,6,FALSE),"-")</f>
        <v>-</v>
      </c>
      <c r="W108" s="82" t="str">
        <f>IFERROR(VLOOKUP(T108,Database!$A$2:$L$189,9,FALSE),"-")</f>
        <v>-</v>
      </c>
      <c r="X108" s="209" t="str">
        <f>IFERROR(VLOOKUP(T108,Database!$A$2:$S$189,19,FALSE),"-")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IFERROR(VLOOKUP(Y108,Database!$A$2:$L$189,8,FALSE),"-")</f>
        <v>-</v>
      </c>
      <c r="AA108" s="79" t="str">
        <f>IFERROR(VLOOKUP(Y108,Database!$A$2:$L$189,6,FALSE),"-")</f>
        <v>-</v>
      </c>
      <c r="AB108" s="92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35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8" t="str">
        <f>IFERROR(VLOOKUP(E109,Database!$A$2:$L$189,6,FALSE),"-")</f>
        <v>-</v>
      </c>
      <c r="H109" s="93" t="str">
        <f>IFERROR(VLOOKUP(E109,Database!$A$2:$L$189,9,FALSE),"-")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IFERROR(VLOOKUP(J109,Database!$A$2:$L$189,8,FALSE),"-")</f>
        <v>-</v>
      </c>
      <c r="L109" s="78" t="str">
        <f>IFERROR(VLOOKUP(J109,Database!$A$2:$L$189,6,FALSE),"-")</f>
        <v>-</v>
      </c>
      <c r="M109" s="93" t="str">
        <f>IFERROR(VLOOKUP(J109,Database!$A$2:$L$189,9,FALSE),"-")</f>
        <v>-</v>
      </c>
      <c r="N109" s="209" t="str">
        <f>IFERROR(VLOOKUP(J109,Database!$A$2:$S$189,19,FALSE),"-")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IFERROR(VLOOKUP(O109,Database!$A$2:$L$189,8,FALSE),"-")</f>
        <v>-</v>
      </c>
      <c r="Q109" s="78" t="str">
        <f>IFERROR(VLOOKUP(O109,Database!$A$2:$L$189,6,FALSE),"-")</f>
        <v>-</v>
      </c>
      <c r="R109" s="82" t="str">
        <f>IFERROR(VLOOKUP(O109,Database!$A$2:$L$189,9,FALSE),"-")</f>
        <v>-</v>
      </c>
      <c r="S109" s="209" t="str">
        <f>IFERROR(VLOOKUP(O109,Database!$A$2:$S$189,19,FALSE),"-")</f>
        <v>-</v>
      </c>
      <c r="T109" s="97">
        <f>IF(AND(D109="Y",booking!P109&lt;&gt;booking!Q109,booking!Q109&gt;0),booking!Q109,"-")</f>
        <v>4</v>
      </c>
      <c r="U109" s="78">
        <f>IFERROR(VLOOKUP(T109,Database!$A$2:$L$189,8,FALSE),"-")</f>
        <v>0</v>
      </c>
      <c r="V109" s="78" t="str">
        <f>IFERROR(VLOOKUP(T109,Database!$A$2:$L$189,6,FALSE),"-")</f>
        <v>DK</v>
      </c>
      <c r="W109" s="82">
        <f>IFERROR(VLOOKUP(T109,Database!$A$2:$L$189,9,FALSE),"-")</f>
        <v>0</v>
      </c>
      <c r="X109" s="209" t="str">
        <f>IFERROR(VLOOKUP(T109,Database!$A$2:$S$189,19,FALSE),"-")</f>
        <v>Y</v>
      </c>
      <c r="Y109" s="96">
        <f>IF(AND(D109="Y",booking!T109&lt;&gt;booking!U109,booking!U109&gt;0),booking!U109,"-")</f>
        <v>4</v>
      </c>
      <c r="Z109" s="79">
        <f>IFERROR(VLOOKUP(Y109,Database!$A$2:$L$189,8,FALSE),"-")</f>
        <v>0</v>
      </c>
      <c r="AA109" s="79" t="str">
        <f>IFERROR(VLOOKUP(Y109,Database!$A$2:$L$189,6,FALSE),"-")</f>
        <v>DK</v>
      </c>
      <c r="AB109" s="92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35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8" t="str">
        <f>IFERROR(VLOOKUP(E110,Database!$A$2:$L$189,6,FALSE),"-")</f>
        <v>-</v>
      </c>
      <c r="H110" s="93" t="str">
        <f>IFERROR(VLOOKUP(E110,Database!$A$2:$L$189,9,FALSE),"-")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IFERROR(VLOOKUP(J110,Database!$A$2:$L$189,8,FALSE),"-")</f>
        <v>1430</v>
      </c>
      <c r="L110" s="78" t="str">
        <f>IFERROR(VLOOKUP(J110,Database!$A$2:$L$189,6,FALSE),"-")</f>
        <v>DK</v>
      </c>
      <c r="M110" s="93" t="str">
        <f>IFERROR(VLOOKUP(J110,Database!$A$2:$L$189,9,FALSE),"-")</f>
        <v>dobb</v>
      </c>
      <c r="N110" s="209" t="str">
        <f>IFERROR(VLOOKUP(J110,Database!$A$2:$S$189,19,FALSE),"-")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IFERROR(VLOOKUP(O110,Database!$A$2:$L$189,8,FALSE),"-")</f>
        <v>1430</v>
      </c>
      <c r="Q110" s="78" t="str">
        <f>IFERROR(VLOOKUP(O110,Database!$A$2:$L$189,6,FALSE),"-")</f>
        <v>DK</v>
      </c>
      <c r="R110" s="82" t="str">
        <f>IFERROR(VLOOKUP(O110,Database!$A$2:$L$189,9,FALSE),"-")</f>
        <v>dobb</v>
      </c>
      <c r="S110" s="209" t="str">
        <f>IFERROR(VLOOKUP(O110,Database!$A$2:$S$189,19,FALSE),"-")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IFERROR(VLOOKUP(T110,Database!$A$2:$L$189,8,FALSE),"-")</f>
        <v>-</v>
      </c>
      <c r="V110" s="78" t="str">
        <f>IFERROR(VLOOKUP(T110,Database!$A$2:$L$189,6,FALSE),"-")</f>
        <v>-</v>
      </c>
      <c r="W110" s="82" t="str">
        <f>IFERROR(VLOOKUP(T110,Database!$A$2:$L$189,9,FALSE),"-")</f>
        <v>-</v>
      </c>
      <c r="X110" s="209" t="str">
        <f>IFERROR(VLOOKUP(T110,Database!$A$2:$S$189,19,FALSE),"-")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IFERROR(VLOOKUP(Y110,Database!$A$2:$L$189,8,FALSE),"-")</f>
        <v>-</v>
      </c>
      <c r="AA110" s="79" t="str">
        <f>IFERROR(VLOOKUP(Y110,Database!$A$2:$L$189,6,FALSE),"-")</f>
        <v>-</v>
      </c>
      <c r="AB110" s="92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35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8" t="str">
        <f>IFERROR(VLOOKUP(E111,Database!$A$2:$L$189,6,FALSE),"-")</f>
        <v>DK</v>
      </c>
      <c r="H111" s="93">
        <f>IFERROR(VLOOKUP(E111,Database!$A$2:$L$189,9,FALSE),"-")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IFERROR(VLOOKUP(J111,Database!$A$2:$L$189,8,FALSE),"-")</f>
        <v>-</v>
      </c>
      <c r="L111" s="78" t="str">
        <f>IFERROR(VLOOKUP(J111,Database!$A$2:$L$189,6,FALSE),"-")</f>
        <v>-</v>
      </c>
      <c r="M111" s="93" t="str">
        <f>IFERROR(VLOOKUP(J111,Database!$A$2:$L$189,9,FALSE),"-")</f>
        <v>-</v>
      </c>
      <c r="N111" s="209" t="str">
        <f>IFERROR(VLOOKUP(J111,Database!$A$2:$S$189,19,FALSE),"-")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IFERROR(VLOOKUP(O111,Database!$A$2:$L$189,8,FALSE),"-")</f>
        <v>-</v>
      </c>
      <c r="Q111" s="78" t="str">
        <f>IFERROR(VLOOKUP(O111,Database!$A$2:$L$189,6,FALSE),"-")</f>
        <v>-</v>
      </c>
      <c r="R111" s="82" t="str">
        <f>IFERROR(VLOOKUP(O111,Database!$A$2:$L$189,9,FALSE),"-")</f>
        <v>-</v>
      </c>
      <c r="S111" s="209" t="str">
        <f>IFERROR(VLOOKUP(O111,Database!$A$2:$S$189,19,FALSE),"-")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IFERROR(VLOOKUP(T111,Database!$A$2:$L$189,8,FALSE),"-")</f>
        <v>-</v>
      </c>
      <c r="V111" s="78" t="str">
        <f>IFERROR(VLOOKUP(T111,Database!$A$2:$L$189,6,FALSE),"-")</f>
        <v>-</v>
      </c>
      <c r="W111" s="82" t="str">
        <f>IFERROR(VLOOKUP(T111,Database!$A$2:$L$189,9,FALSE),"-")</f>
        <v>-</v>
      </c>
      <c r="X111" s="209" t="str">
        <f>IFERROR(VLOOKUP(T111,Database!$A$2:$S$189,19,FALSE),"-")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IFERROR(VLOOKUP(Y111,Database!$A$2:$L$189,8,FALSE),"-")</f>
        <v>-</v>
      </c>
      <c r="AA111" s="79" t="str">
        <f>IFERROR(VLOOKUP(Y111,Database!$A$2:$L$189,6,FALSE),"-")</f>
        <v>-</v>
      </c>
      <c r="AB111" s="92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35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8" t="str">
        <f>IFERROR(VLOOKUP(E112,Database!$A$2:$L$189,6,FALSE),"-")</f>
        <v>-</v>
      </c>
      <c r="H112" s="93" t="str">
        <f>IFERROR(VLOOKUP(E112,Database!$A$2:$L$189,9,FALSE),"-")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IFERROR(VLOOKUP(J112,Database!$A$2:$L$189,8,FALSE),"-")</f>
        <v>-</v>
      </c>
      <c r="L112" s="78" t="str">
        <f>IFERROR(VLOOKUP(J112,Database!$A$2:$L$189,6,FALSE),"-")</f>
        <v>-</v>
      </c>
      <c r="M112" s="93" t="str">
        <f>IFERROR(VLOOKUP(J112,Database!$A$2:$L$189,9,FALSE),"-")</f>
        <v>-</v>
      </c>
      <c r="N112" s="209" t="str">
        <f>IFERROR(VLOOKUP(J112,Database!$A$2:$S$189,19,FALSE),"-")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IFERROR(VLOOKUP(O112,Database!$A$2:$L$189,8,FALSE),"-")</f>
        <v>-</v>
      </c>
      <c r="Q112" s="78" t="str">
        <f>IFERROR(VLOOKUP(O112,Database!$A$2:$L$189,6,FALSE),"-")</f>
        <v>-</v>
      </c>
      <c r="R112" s="82" t="str">
        <f>IFERROR(VLOOKUP(O112,Database!$A$2:$L$189,9,FALSE),"-")</f>
        <v>-</v>
      </c>
      <c r="S112" s="209" t="str">
        <f>IFERROR(VLOOKUP(O112,Database!$A$2:$S$189,19,FALSE),"-")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IFERROR(VLOOKUP(T112,Database!$A$2:$L$189,8,FALSE),"-")</f>
        <v>-</v>
      </c>
      <c r="V112" s="78" t="str">
        <f>IFERROR(VLOOKUP(T112,Database!$A$2:$L$189,6,FALSE),"-")</f>
        <v>-</v>
      </c>
      <c r="W112" s="82" t="str">
        <f>IFERROR(VLOOKUP(T112,Database!$A$2:$L$189,9,FALSE),"-")</f>
        <v>-</v>
      </c>
      <c r="X112" s="209" t="str">
        <f>IFERROR(VLOOKUP(T112,Database!$A$2:$S$189,19,FALSE),"-")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IFERROR(VLOOKUP(Y112,Database!$A$2:$L$189,8,FALSE),"-")</f>
        <v>-</v>
      </c>
      <c r="AA112" s="79" t="str">
        <f>IFERROR(VLOOKUP(Y112,Database!$A$2:$L$189,6,FALSE),"-")</f>
        <v>-</v>
      </c>
      <c r="AB112" s="92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35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8" t="str">
        <f>IFERROR(VLOOKUP(E113,Database!$A$2:$L$189,6,FALSE),"-")</f>
        <v>-</v>
      </c>
      <c r="H113" s="93" t="str">
        <f>IFERROR(VLOOKUP(E113,Database!$A$2:$L$189,9,FALSE),"-")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IFERROR(VLOOKUP(J113,Database!$A$2:$L$189,8,FALSE),"-")</f>
        <v>-</v>
      </c>
      <c r="L113" s="78" t="str">
        <f>IFERROR(VLOOKUP(J113,Database!$A$2:$L$189,6,FALSE),"-")</f>
        <v>-</v>
      </c>
      <c r="M113" s="93" t="str">
        <f>IFERROR(VLOOKUP(J113,Database!$A$2:$L$189,9,FALSE),"-")</f>
        <v>-</v>
      </c>
      <c r="N113" s="209" t="str">
        <f>IFERROR(VLOOKUP(J113,Database!$A$2:$S$189,19,FALSE),"-")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IFERROR(VLOOKUP(O113,Database!$A$2:$L$189,8,FALSE),"-")</f>
        <v>-</v>
      </c>
      <c r="Q113" s="78" t="str">
        <f>IFERROR(VLOOKUP(O113,Database!$A$2:$L$189,6,FALSE),"-")</f>
        <v>-</v>
      </c>
      <c r="R113" s="82" t="str">
        <f>IFERROR(VLOOKUP(O113,Database!$A$2:$L$189,9,FALSE),"-")</f>
        <v>-</v>
      </c>
      <c r="S113" s="209" t="str">
        <f>IFERROR(VLOOKUP(O113,Database!$A$2:$S$189,19,FALSE),"-")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IFERROR(VLOOKUP(T113,Database!$A$2:$L$189,8,FALSE),"-")</f>
        <v>0</v>
      </c>
      <c r="V113" s="78" t="str">
        <f>IFERROR(VLOOKUP(T113,Database!$A$2:$L$189,6,FALSE),"-")</f>
        <v>DK</v>
      </c>
      <c r="W113" s="82">
        <f>IFERROR(VLOOKUP(T113,Database!$A$2:$L$189,9,FALSE),"-")</f>
        <v>0</v>
      </c>
      <c r="X113" s="209" t="str">
        <f>IFERROR(VLOOKUP(T113,Database!$A$2:$S$189,19,FALSE),"-")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IFERROR(VLOOKUP(Y113,Database!$A$2:$L$189,8,FALSE),"-")</f>
        <v>-</v>
      </c>
      <c r="AA113" s="79" t="str">
        <f>IFERROR(VLOOKUP(Y113,Database!$A$2:$L$189,6,FALSE),"-")</f>
        <v>-</v>
      </c>
      <c r="AB113" s="92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35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8" t="str">
        <f>IFERROR(VLOOKUP(E114,Database!$A$2:$L$189,6,FALSE),"-")</f>
        <v>DK</v>
      </c>
      <c r="H114" s="93">
        <f>IFERROR(VLOOKUP(E114,Database!$A$2:$L$189,9,FALSE),"-")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IFERROR(VLOOKUP(J114,Database!$A$2:$L$189,8,FALSE),"-")</f>
        <v>-</v>
      </c>
      <c r="L114" s="78" t="str">
        <f>IFERROR(VLOOKUP(J114,Database!$A$2:$L$189,6,FALSE),"-")</f>
        <v>-</v>
      </c>
      <c r="M114" s="93" t="str">
        <f>IFERROR(VLOOKUP(J114,Database!$A$2:$L$189,9,FALSE),"-")</f>
        <v>-</v>
      </c>
      <c r="N114" s="209" t="str">
        <f>IFERROR(VLOOKUP(J114,Database!$A$2:$S$189,19,FALSE),"-")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IFERROR(VLOOKUP(O114,Database!$A$2:$L$189,8,FALSE),"-")</f>
        <v>1300</v>
      </c>
      <c r="Q114" s="78" t="str">
        <f>IFERROR(VLOOKUP(O114,Database!$A$2:$L$189,6,FALSE),"-")</f>
        <v>DK</v>
      </c>
      <c r="R114" s="82">
        <f>IFERROR(VLOOKUP(O114,Database!$A$2:$L$189,9,FALSE),"-")</f>
        <v>0</v>
      </c>
      <c r="S114" s="209" t="str">
        <f>IFERROR(VLOOKUP(O114,Database!$A$2:$S$189,19,FALSE),"-")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IFERROR(VLOOKUP(T114,Database!$A$2:$L$189,8,FALSE),"-")</f>
        <v>-</v>
      </c>
      <c r="V114" s="78" t="str">
        <f>IFERROR(VLOOKUP(T114,Database!$A$2:$L$189,6,FALSE),"-")</f>
        <v>-</v>
      </c>
      <c r="W114" s="82" t="str">
        <f>IFERROR(VLOOKUP(T114,Database!$A$2:$L$189,9,FALSE),"-")</f>
        <v>-</v>
      </c>
      <c r="X114" s="209" t="str">
        <f>IFERROR(VLOOKUP(T114,Database!$A$2:$S$189,19,FALSE),"-")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IFERROR(VLOOKUP(Y114,Database!$A$2:$L$189,8,FALSE),"-")</f>
        <v>0</v>
      </c>
      <c r="AA114" s="79" t="str">
        <f>IFERROR(VLOOKUP(Y114,Database!$A$2:$L$189,6,FALSE),"-")</f>
        <v>S</v>
      </c>
      <c r="AB114" s="92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35">
      <c r="A115" s="88" t="str">
        <f>rengoering!A115</f>
        <v>tirsdag</v>
      </c>
      <c r="B115" s="84">
        <v>46252</v>
      </c>
      <c r="C115" s="9"/>
      <c r="D115" s="89" t="str">
        <f>IF(booking!AB115&gt;0,"Y","-")</f>
        <v>Y</v>
      </c>
      <c r="E115" s="95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8" t="str">
        <f>IFERROR(VLOOKUP(E115,Database!$A$2:$L$189,6,FALSE),"-")</f>
        <v>-</v>
      </c>
      <c r="H115" s="93" t="str">
        <f>IFERROR(VLOOKUP(E115,Database!$A$2:$L$189,9,FALSE),"-")</f>
        <v>-</v>
      </c>
      <c r="I115" s="112"/>
      <c r="J115" s="96">
        <f>IF(AND(D115="Y",booking!H115&lt;&gt;booking!I115,booking!I115&gt;0),booking!I115,"-")</f>
        <v>133</v>
      </c>
      <c r="K115" s="78">
        <f>IFERROR(VLOOKUP(J115,Database!$A$2:$L$189,8,FALSE),"-")</f>
        <v>0</v>
      </c>
      <c r="L115" s="78" t="str">
        <f>IFERROR(VLOOKUP(J115,Database!$A$2:$L$189,6,FALSE),"-")</f>
        <v>DK</v>
      </c>
      <c r="M115" s="93" t="str">
        <f>IFERROR(VLOOKUP(J115,Database!$A$2:$L$189,9,FALSE),"-")</f>
        <v>Sing</v>
      </c>
      <c r="N115" s="209" t="str">
        <f>IFERROR(VLOOKUP(J115,Database!$A$2:$S$189,19,FALSE),"-")</f>
        <v>N</v>
      </c>
      <c r="O115" s="96" t="str">
        <f>IF(AND(D115="Y",booking!L115&lt;&gt;booking!M115,booking!M115&gt;0),booking!M115,"-")</f>
        <v>-</v>
      </c>
      <c r="P115" s="78" t="str">
        <f>IFERROR(VLOOKUP(O115,Database!$A$2:$L$189,8,FALSE),"-")</f>
        <v>-</v>
      </c>
      <c r="Q115" s="78" t="str">
        <f>IFERROR(VLOOKUP(O115,Database!$A$2:$L$189,6,FALSE),"-")</f>
        <v>-</v>
      </c>
      <c r="R115" s="82" t="str">
        <f>IFERROR(VLOOKUP(O115,Database!$A$2:$L$189,9,FALSE),"-")</f>
        <v>-</v>
      </c>
      <c r="S115" s="209" t="str">
        <f>IFERROR(VLOOKUP(O115,Database!$A$2:$S$189,19,FALSE),"-")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IFERROR(VLOOKUP(T115,Database!$A$2:$L$189,8,FALSE),"-")</f>
        <v>-</v>
      </c>
      <c r="V115" s="78" t="str">
        <f>IFERROR(VLOOKUP(T115,Database!$A$2:$L$189,6,FALSE),"-")</f>
        <v>-</v>
      </c>
      <c r="W115" s="82" t="str">
        <f>IFERROR(VLOOKUP(T115,Database!$A$2:$L$189,9,FALSE),"-")</f>
        <v>-</v>
      </c>
      <c r="X115" s="209" t="str">
        <f>IFERROR(VLOOKUP(T115,Database!$A$2:$S$189,19,FALSE),"-")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IFERROR(VLOOKUP(Y115,Database!$A$2:$L$189,8,FALSE),"-")</f>
        <v>-</v>
      </c>
      <c r="AA115" s="79" t="str">
        <f>IFERROR(VLOOKUP(Y115,Database!$A$2:$L$189,6,FALSE),"-")</f>
        <v>-</v>
      </c>
      <c r="AB115" s="92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35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8" t="str">
        <f>IFERROR(VLOOKUP(E116,Database!$A$2:$L$189,6,FALSE),"-")</f>
        <v>-</v>
      </c>
      <c r="H116" s="93" t="str">
        <f>IFERROR(VLOOKUP(E116,Database!$A$2:$L$189,9,FALSE),"-")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IFERROR(VLOOKUP(J116,Database!$A$2:$L$189,8,FALSE),"-")</f>
        <v>-</v>
      </c>
      <c r="L116" s="78" t="str">
        <f>IFERROR(VLOOKUP(J116,Database!$A$2:$L$189,6,FALSE),"-")</f>
        <v>-</v>
      </c>
      <c r="M116" s="93" t="str">
        <f>IFERROR(VLOOKUP(J116,Database!$A$2:$L$189,9,FALSE),"-")</f>
        <v>-</v>
      </c>
      <c r="N116" s="209" t="str">
        <f>IFERROR(VLOOKUP(J116,Database!$A$2:$S$189,19,FALSE),"-")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IFERROR(VLOOKUP(O116,Database!$A$2:$L$189,8,FALSE),"-")</f>
        <v>-</v>
      </c>
      <c r="Q116" s="78" t="str">
        <f>IFERROR(VLOOKUP(O116,Database!$A$2:$L$189,6,FALSE),"-")</f>
        <v>-</v>
      </c>
      <c r="R116" s="82" t="str">
        <f>IFERROR(VLOOKUP(O116,Database!$A$2:$L$189,9,FALSE),"-")</f>
        <v>-</v>
      </c>
      <c r="S116" s="209" t="str">
        <f>IFERROR(VLOOKUP(O116,Database!$A$2:$S$189,19,FALSE),"-")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IFERROR(VLOOKUP(T116,Database!$A$2:$L$189,8,FALSE),"-")</f>
        <v>-</v>
      </c>
      <c r="V116" s="78" t="str">
        <f>IFERROR(VLOOKUP(T116,Database!$A$2:$L$189,6,FALSE),"-")</f>
        <v>-</v>
      </c>
      <c r="W116" s="82" t="str">
        <f>IFERROR(VLOOKUP(T116,Database!$A$2:$L$189,9,FALSE),"-")</f>
        <v>-</v>
      </c>
      <c r="X116" s="209" t="str">
        <f>IFERROR(VLOOKUP(T116,Database!$A$2:$S$189,19,FALSE),"-")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IFERROR(VLOOKUP(Y116,Database!$A$2:$L$189,8,FALSE),"-")</f>
        <v>-</v>
      </c>
      <c r="AA116" s="79" t="str">
        <f>IFERROR(VLOOKUP(Y116,Database!$A$2:$L$189,6,FALSE),"-")</f>
        <v>-</v>
      </c>
      <c r="AB116" s="92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35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8" t="str">
        <f>IFERROR(VLOOKUP(E117,Database!$A$2:$L$189,6,FALSE),"-")</f>
        <v>-</v>
      </c>
      <c r="H117" s="93" t="str">
        <f>IFERROR(VLOOKUP(E117,Database!$A$2:$L$189,9,FALSE),"-")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IFERROR(VLOOKUP(J117,Database!$A$2:$L$189,8,FALSE),"-")</f>
        <v>1530</v>
      </c>
      <c r="L117" s="78" t="str">
        <f>IFERROR(VLOOKUP(J117,Database!$A$2:$L$189,6,FALSE),"-")</f>
        <v>DK</v>
      </c>
      <c r="M117" s="93" t="str">
        <f>IFERROR(VLOOKUP(J117,Database!$A$2:$L$189,9,FALSE),"-")</f>
        <v>db/sing</v>
      </c>
      <c r="N117" s="209">
        <f>IFERROR(VLOOKUP(J117,Database!$A$2:$S$189,19,FALSE),"-")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IFERROR(VLOOKUP(O117,Database!$A$2:$L$189,8,FALSE),"-")</f>
        <v>-</v>
      </c>
      <c r="Q117" s="78" t="str">
        <f>IFERROR(VLOOKUP(O117,Database!$A$2:$L$189,6,FALSE),"-")</f>
        <v>-</v>
      </c>
      <c r="R117" s="82" t="str">
        <f>IFERROR(VLOOKUP(O117,Database!$A$2:$L$189,9,FALSE),"-")</f>
        <v>-</v>
      </c>
      <c r="S117" s="209" t="str">
        <f>IFERROR(VLOOKUP(O117,Database!$A$2:$S$189,19,FALSE),"-")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IFERROR(VLOOKUP(T117,Database!$A$2:$L$189,8,FALSE),"-")</f>
        <v>-</v>
      </c>
      <c r="V117" s="78" t="str">
        <f>IFERROR(VLOOKUP(T117,Database!$A$2:$L$189,6,FALSE),"-")</f>
        <v>-</v>
      </c>
      <c r="W117" s="82" t="str">
        <f>IFERROR(VLOOKUP(T117,Database!$A$2:$L$189,9,FALSE),"-")</f>
        <v>-</v>
      </c>
      <c r="X117" s="209" t="str">
        <f>IFERROR(VLOOKUP(T117,Database!$A$2:$S$189,19,FALSE),"-")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IFERROR(VLOOKUP(Y117,Database!$A$2:$L$189,8,FALSE),"-")</f>
        <v>-</v>
      </c>
      <c r="AA117" s="79" t="str">
        <f>IFERROR(VLOOKUP(Y117,Database!$A$2:$L$189,6,FALSE),"-")</f>
        <v>-</v>
      </c>
      <c r="AB117" s="92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35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8" t="str">
        <f>IFERROR(VLOOKUP(E118,Database!$A$2:$L$189,6,FALSE),"-")</f>
        <v>-</v>
      </c>
      <c r="H118" s="93" t="str">
        <f>IFERROR(VLOOKUP(E118,Database!$A$2:$L$189,9,FALSE),"-")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IFERROR(VLOOKUP(J118,Database!$A$2:$L$189,8,FALSE),"-")</f>
        <v>-</v>
      </c>
      <c r="L118" s="78" t="str">
        <f>IFERROR(VLOOKUP(J118,Database!$A$2:$L$189,6,FALSE),"-")</f>
        <v>-</v>
      </c>
      <c r="M118" s="93" t="str">
        <f>IFERROR(VLOOKUP(J118,Database!$A$2:$L$189,9,FALSE),"-")</f>
        <v>-</v>
      </c>
      <c r="N118" s="209" t="str">
        <f>IFERROR(VLOOKUP(J118,Database!$A$2:$S$189,19,FALSE),"-")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IFERROR(VLOOKUP(O118,Database!$A$2:$L$189,8,FALSE),"-")</f>
        <v>1530</v>
      </c>
      <c r="Q118" s="78" t="str">
        <f>IFERROR(VLOOKUP(O118,Database!$A$2:$L$189,6,FALSE),"-")</f>
        <v>DK</v>
      </c>
      <c r="R118" s="82" t="str">
        <f>IFERROR(VLOOKUP(O118,Database!$A$2:$L$189,9,FALSE),"-")</f>
        <v>db/sing</v>
      </c>
      <c r="S118" s="209">
        <f>IFERROR(VLOOKUP(O118,Database!$A$2:$S$189,19,FALSE),"-")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IFERROR(VLOOKUP(T118,Database!$A$2:$L$189,8,FALSE),"-")</f>
        <v>1530</v>
      </c>
      <c r="V118" s="78" t="str">
        <f>IFERROR(VLOOKUP(T118,Database!$A$2:$L$189,6,FALSE),"-")</f>
        <v>D</v>
      </c>
      <c r="W118" s="82" t="str">
        <f>IFERROR(VLOOKUP(T118,Database!$A$2:$L$189,9,FALSE),"-")</f>
        <v>sing</v>
      </c>
      <c r="X118" s="209" t="str">
        <f>IFERROR(VLOOKUP(T118,Database!$A$2:$S$189,19,FALSE),"-")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IFERROR(VLOOKUP(Y118,Database!$A$2:$L$189,8,FALSE),"-")</f>
        <v>-</v>
      </c>
      <c r="AA118" s="79" t="str">
        <f>IFERROR(VLOOKUP(Y118,Database!$A$2:$L$189,6,FALSE),"-")</f>
        <v>-</v>
      </c>
      <c r="AB118" s="92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35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IFERROR(VLOOKUP(E119,Database!$A$2:$L$189,8,FALSE),"-")</f>
        <v>0</v>
      </c>
      <c r="G119" s="78" t="str">
        <f>IFERROR(VLOOKUP(E119,Database!$A$2:$L$189,6,FALSE),"-")</f>
        <v>DK</v>
      </c>
      <c r="H119" s="93" t="str">
        <f>IFERROR(VLOOKUP(E119,Database!$A$2:$L$189,9,FALSE),"-")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IFERROR(VLOOKUP(J119,Database!$A$2:$L$189,8,FALSE),"-")</f>
        <v>-</v>
      </c>
      <c r="L119" s="78" t="str">
        <f>IFERROR(VLOOKUP(J119,Database!$A$2:$L$189,6,FALSE),"-")</f>
        <v>-</v>
      </c>
      <c r="M119" s="93" t="str">
        <f>IFERROR(VLOOKUP(J119,Database!$A$2:$L$189,9,FALSE),"-")</f>
        <v>-</v>
      </c>
      <c r="N119" s="209" t="str">
        <f>IFERROR(VLOOKUP(J119,Database!$A$2:$S$189,19,FALSE),"-")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IFERROR(VLOOKUP(O119,Database!$A$2:$L$189,8,FALSE),"-")</f>
        <v>-</v>
      </c>
      <c r="Q119" s="78" t="str">
        <f>IFERROR(VLOOKUP(O119,Database!$A$2:$L$189,6,FALSE),"-")</f>
        <v>-</v>
      </c>
      <c r="R119" s="82" t="str">
        <f>IFERROR(VLOOKUP(O119,Database!$A$2:$L$189,9,FALSE),"-")</f>
        <v>-</v>
      </c>
      <c r="S119" s="209" t="str">
        <f>IFERROR(VLOOKUP(O119,Database!$A$2:$S$189,19,FALSE),"-")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IFERROR(VLOOKUP(T119,Database!$A$2:$L$189,8,FALSE),"-")</f>
        <v>-</v>
      </c>
      <c r="V119" s="78" t="str">
        <f>IFERROR(VLOOKUP(T119,Database!$A$2:$L$189,6,FALSE),"-")</f>
        <v>-</v>
      </c>
      <c r="W119" s="82" t="str">
        <f>IFERROR(VLOOKUP(T119,Database!$A$2:$L$189,9,FALSE),"-")</f>
        <v>-</v>
      </c>
      <c r="X119" s="209" t="str">
        <f>IFERROR(VLOOKUP(T119,Database!$A$2:$S$189,19,FALSE),"-")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IFERROR(VLOOKUP(Y119,Database!$A$2:$L$189,8,FALSE),"-")</f>
        <v>0</v>
      </c>
      <c r="AA119" s="79" t="str">
        <f>IFERROR(VLOOKUP(Y119,Database!$A$2:$L$189,6,FALSE),"-")</f>
        <v>CH</v>
      </c>
      <c r="AB119" s="92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35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8" t="str">
        <f>IFERROR(VLOOKUP(E120,Database!$A$2:$L$189,6,FALSE),"-")</f>
        <v>-</v>
      </c>
      <c r="H120" s="93" t="str">
        <f>IFERROR(VLOOKUP(E120,Database!$A$2:$L$189,9,FALSE),"-")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IFERROR(VLOOKUP(J120,Database!$A$2:$L$189,8,FALSE),"-")</f>
        <v>0</v>
      </c>
      <c r="L120" s="78" t="str">
        <f>IFERROR(VLOOKUP(J120,Database!$A$2:$L$189,6,FALSE),"-")</f>
        <v>DK</v>
      </c>
      <c r="M120" s="93" t="str">
        <f>IFERROR(VLOOKUP(J120,Database!$A$2:$L$189,9,FALSE),"-")</f>
        <v>Dobb</v>
      </c>
      <c r="N120" s="209" t="str">
        <f>IFERROR(VLOOKUP(J120,Database!$A$2:$S$189,19,FALSE),"-")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IFERROR(VLOOKUP(O120,Database!$A$2:$L$189,8,FALSE),"-")</f>
        <v>0</v>
      </c>
      <c r="Q120" s="78" t="str">
        <f>IFERROR(VLOOKUP(O120,Database!$A$2:$L$189,6,FALSE),"-")</f>
        <v>DK</v>
      </c>
      <c r="R120" s="82">
        <f>IFERROR(VLOOKUP(O120,Database!$A$2:$L$189,9,FALSE),"-")</f>
        <v>0</v>
      </c>
      <c r="S120" s="209" t="str">
        <f>IFERROR(VLOOKUP(O120,Database!$A$2:$S$189,19,FALSE),"-")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IFERROR(VLOOKUP(T120,Database!$A$2:$L$189,8,FALSE),"-")</f>
        <v>-</v>
      </c>
      <c r="V120" s="78" t="str">
        <f>IFERROR(VLOOKUP(T120,Database!$A$2:$L$189,6,FALSE),"-")</f>
        <v>-</v>
      </c>
      <c r="W120" s="82" t="str">
        <f>IFERROR(VLOOKUP(T120,Database!$A$2:$L$189,9,FALSE),"-")</f>
        <v>-</v>
      </c>
      <c r="X120" s="209" t="str">
        <f>IFERROR(VLOOKUP(T120,Database!$A$2:$S$189,19,FALSE),"-")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IFERROR(VLOOKUP(Y120,Database!$A$2:$L$189,8,FALSE),"-")</f>
        <v>-</v>
      </c>
      <c r="AA120" s="79" t="str">
        <f>IFERROR(VLOOKUP(Y120,Database!$A$2:$L$189,6,FALSE),"-")</f>
        <v>-</v>
      </c>
      <c r="AB120" s="92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35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8" t="str">
        <f>IFERROR(VLOOKUP(E121,Database!$A$2:$L$189,6,FALSE),"-")</f>
        <v>-</v>
      </c>
      <c r="H121" s="93" t="str">
        <f>IFERROR(VLOOKUP(E121,Database!$A$2:$L$189,9,FALSE),"-")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IFERROR(VLOOKUP(J121,Database!$A$2:$L$189,8,FALSE),"-")</f>
        <v>-</v>
      </c>
      <c r="L121" s="78" t="str">
        <f>IFERROR(VLOOKUP(J121,Database!$A$2:$L$189,6,FALSE),"-")</f>
        <v>-</v>
      </c>
      <c r="M121" s="93" t="str">
        <f>IFERROR(VLOOKUP(J121,Database!$A$2:$L$189,9,FALSE),"-")</f>
        <v>-</v>
      </c>
      <c r="N121" s="209" t="str">
        <f>IFERROR(VLOOKUP(J121,Database!$A$2:$S$189,19,FALSE),"-")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IFERROR(VLOOKUP(O121,Database!$A$2:$L$189,8,FALSE),"-")</f>
        <v>-</v>
      </c>
      <c r="Q121" s="78" t="str">
        <f>IFERROR(VLOOKUP(O121,Database!$A$2:$L$189,6,FALSE),"-")</f>
        <v>-</v>
      </c>
      <c r="R121" s="82" t="str">
        <f>IFERROR(VLOOKUP(O121,Database!$A$2:$L$189,9,FALSE),"-")</f>
        <v>-</v>
      </c>
      <c r="S121" s="209" t="str">
        <f>IFERROR(VLOOKUP(O121,Database!$A$2:$S$189,19,FALSE),"-")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IFERROR(VLOOKUP(T121,Database!$A$2:$L$189,8,FALSE),"-")</f>
        <v>0</v>
      </c>
      <c r="V121" s="78" t="str">
        <f>IFERROR(VLOOKUP(T121,Database!$A$2:$L$189,6,FALSE),"-")</f>
        <v>DK</v>
      </c>
      <c r="W121" s="82">
        <f>IFERROR(VLOOKUP(T121,Database!$A$2:$L$189,9,FALSE),"-")</f>
        <v>0</v>
      </c>
      <c r="X121" s="209" t="str">
        <f>IFERROR(VLOOKUP(T121,Database!$A$2:$S$189,19,FALSE),"-")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IFERROR(VLOOKUP(Y121,Database!$A$2:$L$189,8,FALSE),"-")</f>
        <v>-</v>
      </c>
      <c r="AA121" s="79" t="str">
        <f>IFERROR(VLOOKUP(Y121,Database!$A$2:$L$189,6,FALSE),"-")</f>
        <v>-</v>
      </c>
      <c r="AB121" s="92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35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8" t="str">
        <f>IFERROR(VLOOKUP(E122,Database!$A$2:$L$189,6,FALSE),"-")</f>
        <v>-</v>
      </c>
      <c r="H122" s="93" t="str">
        <f>IFERROR(VLOOKUP(E122,Database!$A$2:$L$189,9,FALSE),"-")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IFERROR(VLOOKUP(J122,Database!$A$2:$L$189,8,FALSE),"-")</f>
        <v>-</v>
      </c>
      <c r="L122" s="78" t="str">
        <f>IFERROR(VLOOKUP(J122,Database!$A$2:$L$189,6,FALSE),"-")</f>
        <v>-</v>
      </c>
      <c r="M122" s="93" t="str">
        <f>IFERROR(VLOOKUP(J122,Database!$A$2:$L$189,9,FALSE),"-")</f>
        <v>-</v>
      </c>
      <c r="N122" s="209" t="str">
        <f>IFERROR(VLOOKUP(J122,Database!$A$2:$S$189,19,FALSE),"-")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IFERROR(VLOOKUP(O122,Database!$A$2:$L$189,8,FALSE),"-")</f>
        <v>-</v>
      </c>
      <c r="Q122" s="78" t="str">
        <f>IFERROR(VLOOKUP(O122,Database!$A$2:$L$189,6,FALSE),"-")</f>
        <v>-</v>
      </c>
      <c r="R122" s="82" t="str">
        <f>IFERROR(VLOOKUP(O122,Database!$A$2:$L$189,9,FALSE),"-")</f>
        <v>-</v>
      </c>
      <c r="S122" s="209" t="str">
        <f>IFERROR(VLOOKUP(O122,Database!$A$2:$S$189,19,FALSE),"-")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IFERROR(VLOOKUP(T122,Database!$A$2:$L$189,8,FALSE),"-")</f>
        <v>-</v>
      </c>
      <c r="V122" s="78" t="str">
        <f>IFERROR(VLOOKUP(T122,Database!$A$2:$L$189,6,FALSE),"-")</f>
        <v>-</v>
      </c>
      <c r="W122" s="82" t="str">
        <f>IFERROR(VLOOKUP(T122,Database!$A$2:$L$189,9,FALSE),"-")</f>
        <v>-</v>
      </c>
      <c r="X122" s="209" t="str">
        <f>IFERROR(VLOOKUP(T122,Database!$A$2:$S$189,19,FALSE),"-")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IFERROR(VLOOKUP(Y122,Database!$A$2:$L$189,8,FALSE),"-")</f>
        <v>-</v>
      </c>
      <c r="AA122" s="79" t="str">
        <f>IFERROR(VLOOKUP(Y122,Database!$A$2:$L$189,6,FALSE),"-")</f>
        <v>-</v>
      </c>
      <c r="AB122" s="92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35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8" t="str">
        <f>IFERROR(VLOOKUP(E123,Database!$A$2:$L$189,6,FALSE),"-")</f>
        <v>D</v>
      </c>
      <c r="H123" s="93" t="str">
        <f>IFERROR(VLOOKUP(E123,Database!$A$2:$L$189,9,FALSE),"-")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IFERROR(VLOOKUP(J123,Database!$A$2:$L$189,8,FALSE),"-")</f>
        <v>0</v>
      </c>
      <c r="L123" s="78" t="str">
        <f>IFERROR(VLOOKUP(J123,Database!$A$2:$L$189,6,FALSE),"-")</f>
        <v>DK</v>
      </c>
      <c r="M123" s="93">
        <f>IFERROR(VLOOKUP(J123,Database!$A$2:$L$189,9,FALSE),"-")</f>
        <v>0</v>
      </c>
      <c r="N123" s="209" t="str">
        <f>IFERROR(VLOOKUP(J123,Database!$A$2:$S$189,19,FALSE),"-")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IFERROR(VLOOKUP(O123,Database!$A$2:$L$189,8,FALSE),"-")</f>
        <v>0</v>
      </c>
      <c r="Q123" s="78" t="str">
        <f>IFERROR(VLOOKUP(O123,Database!$A$2:$L$189,6,FALSE),"-")</f>
        <v>D</v>
      </c>
      <c r="R123" s="82" t="str">
        <f>IFERROR(VLOOKUP(O123,Database!$A$2:$L$189,9,FALSE),"-")</f>
        <v>dobb</v>
      </c>
      <c r="S123" s="209" t="str">
        <f>IFERROR(VLOOKUP(O123,Database!$A$2:$S$189,19,FALSE),"-")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IFERROR(VLOOKUP(T123,Database!$A$2:$L$189,8,FALSE),"-")</f>
        <v>-</v>
      </c>
      <c r="V123" s="78" t="str">
        <f>IFERROR(VLOOKUP(T123,Database!$A$2:$L$189,6,FALSE),"-")</f>
        <v>-</v>
      </c>
      <c r="W123" s="82" t="str">
        <f>IFERROR(VLOOKUP(T123,Database!$A$2:$L$189,9,FALSE),"-")</f>
        <v>-</v>
      </c>
      <c r="X123" s="209" t="str">
        <f>IFERROR(VLOOKUP(T123,Database!$A$2:$S$189,19,FALSE),"-")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IFERROR(VLOOKUP(Y123,Database!$A$2:$L$189,8,FALSE),"-")</f>
        <v>-</v>
      </c>
      <c r="AA123" s="79" t="str">
        <f>IFERROR(VLOOKUP(Y123,Database!$A$2:$L$189,6,FALSE),"-")</f>
        <v>-</v>
      </c>
      <c r="AB123" s="92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35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8" t="str">
        <f>IFERROR(VLOOKUP(E124,Database!$A$2:$L$189,6,FALSE),"-")</f>
        <v>-</v>
      </c>
      <c r="H124" s="93" t="str">
        <f>IFERROR(VLOOKUP(E124,Database!$A$2:$L$189,9,FALSE),"-")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IFERROR(VLOOKUP(J124,Database!$A$2:$L$189,8,FALSE),"-")</f>
        <v>-</v>
      </c>
      <c r="L124" s="78" t="str">
        <f>IFERROR(VLOOKUP(J124,Database!$A$2:$L$189,6,FALSE),"-")</f>
        <v>-</v>
      </c>
      <c r="M124" s="93" t="str">
        <f>IFERROR(VLOOKUP(J124,Database!$A$2:$L$189,9,FALSE),"-")</f>
        <v>-</v>
      </c>
      <c r="N124" s="209" t="str">
        <f>IFERROR(VLOOKUP(J124,Database!$A$2:$S$189,19,FALSE),"-")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IFERROR(VLOOKUP(O124,Database!$A$2:$L$189,8,FALSE),"-")</f>
        <v>-</v>
      </c>
      <c r="Q124" s="78" t="str">
        <f>IFERROR(VLOOKUP(O124,Database!$A$2:$L$189,6,FALSE),"-")</f>
        <v>-</v>
      </c>
      <c r="R124" s="82" t="str">
        <f>IFERROR(VLOOKUP(O124,Database!$A$2:$L$189,9,FALSE),"-")</f>
        <v>-</v>
      </c>
      <c r="S124" s="209" t="str">
        <f>IFERROR(VLOOKUP(O124,Database!$A$2:$S$189,19,FALSE),"-")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IFERROR(VLOOKUP(T124,Database!$A$2:$L$189,8,FALSE),"-")</f>
        <v>-</v>
      </c>
      <c r="V124" s="78" t="str">
        <f>IFERROR(VLOOKUP(T124,Database!$A$2:$L$189,6,FALSE),"-")</f>
        <v>-</v>
      </c>
      <c r="W124" s="82" t="str">
        <f>IFERROR(VLOOKUP(T124,Database!$A$2:$L$189,9,FALSE),"-")</f>
        <v>-</v>
      </c>
      <c r="X124" s="209" t="str">
        <f>IFERROR(VLOOKUP(T124,Database!$A$2:$S$189,19,FALSE),"-")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IFERROR(VLOOKUP(Y124,Database!$A$2:$L$189,8,FALSE),"-")</f>
        <v>0</v>
      </c>
      <c r="AA124" s="79" t="str">
        <f>IFERROR(VLOOKUP(Y124,Database!$A$2:$L$189,6,FALSE),"-")</f>
        <v>S</v>
      </c>
      <c r="AB124" s="92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35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8" t="str">
        <f>IFERROR(VLOOKUP(E125,Database!$A$2:$L$189,6,FALSE),"-")</f>
        <v>-</v>
      </c>
      <c r="H125" s="93" t="str">
        <f>IFERROR(VLOOKUP(E125,Database!$A$2:$L$189,9,FALSE),"-")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IFERROR(VLOOKUP(J125,Database!$A$2:$L$189,8,FALSE),"-")</f>
        <v>-</v>
      </c>
      <c r="L125" s="78" t="str">
        <f>IFERROR(VLOOKUP(J125,Database!$A$2:$L$189,6,FALSE),"-")</f>
        <v>-</v>
      </c>
      <c r="M125" s="93" t="str">
        <f>IFERROR(VLOOKUP(J125,Database!$A$2:$L$189,9,FALSE),"-")</f>
        <v>-</v>
      </c>
      <c r="N125" s="209" t="str">
        <f>IFERROR(VLOOKUP(J125,Database!$A$2:$S$189,19,FALSE),"-")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IFERROR(VLOOKUP(O125,Database!$A$2:$L$189,8,FALSE),"-")</f>
        <v>-</v>
      </c>
      <c r="Q125" s="78" t="str">
        <f>IFERROR(VLOOKUP(O125,Database!$A$2:$L$189,6,FALSE),"-")</f>
        <v>-</v>
      </c>
      <c r="R125" s="82" t="str">
        <f>IFERROR(VLOOKUP(O125,Database!$A$2:$L$189,9,FALSE),"-")</f>
        <v>-</v>
      </c>
      <c r="S125" s="209" t="str">
        <f>IFERROR(VLOOKUP(O125,Database!$A$2:$S$189,19,FALSE),"-")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IFERROR(VLOOKUP(T125,Database!$A$2:$L$189,8,FALSE),"-")</f>
        <v>0</v>
      </c>
      <c r="V125" s="78" t="str">
        <f>IFERROR(VLOOKUP(T125,Database!$A$2:$L$189,6,FALSE),"-")</f>
        <v>D</v>
      </c>
      <c r="W125" s="82">
        <f>IFERROR(VLOOKUP(T125,Database!$A$2:$L$189,9,FALSE),"-")</f>
        <v>0</v>
      </c>
      <c r="X125" s="209" t="str">
        <f>IFERROR(VLOOKUP(T125,Database!$A$2:$S$189,19,FALSE),"-")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IFERROR(VLOOKUP(Y125,Database!$A$2:$L$189,8,FALSE),"-")</f>
        <v>-</v>
      </c>
      <c r="AA125" s="79" t="str">
        <f>IFERROR(VLOOKUP(Y125,Database!$A$2:$L$189,6,FALSE),"-")</f>
        <v>-</v>
      </c>
      <c r="AB125" s="92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35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8" t="str">
        <f>IFERROR(VLOOKUP(E126,Database!$A$2:$L$189,6,FALSE),"-")</f>
        <v>-</v>
      </c>
      <c r="H126" s="93" t="str">
        <f>IFERROR(VLOOKUP(E126,Database!$A$2:$L$189,9,FALSE),"-")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IFERROR(VLOOKUP(J126,Database!$A$2:$L$189,8,FALSE),"-")</f>
        <v>-</v>
      </c>
      <c r="L126" s="78" t="str">
        <f>IFERROR(VLOOKUP(J126,Database!$A$2:$L$189,6,FALSE),"-")</f>
        <v>-</v>
      </c>
      <c r="M126" s="93" t="str">
        <f>IFERROR(VLOOKUP(J126,Database!$A$2:$L$189,9,FALSE),"-")</f>
        <v>-</v>
      </c>
      <c r="N126" s="209" t="str">
        <f>IFERROR(VLOOKUP(J126,Database!$A$2:$S$189,19,FALSE),"-")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IFERROR(VLOOKUP(O126,Database!$A$2:$L$189,8,FALSE),"-")</f>
        <v>-</v>
      </c>
      <c r="Q126" s="78" t="str">
        <f>IFERROR(VLOOKUP(O126,Database!$A$2:$L$189,6,FALSE),"-")</f>
        <v>-</v>
      </c>
      <c r="R126" s="82" t="str">
        <f>IFERROR(VLOOKUP(O126,Database!$A$2:$L$189,9,FALSE),"-")</f>
        <v>-</v>
      </c>
      <c r="S126" s="209" t="str">
        <f>IFERROR(VLOOKUP(O126,Database!$A$2:$S$189,19,FALSE),"-")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IFERROR(VLOOKUP(T126,Database!$A$2:$L$189,8,FALSE),"-")</f>
        <v>-</v>
      </c>
      <c r="V126" s="78" t="str">
        <f>IFERROR(VLOOKUP(T126,Database!$A$2:$L$189,6,FALSE),"-")</f>
        <v>-</v>
      </c>
      <c r="W126" s="82" t="str">
        <f>IFERROR(VLOOKUP(T126,Database!$A$2:$L$189,9,FALSE),"-")</f>
        <v>-</v>
      </c>
      <c r="X126" s="209" t="str">
        <f>IFERROR(VLOOKUP(T126,Database!$A$2:$S$189,19,FALSE),"-")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IFERROR(VLOOKUP(Y126,Database!$A$2:$L$189,8,FALSE),"-")</f>
        <v>-</v>
      </c>
      <c r="AA126" s="79" t="str">
        <f>IFERROR(VLOOKUP(Y126,Database!$A$2:$L$189,6,FALSE),"-")</f>
        <v>-</v>
      </c>
      <c r="AB126" s="92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35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8" t="str">
        <f>IFERROR(VLOOKUP(E127,Database!$A$2:$L$189,6,FALSE),"-")</f>
        <v>-</v>
      </c>
      <c r="H127" s="93" t="str">
        <f>IFERROR(VLOOKUP(E127,Database!$A$2:$L$189,9,FALSE),"-")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IFERROR(VLOOKUP(J127,Database!$A$2:$L$189,8,FALSE),"-")</f>
        <v>-</v>
      </c>
      <c r="L127" s="78" t="str">
        <f>IFERROR(VLOOKUP(J127,Database!$A$2:$L$189,6,FALSE),"-")</f>
        <v>-</v>
      </c>
      <c r="M127" s="93" t="str">
        <f>IFERROR(VLOOKUP(J127,Database!$A$2:$L$189,9,FALSE),"-")</f>
        <v>-</v>
      </c>
      <c r="N127" s="209" t="str">
        <f>IFERROR(VLOOKUP(J127,Database!$A$2:$S$189,19,FALSE),"-")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IFERROR(VLOOKUP(O127,Database!$A$2:$L$189,8,FALSE),"-")</f>
        <v>-</v>
      </c>
      <c r="Q127" s="78" t="str">
        <f>IFERROR(VLOOKUP(O127,Database!$A$2:$L$189,6,FALSE),"-")</f>
        <v>-</v>
      </c>
      <c r="R127" s="82" t="str">
        <f>IFERROR(VLOOKUP(O127,Database!$A$2:$L$189,9,FALSE),"-")</f>
        <v>-</v>
      </c>
      <c r="S127" s="209" t="str">
        <f>IFERROR(VLOOKUP(O127,Database!$A$2:$S$189,19,FALSE),"-")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IFERROR(VLOOKUP(T127,Database!$A$2:$L$189,8,FALSE),"-")</f>
        <v>-</v>
      </c>
      <c r="V127" s="78" t="str">
        <f>IFERROR(VLOOKUP(T127,Database!$A$2:$L$189,6,FALSE),"-")</f>
        <v>-</v>
      </c>
      <c r="W127" s="82" t="str">
        <f>IFERROR(VLOOKUP(T127,Database!$A$2:$L$189,9,FALSE),"-")</f>
        <v>-</v>
      </c>
      <c r="X127" s="209" t="str">
        <f>IFERROR(VLOOKUP(T127,Database!$A$2:$S$189,19,FALSE),"-")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IFERROR(VLOOKUP(Y127,Database!$A$2:$L$189,8,FALSE),"-")</f>
        <v>-</v>
      </c>
      <c r="AA127" s="79" t="str">
        <f>IFERROR(VLOOKUP(Y127,Database!$A$2:$L$189,6,FALSE),"-")</f>
        <v>-</v>
      </c>
      <c r="AB127" s="92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35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8" t="str">
        <f>IFERROR(VLOOKUP(E128,Database!$A$2:$L$189,6,FALSE),"-")</f>
        <v>-</v>
      </c>
      <c r="H128" s="93" t="str">
        <f>IFERROR(VLOOKUP(E128,Database!$A$2:$L$189,9,FALSE),"-")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IFERROR(VLOOKUP(J128,Database!$A$2:$L$189,8,FALSE),"-")</f>
        <v>-</v>
      </c>
      <c r="L128" s="78" t="str">
        <f>IFERROR(VLOOKUP(J128,Database!$A$2:$L$189,6,FALSE),"-")</f>
        <v>-</v>
      </c>
      <c r="M128" s="93" t="str">
        <f>IFERROR(VLOOKUP(J128,Database!$A$2:$L$189,9,FALSE),"-")</f>
        <v>-</v>
      </c>
      <c r="N128" s="209" t="str">
        <f>IFERROR(VLOOKUP(J128,Database!$A$2:$S$189,19,FALSE),"-")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IFERROR(VLOOKUP(O128,Database!$A$2:$L$189,8,FALSE),"-")</f>
        <v>-</v>
      </c>
      <c r="Q128" s="78" t="str">
        <f>IFERROR(VLOOKUP(O128,Database!$A$2:$L$189,6,FALSE),"-")</f>
        <v>-</v>
      </c>
      <c r="R128" s="82" t="str">
        <f>IFERROR(VLOOKUP(O128,Database!$A$2:$L$189,9,FALSE),"-")</f>
        <v>-</v>
      </c>
      <c r="S128" s="209" t="str">
        <f>IFERROR(VLOOKUP(O128,Database!$A$2:$S$189,19,FALSE),"-")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IFERROR(VLOOKUP(T128,Database!$A$2:$L$189,8,FALSE),"-")</f>
        <v>-</v>
      </c>
      <c r="V128" s="78" t="str">
        <f>IFERROR(VLOOKUP(T128,Database!$A$2:$L$189,6,FALSE),"-")</f>
        <v>-</v>
      </c>
      <c r="W128" s="82" t="str">
        <f>IFERROR(VLOOKUP(T128,Database!$A$2:$L$189,9,FALSE),"-")</f>
        <v>-</v>
      </c>
      <c r="X128" s="209" t="str">
        <f>IFERROR(VLOOKUP(T128,Database!$A$2:$S$189,19,FALSE),"-")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IFERROR(VLOOKUP(Y128,Database!$A$2:$L$189,8,FALSE),"-")</f>
        <v>-</v>
      </c>
      <c r="AA128" s="79" t="str">
        <f>IFERROR(VLOOKUP(Y128,Database!$A$2:$L$189,6,FALSE),"-")</f>
        <v>-</v>
      </c>
      <c r="AB128" s="92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35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8" t="str">
        <f>IFERROR(VLOOKUP(E129,Database!$A$2:$L$189,6,FALSE),"-")</f>
        <v>DK</v>
      </c>
      <c r="H129" s="93" t="str">
        <f>IFERROR(VLOOKUP(E129,Database!$A$2:$L$189,9,FALSE),"-")</f>
        <v>Sing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IFERROR(VLOOKUP(J129,Database!$A$2:$L$189,8,FALSE),"-")</f>
        <v>1430</v>
      </c>
      <c r="L129" s="78" t="str">
        <f>IFERROR(VLOOKUP(J129,Database!$A$2:$L$189,6,FALSE),"-")</f>
        <v>DK</v>
      </c>
      <c r="M129" s="93" t="str">
        <f>IFERROR(VLOOKUP(J129,Database!$A$2:$L$189,9,FALSE),"-")</f>
        <v>Sing</v>
      </c>
      <c r="N129" s="209" t="str">
        <f>IFERROR(VLOOKUP(J129,Database!$A$2:$S$189,19,FALSE),"-")</f>
        <v>Y</v>
      </c>
      <c r="O129" s="96" t="str">
        <f>IF(AND(D129="Y",booking!L129&lt;&gt;booking!M129,booking!M129&gt;0),booking!M129,"-")</f>
        <v>-</v>
      </c>
      <c r="P129" s="78" t="str">
        <f>IFERROR(VLOOKUP(O129,Database!$A$2:$L$189,8,FALSE),"-")</f>
        <v>-</v>
      </c>
      <c r="Q129" s="78" t="str">
        <f>IFERROR(VLOOKUP(O129,Database!$A$2:$L$189,6,FALSE),"-")</f>
        <v>-</v>
      </c>
      <c r="R129" s="82" t="str">
        <f>IFERROR(VLOOKUP(O129,Database!$A$2:$L$189,9,FALSE),"-")</f>
        <v>-</v>
      </c>
      <c r="S129" s="209" t="str">
        <f>IFERROR(VLOOKUP(O129,Database!$A$2:$S$189,19,FALSE),"-")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IFERROR(VLOOKUP(T129,Database!$A$2:$L$189,8,FALSE),"-")</f>
        <v>-</v>
      </c>
      <c r="V129" s="78" t="str">
        <f>IFERROR(VLOOKUP(T129,Database!$A$2:$L$189,6,FALSE),"-")</f>
        <v>-</v>
      </c>
      <c r="W129" s="82" t="str">
        <f>IFERROR(VLOOKUP(T129,Database!$A$2:$L$189,9,FALSE),"-")</f>
        <v>-</v>
      </c>
      <c r="X129" s="209" t="str">
        <f>IFERROR(VLOOKUP(T129,Database!$A$2:$S$189,19,FALSE),"-")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IFERROR(VLOOKUP(Y129,Database!$A$2:$L$189,8,FALSE),"-")</f>
        <v>-</v>
      </c>
      <c r="AA129" s="79" t="str">
        <f>IFERROR(VLOOKUP(Y129,Database!$A$2:$L$189,6,FALSE),"-")</f>
        <v>-</v>
      </c>
      <c r="AB129" s="92" t="str">
        <f>IFERROR(VLOOKUP(Y129,Database!$A$2:$L$189,9,FALSE),"-")</f>
        <v>-</v>
      </c>
      <c r="AC129" s="8" t="str">
        <f>IFERROR(VLOOKUP(Y129,Database!$A$2:$S$189,19,FALSE),"-")</f>
        <v>-</v>
      </c>
    </row>
    <row r="130" spans="1:29" ht="15" customHeight="1" thickBot="1" x14ac:dyDescent="0.35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8" t="str">
        <f>IFERROR(VLOOKUP(E130,Database!$A$2:$L$189,6,FALSE),"-")</f>
        <v>-</v>
      </c>
      <c r="H130" s="93" t="str">
        <f>IFERROR(VLOOKUP(E130,Database!$A$2:$L$189,9,FALSE),"-")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IFERROR(VLOOKUP(J130,Database!$A$2:$L$189,8,FALSE),"-")</f>
        <v>-</v>
      </c>
      <c r="L130" s="78" t="str">
        <f>IFERROR(VLOOKUP(J130,Database!$A$2:$L$189,6,FALSE),"-")</f>
        <v>-</v>
      </c>
      <c r="M130" s="93" t="str">
        <f>IFERROR(VLOOKUP(J130,Database!$A$2:$L$189,9,FALSE),"-")</f>
        <v>-</v>
      </c>
      <c r="N130" s="209" t="str">
        <f>IFERROR(VLOOKUP(J130,Database!$A$2:$S$189,19,FALSE),"-")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IFERROR(VLOOKUP(O130,Database!$A$2:$L$189,8,FALSE),"-")</f>
        <v>-</v>
      </c>
      <c r="Q130" s="78" t="str">
        <f>IFERROR(VLOOKUP(O130,Database!$A$2:$L$189,6,FALSE),"-")</f>
        <v>-</v>
      </c>
      <c r="R130" s="82" t="str">
        <f>IFERROR(VLOOKUP(O130,Database!$A$2:$L$189,9,FALSE),"-")</f>
        <v>-</v>
      </c>
      <c r="S130" s="209" t="str">
        <f>IFERROR(VLOOKUP(O130,Database!$A$2:$S$189,19,FALSE),"-")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IFERROR(VLOOKUP(T130,Database!$A$2:$L$189,8,FALSE),"-")</f>
        <v>-</v>
      </c>
      <c r="V130" s="78" t="str">
        <f>IFERROR(VLOOKUP(T130,Database!$A$2:$L$189,6,FALSE),"-")</f>
        <v>-</v>
      </c>
      <c r="W130" s="82" t="str">
        <f>IFERROR(VLOOKUP(T130,Database!$A$2:$L$189,9,FALSE),"-")</f>
        <v>-</v>
      </c>
      <c r="X130" s="209" t="str">
        <f>IFERROR(VLOOKUP(T130,Database!$A$2:$S$189,19,FALSE),"-")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IFERROR(VLOOKUP(Y130,Database!$A$2:$L$189,8,FALSE),"-")</f>
        <v>-</v>
      </c>
      <c r="AA130" s="79" t="str">
        <f>IFERROR(VLOOKUP(Y130,Database!$A$2:$L$189,6,FALSE),"-")</f>
        <v>-</v>
      </c>
      <c r="AB130" s="92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35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8" t="str">
        <f>IFERROR(VLOOKUP(E131,Database!$A$2:$L$189,6,FALSE),"-")</f>
        <v>-</v>
      </c>
      <c r="H131" s="93" t="str">
        <f>IFERROR(VLOOKUP(E131,Database!$A$2:$L$189,9,FALSE),"-")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IFERROR(VLOOKUP(J131,Database!$A$2:$L$189,8,FALSE),"-")</f>
        <v>-</v>
      </c>
      <c r="L131" s="78" t="str">
        <f>IFERROR(VLOOKUP(J131,Database!$A$2:$L$189,6,FALSE),"-")</f>
        <v>-</v>
      </c>
      <c r="M131" s="93" t="str">
        <f>IFERROR(VLOOKUP(J131,Database!$A$2:$L$189,9,FALSE),"-")</f>
        <v>-</v>
      </c>
      <c r="N131" s="209" t="str">
        <f>IFERROR(VLOOKUP(J131,Database!$A$2:$S$189,19,FALSE),"-")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IFERROR(VLOOKUP(O131,Database!$A$2:$L$189,8,FALSE),"-")</f>
        <v>-</v>
      </c>
      <c r="Q131" s="78" t="str">
        <f>IFERROR(VLOOKUP(O131,Database!$A$2:$L$189,6,FALSE),"-")</f>
        <v>-</v>
      </c>
      <c r="R131" s="82" t="str">
        <f>IFERROR(VLOOKUP(O131,Database!$A$2:$L$189,9,FALSE),"-")</f>
        <v>-</v>
      </c>
      <c r="S131" s="209" t="str">
        <f>IFERROR(VLOOKUP(O131,Database!$A$2:$S$189,19,FALSE),"-")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IFERROR(VLOOKUP(T131,Database!$A$2:$L$189,8,FALSE),"-")</f>
        <v>-</v>
      </c>
      <c r="V131" s="78" t="str">
        <f>IFERROR(VLOOKUP(T131,Database!$A$2:$L$189,6,FALSE),"-")</f>
        <v>-</v>
      </c>
      <c r="W131" s="82" t="str">
        <f>IFERROR(VLOOKUP(T131,Database!$A$2:$L$189,9,FALSE),"-")</f>
        <v>-</v>
      </c>
      <c r="X131" s="209" t="str">
        <f>IFERROR(VLOOKUP(T131,Database!$A$2:$S$189,19,FALSE),"-")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IFERROR(VLOOKUP(Y131,Database!$A$2:$L$189,8,FALSE),"-")</f>
        <v>-</v>
      </c>
      <c r="AA131" s="79" t="str">
        <f>IFERROR(VLOOKUP(Y131,Database!$A$2:$L$189,6,FALSE),"-")</f>
        <v>-</v>
      </c>
      <c r="AB131" s="92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35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8" t="str">
        <f>IFERROR(VLOOKUP(E132,Database!$A$2:$L$189,6,FALSE),"-")</f>
        <v>-</v>
      </c>
      <c r="H132" s="93" t="str">
        <f>IFERROR(VLOOKUP(E132,Database!$A$2:$L$189,9,FALSE),"-")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IFERROR(VLOOKUP(J132,Database!$A$2:$L$189,8,FALSE),"-")</f>
        <v>-</v>
      </c>
      <c r="L132" s="78" t="str">
        <f>IFERROR(VLOOKUP(J132,Database!$A$2:$L$189,6,FALSE),"-")</f>
        <v>-</v>
      </c>
      <c r="M132" s="93" t="str">
        <f>IFERROR(VLOOKUP(J132,Database!$A$2:$L$189,9,FALSE),"-")</f>
        <v>-</v>
      </c>
      <c r="N132" s="209" t="str">
        <f>IFERROR(VLOOKUP(J132,Database!$A$2:$S$189,19,FALSE),"-")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IFERROR(VLOOKUP(O132,Database!$A$2:$L$189,8,FALSE),"-")</f>
        <v>-</v>
      </c>
      <c r="Q132" s="78" t="str">
        <f>IFERROR(VLOOKUP(O132,Database!$A$2:$L$189,6,FALSE),"-")</f>
        <v>-</v>
      </c>
      <c r="R132" s="82" t="str">
        <f>IFERROR(VLOOKUP(O132,Database!$A$2:$L$189,9,FALSE),"-")</f>
        <v>-</v>
      </c>
      <c r="S132" s="209" t="str">
        <f>IFERROR(VLOOKUP(O132,Database!$A$2:$S$189,19,FALSE),"-")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IFERROR(VLOOKUP(T132,Database!$A$2:$L$189,8,FALSE),"-")</f>
        <v>0</v>
      </c>
      <c r="V132" s="78" t="str">
        <f>IFERROR(VLOOKUP(T132,Database!$A$2:$L$189,6,FALSE),"-")</f>
        <v>DK</v>
      </c>
      <c r="W132" s="82">
        <f>IFERROR(VLOOKUP(T132,Database!$A$2:$L$189,9,FALSE),"-")</f>
        <v>0</v>
      </c>
      <c r="X132" s="209" t="str">
        <f>IFERROR(VLOOKUP(T132,Database!$A$2:$S$189,19,FALSE),"-")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IFERROR(VLOOKUP(Y132,Database!$A$2:$L$189,8,FALSE),"-")</f>
        <v>-</v>
      </c>
      <c r="AA132" s="79" t="str">
        <f>IFERROR(VLOOKUP(Y132,Database!$A$2:$L$189,6,FALSE),"-")</f>
        <v>-</v>
      </c>
      <c r="AB132" s="92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35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8" t="str">
        <f>IFERROR(VLOOKUP(E133,Database!$A$2:$L$189,6,FALSE),"-")</f>
        <v>-</v>
      </c>
      <c r="H133" s="93" t="str">
        <f>IFERROR(VLOOKUP(E133,Database!$A$2:$L$189,9,FALSE),"-")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IFERROR(VLOOKUP(J133,Database!$A$2:$L$189,8,FALSE),"-")</f>
        <v>-</v>
      </c>
      <c r="L133" s="78" t="str">
        <f>IFERROR(VLOOKUP(J133,Database!$A$2:$L$189,6,FALSE),"-")</f>
        <v>-</v>
      </c>
      <c r="M133" s="93" t="str">
        <f>IFERROR(VLOOKUP(J133,Database!$A$2:$L$189,9,FALSE),"-")</f>
        <v>-</v>
      </c>
      <c r="N133" s="209" t="str">
        <f>IFERROR(VLOOKUP(J133,Database!$A$2:$S$189,19,FALSE),"-")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IFERROR(VLOOKUP(O133,Database!$A$2:$L$189,8,FALSE),"-")</f>
        <v>-</v>
      </c>
      <c r="Q133" s="78" t="str">
        <f>IFERROR(VLOOKUP(O133,Database!$A$2:$L$189,6,FALSE),"-")</f>
        <v>-</v>
      </c>
      <c r="R133" s="82" t="str">
        <f>IFERROR(VLOOKUP(O133,Database!$A$2:$L$189,9,FALSE),"-")</f>
        <v>-</v>
      </c>
      <c r="S133" s="209" t="str">
        <f>IFERROR(VLOOKUP(O133,Database!$A$2:$S$189,19,FALSE),"-")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IFERROR(VLOOKUP(T133,Database!$A$2:$L$189,8,FALSE),"-")</f>
        <v>-</v>
      </c>
      <c r="V133" s="78" t="str">
        <f>IFERROR(VLOOKUP(T133,Database!$A$2:$L$189,6,FALSE),"-")</f>
        <v>-</v>
      </c>
      <c r="W133" s="82" t="str">
        <f>IFERROR(VLOOKUP(T133,Database!$A$2:$L$189,9,FALSE),"-")</f>
        <v>-</v>
      </c>
      <c r="X133" s="209" t="str">
        <f>IFERROR(VLOOKUP(T133,Database!$A$2:$S$189,19,FALSE),"-")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IFERROR(VLOOKUP(Y133,Database!$A$2:$L$189,8,FALSE),"-")</f>
        <v>-</v>
      </c>
      <c r="AA133" s="79" t="str">
        <f>IFERROR(VLOOKUP(Y133,Database!$A$2:$L$189,6,FALSE),"-")</f>
        <v>-</v>
      </c>
      <c r="AB133" s="92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35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8" t="str">
        <f>IFERROR(VLOOKUP(E134,Database!$A$2:$L$189,6,FALSE),"-")</f>
        <v>-</v>
      </c>
      <c r="H134" s="93" t="str">
        <f>IFERROR(VLOOKUP(E134,Database!$A$2:$L$189,9,FALSE),"-")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IFERROR(VLOOKUP(J134,Database!$A$2:$L$189,8,FALSE),"-")</f>
        <v>-</v>
      </c>
      <c r="L134" s="78" t="str">
        <f>IFERROR(VLOOKUP(J134,Database!$A$2:$L$189,6,FALSE),"-")</f>
        <v>-</v>
      </c>
      <c r="M134" s="93" t="str">
        <f>IFERROR(VLOOKUP(J134,Database!$A$2:$L$189,9,FALSE),"-")</f>
        <v>-</v>
      </c>
      <c r="N134" s="209" t="str">
        <f>IFERROR(VLOOKUP(J134,Database!$A$2:$S$189,19,FALSE),"-")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IFERROR(VLOOKUP(O134,Database!$A$2:$L$189,8,FALSE),"-")</f>
        <v>-</v>
      </c>
      <c r="Q134" s="78" t="str">
        <f>IFERROR(VLOOKUP(O134,Database!$A$2:$L$189,6,FALSE),"-")</f>
        <v>-</v>
      </c>
      <c r="R134" s="82" t="str">
        <f>IFERROR(VLOOKUP(O134,Database!$A$2:$L$189,9,FALSE),"-")</f>
        <v>-</v>
      </c>
      <c r="S134" s="209" t="str">
        <f>IFERROR(VLOOKUP(O134,Database!$A$2:$S$189,19,FALSE),"-")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IFERROR(VLOOKUP(T134,Database!$A$2:$L$189,8,FALSE),"-")</f>
        <v>-</v>
      </c>
      <c r="V134" s="78" t="str">
        <f>IFERROR(VLOOKUP(T134,Database!$A$2:$L$189,6,FALSE),"-")</f>
        <v>-</v>
      </c>
      <c r="W134" s="82" t="str">
        <f>IFERROR(VLOOKUP(T134,Database!$A$2:$L$189,9,FALSE),"-")</f>
        <v>-</v>
      </c>
      <c r="X134" s="209" t="str">
        <f>IFERROR(VLOOKUP(T134,Database!$A$2:$S$189,19,FALSE),"-")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IFERROR(VLOOKUP(Y134,Database!$A$2:$L$189,8,FALSE),"-")</f>
        <v>0</v>
      </c>
      <c r="AA134" s="79" t="str">
        <f>IFERROR(VLOOKUP(Y134,Database!$A$2:$L$189,6,FALSE),"-")</f>
        <v>D</v>
      </c>
      <c r="AB134" s="92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35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8" t="str">
        <f>IFERROR(VLOOKUP(E135,Database!$A$2:$L$189,6,FALSE),"-")</f>
        <v>-</v>
      </c>
      <c r="H135" s="93" t="str">
        <f>IFERROR(VLOOKUP(E135,Database!$A$2:$L$189,9,FALSE),"-")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IFERROR(VLOOKUP(J135,Database!$A$2:$L$189,8,FALSE),"-")</f>
        <v>-</v>
      </c>
      <c r="L135" s="78" t="str">
        <f>IFERROR(VLOOKUP(J135,Database!$A$2:$L$189,6,FALSE),"-")</f>
        <v>-</v>
      </c>
      <c r="M135" s="93" t="str">
        <f>IFERROR(VLOOKUP(J135,Database!$A$2:$L$189,9,FALSE),"-")</f>
        <v>-</v>
      </c>
      <c r="N135" s="209" t="str">
        <f>IFERROR(VLOOKUP(J135,Database!$A$2:$S$189,19,FALSE),"-")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IFERROR(VLOOKUP(O135,Database!$A$2:$L$189,8,FALSE),"-")</f>
        <v>-</v>
      </c>
      <c r="Q135" s="78" t="str">
        <f>IFERROR(VLOOKUP(O135,Database!$A$2:$L$189,6,FALSE),"-")</f>
        <v>-</v>
      </c>
      <c r="R135" s="82" t="str">
        <f>IFERROR(VLOOKUP(O135,Database!$A$2:$L$189,9,FALSE),"-")</f>
        <v>-</v>
      </c>
      <c r="S135" s="209" t="str">
        <f>IFERROR(VLOOKUP(O135,Database!$A$2:$S$189,19,FALSE),"-")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IFERROR(VLOOKUP(T135,Database!$A$2:$L$189,8,FALSE),"-")</f>
        <v>1500</v>
      </c>
      <c r="V135" s="78" t="str">
        <f>IFERROR(VLOOKUP(T135,Database!$A$2:$L$189,6,FALSE),"-")</f>
        <v>DK</v>
      </c>
      <c r="W135" s="82">
        <f>IFERROR(VLOOKUP(T135,Database!$A$2:$L$189,9,FALSE),"-")</f>
        <v>0</v>
      </c>
      <c r="X135" s="209" t="str">
        <f>IFERROR(VLOOKUP(T135,Database!$A$2:$S$189,19,FALSE),"-")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IFERROR(VLOOKUP(Y135,Database!$A$2:$L$189,8,FALSE),"-")</f>
        <v>-</v>
      </c>
      <c r="AA135" s="79" t="str">
        <f>IFERROR(VLOOKUP(Y135,Database!$A$2:$L$189,6,FALSE),"-")</f>
        <v>-</v>
      </c>
      <c r="AB135" s="92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35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8" t="str">
        <f>IFERROR(VLOOKUP(E136,Database!$A$2:$L$189,6,FALSE),"-")</f>
        <v>-</v>
      </c>
      <c r="H136" s="93" t="str">
        <f>IFERROR(VLOOKUP(E136,Database!$A$2:$L$189,9,FALSE),"-")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IFERROR(VLOOKUP(J136,Database!$A$2:$L$189,8,FALSE),"-")</f>
        <v>-</v>
      </c>
      <c r="L136" s="78" t="str">
        <f>IFERROR(VLOOKUP(J136,Database!$A$2:$L$189,6,FALSE),"-")</f>
        <v>-</v>
      </c>
      <c r="M136" s="93" t="str">
        <f>IFERROR(VLOOKUP(J136,Database!$A$2:$L$189,9,FALSE),"-")</f>
        <v>-</v>
      </c>
      <c r="N136" s="209" t="str">
        <f>IFERROR(VLOOKUP(J136,Database!$A$2:$S$189,19,FALSE),"-")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IFERROR(VLOOKUP(O136,Database!$A$2:$L$189,8,FALSE),"-")</f>
        <v>-</v>
      </c>
      <c r="Q136" s="78" t="str">
        <f>IFERROR(VLOOKUP(O136,Database!$A$2:$L$189,6,FALSE),"-")</f>
        <v>-</v>
      </c>
      <c r="R136" s="82" t="str">
        <f>IFERROR(VLOOKUP(O136,Database!$A$2:$L$189,9,FALSE),"-")</f>
        <v>-</v>
      </c>
      <c r="S136" s="209" t="str">
        <f>IFERROR(VLOOKUP(O136,Database!$A$2:$S$189,19,FALSE),"-")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IFERROR(VLOOKUP(T136,Database!$A$2:$L$189,8,FALSE),"-")</f>
        <v>-</v>
      </c>
      <c r="V136" s="78" t="str">
        <f>IFERROR(VLOOKUP(T136,Database!$A$2:$L$189,6,FALSE),"-")</f>
        <v>-</v>
      </c>
      <c r="W136" s="82" t="str">
        <f>IFERROR(VLOOKUP(T136,Database!$A$2:$L$189,9,FALSE),"-")</f>
        <v>-</v>
      </c>
      <c r="X136" s="209" t="str">
        <f>IFERROR(VLOOKUP(T136,Database!$A$2:$S$189,19,FALSE),"-")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IFERROR(VLOOKUP(Y136,Database!$A$2:$L$189,8,FALSE),"-")</f>
        <v>-</v>
      </c>
      <c r="AA136" s="79" t="str">
        <f>IFERROR(VLOOKUP(Y136,Database!$A$2:$L$189,6,FALSE),"-")</f>
        <v>-</v>
      </c>
      <c r="AB136" s="92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35">
      <c r="A137" s="88" t="str">
        <f>rengoering!A137</f>
        <v>onsdag</v>
      </c>
      <c r="B137" s="84">
        <v>46274</v>
      </c>
      <c r="C137" s="9"/>
      <c r="D137" s="89" t="str">
        <f>IF(booking!AB137&gt;0,"Y","-")</f>
        <v>Y</v>
      </c>
      <c r="E137" s="95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8" t="str">
        <f>IFERROR(VLOOKUP(E137,Database!$A$2:$L$189,6,FALSE),"-")</f>
        <v>-</v>
      </c>
      <c r="H137" s="93" t="str">
        <f>IFERROR(VLOOKUP(E137,Database!$A$2:$L$189,9,FALSE),"-")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IFERROR(VLOOKUP(J137,Database!$A$2:$L$189,8,FALSE),"-")</f>
        <v>-</v>
      </c>
      <c r="L137" s="78" t="str">
        <f>IFERROR(VLOOKUP(J137,Database!$A$2:$L$189,6,FALSE),"-")</f>
        <v>-</v>
      </c>
      <c r="M137" s="93" t="str">
        <f>IFERROR(VLOOKUP(J137,Database!$A$2:$L$189,9,FALSE),"-")</f>
        <v>-</v>
      </c>
      <c r="N137" s="209" t="str">
        <f>IFERROR(VLOOKUP(J137,Database!$A$2:$S$189,19,FALSE),"-")</f>
        <v>-</v>
      </c>
      <c r="O137" s="96">
        <f>IF(AND(D137="Y",booking!L137&lt;&gt;booking!M137,booking!M137&gt;0),booking!M137,"-")</f>
        <v>134</v>
      </c>
      <c r="P137" s="78">
        <f>IFERROR(VLOOKUP(O137,Database!$A$2:$L$189,8,FALSE),"-")</f>
        <v>0</v>
      </c>
      <c r="Q137" s="78" t="str">
        <f>IFERROR(VLOOKUP(O137,Database!$A$2:$L$189,6,FALSE),"-")</f>
        <v>DK</v>
      </c>
      <c r="R137" s="82">
        <f>IFERROR(VLOOKUP(O137,Database!$A$2:$L$189,9,FALSE),"-")</f>
        <v>0</v>
      </c>
      <c r="S137" s="209" t="str">
        <f>IFERROR(VLOOKUP(O137,Database!$A$2:$S$189,19,FALSE),"-")</f>
        <v>N</v>
      </c>
      <c r="T137" s="97" t="str">
        <f>IF(AND(D137="Y",booking!P137&lt;&gt;booking!Q137,booking!Q137&gt;0),booking!Q137,"-")</f>
        <v>-</v>
      </c>
      <c r="U137" s="78" t="str">
        <f>IFERROR(VLOOKUP(T137,Database!$A$2:$L$189,8,FALSE),"-")</f>
        <v>-</v>
      </c>
      <c r="V137" s="78" t="str">
        <f>IFERROR(VLOOKUP(T137,Database!$A$2:$L$189,6,FALSE),"-")</f>
        <v>-</v>
      </c>
      <c r="W137" s="82" t="str">
        <f>IFERROR(VLOOKUP(T137,Database!$A$2:$L$189,9,FALSE),"-")</f>
        <v>-</v>
      </c>
      <c r="X137" s="209" t="str">
        <f>IFERROR(VLOOKUP(T137,Database!$A$2:$S$189,19,FALSE),"-")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IFERROR(VLOOKUP(Y137,Database!$A$2:$L$189,8,FALSE),"-")</f>
        <v>-</v>
      </c>
      <c r="AA137" s="79" t="str">
        <f>IFERROR(VLOOKUP(Y137,Database!$A$2:$L$189,6,FALSE),"-")</f>
        <v>-</v>
      </c>
      <c r="AB137" s="92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35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8" t="str">
        <f>IFERROR(VLOOKUP(E138,Database!$A$2:$L$189,6,FALSE),"-")</f>
        <v>-</v>
      </c>
      <c r="H138" s="93" t="str">
        <f>IFERROR(VLOOKUP(E138,Database!$A$2:$L$189,9,FALSE),"-")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IFERROR(VLOOKUP(J138,Database!$A$2:$L$189,8,FALSE),"-")</f>
        <v>-</v>
      </c>
      <c r="L138" s="78" t="str">
        <f>IFERROR(VLOOKUP(J138,Database!$A$2:$L$189,6,FALSE),"-")</f>
        <v>-</v>
      </c>
      <c r="M138" s="93" t="str">
        <f>IFERROR(VLOOKUP(J138,Database!$A$2:$L$189,9,FALSE),"-")</f>
        <v>-</v>
      </c>
      <c r="N138" s="209" t="str">
        <f>IFERROR(VLOOKUP(J138,Database!$A$2:$S$189,19,FALSE),"-")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IFERROR(VLOOKUP(O138,Database!$A$2:$L$189,8,FALSE),"-")</f>
        <v>-</v>
      </c>
      <c r="Q138" s="78" t="str">
        <f>IFERROR(VLOOKUP(O138,Database!$A$2:$L$189,6,FALSE),"-")</f>
        <v>-</v>
      </c>
      <c r="R138" s="82" t="str">
        <f>IFERROR(VLOOKUP(O138,Database!$A$2:$L$189,9,FALSE),"-")</f>
        <v>-</v>
      </c>
      <c r="S138" s="209" t="str">
        <f>IFERROR(VLOOKUP(O138,Database!$A$2:$S$189,19,FALSE),"-")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IFERROR(VLOOKUP(T138,Database!$A$2:$L$189,8,FALSE),"-")</f>
        <v>-</v>
      </c>
      <c r="V138" s="78" t="str">
        <f>IFERROR(VLOOKUP(T138,Database!$A$2:$L$189,6,FALSE),"-")</f>
        <v>-</v>
      </c>
      <c r="W138" s="82" t="str">
        <f>IFERROR(VLOOKUP(T138,Database!$A$2:$L$189,9,FALSE),"-")</f>
        <v>-</v>
      </c>
      <c r="X138" s="209" t="str">
        <f>IFERROR(VLOOKUP(T138,Database!$A$2:$S$189,19,FALSE),"-")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IFERROR(VLOOKUP(Y138,Database!$A$2:$L$189,8,FALSE),"-")</f>
        <v>-</v>
      </c>
      <c r="AA138" s="79" t="str">
        <f>IFERROR(VLOOKUP(Y138,Database!$A$2:$L$189,6,FALSE),"-")</f>
        <v>-</v>
      </c>
      <c r="AB138" s="92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35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IFERROR(VLOOKUP(E139,Database!$A$2:$L$189,8,FALSE),"-")</f>
        <v>0</v>
      </c>
      <c r="G139" s="78" t="str">
        <f>IFERROR(VLOOKUP(E139,Database!$A$2:$L$189,6,FALSE),"-")</f>
        <v>DK</v>
      </c>
      <c r="H139" s="93" t="str">
        <f>IFERROR(VLOOKUP(E139,Database!$A$2:$L$189,9,FALSE),"-")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IFERROR(VLOOKUP(J139,Database!$A$2:$L$189,8,FALSE),"-")</f>
        <v>0</v>
      </c>
      <c r="L139" s="78" t="str">
        <f>IFERROR(VLOOKUP(J139,Database!$A$2:$L$189,6,FALSE),"-")</f>
        <v>DK</v>
      </c>
      <c r="M139" s="93" t="str">
        <f>IFERROR(VLOOKUP(J139,Database!$A$2:$L$189,9,FALSE),"-")</f>
        <v>sing</v>
      </c>
      <c r="N139" s="209" t="str">
        <f>IFERROR(VLOOKUP(J139,Database!$A$2:$S$189,19,FALSE),"-")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IFERROR(VLOOKUP(O139,Database!$A$2:$L$189,8,FALSE),"-")</f>
        <v>-</v>
      </c>
      <c r="Q139" s="78" t="str">
        <f>IFERROR(VLOOKUP(O139,Database!$A$2:$L$189,6,FALSE),"-")</f>
        <v>-</v>
      </c>
      <c r="R139" s="82" t="str">
        <f>IFERROR(VLOOKUP(O139,Database!$A$2:$L$189,9,FALSE),"-")</f>
        <v>-</v>
      </c>
      <c r="S139" s="209" t="str">
        <f>IFERROR(VLOOKUP(O139,Database!$A$2:$S$189,19,FALSE),"-")</f>
        <v>-</v>
      </c>
      <c r="T139" s="97">
        <f>IF(AND(D139="Y",booking!P139&lt;&gt;booking!Q139,booking!Q139&gt;0),booking!Q139,"-")</f>
        <v>137</v>
      </c>
      <c r="U139" s="78">
        <f>IFERROR(VLOOKUP(T139,Database!$A$2:$L$189,8,FALSE),"-")</f>
        <v>0</v>
      </c>
      <c r="V139" s="78" t="str">
        <f>IFERROR(VLOOKUP(T139,Database!$A$2:$L$189,6,FALSE),"-")</f>
        <v>DK</v>
      </c>
      <c r="W139" s="82" t="str">
        <f>IFERROR(VLOOKUP(T139,Database!$A$2:$L$189,9,FALSE),"-")</f>
        <v>Dobb</v>
      </c>
      <c r="X139" s="209" t="str">
        <f>IFERROR(VLOOKUP(T139,Database!$A$2:$S$189,19,FALSE),"-")</f>
        <v>Y</v>
      </c>
      <c r="Y139" s="96" t="str">
        <f>IF(AND(D139="Y",booking!T139&lt;&gt;booking!U139,booking!U139&gt;0),booking!U139,"-")</f>
        <v>-</v>
      </c>
      <c r="Z139" s="79" t="str">
        <f>IFERROR(VLOOKUP(Y139,Database!$A$2:$L$189,8,FALSE),"-")</f>
        <v>-</v>
      </c>
      <c r="AA139" s="79" t="str">
        <f>IFERROR(VLOOKUP(Y139,Database!$A$2:$L$189,6,FALSE),"-")</f>
        <v>-</v>
      </c>
      <c r="AB139" s="92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35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8" t="str">
        <f>IFERROR(VLOOKUP(E140,Database!$A$2:$L$189,6,FALSE),"-")</f>
        <v>-</v>
      </c>
      <c r="H140" s="93" t="str">
        <f>IFERROR(VLOOKUP(E140,Database!$A$2:$L$189,9,FALSE),"-")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IFERROR(VLOOKUP(J140,Database!$A$2:$L$189,8,FALSE),"-")</f>
        <v>-</v>
      </c>
      <c r="L140" s="78" t="str">
        <f>IFERROR(VLOOKUP(J140,Database!$A$2:$L$189,6,FALSE),"-")</f>
        <v>-</v>
      </c>
      <c r="M140" s="93" t="str">
        <f>IFERROR(VLOOKUP(J140,Database!$A$2:$L$189,9,FALSE),"-")</f>
        <v>-</v>
      </c>
      <c r="N140" s="209" t="str">
        <f>IFERROR(VLOOKUP(J140,Database!$A$2:$S$189,19,FALSE),"-")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IFERROR(VLOOKUP(O140,Database!$A$2:$L$189,8,FALSE),"-")</f>
        <v>0</v>
      </c>
      <c r="Q140" s="78" t="str">
        <f>IFERROR(VLOOKUP(O140,Database!$A$2:$L$189,6,FALSE),"-")</f>
        <v>DK</v>
      </c>
      <c r="R140" s="82" t="str">
        <f>IFERROR(VLOOKUP(O140,Database!$A$2:$L$189,9,FALSE),"-")</f>
        <v>sing</v>
      </c>
      <c r="S140" s="209" t="str">
        <f>IFERROR(VLOOKUP(O140,Database!$A$2:$S$189,19,FALSE),"-")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IFERROR(VLOOKUP(T140,Database!$A$2:$L$189,8,FALSE),"-")</f>
        <v>-</v>
      </c>
      <c r="V140" s="78" t="str">
        <f>IFERROR(VLOOKUP(T140,Database!$A$2:$L$189,6,FALSE),"-")</f>
        <v>-</v>
      </c>
      <c r="W140" s="82" t="str">
        <f>IFERROR(VLOOKUP(T140,Database!$A$2:$L$189,9,FALSE),"-")</f>
        <v>-</v>
      </c>
      <c r="X140" s="209" t="str">
        <f>IFERROR(VLOOKUP(T140,Database!$A$2:$S$189,19,FALSE),"-")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IFERROR(VLOOKUP(Y140,Database!$A$2:$L$189,8,FALSE),"-")</f>
        <v>-</v>
      </c>
      <c r="AA140" s="79" t="str">
        <f>IFERROR(VLOOKUP(Y140,Database!$A$2:$L$189,6,FALSE),"-")</f>
        <v>-</v>
      </c>
      <c r="AB140" s="92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35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8" t="str">
        <f>IFERROR(VLOOKUP(E141,Database!$A$2:$L$189,6,FALSE),"-")</f>
        <v>-</v>
      </c>
      <c r="H141" s="93" t="str">
        <f>IFERROR(VLOOKUP(E141,Database!$A$2:$L$189,9,FALSE),"-")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IFERROR(VLOOKUP(J141,Database!$A$2:$L$189,8,FALSE),"-")</f>
        <v>-</v>
      </c>
      <c r="L141" s="78" t="str">
        <f>IFERROR(VLOOKUP(J141,Database!$A$2:$L$189,6,FALSE),"-")</f>
        <v>-</v>
      </c>
      <c r="M141" s="93" t="str">
        <f>IFERROR(VLOOKUP(J141,Database!$A$2:$L$189,9,FALSE),"-")</f>
        <v>-</v>
      </c>
      <c r="N141" s="209" t="str">
        <f>IFERROR(VLOOKUP(J141,Database!$A$2:$S$189,19,FALSE),"-")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IFERROR(VLOOKUP(O141,Database!$A$2:$L$189,8,FALSE),"-")</f>
        <v>-</v>
      </c>
      <c r="Q141" s="78" t="str">
        <f>IFERROR(VLOOKUP(O141,Database!$A$2:$L$189,6,FALSE),"-")</f>
        <v>-</v>
      </c>
      <c r="R141" s="82" t="str">
        <f>IFERROR(VLOOKUP(O141,Database!$A$2:$L$189,9,FALSE),"-")</f>
        <v>-</v>
      </c>
      <c r="S141" s="209" t="str">
        <f>IFERROR(VLOOKUP(O141,Database!$A$2:$S$189,19,FALSE),"-")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IFERROR(VLOOKUP(T141,Database!$A$2:$L$189,8,FALSE),"-")</f>
        <v>-</v>
      </c>
      <c r="V141" s="78" t="str">
        <f>IFERROR(VLOOKUP(T141,Database!$A$2:$L$189,6,FALSE),"-")</f>
        <v>-</v>
      </c>
      <c r="W141" s="82" t="str">
        <f>IFERROR(VLOOKUP(T141,Database!$A$2:$L$189,9,FALSE),"-")</f>
        <v>-</v>
      </c>
      <c r="X141" s="209" t="str">
        <f>IFERROR(VLOOKUP(T141,Database!$A$2:$S$189,19,FALSE),"-")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IFERROR(VLOOKUP(Y141,Database!$A$2:$L$189,8,FALSE),"-")</f>
        <v>-</v>
      </c>
      <c r="AA141" s="79" t="str">
        <f>IFERROR(VLOOKUP(Y141,Database!$A$2:$L$189,6,FALSE),"-")</f>
        <v>-</v>
      </c>
      <c r="AB141" s="92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35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8" t="str">
        <f>IFERROR(VLOOKUP(E142,Database!$A$2:$L$189,6,FALSE),"-")</f>
        <v>DK</v>
      </c>
      <c r="H142" s="93" t="str">
        <f>IFERROR(VLOOKUP(E142,Database!$A$2:$L$189,9,FALSE),"-")</f>
        <v>dobb</v>
      </c>
      <c r="I142" s="112"/>
      <c r="J142" s="96">
        <f>IF(AND(D142="Y",booking!H142&lt;&gt;booking!I142,booking!I142&gt;0),booking!I142,"-")</f>
        <v>101</v>
      </c>
      <c r="K142" s="78" t="str">
        <f>IFERROR(VLOOKUP(J142,Database!$A$2:$L$189,8,FALSE),"-")</f>
        <v>1600</v>
      </c>
      <c r="L142" s="78" t="str">
        <f>IFERROR(VLOOKUP(J142,Database!$A$2:$L$189,6,FALSE),"-")</f>
        <v>DK</v>
      </c>
      <c r="M142" s="93" t="str">
        <f>IFERROR(VLOOKUP(J142,Database!$A$2:$L$189,9,FALSE),"-")</f>
        <v>sing</v>
      </c>
      <c r="N142" s="209" t="str">
        <f>IFERROR(VLOOKUP(J142,Database!$A$2:$S$189,19,FALSE),"-")</f>
        <v>N</v>
      </c>
      <c r="O142" s="96" t="str">
        <f>IF(AND(D142="Y",booking!L142&lt;&gt;booking!M142,booking!M142&gt;0),booking!M142,"-")</f>
        <v>-</v>
      </c>
      <c r="P142" s="78" t="str">
        <f>IFERROR(VLOOKUP(O142,Database!$A$2:$L$189,8,FALSE),"-")</f>
        <v>-</v>
      </c>
      <c r="Q142" s="78" t="str">
        <f>IFERROR(VLOOKUP(O142,Database!$A$2:$L$189,6,FALSE),"-")</f>
        <v>-</v>
      </c>
      <c r="R142" s="82" t="str">
        <f>IFERROR(VLOOKUP(O142,Database!$A$2:$L$189,9,FALSE),"-")</f>
        <v>-</v>
      </c>
      <c r="S142" s="209" t="str">
        <f>IFERROR(VLOOKUP(O142,Database!$A$2:$S$189,19,FALSE),"-")</f>
        <v>-</v>
      </c>
      <c r="T142" s="97" t="str">
        <f>IF(AND(D142="Y",booking!P142&lt;&gt;booking!Q142,booking!Q142&gt;0),booking!Q142,"-")</f>
        <v>-</v>
      </c>
      <c r="U142" s="78" t="str">
        <f>IFERROR(VLOOKUP(T142,Database!$A$2:$L$189,8,FALSE),"-")</f>
        <v>-</v>
      </c>
      <c r="V142" s="78" t="str">
        <f>IFERROR(VLOOKUP(T142,Database!$A$2:$L$189,6,FALSE),"-")</f>
        <v>-</v>
      </c>
      <c r="W142" s="82" t="str">
        <f>IFERROR(VLOOKUP(T142,Database!$A$2:$L$189,9,FALSE),"-")</f>
        <v>-</v>
      </c>
      <c r="X142" s="209" t="str">
        <f>IFERROR(VLOOKUP(T142,Database!$A$2:$S$189,19,FALSE),"-")</f>
        <v>-</v>
      </c>
      <c r="Y142" s="96" t="str">
        <f>IF(AND(D142="Y",booking!T142&lt;&gt;booking!U142,booking!U142&gt;0),booking!U142,"-")</f>
        <v>-</v>
      </c>
      <c r="Z142" s="79" t="str">
        <f>IFERROR(VLOOKUP(Y142,Database!$A$2:$L$189,8,FALSE),"-")</f>
        <v>-</v>
      </c>
      <c r="AA142" s="79" t="str">
        <f>IFERROR(VLOOKUP(Y142,Database!$A$2:$L$189,6,FALSE),"-")</f>
        <v>-</v>
      </c>
      <c r="AB142" s="92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35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8" t="str">
        <f>IFERROR(VLOOKUP(E143,Database!$A$2:$L$189,6,FALSE),"-")</f>
        <v>-</v>
      </c>
      <c r="H143" s="93" t="str">
        <f>IFERROR(VLOOKUP(E143,Database!$A$2:$L$189,9,FALSE),"-")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IFERROR(VLOOKUP(J143,Database!$A$2:$L$189,8,FALSE),"-")</f>
        <v>-</v>
      </c>
      <c r="L143" s="78" t="str">
        <f>IFERROR(VLOOKUP(J143,Database!$A$2:$L$189,6,FALSE),"-")</f>
        <v>-</v>
      </c>
      <c r="M143" s="93" t="str">
        <f>IFERROR(VLOOKUP(J143,Database!$A$2:$L$189,9,FALSE),"-")</f>
        <v>-</v>
      </c>
      <c r="N143" s="209" t="str">
        <f>IFERROR(VLOOKUP(J143,Database!$A$2:$S$189,19,FALSE),"-")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IFERROR(VLOOKUP(O143,Database!$A$2:$L$189,8,FALSE),"-")</f>
        <v>-</v>
      </c>
      <c r="Q143" s="78" t="str">
        <f>IFERROR(VLOOKUP(O143,Database!$A$2:$L$189,6,FALSE),"-")</f>
        <v>-</v>
      </c>
      <c r="R143" s="82" t="str">
        <f>IFERROR(VLOOKUP(O143,Database!$A$2:$L$189,9,FALSE),"-")</f>
        <v>-</v>
      </c>
      <c r="S143" s="209" t="str">
        <f>IFERROR(VLOOKUP(O143,Database!$A$2:$S$189,19,FALSE),"-")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IFERROR(VLOOKUP(T143,Database!$A$2:$L$189,8,FALSE),"-")</f>
        <v>-</v>
      </c>
      <c r="V143" s="78" t="str">
        <f>IFERROR(VLOOKUP(T143,Database!$A$2:$L$189,6,FALSE),"-")</f>
        <v>-</v>
      </c>
      <c r="W143" s="82" t="str">
        <f>IFERROR(VLOOKUP(T143,Database!$A$2:$L$189,9,FALSE),"-")</f>
        <v>-</v>
      </c>
      <c r="X143" s="209" t="str">
        <f>IFERROR(VLOOKUP(T143,Database!$A$2:$S$189,19,FALSE),"-")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IFERROR(VLOOKUP(Y143,Database!$A$2:$L$189,8,FALSE),"-")</f>
        <v>-</v>
      </c>
      <c r="AA143" s="79" t="str">
        <f>IFERROR(VLOOKUP(Y143,Database!$A$2:$L$189,6,FALSE),"-")</f>
        <v>-</v>
      </c>
      <c r="AB143" s="92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35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8" t="str">
        <f>IFERROR(VLOOKUP(E144,Database!$A$2:$L$189,6,FALSE),"-")</f>
        <v>-</v>
      </c>
      <c r="H144" s="93" t="str">
        <f>IFERROR(VLOOKUP(E144,Database!$A$2:$L$189,9,FALSE),"-")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IFERROR(VLOOKUP(J144,Database!$A$2:$L$189,8,FALSE),"-")</f>
        <v>0</v>
      </c>
      <c r="L144" s="78" t="str">
        <f>IFERROR(VLOOKUP(J144,Database!$A$2:$L$189,6,FALSE),"-")</f>
        <v>DK</v>
      </c>
      <c r="M144" s="93">
        <f>IFERROR(VLOOKUP(J144,Database!$A$2:$L$189,9,FALSE),"-")</f>
        <v>0</v>
      </c>
      <c r="N144" s="209" t="str">
        <f>IFERROR(VLOOKUP(J144,Database!$A$2:$S$189,19,FALSE),"-")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IFERROR(VLOOKUP(O144,Database!$A$2:$L$189,8,FALSE),"-")</f>
        <v>-</v>
      </c>
      <c r="Q144" s="78" t="str">
        <f>IFERROR(VLOOKUP(O144,Database!$A$2:$L$189,6,FALSE),"-")</f>
        <v>-</v>
      </c>
      <c r="R144" s="82" t="str">
        <f>IFERROR(VLOOKUP(O144,Database!$A$2:$L$189,9,FALSE),"-")</f>
        <v>-</v>
      </c>
      <c r="S144" s="209" t="str">
        <f>IFERROR(VLOOKUP(O144,Database!$A$2:$S$189,19,FALSE),"-")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IFERROR(VLOOKUP(T144,Database!$A$2:$L$189,8,FALSE),"-")</f>
        <v>-</v>
      </c>
      <c r="V144" s="78" t="str">
        <f>IFERROR(VLOOKUP(T144,Database!$A$2:$L$189,6,FALSE),"-")</f>
        <v>-</v>
      </c>
      <c r="W144" s="82" t="str">
        <f>IFERROR(VLOOKUP(T144,Database!$A$2:$L$189,9,FALSE),"-")</f>
        <v>-</v>
      </c>
      <c r="X144" s="209" t="str">
        <f>IFERROR(VLOOKUP(T144,Database!$A$2:$S$189,19,FALSE),"-")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IFERROR(VLOOKUP(Y144,Database!$A$2:$L$189,8,FALSE),"-")</f>
        <v>-</v>
      </c>
      <c r="AA144" s="79" t="str">
        <f>IFERROR(VLOOKUP(Y144,Database!$A$2:$L$189,6,FALSE),"-")</f>
        <v>-</v>
      </c>
      <c r="AB144" s="92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35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IFERROR(VLOOKUP(E145,Database!$A$2:$L$189,8,FALSE),"-")</f>
        <v>0</v>
      </c>
      <c r="G145" s="78" t="str">
        <f>IFERROR(VLOOKUP(E145,Database!$A$2:$L$189,6,FALSE),"-")</f>
        <v>DK</v>
      </c>
      <c r="H145" s="93" t="str">
        <f>IFERROR(VLOOKUP(E145,Database!$A$2:$L$189,9,FALSE),"-")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IFERROR(VLOOKUP(J145,Database!$A$2:$L$189,8,FALSE),"-")</f>
        <v>-</v>
      </c>
      <c r="L145" s="78" t="str">
        <f>IFERROR(VLOOKUP(J145,Database!$A$2:$L$189,6,FALSE),"-")</f>
        <v>-</v>
      </c>
      <c r="M145" s="93" t="str">
        <f>IFERROR(VLOOKUP(J145,Database!$A$2:$L$189,9,FALSE),"-")</f>
        <v>-</v>
      </c>
      <c r="N145" s="209" t="str">
        <f>IFERROR(VLOOKUP(J145,Database!$A$2:$S$189,19,FALSE),"-")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IFERROR(VLOOKUP(O145,Database!$A$2:$L$189,8,FALSE),"-")</f>
        <v>-</v>
      </c>
      <c r="Q145" s="78" t="str">
        <f>IFERROR(VLOOKUP(O145,Database!$A$2:$L$189,6,FALSE),"-")</f>
        <v>-</v>
      </c>
      <c r="R145" s="82" t="str">
        <f>IFERROR(VLOOKUP(O145,Database!$A$2:$L$189,9,FALSE),"-")</f>
        <v>-</v>
      </c>
      <c r="S145" s="209" t="str">
        <f>IFERROR(VLOOKUP(O145,Database!$A$2:$S$189,19,FALSE),"-")</f>
        <v>-</v>
      </c>
      <c r="T145" s="97" t="str">
        <f>IF(AND(D145="Y",booking!P145&lt;&gt;booking!Q145,booking!Q145&gt;0),booking!Q145,"-")</f>
        <v>-</v>
      </c>
      <c r="U145" s="78" t="str">
        <f>IFERROR(VLOOKUP(T145,Database!$A$2:$L$189,8,FALSE),"-")</f>
        <v>-</v>
      </c>
      <c r="V145" s="78" t="str">
        <f>IFERROR(VLOOKUP(T145,Database!$A$2:$L$189,6,FALSE),"-")</f>
        <v>-</v>
      </c>
      <c r="W145" s="82" t="str">
        <f>IFERROR(VLOOKUP(T145,Database!$A$2:$L$189,9,FALSE),"-")</f>
        <v>-</v>
      </c>
      <c r="X145" s="209" t="str">
        <f>IFERROR(VLOOKUP(T145,Database!$A$2:$S$189,19,FALSE),"-")</f>
        <v>-</v>
      </c>
      <c r="Y145" s="96">
        <f>IF(AND(D145="Y",booking!T145&lt;&gt;booking!U145,booking!U145&gt;0),booking!U145,"-")</f>
        <v>42</v>
      </c>
      <c r="Z145" s="79">
        <f>IFERROR(VLOOKUP(Y145,Database!$A$2:$L$189,8,FALSE),"-")</f>
        <v>0</v>
      </c>
      <c r="AA145" s="79" t="str">
        <f>IFERROR(VLOOKUP(Y145,Database!$A$2:$L$189,6,FALSE),"-")</f>
        <v>S</v>
      </c>
      <c r="AB145" s="92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35">
      <c r="A146" s="88" t="str">
        <f>rengoering!A146</f>
        <v>fredag</v>
      </c>
      <c r="B146" s="86">
        <v>46283</v>
      </c>
      <c r="C146" s="9"/>
      <c r="D146" s="89" t="str">
        <f>IF(booking!AB146&gt;0,"Y","-")</f>
        <v>-</v>
      </c>
      <c r="E146" s="95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8" t="str">
        <f>IFERROR(VLOOKUP(E146,Database!$A$2:$L$189,6,FALSE),"-")</f>
        <v>-</v>
      </c>
      <c r="H146" s="93" t="str">
        <f>IFERROR(VLOOKUP(E146,Database!$A$2:$L$189,9,FALSE),"-")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IFERROR(VLOOKUP(J146,Database!$A$2:$L$189,8,FALSE),"-")</f>
        <v>-</v>
      </c>
      <c r="L146" s="78" t="str">
        <f>IFERROR(VLOOKUP(J146,Database!$A$2:$L$189,6,FALSE),"-")</f>
        <v>-</v>
      </c>
      <c r="M146" s="93" t="str">
        <f>IFERROR(VLOOKUP(J146,Database!$A$2:$L$189,9,FALSE),"-")</f>
        <v>-</v>
      </c>
      <c r="N146" s="209" t="str">
        <f>IFERROR(VLOOKUP(J146,Database!$A$2:$S$189,19,FALSE),"-")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IFERROR(VLOOKUP(O146,Database!$A$2:$L$189,8,FALSE),"-")</f>
        <v>-</v>
      </c>
      <c r="Q146" s="78" t="str">
        <f>IFERROR(VLOOKUP(O146,Database!$A$2:$L$189,6,FALSE),"-")</f>
        <v>-</v>
      </c>
      <c r="R146" s="82" t="str">
        <f>IFERROR(VLOOKUP(O146,Database!$A$2:$L$189,9,FALSE),"-")</f>
        <v>-</v>
      </c>
      <c r="S146" s="209" t="str">
        <f>IFERROR(VLOOKUP(O146,Database!$A$2:$S$189,19,FALSE),"-")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IFERROR(VLOOKUP(T146,Database!$A$2:$L$189,8,FALSE),"-")</f>
        <v>-</v>
      </c>
      <c r="V146" s="78" t="str">
        <f>IFERROR(VLOOKUP(T146,Database!$A$2:$L$189,6,FALSE),"-")</f>
        <v>-</v>
      </c>
      <c r="W146" s="82" t="str">
        <f>IFERROR(VLOOKUP(T146,Database!$A$2:$L$189,9,FALSE),"-")</f>
        <v>-</v>
      </c>
      <c r="X146" s="209" t="str">
        <f>IFERROR(VLOOKUP(T146,Database!$A$2:$S$189,19,FALSE),"-")</f>
        <v>-</v>
      </c>
      <c r="Y146" s="96" t="str">
        <f>IF(AND(D146="Y",booking!T146&lt;&gt;booking!U146,booking!U146&gt;0),booking!U146,"-")</f>
        <v>-</v>
      </c>
      <c r="Z146" s="79" t="str">
        <f>IFERROR(VLOOKUP(Y146,Database!$A$2:$L$189,8,FALSE),"-")</f>
        <v>-</v>
      </c>
      <c r="AA146" s="79" t="str">
        <f>IFERROR(VLOOKUP(Y146,Database!$A$2:$L$189,6,FALSE),"-")</f>
        <v>-</v>
      </c>
      <c r="AB146" s="92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35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8" t="str">
        <f>IFERROR(VLOOKUP(E147,Database!$A$2:$L$189,6,FALSE),"-")</f>
        <v>-</v>
      </c>
      <c r="H147" s="93" t="str">
        <f>IFERROR(VLOOKUP(E147,Database!$A$2:$L$189,9,FALSE),"-")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IFERROR(VLOOKUP(J147,Database!$A$2:$L$189,8,FALSE),"-")</f>
        <v>-</v>
      </c>
      <c r="L147" s="78" t="str">
        <f>IFERROR(VLOOKUP(J147,Database!$A$2:$L$189,6,FALSE),"-")</f>
        <v>-</v>
      </c>
      <c r="M147" s="93" t="str">
        <f>IFERROR(VLOOKUP(J147,Database!$A$2:$L$189,9,FALSE),"-")</f>
        <v>-</v>
      </c>
      <c r="N147" s="209" t="str">
        <f>IFERROR(VLOOKUP(J147,Database!$A$2:$S$189,19,FALSE),"-")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IFERROR(VLOOKUP(O147,Database!$A$2:$L$189,8,FALSE),"-")</f>
        <v>-</v>
      </c>
      <c r="Q147" s="78" t="str">
        <f>IFERROR(VLOOKUP(O147,Database!$A$2:$L$189,6,FALSE),"-")</f>
        <v>-</v>
      </c>
      <c r="R147" s="82" t="str">
        <f>IFERROR(VLOOKUP(O147,Database!$A$2:$L$189,9,FALSE),"-")</f>
        <v>-</v>
      </c>
      <c r="S147" s="209" t="str">
        <f>IFERROR(VLOOKUP(O147,Database!$A$2:$S$189,19,FALSE),"-")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IFERROR(VLOOKUP(T147,Database!$A$2:$L$189,8,FALSE),"-")</f>
        <v>-</v>
      </c>
      <c r="V147" s="78" t="str">
        <f>IFERROR(VLOOKUP(T147,Database!$A$2:$L$189,6,FALSE),"-")</f>
        <v>-</v>
      </c>
      <c r="W147" s="82" t="str">
        <f>IFERROR(VLOOKUP(T147,Database!$A$2:$L$189,9,FALSE),"-")</f>
        <v>-</v>
      </c>
      <c r="X147" s="209" t="str">
        <f>IFERROR(VLOOKUP(T147,Database!$A$2:$S$189,19,FALSE),"-")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IFERROR(VLOOKUP(Y147,Database!$A$2:$L$189,8,FALSE),"-")</f>
        <v>-</v>
      </c>
      <c r="AA147" s="79" t="str">
        <f>IFERROR(VLOOKUP(Y147,Database!$A$2:$L$189,6,FALSE),"-")</f>
        <v>-</v>
      </c>
      <c r="AB147" s="92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35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8" t="str">
        <f>IFERROR(VLOOKUP(E148,Database!$A$2:$L$189,6,FALSE),"-")</f>
        <v>-</v>
      </c>
      <c r="H148" s="93" t="str">
        <f>IFERROR(VLOOKUP(E148,Database!$A$2:$L$189,9,FALSE),"-")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IFERROR(VLOOKUP(J148,Database!$A$2:$L$189,8,FALSE),"-")</f>
        <v>-</v>
      </c>
      <c r="L148" s="78" t="str">
        <f>IFERROR(VLOOKUP(J148,Database!$A$2:$L$189,6,FALSE),"-")</f>
        <v>-</v>
      </c>
      <c r="M148" s="93" t="str">
        <f>IFERROR(VLOOKUP(J148,Database!$A$2:$L$189,9,FALSE),"-")</f>
        <v>-</v>
      </c>
      <c r="N148" s="209" t="str">
        <f>IFERROR(VLOOKUP(J148,Database!$A$2:$S$189,19,FALSE),"-")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IFERROR(VLOOKUP(O148,Database!$A$2:$L$189,8,FALSE),"-")</f>
        <v>-</v>
      </c>
      <c r="Q148" s="78" t="str">
        <f>IFERROR(VLOOKUP(O148,Database!$A$2:$L$189,6,FALSE),"-")</f>
        <v>-</v>
      </c>
      <c r="R148" s="82" t="str">
        <f>IFERROR(VLOOKUP(O148,Database!$A$2:$L$189,9,FALSE),"-")</f>
        <v>-</v>
      </c>
      <c r="S148" s="209" t="str">
        <f>IFERROR(VLOOKUP(O148,Database!$A$2:$S$189,19,FALSE),"-")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IFERROR(VLOOKUP(T148,Database!$A$2:$L$189,8,FALSE),"-")</f>
        <v>-</v>
      </c>
      <c r="V148" s="78" t="str">
        <f>IFERROR(VLOOKUP(T148,Database!$A$2:$L$189,6,FALSE),"-")</f>
        <v>-</v>
      </c>
      <c r="W148" s="82" t="str">
        <f>IFERROR(VLOOKUP(T148,Database!$A$2:$L$189,9,FALSE),"-")</f>
        <v>-</v>
      </c>
      <c r="X148" s="209" t="str">
        <f>IFERROR(VLOOKUP(T148,Database!$A$2:$S$189,19,FALSE),"-")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IFERROR(VLOOKUP(Y148,Database!$A$2:$L$189,8,FALSE),"-")</f>
        <v>-</v>
      </c>
      <c r="AA148" s="79" t="str">
        <f>IFERROR(VLOOKUP(Y148,Database!$A$2:$L$189,6,FALSE),"-")</f>
        <v>-</v>
      </c>
      <c r="AB148" s="92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35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8" t="str">
        <f>IFERROR(VLOOKUP(E149,Database!$A$2:$L$189,6,FALSE),"-")</f>
        <v>-</v>
      </c>
      <c r="H149" s="93" t="str">
        <f>IFERROR(VLOOKUP(E149,Database!$A$2:$L$189,9,FALSE),"-")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IFERROR(VLOOKUP(J149,Database!$A$2:$L$189,8,FALSE),"-")</f>
        <v>-</v>
      </c>
      <c r="L149" s="78" t="str">
        <f>IFERROR(VLOOKUP(J149,Database!$A$2:$L$189,6,FALSE),"-")</f>
        <v>-</v>
      </c>
      <c r="M149" s="93" t="str">
        <f>IFERROR(VLOOKUP(J149,Database!$A$2:$L$189,9,FALSE),"-")</f>
        <v>-</v>
      </c>
      <c r="N149" s="209" t="str">
        <f>IFERROR(VLOOKUP(J149,Database!$A$2:$S$189,19,FALSE),"-")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IFERROR(VLOOKUP(O149,Database!$A$2:$L$189,8,FALSE),"-")</f>
        <v>-</v>
      </c>
      <c r="Q149" s="78" t="str">
        <f>IFERROR(VLOOKUP(O149,Database!$A$2:$L$189,6,FALSE),"-")</f>
        <v>-</v>
      </c>
      <c r="R149" s="82" t="str">
        <f>IFERROR(VLOOKUP(O149,Database!$A$2:$L$189,9,FALSE),"-")</f>
        <v>-</v>
      </c>
      <c r="S149" s="209" t="str">
        <f>IFERROR(VLOOKUP(O149,Database!$A$2:$S$189,19,FALSE),"-")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IFERROR(VLOOKUP(T149,Database!$A$2:$L$189,8,FALSE),"-")</f>
        <v>-</v>
      </c>
      <c r="V149" s="78" t="str">
        <f>IFERROR(VLOOKUP(T149,Database!$A$2:$L$189,6,FALSE),"-")</f>
        <v>-</v>
      </c>
      <c r="W149" s="82" t="str">
        <f>IFERROR(VLOOKUP(T149,Database!$A$2:$L$189,9,FALSE),"-")</f>
        <v>-</v>
      </c>
      <c r="X149" s="209" t="str">
        <f>IFERROR(VLOOKUP(T149,Database!$A$2:$S$189,19,FALSE),"-")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IFERROR(VLOOKUP(Y149,Database!$A$2:$L$189,8,FALSE),"-")</f>
        <v>0</v>
      </c>
      <c r="AA149" s="79" t="str">
        <f>IFERROR(VLOOKUP(Y149,Database!$A$2:$L$189,6,FALSE),"-")</f>
        <v>D</v>
      </c>
      <c r="AB149" s="92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35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8" t="str">
        <f>IFERROR(VLOOKUP(E150,Database!$A$2:$L$189,6,FALSE),"-")</f>
        <v>-</v>
      </c>
      <c r="H150" s="93" t="str">
        <f>IFERROR(VLOOKUP(E150,Database!$A$2:$L$189,9,FALSE),"-")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IFERROR(VLOOKUP(J150,Database!$A$2:$L$189,8,FALSE),"-")</f>
        <v>-</v>
      </c>
      <c r="L150" s="78" t="str">
        <f>IFERROR(VLOOKUP(J150,Database!$A$2:$L$189,6,FALSE),"-")</f>
        <v>-</v>
      </c>
      <c r="M150" s="93" t="str">
        <f>IFERROR(VLOOKUP(J150,Database!$A$2:$L$189,9,FALSE),"-")</f>
        <v>-</v>
      </c>
      <c r="N150" s="209" t="str">
        <f>IFERROR(VLOOKUP(J150,Database!$A$2:$S$189,19,FALSE),"-")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IFERROR(VLOOKUP(O150,Database!$A$2:$L$189,8,FALSE),"-")</f>
        <v>-</v>
      </c>
      <c r="Q150" s="78" t="str">
        <f>IFERROR(VLOOKUP(O150,Database!$A$2:$L$189,6,FALSE),"-")</f>
        <v>-</v>
      </c>
      <c r="R150" s="82" t="str">
        <f>IFERROR(VLOOKUP(O150,Database!$A$2:$L$189,9,FALSE),"-")</f>
        <v>-</v>
      </c>
      <c r="S150" s="209" t="str">
        <f>IFERROR(VLOOKUP(O150,Database!$A$2:$S$189,19,FALSE),"-")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IFERROR(VLOOKUP(T150,Database!$A$2:$L$189,8,FALSE),"-")</f>
        <v>-</v>
      </c>
      <c r="V150" s="78" t="str">
        <f>IFERROR(VLOOKUP(T150,Database!$A$2:$L$189,6,FALSE),"-")</f>
        <v>-</v>
      </c>
      <c r="W150" s="82" t="str">
        <f>IFERROR(VLOOKUP(T150,Database!$A$2:$L$189,9,FALSE),"-")</f>
        <v>-</v>
      </c>
      <c r="X150" s="209" t="str">
        <f>IFERROR(VLOOKUP(T150,Database!$A$2:$S$189,19,FALSE),"-")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IFERROR(VLOOKUP(Y150,Database!$A$2:$L$189,8,FALSE),"-")</f>
        <v>-</v>
      </c>
      <c r="AA150" s="79" t="str">
        <f>IFERROR(VLOOKUP(Y150,Database!$A$2:$L$189,6,FALSE),"-")</f>
        <v>-</v>
      </c>
      <c r="AB150" s="92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35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8" t="str">
        <f>IFERROR(VLOOKUP(E151,Database!$A$2:$L$189,6,FALSE),"-")</f>
        <v>-</v>
      </c>
      <c r="H151" s="93" t="str">
        <f>IFERROR(VLOOKUP(E151,Database!$A$2:$L$189,9,FALSE),"-")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IFERROR(VLOOKUP(J151,Database!$A$2:$L$189,8,FALSE),"-")</f>
        <v>-</v>
      </c>
      <c r="L151" s="78" t="str">
        <f>IFERROR(VLOOKUP(J151,Database!$A$2:$L$189,6,FALSE),"-")</f>
        <v>-</v>
      </c>
      <c r="M151" s="93" t="str">
        <f>IFERROR(VLOOKUP(J151,Database!$A$2:$L$189,9,FALSE),"-")</f>
        <v>-</v>
      </c>
      <c r="N151" s="209" t="str">
        <f>IFERROR(VLOOKUP(J151,Database!$A$2:$S$189,19,FALSE),"-")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IFERROR(VLOOKUP(O151,Database!$A$2:$L$189,8,FALSE),"-")</f>
        <v>-</v>
      </c>
      <c r="Q151" s="78" t="str">
        <f>IFERROR(VLOOKUP(O151,Database!$A$2:$L$189,6,FALSE),"-")</f>
        <v>-</v>
      </c>
      <c r="R151" s="82" t="str">
        <f>IFERROR(VLOOKUP(O151,Database!$A$2:$L$189,9,FALSE),"-")</f>
        <v>-</v>
      </c>
      <c r="S151" s="209" t="str">
        <f>IFERROR(VLOOKUP(O151,Database!$A$2:$S$189,19,FALSE),"-")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IFERROR(VLOOKUP(T151,Database!$A$2:$L$189,8,FALSE),"-")</f>
        <v>-</v>
      </c>
      <c r="V151" s="78" t="str">
        <f>IFERROR(VLOOKUP(T151,Database!$A$2:$L$189,6,FALSE),"-")</f>
        <v>-</v>
      </c>
      <c r="W151" s="82" t="str">
        <f>IFERROR(VLOOKUP(T151,Database!$A$2:$L$189,9,FALSE),"-")</f>
        <v>-</v>
      </c>
      <c r="X151" s="209" t="str">
        <f>IFERROR(VLOOKUP(T151,Database!$A$2:$S$189,19,FALSE),"-")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IFERROR(VLOOKUP(Y151,Database!$A$2:$L$189,8,FALSE),"-")</f>
        <v>-</v>
      </c>
      <c r="AA151" s="79" t="str">
        <f>IFERROR(VLOOKUP(Y151,Database!$A$2:$L$189,6,FALSE),"-")</f>
        <v>-</v>
      </c>
      <c r="AB151" s="92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35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8" t="str">
        <f>IFERROR(VLOOKUP(E152,Database!$A$2:$L$189,6,FALSE),"-")</f>
        <v>-</v>
      </c>
      <c r="H152" s="93" t="str">
        <f>IFERROR(VLOOKUP(E152,Database!$A$2:$L$189,9,FALSE),"-")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IFERROR(VLOOKUP(J152,Database!$A$2:$L$189,8,FALSE),"-")</f>
        <v>-</v>
      </c>
      <c r="L152" s="78" t="str">
        <f>IFERROR(VLOOKUP(J152,Database!$A$2:$L$189,6,FALSE),"-")</f>
        <v>-</v>
      </c>
      <c r="M152" s="93" t="str">
        <f>IFERROR(VLOOKUP(J152,Database!$A$2:$L$189,9,FALSE),"-")</f>
        <v>-</v>
      </c>
      <c r="N152" s="209" t="str">
        <f>IFERROR(VLOOKUP(J152,Database!$A$2:$S$189,19,FALSE),"-")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IFERROR(VLOOKUP(O152,Database!$A$2:$L$189,8,FALSE),"-")</f>
        <v>-</v>
      </c>
      <c r="Q152" s="78" t="str">
        <f>IFERROR(VLOOKUP(O152,Database!$A$2:$L$189,6,FALSE),"-")</f>
        <v>-</v>
      </c>
      <c r="R152" s="82" t="str">
        <f>IFERROR(VLOOKUP(O152,Database!$A$2:$L$189,9,FALSE),"-")</f>
        <v>-</v>
      </c>
      <c r="S152" s="209" t="str">
        <f>IFERROR(VLOOKUP(O152,Database!$A$2:$S$189,19,FALSE),"-")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IFERROR(VLOOKUP(T152,Database!$A$2:$L$189,8,FALSE),"-")</f>
        <v>-</v>
      </c>
      <c r="V152" s="78" t="str">
        <f>IFERROR(VLOOKUP(T152,Database!$A$2:$L$189,6,FALSE),"-")</f>
        <v>-</v>
      </c>
      <c r="W152" s="82" t="str">
        <f>IFERROR(VLOOKUP(T152,Database!$A$2:$L$189,9,FALSE),"-")</f>
        <v>-</v>
      </c>
      <c r="X152" s="209" t="str">
        <f>IFERROR(VLOOKUP(T152,Database!$A$2:$S$189,19,FALSE),"-")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IFERROR(VLOOKUP(Y152,Database!$A$2:$L$189,8,FALSE),"-")</f>
        <v>-</v>
      </c>
      <c r="AA152" s="79" t="str">
        <f>IFERROR(VLOOKUP(Y152,Database!$A$2:$L$189,6,FALSE),"-")</f>
        <v>-</v>
      </c>
      <c r="AB152" s="92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35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8" t="str">
        <f>IFERROR(VLOOKUP(E153,Database!$A$2:$L$189,6,FALSE),"-")</f>
        <v>-</v>
      </c>
      <c r="H153" s="93" t="str">
        <f>IFERROR(VLOOKUP(E153,Database!$A$2:$L$189,9,FALSE),"-")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IFERROR(VLOOKUP(J153,Database!$A$2:$L$189,8,FALSE),"-")</f>
        <v>-</v>
      </c>
      <c r="L153" s="78" t="str">
        <f>IFERROR(VLOOKUP(J153,Database!$A$2:$L$189,6,FALSE),"-")</f>
        <v>-</v>
      </c>
      <c r="M153" s="93" t="str">
        <f>IFERROR(VLOOKUP(J153,Database!$A$2:$L$189,9,FALSE),"-")</f>
        <v>-</v>
      </c>
      <c r="N153" s="209" t="str">
        <f>IFERROR(VLOOKUP(J153,Database!$A$2:$S$189,19,FALSE),"-")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IFERROR(VLOOKUP(O153,Database!$A$2:$L$189,8,FALSE),"-")</f>
        <v>-</v>
      </c>
      <c r="Q153" s="78" t="str">
        <f>IFERROR(VLOOKUP(O153,Database!$A$2:$L$189,6,FALSE),"-")</f>
        <v>-</v>
      </c>
      <c r="R153" s="82" t="str">
        <f>IFERROR(VLOOKUP(O153,Database!$A$2:$L$189,9,FALSE),"-")</f>
        <v>-</v>
      </c>
      <c r="S153" s="209" t="str">
        <f>IFERROR(VLOOKUP(O153,Database!$A$2:$S$189,19,FALSE),"-")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IFERROR(VLOOKUP(T153,Database!$A$2:$L$189,8,FALSE),"-")</f>
        <v>-</v>
      </c>
      <c r="V153" s="78" t="str">
        <f>IFERROR(VLOOKUP(T153,Database!$A$2:$L$189,6,FALSE),"-")</f>
        <v>-</v>
      </c>
      <c r="W153" s="82" t="str">
        <f>IFERROR(VLOOKUP(T153,Database!$A$2:$L$189,9,FALSE),"-")</f>
        <v>-</v>
      </c>
      <c r="X153" s="209" t="str">
        <f>IFERROR(VLOOKUP(T153,Database!$A$2:$S$189,19,FALSE),"-")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IFERROR(VLOOKUP(Y153,Database!$A$2:$L$189,8,FALSE),"-")</f>
        <v>-</v>
      </c>
      <c r="AA153" s="79" t="str">
        <f>IFERROR(VLOOKUP(Y153,Database!$A$2:$L$189,6,FALSE),"-")</f>
        <v>-</v>
      </c>
      <c r="AB153" s="92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35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8" t="str">
        <f>IFERROR(VLOOKUP(E154,Database!$A$2:$L$189,6,FALSE),"-")</f>
        <v>-</v>
      </c>
      <c r="H154" s="93" t="str">
        <f>IFERROR(VLOOKUP(E154,Database!$A$2:$L$189,9,FALSE),"-")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IFERROR(VLOOKUP(J154,Database!$A$2:$L$189,8,FALSE),"-")</f>
        <v>-</v>
      </c>
      <c r="L154" s="78" t="str">
        <f>IFERROR(VLOOKUP(J154,Database!$A$2:$L$189,6,FALSE),"-")</f>
        <v>-</v>
      </c>
      <c r="M154" s="93" t="str">
        <f>IFERROR(VLOOKUP(J154,Database!$A$2:$L$189,9,FALSE),"-")</f>
        <v>-</v>
      </c>
      <c r="N154" s="209" t="str">
        <f>IFERROR(VLOOKUP(J154,Database!$A$2:$S$189,19,FALSE),"-")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IFERROR(VLOOKUP(O154,Database!$A$2:$L$189,8,FALSE),"-")</f>
        <v>-</v>
      </c>
      <c r="Q154" s="78" t="str">
        <f>IFERROR(VLOOKUP(O154,Database!$A$2:$L$189,6,FALSE),"-")</f>
        <v>-</v>
      </c>
      <c r="R154" s="82" t="str">
        <f>IFERROR(VLOOKUP(O154,Database!$A$2:$L$189,9,FALSE),"-")</f>
        <v>-</v>
      </c>
      <c r="S154" s="209" t="str">
        <f>IFERROR(VLOOKUP(O154,Database!$A$2:$S$189,19,FALSE),"-")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IFERROR(VLOOKUP(T154,Database!$A$2:$L$189,8,FALSE),"-")</f>
        <v>-</v>
      </c>
      <c r="V154" s="78" t="str">
        <f>IFERROR(VLOOKUP(T154,Database!$A$2:$L$189,6,FALSE),"-")</f>
        <v>-</v>
      </c>
      <c r="W154" s="82" t="str">
        <f>IFERROR(VLOOKUP(T154,Database!$A$2:$L$189,9,FALSE),"-")</f>
        <v>-</v>
      </c>
      <c r="X154" s="209" t="str">
        <f>IFERROR(VLOOKUP(T154,Database!$A$2:$S$189,19,FALSE),"-")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IFERROR(VLOOKUP(Y154,Database!$A$2:$L$189,8,FALSE),"-")</f>
        <v>-</v>
      </c>
      <c r="AA154" s="79" t="str">
        <f>IFERROR(VLOOKUP(Y154,Database!$A$2:$L$189,6,FALSE),"-")</f>
        <v>-</v>
      </c>
      <c r="AB154" s="92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35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8" t="str">
        <f>IFERROR(VLOOKUP(E155,Database!$A$2:$L$189,6,FALSE),"-")</f>
        <v>-</v>
      </c>
      <c r="H155" s="93" t="str">
        <f>IFERROR(VLOOKUP(E155,Database!$A$2:$L$189,9,FALSE),"-")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IFERROR(VLOOKUP(J155,Database!$A$2:$L$189,8,FALSE),"-")</f>
        <v>-</v>
      </c>
      <c r="L155" s="78" t="str">
        <f>IFERROR(VLOOKUP(J155,Database!$A$2:$L$189,6,FALSE),"-")</f>
        <v>-</v>
      </c>
      <c r="M155" s="93" t="str">
        <f>IFERROR(VLOOKUP(J155,Database!$A$2:$L$189,9,FALSE),"-")</f>
        <v>-</v>
      </c>
      <c r="N155" s="209" t="str">
        <f>IFERROR(VLOOKUP(J155,Database!$A$2:$S$189,19,FALSE),"-")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IFERROR(VLOOKUP(O155,Database!$A$2:$L$189,8,FALSE),"-")</f>
        <v>-</v>
      </c>
      <c r="Q155" s="78" t="str">
        <f>IFERROR(VLOOKUP(O155,Database!$A$2:$L$189,6,FALSE),"-")</f>
        <v>-</v>
      </c>
      <c r="R155" s="82" t="str">
        <f>IFERROR(VLOOKUP(O155,Database!$A$2:$L$189,9,FALSE),"-")</f>
        <v>-</v>
      </c>
      <c r="S155" s="209" t="str">
        <f>IFERROR(VLOOKUP(O155,Database!$A$2:$S$189,19,FALSE),"-")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IFERROR(VLOOKUP(T155,Database!$A$2:$L$189,8,FALSE),"-")</f>
        <v>-</v>
      </c>
      <c r="V155" s="78" t="str">
        <f>IFERROR(VLOOKUP(T155,Database!$A$2:$L$189,6,FALSE),"-")</f>
        <v>-</v>
      </c>
      <c r="W155" s="82" t="str">
        <f>IFERROR(VLOOKUP(T155,Database!$A$2:$L$189,9,FALSE),"-")</f>
        <v>-</v>
      </c>
      <c r="X155" s="209" t="str">
        <f>IFERROR(VLOOKUP(T155,Database!$A$2:$S$189,19,FALSE),"-")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IFERROR(VLOOKUP(Y155,Database!$A$2:$L$189,8,FALSE),"-")</f>
        <v>-</v>
      </c>
      <c r="AA155" s="79" t="str">
        <f>IFERROR(VLOOKUP(Y155,Database!$A$2:$L$189,6,FALSE),"-")</f>
        <v>-</v>
      </c>
      <c r="AB155" s="92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35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8" t="str">
        <f>IFERROR(VLOOKUP(E156,Database!$A$2:$L$189,6,FALSE),"-")</f>
        <v>-</v>
      </c>
      <c r="H156" s="93" t="str">
        <f>IFERROR(VLOOKUP(E156,Database!$A$2:$L$189,9,FALSE),"-")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IFERROR(VLOOKUP(J156,Database!$A$2:$L$189,8,FALSE),"-")</f>
        <v>-</v>
      </c>
      <c r="L156" s="78" t="str">
        <f>IFERROR(VLOOKUP(J156,Database!$A$2:$L$189,6,FALSE),"-")</f>
        <v>-</v>
      </c>
      <c r="M156" s="93" t="str">
        <f>IFERROR(VLOOKUP(J156,Database!$A$2:$L$189,9,FALSE),"-")</f>
        <v>-</v>
      </c>
      <c r="N156" s="209" t="str">
        <f>IFERROR(VLOOKUP(J156,Database!$A$2:$S$189,19,FALSE),"-")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IFERROR(VLOOKUP(O156,Database!$A$2:$L$189,8,FALSE),"-")</f>
        <v>-</v>
      </c>
      <c r="Q156" s="78" t="str">
        <f>IFERROR(VLOOKUP(O156,Database!$A$2:$L$189,6,FALSE),"-")</f>
        <v>-</v>
      </c>
      <c r="R156" s="82" t="str">
        <f>IFERROR(VLOOKUP(O156,Database!$A$2:$L$189,9,FALSE),"-")</f>
        <v>-</v>
      </c>
      <c r="S156" s="209" t="str">
        <f>IFERROR(VLOOKUP(O156,Database!$A$2:$S$189,19,FALSE),"-")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IFERROR(VLOOKUP(T156,Database!$A$2:$L$189,8,FALSE),"-")</f>
        <v>-</v>
      </c>
      <c r="V156" s="78" t="str">
        <f>IFERROR(VLOOKUP(T156,Database!$A$2:$L$189,6,FALSE),"-")</f>
        <v>-</v>
      </c>
      <c r="W156" s="82" t="str">
        <f>IFERROR(VLOOKUP(T156,Database!$A$2:$L$189,9,FALSE),"-")</f>
        <v>-</v>
      </c>
      <c r="X156" s="209" t="str">
        <f>IFERROR(VLOOKUP(T156,Database!$A$2:$S$189,19,FALSE),"-")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IFERROR(VLOOKUP(Y156,Database!$A$2:$L$189,8,FALSE),"-")</f>
        <v>-</v>
      </c>
      <c r="AA156" s="79" t="str">
        <f>IFERROR(VLOOKUP(Y156,Database!$A$2:$L$189,6,FALSE),"-")</f>
        <v>-</v>
      </c>
      <c r="AB156" s="92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35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8" t="str">
        <f>IFERROR(VLOOKUP(E157,Database!$A$2:$L$189,6,FALSE),"-")</f>
        <v>-</v>
      </c>
      <c r="H157" s="93" t="str">
        <f>IFERROR(VLOOKUP(E157,Database!$A$2:$L$189,9,FALSE),"-")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IFERROR(VLOOKUP(J157,Database!$A$2:$L$189,8,FALSE),"-")</f>
        <v>-</v>
      </c>
      <c r="L157" s="78" t="str">
        <f>IFERROR(VLOOKUP(J157,Database!$A$2:$L$189,6,FALSE),"-")</f>
        <v>-</v>
      </c>
      <c r="M157" s="93" t="str">
        <f>IFERROR(VLOOKUP(J157,Database!$A$2:$L$189,9,FALSE),"-")</f>
        <v>-</v>
      </c>
      <c r="N157" s="209" t="str">
        <f>IFERROR(VLOOKUP(J157,Database!$A$2:$S$189,19,FALSE),"-")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IFERROR(VLOOKUP(O157,Database!$A$2:$L$189,8,FALSE),"-")</f>
        <v>-</v>
      </c>
      <c r="Q157" s="78" t="str">
        <f>IFERROR(VLOOKUP(O157,Database!$A$2:$L$189,6,FALSE),"-")</f>
        <v>-</v>
      </c>
      <c r="R157" s="82" t="str">
        <f>IFERROR(VLOOKUP(O157,Database!$A$2:$L$189,9,FALSE),"-")</f>
        <v>-</v>
      </c>
      <c r="S157" s="209" t="str">
        <f>IFERROR(VLOOKUP(O157,Database!$A$2:$S$189,19,FALSE),"-")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IFERROR(VLOOKUP(T157,Database!$A$2:$L$189,8,FALSE),"-")</f>
        <v>-</v>
      </c>
      <c r="V157" s="78" t="str">
        <f>IFERROR(VLOOKUP(T157,Database!$A$2:$L$189,6,FALSE),"-")</f>
        <v>-</v>
      </c>
      <c r="W157" s="82" t="str">
        <f>IFERROR(VLOOKUP(T157,Database!$A$2:$L$189,9,FALSE),"-")</f>
        <v>-</v>
      </c>
      <c r="X157" s="209" t="str">
        <f>IFERROR(VLOOKUP(T157,Database!$A$2:$S$189,19,FALSE),"-")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IFERROR(VLOOKUP(Y157,Database!$A$2:$L$189,8,FALSE),"-")</f>
        <v>-</v>
      </c>
      <c r="AA157" s="79" t="str">
        <f>IFERROR(VLOOKUP(Y157,Database!$A$2:$L$189,6,FALSE),"-")</f>
        <v>-</v>
      </c>
      <c r="AB157" s="92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35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8" t="str">
        <f>IFERROR(VLOOKUP(E158,Database!$A$2:$L$189,6,FALSE),"-")</f>
        <v>-</v>
      </c>
      <c r="H158" s="93" t="str">
        <f>IFERROR(VLOOKUP(E158,Database!$A$2:$L$189,9,FALSE),"-")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IFERROR(VLOOKUP(J158,Database!$A$2:$L$189,8,FALSE),"-")</f>
        <v>-</v>
      </c>
      <c r="L158" s="78" t="str">
        <f>IFERROR(VLOOKUP(J158,Database!$A$2:$L$189,6,FALSE),"-")</f>
        <v>-</v>
      </c>
      <c r="M158" s="93" t="str">
        <f>IFERROR(VLOOKUP(J158,Database!$A$2:$L$189,9,FALSE),"-")</f>
        <v>-</v>
      </c>
      <c r="N158" s="209" t="str">
        <f>IFERROR(VLOOKUP(J158,Database!$A$2:$S$189,19,FALSE),"-")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IFERROR(VLOOKUP(O158,Database!$A$2:$L$189,8,FALSE),"-")</f>
        <v>-</v>
      </c>
      <c r="Q158" s="78" t="str">
        <f>IFERROR(VLOOKUP(O158,Database!$A$2:$L$189,6,FALSE),"-")</f>
        <v>-</v>
      </c>
      <c r="R158" s="82" t="str">
        <f>IFERROR(VLOOKUP(O158,Database!$A$2:$L$189,9,FALSE),"-")</f>
        <v>-</v>
      </c>
      <c r="S158" s="209" t="str">
        <f>IFERROR(VLOOKUP(O158,Database!$A$2:$S$189,19,FALSE),"-")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IFERROR(VLOOKUP(T158,Database!$A$2:$L$189,8,FALSE),"-")</f>
        <v>-</v>
      </c>
      <c r="V158" s="78" t="str">
        <f>IFERROR(VLOOKUP(T158,Database!$A$2:$L$189,6,FALSE),"-")</f>
        <v>-</v>
      </c>
      <c r="W158" s="82" t="str">
        <f>IFERROR(VLOOKUP(T158,Database!$A$2:$L$189,9,FALSE),"-")</f>
        <v>-</v>
      </c>
      <c r="X158" s="209" t="str">
        <f>IFERROR(VLOOKUP(T158,Database!$A$2:$S$189,19,FALSE),"-")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IFERROR(VLOOKUP(Y158,Database!$A$2:$L$189,8,FALSE),"-")</f>
        <v>-</v>
      </c>
      <c r="AA158" s="79" t="str">
        <f>IFERROR(VLOOKUP(Y158,Database!$A$2:$L$189,6,FALSE),"-")</f>
        <v>-</v>
      </c>
      <c r="AB158" s="92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35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8" t="str">
        <f>IFERROR(VLOOKUP(E159,Database!$A$2:$L$189,6,FALSE),"-")</f>
        <v>-</v>
      </c>
      <c r="H159" s="93" t="str">
        <f>IFERROR(VLOOKUP(E159,Database!$A$2:$L$189,9,FALSE),"-")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IFERROR(VLOOKUP(J159,Database!$A$2:$L$189,8,FALSE),"-")</f>
        <v>-</v>
      </c>
      <c r="L159" s="78" t="str">
        <f>IFERROR(VLOOKUP(J159,Database!$A$2:$L$189,6,FALSE),"-")</f>
        <v>-</v>
      </c>
      <c r="M159" s="93" t="str">
        <f>IFERROR(VLOOKUP(J159,Database!$A$2:$L$189,9,FALSE),"-")</f>
        <v>-</v>
      </c>
      <c r="N159" s="209" t="str">
        <f>IFERROR(VLOOKUP(J159,Database!$A$2:$S$189,19,FALSE),"-")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IFERROR(VLOOKUP(O159,Database!$A$2:$L$189,8,FALSE),"-")</f>
        <v>-</v>
      </c>
      <c r="Q159" s="78" t="str">
        <f>IFERROR(VLOOKUP(O159,Database!$A$2:$L$189,6,FALSE),"-")</f>
        <v>-</v>
      </c>
      <c r="R159" s="82" t="str">
        <f>IFERROR(VLOOKUP(O159,Database!$A$2:$L$189,9,FALSE),"-")</f>
        <v>-</v>
      </c>
      <c r="S159" s="209" t="str">
        <f>IFERROR(VLOOKUP(O159,Database!$A$2:$S$189,19,FALSE),"-")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IFERROR(VLOOKUP(T159,Database!$A$2:$L$189,8,FALSE),"-")</f>
        <v>-</v>
      </c>
      <c r="V159" s="78" t="str">
        <f>IFERROR(VLOOKUP(T159,Database!$A$2:$L$189,6,FALSE),"-")</f>
        <v>-</v>
      </c>
      <c r="W159" s="82" t="str">
        <f>IFERROR(VLOOKUP(T159,Database!$A$2:$L$189,9,FALSE),"-")</f>
        <v>-</v>
      </c>
      <c r="X159" s="209" t="str">
        <f>IFERROR(VLOOKUP(T159,Database!$A$2:$S$189,19,FALSE),"-")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IFERROR(VLOOKUP(Y159,Database!$A$2:$L$189,8,FALSE),"-")</f>
        <v>-</v>
      </c>
      <c r="AA159" s="79" t="str">
        <f>IFERROR(VLOOKUP(Y159,Database!$A$2:$L$189,6,FALSE),"-")</f>
        <v>-</v>
      </c>
      <c r="AB159" s="92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35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8" t="str">
        <f>IFERROR(VLOOKUP(E160,Database!$A$2:$L$189,6,FALSE),"-")</f>
        <v>-</v>
      </c>
      <c r="H160" s="93" t="str">
        <f>IFERROR(VLOOKUP(E160,Database!$A$2:$L$189,9,FALSE),"-")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IFERROR(VLOOKUP(J160,Database!$A$2:$L$189,8,FALSE),"-")</f>
        <v>-</v>
      </c>
      <c r="L160" s="78" t="str">
        <f>IFERROR(VLOOKUP(J160,Database!$A$2:$L$189,6,FALSE),"-")</f>
        <v>-</v>
      </c>
      <c r="M160" s="93" t="str">
        <f>IFERROR(VLOOKUP(J160,Database!$A$2:$L$189,9,FALSE),"-")</f>
        <v>-</v>
      </c>
      <c r="N160" s="209" t="str">
        <f>IFERROR(VLOOKUP(J160,Database!$A$2:$S$189,19,FALSE),"-")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IFERROR(VLOOKUP(O160,Database!$A$2:$L$189,8,FALSE),"-")</f>
        <v>-</v>
      </c>
      <c r="Q160" s="78" t="str">
        <f>IFERROR(VLOOKUP(O160,Database!$A$2:$L$189,6,FALSE),"-")</f>
        <v>-</v>
      </c>
      <c r="R160" s="82" t="str">
        <f>IFERROR(VLOOKUP(O160,Database!$A$2:$L$189,9,FALSE),"-")</f>
        <v>-</v>
      </c>
      <c r="S160" s="209" t="str">
        <f>IFERROR(VLOOKUP(O160,Database!$A$2:$S$189,19,FALSE),"-")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IFERROR(VLOOKUP(T160,Database!$A$2:$L$189,8,FALSE),"-")</f>
        <v>-</v>
      </c>
      <c r="V160" s="78" t="str">
        <f>IFERROR(VLOOKUP(T160,Database!$A$2:$L$189,6,FALSE),"-")</f>
        <v>-</v>
      </c>
      <c r="W160" s="82" t="str">
        <f>IFERROR(VLOOKUP(T160,Database!$A$2:$L$189,9,FALSE),"-")</f>
        <v>-</v>
      </c>
      <c r="X160" s="209" t="str">
        <f>IFERROR(VLOOKUP(T160,Database!$A$2:$S$189,19,FALSE),"-")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IFERROR(VLOOKUP(Y160,Database!$A$2:$L$189,8,FALSE),"-")</f>
        <v>-</v>
      </c>
      <c r="AA160" s="79" t="str">
        <f>IFERROR(VLOOKUP(Y160,Database!$A$2:$L$189,6,FALSE),"-")</f>
        <v>-</v>
      </c>
      <c r="AB160" s="92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35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8" t="str">
        <f>IFERROR(VLOOKUP(E161,Database!$A$2:$L$189,6,FALSE),"-")</f>
        <v>-</v>
      </c>
      <c r="H161" s="93" t="str">
        <f>IFERROR(VLOOKUP(E161,Database!$A$2:$L$189,9,FALSE),"-")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IFERROR(VLOOKUP(J161,Database!$A$2:$L$189,8,FALSE),"-")</f>
        <v>-</v>
      </c>
      <c r="L161" s="78" t="str">
        <f>IFERROR(VLOOKUP(J161,Database!$A$2:$L$189,6,FALSE),"-")</f>
        <v>-</v>
      </c>
      <c r="M161" s="93" t="str">
        <f>IFERROR(VLOOKUP(J161,Database!$A$2:$L$189,9,FALSE),"-")</f>
        <v>-</v>
      </c>
      <c r="N161" s="209" t="str">
        <f>IFERROR(VLOOKUP(J161,Database!$A$2:$S$189,19,FALSE),"-")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IFERROR(VLOOKUP(O161,Database!$A$2:$L$189,8,FALSE),"-")</f>
        <v>-</v>
      </c>
      <c r="Q161" s="78" t="str">
        <f>IFERROR(VLOOKUP(O161,Database!$A$2:$L$189,6,FALSE),"-")</f>
        <v>-</v>
      </c>
      <c r="R161" s="82" t="str">
        <f>IFERROR(VLOOKUP(O161,Database!$A$2:$L$189,9,FALSE),"-")</f>
        <v>-</v>
      </c>
      <c r="S161" s="209" t="str">
        <f>IFERROR(VLOOKUP(O161,Database!$A$2:$S$189,19,FALSE),"-")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IFERROR(VLOOKUP(T161,Database!$A$2:$L$189,8,FALSE),"-")</f>
        <v>-</v>
      </c>
      <c r="V161" s="78" t="str">
        <f>IFERROR(VLOOKUP(T161,Database!$A$2:$L$189,6,FALSE),"-")</f>
        <v>-</v>
      </c>
      <c r="W161" s="82" t="str">
        <f>IFERROR(VLOOKUP(T161,Database!$A$2:$L$189,9,FALSE),"-")</f>
        <v>-</v>
      </c>
      <c r="X161" s="209" t="str">
        <f>IFERROR(VLOOKUP(T161,Database!$A$2:$S$189,19,FALSE),"-")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IFERROR(VLOOKUP(Y161,Database!$A$2:$L$189,8,FALSE),"-")</f>
        <v>-</v>
      </c>
      <c r="AA161" s="79" t="str">
        <f>IFERROR(VLOOKUP(Y161,Database!$A$2:$L$189,6,FALSE),"-")</f>
        <v>-</v>
      </c>
      <c r="AB161" s="92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35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8" t="str">
        <f>IFERROR(VLOOKUP(E162,Database!$A$2:$L$189,6,FALSE),"-")</f>
        <v>-</v>
      </c>
      <c r="H162" s="93" t="str">
        <f>IFERROR(VLOOKUP(E162,Database!$A$2:$L$189,9,FALSE),"-")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IFERROR(VLOOKUP(J162,Database!$A$2:$L$189,8,FALSE),"-")</f>
        <v>-</v>
      </c>
      <c r="L162" s="78" t="str">
        <f>IFERROR(VLOOKUP(J162,Database!$A$2:$L$189,6,FALSE),"-")</f>
        <v>-</v>
      </c>
      <c r="M162" s="93" t="str">
        <f>IFERROR(VLOOKUP(J162,Database!$A$2:$L$189,9,FALSE),"-")</f>
        <v>-</v>
      </c>
      <c r="N162" s="209" t="str">
        <f>IFERROR(VLOOKUP(J162,Database!$A$2:$S$189,19,FALSE),"-")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IFERROR(VLOOKUP(O162,Database!$A$2:$L$189,8,FALSE),"-")</f>
        <v>-</v>
      </c>
      <c r="Q162" s="78" t="str">
        <f>IFERROR(VLOOKUP(O162,Database!$A$2:$L$189,6,FALSE),"-")</f>
        <v>-</v>
      </c>
      <c r="R162" s="82" t="str">
        <f>IFERROR(VLOOKUP(O162,Database!$A$2:$L$189,9,FALSE),"-")</f>
        <v>-</v>
      </c>
      <c r="S162" s="209" t="str">
        <f>IFERROR(VLOOKUP(O162,Database!$A$2:$S$189,19,FALSE),"-")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IFERROR(VLOOKUP(T162,Database!$A$2:$L$189,8,FALSE),"-")</f>
        <v>-</v>
      </c>
      <c r="V162" s="78" t="str">
        <f>IFERROR(VLOOKUP(T162,Database!$A$2:$L$189,6,FALSE),"-")</f>
        <v>-</v>
      </c>
      <c r="W162" s="82" t="str">
        <f>IFERROR(VLOOKUP(T162,Database!$A$2:$L$189,9,FALSE),"-")</f>
        <v>-</v>
      </c>
      <c r="X162" s="209" t="str">
        <f>IFERROR(VLOOKUP(T162,Database!$A$2:$S$189,19,FALSE),"-")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IFERROR(VLOOKUP(Y162,Database!$A$2:$L$189,8,FALSE),"-")</f>
        <v>-</v>
      </c>
      <c r="AA162" s="79" t="str">
        <f>IFERROR(VLOOKUP(Y162,Database!$A$2:$L$189,6,FALSE),"-")</f>
        <v>-</v>
      </c>
      <c r="AB162" s="92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35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8" t="str">
        <f>IFERROR(VLOOKUP(E163,Database!$A$2:$L$189,6,FALSE),"-")</f>
        <v>-</v>
      </c>
      <c r="H163" s="93" t="str">
        <f>IFERROR(VLOOKUP(E163,Database!$A$2:$L$189,9,FALSE),"-")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IFERROR(VLOOKUP(J163,Database!$A$2:$L$189,8,FALSE),"-")</f>
        <v>-</v>
      </c>
      <c r="L163" s="78" t="str">
        <f>IFERROR(VLOOKUP(J163,Database!$A$2:$L$189,6,FALSE),"-")</f>
        <v>-</v>
      </c>
      <c r="M163" s="93" t="str">
        <f>IFERROR(VLOOKUP(J163,Database!$A$2:$L$189,9,FALSE),"-")</f>
        <v>-</v>
      </c>
      <c r="N163" s="209" t="str">
        <f>IFERROR(VLOOKUP(J163,Database!$A$2:$S$189,19,FALSE),"-")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IFERROR(VLOOKUP(O163,Database!$A$2:$L$189,8,FALSE),"-")</f>
        <v>-</v>
      </c>
      <c r="Q163" s="78" t="str">
        <f>IFERROR(VLOOKUP(O163,Database!$A$2:$L$189,6,FALSE),"-")</f>
        <v>-</v>
      </c>
      <c r="R163" s="82" t="str">
        <f>IFERROR(VLOOKUP(O163,Database!$A$2:$L$189,9,FALSE),"-")</f>
        <v>-</v>
      </c>
      <c r="S163" s="209" t="str">
        <f>IFERROR(VLOOKUP(O163,Database!$A$2:$S$189,19,FALSE),"-")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IFERROR(VLOOKUP(T163,Database!$A$2:$L$189,8,FALSE),"-")</f>
        <v>-</v>
      </c>
      <c r="V163" s="78" t="str">
        <f>IFERROR(VLOOKUP(T163,Database!$A$2:$L$189,6,FALSE),"-")</f>
        <v>-</v>
      </c>
      <c r="W163" s="82" t="str">
        <f>IFERROR(VLOOKUP(T163,Database!$A$2:$L$189,9,FALSE),"-")</f>
        <v>-</v>
      </c>
      <c r="X163" s="209" t="str">
        <f>IFERROR(VLOOKUP(T163,Database!$A$2:$S$189,19,FALSE),"-")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IFERROR(VLOOKUP(Y163,Database!$A$2:$L$189,8,FALSE),"-")</f>
        <v>-</v>
      </c>
      <c r="AA163" s="79" t="str">
        <f>IFERROR(VLOOKUP(Y163,Database!$A$2:$L$189,6,FALSE),"-")</f>
        <v>-</v>
      </c>
      <c r="AB163" s="92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35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8" t="str">
        <f>IFERROR(VLOOKUP(E164,Database!$A$2:$L$189,6,FALSE),"-")</f>
        <v>-</v>
      </c>
      <c r="H164" s="93" t="str">
        <f>IFERROR(VLOOKUP(E164,Database!$A$2:$L$189,9,FALSE),"-")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IFERROR(VLOOKUP(J164,Database!$A$2:$L$189,8,FALSE),"-")</f>
        <v>-</v>
      </c>
      <c r="L164" s="78" t="str">
        <f>IFERROR(VLOOKUP(J164,Database!$A$2:$L$189,6,FALSE),"-")</f>
        <v>-</v>
      </c>
      <c r="M164" s="93" t="str">
        <f>IFERROR(VLOOKUP(J164,Database!$A$2:$L$189,9,FALSE),"-")</f>
        <v>-</v>
      </c>
      <c r="N164" s="209" t="str">
        <f>IFERROR(VLOOKUP(J164,Database!$A$2:$S$189,19,FALSE),"-")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IFERROR(VLOOKUP(O164,Database!$A$2:$L$189,8,FALSE),"-")</f>
        <v>-</v>
      </c>
      <c r="Q164" s="78" t="str">
        <f>IFERROR(VLOOKUP(O164,Database!$A$2:$L$189,6,FALSE),"-")</f>
        <v>-</v>
      </c>
      <c r="R164" s="82" t="str">
        <f>IFERROR(VLOOKUP(O164,Database!$A$2:$L$189,9,FALSE),"-")</f>
        <v>-</v>
      </c>
      <c r="S164" s="209" t="str">
        <f>IFERROR(VLOOKUP(O164,Database!$A$2:$S$189,19,FALSE),"-")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IFERROR(VLOOKUP(T164,Database!$A$2:$L$189,8,FALSE),"-")</f>
        <v>-</v>
      </c>
      <c r="V164" s="78" t="str">
        <f>IFERROR(VLOOKUP(T164,Database!$A$2:$L$189,6,FALSE),"-")</f>
        <v>-</v>
      </c>
      <c r="W164" s="82" t="str">
        <f>IFERROR(VLOOKUP(T164,Database!$A$2:$L$189,9,FALSE),"-")</f>
        <v>-</v>
      </c>
      <c r="X164" s="209" t="str">
        <f>IFERROR(VLOOKUP(T164,Database!$A$2:$S$189,19,FALSE),"-")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IFERROR(VLOOKUP(Y164,Database!$A$2:$L$189,8,FALSE),"-")</f>
        <v>-</v>
      </c>
      <c r="AA164" s="79" t="str">
        <f>IFERROR(VLOOKUP(Y164,Database!$A$2:$L$189,6,FALSE),"-")</f>
        <v>-</v>
      </c>
      <c r="AB164" s="92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35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8" t="str">
        <f>IFERROR(VLOOKUP(E165,Database!$A$2:$L$189,6,FALSE),"-")</f>
        <v>-</v>
      </c>
      <c r="H165" s="93" t="str">
        <f>IFERROR(VLOOKUP(E165,Database!$A$2:$L$189,9,FALSE),"-")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IFERROR(VLOOKUP(J165,Database!$A$2:$L$189,8,FALSE),"-")</f>
        <v>-</v>
      </c>
      <c r="L165" s="78" t="str">
        <f>IFERROR(VLOOKUP(J165,Database!$A$2:$L$189,6,FALSE),"-")</f>
        <v>-</v>
      </c>
      <c r="M165" s="93" t="str">
        <f>IFERROR(VLOOKUP(J165,Database!$A$2:$L$189,9,FALSE),"-")</f>
        <v>-</v>
      </c>
      <c r="N165" s="209" t="str">
        <f>IFERROR(VLOOKUP(J165,Database!$A$2:$S$189,19,FALSE),"-")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IFERROR(VLOOKUP(O165,Database!$A$2:$L$189,8,FALSE),"-")</f>
        <v>-</v>
      </c>
      <c r="Q165" s="78" t="str">
        <f>IFERROR(VLOOKUP(O165,Database!$A$2:$L$189,6,FALSE),"-")</f>
        <v>-</v>
      </c>
      <c r="R165" s="82" t="str">
        <f>IFERROR(VLOOKUP(O165,Database!$A$2:$L$189,9,FALSE),"-")</f>
        <v>-</v>
      </c>
      <c r="S165" s="209" t="str">
        <f>IFERROR(VLOOKUP(O165,Database!$A$2:$S$189,19,FALSE),"-")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IFERROR(VLOOKUP(T165,Database!$A$2:$L$189,8,FALSE),"-")</f>
        <v>-</v>
      </c>
      <c r="V165" s="78" t="str">
        <f>IFERROR(VLOOKUP(T165,Database!$A$2:$L$189,6,FALSE),"-")</f>
        <v>-</v>
      </c>
      <c r="W165" s="82" t="str">
        <f>IFERROR(VLOOKUP(T165,Database!$A$2:$L$189,9,FALSE),"-")</f>
        <v>-</v>
      </c>
      <c r="X165" s="209" t="str">
        <f>IFERROR(VLOOKUP(T165,Database!$A$2:$S$189,19,FALSE),"-")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IFERROR(VLOOKUP(Y165,Database!$A$2:$L$189,8,FALSE),"-")</f>
        <v>-</v>
      </c>
      <c r="AA165" s="79" t="str">
        <f>IFERROR(VLOOKUP(Y165,Database!$A$2:$L$189,6,FALSE),"-")</f>
        <v>-</v>
      </c>
      <c r="AB165" s="92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35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8" t="str">
        <f>IFERROR(VLOOKUP(E166,Database!$A$2:$L$189,6,FALSE),"-")</f>
        <v>-</v>
      </c>
      <c r="H166" s="93" t="str">
        <f>IFERROR(VLOOKUP(E166,Database!$A$2:$L$189,9,FALSE),"-")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IFERROR(VLOOKUP(J166,Database!$A$2:$L$189,8,FALSE),"-")</f>
        <v>-</v>
      </c>
      <c r="L166" s="78" t="str">
        <f>IFERROR(VLOOKUP(J166,Database!$A$2:$L$189,6,FALSE),"-")</f>
        <v>-</v>
      </c>
      <c r="M166" s="93" t="str">
        <f>IFERROR(VLOOKUP(J166,Database!$A$2:$L$189,9,FALSE),"-")</f>
        <v>-</v>
      </c>
      <c r="N166" s="209" t="str">
        <f>IFERROR(VLOOKUP(J166,Database!$A$2:$S$189,19,FALSE),"-")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IFERROR(VLOOKUP(O166,Database!$A$2:$L$189,8,FALSE),"-")</f>
        <v>-</v>
      </c>
      <c r="Q166" s="78" t="str">
        <f>IFERROR(VLOOKUP(O166,Database!$A$2:$L$189,6,FALSE),"-")</f>
        <v>-</v>
      </c>
      <c r="R166" s="82" t="str">
        <f>IFERROR(VLOOKUP(O166,Database!$A$2:$L$189,9,FALSE),"-")</f>
        <v>-</v>
      </c>
      <c r="S166" s="209" t="str">
        <f>IFERROR(VLOOKUP(O166,Database!$A$2:$S$189,19,FALSE),"-")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IFERROR(VLOOKUP(T166,Database!$A$2:$L$189,8,FALSE),"-")</f>
        <v>-</v>
      </c>
      <c r="V166" s="78" t="str">
        <f>IFERROR(VLOOKUP(T166,Database!$A$2:$L$189,6,FALSE),"-")</f>
        <v>-</v>
      </c>
      <c r="W166" s="82" t="str">
        <f>IFERROR(VLOOKUP(T166,Database!$A$2:$L$189,9,FALSE),"-")</f>
        <v>-</v>
      </c>
      <c r="X166" s="209" t="str">
        <f>IFERROR(VLOOKUP(T166,Database!$A$2:$S$189,19,FALSE),"-")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IFERROR(VLOOKUP(Y166,Database!$A$2:$L$189,8,FALSE),"-")</f>
        <v>-</v>
      </c>
      <c r="AA166" s="79" t="str">
        <f>IFERROR(VLOOKUP(Y166,Database!$A$2:$L$189,6,FALSE),"-")</f>
        <v>-</v>
      </c>
      <c r="AB166" s="92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35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8" t="str">
        <f>IFERROR(VLOOKUP(E167,Database!$A$2:$L$189,6,FALSE),"-")</f>
        <v>-</v>
      </c>
      <c r="H167" s="93" t="str">
        <f>IFERROR(VLOOKUP(E167,Database!$A$2:$L$189,9,FALSE),"-")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IFERROR(VLOOKUP(J167,Database!$A$2:$L$189,8,FALSE),"-")</f>
        <v>-</v>
      </c>
      <c r="L167" s="78" t="str">
        <f>IFERROR(VLOOKUP(J167,Database!$A$2:$L$189,6,FALSE),"-")</f>
        <v>-</v>
      </c>
      <c r="M167" s="93" t="str">
        <f>IFERROR(VLOOKUP(J167,Database!$A$2:$L$189,9,FALSE),"-")</f>
        <v>-</v>
      </c>
      <c r="N167" s="209" t="str">
        <f>IFERROR(VLOOKUP(J167,Database!$A$2:$S$189,19,FALSE),"-")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IFERROR(VLOOKUP(O167,Database!$A$2:$L$189,8,FALSE),"-")</f>
        <v>-</v>
      </c>
      <c r="Q167" s="78" t="str">
        <f>IFERROR(VLOOKUP(O167,Database!$A$2:$L$189,6,FALSE),"-")</f>
        <v>-</v>
      </c>
      <c r="R167" s="82" t="str">
        <f>IFERROR(VLOOKUP(O167,Database!$A$2:$L$189,9,FALSE),"-")</f>
        <v>-</v>
      </c>
      <c r="S167" s="209" t="str">
        <f>IFERROR(VLOOKUP(O167,Database!$A$2:$S$189,19,FALSE),"-")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IFERROR(VLOOKUP(T167,Database!$A$2:$L$189,8,FALSE),"-")</f>
        <v>-</v>
      </c>
      <c r="V167" s="78" t="str">
        <f>IFERROR(VLOOKUP(T167,Database!$A$2:$L$189,6,FALSE),"-")</f>
        <v>-</v>
      </c>
      <c r="W167" s="82" t="str">
        <f>IFERROR(VLOOKUP(T167,Database!$A$2:$L$189,9,FALSE),"-")</f>
        <v>-</v>
      </c>
      <c r="X167" s="209" t="str">
        <f>IFERROR(VLOOKUP(T167,Database!$A$2:$S$189,19,FALSE),"-")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IFERROR(VLOOKUP(Y167,Database!$A$2:$L$189,8,FALSE),"-")</f>
        <v>-</v>
      </c>
      <c r="AA167" s="79" t="str">
        <f>IFERROR(VLOOKUP(Y167,Database!$A$2:$L$189,6,FALSE),"-")</f>
        <v>-</v>
      </c>
      <c r="AB167" s="92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35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8" t="str">
        <f>IFERROR(VLOOKUP(E168,Database!$A$2:$L$189,6,FALSE),"-")</f>
        <v>-</v>
      </c>
      <c r="H168" s="93" t="str">
        <f>IFERROR(VLOOKUP(E168,Database!$A$2:$L$189,9,FALSE),"-")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IFERROR(VLOOKUP(J168,Database!$A$2:$L$189,8,FALSE),"-")</f>
        <v>-</v>
      </c>
      <c r="L168" s="78" t="str">
        <f>IFERROR(VLOOKUP(J168,Database!$A$2:$L$189,6,FALSE),"-")</f>
        <v>-</v>
      </c>
      <c r="M168" s="93" t="str">
        <f>IFERROR(VLOOKUP(J168,Database!$A$2:$L$189,9,FALSE),"-")</f>
        <v>-</v>
      </c>
      <c r="N168" s="209" t="str">
        <f>IFERROR(VLOOKUP(J168,Database!$A$2:$S$189,19,FALSE),"-")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IFERROR(VLOOKUP(O168,Database!$A$2:$L$189,8,FALSE),"-")</f>
        <v>-</v>
      </c>
      <c r="Q168" s="78" t="str">
        <f>IFERROR(VLOOKUP(O168,Database!$A$2:$L$189,6,FALSE),"-")</f>
        <v>-</v>
      </c>
      <c r="R168" s="82" t="str">
        <f>IFERROR(VLOOKUP(O168,Database!$A$2:$L$189,9,FALSE),"-")</f>
        <v>-</v>
      </c>
      <c r="S168" s="209" t="str">
        <f>IFERROR(VLOOKUP(O168,Database!$A$2:$S$189,19,FALSE),"-")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IFERROR(VLOOKUP(T168,Database!$A$2:$L$189,8,FALSE),"-")</f>
        <v>-</v>
      </c>
      <c r="V168" s="78" t="str">
        <f>IFERROR(VLOOKUP(T168,Database!$A$2:$L$189,6,FALSE),"-")</f>
        <v>-</v>
      </c>
      <c r="W168" s="82" t="str">
        <f>IFERROR(VLOOKUP(T168,Database!$A$2:$L$189,9,FALSE),"-")</f>
        <v>-</v>
      </c>
      <c r="X168" s="209" t="str">
        <f>IFERROR(VLOOKUP(T168,Database!$A$2:$S$189,19,FALSE),"-")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IFERROR(VLOOKUP(Y168,Database!$A$2:$L$189,8,FALSE),"-")</f>
        <v>-</v>
      </c>
      <c r="AA168" s="79" t="str">
        <f>IFERROR(VLOOKUP(Y168,Database!$A$2:$L$189,6,FALSE),"-")</f>
        <v>-</v>
      </c>
      <c r="AB168" s="92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35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8" t="str">
        <f>IFERROR(VLOOKUP(E169,Database!$A$2:$L$189,6,FALSE),"-")</f>
        <v>-</v>
      </c>
      <c r="H169" s="93" t="str">
        <f>IFERROR(VLOOKUP(E169,Database!$A$2:$L$189,9,FALSE),"-")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IFERROR(VLOOKUP(J169,Database!$A$2:$L$189,8,FALSE),"-")</f>
        <v>-</v>
      </c>
      <c r="L169" s="78" t="str">
        <f>IFERROR(VLOOKUP(J169,Database!$A$2:$L$189,6,FALSE),"-")</f>
        <v>-</v>
      </c>
      <c r="M169" s="93" t="str">
        <f>IFERROR(VLOOKUP(J169,Database!$A$2:$L$189,9,FALSE),"-")</f>
        <v>-</v>
      </c>
      <c r="N169" s="209" t="str">
        <f>IFERROR(VLOOKUP(J169,Database!$A$2:$S$189,19,FALSE),"-")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IFERROR(VLOOKUP(O169,Database!$A$2:$L$189,8,FALSE),"-")</f>
        <v>-</v>
      </c>
      <c r="Q169" s="78" t="str">
        <f>IFERROR(VLOOKUP(O169,Database!$A$2:$L$189,6,FALSE),"-")</f>
        <v>-</v>
      </c>
      <c r="R169" s="82" t="str">
        <f>IFERROR(VLOOKUP(O169,Database!$A$2:$L$189,9,FALSE),"-")</f>
        <v>-</v>
      </c>
      <c r="S169" s="209" t="str">
        <f>IFERROR(VLOOKUP(O169,Database!$A$2:$S$189,19,FALSE),"-")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IFERROR(VLOOKUP(T169,Database!$A$2:$L$189,8,FALSE),"-")</f>
        <v>-</v>
      </c>
      <c r="V169" s="78" t="str">
        <f>IFERROR(VLOOKUP(T169,Database!$A$2:$L$189,6,FALSE),"-")</f>
        <v>-</v>
      </c>
      <c r="W169" s="82" t="str">
        <f>IFERROR(VLOOKUP(T169,Database!$A$2:$L$189,9,FALSE),"-")</f>
        <v>-</v>
      </c>
      <c r="X169" s="209" t="str">
        <f>IFERROR(VLOOKUP(T169,Database!$A$2:$S$189,19,FALSE),"-")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IFERROR(VLOOKUP(Y169,Database!$A$2:$L$189,8,FALSE),"-")</f>
        <v>-</v>
      </c>
      <c r="AA169" s="79" t="str">
        <f>IFERROR(VLOOKUP(Y169,Database!$A$2:$L$189,6,FALSE),"-")</f>
        <v>-</v>
      </c>
      <c r="AB169" s="92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35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8" t="str">
        <f>IFERROR(VLOOKUP(E170,Database!$A$2:$L$189,6,FALSE),"-")</f>
        <v>-</v>
      </c>
      <c r="H170" s="93" t="str">
        <f>IFERROR(VLOOKUP(E170,Database!$A$2:$L$189,9,FALSE),"-")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IFERROR(VLOOKUP(J170,Database!$A$2:$L$189,8,FALSE),"-")</f>
        <v>-</v>
      </c>
      <c r="L170" s="78" t="str">
        <f>IFERROR(VLOOKUP(J170,Database!$A$2:$L$189,6,FALSE),"-")</f>
        <v>-</v>
      </c>
      <c r="M170" s="93" t="str">
        <f>IFERROR(VLOOKUP(J170,Database!$A$2:$L$189,9,FALSE),"-")</f>
        <v>-</v>
      </c>
      <c r="N170" s="209" t="str">
        <f>IFERROR(VLOOKUP(J170,Database!$A$2:$S$189,19,FALSE),"-")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IFERROR(VLOOKUP(O170,Database!$A$2:$L$189,8,FALSE),"-")</f>
        <v>-</v>
      </c>
      <c r="Q170" s="78" t="str">
        <f>IFERROR(VLOOKUP(O170,Database!$A$2:$L$189,6,FALSE),"-")</f>
        <v>-</v>
      </c>
      <c r="R170" s="82" t="str">
        <f>IFERROR(VLOOKUP(O170,Database!$A$2:$L$189,9,FALSE),"-")</f>
        <v>-</v>
      </c>
      <c r="S170" s="209" t="str">
        <f>IFERROR(VLOOKUP(O170,Database!$A$2:$S$189,19,FALSE),"-")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IFERROR(VLOOKUP(T170,Database!$A$2:$L$189,8,FALSE),"-")</f>
        <v>-</v>
      </c>
      <c r="V170" s="78" t="str">
        <f>IFERROR(VLOOKUP(T170,Database!$A$2:$L$189,6,FALSE),"-")</f>
        <v>-</v>
      </c>
      <c r="W170" s="82" t="str">
        <f>IFERROR(VLOOKUP(T170,Database!$A$2:$L$189,9,FALSE),"-")</f>
        <v>-</v>
      </c>
      <c r="X170" s="209" t="str">
        <f>IFERROR(VLOOKUP(T170,Database!$A$2:$S$189,19,FALSE),"-")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IFERROR(VLOOKUP(Y170,Database!$A$2:$L$189,8,FALSE),"-")</f>
        <v>-</v>
      </c>
      <c r="AA170" s="79" t="str">
        <f>IFERROR(VLOOKUP(Y170,Database!$A$2:$L$189,6,FALSE),"-")</f>
        <v>-</v>
      </c>
      <c r="AB170" s="92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35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IFERROR(VLOOKUP(E171,Database!$A$2:$L$189,8,FALSE),"-")</f>
        <v>-</v>
      </c>
      <c r="G171" s="80" t="str">
        <f>IFERROR(VLOOKUP(E171,Database!$A$2:$L$189,6,FALSE),"-")</f>
        <v>-</v>
      </c>
      <c r="H171" s="94" t="str">
        <f>IFERROR(VLOOKUP(E171,Database!$A$2:$L$189,9,FALSE),"-")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IFERROR(VLOOKUP(J171,Database!$A$2:$L$189,8,FALSE),"-")</f>
        <v>-</v>
      </c>
      <c r="L171" s="80" t="str">
        <f>IFERROR(VLOOKUP(J171,Database!$A$2:$L$189,6,FALSE),"-")</f>
        <v>-</v>
      </c>
      <c r="M171" s="94" t="str">
        <f>IFERROR(VLOOKUP(J171,Database!$A$2:$L$189,9,FALSE),"-")</f>
        <v>-</v>
      </c>
      <c r="N171" s="209" t="str">
        <f>IFERROR(VLOOKUP(J171,Database!$A$2:$S$189,19,FALSE),"-")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IFERROR(VLOOKUP(O171,Database!$A$2:$L$189,8,FALSE),"-")</f>
        <v>-</v>
      </c>
      <c r="Q171" s="80" t="str">
        <f>IFERROR(VLOOKUP(O171,Database!$A$2:$L$189,6,FALSE),"-")</f>
        <v>-</v>
      </c>
      <c r="R171" s="83" t="str">
        <f>IFERROR(VLOOKUP(O171,Database!$A$2:$L$189,9,FALSE),"-")</f>
        <v>-</v>
      </c>
      <c r="S171" s="209" t="str">
        <f>IFERROR(VLOOKUP(O171,Database!$A$2:$S$189,19,FALSE),"-")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IFERROR(VLOOKUP(T171,Database!$A$2:$L$189,8,FALSE),"-")</f>
        <v>-</v>
      </c>
      <c r="V171" s="80" t="str">
        <f>IFERROR(VLOOKUP(T171,Database!$A$2:$L$189,6,FALSE),"-")</f>
        <v>-</v>
      </c>
      <c r="W171" s="83" t="str">
        <f>IFERROR(VLOOKUP(T171,Database!$A$2:$L$189,9,FALSE),"-")</f>
        <v>-</v>
      </c>
      <c r="X171" s="209" t="str">
        <f>IFERROR(VLOOKUP(T171,Database!$A$2:$S$189,19,FALSE),"-")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IFERROR(VLOOKUP(Y171,Database!$A$2:$L$189,8,FALSE),"-")</f>
        <v>-</v>
      </c>
      <c r="AA171" s="79" t="str">
        <f>IFERROR(VLOOKUP(Y171,Database!$A$2:$L$189,6,FALSE),"-")</f>
        <v>-</v>
      </c>
      <c r="AB171" s="92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4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4" t="s">
        <v>116</v>
      </c>
      <c r="B1" t="s">
        <v>131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</row>
    <row r="2" spans="1:13" x14ac:dyDescent="0.3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6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6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6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6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6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6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6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6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6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6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6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6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6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6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6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6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6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6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6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6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6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6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6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6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6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6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6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6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6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6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">
      <c r="A32" s="24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>
        <f>ankomster!O32</f>
        <v>5</v>
      </c>
      <c r="I32" t="str">
        <f>IFERROR(VLOOKUP(H32,Database!$A$2:$L$189,2,FALSE),"-")</f>
        <v>Birgitte Poulsen</v>
      </c>
      <c r="J32" s="76" t="str">
        <f>ankomster!T32</f>
        <v>-</v>
      </c>
      <c r="K32" t="str">
        <f>IFERROR(VLOOKUP(J32,Database!$A$2:$L$189,2,FALSE),"-")</f>
        <v>-</v>
      </c>
      <c r="L32" t="str">
        <f>ankomster!Y32</f>
        <v>-</v>
      </c>
      <c r="M32" t="str">
        <f>IFERROR(VLOOKUP(L32,Database!$A$2:$L$189,2,FALSE),"-")</f>
        <v>-</v>
      </c>
    </row>
    <row r="33" spans="1:13" x14ac:dyDescent="0.3">
      <c r="A33" s="24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6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6" t="str">
        <f>ankomster!T34</f>
        <v>-</v>
      </c>
      <c r="K34" t="str">
        <f>IFERROR(VLOOKUP(J34,Database!$A$2:$L$189,2,FALSE),"-")</f>
        <v>-</v>
      </c>
      <c r="L34">
        <f>ankomster!Y34</f>
        <v>99</v>
      </c>
      <c r="M34" t="str">
        <f>IFERROR(VLOOKUP(L34,Database!$A$2:$L$189,2,FALSE),"-")</f>
        <v>Torben Sømberg</v>
      </c>
    </row>
    <row r="35" spans="1:13" x14ac:dyDescent="0.3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6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6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6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6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6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6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6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6" t="str">
        <f>ankomster!T42</f>
        <v>-</v>
      </c>
      <c r="K42" t="str">
        <f>IFERROR(VLOOKUP(J42,Database!$A$2:$L$189,2,FALSE),"-")</f>
        <v>-</v>
      </c>
      <c r="L42">
        <f>ankomster!Y42</f>
        <v>119</v>
      </c>
      <c r="M42" t="str">
        <f>IFERROR(VLOOKUP(L42,Database!$A$2:$L$189,2,FALSE),"-")</f>
        <v>Thomas Negrini</v>
      </c>
    </row>
    <row r="43" spans="1:13" x14ac:dyDescent="0.3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6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>
        <f>ankomster!J44</f>
        <v>17</v>
      </c>
      <c r="G44" t="str">
        <f>IFERROR(VLOOKUP(F44,Database!$A$2:$L$189,2,FALSE),"-")</f>
        <v>Lars Thaarbøl</v>
      </c>
      <c r="H44" t="str">
        <f>ankomster!O44</f>
        <v>-</v>
      </c>
      <c r="I44" t="str">
        <f>IFERROR(VLOOKUP(H44,Database!$A$2:$L$189,2,FALSE),"-")</f>
        <v>-</v>
      </c>
      <c r="J44" s="76">
        <f>ankomster!T44</f>
        <v>15</v>
      </c>
      <c r="K44" t="str">
        <f>IFERROR(VLOOKUP(J44,Database!$A$2:$L$189,2,FALSE),"-")</f>
        <v>Niels Kaalund</v>
      </c>
      <c r="L44" t="str">
        <f>ankomster!Y44</f>
        <v>-</v>
      </c>
      <c r="M44" t="str">
        <f>IFERROR(VLOOKUP(L44,Database!$A$2:$L$189,2,FALSE),"-")</f>
        <v>-</v>
      </c>
    </row>
    <row r="45" spans="1:13" x14ac:dyDescent="0.3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 t="str">
        <f>ankomster!J45</f>
        <v>-</v>
      </c>
      <c r="G45" t="str">
        <f>IFERROR(VLOOKUP(F45,Database!$A$2:$L$189,2,FALSE),"-")</f>
        <v>-</v>
      </c>
      <c r="H45">
        <f>ankomster!O45</f>
        <v>18</v>
      </c>
      <c r="I45" t="str">
        <f>IFERROR(VLOOKUP(H45,Database!$A$2:$L$189,2,FALSE),"-")</f>
        <v>Dorte Strøm</v>
      </c>
      <c r="J45" s="76" t="str">
        <f>ankomster!T45</f>
        <v>-</v>
      </c>
      <c r="K45" t="str">
        <f>IFERROR(VLOOKUP(J45,Database!$A$2:$L$189,2,FALSE),"-")</f>
        <v>-</v>
      </c>
      <c r="L45">
        <f>ankomster!Y45</f>
        <v>16</v>
      </c>
      <c r="M45" t="str">
        <f>IFERROR(VLOOKUP(L45,Database!$A$2:$L$189,2,FALSE),"-")</f>
        <v>Gitte Horup</v>
      </c>
    </row>
    <row r="46" spans="1:13" x14ac:dyDescent="0.3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6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6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6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6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6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IFERROR(VLOOKUP(D51,Database!$A$2:$L$189,2,FALSE),"-")</f>
        <v>-</v>
      </c>
      <c r="F51">
        <f>ankomster!J51</f>
        <v>127</v>
      </c>
      <c r="G51" t="str">
        <f>IFERROR(VLOOKUP(F51,Database!$A$2:$L$189,2,FALSE),"-")</f>
        <v>Niels Kjøller</v>
      </c>
      <c r="H51" t="str">
        <f>ankomster!O51</f>
        <v>-</v>
      </c>
      <c r="I51" t="str">
        <f>IFERROR(VLOOKUP(H51,Database!$A$2:$L$189,2,FALSE),"-")</f>
        <v>-</v>
      </c>
      <c r="J51" s="76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6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6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6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6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6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6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IFERROR(VLOOKUP(D58,Database!$A$2:$L$189,2,FALSE),"-")</f>
        <v>-</v>
      </c>
      <c r="F58">
        <f>ankomster!J58</f>
        <v>112</v>
      </c>
      <c r="G58" t="str">
        <f>IFERROR(VLOOKUP(F58,Database!$A$2:$L$189,2,FALSE),"-")</f>
        <v>Jytte Nielsen</v>
      </c>
      <c r="H58" t="str">
        <f>ankomster!O58</f>
        <v>-</v>
      </c>
      <c r="I58" t="str">
        <f>IFERROR(VLOOKUP(H58,Database!$A$2:$L$189,2,FALSE),"-")</f>
        <v>-</v>
      </c>
      <c r="J58" s="76" t="str">
        <f>ankomster!T58</f>
        <v>-</v>
      </c>
      <c r="K58" t="str">
        <f>IFERROR(VLOOKUP(J58,Database!$A$2:$L$189,2,FALSE),"-")</f>
        <v>-</v>
      </c>
      <c r="L58">
        <f>ankomster!Y58</f>
        <v>37</v>
      </c>
      <c r="M58" t="str">
        <f>IFERROR(VLOOKUP(L58,Database!$A$2:$L$189,2,FALSE),"-")</f>
        <v>Lene Fuglevig</v>
      </c>
    </row>
    <row r="59" spans="1:13" x14ac:dyDescent="0.3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6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6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">
      <c r="A61" s="24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6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">
      <c r="A62" s="24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6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6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">
      <c r="A64" s="24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6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6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6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6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6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6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6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6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6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6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6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6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6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6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6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6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6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6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">
      <c r="A82" s="24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6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">
      <c r="A83" s="24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6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6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6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6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6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6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6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6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 t="str">
        <f>ankomster!J91</f>
        <v>-</v>
      </c>
      <c r="G91" t="str">
        <f>IFERROR(VLOOKUP(F91,Database!$A$2:$L$189,2,FALSE),"-")</f>
        <v>-</v>
      </c>
      <c r="H91" t="str">
        <f>ankomster!O91</f>
        <v>-</v>
      </c>
      <c r="I91" t="str">
        <f>IFERROR(VLOOKUP(H91,Database!$A$2:$L$189,2,FALSE),"-")</f>
        <v>-</v>
      </c>
      <c r="J91" s="76" t="str">
        <f>ankomster!T91</f>
        <v>-</v>
      </c>
      <c r="K91" t="str">
        <f>IFERROR(VLOOKUP(J91,Database!$A$2:$L$189,2,FALSE),"-")</f>
        <v>-</v>
      </c>
      <c r="L91">
        <f>ankomster!Y91</f>
        <v>49</v>
      </c>
      <c r="M91" t="str">
        <f>IFERROR(VLOOKUP(L91,Database!$A$2:$L$189,2,FALSE),"-")</f>
        <v>Jens Olesen</v>
      </c>
    </row>
    <row r="92" spans="1:13" x14ac:dyDescent="0.3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6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>
        <f>ankomster!J93</f>
        <v>30</v>
      </c>
      <c r="G93" t="str">
        <f>IFERROR(VLOOKUP(F93,Database!$A$2:$L$189,2,FALSE),"-")</f>
        <v>Annemarie Muller</v>
      </c>
      <c r="H93" t="str">
        <f>ankomster!O93</f>
        <v>-</v>
      </c>
      <c r="I93" t="str">
        <f>IFERROR(VLOOKUP(H93,Database!$A$2:$L$189,2,FALSE),"-")</f>
        <v>-</v>
      </c>
      <c r="J93" s="76" t="str">
        <f>ankomster!T93</f>
        <v>-</v>
      </c>
      <c r="K93" t="str">
        <f>IFERROR(VLOOKUP(J93,Database!$A$2:$L$189,2,FALSE),"-")</f>
        <v>-</v>
      </c>
      <c r="L93" t="str">
        <f>ankomster!Y93</f>
        <v>-</v>
      </c>
      <c r="M93" t="str">
        <f>IFERROR(VLOOKUP(L93,Database!$A$2:$L$189,2,FALSE),"-")</f>
        <v>-</v>
      </c>
    </row>
    <row r="94" spans="1:13" x14ac:dyDescent="0.3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6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6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6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6" t="str">
        <f>ankomster!T97</f>
        <v>-</v>
      </c>
      <c r="K97" t="str">
        <f>IFERROR(VLOOKUP(J97,Database!$A$2:$L$189,2,FALSE),"-")</f>
        <v>-</v>
      </c>
      <c r="L97" t="str">
        <f>ankomster!Y97</f>
        <v>-</v>
      </c>
      <c r="M97" t="str">
        <f>IFERROR(VLOOKUP(L97,Database!$A$2:$L$189,2,FALSE),"-")</f>
        <v>-</v>
      </c>
    </row>
    <row r="98" spans="1:13" x14ac:dyDescent="0.3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6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6" t="str">
        <f>ankomster!T99</f>
        <v>-</v>
      </c>
      <c r="K99" t="str">
        <f>IFERROR(VLOOKUP(J99,Database!$A$2:$L$189,2,FALSE),"-")</f>
        <v>-</v>
      </c>
      <c r="L99" t="str">
        <f>ankomster!Y99</f>
        <v>-</v>
      </c>
      <c r="M99" t="str">
        <f>IFERROR(VLOOKUP(L99,Database!$A$2:$L$189,2,FALSE),"-")</f>
        <v>-</v>
      </c>
    </row>
    <row r="100" spans="1:13" x14ac:dyDescent="0.3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6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6" t="str">
        <f>ankomster!T101</f>
        <v>-</v>
      </c>
      <c r="K101" t="str">
        <f>IFERROR(VLOOKUP(J101,Database!$A$2:$L$189,2,FALSE),"-")</f>
        <v>-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6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6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6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6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6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6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6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6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6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6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6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6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6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">
      <c r="A115" s="24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6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6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6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6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6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6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6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6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6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6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6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6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IFERROR(VLOOKUP(D127,Database!$A$2:$L$189,2,FALSE),"-")</f>
        <v>-</v>
      </c>
      <c r="F127" t="str">
        <f>ankomster!J127</f>
        <v>-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6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6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>
        <f>ankomster!J129</f>
        <v>126</v>
      </c>
      <c r="G129" t="str">
        <f>IFERROR(VLOOKUP(F129,Database!$A$2:$L$189,2,FALSE),"-")</f>
        <v>Birgitte Poulsen</v>
      </c>
      <c r="H129" t="str">
        <f>ankomster!O129</f>
        <v>-</v>
      </c>
      <c r="I129" t="str">
        <f>IFERROR(VLOOKUP(H129,Database!$A$2:$L$189,2,FALSE),"-")</f>
        <v>-</v>
      </c>
      <c r="J129" s="76" t="str">
        <f>ankomster!T129</f>
        <v>-</v>
      </c>
      <c r="K129" t="str">
        <f>IFERROR(VLOOKUP(J129,Database!$A$2:$L$189,2,FALSE),"-")</f>
        <v>-</v>
      </c>
      <c r="L129" t="str">
        <f>ankomster!Y129</f>
        <v>-</v>
      </c>
      <c r="M129" t="str">
        <f>IFERROR(VLOOKUP(L129,Database!$A$2:$L$189,2,FALSE),"-")</f>
        <v>-</v>
      </c>
    </row>
    <row r="130" spans="1:13" x14ac:dyDescent="0.3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6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 t="str">
        <f>ankomster!O131</f>
        <v>-</v>
      </c>
      <c r="I131" t="str">
        <f>IFERROR(VLOOKUP(H131,Database!$A$2:$L$189,2,FALSE),"-")</f>
        <v>-</v>
      </c>
      <c r="J131" s="76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6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IFERROR(VLOOKUP(D133,Database!$A$2:$L$189,2,FALSE),"-")</f>
        <v>-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6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6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6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6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">
      <c r="A137" s="24">
        <v>46274</v>
      </c>
      <c r="B137" t="str">
        <f>ankomster!A137</f>
        <v>onsdag</v>
      </c>
      <c r="C137" t="str">
        <f>ankomster!D137</f>
        <v>Y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>
        <f>ankomster!O137</f>
        <v>134</v>
      </c>
      <c r="I137" t="str">
        <f>IFERROR(VLOOKUP(H137,Database!$A$2:$L$189,2,FALSE),"-")</f>
        <v>Linda Sjöström</v>
      </c>
      <c r="J137" s="76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 t="str">
        <f>ankomster!O138</f>
        <v>-</v>
      </c>
      <c r="I138" t="str">
        <f>IFERROR(VLOOKUP(H138,Database!$A$2:$L$189,2,FALSE),"-")</f>
        <v>-</v>
      </c>
      <c r="J138" s="76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6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6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6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6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6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6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6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">
      <c r="A146" s="24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6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6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 t="str">
        <f>ankomster!O148</f>
        <v>-</v>
      </c>
      <c r="I148" t="str">
        <f>IFERROR(VLOOKUP(H148,Database!$A$2:$L$189,2,FALSE),"-")</f>
        <v>-</v>
      </c>
      <c r="J148" s="76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6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6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6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6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6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6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6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6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6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6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6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6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6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6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6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6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6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6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6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6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6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6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6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6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6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6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">
      <c r="A100">
        <f>Database!A113</f>
        <v>99</v>
      </c>
      <c r="B100" s="2" t="str">
        <f>Database!Q113</f>
        <v>Y</v>
      </c>
      <c r="C100" s="2">
        <f t="shared" si="3"/>
        <v>2</v>
      </c>
      <c r="D100" s="2">
        <f>IF(B100="Y",Database!K113,"-")</f>
        <v>1</v>
      </c>
      <c r="E100" s="2">
        <f>IF(AND(D100&gt;1,B100="Y"),Database!L113/D100,Database!L113)</f>
        <v>2</v>
      </c>
    </row>
    <row r="101" spans="1:5" x14ac:dyDescent="0.3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">
      <c r="A113">
        <f>Database!A126</f>
        <v>112</v>
      </c>
      <c r="B113" s="2" t="str">
        <f>Database!Q126</f>
        <v>Y</v>
      </c>
      <c r="C113" s="2">
        <f t="shared" si="3"/>
        <v>2</v>
      </c>
      <c r="D113" s="2">
        <f>IF(B113="Y",Database!K126,"-")</f>
        <v>1</v>
      </c>
      <c r="E113" s="2">
        <f>IF(AND(D113&gt;1,B113="Y"),Database!L126/D113,Database!L126)</f>
        <v>2</v>
      </c>
    </row>
    <row r="114" spans="1:5" x14ac:dyDescent="0.3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">
      <c r="A128">
        <f>Database!A142</f>
        <v>127</v>
      </c>
      <c r="B128" s="2" t="str">
        <f>Database!Q142</f>
        <v>N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1</v>
      </c>
    </row>
    <row r="129" spans="1:5" x14ac:dyDescent="0.3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">
      <c r="A135">
        <f>Database!A149</f>
        <v>134</v>
      </c>
      <c r="B135" s="2" t="str">
        <f>Database!Q149</f>
        <v>Y</v>
      </c>
      <c r="C135" s="2">
        <f t="shared" si="4"/>
        <v>2</v>
      </c>
      <c r="D135" s="2">
        <f>IF(B135="Y",Database!K149,"-")</f>
        <v>1</v>
      </c>
      <c r="E135" s="2">
        <f>IF(AND(D135&gt;1,B135="Y"),Database!L149/D135,Database!L149)</f>
        <v>2</v>
      </c>
    </row>
    <row r="136" spans="1:5" x14ac:dyDescent="0.3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">
      <c r="A139">
        <f>Database!A153</f>
        <v>0</v>
      </c>
      <c r="B139" s="2">
        <f>Database!Q153</f>
        <v>0</v>
      </c>
      <c r="C139" s="2" t="str">
        <f t="shared" si="4"/>
        <v>-</v>
      </c>
      <c r="D139" s="2" t="str">
        <f>IF(B139="Y",Database!K153,"-")</f>
        <v>-</v>
      </c>
      <c r="E139" s="2">
        <f>IF(AND(D139&gt;1,B139="Y"),Database!L153/D139,Database!L153)</f>
        <v>0</v>
      </c>
    </row>
    <row r="140" spans="1:5" x14ac:dyDescent="0.3">
      <c r="A140">
        <f>Database!A154</f>
        <v>0</v>
      </c>
      <c r="B140" s="2">
        <f>Database!Q154</f>
        <v>0</v>
      </c>
      <c r="C140" s="2" t="str">
        <f t="shared" si="4"/>
        <v>-</v>
      </c>
      <c r="D140" s="2" t="str">
        <f>IF(B140="Y",Database!K154,"-")</f>
        <v>-</v>
      </c>
      <c r="E140" s="2">
        <f>IF(AND(D140&gt;1,B140="Y"),Database!L154/D140,Database!L154)</f>
        <v>0</v>
      </c>
    </row>
    <row r="141" spans="1:5" x14ac:dyDescent="0.3">
      <c r="A141">
        <f>Database!A155</f>
        <v>0</v>
      </c>
      <c r="B141" s="2">
        <f>Database!Q155</f>
        <v>0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0</v>
      </c>
    </row>
    <row r="142" spans="1:5" x14ac:dyDescent="0.3">
      <c r="A142">
        <f>Database!A156</f>
        <v>0</v>
      </c>
      <c r="B142" s="2">
        <f>Database!Q156</f>
        <v>0</v>
      </c>
      <c r="C142" s="2" t="str">
        <f t="shared" si="4"/>
        <v>-</v>
      </c>
      <c r="D142" s="2" t="str">
        <f>IF(B142="Y",Database!K156,"-")</f>
        <v>-</v>
      </c>
      <c r="E142" s="2">
        <f>IF(AND(D142&gt;1,B142="Y"),Database!L156/D142,Database!L156)</f>
        <v>0</v>
      </c>
    </row>
    <row r="143" spans="1:5" x14ac:dyDescent="0.3">
      <c r="A143">
        <f>Database!A157</f>
        <v>0</v>
      </c>
      <c r="B143" s="2">
        <f>Database!Q157</f>
        <v>0</v>
      </c>
      <c r="C143" s="2" t="str">
        <f t="shared" si="4"/>
        <v>-</v>
      </c>
      <c r="D143" s="2" t="str">
        <f>IF(B143="Y",Database!K157,"-")</f>
        <v>-</v>
      </c>
      <c r="E143" s="2">
        <f>IF(AND(D143&gt;1,B143="Y"),Database!L157/D143,Database!L157)</f>
        <v>0</v>
      </c>
    </row>
    <row r="144" spans="1:5" x14ac:dyDescent="0.3">
      <c r="A144">
        <f>Database!A158</f>
        <v>0</v>
      </c>
      <c r="B144" s="2">
        <f>Database!Q158</f>
        <v>0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0</v>
      </c>
    </row>
    <row r="145" spans="1:5" x14ac:dyDescent="0.3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290</v>
      </c>
      <c r="M3">
        <f>SUM(J2:J200)</f>
        <v>289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8" t="str">
        <f>Database!G19</f>
        <v>FM</v>
      </c>
      <c r="C16" s="189">
        <f>Database!C19</f>
        <v>46181</v>
      </c>
      <c r="D16" s="189">
        <f>Database!D19</f>
        <v>46188</v>
      </c>
      <c r="E16" s="188">
        <f t="shared" si="0"/>
        <v>7</v>
      </c>
      <c r="F16" s="188">
        <f>Database!K19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">
      <c r="A17">
        <f>Database!A20</f>
        <v>16</v>
      </c>
      <c r="B17" s="188" t="str">
        <f>Database!G20</f>
        <v>FM</v>
      </c>
      <c r="C17" s="189">
        <f>Database!C20</f>
        <v>46182</v>
      </c>
      <c r="D17" s="189">
        <f>Database!D20</f>
        <v>46188</v>
      </c>
      <c r="E17" s="188">
        <f t="shared" si="0"/>
        <v>6</v>
      </c>
      <c r="F17" s="188">
        <f>Database!K20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">
      <c r="A18">
        <f>Database!A22</f>
        <v>17</v>
      </c>
      <c r="B18" s="188" t="str">
        <f>Database!G22</f>
        <v>FM</v>
      </c>
      <c r="C18" s="189">
        <f>Database!C22</f>
        <v>46181</v>
      </c>
      <c r="D18" s="189">
        <f>Database!D22</f>
        <v>46188</v>
      </c>
      <c r="E18" s="188">
        <f t="shared" si="0"/>
        <v>7</v>
      </c>
      <c r="F18" s="188">
        <f>Database!K22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">
      <c r="A19">
        <f>Database!A23</f>
        <v>18</v>
      </c>
      <c r="B19" s="188" t="str">
        <f>Database!G23</f>
        <v>FM</v>
      </c>
      <c r="C19" s="189">
        <f>Database!C23</f>
        <v>46182</v>
      </c>
      <c r="D19" s="189">
        <f>Database!D23</f>
        <v>46187</v>
      </c>
      <c r="E19" s="188">
        <f t="shared" si="0"/>
        <v>5</v>
      </c>
      <c r="F19" s="188">
        <f>Database!K23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Database!A113</f>
        <v>99</v>
      </c>
      <c r="B100" t="str">
        <f>Database!G113</f>
        <v>web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Database!A126</f>
        <v>112</v>
      </c>
      <c r="B113" t="str">
        <f>Database!G126</f>
        <v>bc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Database!A142</f>
        <v>127</v>
      </c>
      <c r="B128" t="str">
        <f>Database!G142</f>
        <v>bc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Database!A149</f>
        <v>134</v>
      </c>
      <c r="B135" t="str">
        <f>Database!G149</f>
        <v>bc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1</v>
      </c>
      <c r="G135">
        <f t="shared" si="9"/>
        <v>3</v>
      </c>
      <c r="I135">
        <f t="shared" si="10"/>
        <v>0</v>
      </c>
      <c r="J135">
        <f t="shared" si="11"/>
        <v>3</v>
      </c>
    </row>
    <row r="136" spans="1:10" x14ac:dyDescent="0.3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Database!A153</f>
        <v>0</v>
      </c>
      <c r="B139">
        <f>Database!G153</f>
        <v>0</v>
      </c>
      <c r="C139" s="5">
        <f>Database!C153</f>
        <v>0</v>
      </c>
      <c r="D139" s="5">
        <f>Database!D153</f>
        <v>0</v>
      </c>
      <c r="E139">
        <f t="shared" si="8"/>
        <v>0</v>
      </c>
      <c r="F139">
        <f>Database!K153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">
      <c r="A140">
        <f>Database!A154</f>
        <v>0</v>
      </c>
      <c r="B140">
        <f>Database!G154</f>
        <v>0</v>
      </c>
      <c r="C140" s="5">
        <f>Database!C154</f>
        <v>0</v>
      </c>
      <c r="D140" s="5">
        <f>Database!D154</f>
        <v>0</v>
      </c>
      <c r="E140">
        <f t="shared" si="8"/>
        <v>0</v>
      </c>
      <c r="F140">
        <f>Database!K154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">
      <c r="A141">
        <f>Database!A155</f>
        <v>0</v>
      </c>
      <c r="B141">
        <f>Database!G155</f>
        <v>0</v>
      </c>
      <c r="C141" s="5">
        <f>Database!C155</f>
        <v>0</v>
      </c>
      <c r="D141" s="5">
        <f>Database!D155</f>
        <v>0</v>
      </c>
      <c r="E141">
        <f t="shared" si="8"/>
        <v>0</v>
      </c>
      <c r="F141">
        <f>Database!K155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">
      <c r="A142">
        <f>Database!A156</f>
        <v>0</v>
      </c>
      <c r="B142">
        <f>Database!G156</f>
        <v>0</v>
      </c>
      <c r="C142" s="5">
        <f>Database!C156</f>
        <v>0</v>
      </c>
      <c r="D142" s="5">
        <f>Database!D156</f>
        <v>0</v>
      </c>
      <c r="E142">
        <f t="shared" si="8"/>
        <v>0</v>
      </c>
      <c r="F142">
        <f>Database!K156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">
      <c r="A143">
        <f>Database!A157</f>
        <v>0</v>
      </c>
      <c r="B143">
        <f>Database!G157</f>
        <v>0</v>
      </c>
      <c r="C143" s="5">
        <f>Database!C157</f>
        <v>0</v>
      </c>
      <c r="D143" s="5">
        <f>Database!D157</f>
        <v>0</v>
      </c>
      <c r="E143">
        <f t="shared" si="8"/>
        <v>0</v>
      </c>
      <c r="F143">
        <f>Database!K157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">
      <c r="A144">
        <f>Database!A158</f>
        <v>0</v>
      </c>
      <c r="B144">
        <f>Database!G158</f>
        <v>0</v>
      </c>
      <c r="C144" s="5">
        <f>Database!C158</f>
        <v>0</v>
      </c>
      <c r="D144" s="5">
        <f>Database!D158</f>
        <v>0</v>
      </c>
      <c r="E144">
        <f t="shared" si="8"/>
        <v>0</v>
      </c>
      <c r="F144">
        <f>Database!K158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7" customWidth="1"/>
    <col min="4" max="14" width="3.5546875" style="2" customWidth="1"/>
  </cols>
  <sheetData>
    <row r="1" spans="1:14" ht="15" customHeight="1" thickBot="1" x14ac:dyDescent="0.35">
      <c r="A1" s="74" t="str">
        <f>booking!C1</f>
        <v>dato</v>
      </c>
      <c r="B1" s="214" t="s">
        <v>473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">
      <c r="A19" s="5">
        <f>booking!C19</f>
        <v>46156</v>
      </c>
      <c r="B19" s="6" t="s">
        <v>222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">
      <c r="A29" s="5">
        <f>booking!C29</f>
        <v>46166</v>
      </c>
      <c r="B29" s="6" t="s">
        <v>223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">
      <c r="A30" s="5">
        <f>booking!C30</f>
        <v>46167</v>
      </c>
      <c r="B30" s="6" t="s">
        <v>224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oc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va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">
      <c r="A33" s="5">
        <f>booking!C33</f>
        <v>46170</v>
      </c>
      <c r="B33" s="6"/>
      <c r="C33" s="130" t="str">
        <f>IF(booking!D33&gt;0,"oc","va")</f>
        <v>oc</v>
      </c>
      <c r="D33" s="131" t="str">
        <f>IF(booking!E33&gt;0,"oc","va")</f>
        <v>oc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va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">
      <c r="A34" s="5">
        <f>booking!C34</f>
        <v>46171</v>
      </c>
      <c r="B34" s="6"/>
      <c r="C34" s="130" t="str">
        <f>IF(booking!D34&gt;0,"oc","va")</f>
        <v>oc</v>
      </c>
      <c r="D34" s="131" t="str">
        <f>IF(booking!E34&gt;0,"oc","va")</f>
        <v>oc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">
      <c r="A35" s="5">
        <f>booking!C35</f>
        <v>46172</v>
      </c>
      <c r="B35" s="6" t="s">
        <v>433</v>
      </c>
      <c r="C35" s="130" t="str">
        <f>IF(booking!D35&gt;0,"oc","va")</f>
        <v>oc</v>
      </c>
      <c r="D35" s="131" t="str">
        <f>IF(booking!E35&gt;0,"oc","va")</f>
        <v>oc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">
      <c r="A36" s="5">
        <f>booking!C36</f>
        <v>46173</v>
      </c>
      <c r="B36" s="6"/>
      <c r="C36" s="130" t="str">
        <f>IF(booking!D36&gt;0,"oc","va")</f>
        <v>oc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oc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oc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oc</v>
      </c>
      <c r="I57" s="130" t="str">
        <f>IF(booking!P57&gt;0,"oc","va")</f>
        <v>va</v>
      </c>
      <c r="J57" s="131" t="str">
        <f>IF(booking!Q57&gt;0,"oc","va")</f>
        <v>oc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oc</v>
      </c>
      <c r="H58" s="131" t="str">
        <f>IF(booking!M58&gt;0,"oc","va")</f>
        <v>oc</v>
      </c>
      <c r="I58" s="130" t="str">
        <f>IF(booking!P58&gt;0,"oc","va")</f>
        <v>oc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oc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oc</v>
      </c>
      <c r="H59" s="131" t="str">
        <f>IF(booking!M59&gt;0,"oc","va")</f>
        <v>oc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oc</v>
      </c>
      <c r="L59" s="131" t="str">
        <f>IF(booking!U59&gt;0,"oc","va")</f>
        <v>oc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oc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va</v>
      </c>
      <c r="K60" s="130" t="str">
        <f>IF(booking!T60&gt;0,"oc","va")</f>
        <v>oc</v>
      </c>
      <c r="L60" s="131" t="str">
        <f>IF(booking!U60&gt;0,"oc","va")</f>
        <v>oc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oc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va</v>
      </c>
      <c r="J61" s="131" t="str">
        <f>IF(booking!Q61&gt;0,"oc","va")</f>
        <v>va</v>
      </c>
      <c r="K61" s="130" t="str">
        <f>IF(booking!T61&gt;0,"oc","va")</f>
        <v>oc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">
      <c r="A62" s="5">
        <f>booking!C62</f>
        <v>46199</v>
      </c>
      <c r="B62" s="6"/>
      <c r="C62" s="130" t="str">
        <f>IF(booking!D62&gt;0,"oc","va")</f>
        <v>oc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va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oc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oc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oc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">
      <c r="A66" s="5">
        <f>booking!C66</f>
        <v>46203</v>
      </c>
      <c r="B66" s="6"/>
      <c r="C66" s="130" t="str">
        <f>IF(booking!D66&gt;0,"oc","va")</f>
        <v>oc</v>
      </c>
      <c r="D66" s="131" t="str">
        <f>IF(booking!E66&gt;0,"oc","va")</f>
        <v>oc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">
      <c r="A67" s="5">
        <f>booking!C67</f>
        <v>46204</v>
      </c>
      <c r="B67" s="6"/>
      <c r="C67" s="130" t="str">
        <f>IF(booking!D67&gt;0,"oc","va")</f>
        <v>oc</v>
      </c>
      <c r="D67" s="131" t="str">
        <f>IF(booking!E67&gt;0,"oc","va")</f>
        <v>oc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">
      <c r="A68" s="5">
        <f>booking!C68</f>
        <v>46205</v>
      </c>
      <c r="B68" s="6"/>
      <c r="C68" s="130" t="str">
        <f>IF(booking!D68&gt;0,"oc","va")</f>
        <v>oc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oc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oc</v>
      </c>
      <c r="H83" s="131" t="str">
        <f>IF(booking!M83&gt;0,"oc","va")</f>
        <v>oc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oc</v>
      </c>
      <c r="G84" s="130" t="str">
        <f>IF(booking!L84&gt;0,"oc","va")</f>
        <v>oc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oc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va</v>
      </c>
    </row>
    <row r="86" spans="1:14" x14ac:dyDescent="0.3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va</v>
      </c>
      <c r="N86" s="131" t="str">
        <f>IF(booking!Y86&gt;0,"oc","va")</f>
        <v>va</v>
      </c>
    </row>
    <row r="87" spans="1:14" x14ac:dyDescent="0.3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va</v>
      </c>
      <c r="N87" s="131" t="str">
        <f>IF(booking!Y87&gt;0,"oc","va")</f>
        <v>va</v>
      </c>
    </row>
    <row r="88" spans="1:14" x14ac:dyDescent="0.3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va</v>
      </c>
      <c r="N88" s="131" t="str">
        <f>IF(booking!Y88&gt;0,"oc","va")</f>
        <v>va</v>
      </c>
    </row>
    <row r="89" spans="1:14" x14ac:dyDescent="0.3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va</v>
      </c>
      <c r="N89" s="131" t="str">
        <f>IF(booking!Y89&gt;0,"oc","va")</f>
        <v>va</v>
      </c>
    </row>
    <row r="90" spans="1:14" x14ac:dyDescent="0.3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oc</v>
      </c>
      <c r="G90" s="130" t="str">
        <f>IF(booking!L90&gt;0,"oc","va")</f>
        <v>oc</v>
      </c>
      <c r="H90" s="131" t="str">
        <f>IF(booking!M90&gt;0,"oc","va")</f>
        <v>va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va</v>
      </c>
      <c r="N90" s="131" t="str">
        <f>IF(booking!Y90&gt;0,"oc","va")</f>
        <v>va</v>
      </c>
    </row>
    <row r="91" spans="1:14" x14ac:dyDescent="0.3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oc</v>
      </c>
      <c r="F91" s="131" t="str">
        <f>IF(booking!I91&gt;0,"oc","va")</f>
        <v>va</v>
      </c>
      <c r="G91" s="130" t="str">
        <f>IF(booking!L91&gt;0,"oc","va")</f>
        <v>va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oc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oc</v>
      </c>
      <c r="F116" s="131" t="str">
        <f>IF(booking!I116&gt;0,"oc","va")</f>
        <v>oc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oc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oc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oc</v>
      </c>
      <c r="H138" s="131" t="str">
        <f>IF(booking!M138&gt;0,"oc","va")</f>
        <v>oc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oc</v>
      </c>
      <c r="H139" s="131" t="str">
        <f>IF(booking!M139&gt;0,"oc","va")</f>
        <v>oc</v>
      </c>
      <c r="I139" s="130" t="str">
        <f>IF(booking!P139&gt;0,"oc","va")</f>
        <v>va</v>
      </c>
      <c r="J139" s="131" t="str">
        <f>IF(booking!Q139&gt;0,"oc","va")</f>
        <v>oc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oc</v>
      </c>
      <c r="H140" s="131" t="str">
        <f>IF(booking!M140&gt;0,"oc","va")</f>
        <v>oc</v>
      </c>
      <c r="I140" s="130" t="str">
        <f>IF(booking!P140&gt;0,"oc","va")</f>
        <v>oc</v>
      </c>
      <c r="J140" s="131" t="str">
        <f>IF(booking!Q140&gt;0,"oc","va")</f>
        <v>oc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oc</v>
      </c>
      <c r="J141" s="131" t="str">
        <f>IF(booking!Q141&gt;0,"oc","va")</f>
        <v>oc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oc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oc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oc</v>
      </c>
      <c r="F143" s="131" t="str">
        <f>IF(booking!I143&gt;0,"oc","va")</f>
        <v>oc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oc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oc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oc</v>
      </c>
      <c r="J145" s="131" t="str">
        <f>IF(booking!Q145&gt;0,"oc","va")</f>
        <v>va</v>
      </c>
      <c r="K145" s="130" t="str">
        <f>IF(booking!T145&gt;0,"oc","va")</f>
        <v>oc</v>
      </c>
      <c r="L145" s="131" t="str">
        <f>IF(booking!U145&gt;0,"oc","va")</f>
        <v>oc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va</v>
      </c>
      <c r="J146" s="131" t="str">
        <f>IF(booking!Q146&gt;0,"oc","va")</f>
        <v>va</v>
      </c>
      <c r="K146" s="130" t="str">
        <f>IF(booking!T146&gt;0,"oc","va")</f>
        <v>oc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va</v>
      </c>
      <c r="J147" s="131" t="str">
        <f>IF(booking!Q147&gt;0,"oc","va")</f>
        <v>va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va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">
      <c r="A172" s="5"/>
      <c r="B172" s="5"/>
      <c r="D172" s="17"/>
    </row>
    <row r="173" spans="1:14" x14ac:dyDescent="0.3">
      <c r="A173" s="5"/>
      <c r="B173" s="5"/>
      <c r="D173" s="17"/>
    </row>
    <row r="174" spans="1:14" x14ac:dyDescent="0.3">
      <c r="A174" s="5"/>
      <c r="B174" s="5"/>
      <c r="D174" s="17"/>
    </row>
    <row r="175" spans="1:14" x14ac:dyDescent="0.3">
      <c r="A175" s="5"/>
      <c r="B175" s="5"/>
      <c r="D175" s="17"/>
    </row>
    <row r="176" spans="1:14" x14ac:dyDescent="0.3">
      <c r="A176" s="5"/>
      <c r="B176" s="5"/>
      <c r="D176" s="17"/>
    </row>
    <row r="177" spans="1:4" x14ac:dyDescent="0.3">
      <c r="A177" s="5"/>
      <c r="B177" s="5"/>
      <c r="D177" s="17"/>
    </row>
    <row r="178" spans="1:4" x14ac:dyDescent="0.3">
      <c r="A178" s="5"/>
      <c r="B178" s="5"/>
      <c r="D178" s="17"/>
    </row>
    <row r="179" spans="1:4" x14ac:dyDescent="0.3">
      <c r="A179" s="5"/>
      <c r="B179" s="5"/>
      <c r="D179" s="17"/>
    </row>
    <row r="180" spans="1:4" x14ac:dyDescent="0.3">
      <c r="A180" s="5"/>
      <c r="B180" s="5"/>
      <c r="D180" s="17"/>
    </row>
    <row r="181" spans="1:4" x14ac:dyDescent="0.3">
      <c r="A181" s="5"/>
      <c r="B181" s="5"/>
      <c r="D181" s="17"/>
    </row>
    <row r="182" spans="1:4" x14ac:dyDescent="0.3">
      <c r="A182" s="5"/>
      <c r="B182" s="5"/>
      <c r="D182" s="17"/>
    </row>
    <row r="183" spans="1:4" x14ac:dyDescent="0.3">
      <c r="A183" s="5"/>
      <c r="B183" s="5"/>
      <c r="D183" s="17"/>
    </row>
    <row r="184" spans="1:4" x14ac:dyDescent="0.3">
      <c r="A184" s="5"/>
      <c r="B184" s="5"/>
      <c r="D184" s="17"/>
    </row>
    <row r="185" spans="1:4" x14ac:dyDescent="0.3">
      <c r="A185" s="5"/>
      <c r="B185" s="5"/>
      <c r="D185" s="17"/>
    </row>
    <row r="186" spans="1:4" x14ac:dyDescent="0.3">
      <c r="A186" s="5"/>
      <c r="B186" s="5"/>
      <c r="D186" s="17"/>
    </row>
    <row r="187" spans="1:4" x14ac:dyDescent="0.3">
      <c r="A187" s="5"/>
      <c r="B187" s="5"/>
      <c r="D187" s="17"/>
    </row>
    <row r="188" spans="1:4" x14ac:dyDescent="0.3">
      <c r="A188" s="5"/>
      <c r="B188" s="5"/>
      <c r="D188" s="17"/>
    </row>
    <row r="189" spans="1:4" x14ac:dyDescent="0.3">
      <c r="A189" s="5"/>
      <c r="B189" s="5"/>
      <c r="D189" s="17"/>
    </row>
    <row r="190" spans="1:4" x14ac:dyDescent="0.3">
      <c r="A190" s="5"/>
      <c r="B190" s="5"/>
      <c r="D190" s="17"/>
    </row>
    <row r="191" spans="1:4" x14ac:dyDescent="0.3">
      <c r="A191" s="5"/>
      <c r="B191" s="5"/>
      <c r="D191" s="17"/>
    </row>
    <row r="192" spans="1:4" x14ac:dyDescent="0.3">
      <c r="A192" s="5"/>
      <c r="B192" s="5"/>
      <c r="D192" s="17"/>
    </row>
    <row r="193" spans="1:4" x14ac:dyDescent="0.3">
      <c r="A193" s="5"/>
      <c r="B193" s="5"/>
      <c r="D193" s="17"/>
    </row>
    <row r="194" spans="1:4" x14ac:dyDescent="0.3">
      <c r="A194" s="5"/>
      <c r="B194" s="5"/>
      <c r="D194" s="17"/>
    </row>
    <row r="195" spans="1:4" x14ac:dyDescent="0.3">
      <c r="A195" s="5"/>
      <c r="B195" s="5"/>
      <c r="D195" s="17"/>
    </row>
    <row r="196" spans="1:4" x14ac:dyDescent="0.3">
      <c r="A196" s="5"/>
      <c r="B196" s="5"/>
      <c r="D196" s="17"/>
    </row>
    <row r="197" spans="1:4" x14ac:dyDescent="0.3">
      <c r="A197" s="5"/>
      <c r="B197" s="5"/>
      <c r="D197" s="17"/>
    </row>
    <row r="198" spans="1:4" x14ac:dyDescent="0.3">
      <c r="A198" s="5"/>
      <c r="B198" s="5"/>
      <c r="D198" s="17"/>
    </row>
    <row r="199" spans="1:4" x14ac:dyDescent="0.3">
      <c r="A199" s="5"/>
      <c r="B199" s="5"/>
      <c r="D199" s="17"/>
    </row>
    <row r="200" spans="1:4" x14ac:dyDescent="0.3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2026-05-25T15:21:42Z</cp:lastPrinted>
  <dcterms:created xsi:type="dcterms:W3CDTF">2024-07-25T07:35:10Z</dcterms:created>
  <dcterms:modified xsi:type="dcterms:W3CDTF">2026-05-25T15:21:46Z</dcterms:modified>
  <cp:category/>
  <cp:contentStatus/>
</cp:coreProperties>
</file>
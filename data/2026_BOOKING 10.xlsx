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38" documentId="8_{AC379FEE-905F-41E2-9E84-8018E4E04006}" xr6:coauthVersionLast="47" xr6:coauthVersionMax="47" xr10:uidLastSave="{2236C9E3-C884-46AB-9A5E-FCC8A0755ACB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<sst xmlns="http://schemas.openxmlformats.org/spreadsheetml/2006/main" count="1684" uniqueCount="557">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</sst>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5"/>
  <sheetViews>
    <sheetView workbookViewId="0">
      <pane ySplit="1" topLeftCell="A160" activePane="bottomLeft" state="frozen"/>
      <selection pane="bottomLeft" activeCell="T178" sqref="T178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">
      <c r="A174" s="2">
        <v>160</v>
      </c>
      <c r="B174" t="s">
        <v>555</v>
      </c>
      <c r="C174" s="192">
        <v>46240</v>
      </c>
      <c r="D174" s="192">
        <v>46243</v>
      </c>
      <c r="E174" s="192">
        <v>46237</v>
      </c>
      <c r="F174" t="s">
        <v>20</v>
      </c>
      <c r="G174" t="s">
        <v>35</v>
      </c>
      <c r="H174"/>
      <c r="I174"/>
      <c r="J174" s="205">
        <v>0</v>
      </c>
      <c r="K174">
        <v>1</v>
      </c>
      <c r="L174">
        <v>2</v>
      </c>
      <c r="N174"/>
      <c r="O174"/>
      <c r="P174" s="2" t="s">
        <v>20</v>
      </c>
      <c r="Q174" s="2" t="s">
        <v>21</v>
      </c>
      <c r="R174" s="122">
        <v>3825</v>
      </c>
      <c r="S174" s="2" t="s">
        <v>20</v>
      </c>
    </row>
    <row r="175" spans="1:20" x14ac:dyDescent="0.3">
      <c r="A175" s="2">
        <v>161</v>
      </c>
      <c r="B175" t="s">
        <v>556</v>
      </c>
      <c r="C175" s="192">
        <v>46269</v>
      </c>
      <c r="D175" s="192">
        <v>46271</v>
      </c>
      <c r="E175" s="192">
        <v>46245</v>
      </c>
      <c r="F175" t="s">
        <v>52</v>
      </c>
      <c r="G175" t="s">
        <v>35</v>
      </c>
      <c r="H175"/>
      <c r="I175"/>
      <c r="J175" s="205">
        <v>0</v>
      </c>
      <c r="K175">
        <v>1</v>
      </c>
      <c r="L175">
        <v>2</v>
      </c>
      <c r="N175"/>
      <c r="O175"/>
      <c r="P175" s="2" t="s">
        <v>20</v>
      </c>
      <c r="Q175" s="2" t="s">
        <v>20</v>
      </c>
      <c r="R175" s="122">
        <v>1900</v>
      </c>
      <c r="S175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161</v>
      </c>
      <c r="B162" s="22">
        <f>Database!E175</f>
        <v>46245</v>
      </c>
      <c r="C162">
        <f>IF(Database!G175="cansl",0,Database!K175)</f>
        <v>1</v>
      </c>
      <c r="D162">
        <f>Database!D175-Database!C175</f>
        <v>2</v>
      </c>
      <c r="F162">
        <f>Database!L175</f>
        <v>2</v>
      </c>
      <c r="G162" t="str">
        <f>Database!F175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2</v>
      </c>
      <c r="AS162">
        <f t="shared" si="136"/>
        <v>2</v>
      </c>
      <c r="AT162">
        <f t="shared" si="136"/>
        <v>2</v>
      </c>
      <c r="AU162">
        <f t="shared" si="136"/>
        <v>2</v>
      </c>
      <c r="AV162">
        <f t="shared" si="136"/>
        <v>2</v>
      </c>
      <c r="AW162">
        <f t="shared" si="136"/>
        <v>2</v>
      </c>
      <c r="AX162">
        <f t="shared" si="136"/>
        <v>2</v>
      </c>
      <c r="BB162" s="32">
        <f t="shared" si="110"/>
        <v>2</v>
      </c>
      <c r="BC162" s="32">
        <f t="shared" si="111"/>
        <v>4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205</v>
      </c>
      <c r="BC196" s="32">
        <f t="shared" si="167"/>
        <v>844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634</v>
      </c>
      <c r="AS198">
        <f t="shared" si="168"/>
        <v>634</v>
      </c>
      <c r="AT198">
        <f t="shared" si="168"/>
        <v>634</v>
      </c>
      <c r="AU198">
        <f t="shared" si="168"/>
        <v>634</v>
      </c>
      <c r="AV198">
        <f t="shared" si="168"/>
        <v>634</v>
      </c>
      <c r="AW198">
        <f t="shared" si="168"/>
        <v>634</v>
      </c>
      <c r="AX198">
        <f t="shared" si="168"/>
        <v>634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205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844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205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844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44" activePane="bottomLeft" state="frozen"/>
      <selection pane="bottomLeft" activeCell="E121" sqref="E121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610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/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160</v>
      </c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160</v>
      </c>
      <c r="Q133" s="8">
        <v>160</v>
      </c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160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N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>
        <f>IF(AND(D132="Y",booking!P132&lt;&gt;booking!Q132,booking!Q132&gt;0),booking!Q132,"-")</f>
        <v>160</v>
      </c>
      <c r="U132" s="76">
        <f>IFERROR(VLOOKUP(T132,Database!$A$2:$L$188,8,FALSE),"-")</f>
        <v>0</v>
      </c>
      <c r="V132" s="76" t="str">
        <f>IFERROR(VLOOKUP(T132,Database!$A$2:$L$188,6,FALSE),"-")</f>
        <v>N</v>
      </c>
      <c r="W132" s="80">
        <f>IFERROR(VLOOKUP(T132,Database!$A$2:$L$188,9,FALSE),"-")</f>
        <v>0</v>
      </c>
      <c r="X132" s="203" t="str">
        <f>IFERROR(VLOOKUP(T132,Database!$A$2:$S$188,19,FALSE),"-")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>
        <f>ankomster!T132</f>
        <v>160</v>
      </c>
      <c r="K132" t="str">
        <f>IFERROR(VLOOKUP(J132,Database!$A$2:$L$188,2,FALSE),"-")</f>
        <v>Trond Haagensen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">
      <c r="A162">
        <f>Database!A175</f>
        <v>161</v>
      </c>
      <c r="B162" s="2" t="str">
        <f>Database!Q175</f>
        <v>N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2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317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">
      <c r="A162">
        <f>Database!A175</f>
        <v>161</v>
      </c>
      <c r="B162" t="str">
        <f>Database!G175</f>
        <v>bc</v>
      </c>
      <c r="C162" s="5">
        <f>Database!C175</f>
        <v>46269</v>
      </c>
      <c r="D162" s="5">
        <f>Database!D175</f>
        <v>46271</v>
      </c>
      <c r="E162">
        <f t="shared" si="8"/>
        <v>2</v>
      </c>
      <c r="F162">
        <f>Database!K175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2026-08-18T10:00:32Z</dcterms:modified>
  <cp:category/>
  <cp:contentStatus/>
</cp:coreProperties>
</file>
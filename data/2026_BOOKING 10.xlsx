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35" documentId="8_{CBF31231-0F4D-4AAA-8243-F4B7D6A71111}" xr6:coauthVersionLast="47" xr6:coauthVersionMax="47" xr10:uidLastSave="{61DC0F16-626F-465D-B4C8-1CE4438AC935}"/>
  <bookViews>
    <workbookView xWindow="-108" yWindow="-108" windowWidth="23256" windowHeight="13176" firstSheet="1" activeTab="6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Ark1" sheetId="12" r:id="rId6"/>
    <sheet name="Ark2" sheetId="13" r:id="rId7"/>
    <sheet name="rengoering" sheetId="6" state="hidden" r:id="rId8"/>
    <sheet name="ankomster" sheetId="7" state="hidden" r:id="rId9"/>
    <sheet name="ankomst navn" sheetId="11" state="hidden" r:id="rId10"/>
    <sheet name="bf_calc" sheetId="8" state="hidden" r:id="rId11"/>
    <sheet name="web calc" sheetId="10" state="hidden" r:id="rId12"/>
    <sheet name="book_simp" sheetId="9" state="hidden" r:id="rId13"/>
  </sheets>
  <definedNames>
    <definedName name="EksterneData_1" localSheetId="0" hidden="1">book!$A$1:$S$145</definedName>
    <definedName name="_xlnm.Print_Area" localSheetId="8">ankomster!$A$1:$AB$171</definedName>
    <definedName name="_xlnm.Print_Area" localSheetId="4">booking!$A$1:$AD$169</definedName>
    <definedName name="_xlnm.Print_Titles" localSheetId="8">ankomster!$1:$1</definedName>
    <definedName name="_xlnm.Print_Titles" localSheetId="4">booking!$1:$1</definedName>
    <definedName name="_xlnm.Print_Titles" localSheetId="7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AE200" i="3"/>
  <c r="AD200" i="3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S128" i="3"/>
  <c r="BT128" i="3"/>
  <c r="BU128" i="3"/>
  <c r="BV128" i="3"/>
  <c r="BW128" i="3"/>
  <c r="BX128" i="3"/>
  <c r="BY128" i="3"/>
  <c r="BN129" i="3"/>
  <c r="BL129" i="3" s="1"/>
  <c r="BO129" i="3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28" i="3" l="1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132" i="3"/>
  <c r="BM131" i="3"/>
  <c r="BM129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128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S126" i="3" l="1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89" i="3" l="1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G33" i="7" l="1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<sst xmlns="http://schemas.openxmlformats.org/spreadsheetml/2006/main" count="1394" uniqueCount="490">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</sst>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4" bestFit="1" customWidth="1"/>
    <col min="4" max="4" width="10.88671875" style="24" bestFit="1" customWidth="1"/>
    <col min="5" max="5" width="13.5546875" style="24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">
      <c r="C12" s="113"/>
      <c r="D12" s="113"/>
      <c r="E12" s="113"/>
    </row>
    <row r="84" spans="1:19" x14ac:dyDescent="0.3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6"/>
  <sheetViews>
    <sheetView workbookViewId="0">
      <pane ySplit="1" topLeftCell="A108" activePane="bottomLeft" state="frozen"/>
      <selection pane="bottomLeft" activeCell="S126" sqref="S126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4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203"/>
    <col min="13" max="13" width="25.21875" customWidth="1"/>
    <col min="14" max="14" width="13.88671875" style="151" bestFit="1" customWidth="1"/>
    <col min="15" max="15" width="16.109375" style="2" customWidth="1"/>
    <col min="16" max="16" width="8.5546875" style="2"/>
    <col min="17" max="17" width="8.5546875" style="2" customWidth="1"/>
    <col min="18" max="18" width="12.77734375" style="125" bestFit="1" customWidth="1"/>
    <col min="19" max="19" width="8.77734375" style="2"/>
    <col min="20" max="20" width="15.5546875" customWidth="1"/>
    <col min="21" max="21" width="11.6640625" bestFit="1" customWidth="1"/>
  </cols>
  <sheetData>
    <row r="1" spans="1:21" ht="20.100000000000001" customHeight="1" x14ac:dyDescent="0.3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4" x14ac:dyDescent="0.3"/>
  <cols>
    <col min="1" max="1" width="6.5546875" bestFit="1" customWidth="1"/>
    <col min="2" max="2" width="8.5546875" style="24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4">
        <f t="shared" ref="BB196:BY196" si="167">SUM(BB2:BB195)</f>
        <v>171</v>
      </c>
      <c r="BC196" s="34">
        <f t="shared" si="167"/>
        <v>703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532</v>
      </c>
      <c r="AF198">
        <f t="shared" si="168"/>
        <v>532</v>
      </c>
      <c r="AG198">
        <f t="shared" si="168"/>
        <v>532</v>
      </c>
      <c r="AH198">
        <f t="shared" si="168"/>
        <v>532</v>
      </c>
      <c r="AI198">
        <f t="shared" si="168"/>
        <v>532</v>
      </c>
      <c r="AJ198">
        <f t="shared" si="168"/>
        <v>532</v>
      </c>
      <c r="AK198">
        <f t="shared" si="168"/>
        <v>532</v>
      </c>
      <c r="AL198">
        <f t="shared" si="168"/>
        <v>532</v>
      </c>
      <c r="AM198">
        <f t="shared" si="168"/>
        <v>532</v>
      </c>
      <c r="AN198">
        <f t="shared" si="168"/>
        <v>532</v>
      </c>
      <c r="AO198">
        <f t="shared" si="168"/>
        <v>532</v>
      </c>
      <c r="AP198">
        <f t="shared" si="168"/>
        <v>532</v>
      </c>
      <c r="AQ198">
        <f t="shared" si="168"/>
        <v>532</v>
      </c>
      <c r="AR198">
        <f t="shared" si="168"/>
        <v>532</v>
      </c>
      <c r="AS198">
        <f t="shared" si="168"/>
        <v>532</v>
      </c>
      <c r="AT198">
        <f t="shared" si="168"/>
        <v>532</v>
      </c>
      <c r="AU198">
        <f t="shared" si="168"/>
        <v>532</v>
      </c>
      <c r="AV198">
        <f t="shared" si="168"/>
        <v>532</v>
      </c>
      <c r="AW198">
        <f t="shared" si="168"/>
        <v>532</v>
      </c>
      <c r="AX198">
        <f t="shared" si="168"/>
        <v>532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532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703</v>
      </c>
      <c r="BE203" s="40">
        <f>BE196</f>
        <v>67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25" workbookViewId="0">
      <selection activeCell="P35" sqref="P35"/>
    </sheetView>
  </sheetViews>
  <sheetFormatPr defaultRowHeight="14.4" x14ac:dyDescent="0.3"/>
  <sheetData>
    <row r="28" spans="1:13" ht="15" customHeight="1" thickBot="1" x14ac:dyDescent="0.35">
      <c r="A28" t="s">
        <v>154</v>
      </c>
      <c r="H28" t="s">
        <v>109</v>
      </c>
      <c r="J28" s="2"/>
    </row>
    <row r="29" spans="1:13" ht="15" thickBot="1" x14ac:dyDescent="0.35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35">
      <c r="A30" s="33" t="s">
        <v>112</v>
      </c>
      <c r="B30" s="34">
        <f>'book stat'!BD202</f>
        <v>171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35">
      <c r="A31" s="39" t="s">
        <v>113</v>
      </c>
      <c r="B31" s="34">
        <f>'book stat'!BD203</f>
        <v>703</v>
      </c>
      <c r="C31" s="34">
        <f>'book stat'!BE203</f>
        <v>67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10" activePane="bottomLeft" state="frozen"/>
      <selection pane="bottomLeft" activeCell="R33" sqref="R33:R35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4" customWidth="1"/>
    <col min="28" max="29" width="4.5546875" style="2" customWidth="1"/>
    <col min="30" max="30" width="8" style="17" customWidth="1"/>
  </cols>
  <sheetData>
    <row r="1" spans="1:30" s="6" customFormat="1" ht="30" customHeight="1" thickBot="1" x14ac:dyDescent="0.35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546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288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90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>
        <v>128</v>
      </c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>
        <v>128</v>
      </c>
      <c r="Q33" s="114">
        <v>128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2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">
      <c r="A34" s="6"/>
      <c r="B34" s="6" t="s">
        <v>126</v>
      </c>
      <c r="C34" s="7">
        <v>46171</v>
      </c>
      <c r="D34" s="8"/>
      <c r="E34" s="8"/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14">
        <v>128</v>
      </c>
      <c r="Q34" s="114">
        <v>128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4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14">
        <v>128</v>
      </c>
      <c r="Q35" s="114">
        <v>128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4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128</v>
      </c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489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7">
        <v>2</v>
      </c>
      <c r="O57" s="20"/>
      <c r="P57" s="8"/>
      <c r="Q57" s="8"/>
      <c r="R57" s="117"/>
      <c r="S57" s="117"/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8"/>
      <c r="M58" s="8"/>
      <c r="N58" s="20"/>
      <c r="O58" s="20"/>
      <c r="P58" s="8"/>
      <c r="Q58" s="157">
        <v>37</v>
      </c>
      <c r="R58" s="117"/>
      <c r="S58" s="117"/>
      <c r="T58" s="142">
        <v>86</v>
      </c>
      <c r="U58" s="114"/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7">
        <v>37</v>
      </c>
      <c r="Q59" s="157">
        <v>37</v>
      </c>
      <c r="R59" s="117">
        <v>2</v>
      </c>
      <c r="S59" s="117"/>
      <c r="T59" s="114"/>
      <c r="U59" s="114"/>
      <c r="V59" s="20"/>
      <c r="W59" s="20"/>
      <c r="X59" s="22"/>
      <c r="Y59" s="22"/>
      <c r="Z59" s="138">
        <f t="shared" si="2"/>
        <v>4</v>
      </c>
      <c r="AA59" s="133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7">
        <v>37</v>
      </c>
      <c r="Q60" s="157">
        <v>37</v>
      </c>
      <c r="R60" s="117">
        <v>2</v>
      </c>
      <c r="S60" s="117"/>
      <c r="T60" s="114"/>
      <c r="U60" s="114"/>
      <c r="V60" s="20"/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57">
        <v>37</v>
      </c>
      <c r="Q61" s="8">
        <v>64</v>
      </c>
      <c r="R61" s="117">
        <v>2</v>
      </c>
      <c r="S61" s="20" t="s">
        <v>159</v>
      </c>
      <c r="T61" s="114"/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226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35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35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35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35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35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35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T35 V34:Y36 T34:U34 T36:U36 D116:N123 O2:Y32 J2:N18 O37:Y91 N99:N107 D99:M115 D92:Y98 O99:Y123 I11:I18 D16:H33 I19:N33 D124:Y171 D36:H52 I36:N57 D34:N35 Q34:S36 O33:P36 Q33:Y3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57E5E-B852-42D7-BFF3-D6B14A1744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5DA81-885D-447F-B131-A94596479F69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4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4" customFormat="1" ht="19.350000000000001" customHeight="1" thickBot="1" x14ac:dyDescent="0.4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35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35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35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35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35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35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35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35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35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35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35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35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35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" customHeight="1" thickBot="1" x14ac:dyDescent="0.35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35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35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35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35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35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35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35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35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35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35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35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35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35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35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35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35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35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35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35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35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35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35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35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35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35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35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35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35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35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35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35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35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35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35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35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35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35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35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35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35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35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35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35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DK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-</v>
      </c>
    </row>
    <row r="59" spans="1:13" ht="15" customHeight="1" thickBot="1" x14ac:dyDescent="0.35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35">
      <c r="A60" t="str">
        <f>booking!B60</f>
        <v>onsdag</v>
      </c>
      <c r="B60" s="24">
        <f>booking!C60</f>
        <v>46197</v>
      </c>
      <c r="C60" s="2" t="str">
        <f>IF(booking!AC60&gt;0,"Y","-")</f>
        <v>-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-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-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35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udc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-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35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35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35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35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35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35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35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35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35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35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35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35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35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35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35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35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35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35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35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35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35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35">
      <c r="A83" t="str">
        <f>booking!B83</f>
        <v>fredag</v>
      </c>
      <c r="B83" s="24">
        <f>booking!C83</f>
        <v>46220</v>
      </c>
      <c r="C83" s="2" t="str">
        <f>IF(booking!AC83&gt;0,"Y","-")</f>
        <v>-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-</v>
      </c>
      <c r="I83" s="49" t="str">
        <f>IFERROR(IF(AND(booking!AB83&gt;0,booking!L83&lt;&gt;booking!M83),VLOOKUP(booking!M83,Database!$A$1:'Database'!$L$175,6,FALSE),"-"),"-")</f>
        <v>-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35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-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CH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35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CZ</v>
      </c>
      <c r="H85" s="53" t="str">
        <f>IF(AND(booking!L85&lt;&gt;booking!M85,booking!L85&gt;0),"udc","-")</f>
        <v>-</v>
      </c>
      <c r="I85" s="49" t="str">
        <f>IFERROR(IF(AND(booking!AB85&gt;0,booking!L85&lt;&gt;booking!M85),VLOOKUP(booking!M85,Database!$A$1:'Database'!$L$175,6,FALSE),"-"),"-")</f>
        <v>-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35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35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35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35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35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udc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-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35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-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udc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35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35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35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35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35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35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35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35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35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35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35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35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35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35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35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35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35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35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35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35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35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35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35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35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35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35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35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35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35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35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35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35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35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35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>
        <f>IFERROR(IF(AND(booking!AB125&gt;0,booking!P125&lt;&gt;booking!Q125),VLOOKUP(booking!Q125,Database!$A$1:'Database'!$L$175,6,FALSE),"-"),"-")</f>
        <v>0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35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35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35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35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35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35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35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35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35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35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35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35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35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35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35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35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35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35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35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35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35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35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35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35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>
        <f>IFERROR(IF(AND(booking!AB149&gt;0,booking!T149&lt;&gt;booking!U149),VLOOKUP(booking!U149,Database!$A$1:'Database'!$L$175,6,FALSE),"-"),"-")</f>
        <v>0</v>
      </c>
    </row>
    <row r="150" spans="1:13" ht="15" customHeight="1" thickBot="1" x14ac:dyDescent="0.35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35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35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35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35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35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35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35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35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35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35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35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35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35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35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35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35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35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35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35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35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35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1" width="7.44140625" bestFit="1" customWidth="1"/>
    <col min="2" max="2" width="8.109375" style="24" bestFit="1" customWidth="1"/>
    <col min="3" max="3" width="2.44140625" customWidth="1"/>
    <col min="4" max="5" width="3.77734375" style="2" bestFit="1" customWidth="1"/>
    <col min="6" max="6" width="4.77734375" bestFit="1" customWidth="1"/>
    <col min="7" max="7" width="5" style="77" bestFit="1" customWidth="1"/>
    <col min="8" max="8" width="5.109375" style="77" bestFit="1" customWidth="1"/>
    <col min="9" max="9" width="4.77734375" bestFit="1" customWidth="1"/>
    <col min="10" max="10" width="3.77734375" bestFit="1" customWidth="1"/>
    <col min="11" max="11" width="4.77734375" style="77" bestFit="1" customWidth="1"/>
    <col min="12" max="12" width="5" style="77" bestFit="1" customWidth="1"/>
    <col min="13" max="13" width="5.109375" style="77" bestFit="1" customWidth="1"/>
    <col min="14" max="14" width="6.21875" bestFit="1" customWidth="1"/>
    <col min="15" max="15" width="3.77734375" bestFit="1" customWidth="1"/>
    <col min="16" max="16" width="4.77734375" style="77" bestFit="1" customWidth="1"/>
    <col min="17" max="17" width="5" style="77" bestFit="1" customWidth="1"/>
    <col min="18" max="18" width="7.21875" style="77" bestFit="1" customWidth="1"/>
    <col min="19" max="19" width="4.77734375" bestFit="1" customWidth="1"/>
    <col min="20" max="20" width="3.77734375" style="76" bestFit="1" customWidth="1"/>
    <col min="21" max="21" width="4.77734375" style="77" bestFit="1" customWidth="1"/>
    <col min="22" max="22" width="5" style="77" bestFit="1" customWidth="1"/>
    <col min="23" max="23" width="4.77734375" style="77" bestFit="1" customWidth="1"/>
    <col min="24" max="24" width="4.77734375" bestFit="1" customWidth="1"/>
    <col min="25" max="25" width="2.88671875" bestFit="1" customWidth="1"/>
    <col min="26" max="26" width="4.77734375" style="77" bestFit="1" customWidth="1"/>
    <col min="27" max="27" width="5" style="77" bestFit="1" customWidth="1"/>
    <col min="28" max="28" width="5.109375" style="77" bestFit="1" customWidth="1"/>
    <col min="29" max="29" width="4.77734375" bestFit="1" customWidth="1"/>
  </cols>
  <sheetData>
    <row r="1" spans="1:29" ht="20.100000000000001" customHeight="1" thickBot="1" x14ac:dyDescent="0.35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35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35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35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35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35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35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35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35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35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35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35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35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35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35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35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35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35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35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35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35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35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35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35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35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35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35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35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35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35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35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35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>
        <f>IF(AND(D32="Y",booking!P32&lt;&gt;booking!Q32,booking!Q32&gt;0),booking!Q32,"-")</f>
        <v>128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35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35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0</v>
      </c>
      <c r="L34" s="78" t="str">
        <f>IFERROR(VLOOKUP(J34,Database!$A$2:$L$175,6,FALSE),"-")</f>
        <v>DK</v>
      </c>
      <c r="M34" s="93">
        <f>IFERROR(VLOOKUP(J34,Database!$A$2:$L$175,9,FALSE),"-")</f>
        <v>0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35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35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35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35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35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35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35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35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35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35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35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35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35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35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35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35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35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35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35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35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35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35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35">
      <c r="A57" s="88" t="str">
        <f>rengoering!A57</f>
        <v>søndag</v>
      </c>
      <c r="B57" s="84">
        <v>46194</v>
      </c>
      <c r="C57" s="9"/>
      <c r="D57" s="89" t="str">
        <f>IF(booking!AB57&gt;0,"Y","-")</f>
        <v>-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 t="str">
        <f>IF(AND(D57="Y",booking!L57&lt;&gt;booking!M57,booking!M57&gt;0),booking!M57,"-")</f>
        <v>-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 t="str">
        <f>IF(AND(D57="Y",booking!P57&lt;&gt;booking!Q57,booking!Q57&gt;0),booking!Q57,"-")</f>
        <v>-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35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>
        <f>IF(AND(D58="Y",booking!P58&lt;&gt;booking!Q58,booking!Q58&gt;0),booking!Q58,"-")</f>
        <v>37</v>
      </c>
      <c r="U58" s="78" t="str">
        <f>IFERROR(VLOOKUP(T58,Database!$A$2:$L$175,8,FALSE),"-")</f>
        <v>1430</v>
      </c>
      <c r="V58" s="78" t="str">
        <f>IFERROR(VLOOKUP(T58,Database!$A$2:$L$175,6,FALSE),"-")</f>
        <v>DK</v>
      </c>
      <c r="W58" s="82">
        <f>IFERROR(VLOOKUP(T58,Database!$A$2:$L$175,9,FALSE),"-")</f>
        <v>0</v>
      </c>
      <c r="X58" s="209" t="str">
        <f>IFERROR(VLOOKUP(T58,Database!$A$2:$S$175,19,FALSE),"-")</f>
        <v>N</v>
      </c>
      <c r="Y58" s="96" t="str">
        <f>IF(AND(D58="Y",booking!T58&lt;&gt;booking!U58,booking!U58&gt;0),booking!U58,"-")</f>
        <v>-</v>
      </c>
      <c r="Z58" s="79" t="str">
        <f>IFERROR(VLOOKUP(Y58,Database!$A$2:$L$175,8,FALSE),"-")</f>
        <v>-</v>
      </c>
      <c r="AA58" s="79" t="str">
        <f>IFERROR(VLOOKUP(Y58,Database!$A$2:$L$175,6,FALSE),"-")</f>
        <v>-</v>
      </c>
      <c r="AB58" s="92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35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35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35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35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35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35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35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35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35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35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35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35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35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35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35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35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35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35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35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35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35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35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35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35">
      <c r="A82" s="88" t="str">
        <f>rengoering!A82</f>
        <v>torsdag</v>
      </c>
      <c r="B82" s="86">
        <v>46219</v>
      </c>
      <c r="C82" s="9"/>
      <c r="D82" s="89" t="str">
        <f>IF(booking!AB82&gt;0,"Y","-")</f>
        <v>-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 t="str">
        <f>IF(AND(D82="Y",booking!L82&lt;&gt;booking!M82,booking!M82&gt;0),booking!M82,"-")</f>
        <v>-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35">
      <c r="A83" s="88" t="str">
        <f>rengoering!A83</f>
        <v>fredag</v>
      </c>
      <c r="B83" s="84">
        <v>46220</v>
      </c>
      <c r="C83" s="9"/>
      <c r="D83" s="89" t="str">
        <f>IF(booking!AB83&gt;0,"Y","-")</f>
        <v>-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 t="str">
        <f>IF(AND(D83="Y",booking!L83&lt;&gt;booking!M83,booking!M83&gt;0),booking!M83,"-")</f>
        <v>-</v>
      </c>
      <c r="P83" s="78" t="str">
        <f>IFERROR(VLOOKUP(O83,Database!$A$2:$L$175,8,FALSE),"-")</f>
        <v>-</v>
      </c>
      <c r="Q83" s="78" t="str">
        <f>IFERROR(VLOOKUP(O83,Database!$A$2:$L$175,6,FALSE),"-")</f>
        <v>-</v>
      </c>
      <c r="R83" s="82" t="str">
        <f>IFERROR(VLOOKUP(O83,Database!$A$2:$L$175,9,FALSE),"-")</f>
        <v>-</v>
      </c>
      <c r="S83" s="209" t="str">
        <f>IFERROR(VLOOKUP(O83,Database!$A$2:$S$175,19,FALSE),"-")</f>
        <v>-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35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 t="str">
        <f>IF(AND(D84="Y",booking!H84&lt;&gt;booking!I84,booking!I84&gt;0),booking!I84,"-")</f>
        <v>-</v>
      </c>
      <c r="K84" s="78" t="str">
        <f>IFERROR(VLOOKUP(J84,Database!$A$2:$L$175,8,FALSE),"-")</f>
        <v>-</v>
      </c>
      <c r="L84" s="78" t="str">
        <f>IFERROR(VLOOKUP(J84,Database!$A$2:$L$175,6,FALSE),"-")</f>
        <v>-</v>
      </c>
      <c r="M84" s="93" t="str">
        <f>IFERROR(VLOOKUP(J84,Database!$A$2:$L$175,9,FALSE),"-")</f>
        <v>-</v>
      </c>
      <c r="N84" s="209" t="str">
        <f>IFERROR(VLOOKUP(J84,Database!$A$2:$S$175,19,FALSE),"-")</f>
        <v>-</v>
      </c>
      <c r="O84" s="96">
        <f>IF(AND(D84="Y",booking!L84&lt;&gt;booking!M84,booking!M84&gt;0),booking!M84,"-")</f>
        <v>38</v>
      </c>
      <c r="P84" s="78">
        <f>IFERROR(VLOOKUP(O84,Database!$A$2:$L$175,8,FALSE),"-")</f>
        <v>0</v>
      </c>
      <c r="Q84" s="78" t="str">
        <f>IFERROR(VLOOKUP(O84,Database!$A$2:$L$175,6,FALSE),"-")</f>
        <v>CH</v>
      </c>
      <c r="R84" s="82" t="str">
        <f>IFERROR(VLOOKUP(O84,Database!$A$2:$L$175,9,FALSE),"-")</f>
        <v>sing</v>
      </c>
      <c r="S84" s="209" t="str">
        <f>IFERROR(VLOOKUP(O84,Database!$A$2:$S$175,19,FALSE),"-")</f>
        <v>N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35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>
        <f>IF(AND(D85="Y",booking!H85&lt;&gt;booking!I85,booking!I85&gt;0),booking!I85,"-")</f>
        <v>44</v>
      </c>
      <c r="K85" s="78">
        <f>IFERROR(VLOOKUP(J85,Database!$A$2:$L$175,8,FALSE),"-")</f>
        <v>0</v>
      </c>
      <c r="L85" s="78" t="str">
        <f>IFERROR(VLOOKUP(J85,Database!$A$2:$L$175,6,FALSE),"-")</f>
        <v>CZ</v>
      </c>
      <c r="M85" s="93" t="str">
        <f>IFERROR(VLOOKUP(J85,Database!$A$2:$L$175,9,FALSE),"-")</f>
        <v>dobb</v>
      </c>
      <c r="N85" s="209" t="str">
        <f>IFERROR(VLOOKUP(J85,Database!$A$2:$S$175,19,FALSE),"-")</f>
        <v>N</v>
      </c>
      <c r="O85" s="96" t="str">
        <f>IF(AND(D85="Y",booking!L85&lt;&gt;booking!M85,booking!M85&gt;0),booking!M85,"-")</f>
        <v>-</v>
      </c>
      <c r="P85" s="78" t="str">
        <f>IFERROR(VLOOKUP(O85,Database!$A$2:$L$175,8,FALSE),"-")</f>
        <v>-</v>
      </c>
      <c r="Q85" s="78" t="str">
        <f>IFERROR(VLOOKUP(O85,Database!$A$2:$L$175,6,FALSE),"-")</f>
        <v>-</v>
      </c>
      <c r="R85" s="82" t="str">
        <f>IFERROR(VLOOKUP(O85,Database!$A$2:$L$175,9,FALSE),"-")</f>
        <v>-</v>
      </c>
      <c r="S85" s="209" t="str">
        <f>IFERROR(VLOOKUP(O85,Database!$A$2:$S$175,19,FALSE),"-")</f>
        <v>-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35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35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35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35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35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35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35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35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35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35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35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35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35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35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35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35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35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35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35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35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35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35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35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35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35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35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35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35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35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35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35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35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35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35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35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35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35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35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35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35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>
        <f>IFERROR(VLOOKUP(T125,Database!$A$2:$L$175,6,FALSE),"-")</f>
        <v>0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35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35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35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35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35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35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35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35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35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35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35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35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35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35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35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35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35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35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35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35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35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35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35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35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>
        <f>IFERROR(VLOOKUP(Y149,Database!$A$2:$L$175,6,FALSE),"-")</f>
        <v>0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35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35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35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35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35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35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35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35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35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35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35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35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35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35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35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35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35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35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35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35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35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35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4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>
        <f>ankomster!T32</f>
        <v>128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6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-</v>
      </c>
      <c r="F129">
        <f>ankomster!J129</f>
        <v>126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269</v>
      </c>
      <c r="M3">
        <f>SUM(J2:J200)</f>
        <v>263</v>
      </c>
    </row>
    <row r="4" spans="1:13" x14ac:dyDescent="0.3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7" customWidth="1"/>
    <col min="4" max="14" width="3.5546875" style="2" customWidth="1"/>
  </cols>
  <sheetData>
    <row r="1" spans="1:14" ht="15" customHeight="1" thickBot="1" x14ac:dyDescent="0.35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oc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oc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va</v>
      </c>
      <c r="I57" s="130" t="str">
        <f>IF(booking!P57&gt;0,"oc","va")</f>
        <v>va</v>
      </c>
      <c r="J57" s="131" t="str">
        <f>IF(booking!Q57&gt;0,"oc","va")</f>
        <v>va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va</v>
      </c>
      <c r="H58" s="131" t="str">
        <f>IF(booking!M58&gt;0,"oc","va")</f>
        <v>va</v>
      </c>
      <c r="I58" s="130" t="str">
        <f>IF(booking!P58&gt;0,"oc","va")</f>
        <v>va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va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va</v>
      </c>
      <c r="H59" s="131" t="str">
        <f>IF(booking!M59&gt;0,"oc","va")</f>
        <v>va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va</v>
      </c>
      <c r="L59" s="131" t="str">
        <f>IF(booking!U59&gt;0,"oc","va")</f>
        <v>va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va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oc</v>
      </c>
      <c r="K60" s="130" t="str">
        <f>IF(booking!T60&gt;0,"oc","va")</f>
        <v>va</v>
      </c>
      <c r="L60" s="131" t="str">
        <f>IF(booking!U60&gt;0,"oc","va")</f>
        <v>va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oc</v>
      </c>
      <c r="J61" s="131" t="str">
        <f>IF(booking!Q61&gt;0,"oc","va")</f>
        <v>oc</v>
      </c>
      <c r="K61" s="130" t="str">
        <f>IF(booking!T61&gt;0,"oc","va")</f>
        <v>va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va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va</v>
      </c>
      <c r="H83" s="131" t="str">
        <f>IF(booking!M83&gt;0,"oc","va")</f>
        <v>va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va</v>
      </c>
      <c r="G84" s="130" t="str">
        <f>IF(booking!L84&gt;0,"oc","va")</f>
        <v>va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va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va</v>
      </c>
      <c r="G90" s="130" t="str">
        <f>IF(booking!L90&gt;0,"oc","va")</f>
        <v>oc</v>
      </c>
      <c r="H90" s="131" t="str">
        <f>IF(booking!M90&gt;0,"oc","va")</f>
        <v>oc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va</v>
      </c>
      <c r="F91" s="131" t="str">
        <f>IF(booking!I91&gt;0,"oc","va")</f>
        <v>va</v>
      </c>
      <c r="G91" s="130" t="str">
        <f>IF(booking!L91&gt;0,"oc","va")</f>
        <v>oc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">
      <c r="A172" s="5"/>
      <c r="B172" s="5"/>
      <c r="D172" s="17"/>
    </row>
    <row r="173" spans="1:14" x14ac:dyDescent="0.3">
      <c r="A173" s="5"/>
      <c r="B173" s="5"/>
      <c r="D173" s="17"/>
    </row>
    <row r="174" spans="1:14" x14ac:dyDescent="0.3">
      <c r="A174" s="5"/>
      <c r="B174" s="5"/>
      <c r="D174" s="17"/>
    </row>
    <row r="175" spans="1:14" x14ac:dyDescent="0.3">
      <c r="A175" s="5"/>
      <c r="B175" s="5"/>
      <c r="D175" s="17"/>
    </row>
    <row r="176" spans="1:14" x14ac:dyDescent="0.3">
      <c r="A176" s="5"/>
      <c r="B176" s="5"/>
      <c r="D176" s="17"/>
    </row>
    <row r="177" spans="1:4" x14ac:dyDescent="0.3">
      <c r="A177" s="5"/>
      <c r="B177" s="5"/>
      <c r="D177" s="17"/>
    </row>
    <row r="178" spans="1:4" x14ac:dyDescent="0.3">
      <c r="A178" s="5"/>
      <c r="B178" s="5"/>
      <c r="D178" s="17"/>
    </row>
    <row r="179" spans="1:4" x14ac:dyDescent="0.3">
      <c r="A179" s="5"/>
      <c r="B179" s="5"/>
      <c r="D179" s="17"/>
    </row>
    <row r="180" spans="1:4" x14ac:dyDescent="0.3">
      <c r="A180" s="5"/>
      <c r="B180" s="5"/>
      <c r="D180" s="17"/>
    </row>
    <row r="181" spans="1:4" x14ac:dyDescent="0.3">
      <c r="A181" s="5"/>
      <c r="B181" s="5"/>
      <c r="D181" s="17"/>
    </row>
    <row r="182" spans="1:4" x14ac:dyDescent="0.3">
      <c r="A182" s="5"/>
      <c r="B182" s="5"/>
      <c r="D182" s="17"/>
    </row>
    <row r="183" spans="1:4" x14ac:dyDescent="0.3">
      <c r="A183" s="5"/>
      <c r="B183" s="5"/>
      <c r="D183" s="17"/>
    </row>
    <row r="184" spans="1:4" x14ac:dyDescent="0.3">
      <c r="A184" s="5"/>
      <c r="B184" s="5"/>
      <c r="D184" s="17"/>
    </row>
    <row r="185" spans="1:4" x14ac:dyDescent="0.3">
      <c r="A185" s="5"/>
      <c r="B185" s="5"/>
      <c r="D185" s="17"/>
    </row>
    <row r="186" spans="1:4" x14ac:dyDescent="0.3">
      <c r="A186" s="5"/>
      <c r="B186" s="5"/>
      <c r="D186" s="17"/>
    </row>
    <row r="187" spans="1:4" x14ac:dyDescent="0.3">
      <c r="A187" s="5"/>
      <c r="B187" s="5"/>
      <c r="D187" s="17"/>
    </row>
    <row r="188" spans="1:4" x14ac:dyDescent="0.3">
      <c r="A188" s="5"/>
      <c r="B188" s="5"/>
      <c r="D188" s="17"/>
    </row>
    <row r="189" spans="1:4" x14ac:dyDescent="0.3">
      <c r="A189" s="5"/>
      <c r="B189" s="5"/>
      <c r="D189" s="17"/>
    </row>
    <row r="190" spans="1:4" x14ac:dyDescent="0.3">
      <c r="A190" s="5"/>
      <c r="B190" s="5"/>
      <c r="D190" s="17"/>
    </row>
    <row r="191" spans="1:4" x14ac:dyDescent="0.3">
      <c r="A191" s="5"/>
      <c r="B191" s="5"/>
      <c r="D191" s="17"/>
    </row>
    <row r="192" spans="1:4" x14ac:dyDescent="0.3">
      <c r="A192" s="5"/>
      <c r="B192" s="5"/>
      <c r="D192" s="17"/>
    </row>
    <row r="193" spans="1:4" x14ac:dyDescent="0.3">
      <c r="A193" s="5"/>
      <c r="B193" s="5"/>
      <c r="D193" s="17"/>
    </row>
    <row r="194" spans="1:4" x14ac:dyDescent="0.3">
      <c r="A194" s="5"/>
      <c r="B194" s="5"/>
      <c r="D194" s="17"/>
    </row>
    <row r="195" spans="1:4" x14ac:dyDescent="0.3">
      <c r="A195" s="5"/>
      <c r="B195" s="5"/>
      <c r="D195" s="17"/>
    </row>
    <row r="196" spans="1:4" x14ac:dyDescent="0.3">
      <c r="A196" s="5"/>
      <c r="B196" s="5"/>
      <c r="D196" s="17"/>
    </row>
    <row r="197" spans="1:4" x14ac:dyDescent="0.3">
      <c r="A197" s="5"/>
      <c r="B197" s="5"/>
      <c r="D197" s="17"/>
    </row>
    <row r="198" spans="1:4" x14ac:dyDescent="0.3">
      <c r="A198" s="5"/>
      <c r="B198" s="5"/>
      <c r="D198" s="17"/>
    </row>
    <row r="199" spans="1:4" x14ac:dyDescent="0.3">
      <c r="A199" s="5"/>
      <c r="B199" s="5"/>
      <c r="D199" s="17"/>
    </row>
    <row r="200" spans="1:4" x14ac:dyDescent="0.3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13</vt:i4>
      </vt:variant>
      <vt:variant>
        <vt:lpstr>Navngivne områder</vt:lpstr>
      </vt:variant>
      <vt:variant>
        <vt:i4>5</vt:i4>
      </vt:variant>
    </vt:vector>
  </HeadingPairs>
  <TitlesOfParts>
    <vt:vector size="18" baseType="lpstr">
      <vt:lpstr>book</vt:lpstr>
      <vt:lpstr>Database</vt:lpstr>
      <vt:lpstr>book stat</vt:lpstr>
      <vt:lpstr>week by week</vt:lpstr>
      <vt:lpstr>booking</vt:lpstr>
      <vt:lpstr>Ark1</vt:lpstr>
      <vt:lpstr>Ark2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2026-05-11T13:59:34Z</cp:lastPrinted>
  <dcterms:created xsi:type="dcterms:W3CDTF">2024-07-25T07:35:10Z</dcterms:created>
  <dcterms:modified xsi:type="dcterms:W3CDTF">2026-05-12T08:00:16Z</dcterms:modified>
  <cp:category/>
  <cp:contentStatus/>
</cp:coreProperties>
</file>
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09" documentId="8_{AC379FEE-905F-41E2-9E84-8018E4E04006}" xr6:coauthVersionLast="47" xr6:coauthVersionMax="47" xr10:uidLastSave="{14BC82C4-0C4A-4EB5-A053-49D98E84A3CB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<sst xmlns="http://schemas.openxmlformats.org/spreadsheetml/2006/main" count="1639" uniqueCount="548">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</sst>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0"/>
  <sheetViews>
    <sheetView tabSelected="1" topLeftCell="I1" workbookViewId="0">
      <pane ySplit="1" topLeftCell="A160" activePane="bottomLeft" state="frozen"/>
      <selection pane="bottomLeft" activeCell="O173" sqref="O17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5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5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  <row r="170" spans="1:20" x14ac:dyDescent="0.35">
      <c r="A170" s="2">
        <v>155</v>
      </c>
      <c r="B170" t="s">
        <v>546</v>
      </c>
      <c r="C170" s="194">
        <v>46212</v>
      </c>
      <c r="D170" s="194">
        <v>46215</v>
      </c>
      <c r="E170" s="194">
        <v>46205</v>
      </c>
      <c r="F170" t="s">
        <v>52</v>
      </c>
      <c r="G170" s="2" t="s">
        <v>35</v>
      </c>
      <c r="H170"/>
      <c r="I170"/>
      <c r="J170" s="207">
        <v>0</v>
      </c>
      <c r="K170">
        <v>1</v>
      </c>
      <c r="L170">
        <v>1</v>
      </c>
      <c r="N170"/>
      <c r="O170"/>
      <c r="P170" s="2" t="s">
        <v>21</v>
      </c>
      <c r="Q170" s="2" t="s">
        <v>20</v>
      </c>
      <c r="R170" s="122">
        <v>2925</v>
      </c>
      <c r="S170" s="2" t="s">
        <v>20</v>
      </c>
      <c r="T170" t="s">
        <v>547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H213" sqref="AH213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155</v>
      </c>
      <c r="B156" s="22">
        <f>Database!E170</f>
        <v>46205</v>
      </c>
      <c r="C156">
        <f>IF(Database!G170="cansl",0,Database!K170)</f>
        <v>1</v>
      </c>
      <c r="D156">
        <f>Database!D170-Database!C170</f>
        <v>3</v>
      </c>
      <c r="F156">
        <f>Database!L170</f>
        <v>1</v>
      </c>
      <c r="G156" t="str">
        <f>Database!F170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201</v>
      </c>
      <c r="BC196" s="32">
        <f t="shared" si="167"/>
        <v>832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626</v>
      </c>
      <c r="AM198">
        <f t="shared" si="168"/>
        <v>626</v>
      </c>
      <c r="AN198">
        <f t="shared" si="168"/>
        <v>626</v>
      </c>
      <c r="AO198">
        <f t="shared" si="168"/>
        <v>626</v>
      </c>
      <c r="AP198">
        <f t="shared" si="168"/>
        <v>626</v>
      </c>
      <c r="AQ198">
        <f t="shared" si="168"/>
        <v>626</v>
      </c>
      <c r="AR198">
        <f t="shared" si="168"/>
        <v>626</v>
      </c>
      <c r="AS198">
        <f t="shared" si="168"/>
        <v>626</v>
      </c>
      <c r="AT198">
        <f t="shared" si="168"/>
        <v>626</v>
      </c>
      <c r="AU198">
        <f t="shared" si="168"/>
        <v>626</v>
      </c>
      <c r="AV198">
        <f t="shared" si="168"/>
        <v>626</v>
      </c>
      <c r="AW198">
        <f t="shared" si="168"/>
        <v>626</v>
      </c>
      <c r="AX198">
        <f t="shared" si="168"/>
        <v>626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832</v>
      </c>
      <c r="BE203" s="38">
        <f>BE196</f>
        <v>87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0" workbookViewId="0">
      <selection activeCell="E30" sqref="E30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832</v>
      </c>
      <c r="C31" s="32">
        <f>'book stat'!BE203</f>
        <v>87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69" activePane="bottomLeft" state="frozen"/>
      <selection pane="bottomLeft" activeCell="G76" sqref="G76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617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/>
      <c r="Y108" s="111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/>
      <c r="Y109" s="111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23</v>
      </c>
      <c r="F110" s="18">
        <v>1</v>
      </c>
      <c r="G110" s="18"/>
      <c r="H110" s="8">
        <v>32</v>
      </c>
      <c r="I110" s="153">
        <v>46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/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23</v>
      </c>
      <c r="E111" s="8">
        <v>23</v>
      </c>
      <c r="F111" s="18">
        <v>2</v>
      </c>
      <c r="G111" s="18"/>
      <c r="H111" s="153">
        <v>46</v>
      </c>
      <c r="I111" s="153">
        <v>46</v>
      </c>
      <c r="J111" s="18"/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23</v>
      </c>
      <c r="E112" s="8">
        <v>23</v>
      </c>
      <c r="F112" s="18">
        <v>2</v>
      </c>
      <c r="G112" s="18"/>
      <c r="H112" s="153">
        <v>46</v>
      </c>
      <c r="I112" s="153">
        <v>46</v>
      </c>
      <c r="J112" s="18"/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23</v>
      </c>
      <c r="E113" s="8"/>
      <c r="F113" s="18">
        <v>2</v>
      </c>
      <c r="G113" s="18"/>
      <c r="H113" s="153">
        <v>46</v>
      </c>
      <c r="I113" s="153">
        <v>46</v>
      </c>
      <c r="J113" s="18"/>
      <c r="K113" s="17"/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3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5</v>
      </c>
      <c r="AA152" s="130">
        <f t="shared" si="12"/>
        <v>3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5</v>
      </c>
      <c r="AA153" s="130">
        <f t="shared" si="12"/>
        <v>2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23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N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IFERROR(VLOOKUP(D75,Database!$A$2:$L$189,2,FALSE),"-")</f>
        <v>Karen Venge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23</v>
      </c>
      <c r="E110" t="str">
        <f>IFERROR(VLOOKUP(D110,Database!$A$2:$L$189,2,FALSE),"-")</f>
        <v>Stine Jespersen</v>
      </c>
      <c r="F110">
        <f>ankomster!J110</f>
        <v>46</v>
      </c>
      <c r="G110" t="str">
        <f>IFERROR(VLOOKUP(F110,Database!$A$2:$L$189,2,FALSE),"-")</f>
        <v>Kathrine Moelgaard Nielsen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5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5">
      <c r="A156">
        <f>Database!A170</f>
        <v>155</v>
      </c>
      <c r="B156" s="2" t="str">
        <f>Database!Q170</f>
        <v>N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1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308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Database!A170</f>
        <v>155</v>
      </c>
      <c r="B156" t="str">
        <f>Database!G170</f>
        <v>bc</v>
      </c>
      <c r="C156" s="5">
        <f>Database!C170</f>
        <v>46212</v>
      </c>
      <c r="D156" s="5">
        <f>Database!D170</f>
        <v>46215</v>
      </c>
      <c r="E156">
        <f t="shared" si="8"/>
        <v>3</v>
      </c>
      <c r="F156">
        <f>Database!K170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2026-07-03T16:56:50Z</dcterms:modified>
  <cp:category/>
  <cp:contentStatus/>
</cp:coreProperties>
</file>
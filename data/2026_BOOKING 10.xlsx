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C4E0FB26-2888-4F92-999C-17F2B7F8BC3C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<sst xmlns="http://schemas.openxmlformats.org/spreadsheetml/2006/main" count="1393" uniqueCount="489">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</sst>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2" activePane="bottomLeft" state="frozen"/>
      <selection pane="bottomLeft" activeCell="S126" sqref="S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X1" workbookViewId="0">
      <pane ySplit="1" topLeftCell="A186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0"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62" activePane="bottomLeft" state="frozen"/>
      <selection pane="bottomLeft" activeCell="T20" sqref="T2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531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/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14"/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4"/>
      <c r="I34" s="8"/>
      <c r="J34" s="20"/>
      <c r="K34" s="19"/>
      <c r="L34" s="142">
        <v>5</v>
      </c>
      <c r="M34" s="142">
        <v>5</v>
      </c>
      <c r="N34" s="117">
        <v>2</v>
      </c>
      <c r="O34" s="117"/>
      <c r="P34" s="114"/>
      <c r="Q34" s="114">
        <v>125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3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4"/>
      <c r="I35" s="8"/>
      <c r="J35" s="20"/>
      <c r="K35" s="19"/>
      <c r="L35" s="142">
        <v>5</v>
      </c>
      <c r="M35" s="142">
        <v>5</v>
      </c>
      <c r="N35" s="117">
        <v>2</v>
      </c>
      <c r="O35" s="117"/>
      <c r="P35" s="114">
        <v>125</v>
      </c>
      <c r="Q35" s="114">
        <v>125</v>
      </c>
      <c r="R35" s="114">
        <v>2</v>
      </c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3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/>
      <c r="I36" s="156">
        <v>79</v>
      </c>
      <c r="J36" s="20"/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125</v>
      </c>
      <c r="Q36" s="114"/>
      <c r="R36" s="114">
        <v>2</v>
      </c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2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/>
      <c r="J51" s="20">
        <v>2</v>
      </c>
      <c r="K51" s="19"/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8</v>
      </c>
      <c r="AA51" s="133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/>
      <c r="I52" s="8"/>
      <c r="J52" s="20">
        <v>2</v>
      </c>
      <c r="K52" s="19" t="s">
        <v>157</v>
      </c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8</v>
      </c>
      <c r="AA52" s="133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8</v>
      </c>
      <c r="AA53" s="133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9</v>
      </c>
      <c r="AA54" s="133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7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4</v>
      </c>
      <c r="AA59" s="133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159</v>
      </c>
      <c r="T61" s="114"/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2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4</v>
      </c>
      <c r="AA130" s="133">
        <f t="shared" si="7"/>
        <v>2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5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4</v>
      </c>
      <c r="AA131" s="133">
        <f t="shared" ref="AA131:AA171" si="12">COUNT(E131,I131,M131,Q131,U131)</f>
        <v>1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5"/>
      <c r="H132" s="8"/>
      <c r="I132" s="8"/>
      <c r="J132" s="20"/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0</v>
      </c>
      <c r="AA132" s="133">
        <f t="shared" si="12"/>
        <v>1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5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0</v>
      </c>
      <c r="AA133" s="133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18 O37:Y91 N99:N107 D99:M115 D92:Y98 O99:Y123 I11:I18 D16:H52 D124:Y171 I19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-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DK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-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-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DK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-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-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-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-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udc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-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-</v>
      </c>
      <c r="D133" s="53" t="str">
        <f>IF(AND(booking!D133&lt;&gt;booking!E133,booking!D133&gt;0),"udc","-")</f>
        <v>-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-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 t="str">
        <f>IF(AND(D34="Y",booking!H34&lt;&gt;booking!I34,booking!I34&gt;0),booking!I34,"-")</f>
        <v>-</v>
      </c>
      <c r="K34" s="78" t="str">
        <f>IFERROR(VLOOKUP(J34,Database!$A$2:$L$175,8,FALSE),"-")</f>
        <v>-</v>
      </c>
      <c r="L34" s="78" t="str">
        <f>IFERROR(VLOOKUP(J34,Database!$A$2:$L$175,6,FALSE),"-")</f>
        <v>-</v>
      </c>
      <c r="M34" s="93" t="str">
        <f>IFERROR(VLOOKUP(J34,Database!$A$2:$L$175,9,FALSE),"-")</f>
        <v>-</v>
      </c>
      <c r="N34" s="209" t="str">
        <f>IFERROR(VLOOKUP(J34,Database!$A$2:$S$175,19,FALSE),"-")</f>
        <v>-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>
        <f>IF(AND(D34="Y",booking!P34&lt;&gt;booking!Q34,booking!Q34&gt;0),booking!Q34,"-")</f>
        <v>125</v>
      </c>
      <c r="U34" s="78">
        <f>IFERROR(VLOOKUP(T34,Database!$A$2:$L$175,8,FALSE),"-")</f>
        <v>0</v>
      </c>
      <c r="V34" s="78" t="str">
        <f>IFERROR(VLOOKUP(T34,Database!$A$2:$L$175,6,FALSE),"-")</f>
        <v>DK</v>
      </c>
      <c r="W34" s="82">
        <f>IFERROR(VLOOKUP(T34,Database!$A$2:$L$175,9,FALSE),"-")</f>
        <v>0</v>
      </c>
      <c r="X34" s="209" t="str">
        <f>IFERROR(VLOOKUP(T34,Database!$A$2:$S$175,19,FALSE),"-")</f>
        <v>N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 t="str">
        <f>IF(AND(D51="Y",booking!H51&lt;&gt;booking!I51,booking!I51&gt;0),booking!I51,"-")</f>
        <v>-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-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 t="str">
        <f>IF(AND(D57="Y",booking!L57&lt;&gt;booking!M57,booking!M57&gt;0),booking!M57,"-")</f>
        <v>-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 t="str">
        <f>IF(AND(D57="Y",booking!P57&lt;&gt;booking!Q57,booking!Q57&gt;0),booking!Q57,"-")</f>
        <v>-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>
        <f>IF(AND(D58="Y",booking!P58&lt;&gt;booking!Q58,booking!Q58&gt;0),booking!Q58,"-")</f>
        <v>37</v>
      </c>
      <c r="U58" s="78" t="str">
        <f>IFERROR(VLOOKUP(T58,Database!$A$2:$L$175,8,FALSE),"-")</f>
        <v>1430</v>
      </c>
      <c r="V58" s="78" t="str">
        <f>IFERROR(VLOOKUP(T58,Database!$A$2:$L$175,6,FALSE),"-")</f>
        <v>DK</v>
      </c>
      <c r="W58" s="82">
        <f>IFERROR(VLOOKUP(T58,Database!$A$2:$L$175,9,FALSE),"-")</f>
        <v>0</v>
      </c>
      <c r="X58" s="209" t="str">
        <f>IFERROR(VLOOKUP(T58,Database!$A$2:$S$175,19,FALSE),"-")</f>
        <v>N</v>
      </c>
      <c r="Y58" s="96" t="str">
        <f>IF(AND(D58="Y",booking!T58&lt;&gt;booking!U58,booking!U58&gt;0),booking!U58,"-")</f>
        <v>-</v>
      </c>
      <c r="Z58" s="79" t="str">
        <f>IFERROR(VLOOKUP(Y58,Database!$A$2:$L$175,8,FALSE),"-")</f>
        <v>-</v>
      </c>
      <c r="AA58" s="79" t="str">
        <f>IFERROR(VLOOKUP(Y58,Database!$A$2:$L$175,6,FALSE),"-")</f>
        <v>-</v>
      </c>
      <c r="AB58" s="92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-</v>
      </c>
      <c r="E129" s="95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 t="str">
        <f>IF(AND(D129="Y",booking!H129&lt;&gt;booking!I129,booking!I129&gt;0),booking!I129,"-")</f>
        <v>-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6">
        <f>ankomster!T34</f>
        <v>125</v>
      </c>
      <c r="K34" t="str">
        <f>IFERROR(VLOOKUP(J34,Database!$A$2:$L$175,2,FALSE),"-")</f>
        <v>Erik Jensen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6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va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va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va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va</v>
      </c>
      <c r="F35" s="131" t="str">
        <f>IF(booking!I35&gt;0,"oc","va")</f>
        <v>va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va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va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va</v>
      </c>
      <c r="F52" s="131" t="str">
        <f>IF(booking!I52&gt;0,"oc","va")</f>
        <v>va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va</v>
      </c>
      <c r="F53" s="131" t="str">
        <f>IF(booking!I53&gt;0,"oc","va")</f>
        <v>va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va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va</v>
      </c>
      <c r="I57" s="130" t="str">
        <f>IF(booking!P57&gt;0,"oc","va")</f>
        <v>va</v>
      </c>
      <c r="J57" s="131" t="str">
        <f>IF(booking!Q57&gt;0,"oc","va")</f>
        <v>va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va</v>
      </c>
      <c r="H58" s="131" t="str">
        <f>IF(booking!M58&gt;0,"oc","va")</f>
        <v>va</v>
      </c>
      <c r="I58" s="130" t="str">
        <f>IF(booking!P58&gt;0,"oc","va")</f>
        <v>va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va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va</v>
      </c>
      <c r="H59" s="131" t="str">
        <f>IF(booking!M59&gt;0,"oc","va")</f>
        <v>va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va</v>
      </c>
      <c r="L59" s="131" t="str">
        <f>IF(booking!U59&gt;0,"oc","va")</f>
        <v>va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va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oc</v>
      </c>
      <c r="K60" s="130" t="str">
        <f>IF(booking!T60&gt;0,"oc","va")</f>
        <v>va</v>
      </c>
      <c r="L60" s="131" t="str">
        <f>IF(booking!U60&gt;0,"oc","va")</f>
        <v>va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oc</v>
      </c>
      <c r="J61" s="131" t="str">
        <f>IF(booking!Q61&gt;0,"oc","va")</f>
        <v>oc</v>
      </c>
      <c r="K61" s="130" t="str">
        <f>IF(booking!T61&gt;0,"oc","va")</f>
        <v>va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va</v>
      </c>
      <c r="E129" s="130" t="str">
        <f>IF(booking!H129&gt;0,"oc","va")</f>
        <v>va</v>
      </c>
      <c r="F129" s="131" t="str">
        <f>IF(booking!I129&gt;0,"oc","va")</f>
        <v>va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va</v>
      </c>
      <c r="D130" s="131" t="str">
        <f>IF(booking!E130&gt;0,"oc","va")</f>
        <v>va</v>
      </c>
      <c r="E130" s="130" t="str">
        <f>IF(booking!H130&gt;0,"oc","va")</f>
        <v>va</v>
      </c>
      <c r="F130" s="131" t="str">
        <f>IF(booking!I130&gt;0,"oc","va")</f>
        <v>va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va</v>
      </c>
      <c r="D131" s="131" t="str">
        <f>IF(booking!E131&gt;0,"oc","va")</f>
        <v>va</v>
      </c>
      <c r="E131" s="130" t="str">
        <f>IF(booking!H131&gt;0,"oc","va")</f>
        <v>va</v>
      </c>
      <c r="F131" s="131" t="str">
        <f>IF(booking!I131&gt;0,"oc","va")</f>
        <v>va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va</v>
      </c>
      <c r="D132" s="131" t="str">
        <f>IF(booking!E132&gt;0,"oc","va")</f>
        <v>va</v>
      </c>
      <c r="E132" s="130" t="str">
        <f>IF(booking!H132&gt;0,"oc","va")</f>
        <v>va</v>
      </c>
      <c r="F132" s="131" t="str">
        <f>IF(booking!I132&gt;0,"oc","va")</f>
        <v>va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va</v>
      </c>
      <c r="D133" s="131" t="str">
        <f>IF(booking!E133&gt;0,"oc","va")</f>
        <v>va</v>
      </c>
      <c r="E133" s="130" t="str">
        <f>IF(booking!H133&gt;0,"oc","va")</f>
        <v>va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2026-05-11T21:31:14Z</dcterms:modified>
  <cp:category/>
  <cp:contentStatus/>
</cp:coreProperties>
</file>
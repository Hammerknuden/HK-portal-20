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71" documentId="8_{AC379FEE-905F-41E2-9E84-8018E4E04006}" xr6:coauthVersionLast="47" xr6:coauthVersionMax="47" xr10:uidLastSave="{226E11E3-EF92-4CC8-85C9-CB1EBA4CE89E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AB172" i="7" l="1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<sst xmlns="http://schemas.openxmlformats.org/spreadsheetml/2006/main" count="1547" uniqueCount="525">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</sst>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3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486</c:v>
                </c:pt>
                <c:pt idx="16">
                  <c:v>500</c:v>
                </c:pt>
                <c:pt idx="17">
                  <c:v>512</c:v>
                </c:pt>
                <c:pt idx="18">
                  <c:v>521</c:v>
                </c:pt>
                <c:pt idx="19">
                  <c:v>528</c:v>
                </c:pt>
                <c:pt idx="20">
                  <c:v>555</c:v>
                </c:pt>
                <c:pt idx="21">
                  <c:v>574</c:v>
                </c:pt>
                <c:pt idx="22">
                  <c:v>592</c:v>
                </c:pt>
                <c:pt idx="23">
                  <c:v>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188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776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486</c:v>
                </c:pt>
                <c:pt idx="16">
                  <c:v>500</c:v>
                </c:pt>
                <c:pt idx="17">
                  <c:v>512</c:v>
                </c:pt>
                <c:pt idx="18">
                  <c:v>521</c:v>
                </c:pt>
                <c:pt idx="19">
                  <c:v>528</c:v>
                </c:pt>
                <c:pt idx="20">
                  <c:v>555</c:v>
                </c:pt>
                <c:pt idx="21">
                  <c:v>574</c:v>
                </c:pt>
                <c:pt idx="22">
                  <c:v>592</c:v>
                </c:pt>
                <c:pt idx="23">
                  <c:v>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188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776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8"/>
  <sheetViews>
    <sheetView topLeftCell="G1" workbookViewId="0">
      <pane ySplit="1" topLeftCell="A146" activePane="bottomLeft" state="frozen"/>
      <selection pane="bottomLeft" activeCell="N162" sqref="N162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0"/>
    <col min="13" max="13" width="25.1796875" customWidth="1"/>
    <col min="14" max="14" width="15.81640625" style="148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0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6" t="s">
        <v>9</v>
      </c>
      <c r="K1" s="3" t="s">
        <v>45</v>
      </c>
      <c r="L1" s="3" t="s">
        <v>46</v>
      </c>
      <c r="M1" s="3" t="s">
        <v>47</v>
      </c>
      <c r="N1" s="172" t="s">
        <v>48</v>
      </c>
      <c r="O1" s="3" t="s">
        <v>49</v>
      </c>
      <c r="P1" s="3" t="s">
        <v>32</v>
      </c>
      <c r="Q1" s="3" t="s">
        <v>50</v>
      </c>
      <c r="R1" s="122" t="s">
        <v>51</v>
      </c>
      <c r="S1" s="3" t="s">
        <v>18</v>
      </c>
      <c r="T1" s="3" t="s">
        <v>52</v>
      </c>
    </row>
    <row r="2" spans="1:20" x14ac:dyDescent="0.35">
      <c r="A2" s="136">
        <v>1</v>
      </c>
      <c r="B2" s="102" t="s">
        <v>162</v>
      </c>
      <c r="C2" s="105">
        <v>46222</v>
      </c>
      <c r="D2" s="105">
        <v>46228</v>
      </c>
      <c r="E2" s="105">
        <v>45868</v>
      </c>
      <c r="F2" s="102" t="s">
        <v>53</v>
      </c>
      <c r="G2" s="102" t="s">
        <v>6</v>
      </c>
      <c r="H2" s="213"/>
      <c r="I2" s="123"/>
      <c r="J2" s="197">
        <v>0.05</v>
      </c>
      <c r="K2" s="102">
        <v>1</v>
      </c>
      <c r="L2" s="102">
        <v>2</v>
      </c>
      <c r="M2" s="145" t="s">
        <v>163</v>
      </c>
      <c r="N2" s="173"/>
      <c r="O2" s="123" t="s">
        <v>164</v>
      </c>
      <c r="P2" s="123"/>
      <c r="Q2" s="123" t="s">
        <v>21</v>
      </c>
      <c r="R2" s="155">
        <v>7267.5</v>
      </c>
      <c r="S2" s="149" t="s">
        <v>20</v>
      </c>
      <c r="T2" t="s">
        <v>165</v>
      </c>
    </row>
    <row r="3" spans="1:20" x14ac:dyDescent="0.35">
      <c r="A3" s="137">
        <v>2</v>
      </c>
      <c r="B3" s="104" t="s">
        <v>166</v>
      </c>
      <c r="C3" s="107">
        <v>46172</v>
      </c>
      <c r="D3" s="107">
        <v>46180</v>
      </c>
      <c r="E3" s="107">
        <v>45889</v>
      </c>
      <c r="F3" s="104" t="s">
        <v>53</v>
      </c>
      <c r="G3" s="104" t="s">
        <v>264</v>
      </c>
      <c r="H3" s="214"/>
      <c r="I3" s="124"/>
      <c r="J3" s="198"/>
      <c r="K3" s="104"/>
      <c r="L3" s="104"/>
      <c r="M3" s="146"/>
      <c r="N3" s="174"/>
      <c r="O3" s="124"/>
      <c r="P3" s="124"/>
      <c r="Q3" s="124"/>
      <c r="R3" s="155"/>
      <c r="S3" s="150"/>
    </row>
    <row r="4" spans="1:20" x14ac:dyDescent="0.35">
      <c r="A4" s="136">
        <v>3</v>
      </c>
      <c r="B4" s="102" t="s">
        <v>166</v>
      </c>
      <c r="C4" s="105">
        <v>46283</v>
      </c>
      <c r="D4" s="105">
        <v>46285</v>
      </c>
      <c r="E4" s="105">
        <v>45889</v>
      </c>
      <c r="F4" s="102" t="s">
        <v>53</v>
      </c>
      <c r="G4" s="102" t="s">
        <v>264</v>
      </c>
      <c r="H4" s="213"/>
      <c r="I4" s="123"/>
      <c r="J4" s="197"/>
      <c r="K4" s="102"/>
      <c r="L4" s="102"/>
      <c r="M4" s="145" t="s">
        <v>167</v>
      </c>
      <c r="N4" s="173"/>
      <c r="O4" s="123"/>
      <c r="P4" s="123"/>
      <c r="Q4" s="123"/>
      <c r="R4" s="155"/>
      <c r="S4" s="149"/>
      <c r="T4" s="121"/>
    </row>
    <row r="5" spans="1:20" x14ac:dyDescent="0.35">
      <c r="A5" s="137">
        <v>4</v>
      </c>
      <c r="B5" s="104" t="s">
        <v>168</v>
      </c>
      <c r="C5" s="107">
        <v>46246</v>
      </c>
      <c r="D5" s="107">
        <v>46250</v>
      </c>
      <c r="E5" s="107">
        <v>45891</v>
      </c>
      <c r="F5" s="104" t="s">
        <v>53</v>
      </c>
      <c r="G5" s="104" t="s">
        <v>6</v>
      </c>
      <c r="H5" s="214"/>
      <c r="I5" s="124"/>
      <c r="J5" s="198">
        <v>0.1</v>
      </c>
      <c r="K5" s="104">
        <v>2</v>
      </c>
      <c r="L5" s="104">
        <v>4</v>
      </c>
      <c r="M5" s="146" t="s">
        <v>170</v>
      </c>
      <c r="N5" s="175">
        <v>4530267986</v>
      </c>
      <c r="O5" s="124" t="s">
        <v>171</v>
      </c>
      <c r="P5" s="124"/>
      <c r="Q5" s="124" t="s">
        <v>21</v>
      </c>
      <c r="R5" s="155">
        <v>9180</v>
      </c>
      <c r="S5" s="150" t="s">
        <v>21</v>
      </c>
      <c r="T5" t="s">
        <v>169</v>
      </c>
    </row>
    <row r="6" spans="1:20" x14ac:dyDescent="0.35">
      <c r="A6" s="137">
        <v>4</v>
      </c>
      <c r="B6" s="104"/>
      <c r="C6" s="107"/>
      <c r="D6" s="107"/>
      <c r="E6" s="107"/>
      <c r="F6" s="104"/>
      <c r="G6" s="104"/>
      <c r="H6" s="214"/>
      <c r="I6" s="124"/>
      <c r="J6" s="198"/>
      <c r="K6" s="104"/>
      <c r="L6" s="104"/>
      <c r="M6" s="146"/>
      <c r="N6" s="175"/>
      <c r="O6" s="124"/>
      <c r="P6" s="124"/>
      <c r="Q6" s="124"/>
      <c r="R6" s="155"/>
      <c r="S6" s="150"/>
    </row>
    <row r="7" spans="1:20" x14ac:dyDescent="0.35">
      <c r="A7" s="136">
        <v>5</v>
      </c>
      <c r="B7" s="102" t="s">
        <v>172</v>
      </c>
      <c r="C7" s="105">
        <v>46169</v>
      </c>
      <c r="D7" s="105">
        <v>46174</v>
      </c>
      <c r="E7" s="105">
        <v>45903</v>
      </c>
      <c r="F7" s="102" t="s">
        <v>53</v>
      </c>
      <c r="G7" s="102" t="s">
        <v>6</v>
      </c>
      <c r="H7" s="213">
        <v>1430</v>
      </c>
      <c r="I7" s="123" t="s">
        <v>156</v>
      </c>
      <c r="J7" s="197">
        <v>0.1</v>
      </c>
      <c r="K7" s="102">
        <v>1</v>
      </c>
      <c r="L7" s="102">
        <v>2</v>
      </c>
      <c r="M7" s="145" t="s">
        <v>173</v>
      </c>
      <c r="N7" s="173">
        <v>4524259787</v>
      </c>
      <c r="O7" s="123"/>
      <c r="P7" s="123"/>
      <c r="Q7" s="123" t="s">
        <v>21</v>
      </c>
      <c r="R7" s="155">
        <v>5175</v>
      </c>
      <c r="S7" s="149" t="s">
        <v>20</v>
      </c>
    </row>
    <row r="8" spans="1:20" x14ac:dyDescent="0.35">
      <c r="A8" s="136">
        <v>6</v>
      </c>
      <c r="B8" s="116" t="s">
        <v>174</v>
      </c>
      <c r="C8" s="119">
        <v>46178</v>
      </c>
      <c r="D8" s="119">
        <v>46180</v>
      </c>
      <c r="E8" s="119">
        <v>45910</v>
      </c>
      <c r="F8" s="116" t="s">
        <v>53</v>
      </c>
      <c r="G8" s="2" t="s">
        <v>6</v>
      </c>
      <c r="J8" s="199">
        <v>0.1</v>
      </c>
      <c r="K8" s="118">
        <v>2</v>
      </c>
      <c r="L8" s="118">
        <v>4</v>
      </c>
      <c r="M8" s="120" t="s">
        <v>175</v>
      </c>
      <c r="Q8" s="2" t="s">
        <v>21</v>
      </c>
      <c r="R8" s="122">
        <v>4140</v>
      </c>
      <c r="S8" s="2" t="s">
        <v>38</v>
      </c>
      <c r="T8" t="s">
        <v>176</v>
      </c>
    </row>
    <row r="9" spans="1:20" x14ac:dyDescent="0.35">
      <c r="A9" s="136">
        <v>6</v>
      </c>
      <c r="B9" s="116"/>
      <c r="C9" s="119"/>
      <c r="D9" s="119"/>
      <c r="E9" s="119"/>
      <c r="F9" s="116"/>
      <c r="G9" s="2"/>
      <c r="J9" s="199"/>
      <c r="K9" s="118"/>
      <c r="L9" s="118"/>
      <c r="M9" s="120"/>
    </row>
    <row r="10" spans="1:20" x14ac:dyDescent="0.35">
      <c r="A10" s="136">
        <v>6</v>
      </c>
      <c r="B10" s="116"/>
      <c r="C10" s="119"/>
      <c r="D10" s="119"/>
      <c r="E10" s="119"/>
      <c r="F10" s="116"/>
      <c r="G10" s="2"/>
      <c r="J10" s="199"/>
      <c r="K10" s="118"/>
      <c r="L10" s="118"/>
      <c r="M10" s="120"/>
    </row>
    <row r="11" spans="1:20" x14ac:dyDescent="0.35">
      <c r="A11" s="137">
        <v>7</v>
      </c>
      <c r="B11" s="116" t="s">
        <v>177</v>
      </c>
      <c r="C11" s="119">
        <v>46207</v>
      </c>
      <c r="D11" s="119">
        <v>46214</v>
      </c>
      <c r="E11" s="119">
        <v>45927</v>
      </c>
      <c r="F11" s="116" t="s">
        <v>53</v>
      </c>
      <c r="G11" s="2" t="s">
        <v>6</v>
      </c>
      <c r="J11" s="199">
        <v>0.1</v>
      </c>
      <c r="K11" s="118">
        <v>1</v>
      </c>
      <c r="L11" s="118">
        <v>2</v>
      </c>
      <c r="M11" s="120" t="s">
        <v>178</v>
      </c>
      <c r="N11" s="175">
        <v>4522701312</v>
      </c>
      <c r="O11" s="2" t="s">
        <v>179</v>
      </c>
      <c r="Q11" s="2" t="s">
        <v>20</v>
      </c>
      <c r="R11" s="155">
        <v>6772.5</v>
      </c>
      <c r="S11" s="2" t="s">
        <v>21</v>
      </c>
    </row>
    <row r="12" spans="1:20" x14ac:dyDescent="0.35">
      <c r="A12" s="136">
        <v>8</v>
      </c>
      <c r="B12" s="116" t="s">
        <v>180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9">
        <v>0.1</v>
      </c>
      <c r="K12" s="118">
        <v>1</v>
      </c>
      <c r="L12" s="118">
        <v>2</v>
      </c>
      <c r="M12" s="120" t="s">
        <v>181</v>
      </c>
      <c r="N12" s="175">
        <v>4917643882286</v>
      </c>
      <c r="O12" s="2" t="s">
        <v>182</v>
      </c>
      <c r="Q12" s="2" t="s">
        <v>21</v>
      </c>
      <c r="R12" s="122">
        <v>4275</v>
      </c>
      <c r="S12" s="2" t="s">
        <v>21</v>
      </c>
      <c r="T12" s="116" t="s">
        <v>183</v>
      </c>
    </row>
    <row r="13" spans="1:20" x14ac:dyDescent="0.35">
      <c r="A13" s="136">
        <v>9</v>
      </c>
      <c r="B13" s="116" t="s">
        <v>184</v>
      </c>
      <c r="C13" s="119">
        <v>46159</v>
      </c>
      <c r="D13" s="119">
        <v>46166</v>
      </c>
      <c r="E13" s="119">
        <v>45954</v>
      </c>
      <c r="F13" s="116" t="s">
        <v>53</v>
      </c>
      <c r="G13" s="2" t="s">
        <v>6</v>
      </c>
      <c r="H13" s="1">
        <v>1430</v>
      </c>
      <c r="I13" s="2" t="s">
        <v>156</v>
      </c>
      <c r="J13" s="199">
        <v>0.1</v>
      </c>
      <c r="K13" s="118">
        <v>1</v>
      </c>
      <c r="L13" s="118">
        <v>2</v>
      </c>
      <c r="M13" s="120" t="s">
        <v>185</v>
      </c>
      <c r="N13" s="148">
        <v>4551172451</v>
      </c>
      <c r="O13" s="2" t="s">
        <v>186</v>
      </c>
      <c r="Q13" s="2" t="s">
        <v>21</v>
      </c>
      <c r="R13" s="155">
        <v>7245</v>
      </c>
      <c r="S13" s="2" t="s">
        <v>21</v>
      </c>
    </row>
    <row r="14" spans="1:20" x14ac:dyDescent="0.35">
      <c r="A14" s="137">
        <v>10</v>
      </c>
      <c r="B14" s="116" t="s">
        <v>187</v>
      </c>
      <c r="C14" s="119">
        <v>46225</v>
      </c>
      <c r="D14" s="119">
        <v>46228</v>
      </c>
      <c r="E14" s="119">
        <v>45932</v>
      </c>
      <c r="F14" s="116" t="s">
        <v>53</v>
      </c>
      <c r="G14" s="2" t="s">
        <v>6</v>
      </c>
      <c r="J14" s="199">
        <v>0.1</v>
      </c>
      <c r="K14" s="118">
        <v>1</v>
      </c>
      <c r="L14" s="118">
        <v>2</v>
      </c>
      <c r="M14" s="117" t="s">
        <v>188</v>
      </c>
      <c r="N14" s="148">
        <v>4561557600</v>
      </c>
      <c r="Q14" s="2" t="s">
        <v>21</v>
      </c>
      <c r="R14" s="122">
        <v>3442</v>
      </c>
      <c r="S14" s="2" t="s">
        <v>21</v>
      </c>
      <c r="T14" t="s">
        <v>189</v>
      </c>
    </row>
    <row r="15" spans="1:20" x14ac:dyDescent="0.35">
      <c r="A15" s="136">
        <v>11</v>
      </c>
      <c r="B15" s="116" t="s">
        <v>190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9">
        <v>0.1</v>
      </c>
      <c r="K15" s="118">
        <v>1</v>
      </c>
      <c r="L15" s="118">
        <v>2</v>
      </c>
      <c r="M15" s="120" t="s">
        <v>192</v>
      </c>
      <c r="Q15" s="2" t="s">
        <v>21</v>
      </c>
      <c r="R15" s="122">
        <v>5737.5</v>
      </c>
      <c r="S15" s="2" t="s">
        <v>20</v>
      </c>
      <c r="T15" t="s">
        <v>191</v>
      </c>
    </row>
    <row r="16" spans="1:20" x14ac:dyDescent="0.35">
      <c r="A16" s="136">
        <v>12</v>
      </c>
      <c r="B16" s="116" t="s">
        <v>193</v>
      </c>
      <c r="C16" s="119">
        <v>46175</v>
      </c>
      <c r="D16" s="119">
        <v>46179</v>
      </c>
      <c r="E16" s="119">
        <v>45977</v>
      </c>
      <c r="F16" s="116" t="s">
        <v>53</v>
      </c>
      <c r="G16" s="2" t="s">
        <v>6</v>
      </c>
      <c r="I16" s="2" t="s">
        <v>159</v>
      </c>
      <c r="J16" s="199">
        <v>0.1</v>
      </c>
      <c r="K16" s="118">
        <v>1</v>
      </c>
      <c r="L16" s="118">
        <v>2</v>
      </c>
      <c r="M16" s="120" t="s">
        <v>194</v>
      </c>
      <c r="N16" s="176">
        <v>4540552384</v>
      </c>
      <c r="O16" s="2" t="s">
        <v>195</v>
      </c>
      <c r="Q16" s="2" t="s">
        <v>21</v>
      </c>
      <c r="R16" s="122">
        <v>4140</v>
      </c>
      <c r="S16" s="2" t="s">
        <v>21</v>
      </c>
      <c r="T16" t="s">
        <v>196</v>
      </c>
    </row>
    <row r="17" spans="1:21" x14ac:dyDescent="0.35">
      <c r="A17" s="137">
        <v>13</v>
      </c>
      <c r="B17" s="116" t="s">
        <v>197</v>
      </c>
      <c r="C17" s="22">
        <v>46211</v>
      </c>
      <c r="D17" s="22">
        <v>46218</v>
      </c>
      <c r="E17" s="22">
        <v>45998</v>
      </c>
      <c r="F17" s="116" t="s">
        <v>53</v>
      </c>
      <c r="G17" s="2" t="s">
        <v>6</v>
      </c>
      <c r="J17" s="199">
        <v>0.1</v>
      </c>
      <c r="K17" s="118">
        <v>1</v>
      </c>
      <c r="L17" s="118">
        <v>2</v>
      </c>
      <c r="M17" s="113" t="s">
        <v>198</v>
      </c>
      <c r="N17" s="176">
        <v>4525582842</v>
      </c>
      <c r="O17" s="2" t="s">
        <v>200</v>
      </c>
      <c r="Q17" s="2" t="s">
        <v>21</v>
      </c>
      <c r="R17" s="122">
        <v>8032.5</v>
      </c>
      <c r="S17" s="2" t="s">
        <v>38</v>
      </c>
      <c r="T17" t="s">
        <v>199</v>
      </c>
    </row>
    <row r="18" spans="1:21" x14ac:dyDescent="0.35">
      <c r="A18" s="136">
        <v>14</v>
      </c>
      <c r="B18" s="116" t="s">
        <v>201</v>
      </c>
      <c r="C18" s="22">
        <v>46206</v>
      </c>
      <c r="D18" s="22">
        <v>46213</v>
      </c>
      <c r="E18" s="22">
        <v>46001</v>
      </c>
      <c r="F18" s="116" t="s">
        <v>53</v>
      </c>
      <c r="G18" s="2" t="s">
        <v>6</v>
      </c>
      <c r="J18" s="199">
        <v>0.1</v>
      </c>
      <c r="K18" s="118">
        <v>1</v>
      </c>
      <c r="L18" s="118">
        <v>2</v>
      </c>
      <c r="M18" s="147" t="s">
        <v>204</v>
      </c>
      <c r="N18" s="176">
        <v>4591191885</v>
      </c>
      <c r="O18" s="2" t="s">
        <v>202</v>
      </c>
      <c r="Q18" s="2" t="s">
        <v>21</v>
      </c>
      <c r="R18" s="122">
        <v>9180</v>
      </c>
      <c r="S18" s="2" t="s">
        <v>38</v>
      </c>
      <c r="T18" s="116" t="s">
        <v>203</v>
      </c>
    </row>
    <row r="19" spans="1:21" x14ac:dyDescent="0.35">
      <c r="A19" s="136">
        <v>15</v>
      </c>
      <c r="B19" s="116" t="s">
        <v>205</v>
      </c>
      <c r="C19" s="22">
        <v>46181</v>
      </c>
      <c r="D19" s="22">
        <v>46188</v>
      </c>
      <c r="E19" s="22">
        <v>45866</v>
      </c>
      <c r="F19" s="116" t="s">
        <v>53</v>
      </c>
      <c r="G19" s="2" t="s">
        <v>56</v>
      </c>
      <c r="K19" s="118">
        <v>1</v>
      </c>
      <c r="L19" s="118">
        <v>2</v>
      </c>
      <c r="M19" s="113" t="s">
        <v>206</v>
      </c>
      <c r="N19" s="148">
        <v>4531534745</v>
      </c>
      <c r="O19" s="2" t="s">
        <v>207</v>
      </c>
      <c r="Q19" s="2" t="s">
        <v>21</v>
      </c>
      <c r="R19" s="122">
        <v>8925</v>
      </c>
      <c r="S19" s="2" t="s">
        <v>38</v>
      </c>
      <c r="T19" t="s">
        <v>208</v>
      </c>
      <c r="U19" s="181">
        <f>R19*0.5</f>
        <v>4462.5</v>
      </c>
    </row>
    <row r="20" spans="1:21" x14ac:dyDescent="0.35">
      <c r="A20" s="137">
        <v>16</v>
      </c>
      <c r="B20" s="116" t="s">
        <v>219</v>
      </c>
      <c r="C20" s="22">
        <v>46182</v>
      </c>
      <c r="D20" s="22">
        <v>46188</v>
      </c>
      <c r="E20" s="22">
        <v>45832</v>
      </c>
      <c r="F20" s="116" t="s">
        <v>53</v>
      </c>
      <c r="G20" s="2" t="s">
        <v>56</v>
      </c>
      <c r="H20" s="1" t="s">
        <v>436</v>
      </c>
      <c r="K20" s="118">
        <v>2</v>
      </c>
      <c r="L20" s="118">
        <v>4</v>
      </c>
      <c r="M20" s="113" t="s">
        <v>220</v>
      </c>
      <c r="N20" s="176">
        <v>4530604703</v>
      </c>
      <c r="Q20" s="2" t="s">
        <v>21</v>
      </c>
      <c r="R20" s="122">
        <v>17850</v>
      </c>
      <c r="S20" s="2" t="s">
        <v>38</v>
      </c>
      <c r="T20" t="s">
        <v>221</v>
      </c>
      <c r="U20" s="182">
        <f t="shared" ref="U20:U23" si="0">R20*0.5</f>
        <v>8925</v>
      </c>
    </row>
    <row r="21" spans="1:21" x14ac:dyDescent="0.35">
      <c r="A21" s="137">
        <v>16</v>
      </c>
      <c r="B21" s="116"/>
      <c r="F21" s="116"/>
      <c r="G21" s="2"/>
      <c r="K21" s="118"/>
      <c r="L21" s="118"/>
      <c r="M21" s="113"/>
      <c r="N21" s="176"/>
      <c r="U21" s="182"/>
    </row>
    <row r="22" spans="1:21" x14ac:dyDescent="0.35">
      <c r="A22" s="136">
        <v>17</v>
      </c>
      <c r="B22" s="116" t="s">
        <v>213</v>
      </c>
      <c r="C22" s="22">
        <v>46181</v>
      </c>
      <c r="D22" s="22">
        <v>46188</v>
      </c>
      <c r="E22" s="22">
        <v>45824</v>
      </c>
      <c r="F22" s="116" t="s">
        <v>53</v>
      </c>
      <c r="G22" s="2" t="s">
        <v>56</v>
      </c>
      <c r="K22" s="118">
        <v>1</v>
      </c>
      <c r="L22" s="118">
        <v>2</v>
      </c>
      <c r="M22" s="113" t="s">
        <v>216</v>
      </c>
      <c r="N22" s="176">
        <v>4524669843</v>
      </c>
      <c r="O22" s="2" t="s">
        <v>217</v>
      </c>
      <c r="Q22" s="2" t="s">
        <v>21</v>
      </c>
      <c r="R22" s="122">
        <v>8925</v>
      </c>
      <c r="S22" s="2" t="s">
        <v>38</v>
      </c>
      <c r="T22" t="s">
        <v>218</v>
      </c>
      <c r="U22" s="182">
        <f t="shared" si="0"/>
        <v>4462.5</v>
      </c>
    </row>
    <row r="23" spans="1:21" x14ac:dyDescent="0.35">
      <c r="A23" s="136">
        <v>18</v>
      </c>
      <c r="B23" s="116" t="s">
        <v>211</v>
      </c>
      <c r="C23" s="22">
        <v>46182</v>
      </c>
      <c r="D23" s="22">
        <v>46187</v>
      </c>
      <c r="E23" s="22">
        <v>45834</v>
      </c>
      <c r="F23" s="116" t="s">
        <v>53</v>
      </c>
      <c r="G23" s="2" t="s">
        <v>56</v>
      </c>
      <c r="K23" s="118">
        <v>1</v>
      </c>
      <c r="L23" s="118">
        <v>2</v>
      </c>
      <c r="M23" s="147" t="s">
        <v>212</v>
      </c>
      <c r="N23" s="176">
        <v>4531909358</v>
      </c>
      <c r="O23" s="2" t="s">
        <v>215</v>
      </c>
      <c r="Q23" s="2" t="s">
        <v>21</v>
      </c>
      <c r="R23" s="122">
        <v>6375</v>
      </c>
      <c r="S23" s="2" t="s">
        <v>38</v>
      </c>
      <c r="T23" t="s">
        <v>214</v>
      </c>
      <c r="U23" s="182">
        <f t="shared" si="0"/>
        <v>3187.5</v>
      </c>
    </row>
    <row r="24" spans="1:21" x14ac:dyDescent="0.35">
      <c r="A24" s="137">
        <v>19</v>
      </c>
      <c r="B24" t="s">
        <v>209</v>
      </c>
      <c r="C24" s="22">
        <v>46215</v>
      </c>
      <c r="D24" s="22">
        <v>46229</v>
      </c>
      <c r="E24" s="22">
        <v>45931</v>
      </c>
      <c r="F24" t="s">
        <v>53</v>
      </c>
      <c r="G24" t="s">
        <v>6</v>
      </c>
      <c r="I24" s="2" t="s">
        <v>159</v>
      </c>
      <c r="J24" s="200">
        <v>0.1</v>
      </c>
      <c r="K24">
        <v>1</v>
      </c>
      <c r="L24">
        <v>1</v>
      </c>
      <c r="M24" s="113" t="s">
        <v>210</v>
      </c>
      <c r="N24" s="176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199</v>
      </c>
    </row>
    <row r="25" spans="1:21" x14ac:dyDescent="0.35">
      <c r="A25" s="136">
        <v>20</v>
      </c>
      <c r="B25" s="116" t="s">
        <v>239</v>
      </c>
      <c r="C25" s="22">
        <v>46163</v>
      </c>
      <c r="D25" s="22">
        <v>46167</v>
      </c>
      <c r="E25" s="22">
        <v>46008</v>
      </c>
      <c r="F25" s="116" t="s">
        <v>53</v>
      </c>
      <c r="G25" s="2" t="s">
        <v>6</v>
      </c>
      <c r="K25" s="118">
        <v>3</v>
      </c>
      <c r="L25" s="118">
        <v>6</v>
      </c>
      <c r="M25" s="113" t="s">
        <v>240</v>
      </c>
      <c r="N25" s="148">
        <v>4540430234</v>
      </c>
      <c r="O25" s="2" t="s">
        <v>521</v>
      </c>
      <c r="Q25" s="2" t="s">
        <v>21</v>
      </c>
      <c r="R25" s="155">
        <v>12420</v>
      </c>
      <c r="S25" s="2" t="s">
        <v>38</v>
      </c>
      <c r="T25" t="s">
        <v>241</v>
      </c>
    </row>
    <row r="26" spans="1:21" x14ac:dyDescent="0.35">
      <c r="A26" s="136">
        <v>20</v>
      </c>
      <c r="B26" s="116"/>
      <c r="F26" s="116"/>
      <c r="G26" s="2"/>
      <c r="K26" s="118"/>
      <c r="L26" s="118"/>
      <c r="M26" s="113"/>
      <c r="R26" s="155"/>
    </row>
    <row r="27" spans="1:21" x14ac:dyDescent="0.35">
      <c r="A27" s="136">
        <v>20</v>
      </c>
      <c r="B27" s="116"/>
      <c r="F27" s="116"/>
      <c r="G27" s="2"/>
      <c r="K27" s="118"/>
      <c r="L27" s="118"/>
      <c r="M27" s="113"/>
      <c r="R27" s="155"/>
    </row>
    <row r="28" spans="1:21" x14ac:dyDescent="0.35">
      <c r="A28" s="136">
        <v>21</v>
      </c>
      <c r="B28" s="116" t="s">
        <v>261</v>
      </c>
      <c r="C28" s="22">
        <v>46251</v>
      </c>
      <c r="D28" s="22">
        <v>46256</v>
      </c>
      <c r="E28" s="22">
        <v>46009</v>
      </c>
      <c r="F28" s="116" t="s">
        <v>54</v>
      </c>
      <c r="G28" s="2" t="s">
        <v>6</v>
      </c>
      <c r="J28" s="200">
        <v>0.1</v>
      </c>
      <c r="K28" s="118">
        <v>1</v>
      </c>
      <c r="L28" s="118">
        <v>2</v>
      </c>
      <c r="M28" s="113" t="s">
        <v>237</v>
      </c>
      <c r="N28" s="176">
        <v>46705125490</v>
      </c>
      <c r="O28" s="2" t="s">
        <v>236</v>
      </c>
      <c r="Q28" s="2" t="s">
        <v>21</v>
      </c>
      <c r="R28" s="155">
        <v>5175</v>
      </c>
      <c r="S28" s="2" t="s">
        <v>38</v>
      </c>
      <c r="T28" t="s">
        <v>238</v>
      </c>
    </row>
    <row r="29" spans="1:21" x14ac:dyDescent="0.35">
      <c r="A29" s="137">
        <v>22</v>
      </c>
      <c r="B29" t="s">
        <v>234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235</v>
      </c>
    </row>
    <row r="30" spans="1:21" x14ac:dyDescent="0.35">
      <c r="A30" s="136">
        <v>23</v>
      </c>
      <c r="B30" t="s">
        <v>233</v>
      </c>
      <c r="C30" s="22">
        <v>46247</v>
      </c>
      <c r="D30" s="22">
        <v>46250</v>
      </c>
      <c r="E30" s="22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18">
        <v>1</v>
      </c>
      <c r="L30" s="118">
        <v>2</v>
      </c>
      <c r="Q30" s="2" t="s">
        <v>21</v>
      </c>
      <c r="R30" s="155">
        <v>3825</v>
      </c>
      <c r="S30" s="2" t="s">
        <v>20</v>
      </c>
    </row>
    <row r="31" spans="1:21" x14ac:dyDescent="0.35">
      <c r="A31" s="136">
        <v>24</v>
      </c>
      <c r="B31" t="s">
        <v>232</v>
      </c>
      <c r="C31" s="22">
        <v>46205</v>
      </c>
      <c r="D31" s="22">
        <v>46208</v>
      </c>
      <c r="E31" s="22">
        <v>46016</v>
      </c>
      <c r="F31" t="s">
        <v>54</v>
      </c>
      <c r="G31" t="s">
        <v>35</v>
      </c>
      <c r="I31" s="2" t="s">
        <v>156</v>
      </c>
      <c r="K31" s="118">
        <v>1</v>
      </c>
      <c r="L31" s="118">
        <v>2</v>
      </c>
      <c r="M31" s="113"/>
      <c r="Q31" s="2" t="s">
        <v>21</v>
      </c>
      <c r="R31" s="155">
        <v>3825</v>
      </c>
      <c r="S31" s="2" t="s">
        <v>20</v>
      </c>
    </row>
    <row r="32" spans="1:21" x14ac:dyDescent="0.35">
      <c r="A32" s="137">
        <v>25</v>
      </c>
      <c r="B32" t="s">
        <v>231</v>
      </c>
      <c r="C32" s="22">
        <v>46256</v>
      </c>
      <c r="D32" s="22">
        <v>46261</v>
      </c>
      <c r="E32" s="22">
        <v>46017</v>
      </c>
      <c r="F32" t="s">
        <v>57</v>
      </c>
      <c r="G32" t="s">
        <v>35</v>
      </c>
      <c r="I32" s="2" t="s">
        <v>159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6">
        <v>26</v>
      </c>
      <c r="B33" t="s">
        <v>230</v>
      </c>
      <c r="C33" s="22">
        <v>46251</v>
      </c>
      <c r="D33" s="22">
        <v>46255</v>
      </c>
      <c r="E33" s="22">
        <v>46019</v>
      </c>
      <c r="F33" t="s">
        <v>53</v>
      </c>
      <c r="G33" t="s">
        <v>35</v>
      </c>
      <c r="H33" s="1" t="s">
        <v>497</v>
      </c>
      <c r="K33" s="118">
        <v>1</v>
      </c>
      <c r="L33" s="118">
        <v>2</v>
      </c>
      <c r="N33" s="177"/>
      <c r="Q33" s="2" t="s">
        <v>21</v>
      </c>
      <c r="R33" s="122">
        <v>3450</v>
      </c>
      <c r="S33" s="2" t="s">
        <v>20</v>
      </c>
      <c r="T33" t="s">
        <v>317</v>
      </c>
    </row>
    <row r="34" spans="1:20" x14ac:dyDescent="0.35">
      <c r="A34" s="136">
        <v>27</v>
      </c>
      <c r="B34" t="s">
        <v>228</v>
      </c>
      <c r="C34" s="22">
        <v>46176</v>
      </c>
      <c r="D34" s="22">
        <v>46182</v>
      </c>
      <c r="E34" s="22">
        <v>46021</v>
      </c>
      <c r="F34" t="s">
        <v>53</v>
      </c>
      <c r="G34" t="s">
        <v>6</v>
      </c>
      <c r="I34" s="2" t="s">
        <v>437</v>
      </c>
      <c r="J34" s="200">
        <v>0.1</v>
      </c>
      <c r="K34" s="118">
        <v>1</v>
      </c>
      <c r="L34" s="118">
        <v>2</v>
      </c>
      <c r="M34" s="113" t="s">
        <v>229</v>
      </c>
      <c r="N34" s="176">
        <v>4561283743</v>
      </c>
      <c r="Q34" s="2" t="s">
        <v>21</v>
      </c>
      <c r="R34" s="122">
        <v>6210</v>
      </c>
      <c r="S34" s="2" t="s">
        <v>21</v>
      </c>
      <c r="T34" t="s">
        <v>438</v>
      </c>
    </row>
    <row r="35" spans="1:20" x14ac:dyDescent="0.35">
      <c r="A35" s="137">
        <v>28</v>
      </c>
      <c r="B35" t="s">
        <v>227</v>
      </c>
      <c r="C35" s="22">
        <v>46143</v>
      </c>
      <c r="D35" s="22">
        <v>46145</v>
      </c>
      <c r="E35" s="22">
        <v>46021</v>
      </c>
      <c r="F35" t="s">
        <v>53</v>
      </c>
      <c r="G35" t="s">
        <v>35</v>
      </c>
      <c r="K35">
        <v>2</v>
      </c>
      <c r="L35">
        <v>3</v>
      </c>
      <c r="M35" s="113"/>
      <c r="N35" s="148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6">
        <v>29</v>
      </c>
      <c r="B36" t="s">
        <v>244</v>
      </c>
      <c r="C36" s="22">
        <v>46177</v>
      </c>
      <c r="D36" s="22">
        <v>46179</v>
      </c>
      <c r="E36" s="22">
        <v>46023</v>
      </c>
      <c r="F36" t="s">
        <v>58</v>
      </c>
      <c r="G36" t="s">
        <v>264</v>
      </c>
      <c r="K36" s="118"/>
      <c r="L36" s="118"/>
      <c r="M36" s="113"/>
    </row>
    <row r="37" spans="1:20" x14ac:dyDescent="0.35">
      <c r="A37" s="136">
        <v>28</v>
      </c>
      <c r="K37" s="118"/>
      <c r="L37" s="118"/>
      <c r="M37" s="113"/>
    </row>
    <row r="38" spans="1:20" x14ac:dyDescent="0.35">
      <c r="A38" s="136">
        <v>30</v>
      </c>
      <c r="B38" t="s">
        <v>242</v>
      </c>
      <c r="C38" s="22">
        <v>46230</v>
      </c>
      <c r="D38" s="22">
        <v>46234</v>
      </c>
      <c r="E38" s="22">
        <v>46025</v>
      </c>
      <c r="F38" t="s">
        <v>53</v>
      </c>
      <c r="G38" t="s">
        <v>35</v>
      </c>
      <c r="K38" s="118">
        <v>1</v>
      </c>
      <c r="L38" s="118">
        <v>2</v>
      </c>
      <c r="N38" s="176">
        <v>4526241192</v>
      </c>
      <c r="Q38" s="2" t="s">
        <v>21</v>
      </c>
      <c r="R38" s="122">
        <v>5100</v>
      </c>
      <c r="S38" s="2" t="s">
        <v>21</v>
      </c>
      <c r="T38" t="s">
        <v>243</v>
      </c>
    </row>
    <row r="39" spans="1:20" x14ac:dyDescent="0.35">
      <c r="A39" s="137">
        <v>31</v>
      </c>
      <c r="B39" t="s">
        <v>245</v>
      </c>
      <c r="C39" s="22">
        <v>46190</v>
      </c>
      <c r="D39" s="22">
        <v>46195</v>
      </c>
      <c r="E39" s="22">
        <v>46029</v>
      </c>
      <c r="F39" t="s">
        <v>53</v>
      </c>
      <c r="G39" t="s">
        <v>6</v>
      </c>
      <c r="J39" s="200">
        <v>0.1</v>
      </c>
      <c r="K39" s="118">
        <v>1</v>
      </c>
      <c r="L39" s="118">
        <v>1</v>
      </c>
      <c r="M39" s="113" t="s">
        <v>246</v>
      </c>
      <c r="N39" s="148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247</v>
      </c>
    </row>
    <row r="40" spans="1:20" x14ac:dyDescent="0.35">
      <c r="A40" s="136">
        <v>32</v>
      </c>
      <c r="B40" t="s">
        <v>260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6">
        <v>33</v>
      </c>
      <c r="B41" t="s">
        <v>259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7">
        <v>34</v>
      </c>
      <c r="B42" t="s">
        <v>258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6">
        <v>35</v>
      </c>
      <c r="B43" t="s">
        <v>254</v>
      </c>
      <c r="C43" s="22">
        <v>46261</v>
      </c>
      <c r="D43" s="22">
        <v>46265</v>
      </c>
      <c r="E43" s="22">
        <v>46030</v>
      </c>
      <c r="F43" t="s">
        <v>54</v>
      </c>
      <c r="G43" t="s">
        <v>6</v>
      </c>
      <c r="I43" s="2" t="s">
        <v>156</v>
      </c>
      <c r="J43" s="200">
        <v>0.1</v>
      </c>
      <c r="K43">
        <v>1</v>
      </c>
      <c r="L43">
        <v>2</v>
      </c>
      <c r="M43" s="156" t="s">
        <v>255</v>
      </c>
      <c r="N43" s="176">
        <v>46733448215</v>
      </c>
      <c r="O43" s="2" t="s">
        <v>256</v>
      </c>
      <c r="Q43" s="2" t="s">
        <v>21</v>
      </c>
      <c r="R43" s="122">
        <v>4140</v>
      </c>
      <c r="S43" s="2" t="s">
        <v>38</v>
      </c>
      <c r="T43" t="s">
        <v>257</v>
      </c>
    </row>
    <row r="44" spans="1:20" x14ac:dyDescent="0.35">
      <c r="A44" s="136">
        <v>36</v>
      </c>
      <c r="B44" t="s">
        <v>253</v>
      </c>
      <c r="C44" s="22">
        <v>46209</v>
      </c>
      <c r="D44" s="22">
        <v>46212</v>
      </c>
      <c r="E44" s="22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6">
        <v>36</v>
      </c>
      <c r="M45" s="113"/>
    </row>
    <row r="46" spans="1:20" x14ac:dyDescent="0.35">
      <c r="A46" s="137">
        <v>37</v>
      </c>
      <c r="B46" t="s">
        <v>251</v>
      </c>
      <c r="C46" s="22">
        <v>46195</v>
      </c>
      <c r="D46" s="22">
        <v>46198</v>
      </c>
      <c r="E46" s="22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6">
        <v>38</v>
      </c>
      <c r="B47" t="s">
        <v>250</v>
      </c>
      <c r="C47" s="22">
        <v>46221</v>
      </c>
      <c r="D47" s="22">
        <v>46228</v>
      </c>
      <c r="E47" s="22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249</v>
      </c>
      <c r="C48" s="22">
        <v>46216</v>
      </c>
      <c r="D48" s="22">
        <v>46220</v>
      </c>
      <c r="E48" s="22">
        <v>46032</v>
      </c>
      <c r="G48" t="s">
        <v>264</v>
      </c>
    </row>
    <row r="49" spans="1:20" x14ac:dyDescent="0.35">
      <c r="A49" s="2">
        <v>40</v>
      </c>
      <c r="B49" t="s">
        <v>248</v>
      </c>
      <c r="C49" s="22">
        <v>46164</v>
      </c>
      <c r="D49" s="22">
        <v>46167</v>
      </c>
      <c r="E49" s="22">
        <v>46033</v>
      </c>
      <c r="F49" t="s">
        <v>53</v>
      </c>
      <c r="G49" t="s">
        <v>264</v>
      </c>
      <c r="M49" s="113"/>
    </row>
    <row r="50" spans="1:20" x14ac:dyDescent="0.35">
      <c r="A50" s="2">
        <v>41</v>
      </c>
      <c r="B50" t="s">
        <v>263</v>
      </c>
      <c r="C50" s="22">
        <v>46282</v>
      </c>
      <c r="D50" s="22">
        <v>46285</v>
      </c>
      <c r="E50" s="22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262</v>
      </c>
      <c r="C51" s="22">
        <v>46282</v>
      </c>
      <c r="D51" s="22">
        <v>46285</v>
      </c>
      <c r="E51" s="22">
        <v>46036</v>
      </c>
      <c r="F51" t="s">
        <v>54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280</v>
      </c>
      <c r="C52" s="22">
        <v>46216</v>
      </c>
      <c r="D52" s="22">
        <v>46219</v>
      </c>
      <c r="E52" s="22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3" t="s">
        <v>282</v>
      </c>
      <c r="N52" s="148">
        <v>4526140610</v>
      </c>
      <c r="Q52" s="2" t="s">
        <v>21</v>
      </c>
      <c r="R52" s="122">
        <v>4500</v>
      </c>
      <c r="S52" s="2" t="s">
        <v>20</v>
      </c>
      <c r="T52" t="s">
        <v>281</v>
      </c>
    </row>
    <row r="53" spans="1:20" x14ac:dyDescent="0.35">
      <c r="A53" s="2">
        <v>44</v>
      </c>
      <c r="B53" t="s">
        <v>279</v>
      </c>
      <c r="C53" s="22">
        <v>46222</v>
      </c>
      <c r="D53" s="22">
        <v>46227</v>
      </c>
      <c r="E53" s="22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278</v>
      </c>
      <c r="C54" s="22">
        <v>46240</v>
      </c>
      <c r="D54" s="22">
        <v>46243</v>
      </c>
      <c r="E54" s="22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275</v>
      </c>
      <c r="C55" s="22">
        <v>46247</v>
      </c>
      <c r="D55" s="22">
        <v>46252</v>
      </c>
      <c r="E55" s="22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277</v>
      </c>
      <c r="T55" t="s">
        <v>276</v>
      </c>
    </row>
    <row r="56" spans="1:20" x14ac:dyDescent="0.35">
      <c r="A56" s="2">
        <v>47</v>
      </c>
      <c r="B56" t="s">
        <v>211</v>
      </c>
      <c r="C56" s="22">
        <v>46281</v>
      </c>
      <c r="D56" s="22">
        <v>46286</v>
      </c>
      <c r="E56" s="22">
        <v>46037</v>
      </c>
      <c r="F56" t="s">
        <v>53</v>
      </c>
      <c r="G56" t="s">
        <v>6</v>
      </c>
      <c r="K56">
        <v>1</v>
      </c>
      <c r="L56">
        <v>2</v>
      </c>
      <c r="M56" s="113" t="s">
        <v>212</v>
      </c>
      <c r="N56" s="176">
        <v>4531909358</v>
      </c>
      <c r="O56" s="178" t="s">
        <v>273</v>
      </c>
      <c r="Q56" s="2" t="s">
        <v>21</v>
      </c>
      <c r="S56" s="2" t="s">
        <v>21</v>
      </c>
      <c r="T56" t="s">
        <v>274</v>
      </c>
    </row>
    <row r="57" spans="1:20" x14ac:dyDescent="0.35">
      <c r="A57" s="2">
        <v>48</v>
      </c>
      <c r="B57" t="s">
        <v>272</v>
      </c>
      <c r="C57" s="22">
        <v>46156</v>
      </c>
      <c r="D57" s="22">
        <v>46159</v>
      </c>
      <c r="E57" s="22">
        <v>46040</v>
      </c>
      <c r="F57" t="s">
        <v>53</v>
      </c>
      <c r="G57" t="s">
        <v>264</v>
      </c>
      <c r="M57" s="113"/>
    </row>
    <row r="58" spans="1:20" x14ac:dyDescent="0.35">
      <c r="A58" s="2">
        <v>49</v>
      </c>
      <c r="B58" t="s">
        <v>271</v>
      </c>
      <c r="C58" s="22">
        <v>46228</v>
      </c>
      <c r="D58" s="22">
        <v>46235</v>
      </c>
      <c r="E58" s="22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270</v>
      </c>
      <c r="C59" s="22">
        <v>46237</v>
      </c>
      <c r="D59" s="22">
        <v>46241</v>
      </c>
      <c r="E59" s="22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267</v>
      </c>
      <c r="C60" s="22">
        <v>46250</v>
      </c>
      <c r="D60" s="22">
        <v>46255</v>
      </c>
      <c r="E60" s="22">
        <v>46041</v>
      </c>
      <c r="F60" t="s">
        <v>53</v>
      </c>
      <c r="G60" t="s">
        <v>6</v>
      </c>
      <c r="J60" s="200">
        <v>0.1</v>
      </c>
      <c r="K60">
        <v>1</v>
      </c>
      <c r="L60">
        <v>2</v>
      </c>
      <c r="M60" s="156" t="s">
        <v>269</v>
      </c>
      <c r="N60" s="176">
        <v>4540474386</v>
      </c>
      <c r="O60" s="178" t="s">
        <v>268</v>
      </c>
      <c r="Q60" s="2" t="s">
        <v>21</v>
      </c>
      <c r="R60" s="184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285</v>
      </c>
      <c r="C61" s="22">
        <v>46251</v>
      </c>
      <c r="D61" s="22">
        <v>46255</v>
      </c>
      <c r="E61" s="22">
        <v>46041</v>
      </c>
      <c r="F61" t="s">
        <v>53</v>
      </c>
      <c r="G61" t="s">
        <v>35</v>
      </c>
      <c r="H61" s="1" t="s">
        <v>439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284</v>
      </c>
      <c r="C62" s="22">
        <v>46155</v>
      </c>
      <c r="D62" s="22">
        <v>46158</v>
      </c>
      <c r="E62" s="22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48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299</v>
      </c>
      <c r="C63" s="22">
        <v>46254</v>
      </c>
      <c r="D63" s="22">
        <v>46257</v>
      </c>
      <c r="E63" s="22">
        <v>46042</v>
      </c>
      <c r="F63" t="s">
        <v>53</v>
      </c>
      <c r="G63" t="s">
        <v>35</v>
      </c>
      <c r="H63" s="1" t="s">
        <v>374</v>
      </c>
      <c r="I63" s="2" t="s">
        <v>435</v>
      </c>
      <c r="K63">
        <v>2</v>
      </c>
      <c r="L63">
        <v>4</v>
      </c>
      <c r="M63" s="113"/>
      <c r="Q63" s="2" t="s">
        <v>20</v>
      </c>
      <c r="R63" s="155">
        <v>5700</v>
      </c>
    </row>
    <row r="64" spans="1:20" x14ac:dyDescent="0.35">
      <c r="A64" s="2">
        <v>54</v>
      </c>
      <c r="M64" s="113"/>
      <c r="R64" s="155"/>
    </row>
    <row r="65" spans="1:20" x14ac:dyDescent="0.35">
      <c r="A65" s="2">
        <v>55</v>
      </c>
      <c r="B65" t="s">
        <v>298</v>
      </c>
      <c r="C65" s="22">
        <v>46230</v>
      </c>
      <c r="D65" s="22">
        <v>46234</v>
      </c>
      <c r="E65" s="22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295</v>
      </c>
      <c r="C66" s="22">
        <v>46192</v>
      </c>
      <c r="D66" s="22">
        <v>46194</v>
      </c>
      <c r="E66" s="22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297</v>
      </c>
    </row>
    <row r="67" spans="1:20" x14ac:dyDescent="0.35">
      <c r="A67" s="2">
        <v>57</v>
      </c>
      <c r="B67" t="s">
        <v>292</v>
      </c>
      <c r="C67" s="22">
        <v>46232</v>
      </c>
      <c r="D67" s="22">
        <v>46238</v>
      </c>
      <c r="E67" s="22">
        <v>46043</v>
      </c>
      <c r="F67" t="s">
        <v>54</v>
      </c>
      <c r="G67" t="s">
        <v>35</v>
      </c>
      <c r="K67">
        <v>1</v>
      </c>
      <c r="L67">
        <v>2</v>
      </c>
      <c r="N67" s="176">
        <v>466700686</v>
      </c>
      <c r="O67" s="2" t="s">
        <v>293</v>
      </c>
      <c r="Q67" s="2" t="s">
        <v>20</v>
      </c>
      <c r="R67" s="155">
        <v>6450</v>
      </c>
      <c r="S67" s="2" t="s">
        <v>38</v>
      </c>
      <c r="T67" t="s">
        <v>294</v>
      </c>
    </row>
    <row r="68" spans="1:20" x14ac:dyDescent="0.35">
      <c r="A68" s="2">
        <v>58</v>
      </c>
      <c r="B68" t="s">
        <v>290</v>
      </c>
      <c r="C68" s="22">
        <v>46229</v>
      </c>
      <c r="D68" s="22">
        <v>46233</v>
      </c>
      <c r="E68" s="22">
        <v>46046</v>
      </c>
      <c r="F68" t="s">
        <v>53</v>
      </c>
      <c r="G68" t="s">
        <v>6</v>
      </c>
      <c r="I68" s="2" t="s">
        <v>159</v>
      </c>
      <c r="J68" s="200">
        <v>0.1</v>
      </c>
      <c r="K68">
        <v>2</v>
      </c>
      <c r="L68">
        <v>2</v>
      </c>
      <c r="M68" s="113"/>
      <c r="Q68" s="2" t="s">
        <v>21</v>
      </c>
      <c r="R68" s="155">
        <v>4590</v>
      </c>
      <c r="S68" s="2" t="s">
        <v>38</v>
      </c>
      <c r="T68" t="s">
        <v>291</v>
      </c>
    </row>
    <row r="69" spans="1:20" x14ac:dyDescent="0.35">
      <c r="A69" s="2">
        <v>58</v>
      </c>
      <c r="C69" s="22">
        <v>46229</v>
      </c>
      <c r="M69" s="113"/>
      <c r="R69" s="155"/>
    </row>
    <row r="70" spans="1:20" x14ac:dyDescent="0.35">
      <c r="A70" s="2">
        <v>59</v>
      </c>
      <c r="B70" t="s">
        <v>300</v>
      </c>
      <c r="C70" s="22">
        <v>46244</v>
      </c>
      <c r="D70" s="22">
        <v>46248</v>
      </c>
      <c r="E70" s="22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3"/>
      <c r="N70" s="148">
        <v>4542401010</v>
      </c>
      <c r="Q70" s="2" t="s">
        <v>21</v>
      </c>
      <c r="R70" s="155">
        <v>5100</v>
      </c>
      <c r="S70" s="2" t="s">
        <v>20</v>
      </c>
    </row>
    <row r="71" spans="1:20" x14ac:dyDescent="0.35">
      <c r="A71" s="2">
        <v>60</v>
      </c>
      <c r="B71" t="s">
        <v>307</v>
      </c>
      <c r="C71" s="22">
        <v>46258</v>
      </c>
      <c r="D71" s="22">
        <v>46262</v>
      </c>
      <c r="E71" s="22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5">
        <v>3800</v>
      </c>
      <c r="S71" s="2" t="s">
        <v>20</v>
      </c>
    </row>
    <row r="72" spans="1:20" x14ac:dyDescent="0.35">
      <c r="A72" s="2">
        <v>61</v>
      </c>
      <c r="B72" t="s">
        <v>305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3"/>
      <c r="Q72" s="2" t="s">
        <v>20</v>
      </c>
      <c r="R72" s="155">
        <v>2975</v>
      </c>
      <c r="S72" s="2" t="s">
        <v>20</v>
      </c>
    </row>
    <row r="73" spans="1:20" x14ac:dyDescent="0.35">
      <c r="A73" s="2">
        <v>62</v>
      </c>
      <c r="B73" t="s">
        <v>304</v>
      </c>
      <c r="C73" s="22">
        <v>46214</v>
      </c>
      <c r="D73" s="22">
        <v>46225</v>
      </c>
      <c r="E73" s="22">
        <v>46047</v>
      </c>
      <c r="F73" t="s">
        <v>53</v>
      </c>
      <c r="G73" t="s">
        <v>35</v>
      </c>
      <c r="I73" s="2" t="s">
        <v>296</v>
      </c>
      <c r="J73" s="200">
        <v>0.1</v>
      </c>
      <c r="K73">
        <v>1</v>
      </c>
      <c r="L73">
        <v>2</v>
      </c>
      <c r="Q73" s="2" t="s">
        <v>21</v>
      </c>
      <c r="R73" s="155">
        <f>8925+3442.5</f>
        <v>12367.5</v>
      </c>
      <c r="S73" s="2" t="s">
        <v>20</v>
      </c>
      <c r="T73" t="s">
        <v>316</v>
      </c>
    </row>
    <row r="74" spans="1:20" x14ac:dyDescent="0.35">
      <c r="A74" s="2">
        <v>63</v>
      </c>
      <c r="B74" t="s">
        <v>302</v>
      </c>
      <c r="C74" s="22">
        <v>46153</v>
      </c>
      <c r="D74" s="22">
        <v>46155</v>
      </c>
      <c r="E74" s="22">
        <v>46048</v>
      </c>
      <c r="F74" t="s">
        <v>54</v>
      </c>
      <c r="G74" t="s">
        <v>6</v>
      </c>
      <c r="H74" s="1" t="s">
        <v>440</v>
      </c>
      <c r="I74" s="2" t="s">
        <v>156</v>
      </c>
      <c r="J74" s="200">
        <v>0.05</v>
      </c>
      <c r="K74">
        <v>1</v>
      </c>
      <c r="L74">
        <v>2</v>
      </c>
      <c r="M74" s="113" t="s">
        <v>303</v>
      </c>
      <c r="N74" s="148">
        <v>460739771649</v>
      </c>
      <c r="Q74" s="2" t="s">
        <v>20</v>
      </c>
      <c r="R74" s="155">
        <v>1805</v>
      </c>
      <c r="S74" s="2" t="s">
        <v>20</v>
      </c>
    </row>
    <row r="75" spans="1:20" x14ac:dyDescent="0.35">
      <c r="A75" s="2">
        <v>64</v>
      </c>
      <c r="B75" t="s">
        <v>309</v>
      </c>
      <c r="C75" s="22">
        <v>46198</v>
      </c>
      <c r="D75" s="22">
        <v>46201</v>
      </c>
      <c r="E75" s="22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313</v>
      </c>
      <c r="C76" s="22">
        <v>46256</v>
      </c>
      <c r="D76" s="22">
        <v>46259</v>
      </c>
      <c r="E76" s="22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5">
        <v>2850</v>
      </c>
      <c r="S76" s="2" t="s">
        <v>20</v>
      </c>
    </row>
    <row r="77" spans="1:20" x14ac:dyDescent="0.35">
      <c r="A77" s="2">
        <v>66</v>
      </c>
      <c r="B77" t="s">
        <v>311</v>
      </c>
      <c r="C77" s="22">
        <v>46214</v>
      </c>
      <c r="D77" s="22">
        <v>46222</v>
      </c>
      <c r="E77" s="22">
        <v>46054</v>
      </c>
      <c r="F77" t="s">
        <v>53</v>
      </c>
      <c r="G77" t="s">
        <v>6</v>
      </c>
      <c r="J77" s="200">
        <v>0.1</v>
      </c>
      <c r="K77">
        <v>1</v>
      </c>
      <c r="L77">
        <v>2</v>
      </c>
      <c r="M77" s="113" t="s">
        <v>312</v>
      </c>
      <c r="N77" s="147">
        <v>4521261488</v>
      </c>
      <c r="O77" s="2" t="s">
        <v>179</v>
      </c>
      <c r="Q77" s="2" t="s">
        <v>21</v>
      </c>
      <c r="R77" s="155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310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3"/>
      <c r="Q78" s="2" t="s">
        <v>21</v>
      </c>
      <c r="R78" s="155">
        <v>5750</v>
      </c>
      <c r="S78" s="2" t="s">
        <v>20</v>
      </c>
    </row>
    <row r="79" spans="1:20" x14ac:dyDescent="0.35">
      <c r="A79" s="2">
        <v>68</v>
      </c>
      <c r="B79" t="s">
        <v>315</v>
      </c>
      <c r="C79" s="22">
        <v>46143</v>
      </c>
      <c r="D79" s="22">
        <v>46145</v>
      </c>
      <c r="E79" s="22">
        <v>46055</v>
      </c>
      <c r="F79" t="s">
        <v>53</v>
      </c>
      <c r="G79" t="s">
        <v>35</v>
      </c>
      <c r="H79" s="1" t="s">
        <v>440</v>
      </c>
      <c r="I79" s="2" t="s">
        <v>159</v>
      </c>
      <c r="K79">
        <v>1</v>
      </c>
      <c r="L79">
        <v>1</v>
      </c>
      <c r="N79" s="148">
        <v>4541102606</v>
      </c>
      <c r="P79" s="2" t="s">
        <v>21</v>
      </c>
      <c r="Q79" s="2" t="s">
        <v>20</v>
      </c>
      <c r="R79" s="155">
        <v>1700</v>
      </c>
      <c r="S79" s="2" t="s">
        <v>20</v>
      </c>
    </row>
    <row r="80" spans="1:20" x14ac:dyDescent="0.35">
      <c r="A80" s="2">
        <v>69</v>
      </c>
      <c r="B80" t="s">
        <v>314</v>
      </c>
      <c r="C80" s="22">
        <v>46212</v>
      </c>
      <c r="D80" s="22">
        <v>46215</v>
      </c>
      <c r="E80" s="22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5">
        <v>3225</v>
      </c>
      <c r="S80" s="2" t="s">
        <v>20</v>
      </c>
    </row>
    <row r="81" spans="1:20" x14ac:dyDescent="0.35">
      <c r="A81" s="2">
        <v>70</v>
      </c>
      <c r="B81" t="s">
        <v>322</v>
      </c>
      <c r="C81" s="22">
        <v>46188</v>
      </c>
      <c r="D81" s="22">
        <v>46193</v>
      </c>
      <c r="E81" s="22">
        <v>46056</v>
      </c>
      <c r="F81" t="s">
        <v>53</v>
      </c>
      <c r="G81" t="s">
        <v>6</v>
      </c>
      <c r="K81">
        <v>1</v>
      </c>
      <c r="L81">
        <v>2</v>
      </c>
      <c r="M81" s="113" t="s">
        <v>323</v>
      </c>
      <c r="N81" s="147">
        <v>4561793423</v>
      </c>
      <c r="Q81" s="2" t="s">
        <v>21</v>
      </c>
      <c r="R81" s="155">
        <v>5175</v>
      </c>
      <c r="S81" s="2" t="s">
        <v>21</v>
      </c>
      <c r="T81" t="s">
        <v>324</v>
      </c>
    </row>
    <row r="82" spans="1:20" x14ac:dyDescent="0.35">
      <c r="A82" s="2">
        <v>71</v>
      </c>
      <c r="B82" t="s">
        <v>325</v>
      </c>
      <c r="C82" s="22">
        <v>46260</v>
      </c>
      <c r="D82" s="22">
        <v>46264</v>
      </c>
      <c r="E82" s="22">
        <v>46057</v>
      </c>
      <c r="F82" t="s">
        <v>31</v>
      </c>
      <c r="G82" t="s">
        <v>264</v>
      </c>
      <c r="I82" s="2" t="s">
        <v>159</v>
      </c>
    </row>
    <row r="83" spans="1:20" x14ac:dyDescent="0.35">
      <c r="A83" s="2">
        <v>72</v>
      </c>
      <c r="B83" t="s">
        <v>319</v>
      </c>
      <c r="C83" s="22">
        <v>46145</v>
      </c>
      <c r="D83" s="22">
        <v>46152</v>
      </c>
      <c r="E83" s="22">
        <v>46060</v>
      </c>
      <c r="F83" t="s">
        <v>53</v>
      </c>
      <c r="G83" t="s">
        <v>35</v>
      </c>
      <c r="H83" s="1" t="s">
        <v>436</v>
      </c>
      <c r="I83" s="2" t="s">
        <v>159</v>
      </c>
      <c r="K83">
        <v>1</v>
      </c>
      <c r="L83">
        <v>2</v>
      </c>
      <c r="M83" s="156" t="s">
        <v>320</v>
      </c>
      <c r="N83" s="147">
        <v>4527139833</v>
      </c>
      <c r="Q83" s="2" t="s">
        <v>21</v>
      </c>
      <c r="R83" s="155">
        <v>8050</v>
      </c>
      <c r="S83" s="2" t="s">
        <v>21</v>
      </c>
      <c r="T83" t="s">
        <v>321</v>
      </c>
    </row>
    <row r="84" spans="1:20" x14ac:dyDescent="0.35">
      <c r="A84" s="2">
        <v>73</v>
      </c>
      <c r="B84" t="s">
        <v>318</v>
      </c>
      <c r="C84" s="22">
        <v>46143</v>
      </c>
      <c r="D84" s="22">
        <v>46145</v>
      </c>
      <c r="E84" s="22">
        <v>46061</v>
      </c>
      <c r="F84" t="s">
        <v>53</v>
      </c>
      <c r="G84" t="s">
        <v>264</v>
      </c>
    </row>
    <row r="85" spans="1:20" x14ac:dyDescent="0.35">
      <c r="A85" s="2">
        <v>74</v>
      </c>
      <c r="B85" t="s">
        <v>328</v>
      </c>
      <c r="C85" s="22">
        <v>46236</v>
      </c>
      <c r="D85" s="22">
        <v>46240</v>
      </c>
      <c r="E85" s="22">
        <v>46063</v>
      </c>
      <c r="F85" t="s">
        <v>53</v>
      </c>
      <c r="G85" t="s">
        <v>6</v>
      </c>
      <c r="J85" s="200">
        <v>0.1</v>
      </c>
      <c r="K85">
        <v>2</v>
      </c>
      <c r="L85">
        <v>3</v>
      </c>
      <c r="M85" s="113" t="s">
        <v>329</v>
      </c>
      <c r="Q85" s="2" t="s">
        <v>21</v>
      </c>
      <c r="R85" s="155">
        <v>8460</v>
      </c>
      <c r="S85" s="2" t="s">
        <v>21</v>
      </c>
      <c r="T85" t="s">
        <v>330</v>
      </c>
    </row>
    <row r="86" spans="1:20" x14ac:dyDescent="0.35">
      <c r="A86" s="2">
        <v>74</v>
      </c>
      <c r="M86" s="113"/>
      <c r="R86" s="155"/>
    </row>
    <row r="87" spans="1:20" x14ac:dyDescent="0.35">
      <c r="A87" s="2">
        <v>75</v>
      </c>
      <c r="B87" t="s">
        <v>327</v>
      </c>
      <c r="C87" s="22">
        <v>46276</v>
      </c>
      <c r="D87" s="22">
        <v>46279</v>
      </c>
      <c r="E87" s="22">
        <v>46067</v>
      </c>
      <c r="F87" t="s">
        <v>53</v>
      </c>
      <c r="G87" t="s">
        <v>264</v>
      </c>
      <c r="R87" s="155"/>
    </row>
    <row r="88" spans="1:20" x14ac:dyDescent="0.35">
      <c r="A88" s="2">
        <v>76</v>
      </c>
      <c r="B88" t="s">
        <v>326</v>
      </c>
      <c r="C88" s="22">
        <v>46202</v>
      </c>
      <c r="D88" s="22">
        <v>46206</v>
      </c>
      <c r="E88" s="22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5">
        <v>5100</v>
      </c>
      <c r="S88" s="2" t="s">
        <v>20</v>
      </c>
    </row>
    <row r="89" spans="1:20" x14ac:dyDescent="0.35">
      <c r="A89" s="2">
        <v>77</v>
      </c>
      <c r="B89" t="s">
        <v>331</v>
      </c>
      <c r="C89" s="22">
        <v>46200</v>
      </c>
      <c r="D89" s="22">
        <v>46207</v>
      </c>
      <c r="E89" s="22">
        <v>46069</v>
      </c>
      <c r="F89" t="s">
        <v>53</v>
      </c>
      <c r="G89" t="s">
        <v>6</v>
      </c>
      <c r="K89">
        <v>1</v>
      </c>
      <c r="L89">
        <v>2</v>
      </c>
      <c r="M89" s="156" t="s">
        <v>332</v>
      </c>
      <c r="N89" s="147">
        <v>4525240507</v>
      </c>
      <c r="Q89" s="2" t="s">
        <v>21</v>
      </c>
      <c r="R89" s="184">
        <v>8032.5</v>
      </c>
      <c r="S89" s="2" t="s">
        <v>21</v>
      </c>
      <c r="T89" t="s">
        <v>333</v>
      </c>
    </row>
    <row r="90" spans="1:20" x14ac:dyDescent="0.35">
      <c r="A90" s="2">
        <v>78</v>
      </c>
      <c r="B90" t="s">
        <v>341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53</v>
      </c>
      <c r="G91" t="s">
        <v>6</v>
      </c>
      <c r="J91" s="200">
        <v>0.1</v>
      </c>
      <c r="K91">
        <v>1</v>
      </c>
      <c r="L91">
        <v>2</v>
      </c>
      <c r="M91" s="113" t="s">
        <v>339</v>
      </c>
      <c r="N91" s="147">
        <v>4520646004</v>
      </c>
      <c r="Q91" s="2" t="s">
        <v>21</v>
      </c>
      <c r="R91" s="155">
        <v>5175</v>
      </c>
      <c r="S91" s="2" t="s">
        <v>38</v>
      </c>
      <c r="T91" t="s">
        <v>340</v>
      </c>
    </row>
    <row r="92" spans="1:20" x14ac:dyDescent="0.35">
      <c r="A92" s="2">
        <v>80</v>
      </c>
      <c r="B92" t="s">
        <v>336</v>
      </c>
      <c r="C92" s="22">
        <v>46149</v>
      </c>
      <c r="D92" s="22">
        <v>46152</v>
      </c>
      <c r="E92" s="22">
        <v>46074</v>
      </c>
      <c r="F92" t="s">
        <v>53</v>
      </c>
      <c r="G92" t="s">
        <v>6</v>
      </c>
      <c r="I92" s="2" t="s">
        <v>26</v>
      </c>
      <c r="J92" s="200">
        <v>0.1</v>
      </c>
      <c r="K92">
        <v>2</v>
      </c>
      <c r="L92">
        <v>4</v>
      </c>
      <c r="M92" s="113" t="s">
        <v>337</v>
      </c>
      <c r="N92" s="147">
        <v>4520143818</v>
      </c>
      <c r="Q92" s="2" t="s">
        <v>21</v>
      </c>
      <c r="R92" s="122">
        <v>10350</v>
      </c>
      <c r="S92" s="2" t="s">
        <v>21</v>
      </c>
      <c r="T92" t="s">
        <v>338</v>
      </c>
    </row>
    <row r="93" spans="1:20" x14ac:dyDescent="0.35">
      <c r="A93" s="2">
        <v>80</v>
      </c>
      <c r="M93" s="113"/>
      <c r="N93" s="147"/>
    </row>
    <row r="94" spans="1:20" x14ac:dyDescent="0.35">
      <c r="A94" s="2">
        <v>81</v>
      </c>
      <c r="B94" t="s">
        <v>342</v>
      </c>
      <c r="C94" s="22">
        <v>46218</v>
      </c>
      <c r="D94" s="22">
        <v>46221</v>
      </c>
      <c r="E94" s="22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80" t="s">
        <v>343</v>
      </c>
      <c r="C95" s="22">
        <v>46143</v>
      </c>
      <c r="D95" s="22">
        <v>46145</v>
      </c>
      <c r="E95" s="22">
        <v>46075</v>
      </c>
      <c r="F95" t="s">
        <v>53</v>
      </c>
      <c r="G95" t="s">
        <v>264</v>
      </c>
      <c r="R95" s="155"/>
    </row>
    <row r="96" spans="1:20" x14ac:dyDescent="0.35">
      <c r="A96" s="2">
        <v>83</v>
      </c>
      <c r="B96" s="183" t="s">
        <v>344</v>
      </c>
      <c r="C96" s="22">
        <v>46187</v>
      </c>
      <c r="D96" s="22">
        <v>46191</v>
      </c>
      <c r="E96" s="22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80" t="s">
        <v>356</v>
      </c>
      <c r="C97" s="22">
        <v>46212</v>
      </c>
      <c r="D97" s="22">
        <v>46216</v>
      </c>
      <c r="E97" s="22">
        <v>46079</v>
      </c>
      <c r="F97" t="s">
        <v>53</v>
      </c>
      <c r="G97" t="s">
        <v>6</v>
      </c>
      <c r="J97" s="200">
        <v>0.1</v>
      </c>
      <c r="K97">
        <v>1</v>
      </c>
      <c r="L97">
        <v>2</v>
      </c>
      <c r="M97" s="156" t="s">
        <v>357</v>
      </c>
      <c r="N97" s="147">
        <v>4526251564</v>
      </c>
      <c r="O97" s="2" t="s">
        <v>358</v>
      </c>
      <c r="Q97" s="2" t="s">
        <v>20</v>
      </c>
      <c r="R97" s="155">
        <v>3870</v>
      </c>
    </row>
    <row r="98" spans="1:20" x14ac:dyDescent="0.35">
      <c r="A98" s="2">
        <v>85</v>
      </c>
      <c r="B98" t="s">
        <v>355</v>
      </c>
      <c r="C98" s="22">
        <v>46143</v>
      </c>
      <c r="D98" s="22">
        <v>46145</v>
      </c>
      <c r="E98" s="22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48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352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200">
        <v>0.1</v>
      </c>
      <c r="K99">
        <v>1</v>
      </c>
      <c r="L99">
        <v>2</v>
      </c>
      <c r="M99" s="113" t="s">
        <v>353</v>
      </c>
      <c r="O99" s="2" t="s">
        <v>354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359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366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264</v>
      </c>
    </row>
    <row r="102" spans="1:20" x14ac:dyDescent="0.35">
      <c r="A102" s="2">
        <v>89</v>
      </c>
      <c r="B102" t="s">
        <v>362</v>
      </c>
      <c r="C102" s="22">
        <v>46276</v>
      </c>
      <c r="D102" s="22">
        <v>46278</v>
      </c>
      <c r="E102" s="22">
        <v>46091</v>
      </c>
      <c r="F102" t="s">
        <v>53</v>
      </c>
      <c r="G102" t="s">
        <v>6</v>
      </c>
      <c r="I102" s="2" t="s">
        <v>159</v>
      </c>
      <c r="J102" s="200">
        <v>0.05</v>
      </c>
      <c r="K102">
        <v>2</v>
      </c>
      <c r="L102">
        <v>3</v>
      </c>
      <c r="M102" s="113" t="s">
        <v>363</v>
      </c>
      <c r="N102">
        <v>4540528447</v>
      </c>
      <c r="O102"/>
      <c r="P102" s="2" t="s">
        <v>365</v>
      </c>
      <c r="Q102" s="2" t="s">
        <v>21</v>
      </c>
      <c r="R102" s="122">
        <f>2185+1805</f>
        <v>3990</v>
      </c>
      <c r="S102" s="2" t="s">
        <v>20</v>
      </c>
      <c r="T102" t="s">
        <v>364</v>
      </c>
    </row>
    <row r="103" spans="1:20" x14ac:dyDescent="0.35">
      <c r="M103" s="113"/>
      <c r="N103"/>
      <c r="O103"/>
    </row>
    <row r="104" spans="1:20" x14ac:dyDescent="0.35">
      <c r="A104" s="2">
        <v>90</v>
      </c>
      <c r="B104" t="s">
        <v>360</v>
      </c>
      <c r="C104" s="22">
        <v>46156</v>
      </c>
      <c r="D104" s="22">
        <v>46159</v>
      </c>
      <c r="E104" s="22">
        <v>46091</v>
      </c>
      <c r="F104" t="s">
        <v>54</v>
      </c>
      <c r="G104" t="s">
        <v>35</v>
      </c>
      <c r="H104" s="1" t="s">
        <v>361</v>
      </c>
      <c r="I104" s="2" t="s">
        <v>156</v>
      </c>
      <c r="J104" s="200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367</v>
      </c>
      <c r="C105" s="22">
        <v>46157</v>
      </c>
      <c r="D105" s="22">
        <v>46159</v>
      </c>
      <c r="E105" s="22">
        <v>46095</v>
      </c>
      <c r="F105" t="s">
        <v>53</v>
      </c>
      <c r="G105" t="s">
        <v>6</v>
      </c>
      <c r="J105" s="200">
        <v>0.05</v>
      </c>
      <c r="K105">
        <v>1</v>
      </c>
      <c r="L105">
        <v>2</v>
      </c>
      <c r="N105"/>
      <c r="O105" t="s">
        <v>495</v>
      </c>
      <c r="P105" s="2" t="s">
        <v>20</v>
      </c>
      <c r="Q105" s="2" t="s">
        <v>21</v>
      </c>
      <c r="R105" s="194">
        <v>2185</v>
      </c>
      <c r="S105" s="2" t="s">
        <v>20</v>
      </c>
    </row>
    <row r="106" spans="1:20" x14ac:dyDescent="0.35">
      <c r="A106" s="2">
        <v>92</v>
      </c>
      <c r="B106" t="s">
        <v>368</v>
      </c>
      <c r="C106" s="22">
        <v>46241</v>
      </c>
      <c r="D106" s="22">
        <v>46246</v>
      </c>
      <c r="E106" s="22">
        <v>46095</v>
      </c>
      <c r="F106" t="s">
        <v>53</v>
      </c>
      <c r="G106" t="s">
        <v>6</v>
      </c>
      <c r="H106" s="1" t="s">
        <v>369</v>
      </c>
      <c r="I106" s="2" t="s">
        <v>159</v>
      </c>
      <c r="J106" s="200">
        <v>0.1</v>
      </c>
      <c r="K106">
        <v>1</v>
      </c>
      <c r="L106">
        <v>2</v>
      </c>
      <c r="M106" s="113" t="s">
        <v>370</v>
      </c>
      <c r="N106"/>
      <c r="O106" t="s">
        <v>371</v>
      </c>
      <c r="P106" s="2" t="s">
        <v>20</v>
      </c>
      <c r="Q106" s="2" t="s">
        <v>20</v>
      </c>
      <c r="R106" s="194">
        <v>4837.5</v>
      </c>
      <c r="S106" s="2" t="s">
        <v>38</v>
      </c>
      <c r="T106" t="s">
        <v>372</v>
      </c>
    </row>
    <row r="107" spans="1:20" x14ac:dyDescent="0.35">
      <c r="A107" s="2">
        <v>93</v>
      </c>
      <c r="B107" t="s">
        <v>373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374</v>
      </c>
      <c r="I107" s="2" t="s">
        <v>159</v>
      </c>
      <c r="J107" s="200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4">
        <v>2850</v>
      </c>
      <c r="S107" s="2" t="s">
        <v>20</v>
      </c>
    </row>
    <row r="108" spans="1:20" x14ac:dyDescent="0.35">
      <c r="A108" s="2">
        <v>94</v>
      </c>
      <c r="B108" t="s">
        <v>375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200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376</v>
      </c>
      <c r="C109" s="22">
        <v>46156</v>
      </c>
      <c r="D109" s="22">
        <v>46159</v>
      </c>
      <c r="E109" s="22">
        <v>46098</v>
      </c>
      <c r="F109" t="s">
        <v>54</v>
      </c>
      <c r="G109" t="s">
        <v>35</v>
      </c>
      <c r="J109" s="200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377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378</v>
      </c>
      <c r="I110" s="2" t="s">
        <v>156</v>
      </c>
      <c r="J110" s="200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379</v>
      </c>
      <c r="C111" s="22">
        <v>46156</v>
      </c>
      <c r="D111" s="22">
        <v>46159</v>
      </c>
      <c r="E111" s="22">
        <v>46102</v>
      </c>
      <c r="F111" t="s">
        <v>53</v>
      </c>
      <c r="G111" t="s">
        <v>35</v>
      </c>
      <c r="H111" s="1">
        <v>1300</v>
      </c>
      <c r="I111" s="2" t="s">
        <v>156</v>
      </c>
      <c r="J111" s="200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380</v>
      </c>
      <c r="C112" s="22">
        <v>46207</v>
      </c>
      <c r="D112" s="22">
        <v>46210</v>
      </c>
      <c r="E112" s="22">
        <v>46103</v>
      </c>
      <c r="F112" t="s">
        <v>53</v>
      </c>
      <c r="G112" t="s">
        <v>264</v>
      </c>
      <c r="J112" s="200">
        <v>0</v>
      </c>
      <c r="N112"/>
      <c r="O112"/>
    </row>
    <row r="113" spans="1:20" x14ac:dyDescent="0.35">
      <c r="A113" s="2">
        <v>99</v>
      </c>
      <c r="B113" t="s">
        <v>381</v>
      </c>
      <c r="C113" s="22">
        <v>46171</v>
      </c>
      <c r="D113" s="22">
        <v>46173</v>
      </c>
      <c r="E113" s="22">
        <v>46104</v>
      </c>
      <c r="F113" t="s">
        <v>53</v>
      </c>
      <c r="G113" t="s">
        <v>264</v>
      </c>
      <c r="M113" s="113" t="s">
        <v>382</v>
      </c>
      <c r="N113" t="s">
        <v>383</v>
      </c>
      <c r="O113" t="s">
        <v>384</v>
      </c>
    </row>
    <row r="114" spans="1:20" x14ac:dyDescent="0.35">
      <c r="A114" s="2">
        <v>100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53</v>
      </c>
      <c r="G114" t="s">
        <v>35</v>
      </c>
      <c r="H114" s="1" t="s">
        <v>496</v>
      </c>
      <c r="I114" s="2" t="s">
        <v>156</v>
      </c>
      <c r="J114" s="200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386</v>
      </c>
      <c r="C115" s="22">
        <v>46279</v>
      </c>
      <c r="D115" s="22">
        <v>46281</v>
      </c>
      <c r="E115" s="22">
        <v>46104</v>
      </c>
      <c r="F115" t="s">
        <v>53</v>
      </c>
      <c r="G115" t="s">
        <v>35</v>
      </c>
      <c r="H115" s="1" t="s">
        <v>496</v>
      </c>
      <c r="I115" s="2" t="s">
        <v>159</v>
      </c>
      <c r="J115" s="200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387</v>
      </c>
      <c r="C116" s="22">
        <v>46172</v>
      </c>
      <c r="D116" s="22">
        <v>46174</v>
      </c>
      <c r="E116" s="22">
        <v>46106</v>
      </c>
      <c r="F116" t="s">
        <v>53</v>
      </c>
      <c r="G116" t="s">
        <v>264</v>
      </c>
      <c r="N116"/>
      <c r="O116"/>
    </row>
    <row r="117" spans="1:20" x14ac:dyDescent="0.35">
      <c r="A117" s="2">
        <v>103</v>
      </c>
      <c r="B117" t="s">
        <v>388</v>
      </c>
      <c r="C117" s="22">
        <v>46277</v>
      </c>
      <c r="D117" s="22">
        <v>46284</v>
      </c>
      <c r="E117" s="22">
        <v>46107</v>
      </c>
      <c r="F117" t="s">
        <v>53</v>
      </c>
      <c r="G117" t="s">
        <v>6</v>
      </c>
      <c r="I117" s="2" t="s">
        <v>159</v>
      </c>
      <c r="J117" s="200">
        <v>0.1</v>
      </c>
      <c r="K117">
        <v>1</v>
      </c>
      <c r="L117">
        <v>2</v>
      </c>
      <c r="M117" s="113" t="s">
        <v>389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390</v>
      </c>
      <c r="C118" s="22">
        <v>46204</v>
      </c>
      <c r="D118" s="22">
        <v>46207</v>
      </c>
      <c r="E118" s="22">
        <v>46107</v>
      </c>
      <c r="F118" t="s">
        <v>53</v>
      </c>
      <c r="G118" t="s">
        <v>35</v>
      </c>
      <c r="J118" s="200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396</v>
      </c>
      <c r="C119" s="195">
        <v>46260</v>
      </c>
      <c r="D119" s="195">
        <v>46264</v>
      </c>
      <c r="E119" s="195">
        <v>46108</v>
      </c>
      <c r="F119" t="s">
        <v>53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395</v>
      </c>
      <c r="C120" s="195">
        <v>46207</v>
      </c>
      <c r="D120" s="195">
        <v>46210</v>
      </c>
      <c r="E120" s="195">
        <v>46109</v>
      </c>
      <c r="F120" t="s">
        <v>53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392</v>
      </c>
      <c r="C121" s="195">
        <v>46160</v>
      </c>
      <c r="D121" s="195">
        <v>46164</v>
      </c>
      <c r="E121" s="195">
        <v>46109</v>
      </c>
      <c r="F121" t="s">
        <v>393</v>
      </c>
      <c r="G121" t="s">
        <v>6</v>
      </c>
      <c r="H121" s="1">
        <v>1500</v>
      </c>
      <c r="J121" s="200">
        <v>0.05</v>
      </c>
      <c r="K121">
        <v>1</v>
      </c>
      <c r="L121">
        <v>2</v>
      </c>
      <c r="M121" t="s">
        <v>394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429</v>
      </c>
      <c r="C122" s="195">
        <v>46159</v>
      </c>
      <c r="D122" s="195">
        <v>46163</v>
      </c>
      <c r="E122" s="195">
        <v>46118</v>
      </c>
      <c r="F122" t="s">
        <v>53</v>
      </c>
      <c r="G122" t="s">
        <v>6</v>
      </c>
      <c r="J122" s="208">
        <v>0.05</v>
      </c>
      <c r="K122">
        <v>1</v>
      </c>
      <c r="L122">
        <v>2</v>
      </c>
      <c r="M122" t="s">
        <v>430</v>
      </c>
      <c r="N122">
        <v>4520241122</v>
      </c>
      <c r="O122" t="s">
        <v>431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433</v>
      </c>
      <c r="C123" s="195">
        <v>46192</v>
      </c>
      <c r="D123" s="195">
        <v>46195</v>
      </c>
      <c r="E123" s="195">
        <v>46115</v>
      </c>
      <c r="F123" t="s">
        <v>31</v>
      </c>
      <c r="G123" t="s">
        <v>35</v>
      </c>
      <c r="I123" s="2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434</v>
      </c>
      <c r="C124" s="195">
        <v>46143</v>
      </c>
      <c r="D124" s="195">
        <v>46145</v>
      </c>
      <c r="E124" s="195">
        <v>46117</v>
      </c>
      <c r="F124" t="s">
        <v>457</v>
      </c>
      <c r="G124" t="s">
        <v>35</v>
      </c>
      <c r="I124" s="2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441</v>
      </c>
      <c r="C125" s="195">
        <v>46178</v>
      </c>
      <c r="D125" s="195">
        <v>46181</v>
      </c>
      <c r="E125" s="195">
        <v>46120</v>
      </c>
      <c r="F125" t="s">
        <v>53</v>
      </c>
      <c r="G125" t="s">
        <v>264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442</v>
      </c>
      <c r="C126" s="195">
        <v>46195</v>
      </c>
      <c r="D126" s="195">
        <v>46199</v>
      </c>
      <c r="E126" s="195">
        <v>46121</v>
      </c>
      <c r="F126" t="s">
        <v>53</v>
      </c>
      <c r="G126" t="s">
        <v>35</v>
      </c>
      <c r="I126" s="2" t="s">
        <v>443</v>
      </c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2">
        <v>4600</v>
      </c>
      <c r="S126" s="2" t="s">
        <v>20</v>
      </c>
    </row>
    <row r="127" spans="1:20" x14ac:dyDescent="0.35">
      <c r="A127" s="2">
        <v>113</v>
      </c>
      <c r="B127" t="s">
        <v>444</v>
      </c>
      <c r="C127" s="195">
        <v>46269</v>
      </c>
      <c r="D127" s="195">
        <v>46271</v>
      </c>
      <c r="E127" s="195">
        <v>46122</v>
      </c>
      <c r="F127" t="s">
        <v>53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445</v>
      </c>
      <c r="C128" s="195">
        <v>46243</v>
      </c>
      <c r="D128" s="195">
        <v>46246</v>
      </c>
      <c r="E128" s="195">
        <v>46125</v>
      </c>
      <c r="F128" t="s">
        <v>53</v>
      </c>
      <c r="G128" t="s">
        <v>6</v>
      </c>
      <c r="J128" s="208">
        <v>0.1</v>
      </c>
      <c r="K128">
        <v>1</v>
      </c>
      <c r="L128">
        <v>2</v>
      </c>
      <c r="N128" t="s">
        <v>446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447</v>
      </c>
    </row>
    <row r="129" spans="1:20" x14ac:dyDescent="0.35">
      <c r="A129" s="2">
        <v>115</v>
      </c>
      <c r="B129" t="s">
        <v>448</v>
      </c>
      <c r="C129" s="195">
        <v>46233</v>
      </c>
      <c r="D129" s="195">
        <v>46236</v>
      </c>
      <c r="E129" s="195">
        <v>46125</v>
      </c>
      <c r="F129" t="s">
        <v>53</v>
      </c>
      <c r="G129" t="s">
        <v>6</v>
      </c>
      <c r="J129" s="208">
        <v>0.1</v>
      </c>
      <c r="K129">
        <v>1</v>
      </c>
      <c r="L129">
        <v>2</v>
      </c>
      <c r="M129" t="s">
        <v>449</v>
      </c>
      <c r="N129"/>
      <c r="O129"/>
      <c r="P129" s="2" t="s">
        <v>20</v>
      </c>
      <c r="Q129" s="2" t="s">
        <v>21</v>
      </c>
      <c r="R129" s="122">
        <v>3442.5</v>
      </c>
      <c r="S129" s="2" t="s">
        <v>450</v>
      </c>
    </row>
    <row r="130" spans="1:20" x14ac:dyDescent="0.35">
      <c r="A130" s="2">
        <v>116</v>
      </c>
      <c r="B130" t="s">
        <v>453</v>
      </c>
      <c r="C130" s="22">
        <v>46177</v>
      </c>
      <c r="D130" s="22">
        <v>46180</v>
      </c>
      <c r="E130" s="22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451</v>
      </c>
      <c r="C131" s="22">
        <v>46173</v>
      </c>
      <c r="D131" s="22">
        <v>46178</v>
      </c>
      <c r="E131" s="22">
        <v>46130</v>
      </c>
      <c r="F131" t="s">
        <v>53</v>
      </c>
      <c r="G131" t="s">
        <v>35</v>
      </c>
      <c r="H131" s="1" t="s">
        <v>452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455</v>
      </c>
      <c r="C132" s="195">
        <v>46272</v>
      </c>
      <c r="D132" s="195">
        <v>46275</v>
      </c>
      <c r="E132" s="195">
        <v>46132</v>
      </c>
      <c r="F132" t="s">
        <v>53</v>
      </c>
      <c r="G132" t="s">
        <v>35</v>
      </c>
      <c r="H132" s="1" t="s">
        <v>440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456</v>
      </c>
      <c r="C133" s="195">
        <v>46179</v>
      </c>
      <c r="D133" s="195">
        <v>46182</v>
      </c>
      <c r="E133" s="195">
        <v>46135</v>
      </c>
      <c r="F133" t="s">
        <v>457</v>
      </c>
      <c r="G133" t="s">
        <v>35</v>
      </c>
      <c r="H133" s="1">
        <v>1230</v>
      </c>
      <c r="I133" s="2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2">
        <v>3450</v>
      </c>
      <c r="S133" s="2" t="s">
        <v>20</v>
      </c>
    </row>
    <row r="134" spans="1:20" x14ac:dyDescent="0.35">
      <c r="A134" s="2">
        <v>120</v>
      </c>
      <c r="B134" t="s">
        <v>460</v>
      </c>
      <c r="C134" s="195">
        <v>46257</v>
      </c>
      <c r="D134" s="195">
        <v>46260</v>
      </c>
      <c r="E134" s="195">
        <v>46137</v>
      </c>
      <c r="F134" t="s">
        <v>53</v>
      </c>
      <c r="G134" t="s">
        <v>6</v>
      </c>
      <c r="I134" s="2" t="s">
        <v>296</v>
      </c>
      <c r="J134" s="208">
        <v>0.1</v>
      </c>
      <c r="K134">
        <v>1</v>
      </c>
      <c r="L134">
        <v>2</v>
      </c>
      <c r="M134" t="s">
        <v>461</v>
      </c>
      <c r="N134" t="s">
        <v>462</v>
      </c>
      <c r="O134" t="s">
        <v>463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464</v>
      </c>
    </row>
    <row r="135" spans="1:20" x14ac:dyDescent="0.35">
      <c r="A135" s="2">
        <v>121</v>
      </c>
      <c r="B135" t="s">
        <v>465</v>
      </c>
      <c r="C135" s="195">
        <v>46247</v>
      </c>
      <c r="D135" s="195">
        <v>46250</v>
      </c>
      <c r="E135" s="195">
        <v>46137</v>
      </c>
      <c r="F135" t="s">
        <v>53</v>
      </c>
      <c r="G135" t="s">
        <v>6</v>
      </c>
      <c r="J135" s="208">
        <v>0.05</v>
      </c>
      <c r="K135">
        <v>1</v>
      </c>
      <c r="L135">
        <v>2</v>
      </c>
      <c r="M135" t="s">
        <v>466</v>
      </c>
      <c r="N135" t="s">
        <v>467</v>
      </c>
      <c r="O135" t="s">
        <v>468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469</v>
      </c>
    </row>
    <row r="136" spans="1:20" x14ac:dyDescent="0.35">
      <c r="A136" s="2">
        <v>122</v>
      </c>
      <c r="B136" t="s">
        <v>470</v>
      </c>
      <c r="C136" s="195">
        <v>46257</v>
      </c>
      <c r="D136" s="195">
        <v>46259</v>
      </c>
      <c r="E136" s="195">
        <v>46140</v>
      </c>
      <c r="F136" t="s">
        <v>53</v>
      </c>
      <c r="G136" t="s">
        <v>6</v>
      </c>
      <c r="J136" s="208">
        <v>0.05</v>
      </c>
      <c r="K136">
        <v>1</v>
      </c>
      <c r="L136">
        <v>2</v>
      </c>
      <c r="M136" t="s">
        <v>471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480</v>
      </c>
      <c r="C137" s="195">
        <v>46262</v>
      </c>
      <c r="D137" s="195">
        <v>46269</v>
      </c>
      <c r="E137" s="195">
        <v>46145</v>
      </c>
      <c r="F137" t="s">
        <v>31</v>
      </c>
      <c r="G137" t="s">
        <v>6</v>
      </c>
      <c r="J137" s="208">
        <v>0.1</v>
      </c>
      <c r="K137">
        <v>1</v>
      </c>
      <c r="L137">
        <v>2</v>
      </c>
      <c r="M137" t="s">
        <v>481</v>
      </c>
      <c r="N137" t="s">
        <v>482</v>
      </c>
      <c r="O137" t="s">
        <v>483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484</v>
      </c>
    </row>
    <row r="138" spans="1:20" x14ac:dyDescent="0.35">
      <c r="A138" s="2">
        <v>124</v>
      </c>
      <c r="B138" t="s">
        <v>485</v>
      </c>
      <c r="C138" s="195">
        <v>46286</v>
      </c>
      <c r="D138" s="195">
        <v>46291</v>
      </c>
      <c r="E138" s="195">
        <v>46146</v>
      </c>
      <c r="F138" t="s">
        <v>31</v>
      </c>
      <c r="G138" t="s">
        <v>35</v>
      </c>
      <c r="J138" s="208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486</v>
      </c>
      <c r="C139" s="195">
        <v>46171</v>
      </c>
      <c r="D139" s="195">
        <v>46173</v>
      </c>
      <c r="E139" s="195">
        <v>46149</v>
      </c>
      <c r="F139" t="s">
        <v>53</v>
      </c>
      <c r="G139" t="s">
        <v>35</v>
      </c>
      <c r="H139" s="1">
        <v>1400</v>
      </c>
      <c r="I139" s="2" t="s">
        <v>156</v>
      </c>
      <c r="J139" s="208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172</v>
      </c>
      <c r="C140" s="195">
        <v>46266</v>
      </c>
      <c r="D140" s="195">
        <v>46270</v>
      </c>
      <c r="E140" s="195">
        <v>46154</v>
      </c>
      <c r="F140" t="s">
        <v>53</v>
      </c>
      <c r="G140" t="s">
        <v>6</v>
      </c>
      <c r="H140" s="1" t="s">
        <v>252</v>
      </c>
      <c r="I140" s="2" t="s">
        <v>443</v>
      </c>
      <c r="J140" s="208">
        <v>0.1</v>
      </c>
      <c r="K140">
        <v>2</v>
      </c>
      <c r="L140">
        <v>3</v>
      </c>
      <c r="M140" t="s">
        <v>487</v>
      </c>
      <c r="N140" t="s">
        <v>488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489</v>
      </c>
    </row>
    <row r="141" spans="1:20" x14ac:dyDescent="0.35">
      <c r="A141" s="2">
        <v>126</v>
      </c>
      <c r="C141" s="195"/>
      <c r="D141" s="195"/>
      <c r="E141" s="195"/>
      <c r="J141" s="208"/>
      <c r="N141"/>
      <c r="O141"/>
    </row>
    <row r="142" spans="1:20" x14ac:dyDescent="0.35">
      <c r="A142" s="2">
        <v>127</v>
      </c>
      <c r="B142" t="s">
        <v>490</v>
      </c>
      <c r="C142" s="195">
        <v>46188</v>
      </c>
      <c r="D142" s="195">
        <v>46191</v>
      </c>
      <c r="E142" s="195">
        <v>46153</v>
      </c>
      <c r="F142" t="s">
        <v>53</v>
      </c>
      <c r="G142" t="s">
        <v>35</v>
      </c>
      <c r="J142" s="208">
        <v>0</v>
      </c>
      <c r="K142">
        <v>1</v>
      </c>
      <c r="L142">
        <v>1</v>
      </c>
      <c r="N142"/>
      <c r="O142"/>
      <c r="P142" s="2" t="s">
        <v>21</v>
      </c>
      <c r="Q142" s="2" t="s">
        <v>20</v>
      </c>
      <c r="R142" s="122">
        <v>2550</v>
      </c>
      <c r="S142" s="2" t="s">
        <v>20</v>
      </c>
    </row>
    <row r="143" spans="1:20" x14ac:dyDescent="0.35">
      <c r="A143" s="2">
        <v>128</v>
      </c>
      <c r="B143" t="s">
        <v>491</v>
      </c>
      <c r="C143" s="195">
        <v>46169</v>
      </c>
      <c r="D143" s="195">
        <v>46173</v>
      </c>
      <c r="E143" s="195">
        <v>46154</v>
      </c>
      <c r="F143" t="s">
        <v>53</v>
      </c>
      <c r="G143" t="s">
        <v>35</v>
      </c>
      <c r="H143" s="1">
        <v>1430</v>
      </c>
      <c r="I143" s="2" t="s">
        <v>159</v>
      </c>
      <c r="J143" s="208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493</v>
      </c>
      <c r="C144" s="195">
        <v>46194</v>
      </c>
      <c r="D144" s="195">
        <v>46197</v>
      </c>
      <c r="E144" s="195">
        <v>46154</v>
      </c>
      <c r="F144" t="s">
        <v>54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492</v>
      </c>
      <c r="C145" s="195">
        <v>46194</v>
      </c>
      <c r="D145" s="195">
        <v>46197</v>
      </c>
      <c r="E145" s="195">
        <v>46159</v>
      </c>
      <c r="F145" t="s">
        <v>54</v>
      </c>
      <c r="G145" t="s">
        <v>35</v>
      </c>
      <c r="J145" s="212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494</v>
      </c>
      <c r="C146" s="195">
        <v>46219</v>
      </c>
      <c r="D146" s="195">
        <v>46222</v>
      </c>
      <c r="E146" s="195">
        <v>46157</v>
      </c>
      <c r="F146" t="s">
        <v>53</v>
      </c>
      <c r="G146" t="s">
        <v>35</v>
      </c>
      <c r="J146" s="212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2">
        <v>3225</v>
      </c>
      <c r="S146" s="2" t="s">
        <v>20</v>
      </c>
    </row>
    <row r="147" spans="1:20" x14ac:dyDescent="0.35">
      <c r="A147" s="2">
        <v>132</v>
      </c>
      <c r="B147" t="s">
        <v>498</v>
      </c>
      <c r="C147" s="195">
        <v>46234</v>
      </c>
      <c r="D147" s="195">
        <v>46237</v>
      </c>
      <c r="E147" s="195">
        <v>46159</v>
      </c>
      <c r="F147" t="s">
        <v>54</v>
      </c>
      <c r="G147" t="s">
        <v>35</v>
      </c>
      <c r="H147"/>
      <c r="J147" s="208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499</v>
      </c>
      <c r="C148" s="195">
        <v>46252</v>
      </c>
      <c r="D148" s="195">
        <v>46254</v>
      </c>
      <c r="E148" s="195">
        <v>46160</v>
      </c>
      <c r="F148" t="s">
        <v>53</v>
      </c>
      <c r="G148" t="s">
        <v>6</v>
      </c>
      <c r="H148"/>
      <c r="I148" s="2" t="s">
        <v>443</v>
      </c>
      <c r="J148" s="208">
        <v>0.1</v>
      </c>
      <c r="K148">
        <v>1</v>
      </c>
      <c r="L148">
        <v>2</v>
      </c>
      <c r="M148" t="s">
        <v>503</v>
      </c>
      <c r="N148" t="s">
        <v>500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501</v>
      </c>
      <c r="C149" s="195">
        <v>46274</v>
      </c>
      <c r="D149" s="195">
        <v>46277</v>
      </c>
      <c r="E149" s="195">
        <v>46160</v>
      </c>
      <c r="F149" t="s">
        <v>53</v>
      </c>
      <c r="G149" t="s">
        <v>264</v>
      </c>
      <c r="H149"/>
      <c r="J149" s="208"/>
      <c r="N149"/>
      <c r="O149"/>
    </row>
    <row r="150" spans="1:20" x14ac:dyDescent="0.35">
      <c r="A150" s="2">
        <v>135</v>
      </c>
      <c r="B150" t="s">
        <v>502</v>
      </c>
      <c r="C150" s="195">
        <v>46201</v>
      </c>
      <c r="D150" s="195">
        <v>46205</v>
      </c>
      <c r="E150" s="195">
        <v>46162</v>
      </c>
      <c r="F150" t="s">
        <v>31</v>
      </c>
      <c r="G150" t="s">
        <v>35</v>
      </c>
      <c r="H150">
        <v>1230</v>
      </c>
      <c r="I150" s="2" t="s">
        <v>156</v>
      </c>
      <c r="J150" s="208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504</v>
      </c>
      <c r="C151" s="195">
        <v>46170</v>
      </c>
      <c r="D151" s="195">
        <v>46174</v>
      </c>
      <c r="E151" s="195">
        <v>46163</v>
      </c>
      <c r="F151" t="s">
        <v>53</v>
      </c>
      <c r="G151" t="s">
        <v>6</v>
      </c>
      <c r="H151">
        <v>1430</v>
      </c>
      <c r="I151" s="2" t="s">
        <v>156</v>
      </c>
      <c r="J151" s="208">
        <v>0.1</v>
      </c>
      <c r="K151">
        <v>1</v>
      </c>
      <c r="L151">
        <v>2</v>
      </c>
      <c r="N151" t="s">
        <v>505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506</v>
      </c>
    </row>
    <row r="152" spans="1:20" x14ac:dyDescent="0.35">
      <c r="A152" s="2">
        <v>137</v>
      </c>
      <c r="B152" t="s">
        <v>184</v>
      </c>
      <c r="C152" s="195">
        <v>46276</v>
      </c>
      <c r="D152" s="195">
        <v>46285</v>
      </c>
      <c r="E152" s="195">
        <v>46166</v>
      </c>
      <c r="F152" t="s">
        <v>53</v>
      </c>
      <c r="G152" t="s">
        <v>6</v>
      </c>
      <c r="H152"/>
      <c r="I152" s="2" t="s">
        <v>296</v>
      </c>
      <c r="J152" s="208">
        <v>0.1</v>
      </c>
      <c r="K152">
        <v>1</v>
      </c>
      <c r="L152">
        <v>2</v>
      </c>
      <c r="M152" t="s">
        <v>185</v>
      </c>
      <c r="N152" t="s">
        <v>507</v>
      </c>
      <c r="O152" t="s">
        <v>186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508</v>
      </c>
    </row>
    <row r="153" spans="1:20" x14ac:dyDescent="0.35">
      <c r="A153" s="2">
        <v>138</v>
      </c>
      <c r="B153" t="s">
        <v>381</v>
      </c>
      <c r="C153" s="195">
        <v>46238</v>
      </c>
      <c r="D153" s="195">
        <v>46240</v>
      </c>
      <c r="E153" s="195">
        <v>46168</v>
      </c>
      <c r="F153" t="s">
        <v>53</v>
      </c>
      <c r="G153" t="s">
        <v>6</v>
      </c>
      <c r="H153"/>
      <c r="J153" s="208">
        <v>0.1</v>
      </c>
      <c r="K153">
        <v>1</v>
      </c>
      <c r="L153">
        <v>2</v>
      </c>
      <c r="M153" t="s">
        <v>382</v>
      </c>
      <c r="N153" t="s">
        <v>383</v>
      </c>
      <c r="O153" t="s">
        <v>384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509</v>
      </c>
    </row>
    <row r="154" spans="1:20" x14ac:dyDescent="0.35">
      <c r="A154" s="2">
        <v>139</v>
      </c>
      <c r="B154" t="s">
        <v>510</v>
      </c>
      <c r="C154" s="195">
        <v>46270</v>
      </c>
      <c r="D154" s="195">
        <v>46274</v>
      </c>
      <c r="E154" s="195">
        <v>46168</v>
      </c>
      <c r="F154" t="s">
        <v>53</v>
      </c>
      <c r="G154" t="s">
        <v>6</v>
      </c>
      <c r="H154"/>
      <c r="J154" s="208">
        <v>0.1</v>
      </c>
      <c r="K154">
        <v>1</v>
      </c>
      <c r="L154">
        <v>2</v>
      </c>
      <c r="M154" t="s">
        <v>511</v>
      </c>
      <c r="N154" t="s">
        <v>512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520</v>
      </c>
    </row>
    <row r="155" spans="1:20" x14ac:dyDescent="0.35">
      <c r="A155" s="2">
        <v>140</v>
      </c>
      <c r="B155" t="s">
        <v>515</v>
      </c>
      <c r="C155" s="195">
        <v>46188</v>
      </c>
      <c r="D155" s="195">
        <v>46190</v>
      </c>
      <c r="E155" s="195">
        <v>46170</v>
      </c>
      <c r="F155" t="s">
        <v>53</v>
      </c>
      <c r="G155" t="s">
        <v>35</v>
      </c>
      <c r="H155"/>
      <c r="J155" s="208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516</v>
      </c>
      <c r="C156" s="195">
        <v>46195</v>
      </c>
      <c r="D156" s="195">
        <v>46199</v>
      </c>
      <c r="E156" s="195">
        <v>46171</v>
      </c>
      <c r="F156" t="s">
        <v>62</v>
      </c>
      <c r="G156" t="s">
        <v>35</v>
      </c>
      <c r="H156"/>
      <c r="J156" s="208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517</v>
      </c>
      <c r="C157" s="195">
        <v>46268</v>
      </c>
      <c r="D157" s="195">
        <v>46271</v>
      </c>
      <c r="E157" s="195">
        <v>46172</v>
      </c>
      <c r="F157" t="s">
        <v>53</v>
      </c>
      <c r="G157" t="s">
        <v>6</v>
      </c>
      <c r="H157"/>
      <c r="J157" s="208">
        <v>0.05</v>
      </c>
      <c r="K157">
        <v>1</v>
      </c>
      <c r="L157">
        <v>2</v>
      </c>
      <c r="M157" t="s">
        <v>518</v>
      </c>
      <c r="N157"/>
      <c r="O157" t="s">
        <v>519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522</v>
      </c>
      <c r="C158" s="195">
        <v>46275</v>
      </c>
      <c r="D158" s="195">
        <v>46278</v>
      </c>
      <c r="E158" s="195">
        <v>46172</v>
      </c>
      <c r="F158" t="s">
        <v>53</v>
      </c>
      <c r="G158" t="s">
        <v>35</v>
      </c>
      <c r="H158"/>
      <c r="I158"/>
      <c r="J158" s="208">
        <v>0</v>
      </c>
      <c r="K158">
        <v>1</v>
      </c>
      <c r="L158">
        <v>2</v>
      </c>
      <c r="N158" t="s">
        <v>523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524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3" t="s">
        <v>53</v>
      </c>
      <c r="BC1" s="43" t="s">
        <v>53</v>
      </c>
      <c r="BD1" s="43" t="s">
        <v>54</v>
      </c>
      <c r="BE1" s="43" t="s">
        <v>54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62</v>
      </c>
      <c r="BK1" s="43" t="s">
        <v>62</v>
      </c>
      <c r="BL1" s="43" t="s">
        <v>63</v>
      </c>
      <c r="BM1" s="43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1" t="s">
        <v>457</v>
      </c>
      <c r="BW1" s="171" t="s">
        <v>457</v>
      </c>
      <c r="BX1" s="131" t="s">
        <v>289</v>
      </c>
      <c r="BY1" s="131" t="s">
        <v>289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1</v>
      </c>
      <c r="D113">
        <f>Database!D126-Database!C126</f>
        <v>4</v>
      </c>
      <c r="F113">
        <f>Database!L126</f>
        <v>2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2">
        <f t="shared" si="63"/>
        <v>2</v>
      </c>
      <c r="BC113" s="32">
        <f t="shared" si="64"/>
        <v>8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1</v>
      </c>
      <c r="D128">
        <f>Database!D142-Database!C142</f>
        <v>3</v>
      </c>
      <c r="F128">
        <f>Database!L142</f>
        <v>1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2">
        <f t="shared" si="63"/>
        <v>1</v>
      </c>
      <c r="BC128" s="32">
        <f t="shared" si="64"/>
        <v>3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2">
        <f t="shared" si="110"/>
        <v>2</v>
      </c>
      <c r="BC132" s="32">
        <f t="shared" si="111"/>
        <v>6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0</v>
      </c>
      <c r="B145" s="22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0</v>
      </c>
      <c r="B146" s="22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0</v>
      </c>
      <c r="B147" s="22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2">
        <f t="shared" si="110"/>
        <v>0</v>
      </c>
      <c r="BC147" s="32">
        <f t="shared" si="111"/>
        <v>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0</v>
      </c>
      <c r="B148" s="22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0</v>
      </c>
      <c r="B149" s="22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0</v>
      </c>
      <c r="B150" s="22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0</v>
      </c>
      <c r="B151" s="22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2">
        <f t="shared" si="110"/>
        <v>0</v>
      </c>
      <c r="BC151" s="32">
        <f t="shared" si="111"/>
        <v>0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2">
        <f t="shared" ref="BB196:BY196" si="167">SUM(BB2:BB195)</f>
        <v>188</v>
      </c>
      <c r="BC196" s="32">
        <f t="shared" si="167"/>
        <v>776</v>
      </c>
      <c r="BD196" s="32">
        <f t="shared" si="167"/>
        <v>23</v>
      </c>
      <c r="BE196" s="32">
        <f t="shared" si="167"/>
        <v>79</v>
      </c>
      <c r="BF196" s="32">
        <f t="shared" si="167"/>
        <v>0</v>
      </c>
      <c r="BG196" s="32">
        <f t="shared" si="167"/>
        <v>0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486</v>
      </c>
      <c r="AA198">
        <f t="shared" si="168"/>
        <v>500</v>
      </c>
      <c r="AB198">
        <f t="shared" si="168"/>
        <v>512</v>
      </c>
      <c r="AC198">
        <f t="shared" si="168"/>
        <v>521</v>
      </c>
      <c r="AD198">
        <f t="shared" si="168"/>
        <v>528</v>
      </c>
      <c r="AE198">
        <f t="shared" si="168"/>
        <v>555</v>
      </c>
      <c r="AF198">
        <f t="shared" si="168"/>
        <v>574</v>
      </c>
      <c r="AG198">
        <f t="shared" si="168"/>
        <v>592</v>
      </c>
      <c r="AH198">
        <f t="shared" si="168"/>
        <v>592</v>
      </c>
      <c r="AI198">
        <f t="shared" si="168"/>
        <v>592</v>
      </c>
      <c r="AJ198">
        <f t="shared" si="168"/>
        <v>592</v>
      </c>
      <c r="AK198">
        <f t="shared" si="168"/>
        <v>592</v>
      </c>
      <c r="AL198">
        <f t="shared" si="168"/>
        <v>592</v>
      </c>
      <c r="AM198">
        <f t="shared" si="168"/>
        <v>592</v>
      </c>
      <c r="AN198">
        <f t="shared" si="168"/>
        <v>592</v>
      </c>
      <c r="AO198">
        <f t="shared" si="168"/>
        <v>592</v>
      </c>
      <c r="AP198">
        <f t="shared" si="168"/>
        <v>592</v>
      </c>
      <c r="AQ198">
        <f t="shared" si="168"/>
        <v>592</v>
      </c>
      <c r="AR198">
        <f t="shared" si="168"/>
        <v>592</v>
      </c>
      <c r="AS198">
        <f t="shared" si="168"/>
        <v>592</v>
      </c>
      <c r="AT198">
        <f t="shared" si="168"/>
        <v>592</v>
      </c>
      <c r="AU198">
        <f t="shared" si="168"/>
        <v>592</v>
      </c>
      <c r="AV198">
        <f t="shared" si="168"/>
        <v>592</v>
      </c>
      <c r="AW198">
        <f t="shared" si="168"/>
        <v>592</v>
      </c>
      <c r="AX198">
        <f t="shared" si="168"/>
        <v>592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486</v>
      </c>
      <c r="AA200">
        <f t="shared" si="169"/>
        <v>500</v>
      </c>
      <c r="AB200">
        <f t="shared" si="169"/>
        <v>512</v>
      </c>
      <c r="AC200">
        <f t="shared" si="169"/>
        <v>521</v>
      </c>
      <c r="AD200">
        <f t="shared" si="169"/>
        <v>528</v>
      </c>
      <c r="AE200">
        <f t="shared" si="169"/>
        <v>555</v>
      </c>
      <c r="AF200">
        <f t="shared" si="169"/>
        <v>574</v>
      </c>
      <c r="AG200">
        <f t="shared" si="169"/>
        <v>592</v>
      </c>
      <c r="AH200">
        <f>AH198</f>
        <v>592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53</v>
      </c>
      <c r="BE201" s="26" t="s">
        <v>20</v>
      </c>
      <c r="BF201" s="26" t="s">
        <v>54</v>
      </c>
      <c r="BG201" s="26" t="s">
        <v>31</v>
      </c>
      <c r="BH201" s="26" t="s">
        <v>62</v>
      </c>
      <c r="BI201" s="27" t="s">
        <v>110</v>
      </c>
      <c r="BJ201" s="28" t="s">
        <v>58</v>
      </c>
      <c r="BK201" s="29" t="s">
        <v>111</v>
      </c>
      <c r="BL201" s="29" t="s">
        <v>57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112</v>
      </c>
      <c r="BD202" s="32">
        <f>BB196</f>
        <v>188</v>
      </c>
      <c r="BE202" s="32">
        <f>BD196</f>
        <v>23</v>
      </c>
      <c r="BF202" s="32">
        <f>BF196</f>
        <v>0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4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113</v>
      </c>
      <c r="BD203" s="38">
        <f>BC196</f>
        <v>776</v>
      </c>
      <c r="BE203" s="38">
        <f>BE196</f>
        <v>79</v>
      </c>
      <c r="BF203" s="38">
        <f>BG196</f>
        <v>0</v>
      </c>
      <c r="BG203" s="38">
        <f>BI196</f>
        <v>0</v>
      </c>
      <c r="BH203" s="38">
        <f>BK196</f>
        <v>8</v>
      </c>
      <c r="BI203" s="39">
        <f>BM196</f>
        <v>39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10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5"/>
      <c r="B29" s="26" t="s">
        <v>53</v>
      </c>
      <c r="C29" s="26" t="s">
        <v>20</v>
      </c>
      <c r="D29" s="26" t="s">
        <v>54</v>
      </c>
      <c r="E29" s="26" t="s">
        <v>31</v>
      </c>
      <c r="F29" s="26" t="s">
        <v>62</v>
      </c>
      <c r="G29" s="27" t="s">
        <v>110</v>
      </c>
      <c r="H29" s="28" t="s">
        <v>58</v>
      </c>
      <c r="I29" s="29" t="s">
        <v>111</v>
      </c>
      <c r="J29" s="29" t="s">
        <v>57</v>
      </c>
      <c r="K29" s="162" t="s">
        <v>286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112</v>
      </c>
      <c r="B30" s="32">
        <f>'book stat'!BD202</f>
        <v>188</v>
      </c>
      <c r="C30" s="32">
        <f>'book stat'!BE202</f>
        <v>23</v>
      </c>
      <c r="D30" s="32">
        <f>'book stat'!BF202</f>
        <v>0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3">
        <f>'book stat'!BJ202</f>
        <v>0</v>
      </c>
      <c r="I30" s="164">
        <f>'book stat'!BK202</f>
        <v>0</v>
      </c>
      <c r="J30" s="164">
        <f>'book stat'!BL202</f>
        <v>3</v>
      </c>
      <c r="K30" s="165">
        <f>'book stat'!BM202</f>
        <v>2</v>
      </c>
      <c r="L30" s="166">
        <f>'book stat'!BN202</f>
        <v>4</v>
      </c>
      <c r="M30" s="167">
        <f>'book stat'!BO202</f>
        <v>0</v>
      </c>
    </row>
    <row r="31" spans="1:13" ht="15" customHeight="1" thickBot="1" x14ac:dyDescent="0.4">
      <c r="A31" s="37" t="s">
        <v>113</v>
      </c>
      <c r="B31" s="32">
        <f>'book stat'!BD203</f>
        <v>776</v>
      </c>
      <c r="C31" s="32">
        <f>'book stat'!BE203</f>
        <v>79</v>
      </c>
      <c r="D31" s="32">
        <f>'book stat'!BF203</f>
        <v>0</v>
      </c>
      <c r="E31" s="32">
        <f>'book stat'!BG203</f>
        <v>0</v>
      </c>
      <c r="F31" s="32">
        <f>'book stat'!BH203</f>
        <v>8</v>
      </c>
      <c r="G31" s="33">
        <f>'book stat'!BI203</f>
        <v>39</v>
      </c>
      <c r="H31" s="168">
        <f>'book stat'!BJ203</f>
        <v>0</v>
      </c>
      <c r="I31" s="169">
        <f>'book stat'!BK203</f>
        <v>0</v>
      </c>
      <c r="J31" s="169">
        <f>'book stat'!BL203</f>
        <v>19</v>
      </c>
      <c r="K31" s="170">
        <f>'book stat'!BM203</f>
        <v>10</v>
      </c>
      <c r="L31" s="166">
        <f>'book stat'!BN203</f>
        <v>10</v>
      </c>
      <c r="M31" s="167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54" activePane="bottomLeft" state="frozen"/>
      <selection pane="bottomLeft" activeCell="Y97" sqref="Y97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114</v>
      </c>
      <c r="B1" s="13" t="s">
        <v>115</v>
      </c>
      <c r="C1" s="14" t="s">
        <v>116</v>
      </c>
      <c r="D1" s="218">
        <v>1</v>
      </c>
      <c r="E1" s="219"/>
      <c r="F1" s="64" t="s">
        <v>117</v>
      </c>
      <c r="G1" s="65" t="s">
        <v>8</v>
      </c>
      <c r="H1" s="220">
        <v>2</v>
      </c>
      <c r="I1" s="219"/>
      <c r="J1" s="64" t="s">
        <v>117</v>
      </c>
      <c r="K1" s="66" t="s">
        <v>8</v>
      </c>
      <c r="L1" s="220">
        <v>3</v>
      </c>
      <c r="M1" s="219"/>
      <c r="N1" s="64" t="s">
        <v>117</v>
      </c>
      <c r="O1" s="67" t="s">
        <v>8</v>
      </c>
      <c r="P1" s="218">
        <v>4</v>
      </c>
      <c r="Q1" s="219"/>
      <c r="R1" s="64" t="s">
        <v>117</v>
      </c>
      <c r="S1" s="66" t="s">
        <v>8</v>
      </c>
      <c r="T1" s="221">
        <v>5</v>
      </c>
      <c r="U1" s="222"/>
      <c r="V1" s="64" t="s">
        <v>117</v>
      </c>
      <c r="W1" s="66" t="s">
        <v>8</v>
      </c>
      <c r="X1" s="218">
        <v>6</v>
      </c>
      <c r="Y1" s="219"/>
      <c r="Z1" s="68" t="s">
        <v>118</v>
      </c>
      <c r="AA1" s="129">
        <f>SUM(AA2:AA171)</f>
        <v>586</v>
      </c>
      <c r="AB1" s="69" t="s">
        <v>119</v>
      </c>
      <c r="AC1" s="69" t="s">
        <v>120</v>
      </c>
      <c r="AD1" s="70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5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123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5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124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5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125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5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5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127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5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128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3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5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122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3">
        <v>72</v>
      </c>
      <c r="Q9" s="153">
        <v>72</v>
      </c>
      <c r="R9" s="18">
        <v>2</v>
      </c>
      <c r="S9" s="18" t="s">
        <v>334</v>
      </c>
      <c r="T9" s="8"/>
      <c r="U9" s="8"/>
      <c r="V9" s="18"/>
      <c r="W9" s="18"/>
      <c r="X9" s="20"/>
      <c r="Y9" s="20"/>
      <c r="Z9" s="135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123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3">
        <v>72</v>
      </c>
      <c r="Q10" s="153">
        <v>72</v>
      </c>
      <c r="R10" s="18">
        <v>2</v>
      </c>
      <c r="S10" s="18" t="s">
        <v>335</v>
      </c>
      <c r="T10" s="8"/>
      <c r="U10" s="8"/>
      <c r="V10" s="18"/>
      <c r="W10" s="18"/>
      <c r="X10" s="20"/>
      <c r="Y10" s="20"/>
      <c r="Z10" s="135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124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3">
        <v>72</v>
      </c>
      <c r="Q11" s="153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5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125</v>
      </c>
      <c r="C12" s="7">
        <v>46149</v>
      </c>
      <c r="D12" s="9"/>
      <c r="E12" s="8"/>
      <c r="F12" s="18"/>
      <c r="G12" s="17"/>
      <c r="H12" s="8"/>
      <c r="I12" s="139">
        <v>80</v>
      </c>
      <c r="J12" s="18"/>
      <c r="K12" s="17" t="s">
        <v>156</v>
      </c>
      <c r="L12" s="12"/>
      <c r="M12" s="139">
        <v>80</v>
      </c>
      <c r="N12" s="18"/>
      <c r="O12" s="18" t="s">
        <v>156</v>
      </c>
      <c r="P12" s="153">
        <v>72</v>
      </c>
      <c r="Q12" s="153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5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126</v>
      </c>
      <c r="C13" s="7">
        <v>46150</v>
      </c>
      <c r="D13" s="111"/>
      <c r="E13" s="111"/>
      <c r="F13" s="18"/>
      <c r="G13" s="17"/>
      <c r="H13" s="139">
        <v>80</v>
      </c>
      <c r="I13" s="139">
        <v>80</v>
      </c>
      <c r="J13" s="18">
        <v>2</v>
      </c>
      <c r="K13" s="17"/>
      <c r="L13" s="141">
        <v>80</v>
      </c>
      <c r="M13" s="139">
        <v>80</v>
      </c>
      <c r="N13" s="18">
        <v>2</v>
      </c>
      <c r="O13" s="18"/>
      <c r="P13" s="153">
        <v>72</v>
      </c>
      <c r="Q13" s="153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5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127</v>
      </c>
      <c r="C14" s="7">
        <v>46151</v>
      </c>
      <c r="D14" s="111"/>
      <c r="E14" s="192"/>
      <c r="F14" s="18"/>
      <c r="G14" s="17"/>
      <c r="H14" s="139">
        <v>80</v>
      </c>
      <c r="I14" s="139">
        <v>80</v>
      </c>
      <c r="J14" s="18">
        <v>2</v>
      </c>
      <c r="K14" s="17"/>
      <c r="L14" s="141">
        <v>80</v>
      </c>
      <c r="M14" s="139">
        <v>80</v>
      </c>
      <c r="N14" s="18">
        <v>2</v>
      </c>
      <c r="O14" s="18"/>
      <c r="P14" s="153">
        <v>72</v>
      </c>
      <c r="Q14" s="153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5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128</v>
      </c>
      <c r="C15" s="7">
        <v>46152</v>
      </c>
      <c r="D15" s="111"/>
      <c r="E15" s="111"/>
      <c r="F15" s="18"/>
      <c r="G15" s="17"/>
      <c r="H15" s="139">
        <v>80</v>
      </c>
      <c r="I15" s="8"/>
      <c r="J15" s="18">
        <v>2</v>
      </c>
      <c r="K15" s="17"/>
      <c r="L15" s="141">
        <v>80</v>
      </c>
      <c r="M15" s="8"/>
      <c r="N15" s="18">
        <v>2</v>
      </c>
      <c r="O15" s="18"/>
      <c r="P15" s="153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5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8">
        <v>63</v>
      </c>
      <c r="V16" s="18"/>
      <c r="W16" s="18"/>
      <c r="X16" s="20"/>
      <c r="Y16" s="20"/>
      <c r="Z16" s="135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123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8">
        <v>63</v>
      </c>
      <c r="U17" s="138">
        <v>63</v>
      </c>
      <c r="V17" s="18"/>
      <c r="W17" s="18" t="s">
        <v>287</v>
      </c>
      <c r="X17" s="20"/>
      <c r="Y17" s="20"/>
      <c r="Z17" s="135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124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8">
        <v>63</v>
      </c>
      <c r="U18" s="8"/>
      <c r="V18" s="18"/>
      <c r="W18" s="18"/>
      <c r="X18" s="20"/>
      <c r="Y18" s="20"/>
      <c r="Z18" s="135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222</v>
      </c>
      <c r="B19" s="6" t="s">
        <v>125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156</v>
      </c>
      <c r="L19" s="12"/>
      <c r="M19" s="8">
        <v>95</v>
      </c>
      <c r="N19" s="18"/>
      <c r="O19" s="18"/>
      <c r="P19" s="8"/>
      <c r="Q19" s="191">
        <v>97</v>
      </c>
      <c r="R19" s="114"/>
      <c r="S19" s="114"/>
      <c r="T19" s="8"/>
      <c r="U19" s="8"/>
      <c r="V19" s="18"/>
      <c r="W19" s="18"/>
      <c r="X19" s="20"/>
      <c r="Y19" s="20"/>
      <c r="Z19" s="135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126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287</v>
      </c>
      <c r="L20" s="12">
        <v>95</v>
      </c>
      <c r="M20" s="8">
        <v>95</v>
      </c>
      <c r="N20" s="18">
        <v>2</v>
      </c>
      <c r="O20" s="18" t="s">
        <v>287</v>
      </c>
      <c r="P20" s="191">
        <v>97</v>
      </c>
      <c r="Q20" s="191">
        <v>97</v>
      </c>
      <c r="R20" s="114"/>
      <c r="S20" s="114"/>
      <c r="T20" s="8"/>
      <c r="U20" s="8">
        <v>91</v>
      </c>
      <c r="V20" s="18"/>
      <c r="W20" s="18" t="s">
        <v>159</v>
      </c>
      <c r="X20" s="20"/>
      <c r="Y20" s="20"/>
      <c r="Z20" s="135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127</v>
      </c>
      <c r="C21" s="7">
        <v>46158</v>
      </c>
      <c r="D21" s="9">
        <v>53</v>
      </c>
      <c r="E21" s="139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1">
        <v>97</v>
      </c>
      <c r="Q21" s="191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287</v>
      </c>
      <c r="X21" s="20"/>
      <c r="Y21" s="20"/>
      <c r="Z21" s="135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128</v>
      </c>
      <c r="C22" s="7">
        <v>46159</v>
      </c>
      <c r="D22" s="139">
        <v>8</v>
      </c>
      <c r="E22" s="139">
        <v>8</v>
      </c>
      <c r="F22" s="18">
        <v>2</v>
      </c>
      <c r="G22" s="17" t="s">
        <v>157</v>
      </c>
      <c r="H22" s="8">
        <v>90</v>
      </c>
      <c r="I22" s="138">
        <v>108</v>
      </c>
      <c r="J22" s="114">
        <v>2</v>
      </c>
      <c r="K22" s="17" t="s">
        <v>159</v>
      </c>
      <c r="L22" s="12">
        <v>95</v>
      </c>
      <c r="M22" s="8"/>
      <c r="N22" s="18">
        <v>2</v>
      </c>
      <c r="O22" s="18"/>
      <c r="P22" s="191">
        <v>97</v>
      </c>
      <c r="Q22" s="8">
        <v>96</v>
      </c>
      <c r="R22" s="114"/>
      <c r="S22" s="114"/>
      <c r="T22" s="8">
        <v>91</v>
      </c>
      <c r="U22" s="139">
        <v>9</v>
      </c>
      <c r="V22" s="18">
        <v>2</v>
      </c>
      <c r="W22" s="18"/>
      <c r="X22" s="20"/>
      <c r="Y22" s="20"/>
      <c r="Z22" s="135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39">
        <v>8</v>
      </c>
      <c r="E23" s="139">
        <v>8</v>
      </c>
      <c r="F23" s="18">
        <v>2</v>
      </c>
      <c r="G23" s="17" t="s">
        <v>130</v>
      </c>
      <c r="H23" s="151">
        <v>108</v>
      </c>
      <c r="I23" s="138">
        <v>108</v>
      </c>
      <c r="J23" s="114">
        <v>2</v>
      </c>
      <c r="K23" s="17"/>
      <c r="L23" s="12"/>
      <c r="M23" s="138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157</v>
      </c>
      <c r="T23" s="139">
        <v>9</v>
      </c>
      <c r="U23" s="139">
        <v>9</v>
      </c>
      <c r="V23" s="18">
        <v>2</v>
      </c>
      <c r="W23" s="18" t="s">
        <v>135</v>
      </c>
      <c r="X23" s="20"/>
      <c r="Y23" s="20"/>
      <c r="Z23" s="135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123</v>
      </c>
      <c r="C24" s="7">
        <v>46161</v>
      </c>
      <c r="D24" s="139">
        <v>8</v>
      </c>
      <c r="E24" s="139">
        <v>8</v>
      </c>
      <c r="F24" s="18">
        <v>2</v>
      </c>
      <c r="G24" s="17"/>
      <c r="H24" s="151">
        <v>108</v>
      </c>
      <c r="I24" s="138">
        <v>108</v>
      </c>
      <c r="J24" s="18">
        <v>2</v>
      </c>
      <c r="K24" s="17"/>
      <c r="L24" s="151">
        <v>107</v>
      </c>
      <c r="M24" s="138">
        <v>107</v>
      </c>
      <c r="N24" s="18">
        <v>2</v>
      </c>
      <c r="O24" s="18" t="s">
        <v>391</v>
      </c>
      <c r="P24" s="8">
        <v>96</v>
      </c>
      <c r="Q24" s="8">
        <v>96</v>
      </c>
      <c r="R24" s="114">
        <v>2</v>
      </c>
      <c r="S24" s="114"/>
      <c r="T24" s="139">
        <v>9</v>
      </c>
      <c r="U24" s="139">
        <v>9</v>
      </c>
      <c r="V24" s="18">
        <v>2</v>
      </c>
      <c r="W24" s="18"/>
      <c r="X24" s="20"/>
      <c r="Y24" s="20"/>
      <c r="Z24" s="135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124</v>
      </c>
      <c r="C25" s="7">
        <v>46162</v>
      </c>
      <c r="D25" s="139">
        <v>8</v>
      </c>
      <c r="E25" s="139">
        <v>8</v>
      </c>
      <c r="F25" s="18">
        <v>2</v>
      </c>
      <c r="G25" s="17"/>
      <c r="H25" s="151">
        <v>108</v>
      </c>
      <c r="I25" s="138">
        <v>108</v>
      </c>
      <c r="J25" s="18">
        <v>2</v>
      </c>
      <c r="K25" s="17"/>
      <c r="L25" s="151">
        <v>107</v>
      </c>
      <c r="M25" s="138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9">
        <v>9</v>
      </c>
      <c r="U25" s="139">
        <v>9</v>
      </c>
      <c r="V25" s="18">
        <v>2</v>
      </c>
      <c r="W25" s="18"/>
      <c r="X25" s="20"/>
      <c r="Y25" s="20"/>
      <c r="Z25" s="135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125</v>
      </c>
      <c r="C26" s="7">
        <v>46163</v>
      </c>
      <c r="D26" s="139">
        <v>8</v>
      </c>
      <c r="E26" s="138">
        <v>20</v>
      </c>
      <c r="F26" s="18">
        <v>2</v>
      </c>
      <c r="G26" s="17"/>
      <c r="H26" s="151">
        <v>108</v>
      </c>
      <c r="I26" s="138">
        <v>20</v>
      </c>
      <c r="J26" s="18">
        <v>2</v>
      </c>
      <c r="K26" s="17"/>
      <c r="L26" s="151">
        <v>107</v>
      </c>
      <c r="M26" s="138">
        <v>107</v>
      </c>
      <c r="N26" s="111">
        <v>2</v>
      </c>
      <c r="O26" s="18"/>
      <c r="P26" s="8">
        <v>96</v>
      </c>
      <c r="Q26" s="138">
        <v>20</v>
      </c>
      <c r="R26" s="114">
        <v>2</v>
      </c>
      <c r="S26" s="114"/>
      <c r="T26" s="139">
        <v>9</v>
      </c>
      <c r="U26" s="139">
        <v>9</v>
      </c>
      <c r="V26" s="18">
        <v>2</v>
      </c>
      <c r="W26" s="18"/>
      <c r="X26" s="20"/>
      <c r="Y26" s="20"/>
      <c r="Z26" s="135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126</v>
      </c>
      <c r="C27" s="7">
        <v>46164</v>
      </c>
      <c r="D27" s="138">
        <v>20</v>
      </c>
      <c r="E27" s="138">
        <v>20</v>
      </c>
      <c r="F27" s="114">
        <v>2</v>
      </c>
      <c r="G27" s="17"/>
      <c r="H27" s="151">
        <v>20</v>
      </c>
      <c r="I27" s="138">
        <v>20</v>
      </c>
      <c r="J27" s="18">
        <v>2</v>
      </c>
      <c r="K27" s="17"/>
      <c r="L27" s="189">
        <v>107</v>
      </c>
      <c r="M27" s="8"/>
      <c r="N27" s="111">
        <v>2</v>
      </c>
      <c r="O27" s="18"/>
      <c r="P27" s="138">
        <v>20</v>
      </c>
      <c r="Q27" s="138">
        <v>20</v>
      </c>
      <c r="R27" s="114">
        <v>2</v>
      </c>
      <c r="S27" s="114"/>
      <c r="T27" s="139">
        <v>9</v>
      </c>
      <c r="U27" s="139">
        <v>9</v>
      </c>
      <c r="V27" s="18">
        <v>2</v>
      </c>
      <c r="W27" s="18"/>
      <c r="X27" s="9"/>
      <c r="Y27" s="8"/>
      <c r="Z27" s="135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127</v>
      </c>
      <c r="C28" s="7">
        <v>46165</v>
      </c>
      <c r="D28" s="138">
        <v>20</v>
      </c>
      <c r="E28" s="138">
        <v>20</v>
      </c>
      <c r="F28" s="114">
        <v>2</v>
      </c>
      <c r="G28" s="17"/>
      <c r="H28" s="151">
        <v>20</v>
      </c>
      <c r="I28" s="138">
        <v>20</v>
      </c>
      <c r="J28" s="18">
        <v>2</v>
      </c>
      <c r="K28" s="17"/>
      <c r="L28" s="9"/>
      <c r="M28" s="8"/>
      <c r="N28" s="111"/>
      <c r="O28" s="18"/>
      <c r="P28" s="138">
        <v>20</v>
      </c>
      <c r="Q28" s="138">
        <v>20</v>
      </c>
      <c r="R28" s="114">
        <v>2</v>
      </c>
      <c r="S28" s="114"/>
      <c r="T28" s="139">
        <v>9</v>
      </c>
      <c r="U28" s="139">
        <v>9</v>
      </c>
      <c r="V28" s="18">
        <v>2</v>
      </c>
      <c r="W28" s="18"/>
      <c r="X28" s="9"/>
      <c r="Y28" s="8"/>
      <c r="Z28" s="135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223</v>
      </c>
      <c r="B29" s="6" t="s">
        <v>128</v>
      </c>
      <c r="C29" s="7">
        <v>46166</v>
      </c>
      <c r="D29" s="138">
        <v>20</v>
      </c>
      <c r="E29" s="138">
        <v>20</v>
      </c>
      <c r="F29" s="114">
        <v>2</v>
      </c>
      <c r="G29" s="17"/>
      <c r="H29" s="151">
        <v>20</v>
      </c>
      <c r="I29" s="138">
        <v>20</v>
      </c>
      <c r="J29" s="18">
        <v>2</v>
      </c>
      <c r="K29" s="17"/>
      <c r="L29" s="9"/>
      <c r="M29" s="8"/>
      <c r="N29" s="111"/>
      <c r="O29" s="18"/>
      <c r="P29" s="138">
        <v>20</v>
      </c>
      <c r="Q29" s="138">
        <v>20</v>
      </c>
      <c r="R29" s="114">
        <v>2</v>
      </c>
      <c r="S29" s="114"/>
      <c r="T29" s="139">
        <v>9</v>
      </c>
      <c r="U29" s="8"/>
      <c r="V29" s="18">
        <v>2</v>
      </c>
      <c r="W29" s="18"/>
      <c r="X29" s="9"/>
      <c r="Y29" s="8"/>
      <c r="Z29" s="135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224</v>
      </c>
      <c r="B30" s="6" t="s">
        <v>122</v>
      </c>
      <c r="C30" s="7">
        <v>46167</v>
      </c>
      <c r="D30" s="138">
        <v>20</v>
      </c>
      <c r="E30" s="8"/>
      <c r="F30" s="114">
        <v>2</v>
      </c>
      <c r="G30" s="133"/>
      <c r="H30" s="151">
        <v>20</v>
      </c>
      <c r="I30" s="8"/>
      <c r="J30" s="18">
        <v>2</v>
      </c>
      <c r="K30" s="17"/>
      <c r="L30" s="9"/>
      <c r="M30" s="8"/>
      <c r="N30" s="111"/>
      <c r="O30" s="18"/>
      <c r="P30" s="138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5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5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124</v>
      </c>
      <c r="C32" s="7">
        <v>46169</v>
      </c>
      <c r="D32" s="8"/>
      <c r="E32" s="154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9">
        <v>5</v>
      </c>
      <c r="V32" s="114"/>
      <c r="W32" s="114" t="s">
        <v>23</v>
      </c>
      <c r="X32" s="20"/>
      <c r="Y32" s="20"/>
      <c r="Z32" s="135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125</v>
      </c>
      <c r="C33" s="7">
        <v>46170</v>
      </c>
      <c r="D33" s="154">
        <v>128</v>
      </c>
      <c r="E33" s="154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9">
        <v>136</v>
      </c>
      <c r="R33" s="111"/>
      <c r="S33" s="111"/>
      <c r="T33" s="139">
        <v>5</v>
      </c>
      <c r="U33" s="139">
        <v>5</v>
      </c>
      <c r="V33" s="114">
        <v>2</v>
      </c>
      <c r="W33" s="114"/>
      <c r="X33" s="20"/>
      <c r="Y33" s="20"/>
      <c r="Z33" s="135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126</v>
      </c>
      <c r="C34" s="7">
        <v>46171</v>
      </c>
      <c r="D34" s="154">
        <v>128</v>
      </c>
      <c r="E34" s="154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9">
        <v>136</v>
      </c>
      <c r="Q34" s="139">
        <v>136</v>
      </c>
      <c r="R34" s="111">
        <v>2</v>
      </c>
      <c r="S34" s="111"/>
      <c r="T34" s="139">
        <v>5</v>
      </c>
      <c r="U34" s="139">
        <v>5</v>
      </c>
      <c r="V34" s="114">
        <v>2</v>
      </c>
      <c r="W34" s="114"/>
      <c r="X34" s="20"/>
      <c r="Y34" s="20"/>
      <c r="Z34" s="135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432</v>
      </c>
      <c r="B35" s="6" t="s">
        <v>127</v>
      </c>
      <c r="C35" s="7">
        <v>46172</v>
      </c>
      <c r="D35" s="154">
        <v>128</v>
      </c>
      <c r="E35" s="154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9">
        <v>136</v>
      </c>
      <c r="Q35" s="139">
        <v>136</v>
      </c>
      <c r="R35" s="111">
        <v>2</v>
      </c>
      <c r="S35" s="111"/>
      <c r="T35" s="139">
        <v>5</v>
      </c>
      <c r="U35" s="139">
        <v>5</v>
      </c>
      <c r="V35" s="114">
        <v>2</v>
      </c>
      <c r="W35" s="114"/>
      <c r="X35" s="20"/>
      <c r="Y35" s="20"/>
      <c r="Z35" s="135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128</v>
      </c>
      <c r="C36" s="7">
        <v>46173</v>
      </c>
      <c r="D36" s="154">
        <v>128</v>
      </c>
      <c r="E36" s="8">
        <v>117</v>
      </c>
      <c r="F36" s="114"/>
      <c r="G36" s="133"/>
      <c r="H36" s="112">
        <v>125</v>
      </c>
      <c r="I36" s="153">
        <v>79</v>
      </c>
      <c r="J36" s="18">
        <v>2</v>
      </c>
      <c r="K36" s="17" t="s">
        <v>159</v>
      </c>
      <c r="L36" s="111"/>
      <c r="M36" s="111"/>
      <c r="N36" s="111"/>
      <c r="O36" s="111"/>
      <c r="P36" s="139">
        <v>136</v>
      </c>
      <c r="Q36" s="139">
        <v>136</v>
      </c>
      <c r="R36" s="111">
        <v>2</v>
      </c>
      <c r="S36" s="111"/>
      <c r="T36" s="139">
        <v>5</v>
      </c>
      <c r="U36" s="139">
        <v>5</v>
      </c>
      <c r="V36" s="114">
        <v>2</v>
      </c>
      <c r="W36" s="114"/>
      <c r="X36" s="20"/>
      <c r="Y36" s="20"/>
      <c r="Z36" s="135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3">
        <v>79</v>
      </c>
      <c r="I37" s="153">
        <v>79</v>
      </c>
      <c r="J37" s="18">
        <v>2</v>
      </c>
      <c r="K37" s="17"/>
      <c r="L37" s="111"/>
      <c r="M37" s="111"/>
      <c r="N37" s="111"/>
      <c r="O37" s="111"/>
      <c r="P37" s="139">
        <v>136</v>
      </c>
      <c r="Q37" s="139">
        <v>136</v>
      </c>
      <c r="R37" s="111">
        <v>2</v>
      </c>
      <c r="S37" s="114"/>
      <c r="T37" s="139">
        <v>5</v>
      </c>
      <c r="U37" s="8"/>
      <c r="V37" s="18"/>
      <c r="W37" s="18"/>
      <c r="X37" s="20"/>
      <c r="Y37" s="20"/>
      <c r="Z37" s="135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123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3">
        <v>79</v>
      </c>
      <c r="I38" s="153">
        <v>79</v>
      </c>
      <c r="J38" s="18">
        <v>2</v>
      </c>
      <c r="K38" s="17"/>
      <c r="L38" s="8"/>
      <c r="M38" s="8"/>
      <c r="N38" s="18"/>
      <c r="O38" s="18"/>
      <c r="P38" s="139">
        <v>136</v>
      </c>
      <c r="Q38" s="111"/>
      <c r="R38" s="111">
        <v>2</v>
      </c>
      <c r="S38" s="114"/>
      <c r="T38" s="111"/>
      <c r="U38" s="139">
        <v>12</v>
      </c>
      <c r="V38" s="18"/>
      <c r="W38" s="18"/>
      <c r="X38" s="20"/>
      <c r="Y38" s="20"/>
      <c r="Z38" s="135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479</v>
      </c>
      <c r="B39" s="6" t="s">
        <v>124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3">
        <v>79</v>
      </c>
      <c r="I39" s="153">
        <v>79</v>
      </c>
      <c r="J39" s="18">
        <v>2</v>
      </c>
      <c r="K39" s="17"/>
      <c r="L39" s="8"/>
      <c r="M39" s="153">
        <v>27</v>
      </c>
      <c r="N39" s="18"/>
      <c r="O39" s="18" t="s">
        <v>159</v>
      </c>
      <c r="P39" s="111"/>
      <c r="Q39" s="111"/>
      <c r="R39" s="111"/>
      <c r="S39" s="114"/>
      <c r="T39" s="139">
        <v>12</v>
      </c>
      <c r="U39" s="139">
        <v>12</v>
      </c>
      <c r="V39" s="18"/>
      <c r="W39" s="18" t="s">
        <v>135</v>
      </c>
      <c r="X39" s="20"/>
      <c r="Y39" s="20"/>
      <c r="Z39" s="135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125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3">
        <v>79</v>
      </c>
      <c r="I40" s="153">
        <v>79</v>
      </c>
      <c r="J40" s="18">
        <v>2</v>
      </c>
      <c r="K40" s="17"/>
      <c r="L40" s="152">
        <v>27</v>
      </c>
      <c r="M40" s="153">
        <v>27</v>
      </c>
      <c r="N40" s="18">
        <v>2</v>
      </c>
      <c r="O40" s="18"/>
      <c r="P40" s="111"/>
      <c r="Q40" s="111">
        <v>116</v>
      </c>
      <c r="R40" s="111"/>
      <c r="S40" s="114"/>
      <c r="T40" s="139">
        <v>12</v>
      </c>
      <c r="U40" s="139">
        <v>12</v>
      </c>
      <c r="V40" s="18"/>
      <c r="W40" s="18"/>
      <c r="X40" s="20"/>
      <c r="Y40" s="20"/>
      <c r="Z40" s="135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9">
        <v>117</v>
      </c>
      <c r="E41" s="139">
        <v>6</v>
      </c>
      <c r="F41" s="114">
        <v>2</v>
      </c>
      <c r="G41" s="133" t="s">
        <v>156</v>
      </c>
      <c r="H41" s="153">
        <v>79</v>
      </c>
      <c r="I41" s="139">
        <v>6</v>
      </c>
      <c r="J41" s="18">
        <v>2</v>
      </c>
      <c r="K41" s="17"/>
      <c r="L41" s="153">
        <v>27</v>
      </c>
      <c r="M41" s="153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9">
        <v>12</v>
      </c>
      <c r="U41" s="139">
        <v>12</v>
      </c>
      <c r="V41" s="18"/>
      <c r="W41" s="18"/>
      <c r="X41" s="112"/>
      <c r="Y41" s="111"/>
      <c r="Z41" s="135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127</v>
      </c>
      <c r="C42" s="7">
        <v>46179</v>
      </c>
      <c r="D42" s="140">
        <v>6</v>
      </c>
      <c r="E42" s="139">
        <v>6</v>
      </c>
      <c r="F42" s="114"/>
      <c r="G42" s="133"/>
      <c r="H42" s="141">
        <v>6</v>
      </c>
      <c r="I42" s="139">
        <v>6</v>
      </c>
      <c r="J42" s="18"/>
      <c r="K42" s="17"/>
      <c r="L42" s="153">
        <v>27</v>
      </c>
      <c r="M42" s="153">
        <v>27</v>
      </c>
      <c r="N42" s="18">
        <v>2</v>
      </c>
      <c r="O42" s="18" t="s">
        <v>156</v>
      </c>
      <c r="P42" s="111">
        <v>116</v>
      </c>
      <c r="Q42" s="111">
        <v>116</v>
      </c>
      <c r="R42" s="111"/>
      <c r="S42" s="114"/>
      <c r="T42" s="139">
        <v>12</v>
      </c>
      <c r="U42" s="111">
        <v>119</v>
      </c>
      <c r="V42" s="18"/>
      <c r="W42" s="18"/>
      <c r="X42" s="112"/>
      <c r="Y42" s="111"/>
      <c r="Z42" s="135">
        <f t="shared" si="2"/>
        <v>2</v>
      </c>
      <c r="AA42" s="130">
        <f t="shared" si="3"/>
        <v>5</v>
      </c>
      <c r="AB42" s="57">
        <f t="shared" si="0"/>
        <v>1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128</v>
      </c>
      <c r="C43" s="7">
        <v>46180</v>
      </c>
      <c r="D43" s="140">
        <v>6</v>
      </c>
      <c r="E43" s="8">
        <v>6</v>
      </c>
      <c r="F43" s="114"/>
      <c r="G43" s="133"/>
      <c r="H43" s="141">
        <v>6</v>
      </c>
      <c r="I43" s="8"/>
      <c r="J43" s="18"/>
      <c r="K43" s="17"/>
      <c r="L43" s="153">
        <v>27</v>
      </c>
      <c r="M43" s="153">
        <v>27</v>
      </c>
      <c r="N43" s="18">
        <v>2</v>
      </c>
      <c r="O43" s="18"/>
      <c r="P43" s="111">
        <v>116</v>
      </c>
      <c r="Q43" s="111"/>
      <c r="R43" s="111"/>
      <c r="S43" s="114"/>
      <c r="T43" s="111">
        <v>119</v>
      </c>
      <c r="U43" s="111">
        <v>119</v>
      </c>
      <c r="V43" s="18">
        <v>2</v>
      </c>
      <c r="W43" s="18" t="s">
        <v>454</v>
      </c>
      <c r="X43" s="112"/>
      <c r="Y43" s="111"/>
      <c r="Z43" s="135">
        <f t="shared" si="2"/>
        <v>4</v>
      </c>
      <c r="AA43" s="130">
        <f t="shared" si="3"/>
        <v>3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122</v>
      </c>
      <c r="C44" s="7">
        <v>46181</v>
      </c>
      <c r="D44" s="9">
        <v>6</v>
      </c>
      <c r="E44" s="8">
        <v>6</v>
      </c>
      <c r="F44" s="114"/>
      <c r="G44" s="133"/>
      <c r="H44" s="12"/>
      <c r="I44" s="139">
        <v>17</v>
      </c>
      <c r="J44" s="18"/>
      <c r="K44" s="17" t="s">
        <v>156</v>
      </c>
      <c r="L44" s="153">
        <v>27</v>
      </c>
      <c r="M44" s="153">
        <v>27</v>
      </c>
      <c r="N44" s="18">
        <v>2</v>
      </c>
      <c r="O44" s="18"/>
      <c r="P44" s="8"/>
      <c r="Q44" s="143">
        <v>15</v>
      </c>
      <c r="R44" s="114"/>
      <c r="S44" s="114"/>
      <c r="T44" s="8">
        <v>119</v>
      </c>
      <c r="U44" s="111">
        <v>119</v>
      </c>
      <c r="V44" s="18">
        <v>2</v>
      </c>
      <c r="W44" s="18"/>
      <c r="X44" s="20"/>
      <c r="Y44" s="20"/>
      <c r="Z44" s="135">
        <f t="shared" si="2"/>
        <v>4</v>
      </c>
      <c r="AA44" s="130">
        <f t="shared" si="3"/>
        <v>5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123</v>
      </c>
      <c r="C45" s="7">
        <v>46182</v>
      </c>
      <c r="D45" s="9">
        <v>6</v>
      </c>
      <c r="E45" s="139">
        <v>16</v>
      </c>
      <c r="F45" s="114"/>
      <c r="G45" s="133"/>
      <c r="H45" s="139">
        <v>17</v>
      </c>
      <c r="I45" s="139">
        <v>17</v>
      </c>
      <c r="J45" s="18">
        <v>2</v>
      </c>
      <c r="K45" s="17"/>
      <c r="L45" s="153">
        <v>27</v>
      </c>
      <c r="M45" s="139">
        <v>18</v>
      </c>
      <c r="N45" s="18">
        <v>2</v>
      </c>
      <c r="O45" s="18" t="s">
        <v>159</v>
      </c>
      <c r="P45" s="143">
        <v>15</v>
      </c>
      <c r="Q45" s="143">
        <v>15</v>
      </c>
      <c r="R45" s="114">
        <v>2</v>
      </c>
      <c r="S45" s="114"/>
      <c r="T45" s="111">
        <v>119</v>
      </c>
      <c r="U45" s="139">
        <v>16</v>
      </c>
      <c r="V45" s="18">
        <v>2</v>
      </c>
      <c r="W45" s="18"/>
      <c r="X45" s="20"/>
      <c r="Y45" s="20"/>
      <c r="Z45" s="135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3</v>
      </c>
      <c r="AD45" s="16"/>
    </row>
    <row r="46" spans="1:30" ht="30" customHeight="1" x14ac:dyDescent="0.35">
      <c r="A46" s="6"/>
      <c r="B46" s="6" t="s">
        <v>124</v>
      </c>
      <c r="C46" s="7">
        <v>46183</v>
      </c>
      <c r="D46" s="139">
        <v>16</v>
      </c>
      <c r="E46" s="139">
        <v>16</v>
      </c>
      <c r="F46" s="114">
        <v>2</v>
      </c>
      <c r="G46" s="133"/>
      <c r="H46" s="139">
        <v>17</v>
      </c>
      <c r="I46" s="139">
        <v>17</v>
      </c>
      <c r="J46" s="18">
        <v>2</v>
      </c>
      <c r="K46" s="17"/>
      <c r="L46" s="139">
        <v>18</v>
      </c>
      <c r="M46" s="144">
        <v>18</v>
      </c>
      <c r="N46" s="18">
        <v>2</v>
      </c>
      <c r="O46" s="18"/>
      <c r="P46" s="143">
        <v>15</v>
      </c>
      <c r="Q46" s="143">
        <v>15</v>
      </c>
      <c r="R46" s="114">
        <v>2</v>
      </c>
      <c r="S46" s="114"/>
      <c r="T46" s="139">
        <v>16</v>
      </c>
      <c r="U46" s="139">
        <v>16</v>
      </c>
      <c r="V46" s="18">
        <v>2</v>
      </c>
      <c r="W46" s="18"/>
      <c r="X46" s="20"/>
      <c r="Y46" s="20"/>
      <c r="Z46" s="135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39">
        <v>16</v>
      </c>
      <c r="E47" s="139">
        <v>16</v>
      </c>
      <c r="F47" s="114">
        <v>2</v>
      </c>
      <c r="G47" s="133"/>
      <c r="H47" s="139">
        <v>17</v>
      </c>
      <c r="I47" s="139">
        <v>17</v>
      </c>
      <c r="J47" s="18">
        <v>2</v>
      </c>
      <c r="K47" s="17"/>
      <c r="L47" s="144">
        <v>18</v>
      </c>
      <c r="M47" s="139">
        <v>18</v>
      </c>
      <c r="N47" s="18">
        <v>2</v>
      </c>
      <c r="O47" s="18"/>
      <c r="P47" s="143">
        <v>15</v>
      </c>
      <c r="Q47" s="143">
        <v>15</v>
      </c>
      <c r="R47" s="114">
        <v>2</v>
      </c>
      <c r="S47" s="114"/>
      <c r="T47" s="139">
        <v>16</v>
      </c>
      <c r="U47" s="139">
        <v>16</v>
      </c>
      <c r="V47" s="18">
        <v>2</v>
      </c>
      <c r="W47" s="18"/>
      <c r="X47" s="20"/>
      <c r="Y47" s="20"/>
      <c r="Z47" s="135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39">
        <v>16</v>
      </c>
      <c r="E48" s="139">
        <v>16</v>
      </c>
      <c r="F48" s="114">
        <v>2</v>
      </c>
      <c r="G48" s="133"/>
      <c r="H48" s="139">
        <v>17</v>
      </c>
      <c r="I48" s="139">
        <v>17</v>
      </c>
      <c r="J48" s="18">
        <v>2</v>
      </c>
      <c r="K48" s="17"/>
      <c r="L48" s="139">
        <v>18</v>
      </c>
      <c r="M48" s="139">
        <v>18</v>
      </c>
      <c r="N48" s="18">
        <v>2</v>
      </c>
      <c r="O48" s="18"/>
      <c r="P48" s="143">
        <v>15</v>
      </c>
      <c r="Q48" s="143">
        <v>15</v>
      </c>
      <c r="R48" s="114">
        <v>2</v>
      </c>
      <c r="S48" s="114"/>
      <c r="T48" s="139">
        <v>16</v>
      </c>
      <c r="U48" s="139">
        <v>16</v>
      </c>
      <c r="V48" s="18">
        <v>2</v>
      </c>
      <c r="W48" s="18"/>
      <c r="X48" s="20"/>
      <c r="Y48" s="20"/>
      <c r="Z48" s="135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39">
        <v>16</v>
      </c>
      <c r="E49" s="139">
        <v>16</v>
      </c>
      <c r="F49" s="114">
        <v>2</v>
      </c>
      <c r="G49" s="133"/>
      <c r="H49" s="139">
        <v>17</v>
      </c>
      <c r="I49" s="139">
        <v>17</v>
      </c>
      <c r="J49" s="18">
        <v>2</v>
      </c>
      <c r="K49" s="17"/>
      <c r="L49" s="139">
        <v>18</v>
      </c>
      <c r="M49" s="139">
        <v>18</v>
      </c>
      <c r="N49" s="18">
        <v>2</v>
      </c>
      <c r="O49" s="18"/>
      <c r="P49" s="143">
        <v>15</v>
      </c>
      <c r="Q49" s="143">
        <v>15</v>
      </c>
      <c r="R49" s="114">
        <v>2</v>
      </c>
      <c r="S49" s="114"/>
      <c r="T49" s="139">
        <v>16</v>
      </c>
      <c r="U49" s="139">
        <v>16</v>
      </c>
      <c r="V49" s="18">
        <v>2</v>
      </c>
      <c r="W49" s="18"/>
      <c r="X49" s="20"/>
      <c r="Y49" s="20"/>
      <c r="Z49" s="135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39">
        <v>16</v>
      </c>
      <c r="E50" s="139">
        <v>16</v>
      </c>
      <c r="F50" s="114">
        <v>2</v>
      </c>
      <c r="G50" s="133"/>
      <c r="H50" s="139">
        <v>17</v>
      </c>
      <c r="I50" s="139">
        <v>17</v>
      </c>
      <c r="J50" s="18">
        <v>2</v>
      </c>
      <c r="K50" s="17"/>
      <c r="L50" s="139">
        <v>18</v>
      </c>
      <c r="M50" s="111">
        <v>83</v>
      </c>
      <c r="N50" s="18">
        <v>2</v>
      </c>
      <c r="O50" s="18"/>
      <c r="P50" s="143">
        <v>15</v>
      </c>
      <c r="Q50" s="143">
        <v>15</v>
      </c>
      <c r="R50" s="114">
        <v>2</v>
      </c>
      <c r="S50" s="114"/>
      <c r="T50" s="139">
        <v>16</v>
      </c>
      <c r="U50" s="139">
        <v>16</v>
      </c>
      <c r="V50" s="18">
        <v>2</v>
      </c>
      <c r="W50" s="18"/>
      <c r="X50" s="20"/>
      <c r="Y50" s="20"/>
      <c r="Z50" s="135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39">
        <v>16</v>
      </c>
      <c r="E51" s="111">
        <v>140</v>
      </c>
      <c r="F51" s="114">
        <v>2</v>
      </c>
      <c r="G51" s="133" t="s">
        <v>32</v>
      </c>
      <c r="H51" s="139">
        <v>17</v>
      </c>
      <c r="I51" s="112"/>
      <c r="J51" s="18"/>
      <c r="K51" s="17"/>
      <c r="L51" s="111">
        <v>83</v>
      </c>
      <c r="M51" s="8">
        <v>83</v>
      </c>
      <c r="N51" s="18">
        <v>2</v>
      </c>
      <c r="O51" s="18"/>
      <c r="P51" s="143">
        <v>15</v>
      </c>
      <c r="Q51" s="179">
        <v>70</v>
      </c>
      <c r="R51" s="114"/>
      <c r="S51" s="114"/>
      <c r="T51" s="139">
        <v>16</v>
      </c>
      <c r="U51" s="139">
        <v>86</v>
      </c>
      <c r="V51" s="18">
        <v>2</v>
      </c>
      <c r="W51" s="18"/>
      <c r="X51" s="20"/>
      <c r="Y51" s="20"/>
      <c r="Z51" s="135">
        <f t="shared" si="2"/>
        <v>6</v>
      </c>
      <c r="AA51" s="130">
        <f t="shared" si="3"/>
        <v>4</v>
      </c>
      <c r="AB51" s="57">
        <f t="shared" si="0"/>
        <v>3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123</v>
      </c>
      <c r="C52" s="7">
        <v>46189</v>
      </c>
      <c r="D52" s="111">
        <v>140</v>
      </c>
      <c r="E52" s="8">
        <v>140</v>
      </c>
      <c r="F52" s="114"/>
      <c r="G52" s="133"/>
      <c r="H52" s="112"/>
      <c r="I52" s="8"/>
      <c r="J52" s="18"/>
      <c r="K52" s="17"/>
      <c r="L52" s="8">
        <v>83</v>
      </c>
      <c r="M52" s="8">
        <v>83</v>
      </c>
      <c r="N52" s="18">
        <v>2</v>
      </c>
      <c r="O52" s="18"/>
      <c r="P52" s="179">
        <v>70</v>
      </c>
      <c r="Q52" s="179">
        <v>70</v>
      </c>
      <c r="R52" s="114">
        <v>2</v>
      </c>
      <c r="S52" s="114"/>
      <c r="T52" s="139">
        <v>86</v>
      </c>
      <c r="U52" s="139">
        <v>86</v>
      </c>
      <c r="V52" s="18">
        <v>2</v>
      </c>
      <c r="W52" s="18" t="s">
        <v>157</v>
      </c>
      <c r="X52" s="20"/>
      <c r="Y52" s="20"/>
      <c r="Z52" s="135">
        <f t="shared" si="2"/>
        <v>6</v>
      </c>
      <c r="AA52" s="130">
        <f t="shared" si="3"/>
        <v>4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124</v>
      </c>
      <c r="C53" s="7">
        <v>46190</v>
      </c>
      <c r="D53" s="8">
        <v>140</v>
      </c>
      <c r="E53" s="139">
        <v>31</v>
      </c>
      <c r="F53" s="18"/>
      <c r="G53" s="18" t="s">
        <v>32</v>
      </c>
      <c r="H53" s="12"/>
      <c r="I53" s="8"/>
      <c r="J53" s="18"/>
      <c r="K53" s="17"/>
      <c r="L53" s="8">
        <v>83</v>
      </c>
      <c r="M53" s="8">
        <v>83</v>
      </c>
      <c r="N53" s="18">
        <v>2</v>
      </c>
      <c r="O53" s="18"/>
      <c r="P53" s="179">
        <v>70</v>
      </c>
      <c r="Q53" s="139">
        <v>70</v>
      </c>
      <c r="R53" s="114">
        <v>2</v>
      </c>
      <c r="S53" s="114"/>
      <c r="T53" s="139">
        <v>86</v>
      </c>
      <c r="U53" s="139">
        <v>86</v>
      </c>
      <c r="V53" s="18">
        <v>2</v>
      </c>
      <c r="W53" s="18" t="s">
        <v>266</v>
      </c>
      <c r="X53" s="20"/>
      <c r="Y53" s="20"/>
      <c r="Z53" s="135">
        <f t="shared" si="2"/>
        <v>6</v>
      </c>
      <c r="AA53" s="130">
        <f t="shared" si="3"/>
        <v>4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125</v>
      </c>
      <c r="C54" s="7">
        <v>46191</v>
      </c>
      <c r="D54" s="139">
        <v>31</v>
      </c>
      <c r="E54" s="139">
        <v>31</v>
      </c>
      <c r="F54" s="18">
        <v>1</v>
      </c>
      <c r="G54" s="18"/>
      <c r="H54" s="8"/>
      <c r="I54" s="8"/>
      <c r="J54" s="18"/>
      <c r="K54" s="17"/>
      <c r="L54" s="8">
        <v>83</v>
      </c>
      <c r="M54" s="8"/>
      <c r="N54" s="18">
        <v>2</v>
      </c>
      <c r="O54" s="18"/>
      <c r="P54" s="139">
        <v>70</v>
      </c>
      <c r="Q54" s="139">
        <v>70</v>
      </c>
      <c r="R54" s="114">
        <v>2</v>
      </c>
      <c r="S54" s="114"/>
      <c r="T54" s="139">
        <v>86</v>
      </c>
      <c r="U54" s="139">
        <v>86</v>
      </c>
      <c r="V54" s="18">
        <v>2</v>
      </c>
      <c r="W54" s="18"/>
      <c r="X54" s="20"/>
      <c r="Y54" s="20"/>
      <c r="Z54" s="135">
        <f t="shared" si="2"/>
        <v>7</v>
      </c>
      <c r="AA54" s="130">
        <f t="shared" si="3"/>
        <v>3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126</v>
      </c>
      <c r="C55" s="7">
        <v>46192</v>
      </c>
      <c r="D55" s="139">
        <v>31</v>
      </c>
      <c r="E55" s="139">
        <v>31</v>
      </c>
      <c r="F55" s="18">
        <v>1</v>
      </c>
      <c r="G55" s="18"/>
      <c r="H55" s="8"/>
      <c r="I55" s="8">
        <v>109</v>
      </c>
      <c r="J55" s="18"/>
      <c r="K55" s="17" t="s">
        <v>32</v>
      </c>
      <c r="L55" s="8"/>
      <c r="M55" s="8">
        <v>56</v>
      </c>
      <c r="N55" s="114"/>
      <c r="O55" s="18"/>
      <c r="P55" s="139">
        <v>70</v>
      </c>
      <c r="Q55" s="139">
        <v>70</v>
      </c>
      <c r="R55" s="114">
        <v>2</v>
      </c>
      <c r="S55" s="114"/>
      <c r="T55" s="139">
        <v>86</v>
      </c>
      <c r="U55" s="139">
        <v>86</v>
      </c>
      <c r="V55" s="18">
        <v>2</v>
      </c>
      <c r="W55" s="18"/>
      <c r="X55" s="20"/>
      <c r="Y55" s="20"/>
      <c r="Z55" s="135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0</v>
      </c>
    </row>
    <row r="56" spans="1:30" ht="30" customHeight="1" x14ac:dyDescent="0.35">
      <c r="A56" s="6"/>
      <c r="B56" s="6" t="s">
        <v>127</v>
      </c>
      <c r="C56" s="7">
        <v>46193</v>
      </c>
      <c r="D56" s="139">
        <v>31</v>
      </c>
      <c r="E56" s="139">
        <v>31</v>
      </c>
      <c r="F56" s="18">
        <v>1</v>
      </c>
      <c r="G56" s="18"/>
      <c r="H56" s="8">
        <v>109</v>
      </c>
      <c r="I56" s="8">
        <v>109</v>
      </c>
      <c r="J56" s="18"/>
      <c r="K56" s="17" t="s">
        <v>225</v>
      </c>
      <c r="L56" s="8">
        <v>56</v>
      </c>
      <c r="M56" s="8">
        <v>56</v>
      </c>
      <c r="N56" s="114">
        <v>2</v>
      </c>
      <c r="O56" s="18"/>
      <c r="P56" s="139">
        <v>70</v>
      </c>
      <c r="Q56" s="8"/>
      <c r="R56" s="114">
        <v>2</v>
      </c>
      <c r="S56" s="114"/>
      <c r="T56" s="139">
        <v>86</v>
      </c>
      <c r="U56" s="139">
        <v>86</v>
      </c>
      <c r="V56" s="18">
        <v>2</v>
      </c>
      <c r="W56" s="18"/>
      <c r="X56" s="20"/>
      <c r="Y56" s="20"/>
      <c r="Z56" s="135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128</v>
      </c>
      <c r="C57" s="7">
        <v>46194</v>
      </c>
      <c r="D57" s="139">
        <v>31</v>
      </c>
      <c r="E57" s="139">
        <v>31</v>
      </c>
      <c r="F57" s="18">
        <v>1</v>
      </c>
      <c r="G57" s="18"/>
      <c r="H57" s="8">
        <v>109</v>
      </c>
      <c r="I57" s="8">
        <v>109</v>
      </c>
      <c r="J57" s="18"/>
      <c r="K57" s="17"/>
      <c r="L57" s="8">
        <v>56</v>
      </c>
      <c r="M57" s="138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9">
        <v>86</v>
      </c>
      <c r="U57" s="139">
        <v>86</v>
      </c>
      <c r="V57" s="18">
        <v>2</v>
      </c>
      <c r="W57" s="18"/>
      <c r="X57" s="20"/>
      <c r="Y57" s="20"/>
      <c r="Z57" s="135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39">
        <v>31</v>
      </c>
      <c r="E58" s="154">
        <v>37</v>
      </c>
      <c r="F58" s="18">
        <v>1</v>
      </c>
      <c r="G58" s="18"/>
      <c r="H58" s="8">
        <v>109</v>
      </c>
      <c r="I58" s="20">
        <v>112</v>
      </c>
      <c r="J58" s="18"/>
      <c r="K58" s="17" t="s">
        <v>159</v>
      </c>
      <c r="L58" s="138">
        <v>129</v>
      </c>
      <c r="M58" s="138">
        <v>129</v>
      </c>
      <c r="N58" s="18"/>
      <c r="O58" s="18" t="s">
        <v>287</v>
      </c>
      <c r="P58" s="8">
        <v>130</v>
      </c>
      <c r="Q58" s="111">
        <v>130</v>
      </c>
      <c r="R58" s="114"/>
      <c r="S58" s="114" t="s">
        <v>287</v>
      </c>
      <c r="T58" s="139">
        <v>86</v>
      </c>
      <c r="U58" s="111">
        <v>141</v>
      </c>
      <c r="V58" s="18"/>
      <c r="W58" s="18"/>
      <c r="X58" s="20"/>
      <c r="Y58" s="20"/>
      <c r="Z58" s="135">
        <f t="shared" si="2"/>
        <v>1</v>
      </c>
      <c r="AA58" s="130">
        <f t="shared" si="3"/>
        <v>5</v>
      </c>
      <c r="AB58" s="57">
        <f t="shared" si="0"/>
        <v>3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123</v>
      </c>
      <c r="C59" s="7">
        <v>46196</v>
      </c>
      <c r="D59" s="154">
        <v>37</v>
      </c>
      <c r="E59" s="154">
        <v>37</v>
      </c>
      <c r="F59" s="114">
        <v>2</v>
      </c>
      <c r="G59" s="133"/>
      <c r="H59" s="210">
        <v>112</v>
      </c>
      <c r="I59" s="20">
        <v>112</v>
      </c>
      <c r="J59" s="18">
        <v>2</v>
      </c>
      <c r="K59" s="17"/>
      <c r="L59" s="138">
        <v>129</v>
      </c>
      <c r="M59" s="138">
        <v>129</v>
      </c>
      <c r="N59" s="18"/>
      <c r="O59" s="18"/>
      <c r="P59" s="111">
        <v>130</v>
      </c>
      <c r="Q59" s="111">
        <v>130</v>
      </c>
      <c r="R59" s="114"/>
      <c r="S59" s="114"/>
      <c r="T59" s="111">
        <v>141</v>
      </c>
      <c r="U59" s="111">
        <v>141</v>
      </c>
      <c r="V59" s="114">
        <v>2</v>
      </c>
      <c r="W59" s="18" t="s">
        <v>513</v>
      </c>
      <c r="X59" s="20"/>
      <c r="Y59" s="20"/>
      <c r="Z59" s="135">
        <f t="shared" si="2"/>
        <v>6</v>
      </c>
      <c r="AA59" s="130">
        <f t="shared" si="3"/>
        <v>5</v>
      </c>
      <c r="AB59" s="57">
        <f t="shared" si="0"/>
        <v>0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124</v>
      </c>
      <c r="C60" s="7">
        <v>46197</v>
      </c>
      <c r="D60" s="154">
        <v>37</v>
      </c>
      <c r="E60" s="154">
        <v>37</v>
      </c>
      <c r="F60" s="114">
        <v>2</v>
      </c>
      <c r="G60" s="133"/>
      <c r="H60" s="210">
        <v>112</v>
      </c>
      <c r="I60" s="20">
        <v>112</v>
      </c>
      <c r="J60" s="18">
        <v>2</v>
      </c>
      <c r="K60" s="17"/>
      <c r="L60" s="138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141</v>
      </c>
      <c r="U60" s="111">
        <v>141</v>
      </c>
      <c r="V60" s="114">
        <v>2</v>
      </c>
      <c r="W60" s="18"/>
      <c r="X60" s="20"/>
      <c r="Y60" s="20"/>
      <c r="Z60" s="135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125</v>
      </c>
      <c r="C61" s="7">
        <v>46198</v>
      </c>
      <c r="D61" s="154">
        <v>37</v>
      </c>
      <c r="E61" s="111">
        <v>64</v>
      </c>
      <c r="F61" s="18">
        <v>2</v>
      </c>
      <c r="G61" s="18" t="s">
        <v>159</v>
      </c>
      <c r="H61" s="210">
        <v>112</v>
      </c>
      <c r="I61" s="20">
        <v>112</v>
      </c>
      <c r="J61" s="18">
        <v>2</v>
      </c>
      <c r="K61" s="17"/>
      <c r="L61" s="8"/>
      <c r="M61" s="8">
        <v>34</v>
      </c>
      <c r="N61" s="18"/>
      <c r="O61" s="18"/>
      <c r="P61" s="111"/>
      <c r="Q61" s="8"/>
      <c r="R61" s="114"/>
      <c r="S61" s="18"/>
      <c r="T61" s="111">
        <v>141</v>
      </c>
      <c r="U61" s="111">
        <v>141</v>
      </c>
      <c r="V61" s="18">
        <v>2</v>
      </c>
      <c r="W61" s="18"/>
      <c r="X61" s="20"/>
      <c r="Y61" s="20"/>
      <c r="Z61" s="135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126</v>
      </c>
      <c r="C62" s="7">
        <v>46199</v>
      </c>
      <c r="D62" s="8">
        <v>64</v>
      </c>
      <c r="E62" s="8">
        <v>64</v>
      </c>
      <c r="F62" s="18"/>
      <c r="G62" s="18" t="s">
        <v>287</v>
      </c>
      <c r="H62" s="20">
        <v>112</v>
      </c>
      <c r="I62" s="8">
        <v>61</v>
      </c>
      <c r="J62" s="18">
        <v>2</v>
      </c>
      <c r="K62" s="17"/>
      <c r="L62" s="8">
        <v>34</v>
      </c>
      <c r="M62" s="8">
        <v>34</v>
      </c>
      <c r="N62" s="18">
        <v>2</v>
      </c>
      <c r="O62" s="18" t="s">
        <v>225</v>
      </c>
      <c r="P62" s="8"/>
      <c r="Q62" s="8">
        <v>87</v>
      </c>
      <c r="R62" s="18"/>
      <c r="S62" s="18"/>
      <c r="T62" s="111">
        <v>141</v>
      </c>
      <c r="U62" s="111"/>
      <c r="V62" s="18">
        <v>2</v>
      </c>
      <c r="W62" s="18"/>
      <c r="X62" s="8"/>
      <c r="Y62" s="8"/>
      <c r="Z62" s="135">
        <f t="shared" si="2"/>
        <v>6</v>
      </c>
      <c r="AA62" s="130">
        <f t="shared" si="3"/>
        <v>4</v>
      </c>
      <c r="AB62" s="57">
        <f t="shared" si="0"/>
        <v>2</v>
      </c>
      <c r="AC62" s="21">
        <f t="shared" si="4"/>
        <v>2</v>
      </c>
      <c r="AD62" s="16"/>
    </row>
    <row r="63" spans="1:30" ht="30" customHeight="1" x14ac:dyDescent="0.35">
      <c r="A63" s="6"/>
      <c r="B63" s="6" t="s">
        <v>127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157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157</v>
      </c>
      <c r="T63" s="111"/>
      <c r="U63" s="153">
        <v>77</v>
      </c>
      <c r="V63" s="18"/>
      <c r="W63" s="18" t="s">
        <v>23</v>
      </c>
      <c r="X63" s="8"/>
      <c r="Y63" s="8"/>
      <c r="Z63" s="135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0</v>
      </c>
      <c r="AD63" s="16"/>
    </row>
    <row r="64" spans="1:30" ht="30" customHeight="1" x14ac:dyDescent="0.35">
      <c r="A64" s="6"/>
      <c r="B64" s="6" t="s">
        <v>128</v>
      </c>
      <c r="C64" s="7">
        <v>46201</v>
      </c>
      <c r="D64" s="8">
        <v>64</v>
      </c>
      <c r="E64" s="215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3">
        <v>77</v>
      </c>
      <c r="U64" s="153">
        <v>77</v>
      </c>
      <c r="V64" s="18">
        <v>2</v>
      </c>
      <c r="W64" s="18"/>
      <c r="X64" s="8"/>
      <c r="Y64" s="8"/>
      <c r="Z64" s="135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215">
        <v>135</v>
      </c>
      <c r="E65" s="215">
        <v>135</v>
      </c>
      <c r="F65" s="114"/>
      <c r="G65" s="133" t="s">
        <v>157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4">
        <v>76</v>
      </c>
      <c r="R65" s="18"/>
      <c r="S65" s="18" t="s">
        <v>159</v>
      </c>
      <c r="T65" s="153">
        <v>77</v>
      </c>
      <c r="U65" s="153">
        <v>77</v>
      </c>
      <c r="V65" s="18">
        <v>2</v>
      </c>
      <c r="W65" s="18"/>
      <c r="X65" s="8"/>
      <c r="Y65" s="8"/>
      <c r="Z65" s="135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123</v>
      </c>
      <c r="C66" s="7">
        <v>46203</v>
      </c>
      <c r="D66" s="215">
        <v>135</v>
      </c>
      <c r="E66" s="215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4">
        <v>76</v>
      </c>
      <c r="Q66" s="154">
        <v>76</v>
      </c>
      <c r="R66" s="114">
        <v>2</v>
      </c>
      <c r="S66" s="114"/>
      <c r="T66" s="153">
        <v>77</v>
      </c>
      <c r="U66" s="153">
        <v>77</v>
      </c>
      <c r="V66" s="18">
        <v>2</v>
      </c>
      <c r="W66" s="18"/>
      <c r="X66" s="20"/>
      <c r="Y66" s="20"/>
      <c r="Z66" s="135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124</v>
      </c>
      <c r="C67" s="7">
        <v>46204</v>
      </c>
      <c r="D67" s="215">
        <v>135</v>
      </c>
      <c r="E67" s="215">
        <v>135</v>
      </c>
      <c r="F67" s="114"/>
      <c r="G67" s="133"/>
      <c r="H67" s="12"/>
      <c r="I67" s="154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4">
        <v>76</v>
      </c>
      <c r="Q67" s="154">
        <v>76</v>
      </c>
      <c r="R67" s="114">
        <v>2</v>
      </c>
      <c r="S67" s="114"/>
      <c r="T67" s="153">
        <v>77</v>
      </c>
      <c r="U67" s="153">
        <v>77</v>
      </c>
      <c r="V67" s="18">
        <v>2</v>
      </c>
      <c r="W67" s="18"/>
      <c r="X67" s="20"/>
      <c r="Y67" s="20"/>
      <c r="Z67" s="135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125</v>
      </c>
      <c r="C68" s="7">
        <v>46205</v>
      </c>
      <c r="D68" s="215">
        <v>135</v>
      </c>
      <c r="E68" s="8">
        <v>24</v>
      </c>
      <c r="F68" s="114"/>
      <c r="G68" s="133"/>
      <c r="H68" s="193">
        <v>104</v>
      </c>
      <c r="I68" s="154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4">
        <v>76</v>
      </c>
      <c r="Q68" s="154">
        <v>76</v>
      </c>
      <c r="R68" s="114">
        <v>2</v>
      </c>
      <c r="S68" s="133"/>
      <c r="T68" s="153">
        <v>77</v>
      </c>
      <c r="U68" s="153">
        <v>77</v>
      </c>
      <c r="V68" s="18">
        <v>2</v>
      </c>
      <c r="W68" s="18"/>
      <c r="X68" s="125"/>
      <c r="Y68" s="126"/>
      <c r="Z68" s="135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4">
        <v>2</v>
      </c>
      <c r="G69" s="133" t="s">
        <v>226</v>
      </c>
      <c r="H69" s="193">
        <v>104</v>
      </c>
      <c r="I69" s="154">
        <v>104</v>
      </c>
      <c r="J69" s="18"/>
      <c r="K69" s="17"/>
      <c r="L69" s="8">
        <v>34</v>
      </c>
      <c r="M69" s="8">
        <v>34</v>
      </c>
      <c r="N69" s="18">
        <v>2</v>
      </c>
      <c r="O69" s="188"/>
      <c r="P69" s="209">
        <v>76</v>
      </c>
      <c r="Q69" s="139">
        <v>14</v>
      </c>
      <c r="R69" s="114">
        <v>2</v>
      </c>
      <c r="S69" s="133"/>
      <c r="T69" s="153">
        <v>77</v>
      </c>
      <c r="U69" s="153">
        <v>77</v>
      </c>
      <c r="V69" s="18">
        <v>2</v>
      </c>
      <c r="W69" s="18"/>
      <c r="X69" s="126"/>
      <c r="Y69" s="126"/>
      <c r="Z69" s="135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4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9">
        <v>14</v>
      </c>
      <c r="Q70" s="139">
        <v>14</v>
      </c>
      <c r="R70" s="114">
        <v>2</v>
      </c>
      <c r="S70" s="133"/>
      <c r="T70" s="153">
        <v>77</v>
      </c>
      <c r="U70" s="139">
        <v>7</v>
      </c>
      <c r="V70" s="18">
        <v>2</v>
      </c>
      <c r="W70" s="18"/>
      <c r="X70" s="126"/>
      <c r="Y70" s="126"/>
      <c r="Z70" s="135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9">
        <v>14</v>
      </c>
      <c r="Q71" s="139">
        <v>14</v>
      </c>
      <c r="R71" s="114">
        <v>2</v>
      </c>
      <c r="S71" s="133"/>
      <c r="T71" s="139">
        <v>7</v>
      </c>
      <c r="U71" s="139">
        <v>7</v>
      </c>
      <c r="V71" s="18"/>
      <c r="W71" s="18"/>
      <c r="X71" s="126"/>
      <c r="Y71" s="126"/>
      <c r="Z71" s="135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9">
        <v>14</v>
      </c>
      <c r="Q72" s="139">
        <v>14</v>
      </c>
      <c r="R72" s="114">
        <v>2</v>
      </c>
      <c r="S72" s="133"/>
      <c r="T72" s="139">
        <v>7</v>
      </c>
      <c r="U72" s="139">
        <v>7</v>
      </c>
      <c r="V72" s="18"/>
      <c r="W72" s="18"/>
      <c r="X72" s="126"/>
      <c r="Y72" s="126"/>
      <c r="Z72" s="135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2">
        <v>14</v>
      </c>
      <c r="Q73" s="139">
        <v>14</v>
      </c>
      <c r="R73" s="114">
        <v>2</v>
      </c>
      <c r="S73" s="133"/>
      <c r="T73" s="139">
        <v>7</v>
      </c>
      <c r="U73" s="139">
        <v>7</v>
      </c>
      <c r="V73" s="18"/>
      <c r="W73" s="18"/>
      <c r="X73" s="126"/>
      <c r="Y73" s="126"/>
      <c r="Z73" s="135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4"/>
      <c r="G74" s="133"/>
      <c r="H74" s="8"/>
      <c r="I74" s="139">
        <v>13</v>
      </c>
      <c r="J74" s="18"/>
      <c r="K74" s="17"/>
      <c r="L74" s="8">
        <v>36</v>
      </c>
      <c r="M74" s="8">
        <v>36</v>
      </c>
      <c r="N74" s="18"/>
      <c r="O74" s="18"/>
      <c r="P74" s="142">
        <v>14</v>
      </c>
      <c r="Q74" s="142">
        <v>14</v>
      </c>
      <c r="R74" s="114">
        <v>2</v>
      </c>
      <c r="S74" s="133"/>
      <c r="T74" s="139">
        <v>7</v>
      </c>
      <c r="U74" s="139">
        <v>7</v>
      </c>
      <c r="V74" s="18"/>
      <c r="W74" s="18"/>
      <c r="X74" s="126"/>
      <c r="Y74" s="126"/>
      <c r="Z74" s="135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4">
        <v>69</v>
      </c>
      <c r="F75" s="114"/>
      <c r="G75" s="133"/>
      <c r="H75" s="139">
        <v>13</v>
      </c>
      <c r="I75" s="139">
        <v>13</v>
      </c>
      <c r="J75" s="18">
        <v>2</v>
      </c>
      <c r="K75" s="17"/>
      <c r="L75" s="8">
        <v>36</v>
      </c>
      <c r="M75" s="139">
        <v>84</v>
      </c>
      <c r="N75" s="18"/>
      <c r="O75" s="18"/>
      <c r="P75" s="142">
        <v>14</v>
      </c>
      <c r="Q75" s="142">
        <v>14</v>
      </c>
      <c r="R75" s="114">
        <v>2</v>
      </c>
      <c r="S75" s="133"/>
      <c r="T75" s="139">
        <v>7</v>
      </c>
      <c r="U75" s="139">
        <v>7</v>
      </c>
      <c r="V75" s="18"/>
      <c r="W75" s="18"/>
      <c r="X75" s="126"/>
      <c r="Y75" s="126"/>
      <c r="Z75" s="135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126</v>
      </c>
      <c r="C76" s="7">
        <v>46213</v>
      </c>
      <c r="D76" s="114">
        <v>69</v>
      </c>
      <c r="E76" s="114">
        <v>69</v>
      </c>
      <c r="F76" s="114"/>
      <c r="G76" s="133"/>
      <c r="H76" s="139">
        <v>13</v>
      </c>
      <c r="I76" s="139">
        <v>13</v>
      </c>
      <c r="J76" s="18">
        <v>2</v>
      </c>
      <c r="K76" s="17"/>
      <c r="L76" s="139">
        <v>84</v>
      </c>
      <c r="M76" s="139">
        <v>84</v>
      </c>
      <c r="N76" s="18"/>
      <c r="O76" s="18"/>
      <c r="P76" s="142">
        <v>14</v>
      </c>
      <c r="Q76" s="111"/>
      <c r="R76" s="114">
        <v>2</v>
      </c>
      <c r="S76" s="114"/>
      <c r="T76" s="139">
        <v>7</v>
      </c>
      <c r="U76" s="139">
        <v>7</v>
      </c>
      <c r="V76" s="18"/>
      <c r="W76" s="18"/>
      <c r="X76" s="20"/>
      <c r="Y76" s="20"/>
      <c r="Z76" s="135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127</v>
      </c>
      <c r="C77" s="7">
        <v>46214</v>
      </c>
      <c r="D77" s="114">
        <v>69</v>
      </c>
      <c r="E77" s="114">
        <v>69</v>
      </c>
      <c r="F77" s="18"/>
      <c r="G77" s="17"/>
      <c r="H77" s="139">
        <v>13</v>
      </c>
      <c r="I77" s="139">
        <v>13</v>
      </c>
      <c r="J77" s="18">
        <v>2</v>
      </c>
      <c r="K77" s="17"/>
      <c r="L77" s="139">
        <v>84</v>
      </c>
      <c r="M77" s="139">
        <v>84</v>
      </c>
      <c r="N77" s="18"/>
      <c r="O77" s="18"/>
      <c r="P77" s="111"/>
      <c r="Q77" s="139">
        <v>66</v>
      </c>
      <c r="R77" s="114"/>
      <c r="S77" s="114"/>
      <c r="T77" s="139">
        <v>7</v>
      </c>
      <c r="U77" s="8">
        <v>62</v>
      </c>
      <c r="V77" s="18"/>
      <c r="W77" s="18" t="s">
        <v>158</v>
      </c>
      <c r="X77" s="20"/>
      <c r="Y77" s="20"/>
      <c r="Z77" s="135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128</v>
      </c>
      <c r="C78" s="7">
        <v>46215</v>
      </c>
      <c r="D78" s="114">
        <v>69</v>
      </c>
      <c r="E78" s="139">
        <v>19</v>
      </c>
      <c r="F78" s="18"/>
      <c r="G78" s="17" t="s">
        <v>32</v>
      </c>
      <c r="H78" s="139">
        <v>13</v>
      </c>
      <c r="I78" s="139">
        <v>13</v>
      </c>
      <c r="J78" s="18">
        <v>2</v>
      </c>
      <c r="K78" s="17"/>
      <c r="L78" s="139">
        <v>84</v>
      </c>
      <c r="M78" s="139">
        <v>84</v>
      </c>
      <c r="N78" s="18"/>
      <c r="O78" s="18"/>
      <c r="P78" s="139">
        <v>66</v>
      </c>
      <c r="Q78" s="139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5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39">
        <v>19</v>
      </c>
      <c r="E79" s="139">
        <v>19</v>
      </c>
      <c r="F79" s="18">
        <v>1</v>
      </c>
      <c r="G79" s="17"/>
      <c r="H79" s="139">
        <v>13</v>
      </c>
      <c r="I79" s="139">
        <v>13</v>
      </c>
      <c r="J79" s="18">
        <v>2</v>
      </c>
      <c r="K79" s="17"/>
      <c r="L79" s="139">
        <v>84</v>
      </c>
      <c r="M79" s="138">
        <v>43</v>
      </c>
      <c r="N79" s="18"/>
      <c r="O79" s="18" t="s">
        <v>158</v>
      </c>
      <c r="P79" s="139">
        <v>66</v>
      </c>
      <c r="Q79" s="139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5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123</v>
      </c>
      <c r="C80" s="7">
        <v>46217</v>
      </c>
      <c r="D80" s="139">
        <v>19</v>
      </c>
      <c r="E80" s="139">
        <v>19</v>
      </c>
      <c r="F80" s="18">
        <v>1</v>
      </c>
      <c r="G80" s="17"/>
      <c r="H80" s="139">
        <v>13</v>
      </c>
      <c r="I80" s="139">
        <v>13</v>
      </c>
      <c r="J80" s="18">
        <v>2</v>
      </c>
      <c r="K80" s="17"/>
      <c r="L80" s="138">
        <v>43</v>
      </c>
      <c r="M80" s="138">
        <v>43</v>
      </c>
      <c r="N80" s="18">
        <v>3</v>
      </c>
      <c r="O80" s="18"/>
      <c r="P80" s="139">
        <v>66</v>
      </c>
      <c r="Q80" s="139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5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124</v>
      </c>
      <c r="C81" s="7">
        <v>46218</v>
      </c>
      <c r="D81" s="139">
        <v>19</v>
      </c>
      <c r="E81" s="139">
        <v>19</v>
      </c>
      <c r="F81" s="18">
        <v>1</v>
      </c>
      <c r="G81" s="17"/>
      <c r="H81" s="139">
        <v>13</v>
      </c>
      <c r="I81" s="8">
        <v>81</v>
      </c>
      <c r="J81" s="18">
        <v>2</v>
      </c>
      <c r="K81" s="17"/>
      <c r="L81" s="138">
        <v>43</v>
      </c>
      <c r="M81" s="138">
        <v>43</v>
      </c>
      <c r="N81" s="18">
        <v>3</v>
      </c>
      <c r="O81" s="18"/>
      <c r="P81" s="139">
        <v>66</v>
      </c>
      <c r="Q81" s="139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5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125</v>
      </c>
      <c r="C82" s="7">
        <v>46219</v>
      </c>
      <c r="D82" s="139">
        <v>19</v>
      </c>
      <c r="E82" s="139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8">
        <v>43</v>
      </c>
      <c r="M82" s="191">
        <v>131</v>
      </c>
      <c r="N82" s="18">
        <v>3</v>
      </c>
      <c r="O82" s="18"/>
      <c r="P82" s="139">
        <v>66</v>
      </c>
      <c r="Q82" s="139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5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126</v>
      </c>
      <c r="C83" s="7">
        <v>46220</v>
      </c>
      <c r="D83" s="139">
        <v>19</v>
      </c>
      <c r="E83" s="139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1">
        <v>131</v>
      </c>
      <c r="M83" s="191">
        <v>113</v>
      </c>
      <c r="N83" s="18"/>
      <c r="O83" s="18"/>
      <c r="P83" s="139">
        <v>66</v>
      </c>
      <c r="Q83" s="139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5">
        <f t="shared" si="6"/>
        <v>5</v>
      </c>
      <c r="AA83" s="130">
        <f t="shared" si="7"/>
        <v>5</v>
      </c>
      <c r="AB83" s="57">
        <f t="shared" si="5"/>
        <v>1</v>
      </c>
      <c r="AC83" s="21">
        <f t="shared" si="8"/>
        <v>1</v>
      </c>
      <c r="AD83" s="16"/>
    </row>
    <row r="84" spans="1:30" ht="30" customHeight="1" x14ac:dyDescent="0.35">
      <c r="A84" s="6"/>
      <c r="B84" s="6" t="s">
        <v>127</v>
      </c>
      <c r="C84" s="7">
        <v>46221</v>
      </c>
      <c r="D84" s="139">
        <v>19</v>
      </c>
      <c r="E84" s="139">
        <v>19</v>
      </c>
      <c r="F84" s="18">
        <v>1</v>
      </c>
      <c r="G84" s="17"/>
      <c r="H84" s="8">
        <v>81</v>
      </c>
      <c r="I84" s="191">
        <v>38</v>
      </c>
      <c r="J84" s="18">
        <v>2</v>
      </c>
      <c r="K84" s="17"/>
      <c r="L84" s="191">
        <v>131</v>
      </c>
      <c r="M84" s="191">
        <v>131</v>
      </c>
      <c r="N84" s="18"/>
      <c r="O84" s="18"/>
      <c r="P84" s="139">
        <v>66</v>
      </c>
      <c r="Q84" s="139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5">
        <f t="shared" si="6"/>
        <v>5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128</v>
      </c>
      <c r="C85" s="7">
        <v>46222</v>
      </c>
      <c r="D85" s="139">
        <v>19</v>
      </c>
      <c r="E85" s="139">
        <v>19</v>
      </c>
      <c r="F85" s="18">
        <v>1</v>
      </c>
      <c r="G85" s="17"/>
      <c r="H85" s="191">
        <v>38</v>
      </c>
      <c r="I85" s="191">
        <v>38</v>
      </c>
      <c r="J85" s="18"/>
      <c r="K85" s="18" t="s">
        <v>225</v>
      </c>
      <c r="L85" s="191">
        <v>131</v>
      </c>
      <c r="M85" s="8">
        <v>44</v>
      </c>
      <c r="N85" s="18"/>
      <c r="O85" s="18"/>
      <c r="P85" s="139">
        <v>66</v>
      </c>
      <c r="Q85" s="138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5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122</v>
      </c>
      <c r="C86" s="7">
        <v>46223</v>
      </c>
      <c r="D86" s="139">
        <v>19</v>
      </c>
      <c r="E86" s="139">
        <v>19</v>
      </c>
      <c r="F86" s="18">
        <v>1</v>
      </c>
      <c r="G86" s="17"/>
      <c r="H86" s="191">
        <v>38</v>
      </c>
      <c r="I86" s="191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8">
        <v>1</v>
      </c>
      <c r="Q86" s="138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5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123</v>
      </c>
      <c r="C87" s="7">
        <v>46224</v>
      </c>
      <c r="D87" s="139">
        <v>19</v>
      </c>
      <c r="E87" s="139">
        <v>19</v>
      </c>
      <c r="F87" s="18">
        <v>1</v>
      </c>
      <c r="G87" s="17"/>
      <c r="H87" s="191">
        <v>38</v>
      </c>
      <c r="I87" s="191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8">
        <v>1</v>
      </c>
      <c r="Q87" s="138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5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124</v>
      </c>
      <c r="C88" s="7">
        <v>46225</v>
      </c>
      <c r="D88" s="139">
        <v>19</v>
      </c>
      <c r="E88" s="139">
        <v>19</v>
      </c>
      <c r="F88" s="18">
        <v>1</v>
      </c>
      <c r="G88" s="17"/>
      <c r="H88" s="191">
        <v>38</v>
      </c>
      <c r="I88" s="191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8">
        <v>1</v>
      </c>
      <c r="Q88" s="138">
        <v>1</v>
      </c>
      <c r="R88" s="18">
        <v>2</v>
      </c>
      <c r="S88" s="114"/>
      <c r="T88" s="111">
        <v>62</v>
      </c>
      <c r="U88" s="139">
        <v>10</v>
      </c>
      <c r="V88" s="111"/>
      <c r="W88" s="18"/>
      <c r="X88" s="8"/>
      <c r="Y88" s="8"/>
      <c r="Z88" s="135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39">
        <v>19</v>
      </c>
      <c r="E89" s="139">
        <v>19</v>
      </c>
      <c r="F89" s="18">
        <v>1</v>
      </c>
      <c r="G89" s="17"/>
      <c r="H89" s="191">
        <v>38</v>
      </c>
      <c r="I89" s="191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8">
        <v>1</v>
      </c>
      <c r="Q89" s="138">
        <v>1</v>
      </c>
      <c r="R89" s="18">
        <v>2</v>
      </c>
      <c r="S89" s="114"/>
      <c r="T89" s="139">
        <v>10</v>
      </c>
      <c r="U89" s="139">
        <v>10</v>
      </c>
      <c r="V89" s="111">
        <v>2</v>
      </c>
      <c r="W89" s="18"/>
      <c r="X89" s="12"/>
      <c r="Y89" s="8"/>
      <c r="Z89" s="135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126</v>
      </c>
      <c r="C90" s="7">
        <v>46227</v>
      </c>
      <c r="D90" s="139">
        <v>19</v>
      </c>
      <c r="E90" s="139">
        <v>19</v>
      </c>
      <c r="F90" s="18">
        <v>1</v>
      </c>
      <c r="G90" s="17"/>
      <c r="H90" s="191">
        <v>38</v>
      </c>
      <c r="I90" s="191">
        <v>38</v>
      </c>
      <c r="J90" s="18"/>
      <c r="K90" s="18"/>
      <c r="L90" s="12">
        <v>44</v>
      </c>
      <c r="M90" s="8"/>
      <c r="N90" s="18">
        <v>2</v>
      </c>
      <c r="O90" s="18"/>
      <c r="P90" s="138">
        <v>1</v>
      </c>
      <c r="Q90" s="138">
        <v>1</v>
      </c>
      <c r="R90" s="18">
        <v>2</v>
      </c>
      <c r="S90" s="114"/>
      <c r="T90" s="139">
        <v>10</v>
      </c>
      <c r="U90" s="139">
        <v>10</v>
      </c>
      <c r="V90" s="111">
        <v>2</v>
      </c>
      <c r="W90" s="18"/>
      <c r="X90" s="12"/>
      <c r="Y90" s="8"/>
      <c r="Z90" s="135">
        <f t="shared" si="6"/>
        <v>7</v>
      </c>
      <c r="AA90" s="130">
        <f t="shared" si="7"/>
        <v>4</v>
      </c>
      <c r="AB90" s="57">
        <f t="shared" si="5"/>
        <v>0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127</v>
      </c>
      <c r="C91" s="7">
        <v>46228</v>
      </c>
      <c r="D91" s="139">
        <v>19</v>
      </c>
      <c r="E91" s="139">
        <v>19</v>
      </c>
      <c r="F91" s="18">
        <v>1</v>
      </c>
      <c r="G91" s="17"/>
      <c r="H91" s="191">
        <v>38</v>
      </c>
      <c r="I91" s="8">
        <v>49</v>
      </c>
      <c r="J91" s="18">
        <v>2</v>
      </c>
      <c r="K91" s="18"/>
      <c r="L91" s="8"/>
      <c r="M91" s="8"/>
      <c r="N91" s="18"/>
      <c r="O91" s="18"/>
      <c r="P91" s="138">
        <v>1</v>
      </c>
      <c r="Q91" s="111"/>
      <c r="R91" s="114">
        <v>2</v>
      </c>
      <c r="S91" s="114"/>
      <c r="T91" s="139">
        <v>10</v>
      </c>
      <c r="U91" s="8"/>
      <c r="V91" s="18"/>
      <c r="W91" s="18"/>
      <c r="X91" s="111"/>
      <c r="Y91" s="111"/>
      <c r="Z91" s="135">
        <f t="shared" si="6"/>
        <v>5</v>
      </c>
      <c r="AA91" s="130">
        <f t="shared" si="7"/>
        <v>2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128</v>
      </c>
      <c r="C92" s="7">
        <v>46229</v>
      </c>
      <c r="D92" s="139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8"/>
      <c r="M92" s="139">
        <v>58</v>
      </c>
      <c r="N92" s="18"/>
      <c r="O92" s="17" t="s">
        <v>32</v>
      </c>
      <c r="P92" s="8"/>
      <c r="Q92" s="139">
        <v>58</v>
      </c>
      <c r="R92" s="114"/>
      <c r="S92" s="114" t="s">
        <v>32</v>
      </c>
      <c r="T92" s="8"/>
      <c r="U92" s="8"/>
      <c r="V92" s="18"/>
      <c r="W92" s="18"/>
      <c r="X92" s="20"/>
      <c r="Y92" s="20"/>
      <c r="Z92" s="135">
        <f t="shared" si="6"/>
        <v>3</v>
      </c>
      <c r="AA92" s="130">
        <f t="shared" si="7"/>
        <v>3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9">
        <v>58</v>
      </c>
      <c r="M93" s="139">
        <v>58</v>
      </c>
      <c r="N93" s="18">
        <v>1</v>
      </c>
      <c r="O93" s="17" t="s">
        <v>288</v>
      </c>
      <c r="P93" s="139">
        <v>58</v>
      </c>
      <c r="Q93" s="139">
        <v>58</v>
      </c>
      <c r="R93" s="114">
        <v>1</v>
      </c>
      <c r="S93" s="114" t="s">
        <v>288</v>
      </c>
      <c r="T93" s="8"/>
      <c r="U93" s="8">
        <v>30</v>
      </c>
      <c r="V93" s="18"/>
      <c r="W93" s="18" t="s">
        <v>159</v>
      </c>
      <c r="X93" s="8"/>
      <c r="Y93" s="8"/>
      <c r="Z93" s="135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0</v>
      </c>
      <c r="AD93" s="16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9">
        <v>58</v>
      </c>
      <c r="M94" s="139">
        <v>58</v>
      </c>
      <c r="N94" s="18">
        <v>1</v>
      </c>
      <c r="O94" s="17"/>
      <c r="P94" s="139">
        <v>58</v>
      </c>
      <c r="Q94" s="139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5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9">
        <v>58</v>
      </c>
      <c r="M95" s="139">
        <v>58</v>
      </c>
      <c r="N95" s="18">
        <v>1</v>
      </c>
      <c r="O95" s="17"/>
      <c r="P95" s="139">
        <v>58</v>
      </c>
      <c r="Q95" s="161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5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9">
        <v>58</v>
      </c>
      <c r="M96" s="153">
        <v>115</v>
      </c>
      <c r="N96" s="18">
        <v>1</v>
      </c>
      <c r="O96" s="17" t="s">
        <v>156</v>
      </c>
      <c r="P96" s="160">
        <v>57</v>
      </c>
      <c r="Q96" s="161">
        <v>57</v>
      </c>
      <c r="R96" s="114"/>
      <c r="S96" s="114" t="s">
        <v>287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5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3">
        <v>115</v>
      </c>
      <c r="M97" s="153">
        <v>115</v>
      </c>
      <c r="N97" s="18">
        <v>2</v>
      </c>
      <c r="O97" s="17"/>
      <c r="P97" s="160">
        <v>57</v>
      </c>
      <c r="Q97" s="161">
        <v>57</v>
      </c>
      <c r="R97" s="114"/>
      <c r="S97" s="114"/>
      <c r="T97" s="8">
        <v>30</v>
      </c>
      <c r="U97" s="215">
        <v>132</v>
      </c>
      <c r="V97" s="18">
        <v>2</v>
      </c>
      <c r="W97" s="18"/>
      <c r="X97" s="8"/>
      <c r="Y97" s="8"/>
      <c r="Z97" s="135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127</v>
      </c>
      <c r="C98" s="7">
        <v>46235</v>
      </c>
      <c r="D98" s="114">
        <v>94</v>
      </c>
      <c r="E98" s="114">
        <v>94</v>
      </c>
      <c r="F98" s="18"/>
      <c r="G98" s="17" t="s">
        <v>157</v>
      </c>
      <c r="H98" s="8">
        <v>49</v>
      </c>
      <c r="I98" s="8"/>
      <c r="J98" s="18">
        <v>2</v>
      </c>
      <c r="K98" s="17"/>
      <c r="L98" s="152">
        <v>115</v>
      </c>
      <c r="M98" s="153">
        <v>115</v>
      </c>
      <c r="N98" s="18">
        <v>2</v>
      </c>
      <c r="O98" s="17"/>
      <c r="P98" s="160">
        <v>57</v>
      </c>
      <c r="Q98" s="161">
        <v>57</v>
      </c>
      <c r="R98" s="114"/>
      <c r="S98" s="114"/>
      <c r="T98" s="215">
        <v>132</v>
      </c>
      <c r="U98" s="215">
        <v>132</v>
      </c>
      <c r="V98" s="18">
        <v>2</v>
      </c>
      <c r="W98" s="18"/>
      <c r="X98" s="20"/>
      <c r="Y98" s="20"/>
      <c r="Z98" s="135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128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9">
        <v>74</v>
      </c>
      <c r="J99" s="18"/>
      <c r="K99" s="17"/>
      <c r="L99" s="152">
        <v>115</v>
      </c>
      <c r="M99" s="139">
        <v>74</v>
      </c>
      <c r="N99" s="18">
        <v>2</v>
      </c>
      <c r="O99" s="18"/>
      <c r="P99" s="160">
        <v>57</v>
      </c>
      <c r="Q99" s="161">
        <v>57</v>
      </c>
      <c r="R99" s="114"/>
      <c r="S99" s="114"/>
      <c r="T99" s="215">
        <v>132</v>
      </c>
      <c r="U99" s="215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0">
        <v>94</v>
      </c>
      <c r="E100" s="138">
        <v>11</v>
      </c>
      <c r="F100" s="18"/>
      <c r="G100" s="17" t="s">
        <v>158</v>
      </c>
      <c r="H100" s="141">
        <v>74</v>
      </c>
      <c r="I100" s="139">
        <v>74</v>
      </c>
      <c r="J100" s="18">
        <v>2</v>
      </c>
      <c r="K100" s="17"/>
      <c r="L100" s="139">
        <v>74</v>
      </c>
      <c r="M100" s="139">
        <v>74</v>
      </c>
      <c r="N100" s="18">
        <v>1</v>
      </c>
      <c r="O100" s="18"/>
      <c r="P100" s="160">
        <v>57</v>
      </c>
      <c r="Q100" s="161">
        <v>57</v>
      </c>
      <c r="R100" s="114"/>
      <c r="S100" s="114"/>
      <c r="T100" s="217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123</v>
      </c>
      <c r="C101" s="7">
        <v>46238</v>
      </c>
      <c r="D101" s="138">
        <v>11</v>
      </c>
      <c r="E101" s="138">
        <v>11</v>
      </c>
      <c r="F101" s="18"/>
      <c r="G101" s="17" t="s">
        <v>157</v>
      </c>
      <c r="H101" s="141">
        <v>74</v>
      </c>
      <c r="I101" s="139">
        <v>74</v>
      </c>
      <c r="J101" s="18">
        <v>2</v>
      </c>
      <c r="K101" s="17"/>
      <c r="L101" s="139">
        <v>74</v>
      </c>
      <c r="M101" s="139">
        <v>74</v>
      </c>
      <c r="N101" s="18">
        <v>1</v>
      </c>
      <c r="O101" s="18"/>
      <c r="P101" s="160">
        <v>57</v>
      </c>
      <c r="Q101" s="139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124</v>
      </c>
      <c r="C102" s="7">
        <v>46239</v>
      </c>
      <c r="D102" s="138">
        <v>11</v>
      </c>
      <c r="E102" s="138">
        <v>11</v>
      </c>
      <c r="F102" s="18"/>
      <c r="G102" s="17"/>
      <c r="H102" s="139">
        <v>74</v>
      </c>
      <c r="I102" s="139">
        <v>74</v>
      </c>
      <c r="J102" s="18">
        <v>2</v>
      </c>
      <c r="K102" s="17"/>
      <c r="L102" s="139">
        <v>74</v>
      </c>
      <c r="M102" s="139">
        <v>74</v>
      </c>
      <c r="N102" s="18">
        <v>1</v>
      </c>
      <c r="O102" s="18"/>
      <c r="P102" s="139">
        <v>138</v>
      </c>
      <c r="Q102" s="139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125</v>
      </c>
      <c r="C103" s="7">
        <v>46240</v>
      </c>
      <c r="D103" s="138">
        <v>11</v>
      </c>
      <c r="E103" s="138">
        <v>11</v>
      </c>
      <c r="F103" s="18"/>
      <c r="G103" s="17"/>
      <c r="H103" s="139">
        <v>74</v>
      </c>
      <c r="I103" s="8">
        <v>32</v>
      </c>
      <c r="J103" s="18">
        <v>2</v>
      </c>
      <c r="K103" s="17" t="s">
        <v>156</v>
      </c>
      <c r="L103" s="139">
        <v>74</v>
      </c>
      <c r="M103" s="154">
        <v>33</v>
      </c>
      <c r="N103" s="18">
        <v>1</v>
      </c>
      <c r="O103" s="18" t="s">
        <v>32</v>
      </c>
      <c r="P103" s="139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5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126</v>
      </c>
      <c r="C104" s="7">
        <v>46241</v>
      </c>
      <c r="D104" s="138">
        <v>11</v>
      </c>
      <c r="E104" s="138">
        <v>11</v>
      </c>
      <c r="F104" s="18"/>
      <c r="G104" s="17"/>
      <c r="H104" s="111">
        <v>32</v>
      </c>
      <c r="I104" s="111">
        <v>32</v>
      </c>
      <c r="J104" s="111">
        <v>2</v>
      </c>
      <c r="K104" s="187" t="s">
        <v>157</v>
      </c>
      <c r="L104" s="154">
        <v>33</v>
      </c>
      <c r="M104" s="154">
        <v>33</v>
      </c>
      <c r="N104" s="111">
        <v>1</v>
      </c>
      <c r="O104" s="111" t="s">
        <v>157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3">
        <v>92</v>
      </c>
      <c r="V104" s="111">
        <v>2</v>
      </c>
      <c r="W104" s="111" t="s">
        <v>32</v>
      </c>
      <c r="X104" s="20"/>
      <c r="Y104" s="20"/>
      <c r="Z104" s="135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127</v>
      </c>
      <c r="C105" s="7">
        <v>46242</v>
      </c>
      <c r="D105" s="138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7"/>
      <c r="L105" s="154">
        <v>33</v>
      </c>
      <c r="M105" s="154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3">
        <v>92</v>
      </c>
      <c r="U105" s="153">
        <v>92</v>
      </c>
      <c r="V105" s="111"/>
      <c r="W105" s="111" t="s">
        <v>266</v>
      </c>
      <c r="X105" s="20"/>
      <c r="Y105" s="20"/>
      <c r="Z105" s="135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4">
        <v>33</v>
      </c>
      <c r="M106" s="154">
        <v>33</v>
      </c>
      <c r="N106" s="111">
        <v>1</v>
      </c>
      <c r="O106" s="111"/>
      <c r="P106" s="111">
        <v>45</v>
      </c>
      <c r="Q106" s="153">
        <v>114</v>
      </c>
      <c r="R106" s="111">
        <v>2</v>
      </c>
      <c r="S106" s="111" t="s">
        <v>23</v>
      </c>
      <c r="T106" s="153">
        <v>92</v>
      </c>
      <c r="U106" s="153">
        <v>92</v>
      </c>
      <c r="V106" s="111"/>
      <c r="W106" s="111"/>
      <c r="X106" s="20"/>
      <c r="Y106" s="20"/>
      <c r="Z106" s="135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18"/>
      <c r="G107" s="17" t="s">
        <v>156</v>
      </c>
      <c r="H107" s="8">
        <v>32</v>
      </c>
      <c r="I107" s="8">
        <v>32</v>
      </c>
      <c r="J107" s="18">
        <v>2</v>
      </c>
      <c r="K107" s="17"/>
      <c r="L107" s="154">
        <v>33</v>
      </c>
      <c r="M107" s="154">
        <v>33</v>
      </c>
      <c r="N107" s="18">
        <v>1</v>
      </c>
      <c r="O107" s="18"/>
      <c r="P107" s="153">
        <v>114</v>
      </c>
      <c r="Q107" s="153">
        <v>114</v>
      </c>
      <c r="R107" s="114">
        <v>2</v>
      </c>
      <c r="S107" s="114" t="s">
        <v>266</v>
      </c>
      <c r="T107" s="153">
        <v>92</v>
      </c>
      <c r="U107" s="153">
        <v>92</v>
      </c>
      <c r="V107" s="18"/>
      <c r="W107" s="18"/>
      <c r="X107" s="20"/>
      <c r="Y107" s="20"/>
      <c r="Z107" s="135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4">
        <v>33</v>
      </c>
      <c r="M108" s="154">
        <v>33</v>
      </c>
      <c r="N108" s="2">
        <v>1</v>
      </c>
      <c r="O108" s="18"/>
      <c r="P108" s="153">
        <v>114</v>
      </c>
      <c r="Q108" s="153">
        <v>114</v>
      </c>
      <c r="R108" s="114">
        <v>2</v>
      </c>
      <c r="S108" s="114"/>
      <c r="T108" s="153">
        <v>92</v>
      </c>
      <c r="U108" s="153">
        <v>92</v>
      </c>
      <c r="V108" s="18"/>
      <c r="W108" s="18"/>
      <c r="X108" s="20"/>
      <c r="Y108" s="20"/>
      <c r="Z108" s="135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4">
        <v>33</v>
      </c>
      <c r="M109" s="154">
        <v>33</v>
      </c>
      <c r="N109" s="18">
        <v>1</v>
      </c>
      <c r="O109" s="18"/>
      <c r="P109" s="153">
        <v>114</v>
      </c>
      <c r="Q109" s="139">
        <v>4</v>
      </c>
      <c r="R109" s="114">
        <v>2</v>
      </c>
      <c r="S109" s="114"/>
      <c r="T109" s="153">
        <v>92</v>
      </c>
      <c r="U109" s="139">
        <v>4</v>
      </c>
      <c r="V109" s="18"/>
      <c r="W109" s="18"/>
      <c r="X109" s="20"/>
      <c r="Y109" s="20"/>
      <c r="Z109" s="135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4">
        <v>46</v>
      </c>
      <c r="J110" s="18">
        <v>2</v>
      </c>
      <c r="K110" s="17"/>
      <c r="L110" s="154">
        <v>33</v>
      </c>
      <c r="M110" s="8">
        <v>23</v>
      </c>
      <c r="N110" s="18">
        <v>1</v>
      </c>
      <c r="O110" s="18"/>
      <c r="P110" s="139">
        <v>4</v>
      </c>
      <c r="Q110" s="139">
        <v>4</v>
      </c>
      <c r="R110" s="114">
        <v>2</v>
      </c>
      <c r="S110" s="114"/>
      <c r="T110" s="139">
        <v>4</v>
      </c>
      <c r="U110" s="139">
        <v>4</v>
      </c>
      <c r="V110" s="18">
        <v>2</v>
      </c>
      <c r="W110" s="18"/>
      <c r="X110" s="20"/>
      <c r="Y110" s="20">
        <v>121</v>
      </c>
      <c r="Z110" s="135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4">
        <v>46</v>
      </c>
      <c r="I111" s="154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9">
        <v>4</v>
      </c>
      <c r="Q111" s="139">
        <v>4</v>
      </c>
      <c r="R111" s="114">
        <v>2</v>
      </c>
      <c r="S111" s="114"/>
      <c r="T111" s="139">
        <v>4</v>
      </c>
      <c r="U111" s="139">
        <v>4</v>
      </c>
      <c r="V111" s="18">
        <v>2</v>
      </c>
      <c r="W111" s="18"/>
      <c r="X111" s="20">
        <v>121</v>
      </c>
      <c r="Y111" s="20"/>
      <c r="Z111" s="135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4">
        <v>121</v>
      </c>
      <c r="E112" s="114">
        <v>121</v>
      </c>
      <c r="F112" s="18"/>
      <c r="G112" s="17"/>
      <c r="H112" s="154">
        <v>46</v>
      </c>
      <c r="I112" s="154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9">
        <v>4</v>
      </c>
      <c r="Q112" s="139">
        <v>4</v>
      </c>
      <c r="R112" s="114">
        <v>2</v>
      </c>
      <c r="S112" s="114"/>
      <c r="T112" s="139">
        <v>4</v>
      </c>
      <c r="U112" s="139">
        <v>4</v>
      </c>
      <c r="V112" s="18">
        <v>2</v>
      </c>
      <c r="W112" s="18"/>
      <c r="X112" s="20"/>
      <c r="Y112" s="20"/>
      <c r="Z112" s="135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128</v>
      </c>
      <c r="C113" s="7">
        <v>46250</v>
      </c>
      <c r="D113" s="114">
        <v>121</v>
      </c>
      <c r="E113" s="8"/>
      <c r="F113" s="18"/>
      <c r="G113" s="17"/>
      <c r="H113" s="154">
        <v>46</v>
      </c>
      <c r="I113" s="154">
        <v>46</v>
      </c>
      <c r="J113" s="18"/>
      <c r="K113" s="17"/>
      <c r="L113" s="8">
        <v>23</v>
      </c>
      <c r="M113" s="8"/>
      <c r="N113" s="18">
        <v>2</v>
      </c>
      <c r="O113" s="18"/>
      <c r="P113" s="139">
        <v>4</v>
      </c>
      <c r="Q113" s="153">
        <v>51</v>
      </c>
      <c r="R113" s="114">
        <v>2</v>
      </c>
      <c r="S113" s="114"/>
      <c r="T113" s="139">
        <v>4</v>
      </c>
      <c r="U113" s="8"/>
      <c r="V113" s="18">
        <v>2</v>
      </c>
      <c r="W113" s="18"/>
      <c r="X113" s="20"/>
      <c r="Y113" s="20"/>
      <c r="Z113" s="135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9"/>
      <c r="E114" s="8">
        <v>26</v>
      </c>
      <c r="F114" s="18"/>
      <c r="G114" s="17" t="s">
        <v>23</v>
      </c>
      <c r="H114" s="154">
        <v>46</v>
      </c>
      <c r="I114" s="154">
        <v>46</v>
      </c>
      <c r="J114" s="18"/>
      <c r="K114" s="17"/>
      <c r="L114" s="12"/>
      <c r="M114" s="8">
        <v>52</v>
      </c>
      <c r="N114" s="18"/>
      <c r="O114" s="18"/>
      <c r="P114" s="157">
        <v>51</v>
      </c>
      <c r="Q114" s="153">
        <v>51</v>
      </c>
      <c r="R114" s="114">
        <v>2</v>
      </c>
      <c r="S114" s="114" t="s">
        <v>265</v>
      </c>
      <c r="T114" s="8"/>
      <c r="U114" s="139">
        <v>21</v>
      </c>
      <c r="V114" s="18"/>
      <c r="W114" s="18" t="s">
        <v>159</v>
      </c>
      <c r="X114" s="20"/>
      <c r="Y114" s="20"/>
      <c r="Z114" s="135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0</v>
      </c>
      <c r="AD114" s="16"/>
    </row>
    <row r="115" spans="1:30" ht="30" customHeight="1" x14ac:dyDescent="0.35">
      <c r="A115" s="6"/>
      <c r="B115" s="6" t="s">
        <v>123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54">
        <v>46</v>
      </c>
      <c r="I115" s="139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7">
        <v>51</v>
      </c>
      <c r="Q115" s="153">
        <v>51</v>
      </c>
      <c r="R115" s="114">
        <v>2</v>
      </c>
      <c r="S115" s="114"/>
      <c r="T115" s="139">
        <v>21</v>
      </c>
      <c r="U115" s="139">
        <v>21</v>
      </c>
      <c r="V115" s="18">
        <v>2</v>
      </c>
      <c r="W115" s="18" t="s">
        <v>266</v>
      </c>
      <c r="X115" s="20"/>
      <c r="Y115" s="20"/>
      <c r="Z115" s="135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124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1">
        <v>133</v>
      </c>
      <c r="I116" s="139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7">
        <v>51</v>
      </c>
      <c r="Q116" s="153">
        <v>51</v>
      </c>
      <c r="R116" s="114">
        <v>2</v>
      </c>
      <c r="S116" s="114"/>
      <c r="T116" s="139">
        <v>21</v>
      </c>
      <c r="U116" s="139">
        <v>21</v>
      </c>
      <c r="V116" s="18">
        <v>2</v>
      </c>
      <c r="W116" s="18"/>
      <c r="X116" s="20"/>
      <c r="Y116" s="20"/>
      <c r="Z116" s="135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125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1">
        <v>133</v>
      </c>
      <c r="I117" s="158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7">
        <v>51</v>
      </c>
      <c r="Q117" s="153">
        <v>51</v>
      </c>
      <c r="R117" s="114">
        <v>2</v>
      </c>
      <c r="S117" s="114"/>
      <c r="T117" s="139">
        <v>21</v>
      </c>
      <c r="U117" s="139">
        <v>21</v>
      </c>
      <c r="V117" s="18">
        <v>2</v>
      </c>
      <c r="W117" s="18"/>
      <c r="X117" s="139"/>
      <c r="Y117" s="158">
        <v>54</v>
      </c>
      <c r="Z117" s="135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126</v>
      </c>
      <c r="C118" s="7">
        <v>46255</v>
      </c>
      <c r="D118" s="9">
        <v>26</v>
      </c>
      <c r="E118" s="8"/>
      <c r="F118" s="18">
        <v>2</v>
      </c>
      <c r="G118" s="17"/>
      <c r="H118" s="159">
        <v>54</v>
      </c>
      <c r="I118" s="158">
        <v>54</v>
      </c>
      <c r="J118" s="18">
        <v>2</v>
      </c>
      <c r="K118" s="17"/>
      <c r="L118" s="12">
        <v>52</v>
      </c>
      <c r="M118" s="158">
        <v>54</v>
      </c>
      <c r="N118" s="18">
        <v>2</v>
      </c>
      <c r="O118" s="18"/>
      <c r="P118" s="157">
        <v>51</v>
      </c>
      <c r="Q118" s="8">
        <v>93</v>
      </c>
      <c r="R118" s="114">
        <v>2</v>
      </c>
      <c r="S118" s="114"/>
      <c r="T118" s="139">
        <v>21</v>
      </c>
      <c r="U118" s="139">
        <v>21</v>
      </c>
      <c r="V118" s="18">
        <v>2</v>
      </c>
      <c r="W118" s="18"/>
      <c r="X118" s="158">
        <v>54</v>
      </c>
      <c r="Y118" s="139"/>
      <c r="Z118" s="135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127</v>
      </c>
      <c r="C119" s="7">
        <v>46256</v>
      </c>
      <c r="D119" s="9"/>
      <c r="E119" s="8">
        <v>65</v>
      </c>
      <c r="F119" s="18"/>
      <c r="G119" s="17"/>
      <c r="H119" s="159">
        <v>54</v>
      </c>
      <c r="I119" s="158">
        <v>54</v>
      </c>
      <c r="J119" s="18">
        <v>2</v>
      </c>
      <c r="K119" s="17"/>
      <c r="L119" s="158">
        <v>54</v>
      </c>
      <c r="M119" s="158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225</v>
      </c>
      <c r="T119" s="139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5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128</v>
      </c>
      <c r="C120" s="7">
        <v>46257</v>
      </c>
      <c r="D120" s="9">
        <v>65</v>
      </c>
      <c r="E120" s="8">
        <v>65</v>
      </c>
      <c r="F120" s="18"/>
      <c r="G120" s="17"/>
      <c r="H120" s="159">
        <v>54</v>
      </c>
      <c r="I120" s="139">
        <v>120</v>
      </c>
      <c r="J120" s="18">
        <v>2</v>
      </c>
      <c r="K120" s="17" t="s">
        <v>156</v>
      </c>
      <c r="L120" s="158">
        <v>54</v>
      </c>
      <c r="M120" s="138">
        <v>122</v>
      </c>
      <c r="N120" s="18">
        <v>2</v>
      </c>
      <c r="O120" s="18" t="s">
        <v>159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57</v>
      </c>
      <c r="X120" s="20"/>
      <c r="Y120" s="20"/>
      <c r="Z120" s="135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9">
        <v>65</v>
      </c>
      <c r="E121" s="8">
        <v>65</v>
      </c>
      <c r="F121" s="18"/>
      <c r="G121" s="17"/>
      <c r="H121" s="141">
        <v>120</v>
      </c>
      <c r="I121" s="139">
        <v>120</v>
      </c>
      <c r="J121" s="18">
        <v>2</v>
      </c>
      <c r="K121" s="17" t="s">
        <v>458</v>
      </c>
      <c r="L121" s="138">
        <v>122</v>
      </c>
      <c r="M121" s="138">
        <v>122</v>
      </c>
      <c r="N121" s="18">
        <v>2</v>
      </c>
      <c r="O121" s="18"/>
      <c r="P121" s="8">
        <v>93</v>
      </c>
      <c r="Q121" s="191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5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18"/>
      <c r="G122" s="17"/>
      <c r="H122" s="139">
        <v>120</v>
      </c>
      <c r="I122" s="139">
        <v>120</v>
      </c>
      <c r="J122" s="18">
        <v>2</v>
      </c>
      <c r="K122" s="17" t="s">
        <v>459</v>
      </c>
      <c r="L122" s="138">
        <v>122</v>
      </c>
      <c r="M122" s="8"/>
      <c r="N122" s="18">
        <v>2</v>
      </c>
      <c r="O122" s="18"/>
      <c r="P122" s="191">
        <v>60</v>
      </c>
      <c r="Q122" s="191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5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18"/>
      <c r="G123" s="17"/>
      <c r="H123" s="139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1">
        <v>60</v>
      </c>
      <c r="Q123" s="191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5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157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157</v>
      </c>
      <c r="P124" s="191">
        <v>60</v>
      </c>
      <c r="Q124" s="191">
        <v>60</v>
      </c>
      <c r="R124" s="114">
        <v>1</v>
      </c>
      <c r="S124" s="114"/>
      <c r="T124" s="8">
        <v>25</v>
      </c>
      <c r="U124" s="139">
        <v>35</v>
      </c>
      <c r="V124" s="114"/>
      <c r="W124" s="114"/>
      <c r="X124" s="20"/>
      <c r="Y124" s="20"/>
      <c r="Z124" s="135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1">
        <v>60</v>
      </c>
      <c r="Q125" s="139">
        <v>123</v>
      </c>
      <c r="R125" s="114">
        <v>1</v>
      </c>
      <c r="S125" s="114"/>
      <c r="T125" s="139">
        <v>35</v>
      </c>
      <c r="U125" s="139">
        <v>35</v>
      </c>
      <c r="V125" s="114">
        <v>2</v>
      </c>
      <c r="W125" s="114" t="s">
        <v>226</v>
      </c>
      <c r="X125" s="20"/>
      <c r="Y125" s="20"/>
      <c r="Z125" s="135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127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9">
        <v>123</v>
      </c>
      <c r="Q126" s="139">
        <v>123</v>
      </c>
      <c r="R126" s="114">
        <v>2</v>
      </c>
      <c r="S126" s="114"/>
      <c r="T126" s="139">
        <v>35</v>
      </c>
      <c r="U126" s="139">
        <v>35</v>
      </c>
      <c r="V126" s="114">
        <v>2</v>
      </c>
      <c r="W126" s="114"/>
      <c r="X126" s="20"/>
      <c r="Y126" s="20"/>
      <c r="Z126" s="135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128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8"/>
      <c r="J127" s="114"/>
      <c r="K127" s="114"/>
      <c r="L127" s="8">
        <v>78</v>
      </c>
      <c r="M127" s="8">
        <v>78</v>
      </c>
      <c r="N127" s="114">
        <v>2</v>
      </c>
      <c r="O127" s="114"/>
      <c r="P127" s="139">
        <v>123</v>
      </c>
      <c r="Q127" s="139">
        <v>123</v>
      </c>
      <c r="R127" s="114">
        <v>2</v>
      </c>
      <c r="S127" s="114"/>
      <c r="T127" s="139">
        <v>35</v>
      </c>
      <c r="U127" s="139">
        <v>35</v>
      </c>
      <c r="V127" s="114">
        <v>2</v>
      </c>
      <c r="W127" s="114"/>
      <c r="X127" s="20"/>
      <c r="Y127" s="20"/>
      <c r="Z127" s="135">
        <f t="shared" si="6"/>
        <v>8</v>
      </c>
      <c r="AA127" s="130">
        <f t="shared" si="7"/>
        <v>4</v>
      </c>
      <c r="AB127" s="57">
        <f t="shared" si="5"/>
        <v>0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9">
        <v>67</v>
      </c>
      <c r="E128" s="8"/>
      <c r="F128" s="114">
        <v>2</v>
      </c>
      <c r="G128" s="133"/>
      <c r="H128" s="8"/>
      <c r="I128" s="8"/>
      <c r="J128" s="18"/>
      <c r="K128" s="17"/>
      <c r="L128" s="8">
        <v>78</v>
      </c>
      <c r="M128" s="8">
        <v>78</v>
      </c>
      <c r="N128" s="114">
        <v>2</v>
      </c>
      <c r="O128" s="114"/>
      <c r="P128" s="139">
        <v>123</v>
      </c>
      <c r="Q128" s="139">
        <v>123</v>
      </c>
      <c r="R128" s="114">
        <v>2</v>
      </c>
      <c r="S128" s="114"/>
      <c r="T128" s="139">
        <v>35</v>
      </c>
      <c r="U128" s="8"/>
      <c r="V128" s="114">
        <v>2</v>
      </c>
      <c r="W128" s="114"/>
      <c r="X128" s="20"/>
      <c r="Y128" s="20"/>
      <c r="Z128" s="135">
        <f t="shared" si="6"/>
        <v>8</v>
      </c>
      <c r="AA128" s="130">
        <f t="shared" si="7"/>
        <v>2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123</v>
      </c>
      <c r="C129" s="7">
        <v>46266</v>
      </c>
      <c r="D129" s="9"/>
      <c r="E129" s="139">
        <v>126</v>
      </c>
      <c r="F129" s="18"/>
      <c r="G129" s="17"/>
      <c r="H129" s="9"/>
      <c r="I129" s="139">
        <v>126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9">
        <v>123</v>
      </c>
      <c r="Q129" s="139">
        <v>123</v>
      </c>
      <c r="R129" s="114">
        <v>2</v>
      </c>
      <c r="S129" s="114"/>
      <c r="T129" s="8"/>
      <c r="U129" s="8"/>
      <c r="V129" s="134"/>
      <c r="W129" s="114"/>
      <c r="X129" s="20"/>
      <c r="Y129" s="20"/>
      <c r="Z129" s="135">
        <f t="shared" si="6"/>
        <v>4</v>
      </c>
      <c r="AA129" s="130">
        <f t="shared" si="7"/>
        <v>4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124</v>
      </c>
      <c r="C130" s="7">
        <v>46267</v>
      </c>
      <c r="D130" s="140">
        <v>126</v>
      </c>
      <c r="E130" s="139">
        <v>126</v>
      </c>
      <c r="F130" s="18">
        <v>2</v>
      </c>
      <c r="G130" s="17"/>
      <c r="H130" s="140">
        <v>126</v>
      </c>
      <c r="I130" s="139">
        <v>126</v>
      </c>
      <c r="J130" s="18">
        <v>1</v>
      </c>
      <c r="K130" s="17"/>
      <c r="L130" s="8">
        <v>78</v>
      </c>
      <c r="M130" s="8">
        <v>78</v>
      </c>
      <c r="N130" s="114">
        <v>2</v>
      </c>
      <c r="O130" s="114"/>
      <c r="P130" s="139">
        <v>123</v>
      </c>
      <c r="Q130" s="139">
        <v>123</v>
      </c>
      <c r="R130" s="114">
        <v>2</v>
      </c>
      <c r="S130" s="114"/>
      <c r="T130" s="8"/>
      <c r="U130" s="8"/>
      <c r="V130" s="114"/>
      <c r="W130" s="114"/>
      <c r="X130" s="20"/>
      <c r="Y130" s="20"/>
      <c r="Z130" s="135">
        <f t="shared" si="6"/>
        <v>7</v>
      </c>
      <c r="AA130" s="130">
        <f t="shared" si="7"/>
        <v>4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125</v>
      </c>
      <c r="C131" s="7">
        <v>46268</v>
      </c>
      <c r="D131" s="140">
        <v>126</v>
      </c>
      <c r="E131" s="139">
        <v>126</v>
      </c>
      <c r="F131" s="18">
        <v>2</v>
      </c>
      <c r="G131" s="132"/>
      <c r="H131" s="140">
        <v>126</v>
      </c>
      <c r="I131" s="139">
        <v>126</v>
      </c>
      <c r="J131" s="18">
        <v>1</v>
      </c>
      <c r="K131" s="17"/>
      <c r="L131" s="8">
        <v>78</v>
      </c>
      <c r="M131" s="8"/>
      <c r="N131" s="18">
        <v>2</v>
      </c>
      <c r="O131" s="18"/>
      <c r="P131" s="139">
        <v>123</v>
      </c>
      <c r="Q131" s="139">
        <v>123</v>
      </c>
      <c r="R131" s="114">
        <v>2</v>
      </c>
      <c r="S131" s="114"/>
      <c r="T131" s="8"/>
      <c r="U131" s="138">
        <v>142</v>
      </c>
      <c r="V131" s="114"/>
      <c r="W131" s="114" t="s">
        <v>23</v>
      </c>
      <c r="X131" s="20"/>
      <c r="Y131" s="20"/>
      <c r="Z131" s="135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126</v>
      </c>
      <c r="C132" s="7">
        <v>46269</v>
      </c>
      <c r="D132" s="140">
        <v>126</v>
      </c>
      <c r="E132" s="139">
        <v>126</v>
      </c>
      <c r="F132" s="18">
        <v>2</v>
      </c>
      <c r="G132" s="132"/>
      <c r="H132" s="140">
        <v>126</v>
      </c>
      <c r="I132" s="139">
        <v>126</v>
      </c>
      <c r="J132" s="18">
        <v>1</v>
      </c>
      <c r="K132" s="17"/>
      <c r="L132" s="8"/>
      <c r="M132" s="8"/>
      <c r="N132" s="18"/>
      <c r="O132" s="18"/>
      <c r="P132" s="139">
        <v>123</v>
      </c>
      <c r="Q132" s="8">
        <v>113</v>
      </c>
      <c r="R132" s="114"/>
      <c r="S132" s="114" t="s">
        <v>32</v>
      </c>
      <c r="T132" s="138">
        <v>142</v>
      </c>
      <c r="U132" s="138">
        <v>142</v>
      </c>
      <c r="V132" s="114">
        <v>2</v>
      </c>
      <c r="W132" s="114"/>
      <c r="X132" s="20"/>
      <c r="Y132" s="20"/>
      <c r="Z132" s="135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1</v>
      </c>
      <c r="AD132" s="16"/>
    </row>
    <row r="133" spans="1:30" ht="30" customHeight="1" x14ac:dyDescent="0.35">
      <c r="A133" s="6"/>
      <c r="B133" s="6" t="s">
        <v>127</v>
      </c>
      <c r="C133" s="7">
        <v>46270</v>
      </c>
      <c r="D133" s="140">
        <v>126</v>
      </c>
      <c r="E133" s="8"/>
      <c r="F133" s="18">
        <v>2</v>
      </c>
      <c r="G133" s="132"/>
      <c r="H133" s="140">
        <v>126</v>
      </c>
      <c r="I133" s="153">
        <v>139</v>
      </c>
      <c r="J133" s="18">
        <v>1</v>
      </c>
      <c r="K133" s="17"/>
      <c r="L133" s="8"/>
      <c r="M133" s="8"/>
      <c r="N133" s="18"/>
      <c r="O133" s="18"/>
      <c r="P133" s="8">
        <v>113</v>
      </c>
      <c r="Q133" s="8">
        <v>113</v>
      </c>
      <c r="R133" s="114"/>
      <c r="S133" s="114"/>
      <c r="T133" s="138">
        <v>142</v>
      </c>
      <c r="U133" s="138">
        <v>142</v>
      </c>
      <c r="V133" s="114">
        <v>2</v>
      </c>
      <c r="W133" s="114"/>
      <c r="X133" s="20"/>
      <c r="Y133" s="20"/>
      <c r="Z133" s="135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128</v>
      </c>
      <c r="C134" s="7">
        <v>46271</v>
      </c>
      <c r="D134" s="9"/>
      <c r="E134" s="8"/>
      <c r="F134" s="18"/>
      <c r="G134" s="132"/>
      <c r="H134" s="153">
        <v>139</v>
      </c>
      <c r="I134" s="153">
        <v>139</v>
      </c>
      <c r="J134" s="18">
        <v>2</v>
      </c>
      <c r="K134" s="17"/>
      <c r="L134" s="8"/>
      <c r="M134" s="8"/>
      <c r="N134" s="18"/>
      <c r="O134" s="18"/>
      <c r="P134" s="8">
        <v>113</v>
      </c>
      <c r="Q134" s="8"/>
      <c r="R134" s="114"/>
      <c r="S134" s="114"/>
      <c r="T134" s="138">
        <v>142</v>
      </c>
      <c r="U134" s="8">
        <v>22</v>
      </c>
      <c r="V134" s="114">
        <v>2</v>
      </c>
      <c r="W134" s="114"/>
      <c r="X134" s="20"/>
      <c r="Y134" s="20"/>
      <c r="Z134" s="135">
        <f t="shared" si="11"/>
        <v>4</v>
      </c>
      <c r="AA134" s="130">
        <f t="shared" si="12"/>
        <v>2</v>
      </c>
      <c r="AB134" s="57">
        <f t="shared" si="10"/>
        <v>1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9"/>
      <c r="E135" s="8"/>
      <c r="F135" s="18"/>
      <c r="G135" s="17"/>
      <c r="H135" s="153">
        <v>139</v>
      </c>
      <c r="I135" s="153">
        <v>139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225</v>
      </c>
      <c r="X135" s="20"/>
      <c r="Y135" s="20"/>
      <c r="Z135" s="135">
        <f t="shared" si="11"/>
        <v>4</v>
      </c>
      <c r="AA135" s="130">
        <f t="shared" si="12"/>
        <v>3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123</v>
      </c>
      <c r="C136" s="7">
        <v>46273</v>
      </c>
      <c r="D136" s="9"/>
      <c r="E136" s="8"/>
      <c r="F136" s="18"/>
      <c r="G136" s="17"/>
      <c r="H136" s="153">
        <v>139</v>
      </c>
      <c r="I136" s="153">
        <v>139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20"/>
      <c r="Y136" s="20"/>
      <c r="Z136" s="135">
        <f t="shared" si="11"/>
        <v>4</v>
      </c>
      <c r="AA136" s="130">
        <f t="shared" si="12"/>
        <v>3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124</v>
      </c>
      <c r="C137" s="7">
        <v>46274</v>
      </c>
      <c r="D137" s="9"/>
      <c r="E137" s="8"/>
      <c r="F137" s="18"/>
      <c r="G137" s="17"/>
      <c r="H137" s="153">
        <v>139</v>
      </c>
      <c r="I137" s="8"/>
      <c r="J137" s="18">
        <v>2</v>
      </c>
      <c r="K137" s="17"/>
      <c r="L137" s="8"/>
      <c r="M137" s="8">
        <v>134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20"/>
      <c r="Y137" s="20"/>
      <c r="Z137" s="135">
        <f t="shared" si="11"/>
        <v>4</v>
      </c>
      <c r="AA137" s="130">
        <f t="shared" si="12"/>
        <v>3</v>
      </c>
      <c r="AB137" s="57">
        <f t="shared" si="10"/>
        <v>1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125</v>
      </c>
      <c r="C138" s="7">
        <v>46275</v>
      </c>
      <c r="D138" s="9"/>
      <c r="E138" s="8"/>
      <c r="F138" s="18"/>
      <c r="G138" s="17"/>
      <c r="H138" s="12"/>
      <c r="I138" s="8"/>
      <c r="J138" s="18"/>
      <c r="K138" s="17"/>
      <c r="L138" s="8">
        <v>134</v>
      </c>
      <c r="M138" s="8">
        <v>134</v>
      </c>
      <c r="N138" s="18">
        <v>2</v>
      </c>
      <c r="O138" s="18" t="s">
        <v>287</v>
      </c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9"/>
      <c r="Y138" s="20">
        <v>143</v>
      </c>
      <c r="Z138" s="135">
        <f t="shared" si="11"/>
        <v>4</v>
      </c>
      <c r="AA138" s="130">
        <f t="shared" si="12"/>
        <v>2</v>
      </c>
      <c r="AB138" s="57">
        <f t="shared" si="10"/>
        <v>0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126</v>
      </c>
      <c r="C139" s="7">
        <v>46276</v>
      </c>
      <c r="D139" s="9"/>
      <c r="E139" s="138">
        <v>89</v>
      </c>
      <c r="F139" s="18"/>
      <c r="G139" s="17"/>
      <c r="H139" s="9"/>
      <c r="I139" s="138">
        <v>89</v>
      </c>
      <c r="J139" s="18"/>
      <c r="K139" s="17"/>
      <c r="L139" s="8">
        <v>134</v>
      </c>
      <c r="M139" s="8">
        <v>134</v>
      </c>
      <c r="N139" s="18">
        <v>2</v>
      </c>
      <c r="O139" s="18"/>
      <c r="P139" s="8"/>
      <c r="Q139" s="139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X139" s="2">
        <v>143</v>
      </c>
      <c r="Y139" s="20">
        <v>143</v>
      </c>
      <c r="Z139" s="135">
        <f t="shared" si="11"/>
        <v>4</v>
      </c>
      <c r="AA139" s="130">
        <f t="shared" si="12"/>
        <v>5</v>
      </c>
      <c r="AB139" s="57">
        <f t="shared" si="10"/>
        <v>3</v>
      </c>
      <c r="AC139" s="21">
        <f t="shared" si="9"/>
        <v>0</v>
      </c>
      <c r="AD139" s="16"/>
    </row>
    <row r="140" spans="1:30" ht="30" customHeight="1" x14ac:dyDescent="0.35">
      <c r="A140" s="6"/>
      <c r="B140" s="6" t="s">
        <v>127</v>
      </c>
      <c r="C140" s="7">
        <v>46277</v>
      </c>
      <c r="D140" s="189">
        <v>89</v>
      </c>
      <c r="E140" s="138">
        <v>89</v>
      </c>
      <c r="F140" s="18">
        <v>1</v>
      </c>
      <c r="G140" s="17"/>
      <c r="H140" s="189">
        <v>89</v>
      </c>
      <c r="I140" s="138">
        <v>89</v>
      </c>
      <c r="J140" s="18">
        <v>2</v>
      </c>
      <c r="K140" s="17"/>
      <c r="L140" s="8">
        <v>134</v>
      </c>
      <c r="M140" s="153">
        <v>103</v>
      </c>
      <c r="N140" s="18">
        <v>2</v>
      </c>
      <c r="O140" s="18" t="s">
        <v>159</v>
      </c>
      <c r="P140" s="139">
        <v>137</v>
      </c>
      <c r="Q140" s="139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X140" s="2">
        <v>143</v>
      </c>
      <c r="Y140" s="20">
        <v>143</v>
      </c>
      <c r="Z140" s="135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128</v>
      </c>
      <c r="C141" s="7">
        <v>46278</v>
      </c>
      <c r="D141" s="189">
        <v>89</v>
      </c>
      <c r="E141" s="8"/>
      <c r="F141" s="18">
        <v>1</v>
      </c>
      <c r="G141" s="17"/>
      <c r="H141" s="189">
        <v>89</v>
      </c>
      <c r="I141" s="8"/>
      <c r="J141" s="18">
        <v>2</v>
      </c>
      <c r="K141" s="17"/>
      <c r="L141" s="153">
        <v>103</v>
      </c>
      <c r="M141" s="153">
        <v>103</v>
      </c>
      <c r="N141" s="18">
        <v>2</v>
      </c>
      <c r="O141" s="18"/>
      <c r="P141" s="139">
        <v>137</v>
      </c>
      <c r="Q141" s="139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9"/>
      <c r="Z141" s="135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3">
        <v>103</v>
      </c>
      <c r="M142" s="153">
        <v>103</v>
      </c>
      <c r="N142" s="18">
        <v>2</v>
      </c>
      <c r="O142" s="18"/>
      <c r="P142" s="139">
        <v>137</v>
      </c>
      <c r="Q142" s="139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5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3">
        <v>103</v>
      </c>
      <c r="M143" s="153">
        <v>103</v>
      </c>
      <c r="N143" s="18">
        <v>2</v>
      </c>
      <c r="O143" s="18"/>
      <c r="P143" s="139">
        <v>137</v>
      </c>
      <c r="Q143" s="139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5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9">
        <v>47</v>
      </c>
      <c r="J144" s="18"/>
      <c r="K144" s="17" t="s">
        <v>159</v>
      </c>
      <c r="L144" s="153">
        <v>103</v>
      </c>
      <c r="M144" s="153">
        <v>103</v>
      </c>
      <c r="N144" s="18">
        <v>2</v>
      </c>
      <c r="O144" s="18"/>
      <c r="P144" s="139">
        <v>137</v>
      </c>
      <c r="Q144" s="139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5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18"/>
      <c r="G145" s="17" t="s">
        <v>159</v>
      </c>
      <c r="H145" s="139">
        <v>47</v>
      </c>
      <c r="I145" s="139">
        <v>47</v>
      </c>
      <c r="J145" s="18">
        <v>2</v>
      </c>
      <c r="K145" s="17"/>
      <c r="L145" s="153">
        <v>103</v>
      </c>
      <c r="M145" s="153">
        <v>103</v>
      </c>
      <c r="N145" s="18">
        <v>2</v>
      </c>
      <c r="O145" s="18"/>
      <c r="P145" s="139">
        <v>137</v>
      </c>
      <c r="Q145" s="111"/>
      <c r="R145" s="114">
        <v>2</v>
      </c>
      <c r="S145" s="114"/>
      <c r="T145" s="8">
        <v>22</v>
      </c>
      <c r="U145" s="154">
        <v>42</v>
      </c>
      <c r="V145" s="18"/>
      <c r="W145" s="18" t="s">
        <v>32</v>
      </c>
      <c r="X145" s="20"/>
      <c r="Y145" s="20"/>
      <c r="Z145" s="135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18"/>
      <c r="G146" s="17"/>
      <c r="H146" s="139">
        <v>47</v>
      </c>
      <c r="I146" s="139">
        <v>47</v>
      </c>
      <c r="J146" s="18">
        <v>2</v>
      </c>
      <c r="K146" s="17"/>
      <c r="L146" s="153">
        <v>103</v>
      </c>
      <c r="M146" s="153">
        <v>103</v>
      </c>
      <c r="N146" s="18">
        <v>2</v>
      </c>
      <c r="O146" s="18"/>
      <c r="P146" s="111"/>
      <c r="Q146" s="111"/>
      <c r="R146" s="114">
        <v>2</v>
      </c>
      <c r="S146" s="114"/>
      <c r="T146" s="154">
        <v>42</v>
      </c>
      <c r="U146" s="154">
        <v>42</v>
      </c>
      <c r="V146" s="111"/>
      <c r="W146" s="111"/>
      <c r="X146" s="20"/>
      <c r="Y146" s="20"/>
      <c r="Z146" s="135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18"/>
      <c r="G147" s="17"/>
      <c r="H147" s="139">
        <v>47</v>
      </c>
      <c r="I147" s="139">
        <v>47</v>
      </c>
      <c r="J147" s="18">
        <v>2</v>
      </c>
      <c r="K147" s="17"/>
      <c r="L147" s="153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4">
        <v>42</v>
      </c>
      <c r="U147" s="154">
        <v>42</v>
      </c>
      <c r="V147" s="111"/>
      <c r="W147" s="111"/>
      <c r="X147" s="20"/>
      <c r="Y147" s="20"/>
      <c r="Z147" s="135">
        <f t="shared" si="11"/>
        <v>6</v>
      </c>
      <c r="AA147" s="130">
        <f t="shared" si="12"/>
        <v>3</v>
      </c>
      <c r="AB147" s="57">
        <f t="shared" si="10"/>
        <v>0</v>
      </c>
      <c r="AC147" s="21">
        <f t="shared" si="13"/>
        <v>1</v>
      </c>
      <c r="AD147" s="16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18"/>
      <c r="G148" s="17"/>
      <c r="H148" s="139">
        <v>47</v>
      </c>
      <c r="I148" s="139">
        <v>47</v>
      </c>
      <c r="J148" s="18">
        <v>2</v>
      </c>
      <c r="K148" s="17"/>
      <c r="L148" s="8"/>
      <c r="M148" s="8"/>
      <c r="N148" s="18"/>
      <c r="O148" s="18"/>
      <c r="P148" s="111"/>
      <c r="Q148" s="8"/>
      <c r="R148" s="114">
        <v>2</v>
      </c>
      <c r="S148" s="114"/>
      <c r="T148" s="154">
        <v>42</v>
      </c>
      <c r="U148" s="8"/>
      <c r="V148" s="111"/>
      <c r="W148" s="111"/>
      <c r="X148" s="20"/>
      <c r="Y148" s="20"/>
      <c r="Z148" s="135">
        <f t="shared" si="11"/>
        <v>4</v>
      </c>
      <c r="AA148" s="130">
        <f t="shared" si="12"/>
        <v>1</v>
      </c>
      <c r="AB148" s="57">
        <f t="shared" si="10"/>
        <v>0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9"/>
      <c r="E149" s="8"/>
      <c r="F149" s="18"/>
      <c r="G149" s="17"/>
      <c r="H149" s="139">
        <v>47</v>
      </c>
      <c r="I149" s="8"/>
      <c r="J149" s="18">
        <v>2</v>
      </c>
      <c r="K149" s="17"/>
      <c r="L149" s="8"/>
      <c r="M149" s="8"/>
      <c r="N149" s="18"/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5">
        <f t="shared" si="11"/>
        <v>2</v>
      </c>
      <c r="AA149" s="130">
        <f t="shared" si="12"/>
        <v>1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123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8"/>
      <c r="M150" s="8"/>
      <c r="N150" s="18"/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225</v>
      </c>
      <c r="X150" s="20"/>
      <c r="Y150" s="20"/>
      <c r="Z150" s="135">
        <f t="shared" si="11"/>
        <v>1</v>
      </c>
      <c r="AA150" s="130">
        <f t="shared" si="12"/>
        <v>1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124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8"/>
      <c r="M151" s="8"/>
      <c r="N151" s="18"/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5">
        <f t="shared" si="11"/>
        <v>1</v>
      </c>
      <c r="AA151" s="130">
        <f t="shared" si="12"/>
        <v>1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125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8"/>
      <c r="M152" s="8"/>
      <c r="N152" s="18"/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5">
        <f t="shared" si="11"/>
        <v>1</v>
      </c>
      <c r="AA152" s="130">
        <f t="shared" si="12"/>
        <v>1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126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8"/>
      <c r="M153" s="8"/>
      <c r="N153" s="18"/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5">
        <f t="shared" si="11"/>
        <v>1</v>
      </c>
      <c r="AA153" s="130">
        <f t="shared" si="12"/>
        <v>1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127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5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160</v>
      </c>
      <c r="B155" s="6" t="s">
        <v>128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5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5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123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5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124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5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125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5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126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5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127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5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5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5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123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5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124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5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125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5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126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5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127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5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128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5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5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123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5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3:H57 H58:M58 F9:G15 D9:E13 D15:E15 D116:N123 J2:N18 N99:N107 I11:I18 D16:H33 I19:N33 D36:H52 I36:N57 D34:N35 T99 O103:Y123 D99:M115 O99:S102 U99:Z102 T101:T102 D53:G58 O2:Y91 D124:V171 Y124:Y171 W141:X171 W124:W140 X124:X138 D59:M91 D92:Y98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131</v>
      </c>
      <c r="B1" s="53" t="s">
        <v>116</v>
      </c>
      <c r="C1" s="71" t="s">
        <v>473</v>
      </c>
      <c r="D1" s="54" t="s">
        <v>130</v>
      </c>
      <c r="E1" s="55" t="s">
        <v>474</v>
      </c>
      <c r="F1" s="54" t="s">
        <v>132</v>
      </c>
      <c r="G1" s="55" t="s">
        <v>475</v>
      </c>
      <c r="H1" s="54" t="s">
        <v>133</v>
      </c>
      <c r="I1" s="55" t="s">
        <v>476</v>
      </c>
      <c r="J1" s="54" t="s">
        <v>134</v>
      </c>
      <c r="K1" s="55" t="s">
        <v>477</v>
      </c>
      <c r="L1" s="54" t="s">
        <v>135</v>
      </c>
      <c r="M1" s="55" t="s">
        <v>478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it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DK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-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-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udc</v>
      </c>
      <c r="M45" s="47" t="str">
        <f>IFERROR(IF(AND(booking!AB45&gt;0,booking!T45&lt;&gt;booking!U45),VLOOKUP(booking!U45,Database!$A$1:'Database'!$L$189,6,FALSE),"-"),"-")</f>
        <v>DK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-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-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-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DK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NL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udc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-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-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Y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udc</v>
      </c>
      <c r="I83" s="47" t="str">
        <f>IFERROR(IF(AND(booking!AB83&gt;0,booking!L83&lt;&gt;booking!M83),VLOOKUP(booking!M83,Database!$A$1:'Database'!$L$189,6,FALSE),"-"),"-")</f>
        <v>DK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-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-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-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-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DK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-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DK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-</v>
      </c>
      <c r="G132" s="47" t="str">
        <f>IFERROR(IF(AND(booking!AB132&gt;0,booking!H132&lt;&gt;booking!I132),VLOOKUP(booking!I132,Database!$A$1:'Database'!$L$189,6,FALSE),"-"),"-")</f>
        <v>-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-</v>
      </c>
      <c r="F133" s="51" t="str">
        <f>IF(AND(booking!H133&lt;&gt;booking!I133,booking!H133&gt;0),"udc","-")</f>
        <v>udc</v>
      </c>
      <c r="G133" s="47" t="str">
        <f>IFERROR(IF(AND(booking!AB133&gt;0,booking!H133&lt;&gt;booking!I133),VLOOKUP(booking!I133,Database!$A$1:'Database'!$L$189,6,FALSE),"-"),"-")</f>
        <v>DK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-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-</v>
      </c>
      <c r="G134" s="47" t="str">
        <f>IFERROR(IF(AND(booking!AB134&gt;0,booking!H134&lt;&gt;booking!I134),VLOOKUP(booking!I134,Database!$A$1:'Database'!$L$189,6,FALSE),"-"),"-")</f>
        <v>-</v>
      </c>
      <c r="H134" s="51" t="str">
        <f>IF(AND(booking!L134&lt;&gt;booking!M134,booking!L134&gt;0),"udc","-")</f>
        <v>-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udc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-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udc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DK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-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-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-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-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1" t="str">
        <f>rengoering!A1</f>
        <v>dag</v>
      </c>
      <c r="B1" s="202" t="str">
        <f>rengoering!B1</f>
        <v>dato</v>
      </c>
      <c r="C1" s="201" t="s">
        <v>514</v>
      </c>
      <c r="D1" s="203" t="s">
        <v>136</v>
      </c>
      <c r="E1" s="201" t="s">
        <v>130</v>
      </c>
      <c r="F1" s="201" t="s">
        <v>397</v>
      </c>
      <c r="G1" s="204" t="s">
        <v>398</v>
      </c>
      <c r="H1" s="204" t="s">
        <v>399</v>
      </c>
      <c r="I1" s="201" t="s">
        <v>400</v>
      </c>
      <c r="J1" s="201" t="str">
        <f>rengoering!F1</f>
        <v>V2</v>
      </c>
      <c r="K1" s="204" t="s">
        <v>401</v>
      </c>
      <c r="L1" s="204" t="s">
        <v>402</v>
      </c>
      <c r="M1" s="204" t="s">
        <v>403</v>
      </c>
      <c r="N1" s="201" t="s">
        <v>404</v>
      </c>
      <c r="O1" s="201" t="str">
        <f>rengoering!H1</f>
        <v>V3</v>
      </c>
      <c r="P1" s="204" t="s">
        <v>405</v>
      </c>
      <c r="Q1" s="204" t="s">
        <v>406</v>
      </c>
      <c r="R1" s="204" t="s">
        <v>407</v>
      </c>
      <c r="S1" s="201" t="s">
        <v>408</v>
      </c>
      <c r="T1" s="205" t="str">
        <f>rengoering!J1</f>
        <v>V4</v>
      </c>
      <c r="U1" s="204" t="s">
        <v>409</v>
      </c>
      <c r="V1" s="204" t="s">
        <v>410</v>
      </c>
      <c r="W1" s="204" t="s">
        <v>411</v>
      </c>
      <c r="X1" s="201" t="s">
        <v>412</v>
      </c>
      <c r="Y1" s="201" t="str">
        <f>rengoering!L1</f>
        <v>V5</v>
      </c>
      <c r="Z1" s="204" t="s">
        <v>413</v>
      </c>
      <c r="AA1" s="204" t="s">
        <v>414</v>
      </c>
      <c r="AB1" s="204" t="s">
        <v>415</v>
      </c>
      <c r="AC1" s="201" t="s">
        <v>416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6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7" t="s">
        <v>428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6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6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6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6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428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6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6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6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6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6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6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6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6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6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6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6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6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6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6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6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6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6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6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6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6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6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6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6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6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6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6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6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6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6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6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6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6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6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6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6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6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6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6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6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6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6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6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6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6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6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6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6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6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6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6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6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6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6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6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6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6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6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6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6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6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6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6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6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6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6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6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6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6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6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6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6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6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6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6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6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6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6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6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6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6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6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6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6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6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6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6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6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6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6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6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6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6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6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6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6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6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6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6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6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6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6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6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6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6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6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6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6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6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6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6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6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6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6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6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6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6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6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6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6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6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6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6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6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6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6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6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6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6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6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6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6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6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6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6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6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6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6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6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6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6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6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6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6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6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6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6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6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6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6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6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6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6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6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6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6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6" t="str">
        <f>IF(booking!A42&gt;0,booking!A42,"-")</f>
        <v>-</v>
      </c>
      <c r="D42" s="87" t="str">
        <f>IF(booking!AB42&gt;0,"Y","-")</f>
        <v>Y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6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6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6" t="str">
        <f>IFERROR(VLOOKUP(T42,Database!$A$2:$S$189,19,FALSE),"-")</f>
        <v>-</v>
      </c>
      <c r="Y42" s="94">
        <f>IF(AND(D42="Y",booking!T42&lt;&gt;booking!U42,booking!U42&gt;0),booking!U42,"-")</f>
        <v>119</v>
      </c>
      <c r="Z42" s="77">
        <f>IFERROR(VLOOKUP(Y42,Database!$A$2:$L$189,8,FALSE),"-")</f>
        <v>1230</v>
      </c>
      <c r="AA42" s="77" t="str">
        <f>IFERROR(VLOOKUP(Y42,Database!$A$2:$L$189,6,FALSE),"-")</f>
        <v>it</v>
      </c>
      <c r="AB42" s="90" t="str">
        <f>IFERROR(VLOOKUP(Y42,Database!$A$2:$L$189,9,FALSE),"-")</f>
        <v>sing</v>
      </c>
      <c r="AC42" s="8" t="str">
        <f>IFERROR(VLOOKUP(Y42,Database!$A$2:$S$189,19,FALSE),"-")</f>
        <v>N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6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6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6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6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6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>
        <f>IF(AND(D44="Y",booking!H44&lt;&gt;booking!I44,booking!I44&gt;0),booking!I44,"-")</f>
        <v>17</v>
      </c>
      <c r="K44" s="76">
        <f>IFERROR(VLOOKUP(J44,Database!$A$2:$L$189,8,FALSE),"-")</f>
        <v>0</v>
      </c>
      <c r="L44" s="76" t="str">
        <f>IFERROR(VLOOKUP(J44,Database!$A$2:$L$189,6,FALSE),"-")</f>
        <v>DK</v>
      </c>
      <c r="M44" s="91">
        <f>IFERROR(VLOOKUP(J44,Database!$A$2:$L$189,9,FALSE),"-")</f>
        <v>0</v>
      </c>
      <c r="N44" s="206" t="str">
        <f>IFERROR(VLOOKUP(J44,Database!$A$2:$S$189,19,FALSE),"-")</f>
        <v>YY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6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6" t="str">
        <f>IFERROR(VLOOKUP(T44,Database!$A$2:$S$189,19,FALSE),"-")</f>
        <v>YY</v>
      </c>
      <c r="Y44" s="94" t="str">
        <f>IF(AND(D44="Y",booking!T44&lt;&gt;booking!U44,booking!U44&gt;0),booking!U44,"-")</f>
        <v>-</v>
      </c>
      <c r="Z44" s="77" t="str">
        <f>IFERROR(VLOOKUP(Y44,Database!$A$2:$L$189,8,FALSE),"-")</f>
        <v>-</v>
      </c>
      <c r="AA44" s="77" t="str">
        <f>IFERROR(VLOOKUP(Y44,Database!$A$2:$L$189,6,FALSE),"-")</f>
        <v>-</v>
      </c>
      <c r="AB44" s="90" t="str">
        <f>IFERROR(VLOOKUP(Y44,Database!$A$2:$L$189,9,FALSE),"-")</f>
        <v>-</v>
      </c>
      <c r="AC44" s="8" t="str">
        <f>IFERROR(VLOOKUP(Y44,Database!$A$2:$S$189,19,FALSE),"-")</f>
        <v>-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6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 t="str">
        <f>IF(AND(D45="Y",booking!H45&lt;&gt;booking!I45,booking!I45&gt;0),booking!I45,"-")</f>
        <v>-</v>
      </c>
      <c r="K45" s="76" t="str">
        <f>IFERROR(VLOOKUP(J45,Database!$A$2:$L$189,8,FALSE),"-")</f>
        <v>-</v>
      </c>
      <c r="L45" s="76" t="str">
        <f>IFERROR(VLOOKUP(J45,Database!$A$2:$L$189,6,FALSE),"-")</f>
        <v>-</v>
      </c>
      <c r="M45" s="91" t="str">
        <f>IFERROR(VLOOKUP(J45,Database!$A$2:$L$189,9,FALSE),"-")</f>
        <v>-</v>
      </c>
      <c r="N45" s="206" t="str">
        <f>IFERROR(VLOOKUP(J45,Database!$A$2:$S$189,19,FALSE),"-")</f>
        <v>-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6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6" t="str">
        <f>IFERROR(VLOOKUP(T45,Database!$A$2:$S$189,19,FALSE),"-")</f>
        <v>-</v>
      </c>
      <c r="Y45" s="94">
        <f>IF(AND(D45="Y",booking!T45&lt;&gt;booking!U45,booking!U45&gt;0),booking!U45,"-")</f>
        <v>16</v>
      </c>
      <c r="Z45" s="77" t="str">
        <f>IFERROR(VLOOKUP(Y45,Database!$A$2:$L$189,8,FALSE),"-")</f>
        <v>2030</v>
      </c>
      <c r="AA45" s="77" t="str">
        <f>IFERROR(VLOOKUP(Y45,Database!$A$2:$L$189,6,FALSE),"-")</f>
        <v>DK</v>
      </c>
      <c r="AB45" s="90">
        <f>IFERROR(VLOOKUP(Y45,Database!$A$2:$L$189,9,FALSE),"-")</f>
        <v>0</v>
      </c>
      <c r="AC45" s="8" t="str">
        <f>IFERROR(VLOOKUP(Y45,Database!$A$2:$S$189,19,FALSE),"-")</f>
        <v>YY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6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6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6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6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6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6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6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6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6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6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6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6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6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6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6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6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6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6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6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6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6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 t="str">
        <f>IF(AND(D51="Y",booking!H51&lt;&gt;booking!I51,booking!I51&gt;0),booking!I51,"-")</f>
        <v>-</v>
      </c>
      <c r="K51" s="76" t="str">
        <f>IFERROR(VLOOKUP(J51,Database!$A$2:$L$189,8,FALSE),"-")</f>
        <v>-</v>
      </c>
      <c r="L51" s="76" t="str">
        <f>IFERROR(VLOOKUP(J51,Database!$A$2:$L$189,6,FALSE),"-")</f>
        <v>-</v>
      </c>
      <c r="M51" s="91" t="str">
        <f>IFERROR(VLOOKUP(J51,Database!$A$2:$L$189,9,FALSE),"-")</f>
        <v>-</v>
      </c>
      <c r="N51" s="206" t="str">
        <f>IFERROR(VLOOKUP(J51,Database!$A$2:$S$189,19,FALSE),"-")</f>
        <v>-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6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6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6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6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6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6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6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6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6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6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6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6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6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6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6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6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6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6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6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6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6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6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6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6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6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6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6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112</v>
      </c>
      <c r="K58" s="76">
        <f>IFERROR(VLOOKUP(J58,Database!$A$2:$L$189,8,FALSE),"-")</f>
        <v>0</v>
      </c>
      <c r="L58" s="76" t="str">
        <f>IFERROR(VLOOKUP(J58,Database!$A$2:$L$189,6,FALSE),"-")</f>
        <v>DK</v>
      </c>
      <c r="M58" s="91" t="str">
        <f>IFERROR(VLOOKUP(J58,Database!$A$2:$L$189,9,FALSE),"-")</f>
        <v>Sing</v>
      </c>
      <c r="N58" s="206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6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6" t="str">
        <f>IFERROR(VLOOKUP(T58,Database!$A$2:$S$189,19,FALSE),"-")</f>
        <v>-</v>
      </c>
      <c r="Y58" s="94">
        <f>IF(AND(D58="Y",booking!T58&lt;&gt;booking!U58,booking!U58&gt;0),booking!U58,"-")</f>
        <v>141</v>
      </c>
      <c r="Z58" s="77">
        <f>IFERROR(VLOOKUP(Y58,Database!$A$2:$L$189,8,FALSE),"-")</f>
        <v>0</v>
      </c>
      <c r="AA58" s="77" t="str">
        <f>IFERROR(VLOOKUP(Y58,Database!$A$2:$L$189,6,FALSE),"-")</f>
        <v>NL</v>
      </c>
      <c r="AB58" s="90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6" t="str">
        <f>IF(booking!A59&gt;0,booking!A59,"-")</f>
        <v>-</v>
      </c>
      <c r="D59" s="87" t="str">
        <f>IF(booking!AB59&gt;0,"Y","-")</f>
        <v>-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6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6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6" t="str">
        <f>IFERROR(VLOOKUP(T59,Database!$A$2:$S$189,19,FALSE),"-")</f>
        <v>-</v>
      </c>
      <c r="Y59" s="94" t="str">
        <f>IF(AND(D59="Y",booking!T59&lt;&gt;booking!U59,booking!U59&gt;0),booking!U59,"-")</f>
        <v>-</v>
      </c>
      <c r="Z59" s="77" t="str">
        <f>IFERROR(VLOOKUP(Y59,Database!$A$2:$L$189,8,FALSE),"-")</f>
        <v>-</v>
      </c>
      <c r="AA59" s="77" t="str">
        <f>IFERROR(VLOOKUP(Y59,Database!$A$2:$L$189,6,FALSE),"-")</f>
        <v>-</v>
      </c>
      <c r="AB59" s="90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6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6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6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6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6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6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6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6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6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6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6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6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6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6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6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6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6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6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6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6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6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6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6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6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6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6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6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6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6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6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6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6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6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6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6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6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6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6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6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6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6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6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6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6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6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6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6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6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6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6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6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6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6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6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6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6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6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6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6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6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6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6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6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6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6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6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6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6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6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6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6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6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6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6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6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6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6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6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6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6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6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6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6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6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6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6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6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6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6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6" t="str">
        <f>IFERROR(VLOOKUP(J82,Database!$A$2:$S$189,19,FALSE),"-")</f>
        <v>-</v>
      </c>
      <c r="O82" s="94">
        <f>IF(AND(D82="Y",booking!L82&lt;&gt;booking!M82,booking!M82&gt;0),booking!M82,"-")</f>
        <v>131</v>
      </c>
      <c r="P82" s="76">
        <f>IFERROR(VLOOKUP(O82,Database!$A$2:$L$189,8,FALSE),"-")</f>
        <v>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6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6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6" t="str">
        <f>IF(booking!A83&gt;0,booking!A83,"-")</f>
        <v>-</v>
      </c>
      <c r="D83" s="87" t="str">
        <f>IF(booking!AB83&gt;0,"Y","-")</f>
        <v>Y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6" t="str">
        <f>IFERROR(VLOOKUP(J83,Database!$A$2:$S$189,19,FALSE),"-")</f>
        <v>-</v>
      </c>
      <c r="O83" s="94">
        <f>IF(AND(D83="Y",booking!L83&lt;&gt;booking!M83,booking!M83&gt;0),booking!M83,"-")</f>
        <v>113</v>
      </c>
      <c r="P83" s="76">
        <f>IFERROR(VLOOKUP(O83,Database!$A$2:$L$189,8,FALSE),"-")</f>
        <v>0</v>
      </c>
      <c r="Q83" s="76" t="str">
        <f>IFERROR(VLOOKUP(O83,Database!$A$2:$L$189,6,FALSE),"-")</f>
        <v>DK</v>
      </c>
      <c r="R83" s="80">
        <f>IFERROR(VLOOKUP(O83,Database!$A$2:$L$189,9,FALSE),"-")</f>
        <v>0</v>
      </c>
      <c r="S83" s="206" t="str">
        <f>IFERROR(VLOOKUP(O83,Database!$A$2:$S$189,19,FALSE),"-")</f>
        <v>N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6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6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6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6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6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6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6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6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6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6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6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6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6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6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6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6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6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6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6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6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6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6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6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6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6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6" t="str">
        <f>IF(booking!A90&gt;0,booking!A90,"-")</f>
        <v>-</v>
      </c>
      <c r="D90" s="87" t="str">
        <f>IF(booking!AB90&gt;0,"Y","-")</f>
        <v>-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6" t="str">
        <f>IFERROR(VLOOKUP(J90,Database!$A$2:$S$189,19,FALSE),"-")</f>
        <v>-</v>
      </c>
      <c r="O90" s="94" t="str">
        <f>IF(AND(D90="Y",booking!L90&lt;&gt;booking!M90,booking!M90&gt;0),booking!M90,"-")</f>
        <v>-</v>
      </c>
      <c r="P90" s="76" t="str">
        <f>IFERROR(VLOOKUP(O90,Database!$A$2:$L$189,8,FALSE),"-")</f>
        <v>-</v>
      </c>
      <c r="Q90" s="76" t="str">
        <f>IFERROR(VLOOKUP(O90,Database!$A$2:$L$189,6,FALSE),"-")</f>
        <v>-</v>
      </c>
      <c r="R90" s="80" t="str">
        <f>IFERROR(VLOOKUP(O90,Database!$A$2:$L$189,9,FALSE),"-")</f>
        <v>-</v>
      </c>
      <c r="S90" s="206" t="str">
        <f>IFERROR(VLOOKUP(O90,Database!$A$2:$S$189,19,FALSE),"-")</f>
        <v>-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6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6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6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6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6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6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6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6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6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6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6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6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6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6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6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6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6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6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6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6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6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6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6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6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6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6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6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6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6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6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6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6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6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6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6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6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6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6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6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6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6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6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6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6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6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6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6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6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6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6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6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6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6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6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6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6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6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6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6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6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6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6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6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6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6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6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6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6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6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6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6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6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6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6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6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6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6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6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6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6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6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6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6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6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6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6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6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6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6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6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6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6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6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6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6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6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6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6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6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6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6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6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6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6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6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6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6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6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6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6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6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6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6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6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6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6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6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6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6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6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6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6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6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6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6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6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6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6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6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6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6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6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6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6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6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6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6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6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6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6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6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6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6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6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6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6" t="str">
        <f>IF(booking!A127&gt;0,booking!A127,"-")</f>
        <v>-</v>
      </c>
      <c r="D127" s="87" t="str">
        <f>IF(booking!AB127&gt;0,"Y","-")</f>
        <v>-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 t="str">
        <f>IF(AND(D127="Y",booking!H127&lt;&gt;booking!I127,booking!I127&gt;0),booking!I127,"-")</f>
        <v>-</v>
      </c>
      <c r="K127" s="76" t="str">
        <f>IFERROR(VLOOKUP(J127,Database!$A$2:$L$189,8,FALSE),"-")</f>
        <v>-</v>
      </c>
      <c r="L127" s="76" t="str">
        <f>IFERROR(VLOOKUP(J127,Database!$A$2:$L$189,6,FALSE),"-")</f>
        <v>-</v>
      </c>
      <c r="M127" s="91" t="str">
        <f>IFERROR(VLOOKUP(J127,Database!$A$2:$L$189,9,FALSE),"-")</f>
        <v>-</v>
      </c>
      <c r="N127" s="206" t="str">
        <f>IFERROR(VLOOKUP(J127,Database!$A$2:$S$189,19,FALSE),"-")</f>
        <v>-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6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6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6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6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6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6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6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>
        <f>IF(AND(D129="Y",booking!H129&lt;&gt;booking!I129,booking!I129&gt;0),booking!I129,"-")</f>
        <v>126</v>
      </c>
      <c r="K129" s="76" t="str">
        <f>IFERROR(VLOOKUP(J129,Database!$A$2:$L$189,8,FALSE),"-")</f>
        <v>1430</v>
      </c>
      <c r="L129" s="76" t="str">
        <f>IFERROR(VLOOKUP(J129,Database!$A$2:$L$189,6,FALSE),"-")</f>
        <v>DK</v>
      </c>
      <c r="M129" s="91" t="str">
        <f>IFERROR(VLOOKUP(J129,Database!$A$2:$L$189,9,FALSE),"-")</f>
        <v>Sing</v>
      </c>
      <c r="N129" s="206" t="str">
        <f>IFERROR(VLOOKUP(J129,Database!$A$2:$S$189,19,FALSE),"-")</f>
        <v>Y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6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6" t="str">
        <f>IFERROR(VLOOKUP(T129,Database!$A$2:$S$189,19,FALSE),"-")</f>
        <v>-</v>
      </c>
      <c r="Y129" s="94" t="str">
        <f>IF(AND(D129="Y",booking!T129&lt;&gt;booking!U129,booking!U129&gt;0),booking!U129,"-")</f>
        <v>-</v>
      </c>
      <c r="Z129" s="77" t="str">
        <f>IFERROR(VLOOKUP(Y129,Database!$A$2:$L$189,8,FALSE),"-")</f>
        <v>-</v>
      </c>
      <c r="AA129" s="77" t="str">
        <f>IFERROR(VLOOKUP(Y129,Database!$A$2:$L$189,6,FALSE),"-")</f>
        <v>-</v>
      </c>
      <c r="AB129" s="90" t="str">
        <f>IFERROR(VLOOKUP(Y129,Database!$A$2:$L$189,9,FALSE),"-")</f>
        <v>-</v>
      </c>
      <c r="AC129" s="8" t="str">
        <f>IFERROR(VLOOKUP(Y129,Database!$A$2:$S$189,19,FALSE),"-")</f>
        <v>-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6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6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6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6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6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6" t="str">
        <f>IFERROR(VLOOKUP(J131,Database!$A$2:$S$189,19,FALSE),"-")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IFERROR(VLOOKUP(O131,Database!$A$2:$L$189,8,FALSE),"-")</f>
        <v>-</v>
      </c>
      <c r="Q131" s="76" t="str">
        <f>IFERROR(VLOOKUP(O131,Database!$A$2:$L$189,6,FALSE),"-")</f>
        <v>-</v>
      </c>
      <c r="R131" s="80" t="str">
        <f>IFERROR(VLOOKUP(O131,Database!$A$2:$L$189,9,FALSE),"-")</f>
        <v>-</v>
      </c>
      <c r="S131" s="206" t="str">
        <f>IFERROR(VLOOKUP(O131,Database!$A$2:$S$189,19,FALSE),"-")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6" t="str">
        <f>IFERROR(VLOOKUP(T131,Database!$A$2:$S$189,19,FALSE),"-")</f>
        <v>-</v>
      </c>
      <c r="Y131" s="94">
        <f>IF(AND(D131="Y",booking!T131&lt;&gt;booking!U131,booking!U131&gt;0),booking!U131,"-")</f>
        <v>142</v>
      </c>
      <c r="Z131" s="77">
        <f>IFERROR(VLOOKUP(Y131,Database!$A$2:$L$189,8,FALSE),"-")</f>
        <v>0</v>
      </c>
      <c r="AA131" s="77" t="str">
        <f>IFERROR(VLOOKUP(Y131,Database!$A$2:$L$189,6,FALSE),"-")</f>
        <v>DK</v>
      </c>
      <c r="AB131" s="90">
        <f>IFERROR(VLOOKUP(Y131,Database!$A$2:$L$189,9,FALSE),"-")</f>
        <v>0</v>
      </c>
      <c r="AC131" s="8" t="str">
        <f>IFERROR(VLOOKUP(Y131,Database!$A$2:$S$189,19,FALSE),"-")</f>
        <v>N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6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 t="str">
        <f>IF(AND(D132="Y",booking!H132&lt;&gt;booking!I132,booking!I132&gt;0),booking!I132,"-")</f>
        <v>-</v>
      </c>
      <c r="K132" s="76" t="str">
        <f>IFERROR(VLOOKUP(J132,Database!$A$2:$L$189,8,FALSE),"-")</f>
        <v>-</v>
      </c>
      <c r="L132" s="76" t="str">
        <f>IFERROR(VLOOKUP(J132,Database!$A$2:$L$189,6,FALSE),"-")</f>
        <v>-</v>
      </c>
      <c r="M132" s="91" t="str">
        <f>IFERROR(VLOOKUP(J132,Database!$A$2:$L$189,9,FALSE),"-")</f>
        <v>-</v>
      </c>
      <c r="N132" s="206" t="str">
        <f>IFERROR(VLOOKUP(J132,Database!$A$2:$S$189,19,FALSE),"-")</f>
        <v>-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6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6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6" t="str">
        <f>IF(booking!A133&gt;0,booking!A133,"-")</f>
        <v>-</v>
      </c>
      <c r="D133" s="87" t="str">
        <f>IF(booking!AB133&gt;0,"Y","-")</f>
        <v>Y</v>
      </c>
      <c r="E133" s="93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6" t="str">
        <f>IFERROR(VLOOKUP(E133,Database!$A$2:$L$189,6,FALSE),"-")</f>
        <v>-</v>
      </c>
      <c r="H133" s="91" t="str">
        <f>IFERROR(VLOOKUP(E133,Database!$A$2:$L$189,9,FALSE),"-")</f>
        <v>-</v>
      </c>
      <c r="I133" s="109" t="str">
        <f>IFERROR(VLOOKUP(E133,Database!$A$2:$S$189,19,FALSE),"-")</f>
        <v>-</v>
      </c>
      <c r="J133" s="94">
        <f>IF(AND(D133="Y",booking!H133&lt;&gt;booking!I133,booking!I133&gt;0),booking!I133,"-")</f>
        <v>139</v>
      </c>
      <c r="K133" s="76">
        <f>IFERROR(VLOOKUP(J133,Database!$A$2:$L$189,8,FALSE),"-")</f>
        <v>0</v>
      </c>
      <c r="L133" s="76" t="str">
        <f>IFERROR(VLOOKUP(J133,Database!$A$2:$L$189,6,FALSE),"-")</f>
        <v>DK</v>
      </c>
      <c r="M133" s="91">
        <f>IFERROR(VLOOKUP(J133,Database!$A$2:$L$189,9,FALSE),"-")</f>
        <v>0</v>
      </c>
      <c r="N133" s="206" t="str">
        <f>IFERROR(VLOOKUP(J133,Database!$A$2:$S$189,19,FALSE),"-")</f>
        <v>Y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6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6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6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 t="str">
        <f>IF(AND(D134="Y",booking!H134&lt;&gt;booking!I134,booking!I134&gt;0),booking!I134,"-")</f>
        <v>-</v>
      </c>
      <c r="K134" s="76" t="str">
        <f>IFERROR(VLOOKUP(J134,Database!$A$2:$L$189,8,FALSE),"-")</f>
        <v>-</v>
      </c>
      <c r="L134" s="76" t="str">
        <f>IFERROR(VLOOKUP(J134,Database!$A$2:$L$189,6,FALSE),"-")</f>
        <v>-</v>
      </c>
      <c r="M134" s="91" t="str">
        <f>IFERROR(VLOOKUP(J134,Database!$A$2:$L$189,9,FALSE),"-")</f>
        <v>-</v>
      </c>
      <c r="N134" s="206" t="str">
        <f>IFERROR(VLOOKUP(J134,Database!$A$2:$S$189,19,FALSE),"-")</f>
        <v>-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6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6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6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6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6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6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6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6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6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6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6" t="str">
        <f>IF(booking!A137&gt;0,booking!A137,"-")</f>
        <v>-</v>
      </c>
      <c r="D137" s="87" t="str">
        <f>IF(booking!AB137&gt;0,"Y","-")</f>
        <v>Y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6" t="str">
        <f>IFERROR(VLOOKUP(J137,Database!$A$2:$S$189,19,FALSE),"-")</f>
        <v>-</v>
      </c>
      <c r="O137" s="94">
        <f>IF(AND(D137="Y",booking!L137&lt;&gt;booking!M137,booking!M137&gt;0),booking!M137,"-")</f>
        <v>134</v>
      </c>
      <c r="P137" s="76">
        <f>IFERROR(VLOOKUP(O137,Database!$A$2:$L$189,8,FALSE),"-")</f>
        <v>0</v>
      </c>
      <c r="Q137" s="76" t="str">
        <f>IFERROR(VLOOKUP(O137,Database!$A$2:$L$189,6,FALSE),"-")</f>
        <v>DK</v>
      </c>
      <c r="R137" s="80">
        <f>IFERROR(VLOOKUP(O137,Database!$A$2:$L$189,9,FALSE),"-")</f>
        <v>0</v>
      </c>
      <c r="S137" s="206">
        <f>IFERROR(VLOOKUP(O137,Database!$A$2:$S$189,19,FALSE),"-")</f>
        <v>0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6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6" t="str">
        <f>IF(booking!A138&gt;0,booking!A138,"-")</f>
        <v>-</v>
      </c>
      <c r="D138" s="87" t="str">
        <f>IF(booking!AB138&gt;0,"Y","-")</f>
        <v>-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6" t="str">
        <f>IFERROR(VLOOKUP(J138,Database!$A$2:$S$189,19,FALSE),"-")</f>
        <v>-</v>
      </c>
      <c r="O138" s="94" t="str">
        <f>IF(AND(D138="Y",booking!L138&lt;&gt;booking!M138,booking!M138&gt;0),booking!M138,"-")</f>
        <v>-</v>
      </c>
      <c r="P138" s="76" t="str">
        <f>IFERROR(VLOOKUP(O138,Database!$A$2:$L$189,8,FALSE),"-")</f>
        <v>-</v>
      </c>
      <c r="Q138" s="76" t="str">
        <f>IFERROR(VLOOKUP(O138,Database!$A$2:$L$189,6,FALSE),"-")</f>
        <v>-</v>
      </c>
      <c r="R138" s="80" t="str">
        <f>IFERROR(VLOOKUP(O138,Database!$A$2:$L$189,9,FALSE),"-")</f>
        <v>-</v>
      </c>
      <c r="S138" s="206" t="str">
        <f>IFERROR(VLOOKUP(O138,Database!$A$2:$S$189,19,FALSE),"-")</f>
        <v>-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6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6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6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6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6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6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6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6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6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6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6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6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6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6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6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6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6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6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6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6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6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6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6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6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6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6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6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6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6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6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6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6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6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6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6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6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6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6" t="str">
        <f>IF(booking!A148&gt;0,booking!A148,"-")</f>
        <v>-</v>
      </c>
      <c r="D148" s="87" t="str">
        <f>IF(booking!AB148&gt;0,"Y","-")</f>
        <v>-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6" t="str">
        <f>IFERROR(VLOOKUP(J148,Database!$A$2:$S$189,19,FALSE),"-")</f>
        <v>-</v>
      </c>
      <c r="O148" s="94" t="str">
        <f>IF(AND(D148="Y",booking!L148&lt;&gt;booking!M148,booking!M148&gt;0),booking!M148,"-")</f>
        <v>-</v>
      </c>
      <c r="P148" s="76" t="str">
        <f>IFERROR(VLOOKUP(O148,Database!$A$2:$L$189,8,FALSE),"-")</f>
        <v>-</v>
      </c>
      <c r="Q148" s="76" t="str">
        <f>IFERROR(VLOOKUP(O148,Database!$A$2:$L$189,6,FALSE),"-")</f>
        <v>-</v>
      </c>
      <c r="R148" s="80" t="str">
        <f>IFERROR(VLOOKUP(O148,Database!$A$2:$L$189,9,FALSE),"-")</f>
        <v>-</v>
      </c>
      <c r="S148" s="206" t="str">
        <f>IFERROR(VLOOKUP(O148,Database!$A$2:$S$189,19,FALSE),"-")</f>
        <v>-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6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6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6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6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6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6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6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6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6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6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6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6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6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6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6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6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6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6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6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6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6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6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6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6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6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6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6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6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6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6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6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6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6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6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6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6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6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6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6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6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6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6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6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6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6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6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6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6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6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6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6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6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6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6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6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6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6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6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6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6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6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6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6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6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6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6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6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6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6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6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6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6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6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6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6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6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6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6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6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6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6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6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6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6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6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6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6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6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6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6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6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6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6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116</v>
      </c>
      <c r="B1" t="s">
        <v>131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>
        <f>ankomster!Y42</f>
        <v>119</v>
      </c>
      <c r="M42" t="str">
        <f>IFERROR(VLOOKUP(L42,Database!$A$2:$L$189,2,FALSE),"-")</f>
        <v>Thomas Negrini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>
        <f>ankomster!J44</f>
        <v>17</v>
      </c>
      <c r="G44" t="str">
        <f>IFERROR(VLOOKUP(F44,Database!$A$2:$L$189,2,FALSE),"-")</f>
        <v>Lars Thaarbøl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 t="str">
        <f>ankomster!Y44</f>
        <v>-</v>
      </c>
      <c r="M44" t="str">
        <f>IFERROR(VLOOKUP(L44,Database!$A$2:$L$189,2,FALSE),"-")</f>
        <v>-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 t="str">
        <f>ankomster!J45</f>
        <v>-</v>
      </c>
      <c r="G45" t="str">
        <f>IFERROR(VLOOKUP(F45,Database!$A$2:$L$189,2,FALSE),"-")</f>
        <v>-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>
        <f>ankomster!Y45</f>
        <v>16</v>
      </c>
      <c r="M45" t="str">
        <f>IFERROR(VLOOKUP(L45,Database!$A$2:$L$189,2,FALSE),"-")</f>
        <v>Gitte Horup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 t="str">
        <f>ankomster!J51</f>
        <v>-</v>
      </c>
      <c r="G51" t="str">
        <f>IFERROR(VLOOKUP(F51,Database!$A$2:$L$189,2,FALSE),"-")</f>
        <v>-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112</v>
      </c>
      <c r="G58" t="str">
        <f>IFERROR(VLOOKUP(F58,Database!$A$2:$L$189,2,FALSE),"-")</f>
        <v>Jytte Nielsen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>
        <f>ankomster!Y58</f>
        <v>141</v>
      </c>
      <c r="M58" t="str">
        <f>IFERROR(VLOOKUP(L58,Database!$A$2:$L$189,2,FALSE),"-")</f>
        <v>Ria Bakelaar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IFERROR(VLOOKUP(D127,Database!$A$2:$L$189,2,FALSE),"-")</f>
        <v>-</v>
      </c>
      <c r="F127" t="str">
        <f>ankomster!J127</f>
        <v>-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>
        <f>ankomster!J129</f>
        <v>126</v>
      </c>
      <c r="G129" t="str">
        <f>IFERROR(VLOOKUP(F129,Database!$A$2:$L$189,2,FALSE),"-")</f>
        <v>Birgitte Poulsen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 t="str">
        <f>ankomster!Y129</f>
        <v>-</v>
      </c>
      <c r="M129" t="str">
        <f>IFERROR(VLOOKUP(L129,Database!$A$2:$L$189,2,FALSE),"-")</f>
        <v>-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 t="str">
        <f>ankomster!O131</f>
        <v>-</v>
      </c>
      <c r="I131" t="str">
        <f>IFERROR(VLOOKUP(H131,Database!$A$2:$L$189,2,FALSE),"-")</f>
        <v>-</v>
      </c>
      <c r="J131" s="74" t="str">
        <f>ankomster!T131</f>
        <v>-</v>
      </c>
      <c r="K131" t="str">
        <f>IFERROR(VLOOKUP(J131,Database!$A$2:$L$189,2,FALSE),"-")</f>
        <v>-</v>
      </c>
      <c r="L131">
        <f>ankomster!Y131</f>
        <v>142</v>
      </c>
      <c r="M131" t="str">
        <f>IFERROR(VLOOKUP(L131,Database!$A$2:$L$189,2,FALSE),"-")</f>
        <v>Steffen Jarlov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 t="str">
        <f>ankomster!E133</f>
        <v>-</v>
      </c>
      <c r="E133" t="str">
        <f>IFERROR(VLOOKUP(D133,Database!$A$2:$L$189,2,FALSE),"-")</f>
        <v>-</v>
      </c>
      <c r="F133">
        <f>ankomster!J133</f>
        <v>139</v>
      </c>
      <c r="G133" t="str">
        <f>IFERROR(VLOOKUP(F133,Database!$A$2:$L$189,2,FALSE),"-")</f>
        <v>Anette Arleth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>
        <f>ankomster!O137</f>
        <v>134</v>
      </c>
      <c r="I137" t="str">
        <f>IFERROR(VLOOKUP(H137,Database!$A$2:$L$189,2,FALSE),"-")</f>
        <v>Linda Sjöström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 t="str">
        <f>ankomster!O138</f>
        <v>-</v>
      </c>
      <c r="I138" t="str">
        <f>IFERROR(VLOOKUP(H138,Database!$A$2:$L$189,2,FALSE),"-")</f>
        <v>-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 t="str">
        <f>ankomster!O148</f>
        <v>-</v>
      </c>
      <c r="I148" t="str">
        <f>IFERROR(VLOOKUP(H148,Database!$A$2:$L$189,2,FALSE),"-")</f>
        <v>-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 t="str">
        <f>Database!Q126</f>
        <v>Y</v>
      </c>
      <c r="C113" s="2">
        <f t="shared" si="3"/>
        <v>2</v>
      </c>
      <c r="D113" s="2">
        <f>IF(B113="Y",Database!K126,"-")</f>
        <v>1</v>
      </c>
      <c r="E113" s="2">
        <f>IF(AND(D113&gt;1,B113="Y"),Database!L126/D113,Database!L126)</f>
        <v>2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 t="str">
        <f>Database!Q142</f>
        <v>N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1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5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5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5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5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5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5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297</v>
      </c>
      <c r="M3">
        <f>SUM(J2:J200)</f>
        <v>295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5" t="str">
        <f>Database!G19</f>
        <v>FM</v>
      </c>
      <c r="C16" s="186">
        <f>Database!C19</f>
        <v>46181</v>
      </c>
      <c r="D16" s="186">
        <f>Database!D19</f>
        <v>46188</v>
      </c>
      <c r="E16" s="185">
        <f t="shared" si="0"/>
        <v>7</v>
      </c>
      <c r="F16" s="185">
        <f>Database!K19</f>
        <v>1</v>
      </c>
      <c r="G16" s="185">
        <f t="shared" si="1"/>
        <v>7</v>
      </c>
      <c r="H16" s="185"/>
      <c r="I16" s="185">
        <f>G16</f>
        <v>7</v>
      </c>
      <c r="J16" s="185">
        <f t="shared" si="3"/>
        <v>0</v>
      </c>
    </row>
    <row r="17" spans="1:10" x14ac:dyDescent="0.35">
      <c r="A17">
        <f>Database!A20</f>
        <v>16</v>
      </c>
      <c r="B17" s="185" t="str">
        <f>Database!G20</f>
        <v>FM</v>
      </c>
      <c r="C17" s="186">
        <f>Database!C20</f>
        <v>46182</v>
      </c>
      <c r="D17" s="186">
        <f>Database!D20</f>
        <v>46188</v>
      </c>
      <c r="E17" s="185">
        <f t="shared" si="0"/>
        <v>6</v>
      </c>
      <c r="F17" s="185">
        <f>Database!K20</f>
        <v>2</v>
      </c>
      <c r="G17" s="185">
        <f t="shared" si="1"/>
        <v>12</v>
      </c>
      <c r="H17" s="185"/>
      <c r="I17" s="185">
        <f>G17</f>
        <v>12</v>
      </c>
      <c r="J17" s="185">
        <f t="shared" si="3"/>
        <v>0</v>
      </c>
    </row>
    <row r="18" spans="1:10" x14ac:dyDescent="0.35">
      <c r="A18">
        <f>Database!A22</f>
        <v>17</v>
      </c>
      <c r="B18" s="185" t="str">
        <f>Database!G22</f>
        <v>FM</v>
      </c>
      <c r="C18" s="186">
        <f>Database!C22</f>
        <v>46181</v>
      </c>
      <c r="D18" s="186">
        <f>Database!D22</f>
        <v>46188</v>
      </c>
      <c r="E18" s="185">
        <f t="shared" si="0"/>
        <v>7</v>
      </c>
      <c r="F18" s="185">
        <f>Database!K22</f>
        <v>1</v>
      </c>
      <c r="G18" s="185">
        <f t="shared" si="1"/>
        <v>7</v>
      </c>
      <c r="H18" s="185"/>
      <c r="I18" s="185">
        <f>G18</f>
        <v>7</v>
      </c>
      <c r="J18" s="185">
        <f t="shared" si="3"/>
        <v>0</v>
      </c>
    </row>
    <row r="19" spans="1:10" x14ac:dyDescent="0.35">
      <c r="A19">
        <f>Database!A23</f>
        <v>18</v>
      </c>
      <c r="B19" s="185" t="str">
        <f>Database!G23</f>
        <v>FM</v>
      </c>
      <c r="C19" s="186">
        <f>Database!C23</f>
        <v>46182</v>
      </c>
      <c r="D19" s="186">
        <f>Database!D23</f>
        <v>46187</v>
      </c>
      <c r="E19" s="185">
        <f t="shared" si="0"/>
        <v>5</v>
      </c>
      <c r="F19" s="185">
        <f>Database!K23</f>
        <v>1</v>
      </c>
      <c r="G19" s="185">
        <f t="shared" si="1"/>
        <v>5</v>
      </c>
      <c r="H19" s="185"/>
      <c r="I19" s="185">
        <f>G19</f>
        <v>5</v>
      </c>
      <c r="J19" s="185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bc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bc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11" t="s">
        <v>472</v>
      </c>
      <c r="C1" s="97" t="s">
        <v>141</v>
      </c>
      <c r="D1" s="98" t="s">
        <v>142</v>
      </c>
      <c r="E1" s="99" t="s">
        <v>143</v>
      </c>
      <c r="F1" s="96" t="s">
        <v>144</v>
      </c>
      <c r="G1" s="99" t="s">
        <v>145</v>
      </c>
      <c r="H1" s="96" t="s">
        <v>146</v>
      </c>
      <c r="I1" s="99" t="s">
        <v>147</v>
      </c>
      <c r="J1" s="96" t="s">
        <v>148</v>
      </c>
      <c r="K1" s="99" t="s">
        <v>149</v>
      </c>
      <c r="L1" s="96" t="s">
        <v>150</v>
      </c>
      <c r="M1" s="99" t="s">
        <v>151</v>
      </c>
      <c r="N1" s="96" t="s">
        <v>152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222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223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224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432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oc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oc</v>
      </c>
      <c r="L43" s="128" t="str">
        <f>IF(booking!U43&gt;0,"oc","va")</f>
        <v>oc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oc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oc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oc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va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va</v>
      </c>
      <c r="F52" s="128" t="str">
        <f>IF(booking!I52&gt;0,"oc","va")</f>
        <v>va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va</v>
      </c>
      <c r="F53" s="128" t="str">
        <f>IF(booking!I53&gt;0,"oc","va")</f>
        <v>va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va</v>
      </c>
      <c r="F54" s="128" t="str">
        <f>IF(booking!I54&gt;0,"oc","va")</f>
        <v>va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va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oc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oc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va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va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va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va</v>
      </c>
      <c r="H91" s="128" t="str">
        <f>IF(booking!M91&gt;0,"oc","va")</f>
        <v>va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va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va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va</v>
      </c>
      <c r="F128" s="128" t="str">
        <f>IF(booking!I128&gt;0,"oc","va")</f>
        <v>va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va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va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va</v>
      </c>
      <c r="L130" s="128" t="str">
        <f>IF(booking!U130&gt;0,"oc","va")</f>
        <v>va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va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va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va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va</v>
      </c>
      <c r="H133" s="128" t="str">
        <f>IF(booking!M133&gt;0,"oc","va")</f>
        <v>va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oc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va</v>
      </c>
      <c r="D134" s="128" t="str">
        <f>IF(booking!E134&gt;0,"oc","va")</f>
        <v>va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va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oc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va</v>
      </c>
      <c r="D135" s="128" t="str">
        <f>IF(booking!E135&gt;0,"oc","va")</f>
        <v>va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va</v>
      </c>
      <c r="D136" s="128" t="str">
        <f>IF(booking!E136&gt;0,"oc","va")</f>
        <v>va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va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va</v>
      </c>
      <c r="G137" s="127" t="str">
        <f>IF(booking!L137&gt;0,"oc","va")</f>
        <v>va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va</v>
      </c>
      <c r="F138" s="128" t="str">
        <f>IF(booking!I138&gt;0,"oc","va")</f>
        <v>va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oc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va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oc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va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va</v>
      </c>
      <c r="H149" s="128" t="str">
        <f>IF(booking!M149&gt;0,"oc","va")</f>
        <v>va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va</v>
      </c>
      <c r="H150" s="128" t="str">
        <f>IF(booking!M150&gt;0,"oc","va")</f>
        <v>va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va</v>
      </c>
      <c r="H151" s="128" t="str">
        <f>IF(booking!M151&gt;0,"oc","va")</f>
        <v>va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2026-05-31T10:55:00Z</cp:lastPrinted>
  <dcterms:created xsi:type="dcterms:W3CDTF">2024-07-25T07:35:10Z</dcterms:created>
  <dcterms:modified xsi:type="dcterms:W3CDTF">2026-06-01T09:34:30Z</dcterms:modified>
  <cp:category/>
  <cp:contentStatus/>
</cp:coreProperties>
</file>
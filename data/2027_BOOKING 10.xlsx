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9" documentId="13_ncr:1_{8E3C74F8-CD64-4C68-9C7A-07416FA5F925}" xr6:coauthVersionLast="47" xr6:coauthVersionMax="47" xr10:uidLastSave="{8FAD47DB-83C7-4470-A139-66AA6320C7C1}"/>
  <bookViews>
    <workbookView xWindow="-110" yWindow="-110" windowWidth="19420" windowHeight="11500" firstSheet="2" activeTab="9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0" r:id="rId8"/>
    <sheet name="bf_calc" sheetId="8" state="hidden" r:id="rId9"/>
    <sheet name="book_simp" sheetId="9" r:id="rId10"/>
  </sheets>
  <externalReferences>
    <externalReference r:id="rId11"/>
  </externalReference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7" i="9"/>
  <c r="B8" i="9"/>
  <c r="B9" i="9"/>
  <c r="B10" i="9"/>
  <c r="B11" i="9"/>
  <c r="B12" i="9"/>
  <c r="B13" i="9"/>
  <c r="B14" i="9"/>
  <c r="B15" i="9"/>
  <c r="B16" i="9"/>
  <c r="B3" i="9"/>
  <c r="B4" i="9"/>
  <c r="B5" i="9"/>
  <c r="B6" i="9"/>
  <c r="B2" i="9"/>
  <c r="D2" i="10"/>
  <c r="E2" i="10" s="1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2" i="10"/>
  <c r="L171" i="10"/>
  <c r="M171" i="10" s="1"/>
  <c r="J171" i="10"/>
  <c r="K171" i="10" s="1"/>
  <c r="H171" i="10"/>
  <c r="I171" i="10" s="1"/>
  <c r="F171" i="10"/>
  <c r="G171" i="10" s="1"/>
  <c r="D171" i="10"/>
  <c r="E171" i="10" s="1"/>
  <c r="B171" i="10"/>
  <c r="L170" i="10"/>
  <c r="M170" i="10" s="1"/>
  <c r="J170" i="10"/>
  <c r="K170" i="10" s="1"/>
  <c r="H170" i="10"/>
  <c r="I170" i="10" s="1"/>
  <c r="F170" i="10"/>
  <c r="G170" i="10" s="1"/>
  <c r="E170" i="10"/>
  <c r="D170" i="10"/>
  <c r="B170" i="10"/>
  <c r="L169" i="10"/>
  <c r="M169" i="10" s="1"/>
  <c r="J169" i="10"/>
  <c r="K169" i="10" s="1"/>
  <c r="H169" i="10"/>
  <c r="I169" i="10" s="1"/>
  <c r="F169" i="10"/>
  <c r="G169" i="10" s="1"/>
  <c r="D169" i="10"/>
  <c r="E169" i="10" s="1"/>
  <c r="B169" i="10"/>
  <c r="L168" i="10"/>
  <c r="M168" i="10" s="1"/>
  <c r="J168" i="10"/>
  <c r="K168" i="10" s="1"/>
  <c r="H168" i="10"/>
  <c r="I168" i="10" s="1"/>
  <c r="F168" i="10"/>
  <c r="G168" i="10" s="1"/>
  <c r="D168" i="10"/>
  <c r="E168" i="10" s="1"/>
  <c r="B168" i="10"/>
  <c r="M167" i="10"/>
  <c r="L167" i="10"/>
  <c r="J167" i="10"/>
  <c r="K167" i="10" s="1"/>
  <c r="H167" i="10"/>
  <c r="I167" i="10" s="1"/>
  <c r="F167" i="10"/>
  <c r="G167" i="10" s="1"/>
  <c r="D167" i="10"/>
  <c r="E167" i="10" s="1"/>
  <c r="B167" i="10"/>
  <c r="L166" i="10"/>
  <c r="M166" i="10" s="1"/>
  <c r="K166" i="10"/>
  <c r="J166" i="10"/>
  <c r="H166" i="10"/>
  <c r="I166" i="10" s="1"/>
  <c r="F166" i="10"/>
  <c r="G166" i="10" s="1"/>
  <c r="E166" i="10"/>
  <c r="D166" i="10"/>
  <c r="B166" i="10"/>
  <c r="L165" i="10"/>
  <c r="M165" i="10" s="1"/>
  <c r="J165" i="10"/>
  <c r="K165" i="10" s="1"/>
  <c r="H165" i="10"/>
  <c r="I165" i="10" s="1"/>
  <c r="F165" i="10"/>
  <c r="G165" i="10" s="1"/>
  <c r="D165" i="10"/>
  <c r="E165" i="10" s="1"/>
  <c r="B165" i="10"/>
  <c r="M164" i="10"/>
  <c r="L164" i="10"/>
  <c r="K164" i="10"/>
  <c r="J164" i="10"/>
  <c r="H164" i="10"/>
  <c r="I164" i="10" s="1"/>
  <c r="F164" i="10"/>
  <c r="G164" i="10" s="1"/>
  <c r="D164" i="10"/>
  <c r="E164" i="10" s="1"/>
  <c r="B164" i="10"/>
  <c r="M163" i="10"/>
  <c r="L163" i="10"/>
  <c r="J163" i="10"/>
  <c r="K163" i="10" s="1"/>
  <c r="H163" i="10"/>
  <c r="I163" i="10" s="1"/>
  <c r="F163" i="10"/>
  <c r="G163" i="10" s="1"/>
  <c r="D163" i="10"/>
  <c r="E163" i="10" s="1"/>
  <c r="B163" i="10"/>
  <c r="L162" i="10"/>
  <c r="M162" i="10" s="1"/>
  <c r="J162" i="10"/>
  <c r="K162" i="10" s="1"/>
  <c r="H162" i="10"/>
  <c r="I162" i="10" s="1"/>
  <c r="F162" i="10"/>
  <c r="G162" i="10" s="1"/>
  <c r="E162" i="10"/>
  <c r="D162" i="10"/>
  <c r="B162" i="10"/>
  <c r="M161" i="10"/>
  <c r="L161" i="10"/>
  <c r="J161" i="10"/>
  <c r="K161" i="10" s="1"/>
  <c r="H161" i="10"/>
  <c r="I161" i="10" s="1"/>
  <c r="F161" i="10"/>
  <c r="G161" i="10" s="1"/>
  <c r="D161" i="10"/>
  <c r="E161" i="10" s="1"/>
  <c r="B161" i="10"/>
  <c r="L160" i="10"/>
  <c r="M160" i="10" s="1"/>
  <c r="K160" i="10"/>
  <c r="J160" i="10"/>
  <c r="H160" i="10"/>
  <c r="I160" i="10" s="1"/>
  <c r="F160" i="10"/>
  <c r="G160" i="10" s="1"/>
  <c r="D160" i="10"/>
  <c r="E160" i="10" s="1"/>
  <c r="B160" i="10"/>
  <c r="L159" i="10"/>
  <c r="M159" i="10" s="1"/>
  <c r="J159" i="10"/>
  <c r="K159" i="10" s="1"/>
  <c r="H159" i="10"/>
  <c r="I159" i="10" s="1"/>
  <c r="F159" i="10"/>
  <c r="G159" i="10" s="1"/>
  <c r="D159" i="10"/>
  <c r="E159" i="10" s="1"/>
  <c r="B159" i="10"/>
  <c r="L158" i="10"/>
  <c r="M158" i="10" s="1"/>
  <c r="J158" i="10"/>
  <c r="K158" i="10" s="1"/>
  <c r="H158" i="10"/>
  <c r="I158" i="10" s="1"/>
  <c r="F158" i="10"/>
  <c r="G158" i="10" s="1"/>
  <c r="D158" i="10"/>
  <c r="E158" i="10" s="1"/>
  <c r="B158" i="10"/>
  <c r="L157" i="10"/>
  <c r="M157" i="10" s="1"/>
  <c r="J157" i="10"/>
  <c r="K157" i="10" s="1"/>
  <c r="H157" i="10"/>
  <c r="I157" i="10" s="1"/>
  <c r="F157" i="10"/>
  <c r="G157" i="10" s="1"/>
  <c r="D157" i="10"/>
  <c r="E157" i="10" s="1"/>
  <c r="B157" i="10"/>
  <c r="L156" i="10"/>
  <c r="M156" i="10" s="1"/>
  <c r="J156" i="10"/>
  <c r="K156" i="10" s="1"/>
  <c r="H156" i="10"/>
  <c r="I156" i="10" s="1"/>
  <c r="F156" i="10"/>
  <c r="G156" i="10" s="1"/>
  <c r="E156" i="10"/>
  <c r="D156" i="10"/>
  <c r="B156" i="10"/>
  <c r="M155" i="10"/>
  <c r="L155" i="10"/>
  <c r="J155" i="10"/>
  <c r="K155" i="10" s="1"/>
  <c r="H155" i="10"/>
  <c r="I155" i="10" s="1"/>
  <c r="F155" i="10"/>
  <c r="G155" i="10" s="1"/>
  <c r="D155" i="10"/>
  <c r="E155" i="10" s="1"/>
  <c r="B155" i="10"/>
  <c r="L154" i="10"/>
  <c r="M154" i="10" s="1"/>
  <c r="J154" i="10"/>
  <c r="K154" i="10" s="1"/>
  <c r="H154" i="10"/>
  <c r="I154" i="10" s="1"/>
  <c r="F154" i="10"/>
  <c r="G154" i="10" s="1"/>
  <c r="E154" i="10"/>
  <c r="D154" i="10"/>
  <c r="B154" i="10"/>
  <c r="M153" i="10"/>
  <c r="L153" i="10"/>
  <c r="J153" i="10"/>
  <c r="K153" i="10" s="1"/>
  <c r="H153" i="10"/>
  <c r="I153" i="10" s="1"/>
  <c r="F153" i="10"/>
  <c r="G153" i="10" s="1"/>
  <c r="D153" i="10"/>
  <c r="E153" i="10" s="1"/>
  <c r="B153" i="10"/>
  <c r="L152" i="10"/>
  <c r="M152" i="10" s="1"/>
  <c r="K152" i="10"/>
  <c r="J152" i="10"/>
  <c r="H152" i="10"/>
  <c r="I152" i="10" s="1"/>
  <c r="F152" i="10"/>
  <c r="G152" i="10" s="1"/>
  <c r="D152" i="10"/>
  <c r="E152" i="10" s="1"/>
  <c r="B152" i="10"/>
  <c r="M151" i="10"/>
  <c r="L151" i="10"/>
  <c r="K151" i="10"/>
  <c r="J151" i="10"/>
  <c r="H151" i="10"/>
  <c r="I151" i="10" s="1"/>
  <c r="F151" i="10"/>
  <c r="G151" i="10" s="1"/>
  <c r="D151" i="10"/>
  <c r="E151" i="10" s="1"/>
  <c r="B151" i="10"/>
  <c r="L150" i="10"/>
  <c r="M150" i="10" s="1"/>
  <c r="J150" i="10"/>
  <c r="K150" i="10" s="1"/>
  <c r="H150" i="10"/>
  <c r="I150" i="10" s="1"/>
  <c r="F150" i="10"/>
  <c r="G150" i="10" s="1"/>
  <c r="E150" i="10"/>
  <c r="D150" i="10"/>
  <c r="B150" i="10"/>
  <c r="L149" i="10"/>
  <c r="M149" i="10" s="1"/>
  <c r="J149" i="10"/>
  <c r="K149" i="10" s="1"/>
  <c r="H149" i="10"/>
  <c r="I149" i="10" s="1"/>
  <c r="F149" i="10"/>
  <c r="G149" i="10" s="1"/>
  <c r="E149" i="10"/>
  <c r="D149" i="10"/>
  <c r="B149" i="10"/>
  <c r="L148" i="10"/>
  <c r="M148" i="10" s="1"/>
  <c r="K148" i="10"/>
  <c r="J148" i="10"/>
  <c r="H148" i="10"/>
  <c r="I148" i="10" s="1"/>
  <c r="F148" i="10"/>
  <c r="G148" i="10" s="1"/>
  <c r="D148" i="10"/>
  <c r="E148" i="10" s="1"/>
  <c r="B148" i="10"/>
  <c r="L147" i="10"/>
  <c r="M147" i="10" s="1"/>
  <c r="J147" i="10"/>
  <c r="K147" i="10" s="1"/>
  <c r="H147" i="10"/>
  <c r="I147" i="10" s="1"/>
  <c r="F147" i="10"/>
  <c r="G147" i="10" s="1"/>
  <c r="D147" i="10"/>
  <c r="E147" i="10" s="1"/>
  <c r="B147" i="10"/>
  <c r="L146" i="10"/>
  <c r="M146" i="10" s="1"/>
  <c r="K146" i="10"/>
  <c r="J146" i="10"/>
  <c r="H146" i="10"/>
  <c r="I146" i="10" s="1"/>
  <c r="F146" i="10"/>
  <c r="G146" i="10" s="1"/>
  <c r="D146" i="10"/>
  <c r="E146" i="10" s="1"/>
  <c r="B146" i="10"/>
  <c r="L145" i="10"/>
  <c r="M145" i="10" s="1"/>
  <c r="J145" i="10"/>
  <c r="K145" i="10" s="1"/>
  <c r="H145" i="10"/>
  <c r="I145" i="10" s="1"/>
  <c r="F145" i="10"/>
  <c r="G145" i="10" s="1"/>
  <c r="D145" i="10"/>
  <c r="E145" i="10" s="1"/>
  <c r="B145" i="10"/>
  <c r="L144" i="10"/>
  <c r="M144" i="10" s="1"/>
  <c r="J144" i="10"/>
  <c r="K144" i="10" s="1"/>
  <c r="H144" i="10"/>
  <c r="I144" i="10" s="1"/>
  <c r="F144" i="10"/>
  <c r="G144" i="10" s="1"/>
  <c r="E144" i="10"/>
  <c r="D144" i="10"/>
  <c r="B144" i="10"/>
  <c r="M143" i="10"/>
  <c r="L143" i="10"/>
  <c r="J143" i="10"/>
  <c r="K143" i="10" s="1"/>
  <c r="H143" i="10"/>
  <c r="I143" i="10" s="1"/>
  <c r="F143" i="10"/>
  <c r="G143" i="10" s="1"/>
  <c r="D143" i="10"/>
  <c r="E143" i="10" s="1"/>
  <c r="B143" i="10"/>
  <c r="L142" i="10"/>
  <c r="M142" i="10" s="1"/>
  <c r="J142" i="10"/>
  <c r="K142" i="10" s="1"/>
  <c r="H142" i="10"/>
  <c r="I142" i="10" s="1"/>
  <c r="F142" i="10"/>
  <c r="G142" i="10" s="1"/>
  <c r="D142" i="10"/>
  <c r="E142" i="10" s="1"/>
  <c r="B142" i="10"/>
  <c r="M141" i="10"/>
  <c r="L141" i="10"/>
  <c r="J141" i="10"/>
  <c r="K141" i="10" s="1"/>
  <c r="H141" i="10"/>
  <c r="I141" i="10" s="1"/>
  <c r="F141" i="10"/>
  <c r="G141" i="10" s="1"/>
  <c r="D141" i="10"/>
  <c r="E141" i="10" s="1"/>
  <c r="B141" i="10"/>
  <c r="L140" i="10"/>
  <c r="M140" i="10" s="1"/>
  <c r="K140" i="10"/>
  <c r="J140" i="10"/>
  <c r="H140" i="10"/>
  <c r="I140" i="10" s="1"/>
  <c r="F140" i="10"/>
  <c r="G140" i="10" s="1"/>
  <c r="D140" i="10"/>
  <c r="E140" i="10" s="1"/>
  <c r="B140" i="10"/>
  <c r="L139" i="10"/>
  <c r="M139" i="10" s="1"/>
  <c r="K139" i="10"/>
  <c r="J139" i="10"/>
  <c r="H139" i="10"/>
  <c r="I139" i="10" s="1"/>
  <c r="F139" i="10"/>
  <c r="G139" i="10" s="1"/>
  <c r="D139" i="10"/>
  <c r="E139" i="10" s="1"/>
  <c r="B139" i="10"/>
  <c r="L138" i="10"/>
  <c r="M138" i="10" s="1"/>
  <c r="J138" i="10"/>
  <c r="K138" i="10" s="1"/>
  <c r="H138" i="10"/>
  <c r="I138" i="10" s="1"/>
  <c r="F138" i="10"/>
  <c r="G138" i="10" s="1"/>
  <c r="D138" i="10"/>
  <c r="E138" i="10" s="1"/>
  <c r="B138" i="10"/>
  <c r="L137" i="10"/>
  <c r="M137" i="10" s="1"/>
  <c r="J137" i="10"/>
  <c r="K137" i="10" s="1"/>
  <c r="H137" i="10"/>
  <c r="I137" i="10" s="1"/>
  <c r="F137" i="10"/>
  <c r="G137" i="10" s="1"/>
  <c r="D137" i="10"/>
  <c r="E137" i="10" s="1"/>
  <c r="B137" i="10"/>
  <c r="L136" i="10"/>
  <c r="M136" i="10" s="1"/>
  <c r="J136" i="10"/>
  <c r="K136" i="10" s="1"/>
  <c r="H136" i="10"/>
  <c r="I136" i="10" s="1"/>
  <c r="F136" i="10"/>
  <c r="G136" i="10" s="1"/>
  <c r="D136" i="10"/>
  <c r="E136" i="10" s="1"/>
  <c r="B136" i="10"/>
  <c r="L135" i="10"/>
  <c r="M135" i="10" s="1"/>
  <c r="J135" i="10"/>
  <c r="K135" i="10" s="1"/>
  <c r="H135" i="10"/>
  <c r="I135" i="10" s="1"/>
  <c r="F135" i="10"/>
  <c r="G135" i="10" s="1"/>
  <c r="D135" i="10"/>
  <c r="E135" i="10" s="1"/>
  <c r="B135" i="10"/>
  <c r="L134" i="10"/>
  <c r="M134" i="10" s="1"/>
  <c r="J134" i="10"/>
  <c r="K134" i="10" s="1"/>
  <c r="H134" i="10"/>
  <c r="I134" i="10" s="1"/>
  <c r="F134" i="10"/>
  <c r="G134" i="10" s="1"/>
  <c r="D134" i="10"/>
  <c r="E134" i="10" s="1"/>
  <c r="B134" i="10"/>
  <c r="L133" i="10"/>
  <c r="M133" i="10" s="1"/>
  <c r="J133" i="10"/>
  <c r="K133" i="10" s="1"/>
  <c r="H133" i="10"/>
  <c r="I133" i="10" s="1"/>
  <c r="F133" i="10"/>
  <c r="G133" i="10" s="1"/>
  <c r="D133" i="10"/>
  <c r="E133" i="10" s="1"/>
  <c r="B133" i="10"/>
  <c r="L132" i="10"/>
  <c r="M132" i="10" s="1"/>
  <c r="J132" i="10"/>
  <c r="K132" i="10" s="1"/>
  <c r="H132" i="10"/>
  <c r="I132" i="10" s="1"/>
  <c r="F132" i="10"/>
  <c r="G132" i="10" s="1"/>
  <c r="D132" i="10"/>
  <c r="E132" i="10" s="1"/>
  <c r="B132" i="10"/>
  <c r="L131" i="10"/>
  <c r="M131" i="10" s="1"/>
  <c r="J131" i="10"/>
  <c r="K131" i="10" s="1"/>
  <c r="H131" i="10"/>
  <c r="I131" i="10" s="1"/>
  <c r="F131" i="10"/>
  <c r="G131" i="10" s="1"/>
  <c r="D131" i="10"/>
  <c r="E131" i="10" s="1"/>
  <c r="B131" i="10"/>
  <c r="L130" i="10"/>
  <c r="M130" i="10" s="1"/>
  <c r="J130" i="10"/>
  <c r="K130" i="10" s="1"/>
  <c r="H130" i="10"/>
  <c r="I130" i="10" s="1"/>
  <c r="F130" i="10"/>
  <c r="G130" i="10" s="1"/>
  <c r="D130" i="10"/>
  <c r="E130" i="10" s="1"/>
  <c r="B130" i="10"/>
  <c r="L129" i="10"/>
  <c r="M129" i="10" s="1"/>
  <c r="J129" i="10"/>
  <c r="K129" i="10" s="1"/>
  <c r="H129" i="10"/>
  <c r="I129" i="10" s="1"/>
  <c r="F129" i="10"/>
  <c r="G129" i="10" s="1"/>
  <c r="D129" i="10"/>
  <c r="E129" i="10" s="1"/>
  <c r="B129" i="10"/>
  <c r="L128" i="10"/>
  <c r="M128" i="10" s="1"/>
  <c r="J128" i="10"/>
  <c r="K128" i="10" s="1"/>
  <c r="H128" i="10"/>
  <c r="I128" i="10" s="1"/>
  <c r="F128" i="10"/>
  <c r="G128" i="10" s="1"/>
  <c r="D128" i="10"/>
  <c r="E128" i="10" s="1"/>
  <c r="B128" i="10"/>
  <c r="L127" i="10"/>
  <c r="M127" i="10" s="1"/>
  <c r="J127" i="10"/>
  <c r="K127" i="10" s="1"/>
  <c r="H127" i="10"/>
  <c r="I127" i="10" s="1"/>
  <c r="F127" i="10"/>
  <c r="G127" i="10" s="1"/>
  <c r="D127" i="10"/>
  <c r="E127" i="10" s="1"/>
  <c r="B127" i="10"/>
  <c r="L126" i="10"/>
  <c r="M126" i="10" s="1"/>
  <c r="J126" i="10"/>
  <c r="K126" i="10" s="1"/>
  <c r="H126" i="10"/>
  <c r="I126" i="10" s="1"/>
  <c r="F126" i="10"/>
  <c r="G126" i="10" s="1"/>
  <c r="D126" i="10"/>
  <c r="E126" i="10" s="1"/>
  <c r="B126" i="10"/>
  <c r="L125" i="10"/>
  <c r="M125" i="10" s="1"/>
  <c r="J125" i="10"/>
  <c r="K125" i="10" s="1"/>
  <c r="H125" i="10"/>
  <c r="I125" i="10" s="1"/>
  <c r="F125" i="10"/>
  <c r="G125" i="10" s="1"/>
  <c r="D125" i="10"/>
  <c r="E125" i="10" s="1"/>
  <c r="B125" i="10"/>
  <c r="L124" i="10"/>
  <c r="M124" i="10" s="1"/>
  <c r="J124" i="10"/>
  <c r="K124" i="10" s="1"/>
  <c r="H124" i="10"/>
  <c r="I124" i="10" s="1"/>
  <c r="F124" i="10"/>
  <c r="G124" i="10" s="1"/>
  <c r="E124" i="10"/>
  <c r="D124" i="10"/>
  <c r="B124" i="10"/>
  <c r="L123" i="10"/>
  <c r="M123" i="10" s="1"/>
  <c r="J123" i="10"/>
  <c r="K123" i="10" s="1"/>
  <c r="H123" i="10"/>
  <c r="I123" i="10" s="1"/>
  <c r="F123" i="10"/>
  <c r="G123" i="10" s="1"/>
  <c r="D123" i="10"/>
  <c r="E123" i="10" s="1"/>
  <c r="B123" i="10"/>
  <c r="L122" i="10"/>
  <c r="M122" i="10" s="1"/>
  <c r="J122" i="10"/>
  <c r="K122" i="10" s="1"/>
  <c r="H122" i="10"/>
  <c r="I122" i="10" s="1"/>
  <c r="F122" i="10"/>
  <c r="G122" i="10" s="1"/>
  <c r="D122" i="10"/>
  <c r="E122" i="10" s="1"/>
  <c r="B122" i="10"/>
  <c r="L121" i="10"/>
  <c r="M121" i="10" s="1"/>
  <c r="K121" i="10"/>
  <c r="J121" i="10"/>
  <c r="H121" i="10"/>
  <c r="I121" i="10" s="1"/>
  <c r="F121" i="10"/>
  <c r="G121" i="10" s="1"/>
  <c r="D121" i="10"/>
  <c r="E121" i="10" s="1"/>
  <c r="B121" i="10"/>
  <c r="L120" i="10"/>
  <c r="M120" i="10" s="1"/>
  <c r="J120" i="10"/>
  <c r="K120" i="10" s="1"/>
  <c r="H120" i="10"/>
  <c r="I120" i="10" s="1"/>
  <c r="F120" i="10"/>
  <c r="G120" i="10" s="1"/>
  <c r="D120" i="10"/>
  <c r="E120" i="10" s="1"/>
  <c r="B120" i="10"/>
  <c r="L119" i="10"/>
  <c r="M119" i="10" s="1"/>
  <c r="J119" i="10"/>
  <c r="K119" i="10" s="1"/>
  <c r="H119" i="10"/>
  <c r="I119" i="10" s="1"/>
  <c r="F119" i="10"/>
  <c r="G119" i="10" s="1"/>
  <c r="D119" i="10"/>
  <c r="E119" i="10" s="1"/>
  <c r="B119" i="10"/>
  <c r="L118" i="10"/>
  <c r="M118" i="10" s="1"/>
  <c r="J118" i="10"/>
  <c r="K118" i="10" s="1"/>
  <c r="H118" i="10"/>
  <c r="I118" i="10" s="1"/>
  <c r="F118" i="10"/>
  <c r="G118" i="10" s="1"/>
  <c r="D118" i="10"/>
  <c r="E118" i="10" s="1"/>
  <c r="B118" i="10"/>
  <c r="L117" i="10"/>
  <c r="M117" i="10" s="1"/>
  <c r="J117" i="10"/>
  <c r="K117" i="10" s="1"/>
  <c r="H117" i="10"/>
  <c r="I117" i="10" s="1"/>
  <c r="F117" i="10"/>
  <c r="G117" i="10" s="1"/>
  <c r="D117" i="10"/>
  <c r="E117" i="10" s="1"/>
  <c r="B117" i="10"/>
  <c r="M116" i="10"/>
  <c r="L116" i="10"/>
  <c r="J116" i="10"/>
  <c r="K116" i="10" s="1"/>
  <c r="H116" i="10"/>
  <c r="I116" i="10" s="1"/>
  <c r="F116" i="10"/>
  <c r="G116" i="10" s="1"/>
  <c r="D116" i="10"/>
  <c r="E116" i="10" s="1"/>
  <c r="B116" i="10"/>
  <c r="L115" i="10"/>
  <c r="M115" i="10" s="1"/>
  <c r="J115" i="10"/>
  <c r="K115" i="10" s="1"/>
  <c r="H115" i="10"/>
  <c r="I115" i="10" s="1"/>
  <c r="F115" i="10"/>
  <c r="G115" i="10" s="1"/>
  <c r="D115" i="10"/>
  <c r="E115" i="10" s="1"/>
  <c r="B115" i="10"/>
  <c r="L114" i="10"/>
  <c r="M114" i="10" s="1"/>
  <c r="J114" i="10"/>
  <c r="K114" i="10" s="1"/>
  <c r="H114" i="10"/>
  <c r="I114" i="10" s="1"/>
  <c r="F114" i="10"/>
  <c r="G114" i="10" s="1"/>
  <c r="D114" i="10"/>
  <c r="E114" i="10" s="1"/>
  <c r="B114" i="10"/>
  <c r="L113" i="10"/>
  <c r="M113" i="10" s="1"/>
  <c r="J113" i="10"/>
  <c r="K113" i="10" s="1"/>
  <c r="H113" i="10"/>
  <c r="I113" i="10" s="1"/>
  <c r="F113" i="10"/>
  <c r="G113" i="10" s="1"/>
  <c r="D113" i="10"/>
  <c r="E113" i="10" s="1"/>
  <c r="B113" i="10"/>
  <c r="L112" i="10"/>
  <c r="M112" i="10" s="1"/>
  <c r="J112" i="10"/>
  <c r="K112" i="10" s="1"/>
  <c r="H112" i="10"/>
  <c r="I112" i="10" s="1"/>
  <c r="F112" i="10"/>
  <c r="G112" i="10" s="1"/>
  <c r="D112" i="10"/>
  <c r="E112" i="10" s="1"/>
  <c r="B112" i="10"/>
  <c r="L111" i="10"/>
  <c r="M111" i="10" s="1"/>
  <c r="J111" i="10"/>
  <c r="K111" i="10" s="1"/>
  <c r="H111" i="10"/>
  <c r="I111" i="10" s="1"/>
  <c r="F111" i="10"/>
  <c r="G111" i="10" s="1"/>
  <c r="D111" i="10"/>
  <c r="E111" i="10" s="1"/>
  <c r="B111" i="10"/>
  <c r="L110" i="10"/>
  <c r="M110" i="10" s="1"/>
  <c r="J110" i="10"/>
  <c r="K110" i="10" s="1"/>
  <c r="H110" i="10"/>
  <c r="I110" i="10" s="1"/>
  <c r="F110" i="10"/>
  <c r="G110" i="10" s="1"/>
  <c r="D110" i="10"/>
  <c r="E110" i="10" s="1"/>
  <c r="B110" i="10"/>
  <c r="L109" i="10"/>
  <c r="M109" i="10" s="1"/>
  <c r="J109" i="10"/>
  <c r="K109" i="10" s="1"/>
  <c r="H109" i="10"/>
  <c r="I109" i="10" s="1"/>
  <c r="F109" i="10"/>
  <c r="G109" i="10" s="1"/>
  <c r="D109" i="10"/>
  <c r="E109" i="10" s="1"/>
  <c r="B109" i="10"/>
  <c r="L108" i="10"/>
  <c r="M108" i="10" s="1"/>
  <c r="J108" i="10"/>
  <c r="K108" i="10" s="1"/>
  <c r="H108" i="10"/>
  <c r="I108" i="10" s="1"/>
  <c r="F108" i="10"/>
  <c r="G108" i="10" s="1"/>
  <c r="D108" i="10"/>
  <c r="E108" i="10" s="1"/>
  <c r="B108" i="10"/>
  <c r="L107" i="10"/>
  <c r="M107" i="10" s="1"/>
  <c r="J107" i="10"/>
  <c r="K107" i="10" s="1"/>
  <c r="H107" i="10"/>
  <c r="I107" i="10" s="1"/>
  <c r="F107" i="10"/>
  <c r="G107" i="10" s="1"/>
  <c r="D107" i="10"/>
  <c r="E107" i="10" s="1"/>
  <c r="B107" i="10"/>
  <c r="L106" i="10"/>
  <c r="M106" i="10" s="1"/>
  <c r="J106" i="10"/>
  <c r="K106" i="10" s="1"/>
  <c r="H106" i="10"/>
  <c r="I106" i="10" s="1"/>
  <c r="F106" i="10"/>
  <c r="G106" i="10" s="1"/>
  <c r="D106" i="10"/>
  <c r="E106" i="10" s="1"/>
  <c r="B106" i="10"/>
  <c r="L105" i="10"/>
  <c r="M105" i="10" s="1"/>
  <c r="J105" i="10"/>
  <c r="K105" i="10" s="1"/>
  <c r="H105" i="10"/>
  <c r="I105" i="10" s="1"/>
  <c r="F105" i="10"/>
  <c r="G105" i="10" s="1"/>
  <c r="D105" i="10"/>
  <c r="E105" i="10" s="1"/>
  <c r="B105" i="10"/>
  <c r="L104" i="10"/>
  <c r="M104" i="10" s="1"/>
  <c r="J104" i="10"/>
  <c r="K104" i="10" s="1"/>
  <c r="H104" i="10"/>
  <c r="I104" i="10" s="1"/>
  <c r="F104" i="10"/>
  <c r="G104" i="10" s="1"/>
  <c r="D104" i="10"/>
  <c r="E104" i="10" s="1"/>
  <c r="B104" i="10"/>
  <c r="L103" i="10"/>
  <c r="M103" i="10" s="1"/>
  <c r="J103" i="10"/>
  <c r="K103" i="10" s="1"/>
  <c r="H103" i="10"/>
  <c r="I103" i="10" s="1"/>
  <c r="F103" i="10"/>
  <c r="G103" i="10" s="1"/>
  <c r="D103" i="10"/>
  <c r="E103" i="10" s="1"/>
  <c r="B103" i="10"/>
  <c r="L102" i="10"/>
  <c r="M102" i="10" s="1"/>
  <c r="J102" i="10"/>
  <c r="K102" i="10" s="1"/>
  <c r="H102" i="10"/>
  <c r="I102" i="10" s="1"/>
  <c r="F102" i="10"/>
  <c r="G102" i="10" s="1"/>
  <c r="D102" i="10"/>
  <c r="E102" i="10" s="1"/>
  <c r="B102" i="10"/>
  <c r="L101" i="10"/>
  <c r="M101" i="10" s="1"/>
  <c r="J101" i="10"/>
  <c r="K101" i="10" s="1"/>
  <c r="H101" i="10"/>
  <c r="I101" i="10" s="1"/>
  <c r="F101" i="10"/>
  <c r="G101" i="10" s="1"/>
  <c r="D101" i="10"/>
  <c r="E101" i="10" s="1"/>
  <c r="B101" i="10"/>
  <c r="L100" i="10"/>
  <c r="M100" i="10" s="1"/>
  <c r="J100" i="10"/>
  <c r="K100" i="10" s="1"/>
  <c r="H100" i="10"/>
  <c r="I100" i="10" s="1"/>
  <c r="F100" i="10"/>
  <c r="G100" i="10" s="1"/>
  <c r="D100" i="10"/>
  <c r="E100" i="10" s="1"/>
  <c r="B100" i="10"/>
  <c r="L99" i="10"/>
  <c r="M99" i="10" s="1"/>
  <c r="J99" i="10"/>
  <c r="K99" i="10" s="1"/>
  <c r="H99" i="10"/>
  <c r="I99" i="10" s="1"/>
  <c r="F99" i="10"/>
  <c r="G99" i="10" s="1"/>
  <c r="D99" i="10"/>
  <c r="E99" i="10" s="1"/>
  <c r="B99" i="10"/>
  <c r="L98" i="10"/>
  <c r="M98" i="10" s="1"/>
  <c r="J98" i="10"/>
  <c r="K98" i="10" s="1"/>
  <c r="H98" i="10"/>
  <c r="I98" i="10" s="1"/>
  <c r="F98" i="10"/>
  <c r="G98" i="10" s="1"/>
  <c r="D98" i="10"/>
  <c r="E98" i="10" s="1"/>
  <c r="B98" i="10"/>
  <c r="L97" i="10"/>
  <c r="M97" i="10" s="1"/>
  <c r="J97" i="10"/>
  <c r="K97" i="10" s="1"/>
  <c r="H97" i="10"/>
  <c r="I97" i="10" s="1"/>
  <c r="F97" i="10"/>
  <c r="G97" i="10" s="1"/>
  <c r="D97" i="10"/>
  <c r="E97" i="10" s="1"/>
  <c r="B97" i="10"/>
  <c r="L96" i="10"/>
  <c r="M96" i="10" s="1"/>
  <c r="J96" i="10"/>
  <c r="K96" i="10" s="1"/>
  <c r="H96" i="10"/>
  <c r="I96" i="10" s="1"/>
  <c r="F96" i="10"/>
  <c r="G96" i="10" s="1"/>
  <c r="D96" i="10"/>
  <c r="E96" i="10" s="1"/>
  <c r="B96" i="10"/>
  <c r="L95" i="10"/>
  <c r="M95" i="10" s="1"/>
  <c r="J95" i="10"/>
  <c r="K95" i="10" s="1"/>
  <c r="H95" i="10"/>
  <c r="I95" i="10" s="1"/>
  <c r="F95" i="10"/>
  <c r="G95" i="10" s="1"/>
  <c r="D95" i="10"/>
  <c r="E95" i="10" s="1"/>
  <c r="B95" i="10"/>
  <c r="L94" i="10"/>
  <c r="M94" i="10" s="1"/>
  <c r="J94" i="10"/>
  <c r="K94" i="10" s="1"/>
  <c r="H94" i="10"/>
  <c r="I94" i="10" s="1"/>
  <c r="F94" i="10"/>
  <c r="G94" i="10" s="1"/>
  <c r="D94" i="10"/>
  <c r="E94" i="10" s="1"/>
  <c r="B94" i="10"/>
  <c r="L93" i="10"/>
  <c r="M93" i="10" s="1"/>
  <c r="J93" i="10"/>
  <c r="K93" i="10" s="1"/>
  <c r="H93" i="10"/>
  <c r="I93" i="10" s="1"/>
  <c r="F93" i="10"/>
  <c r="G93" i="10" s="1"/>
  <c r="D93" i="10"/>
  <c r="E93" i="10" s="1"/>
  <c r="B93" i="10"/>
  <c r="L92" i="10"/>
  <c r="M92" i="10" s="1"/>
  <c r="K92" i="10"/>
  <c r="J92" i="10"/>
  <c r="H92" i="10"/>
  <c r="I92" i="10" s="1"/>
  <c r="F92" i="10"/>
  <c r="G92" i="10" s="1"/>
  <c r="D92" i="10"/>
  <c r="E92" i="10" s="1"/>
  <c r="B92" i="10"/>
  <c r="L91" i="10"/>
  <c r="M91" i="10" s="1"/>
  <c r="J91" i="10"/>
  <c r="K91" i="10" s="1"/>
  <c r="H91" i="10"/>
  <c r="I91" i="10" s="1"/>
  <c r="F91" i="10"/>
  <c r="G91" i="10" s="1"/>
  <c r="D91" i="10"/>
  <c r="E91" i="10" s="1"/>
  <c r="B91" i="10"/>
  <c r="L90" i="10"/>
  <c r="M90" i="10" s="1"/>
  <c r="J90" i="10"/>
  <c r="K90" i="10" s="1"/>
  <c r="H90" i="10"/>
  <c r="I90" i="10" s="1"/>
  <c r="F90" i="10"/>
  <c r="G90" i="10" s="1"/>
  <c r="D90" i="10"/>
  <c r="E90" i="10" s="1"/>
  <c r="B90" i="10"/>
  <c r="L89" i="10"/>
  <c r="M89" i="10" s="1"/>
  <c r="J89" i="10"/>
  <c r="K89" i="10" s="1"/>
  <c r="H89" i="10"/>
  <c r="I89" i="10" s="1"/>
  <c r="F89" i="10"/>
  <c r="G89" i="10" s="1"/>
  <c r="D89" i="10"/>
  <c r="E89" i="10" s="1"/>
  <c r="B89" i="10"/>
  <c r="L88" i="10"/>
  <c r="M88" i="10" s="1"/>
  <c r="J88" i="10"/>
  <c r="K88" i="10" s="1"/>
  <c r="H88" i="10"/>
  <c r="I88" i="10" s="1"/>
  <c r="F88" i="10"/>
  <c r="G88" i="10" s="1"/>
  <c r="D88" i="10"/>
  <c r="E88" i="10" s="1"/>
  <c r="B88" i="10"/>
  <c r="L87" i="10"/>
  <c r="M87" i="10" s="1"/>
  <c r="J87" i="10"/>
  <c r="K87" i="10" s="1"/>
  <c r="H87" i="10"/>
  <c r="I87" i="10" s="1"/>
  <c r="F87" i="10"/>
  <c r="G87" i="10" s="1"/>
  <c r="D87" i="10"/>
  <c r="E87" i="10" s="1"/>
  <c r="B87" i="10"/>
  <c r="L86" i="10"/>
  <c r="M86" i="10" s="1"/>
  <c r="J86" i="10"/>
  <c r="K86" i="10" s="1"/>
  <c r="H86" i="10"/>
  <c r="I86" i="10" s="1"/>
  <c r="F86" i="10"/>
  <c r="G86" i="10" s="1"/>
  <c r="D86" i="10"/>
  <c r="E86" i="10" s="1"/>
  <c r="B86" i="10"/>
  <c r="L85" i="10"/>
  <c r="M85" i="10" s="1"/>
  <c r="J85" i="10"/>
  <c r="K85" i="10" s="1"/>
  <c r="H85" i="10"/>
  <c r="I85" i="10" s="1"/>
  <c r="F85" i="10"/>
  <c r="G85" i="10" s="1"/>
  <c r="D85" i="10"/>
  <c r="E85" i="10" s="1"/>
  <c r="B85" i="10"/>
  <c r="L84" i="10"/>
  <c r="M84" i="10" s="1"/>
  <c r="J84" i="10"/>
  <c r="K84" i="10" s="1"/>
  <c r="H84" i="10"/>
  <c r="I84" i="10" s="1"/>
  <c r="F84" i="10"/>
  <c r="G84" i="10" s="1"/>
  <c r="D84" i="10"/>
  <c r="E84" i="10" s="1"/>
  <c r="B84" i="10"/>
  <c r="L83" i="10"/>
  <c r="M83" i="10" s="1"/>
  <c r="J83" i="10"/>
  <c r="K83" i="10" s="1"/>
  <c r="H83" i="10"/>
  <c r="I83" i="10" s="1"/>
  <c r="F83" i="10"/>
  <c r="G83" i="10" s="1"/>
  <c r="D83" i="10"/>
  <c r="E83" i="10" s="1"/>
  <c r="B83" i="10"/>
  <c r="L82" i="10"/>
  <c r="M82" i="10" s="1"/>
  <c r="K82" i="10"/>
  <c r="J82" i="10"/>
  <c r="H82" i="10"/>
  <c r="I82" i="10" s="1"/>
  <c r="F82" i="10"/>
  <c r="G82" i="10" s="1"/>
  <c r="D82" i="10"/>
  <c r="E82" i="10" s="1"/>
  <c r="B82" i="10"/>
  <c r="L81" i="10"/>
  <c r="M81" i="10" s="1"/>
  <c r="K81" i="10"/>
  <c r="J81" i="10"/>
  <c r="H81" i="10"/>
  <c r="I81" i="10" s="1"/>
  <c r="F81" i="10"/>
  <c r="G81" i="10" s="1"/>
  <c r="D81" i="10"/>
  <c r="E81" i="10" s="1"/>
  <c r="B81" i="10"/>
  <c r="L80" i="10"/>
  <c r="M80" i="10" s="1"/>
  <c r="J80" i="10"/>
  <c r="K80" i="10" s="1"/>
  <c r="H80" i="10"/>
  <c r="I80" i="10" s="1"/>
  <c r="F80" i="10"/>
  <c r="G80" i="10" s="1"/>
  <c r="D80" i="10"/>
  <c r="E80" i="10" s="1"/>
  <c r="B80" i="10"/>
  <c r="M79" i="10"/>
  <c r="L79" i="10"/>
  <c r="J79" i="10"/>
  <c r="K79" i="10" s="1"/>
  <c r="H79" i="10"/>
  <c r="I79" i="10" s="1"/>
  <c r="F79" i="10"/>
  <c r="G79" i="10" s="1"/>
  <c r="D79" i="10"/>
  <c r="E79" i="10" s="1"/>
  <c r="B79" i="10"/>
  <c r="M78" i="10"/>
  <c r="L78" i="10"/>
  <c r="K78" i="10"/>
  <c r="J78" i="10"/>
  <c r="H78" i="10"/>
  <c r="I78" i="10" s="1"/>
  <c r="F78" i="10"/>
  <c r="G78" i="10" s="1"/>
  <c r="D78" i="10"/>
  <c r="E78" i="10" s="1"/>
  <c r="B78" i="10"/>
  <c r="L77" i="10"/>
  <c r="M77" i="10" s="1"/>
  <c r="J77" i="10"/>
  <c r="K77" i="10" s="1"/>
  <c r="H77" i="10"/>
  <c r="I77" i="10" s="1"/>
  <c r="F77" i="10"/>
  <c r="G77" i="10" s="1"/>
  <c r="D77" i="10"/>
  <c r="E77" i="10" s="1"/>
  <c r="B77" i="10"/>
  <c r="L76" i="10"/>
  <c r="M76" i="10" s="1"/>
  <c r="J76" i="10"/>
  <c r="K76" i="10" s="1"/>
  <c r="H76" i="10"/>
  <c r="I76" i="10" s="1"/>
  <c r="F76" i="10"/>
  <c r="G76" i="10" s="1"/>
  <c r="D76" i="10"/>
  <c r="E76" i="10" s="1"/>
  <c r="B76" i="10"/>
  <c r="L75" i="10"/>
  <c r="M75" i="10" s="1"/>
  <c r="J75" i="10"/>
  <c r="K75" i="10" s="1"/>
  <c r="H75" i="10"/>
  <c r="I75" i="10" s="1"/>
  <c r="F75" i="10"/>
  <c r="G75" i="10" s="1"/>
  <c r="D75" i="10"/>
  <c r="E75" i="10" s="1"/>
  <c r="B75" i="10"/>
  <c r="L74" i="10"/>
  <c r="M74" i="10" s="1"/>
  <c r="J74" i="10"/>
  <c r="K74" i="10" s="1"/>
  <c r="H74" i="10"/>
  <c r="I74" i="10" s="1"/>
  <c r="F74" i="10"/>
  <c r="G74" i="10" s="1"/>
  <c r="D74" i="10"/>
  <c r="E74" i="10" s="1"/>
  <c r="B74" i="10"/>
  <c r="L73" i="10"/>
  <c r="M73" i="10" s="1"/>
  <c r="J73" i="10"/>
  <c r="K73" i="10" s="1"/>
  <c r="H73" i="10"/>
  <c r="I73" i="10" s="1"/>
  <c r="F73" i="10"/>
  <c r="G73" i="10" s="1"/>
  <c r="D73" i="10"/>
  <c r="E73" i="10" s="1"/>
  <c r="B73" i="10"/>
  <c r="L72" i="10"/>
  <c r="M72" i="10" s="1"/>
  <c r="J72" i="10"/>
  <c r="K72" i="10" s="1"/>
  <c r="H72" i="10"/>
  <c r="I72" i="10" s="1"/>
  <c r="F72" i="10"/>
  <c r="G72" i="10" s="1"/>
  <c r="D72" i="10"/>
  <c r="E72" i="10" s="1"/>
  <c r="B72" i="10"/>
  <c r="L71" i="10"/>
  <c r="M71" i="10" s="1"/>
  <c r="J71" i="10"/>
  <c r="K71" i="10" s="1"/>
  <c r="H71" i="10"/>
  <c r="I71" i="10" s="1"/>
  <c r="F71" i="10"/>
  <c r="G71" i="10" s="1"/>
  <c r="D71" i="10"/>
  <c r="E71" i="10" s="1"/>
  <c r="B71" i="10"/>
  <c r="L70" i="10"/>
  <c r="M70" i="10" s="1"/>
  <c r="K70" i="10"/>
  <c r="J70" i="10"/>
  <c r="H70" i="10"/>
  <c r="I70" i="10" s="1"/>
  <c r="F70" i="10"/>
  <c r="G70" i="10" s="1"/>
  <c r="D70" i="10"/>
  <c r="E70" i="10" s="1"/>
  <c r="B70" i="10"/>
  <c r="L69" i="10"/>
  <c r="M69" i="10" s="1"/>
  <c r="K69" i="10"/>
  <c r="J69" i="10"/>
  <c r="H69" i="10"/>
  <c r="I69" i="10" s="1"/>
  <c r="F69" i="10"/>
  <c r="G69" i="10" s="1"/>
  <c r="D69" i="10"/>
  <c r="E69" i="10" s="1"/>
  <c r="B69" i="10"/>
  <c r="L68" i="10"/>
  <c r="M68" i="10" s="1"/>
  <c r="J68" i="10"/>
  <c r="K68" i="10" s="1"/>
  <c r="H68" i="10"/>
  <c r="I68" i="10" s="1"/>
  <c r="F68" i="10"/>
  <c r="G68" i="10" s="1"/>
  <c r="D68" i="10"/>
  <c r="E68" i="10" s="1"/>
  <c r="B68" i="10"/>
  <c r="M67" i="10"/>
  <c r="L67" i="10"/>
  <c r="J67" i="10"/>
  <c r="K67" i="10" s="1"/>
  <c r="H67" i="10"/>
  <c r="I67" i="10" s="1"/>
  <c r="F67" i="10"/>
  <c r="G67" i="10" s="1"/>
  <c r="D67" i="10"/>
  <c r="E67" i="10" s="1"/>
  <c r="B67" i="10"/>
  <c r="M66" i="10"/>
  <c r="L66" i="10"/>
  <c r="K66" i="10"/>
  <c r="J66" i="10"/>
  <c r="H66" i="10"/>
  <c r="I66" i="10" s="1"/>
  <c r="F66" i="10"/>
  <c r="G66" i="10" s="1"/>
  <c r="D66" i="10"/>
  <c r="E66" i="10" s="1"/>
  <c r="B66" i="10"/>
  <c r="L65" i="10"/>
  <c r="M65" i="10" s="1"/>
  <c r="J65" i="10"/>
  <c r="K65" i="10" s="1"/>
  <c r="H65" i="10"/>
  <c r="I65" i="10" s="1"/>
  <c r="F65" i="10"/>
  <c r="G65" i="10" s="1"/>
  <c r="D65" i="10"/>
  <c r="E65" i="10" s="1"/>
  <c r="B65" i="10"/>
  <c r="L64" i="10"/>
  <c r="M64" i="10" s="1"/>
  <c r="J64" i="10"/>
  <c r="K64" i="10" s="1"/>
  <c r="H64" i="10"/>
  <c r="I64" i="10" s="1"/>
  <c r="F64" i="10"/>
  <c r="G64" i="10" s="1"/>
  <c r="D64" i="10"/>
  <c r="E64" i="10" s="1"/>
  <c r="B64" i="10"/>
  <c r="L63" i="10"/>
  <c r="M63" i="10" s="1"/>
  <c r="J63" i="10"/>
  <c r="K63" i="10" s="1"/>
  <c r="H63" i="10"/>
  <c r="I63" i="10" s="1"/>
  <c r="F63" i="10"/>
  <c r="G63" i="10" s="1"/>
  <c r="D63" i="10"/>
  <c r="E63" i="10" s="1"/>
  <c r="B63" i="10"/>
  <c r="L62" i="10"/>
  <c r="M62" i="10" s="1"/>
  <c r="J62" i="10"/>
  <c r="K62" i="10" s="1"/>
  <c r="H62" i="10"/>
  <c r="I62" i="10" s="1"/>
  <c r="F62" i="10"/>
  <c r="G62" i="10" s="1"/>
  <c r="D62" i="10"/>
  <c r="E62" i="10" s="1"/>
  <c r="B62" i="10"/>
  <c r="L61" i="10"/>
  <c r="M61" i="10" s="1"/>
  <c r="J61" i="10"/>
  <c r="K61" i="10" s="1"/>
  <c r="H61" i="10"/>
  <c r="I61" i="10" s="1"/>
  <c r="F61" i="10"/>
  <c r="G61" i="10" s="1"/>
  <c r="D61" i="10"/>
  <c r="E61" i="10" s="1"/>
  <c r="B61" i="10"/>
  <c r="L60" i="10"/>
  <c r="M60" i="10" s="1"/>
  <c r="J60" i="10"/>
  <c r="K60" i="10" s="1"/>
  <c r="H60" i="10"/>
  <c r="I60" i="10" s="1"/>
  <c r="F60" i="10"/>
  <c r="G60" i="10" s="1"/>
  <c r="D60" i="10"/>
  <c r="E60" i="10" s="1"/>
  <c r="B60" i="10"/>
  <c r="L59" i="10"/>
  <c r="M59" i="10" s="1"/>
  <c r="J59" i="10"/>
  <c r="K59" i="10" s="1"/>
  <c r="H59" i="10"/>
  <c r="I59" i="10" s="1"/>
  <c r="F59" i="10"/>
  <c r="G59" i="10" s="1"/>
  <c r="D59" i="10"/>
  <c r="E59" i="10" s="1"/>
  <c r="B59" i="10"/>
  <c r="L58" i="10"/>
  <c r="M58" i="10" s="1"/>
  <c r="K58" i="10"/>
  <c r="J58" i="10"/>
  <c r="H58" i="10"/>
  <c r="I58" i="10" s="1"/>
  <c r="F58" i="10"/>
  <c r="G58" i="10" s="1"/>
  <c r="D58" i="10"/>
  <c r="E58" i="10" s="1"/>
  <c r="B58" i="10"/>
  <c r="L57" i="10"/>
  <c r="M57" i="10" s="1"/>
  <c r="K57" i="10"/>
  <c r="J57" i="10"/>
  <c r="H57" i="10"/>
  <c r="I57" i="10" s="1"/>
  <c r="F57" i="10"/>
  <c r="G57" i="10" s="1"/>
  <c r="D57" i="10"/>
  <c r="E57" i="10" s="1"/>
  <c r="B57" i="10"/>
  <c r="L56" i="10"/>
  <c r="M56" i="10" s="1"/>
  <c r="J56" i="10"/>
  <c r="K56" i="10" s="1"/>
  <c r="H56" i="10"/>
  <c r="I56" i="10" s="1"/>
  <c r="F56" i="10"/>
  <c r="G56" i="10" s="1"/>
  <c r="D56" i="10"/>
  <c r="E56" i="10" s="1"/>
  <c r="B56" i="10"/>
  <c r="M55" i="10"/>
  <c r="L55" i="10"/>
  <c r="J55" i="10"/>
  <c r="K55" i="10" s="1"/>
  <c r="H55" i="10"/>
  <c r="I55" i="10" s="1"/>
  <c r="F55" i="10"/>
  <c r="G55" i="10" s="1"/>
  <c r="D55" i="10"/>
  <c r="E55" i="10" s="1"/>
  <c r="B55" i="10"/>
  <c r="M54" i="10"/>
  <c r="L54" i="10"/>
  <c r="K54" i="10"/>
  <c r="J54" i="10"/>
  <c r="H54" i="10"/>
  <c r="I54" i="10" s="1"/>
  <c r="F54" i="10"/>
  <c r="G54" i="10" s="1"/>
  <c r="D54" i="10"/>
  <c r="E54" i="10" s="1"/>
  <c r="B54" i="10"/>
  <c r="L53" i="10"/>
  <c r="M53" i="10" s="1"/>
  <c r="J53" i="10"/>
  <c r="K53" i="10" s="1"/>
  <c r="H53" i="10"/>
  <c r="I53" i="10" s="1"/>
  <c r="F53" i="10"/>
  <c r="G53" i="10" s="1"/>
  <c r="D53" i="10"/>
  <c r="E53" i="10" s="1"/>
  <c r="B53" i="10"/>
  <c r="L52" i="10"/>
  <c r="M52" i="10" s="1"/>
  <c r="J52" i="10"/>
  <c r="K52" i="10" s="1"/>
  <c r="H52" i="10"/>
  <c r="I52" i="10" s="1"/>
  <c r="F52" i="10"/>
  <c r="G52" i="10" s="1"/>
  <c r="D52" i="10"/>
  <c r="E52" i="10" s="1"/>
  <c r="B52" i="10"/>
  <c r="L51" i="10"/>
  <c r="M51" i="10" s="1"/>
  <c r="J51" i="10"/>
  <c r="K51" i="10" s="1"/>
  <c r="H51" i="10"/>
  <c r="I51" i="10" s="1"/>
  <c r="F51" i="10"/>
  <c r="G51" i="10" s="1"/>
  <c r="D51" i="10"/>
  <c r="E51" i="10" s="1"/>
  <c r="B51" i="10"/>
  <c r="L50" i="10"/>
  <c r="M50" i="10" s="1"/>
  <c r="J50" i="10"/>
  <c r="K50" i="10" s="1"/>
  <c r="H50" i="10"/>
  <c r="I50" i="10" s="1"/>
  <c r="F50" i="10"/>
  <c r="G50" i="10" s="1"/>
  <c r="D50" i="10"/>
  <c r="E50" i="10" s="1"/>
  <c r="B50" i="10"/>
  <c r="L49" i="10"/>
  <c r="M49" i="10" s="1"/>
  <c r="J49" i="10"/>
  <c r="K49" i="10" s="1"/>
  <c r="H49" i="10"/>
  <c r="I49" i="10" s="1"/>
  <c r="F49" i="10"/>
  <c r="G49" i="10" s="1"/>
  <c r="D49" i="10"/>
  <c r="E49" i="10" s="1"/>
  <c r="B49" i="10"/>
  <c r="L48" i="10"/>
  <c r="M48" i="10" s="1"/>
  <c r="J48" i="10"/>
  <c r="K48" i="10" s="1"/>
  <c r="H48" i="10"/>
  <c r="I48" i="10" s="1"/>
  <c r="F48" i="10"/>
  <c r="G48" i="10" s="1"/>
  <c r="D48" i="10"/>
  <c r="E48" i="10" s="1"/>
  <c r="B48" i="10"/>
  <c r="L47" i="10"/>
  <c r="M47" i="10" s="1"/>
  <c r="J47" i="10"/>
  <c r="K47" i="10" s="1"/>
  <c r="H47" i="10"/>
  <c r="I47" i="10" s="1"/>
  <c r="F47" i="10"/>
  <c r="G47" i="10" s="1"/>
  <c r="D47" i="10"/>
  <c r="E47" i="10" s="1"/>
  <c r="B47" i="10"/>
  <c r="L46" i="10"/>
  <c r="M46" i="10" s="1"/>
  <c r="K46" i="10"/>
  <c r="J46" i="10"/>
  <c r="H46" i="10"/>
  <c r="I46" i="10" s="1"/>
  <c r="F46" i="10"/>
  <c r="G46" i="10" s="1"/>
  <c r="D46" i="10"/>
  <c r="E46" i="10" s="1"/>
  <c r="B46" i="10"/>
  <c r="L45" i="10"/>
  <c r="M45" i="10" s="1"/>
  <c r="K45" i="10"/>
  <c r="J45" i="10"/>
  <c r="H45" i="10"/>
  <c r="I45" i="10" s="1"/>
  <c r="F45" i="10"/>
  <c r="G45" i="10" s="1"/>
  <c r="D45" i="10"/>
  <c r="E45" i="10" s="1"/>
  <c r="B45" i="10"/>
  <c r="L44" i="10"/>
  <c r="M44" i="10" s="1"/>
  <c r="J44" i="10"/>
  <c r="K44" i="10" s="1"/>
  <c r="H44" i="10"/>
  <c r="I44" i="10" s="1"/>
  <c r="F44" i="10"/>
  <c r="G44" i="10" s="1"/>
  <c r="D44" i="10"/>
  <c r="E44" i="10" s="1"/>
  <c r="B44" i="10"/>
  <c r="M43" i="10"/>
  <c r="L43" i="10"/>
  <c r="J43" i="10"/>
  <c r="K43" i="10" s="1"/>
  <c r="H43" i="10"/>
  <c r="I43" i="10" s="1"/>
  <c r="F43" i="10"/>
  <c r="G43" i="10" s="1"/>
  <c r="D43" i="10"/>
  <c r="E43" i="10" s="1"/>
  <c r="B43" i="10"/>
  <c r="M42" i="10"/>
  <c r="L42" i="10"/>
  <c r="K42" i="10"/>
  <c r="J42" i="10"/>
  <c r="H42" i="10"/>
  <c r="I42" i="10" s="1"/>
  <c r="F42" i="10"/>
  <c r="G42" i="10" s="1"/>
  <c r="D42" i="10"/>
  <c r="E42" i="10" s="1"/>
  <c r="B42" i="10"/>
  <c r="L41" i="10"/>
  <c r="M41" i="10" s="1"/>
  <c r="K41" i="10"/>
  <c r="J41" i="10"/>
  <c r="I41" i="10"/>
  <c r="H41" i="10"/>
  <c r="F41" i="10"/>
  <c r="G41" i="10" s="1"/>
  <c r="D41" i="10"/>
  <c r="E41" i="10" s="1"/>
  <c r="B41" i="10"/>
  <c r="L40" i="10"/>
  <c r="M40" i="10" s="1"/>
  <c r="J40" i="10"/>
  <c r="K40" i="10" s="1"/>
  <c r="H40" i="10"/>
  <c r="I40" i="10" s="1"/>
  <c r="F40" i="10"/>
  <c r="G40" i="10" s="1"/>
  <c r="D40" i="10"/>
  <c r="E40" i="10" s="1"/>
  <c r="B40" i="10"/>
  <c r="L39" i="10"/>
  <c r="M39" i="10" s="1"/>
  <c r="J39" i="10"/>
  <c r="K39" i="10" s="1"/>
  <c r="H39" i="10"/>
  <c r="I39" i="10" s="1"/>
  <c r="F39" i="10"/>
  <c r="G39" i="10" s="1"/>
  <c r="D39" i="10"/>
  <c r="E39" i="10" s="1"/>
  <c r="B39" i="10"/>
  <c r="L38" i="10"/>
  <c r="M38" i="10" s="1"/>
  <c r="J38" i="10"/>
  <c r="K38" i="10" s="1"/>
  <c r="H38" i="10"/>
  <c r="I38" i="10" s="1"/>
  <c r="F38" i="10"/>
  <c r="G38" i="10" s="1"/>
  <c r="D38" i="10"/>
  <c r="E38" i="10" s="1"/>
  <c r="B38" i="10"/>
  <c r="M37" i="10"/>
  <c r="L37" i="10"/>
  <c r="J37" i="10"/>
  <c r="K37" i="10" s="1"/>
  <c r="H37" i="10"/>
  <c r="I37" i="10" s="1"/>
  <c r="F37" i="10"/>
  <c r="G37" i="10" s="1"/>
  <c r="D37" i="10"/>
  <c r="E37" i="10" s="1"/>
  <c r="B37" i="10"/>
  <c r="L36" i="10"/>
  <c r="M36" i="10" s="1"/>
  <c r="J36" i="10"/>
  <c r="K36" i="10" s="1"/>
  <c r="H36" i="10"/>
  <c r="I36" i="10" s="1"/>
  <c r="F36" i="10"/>
  <c r="G36" i="10" s="1"/>
  <c r="D36" i="10"/>
  <c r="E36" i="10" s="1"/>
  <c r="B36" i="10"/>
  <c r="M35" i="10"/>
  <c r="L35" i="10"/>
  <c r="K35" i="10"/>
  <c r="J35" i="10"/>
  <c r="H35" i="10"/>
  <c r="I35" i="10" s="1"/>
  <c r="F35" i="10"/>
  <c r="G35" i="10" s="1"/>
  <c r="D35" i="10"/>
  <c r="E35" i="10" s="1"/>
  <c r="B35" i="10"/>
  <c r="L34" i="10"/>
  <c r="M34" i="10" s="1"/>
  <c r="J34" i="10"/>
  <c r="K34" i="10" s="1"/>
  <c r="I34" i="10"/>
  <c r="H34" i="10"/>
  <c r="F34" i="10"/>
  <c r="G34" i="10" s="1"/>
  <c r="D34" i="10"/>
  <c r="E34" i="10" s="1"/>
  <c r="B34" i="10"/>
  <c r="L33" i="10"/>
  <c r="M33" i="10" s="1"/>
  <c r="J33" i="10"/>
  <c r="K33" i="10" s="1"/>
  <c r="I33" i="10"/>
  <c r="H33" i="10"/>
  <c r="F33" i="10"/>
  <c r="G33" i="10" s="1"/>
  <c r="D33" i="10"/>
  <c r="E33" i="10" s="1"/>
  <c r="B33" i="10"/>
  <c r="L32" i="10"/>
  <c r="M32" i="10" s="1"/>
  <c r="J32" i="10"/>
  <c r="K32" i="10" s="1"/>
  <c r="H32" i="10"/>
  <c r="I32" i="10" s="1"/>
  <c r="F32" i="10"/>
  <c r="G32" i="10" s="1"/>
  <c r="D32" i="10"/>
  <c r="E32" i="10" s="1"/>
  <c r="B32" i="10"/>
  <c r="L31" i="10"/>
  <c r="M31" i="10" s="1"/>
  <c r="J31" i="10"/>
  <c r="K31" i="10" s="1"/>
  <c r="H31" i="10"/>
  <c r="I31" i="10" s="1"/>
  <c r="F31" i="10"/>
  <c r="G31" i="10" s="1"/>
  <c r="D31" i="10"/>
  <c r="E31" i="10" s="1"/>
  <c r="B31" i="10"/>
  <c r="L30" i="10"/>
  <c r="M30" i="10" s="1"/>
  <c r="J30" i="10"/>
  <c r="K30" i="10" s="1"/>
  <c r="H30" i="10"/>
  <c r="I30" i="10" s="1"/>
  <c r="F30" i="10"/>
  <c r="G30" i="10" s="1"/>
  <c r="D30" i="10"/>
  <c r="E30" i="10" s="1"/>
  <c r="B30" i="10"/>
  <c r="M29" i="10"/>
  <c r="L29" i="10"/>
  <c r="J29" i="10"/>
  <c r="K29" i="10" s="1"/>
  <c r="H29" i="10"/>
  <c r="I29" i="10" s="1"/>
  <c r="F29" i="10"/>
  <c r="G29" i="10" s="1"/>
  <c r="D29" i="10"/>
  <c r="E29" i="10" s="1"/>
  <c r="B29" i="10"/>
  <c r="L28" i="10"/>
  <c r="M28" i="10" s="1"/>
  <c r="K28" i="10"/>
  <c r="J28" i="10"/>
  <c r="I28" i="10"/>
  <c r="H28" i="10"/>
  <c r="F28" i="10"/>
  <c r="G28" i="10" s="1"/>
  <c r="D28" i="10"/>
  <c r="E28" i="10" s="1"/>
  <c r="B28" i="10"/>
  <c r="L27" i="10"/>
  <c r="M27" i="10" s="1"/>
  <c r="J27" i="10"/>
  <c r="K27" i="10" s="1"/>
  <c r="H27" i="10"/>
  <c r="I27" i="10" s="1"/>
  <c r="F27" i="10"/>
  <c r="G27" i="10" s="1"/>
  <c r="D27" i="10"/>
  <c r="E27" i="10" s="1"/>
  <c r="B27" i="10"/>
  <c r="L26" i="10"/>
  <c r="M26" i="10" s="1"/>
  <c r="J26" i="10"/>
  <c r="K26" i="10" s="1"/>
  <c r="H26" i="10"/>
  <c r="I26" i="10" s="1"/>
  <c r="F26" i="10"/>
  <c r="G26" i="10" s="1"/>
  <c r="D26" i="10"/>
  <c r="E26" i="10" s="1"/>
  <c r="B26" i="10"/>
  <c r="L25" i="10"/>
  <c r="M25" i="10" s="1"/>
  <c r="J25" i="10"/>
  <c r="K25" i="10" s="1"/>
  <c r="H25" i="10"/>
  <c r="I25" i="10" s="1"/>
  <c r="F25" i="10"/>
  <c r="G25" i="10" s="1"/>
  <c r="D25" i="10"/>
  <c r="E25" i="10" s="1"/>
  <c r="B25" i="10"/>
  <c r="L24" i="10"/>
  <c r="M24" i="10" s="1"/>
  <c r="K24" i="10"/>
  <c r="J24" i="10"/>
  <c r="H24" i="10"/>
  <c r="I24" i="10" s="1"/>
  <c r="F24" i="10"/>
  <c r="G24" i="10" s="1"/>
  <c r="D24" i="10"/>
  <c r="E24" i="10" s="1"/>
  <c r="B24" i="10"/>
  <c r="L23" i="10"/>
  <c r="M23" i="10" s="1"/>
  <c r="J23" i="10"/>
  <c r="K23" i="10" s="1"/>
  <c r="H23" i="10"/>
  <c r="I23" i="10" s="1"/>
  <c r="F23" i="10"/>
  <c r="G23" i="10" s="1"/>
  <c r="D23" i="10"/>
  <c r="E23" i="10" s="1"/>
  <c r="B23" i="10"/>
  <c r="L22" i="10"/>
  <c r="M22" i="10" s="1"/>
  <c r="J22" i="10"/>
  <c r="K22" i="10" s="1"/>
  <c r="H22" i="10"/>
  <c r="I22" i="10" s="1"/>
  <c r="F22" i="10"/>
  <c r="G22" i="10" s="1"/>
  <c r="D22" i="10"/>
  <c r="E22" i="10" s="1"/>
  <c r="B22" i="10"/>
  <c r="L21" i="10"/>
  <c r="M21" i="10" s="1"/>
  <c r="J21" i="10"/>
  <c r="K21" i="10" s="1"/>
  <c r="H21" i="10"/>
  <c r="I21" i="10" s="1"/>
  <c r="F21" i="10"/>
  <c r="G21" i="10" s="1"/>
  <c r="D21" i="10"/>
  <c r="E21" i="10" s="1"/>
  <c r="B21" i="10"/>
  <c r="L20" i="10"/>
  <c r="M20" i="10" s="1"/>
  <c r="J20" i="10"/>
  <c r="K20" i="10" s="1"/>
  <c r="H20" i="10"/>
  <c r="I20" i="10" s="1"/>
  <c r="F20" i="10"/>
  <c r="G20" i="10" s="1"/>
  <c r="D20" i="10"/>
  <c r="E20" i="10" s="1"/>
  <c r="B20" i="10"/>
  <c r="M19" i="10"/>
  <c r="L19" i="10"/>
  <c r="J19" i="10"/>
  <c r="K19" i="10" s="1"/>
  <c r="H19" i="10"/>
  <c r="I19" i="10" s="1"/>
  <c r="F19" i="10"/>
  <c r="G19" i="10" s="1"/>
  <c r="D19" i="10"/>
  <c r="E19" i="10" s="1"/>
  <c r="B19" i="10"/>
  <c r="M18" i="10"/>
  <c r="L18" i="10"/>
  <c r="K18" i="10"/>
  <c r="J18" i="10"/>
  <c r="H18" i="10"/>
  <c r="I18" i="10" s="1"/>
  <c r="F18" i="10"/>
  <c r="G18" i="10" s="1"/>
  <c r="D18" i="10"/>
  <c r="E18" i="10" s="1"/>
  <c r="B18" i="10"/>
  <c r="L17" i="10"/>
  <c r="M17" i="10" s="1"/>
  <c r="K17" i="10"/>
  <c r="J17" i="10"/>
  <c r="I17" i="10"/>
  <c r="H17" i="10"/>
  <c r="F17" i="10"/>
  <c r="G17" i="10" s="1"/>
  <c r="D17" i="10"/>
  <c r="E17" i="10" s="1"/>
  <c r="B17" i="10"/>
  <c r="L16" i="10"/>
  <c r="M16" i="10" s="1"/>
  <c r="J16" i="10"/>
  <c r="K16" i="10" s="1"/>
  <c r="H16" i="10"/>
  <c r="I16" i="10" s="1"/>
  <c r="F16" i="10"/>
  <c r="G16" i="10" s="1"/>
  <c r="D16" i="10"/>
  <c r="E16" i="10" s="1"/>
  <c r="B16" i="10"/>
  <c r="L15" i="10"/>
  <c r="M15" i="10" s="1"/>
  <c r="J15" i="10"/>
  <c r="K15" i="10" s="1"/>
  <c r="H15" i="10"/>
  <c r="I15" i="10" s="1"/>
  <c r="F15" i="10"/>
  <c r="G15" i="10" s="1"/>
  <c r="D15" i="10"/>
  <c r="E15" i="10" s="1"/>
  <c r="B15" i="10"/>
  <c r="L14" i="10"/>
  <c r="M14" i="10" s="1"/>
  <c r="J14" i="10"/>
  <c r="K14" i="10" s="1"/>
  <c r="H14" i="10"/>
  <c r="I14" i="10" s="1"/>
  <c r="F14" i="10"/>
  <c r="G14" i="10" s="1"/>
  <c r="D14" i="10"/>
  <c r="E14" i="10" s="1"/>
  <c r="B14" i="10"/>
  <c r="M13" i="10"/>
  <c r="L13" i="10"/>
  <c r="J13" i="10"/>
  <c r="K13" i="10" s="1"/>
  <c r="H13" i="10"/>
  <c r="I13" i="10" s="1"/>
  <c r="F13" i="10"/>
  <c r="G13" i="10" s="1"/>
  <c r="D13" i="10"/>
  <c r="E13" i="10" s="1"/>
  <c r="B13" i="10"/>
  <c r="L12" i="10"/>
  <c r="M12" i="10" s="1"/>
  <c r="J12" i="10"/>
  <c r="K12" i="10" s="1"/>
  <c r="H12" i="10"/>
  <c r="I12" i="10" s="1"/>
  <c r="F12" i="10"/>
  <c r="G12" i="10" s="1"/>
  <c r="D12" i="10"/>
  <c r="E12" i="10" s="1"/>
  <c r="B12" i="10"/>
  <c r="M11" i="10"/>
  <c r="L11" i="10"/>
  <c r="K11" i="10"/>
  <c r="J11" i="10"/>
  <c r="H11" i="10"/>
  <c r="I11" i="10" s="1"/>
  <c r="F11" i="10"/>
  <c r="G11" i="10" s="1"/>
  <c r="D11" i="10"/>
  <c r="E11" i="10" s="1"/>
  <c r="B11" i="10"/>
  <c r="L10" i="10"/>
  <c r="M10" i="10" s="1"/>
  <c r="J10" i="10"/>
  <c r="K10" i="10" s="1"/>
  <c r="I10" i="10"/>
  <c r="H10" i="10"/>
  <c r="F10" i="10"/>
  <c r="G10" i="10" s="1"/>
  <c r="D10" i="10"/>
  <c r="E10" i="10" s="1"/>
  <c r="B10" i="10"/>
  <c r="L9" i="10"/>
  <c r="M9" i="10" s="1"/>
  <c r="J9" i="10"/>
  <c r="K9" i="10" s="1"/>
  <c r="I9" i="10"/>
  <c r="H9" i="10"/>
  <c r="F9" i="10"/>
  <c r="G9" i="10" s="1"/>
  <c r="D9" i="10"/>
  <c r="E9" i="10" s="1"/>
  <c r="B9" i="10"/>
  <c r="L8" i="10"/>
  <c r="M8" i="10" s="1"/>
  <c r="J8" i="10"/>
  <c r="K8" i="10" s="1"/>
  <c r="H8" i="10"/>
  <c r="I8" i="10" s="1"/>
  <c r="F8" i="10"/>
  <c r="G8" i="10" s="1"/>
  <c r="D8" i="10"/>
  <c r="E8" i="10" s="1"/>
  <c r="B8" i="10"/>
  <c r="L7" i="10"/>
  <c r="M7" i="10" s="1"/>
  <c r="J7" i="10"/>
  <c r="K7" i="10" s="1"/>
  <c r="H7" i="10"/>
  <c r="I7" i="10" s="1"/>
  <c r="F7" i="10"/>
  <c r="G7" i="10" s="1"/>
  <c r="D7" i="10"/>
  <c r="E7" i="10" s="1"/>
  <c r="B7" i="10"/>
  <c r="L6" i="10"/>
  <c r="M6" i="10" s="1"/>
  <c r="J6" i="10"/>
  <c r="K6" i="10" s="1"/>
  <c r="H6" i="10"/>
  <c r="I6" i="10" s="1"/>
  <c r="F6" i="10"/>
  <c r="G6" i="10" s="1"/>
  <c r="D6" i="10"/>
  <c r="E6" i="10" s="1"/>
  <c r="B6" i="10"/>
  <c r="M5" i="10"/>
  <c r="L5" i="10"/>
  <c r="J5" i="10"/>
  <c r="K5" i="10" s="1"/>
  <c r="H5" i="10"/>
  <c r="I5" i="10" s="1"/>
  <c r="F5" i="10"/>
  <c r="G5" i="10" s="1"/>
  <c r="D5" i="10"/>
  <c r="E5" i="10" s="1"/>
  <c r="B5" i="10"/>
  <c r="L4" i="10"/>
  <c r="M4" i="10" s="1"/>
  <c r="K4" i="10"/>
  <c r="J4" i="10"/>
  <c r="I4" i="10"/>
  <c r="H4" i="10"/>
  <c r="F4" i="10"/>
  <c r="G4" i="10" s="1"/>
  <c r="D4" i="10"/>
  <c r="E4" i="10" s="1"/>
  <c r="B4" i="10"/>
  <c r="L3" i="10"/>
  <c r="M3" i="10" s="1"/>
  <c r="J3" i="10"/>
  <c r="K3" i="10" s="1"/>
  <c r="H3" i="10"/>
  <c r="I3" i="10" s="1"/>
  <c r="F3" i="10"/>
  <c r="G3" i="10" s="1"/>
  <c r="D3" i="10"/>
  <c r="E3" i="10" s="1"/>
  <c r="B3" i="10"/>
  <c r="L2" i="10"/>
  <c r="M2" i="10" s="1"/>
  <c r="J2" i="10"/>
  <c r="K2" i="10" s="1"/>
  <c r="H2" i="10"/>
  <c r="I2" i="10" s="1"/>
  <c r="F2" i="10"/>
  <c r="G2" i="10" s="1"/>
  <c r="B2" i="10"/>
  <c r="AC3" i="7" l="1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X119" i="7"/>
  <c r="X120" i="7"/>
  <c r="X121" i="7"/>
  <c r="X122" i="7"/>
  <c r="X123" i="7"/>
  <c r="X124" i="7"/>
  <c r="X125" i="7"/>
  <c r="X126" i="7"/>
  <c r="X127" i="7"/>
  <c r="X128" i="7"/>
  <c r="X129" i="7"/>
  <c r="X130" i="7"/>
  <c r="X131" i="7"/>
  <c r="X132" i="7"/>
  <c r="X133" i="7"/>
  <c r="X134" i="7"/>
  <c r="X135" i="7"/>
  <c r="X136" i="7"/>
  <c r="X137" i="7"/>
  <c r="X138" i="7"/>
  <c r="X139" i="7"/>
  <c r="X140" i="7"/>
  <c r="X141" i="7"/>
  <c r="X142" i="7"/>
  <c r="X143" i="7"/>
  <c r="X144" i="7"/>
  <c r="X145" i="7"/>
  <c r="X146" i="7"/>
  <c r="X147" i="7"/>
  <c r="X148" i="7"/>
  <c r="X149" i="7"/>
  <c r="X150" i="7"/>
  <c r="X151" i="7"/>
  <c r="X152" i="7"/>
  <c r="X153" i="7"/>
  <c r="X154" i="7"/>
  <c r="X155" i="7"/>
  <c r="X156" i="7"/>
  <c r="X157" i="7"/>
  <c r="X158" i="7"/>
  <c r="X159" i="7"/>
  <c r="X160" i="7"/>
  <c r="X161" i="7"/>
  <c r="X162" i="7"/>
  <c r="X163" i="7"/>
  <c r="X164" i="7"/>
  <c r="X165" i="7"/>
  <c r="X166" i="7"/>
  <c r="X167" i="7"/>
  <c r="X168" i="7"/>
  <c r="X169" i="7"/>
  <c r="X170" i="7"/>
  <c r="X171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AC2" i="7"/>
  <c r="X2" i="7"/>
  <c r="S2" i="7"/>
  <c r="N2" i="7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79" i="5"/>
  <c r="Z80" i="5"/>
  <c r="Z81" i="5"/>
  <c r="Z82" i="5"/>
  <c r="Z83" i="5"/>
  <c r="Z84" i="5"/>
  <c r="Z85" i="5"/>
  <c r="Z86" i="5"/>
  <c r="Z87" i="5"/>
  <c r="Z88" i="5"/>
  <c r="Z89" i="5"/>
  <c r="Z90" i="5"/>
  <c r="Z91" i="5"/>
  <c r="Z92" i="5"/>
  <c r="Z93" i="5"/>
  <c r="Z94" i="5"/>
  <c r="Z95" i="5"/>
  <c r="Z96" i="5"/>
  <c r="Z97" i="5"/>
  <c r="Z98" i="5"/>
  <c r="Z99" i="5"/>
  <c r="Z100" i="5"/>
  <c r="Z101" i="5"/>
  <c r="Z102" i="5"/>
  <c r="Z103" i="5"/>
  <c r="Z104" i="5"/>
  <c r="Z105" i="5"/>
  <c r="Z106" i="5"/>
  <c r="Z107" i="5"/>
  <c r="Z108" i="5"/>
  <c r="Z109" i="5"/>
  <c r="Z110" i="5"/>
  <c r="Z111" i="5"/>
  <c r="Z112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47" i="5"/>
  <c r="Z148" i="5"/>
  <c r="Z149" i="5"/>
  <c r="Z150" i="5"/>
  <c r="Z151" i="5"/>
  <c r="Z152" i="5"/>
  <c r="Z153" i="5"/>
  <c r="Z154" i="5"/>
  <c r="Z155" i="5"/>
  <c r="Z156" i="5"/>
  <c r="Z157" i="5"/>
  <c r="Z158" i="5"/>
  <c r="Z159" i="5"/>
  <c r="Z160" i="5"/>
  <c r="Z161" i="5"/>
  <c r="Z162" i="5"/>
  <c r="Z163" i="5"/>
  <c r="Z164" i="5"/>
  <c r="Z165" i="5"/>
  <c r="Z166" i="5"/>
  <c r="Z167" i="5"/>
  <c r="Z168" i="5"/>
  <c r="Z169" i="5"/>
  <c r="Z170" i="5"/>
  <c r="Z171" i="5"/>
  <c r="Z2" i="5"/>
  <c r="C5" i="9" l="1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H45" i="9"/>
  <c r="I45" i="9"/>
  <c r="J45" i="9"/>
  <c r="K45" i="9"/>
  <c r="L45" i="9"/>
  <c r="M45" i="9"/>
  <c r="N45" i="9"/>
  <c r="C46" i="9"/>
  <c r="D46" i="9"/>
  <c r="E46" i="9"/>
  <c r="F46" i="9"/>
  <c r="G46" i="9"/>
  <c r="H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AA4" i="5"/>
  <c r="AA5" i="5"/>
  <c r="AA6" i="5"/>
  <c r="AA7" i="5"/>
  <c r="AA8" i="5"/>
  <c r="AA9" i="5"/>
  <c r="AA10" i="5"/>
  <c r="AA11" i="5"/>
  <c r="AA12" i="5"/>
  <c r="AA13" i="5"/>
  <c r="AA14" i="5"/>
  <c r="AA15" i="5"/>
  <c r="AA16" i="5"/>
  <c r="AA17" i="5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41" i="5"/>
  <c r="AA42" i="5"/>
  <c r="AA43" i="5"/>
  <c r="AA44" i="5"/>
  <c r="AA45" i="5"/>
  <c r="AA46" i="5"/>
  <c r="AA47" i="5"/>
  <c r="AA48" i="5"/>
  <c r="AA49" i="5"/>
  <c r="AA50" i="5"/>
  <c r="AA51" i="5"/>
  <c r="AA52" i="5"/>
  <c r="AA53" i="5"/>
  <c r="AA54" i="5"/>
  <c r="AA55" i="5"/>
  <c r="AA56" i="5"/>
  <c r="AA57" i="5"/>
  <c r="AA58" i="5"/>
  <c r="AA59" i="5"/>
  <c r="AA60" i="5"/>
  <c r="AA61" i="5"/>
  <c r="AA62" i="5"/>
  <c r="AA63" i="5"/>
  <c r="AA64" i="5"/>
  <c r="AA65" i="5"/>
  <c r="AA66" i="5"/>
  <c r="AA67" i="5"/>
  <c r="AA68" i="5"/>
  <c r="AA69" i="5"/>
  <c r="AA70" i="5"/>
  <c r="AA71" i="5"/>
  <c r="AA72" i="5"/>
  <c r="AA73" i="5"/>
  <c r="AA74" i="5"/>
  <c r="AA75" i="5"/>
  <c r="AA76" i="5"/>
  <c r="AA77" i="5"/>
  <c r="AA78" i="5"/>
  <c r="AA79" i="5"/>
  <c r="AA80" i="5"/>
  <c r="AA81" i="5"/>
  <c r="AA82" i="5"/>
  <c r="AA83" i="5"/>
  <c r="AA84" i="5"/>
  <c r="AA85" i="5"/>
  <c r="AA86" i="5"/>
  <c r="AA87" i="5"/>
  <c r="AA88" i="5"/>
  <c r="AA89" i="5"/>
  <c r="AA90" i="5"/>
  <c r="AA91" i="5"/>
  <c r="AA92" i="5"/>
  <c r="AA93" i="5"/>
  <c r="AA94" i="5"/>
  <c r="AA95" i="5"/>
  <c r="AA96" i="5"/>
  <c r="AA97" i="5"/>
  <c r="AA98" i="5"/>
  <c r="AA99" i="5"/>
  <c r="AA100" i="5"/>
  <c r="AA101" i="5"/>
  <c r="AA102" i="5"/>
  <c r="AA103" i="5"/>
  <c r="AA104" i="5"/>
  <c r="AA105" i="5"/>
  <c r="AA106" i="5"/>
  <c r="AA107" i="5"/>
  <c r="AA108" i="5"/>
  <c r="AA109" i="5"/>
  <c r="AA110" i="5"/>
  <c r="AA111" i="5"/>
  <c r="AA112" i="5"/>
  <c r="AA113" i="5"/>
  <c r="AA114" i="5"/>
  <c r="AA115" i="5"/>
  <c r="AA116" i="5"/>
  <c r="AA117" i="5"/>
  <c r="AA118" i="5"/>
  <c r="AA119" i="5"/>
  <c r="AA120" i="5"/>
  <c r="AA121" i="5"/>
  <c r="AA122" i="5"/>
  <c r="AA123" i="5"/>
  <c r="AA124" i="5"/>
  <c r="AA125" i="5"/>
  <c r="AA126" i="5"/>
  <c r="AA127" i="5"/>
  <c r="AA128" i="5"/>
  <c r="AA129" i="5"/>
  <c r="AA130" i="5"/>
  <c r="AA131" i="5"/>
  <c r="AA132" i="5"/>
  <c r="AA133" i="5"/>
  <c r="AA134" i="5"/>
  <c r="AA135" i="5"/>
  <c r="AA136" i="5"/>
  <c r="AA137" i="5"/>
  <c r="AA138" i="5"/>
  <c r="AA139" i="5"/>
  <c r="AA140" i="5"/>
  <c r="AA141" i="5"/>
  <c r="AA142" i="5"/>
  <c r="AA143" i="5"/>
  <c r="AA144" i="5"/>
  <c r="AA145" i="5"/>
  <c r="AA146" i="5"/>
  <c r="AA147" i="5"/>
  <c r="AA148" i="5"/>
  <c r="AA149" i="5"/>
  <c r="AA150" i="5"/>
  <c r="AA151" i="5"/>
  <c r="AA152" i="5"/>
  <c r="AA153" i="5"/>
  <c r="AA154" i="5"/>
  <c r="AA155" i="5"/>
  <c r="AA156" i="5"/>
  <c r="AA157" i="5"/>
  <c r="AA158" i="5"/>
  <c r="AA159" i="5"/>
  <c r="AA160" i="5"/>
  <c r="AA161" i="5"/>
  <c r="AA162" i="5"/>
  <c r="AA163" i="5"/>
  <c r="AA164" i="5"/>
  <c r="AA165" i="5"/>
  <c r="AA166" i="5"/>
  <c r="AA167" i="5"/>
  <c r="AA168" i="5"/>
  <c r="AA169" i="5"/>
  <c r="AA170" i="5"/>
  <c r="AA171" i="5"/>
  <c r="AA3" i="5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C3" i="8"/>
  <c r="C4" i="8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C15" i="8" s="1"/>
  <c r="A15" i="8"/>
  <c r="B14" i="8"/>
  <c r="D14" i="8" s="1"/>
  <c r="E14" i="8" s="1"/>
  <c r="A14" i="8"/>
  <c r="B13" i="8"/>
  <c r="A13" i="8"/>
  <c r="D12" i="8"/>
  <c r="E12" i="8" s="1"/>
  <c r="B12" i="8"/>
  <c r="C12" i="8" s="1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C7" i="8" s="1"/>
  <c r="A7" i="8"/>
  <c r="B6" i="8"/>
  <c r="C6" i="8" s="1"/>
  <c r="A6" i="8"/>
  <c r="B5" i="8"/>
  <c r="C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T60" i="7" s="1"/>
  <c r="AC59" i="5"/>
  <c r="D59" i="6" s="1"/>
  <c r="AB59" i="5"/>
  <c r="D59" i="7" s="1"/>
  <c r="Y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AC45" i="5"/>
  <c r="D45" i="6" s="1"/>
  <c r="AB45" i="5"/>
  <c r="M45" i="6" s="1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O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O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Y16" i="7" s="1"/>
  <c r="AB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O8" i="7" s="1"/>
  <c r="R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AC2" i="5"/>
  <c r="D2" i="6" s="1"/>
  <c r="AB2" i="5"/>
  <c r="I2" i="6" s="1"/>
  <c r="AA2" i="5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T193" i="3" s="1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G105" i="3"/>
  <c r="F105" i="3"/>
  <c r="D105" i="3"/>
  <c r="B105" i="3"/>
  <c r="AW105" i="3" s="1"/>
  <c r="A105" i="3"/>
  <c r="G104" i="3"/>
  <c r="F104" i="3"/>
  <c r="D104" i="3"/>
  <c r="B104" i="3"/>
  <c r="A104" i="3"/>
  <c r="G103" i="3"/>
  <c r="F103" i="3"/>
  <c r="D103" i="3"/>
  <c r="B103" i="3"/>
  <c r="S103" i="3" s="1"/>
  <c r="A103" i="3"/>
  <c r="AW102" i="3"/>
  <c r="Z102" i="3"/>
  <c r="G102" i="3"/>
  <c r="F102" i="3"/>
  <c r="D102" i="3"/>
  <c r="B102" i="3"/>
  <c r="AO102" i="3" s="1"/>
  <c r="A102" i="3"/>
  <c r="G101" i="3"/>
  <c r="F101" i="3"/>
  <c r="D101" i="3"/>
  <c r="B101" i="3"/>
  <c r="AW101" i="3" s="1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G97" i="3"/>
  <c r="F97" i="3"/>
  <c r="D97" i="3"/>
  <c r="B97" i="3"/>
  <c r="Z97" i="3" s="1"/>
  <c r="A97" i="3"/>
  <c r="G96" i="3"/>
  <c r="F96" i="3"/>
  <c r="D96" i="3"/>
  <c r="B96" i="3"/>
  <c r="AR96" i="3" s="1"/>
  <c r="A96" i="3"/>
  <c r="G95" i="3"/>
  <c r="F95" i="3"/>
  <c r="D95" i="3"/>
  <c r="B95" i="3"/>
  <c r="A95" i="3"/>
  <c r="AR94" i="3"/>
  <c r="Z94" i="3"/>
  <c r="Y94" i="3"/>
  <c r="X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T90" i="3"/>
  <c r="AS90" i="3"/>
  <c r="AO90" i="3"/>
  <c r="AM90" i="3"/>
  <c r="U90" i="3"/>
  <c r="T90" i="3"/>
  <c r="Q90" i="3"/>
  <c r="O90" i="3"/>
  <c r="G90" i="3"/>
  <c r="F90" i="3"/>
  <c r="D90" i="3"/>
  <c r="B90" i="3"/>
  <c r="AJ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T88" i="3" s="1"/>
  <c r="A88" i="3"/>
  <c r="G87" i="3"/>
  <c r="F87" i="3"/>
  <c r="D87" i="3"/>
  <c r="B87" i="3"/>
  <c r="AX87" i="3" s="1"/>
  <c r="A87" i="3"/>
  <c r="G86" i="3"/>
  <c r="F86" i="3"/>
  <c r="D86" i="3"/>
  <c r="B86" i="3"/>
  <c r="X86" i="3" s="1"/>
  <c r="A86" i="3"/>
  <c r="AA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A84" i="3"/>
  <c r="Z84" i="3"/>
  <c r="Q84" i="3"/>
  <c r="O84" i="3"/>
  <c r="N84" i="3"/>
  <c r="M84" i="3"/>
  <c r="L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G82" i="3"/>
  <c r="F82" i="3"/>
  <c r="D82" i="3"/>
  <c r="B82" i="3"/>
  <c r="AP82" i="3" s="1"/>
  <c r="A82" i="3"/>
  <c r="AX81" i="3"/>
  <c r="AW81" i="3"/>
  <c r="AC81" i="3"/>
  <c r="S81" i="3"/>
  <c r="Q81" i="3"/>
  <c r="P81" i="3"/>
  <c r="O81" i="3"/>
  <c r="N81" i="3"/>
  <c r="M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AM78" i="3"/>
  <c r="AJ78" i="3"/>
  <c r="G78" i="3"/>
  <c r="F78" i="3"/>
  <c r="D78" i="3"/>
  <c r="B78" i="3"/>
  <c r="AI78" i="3" s="1"/>
  <c r="A78" i="3"/>
  <c r="BT77" i="3"/>
  <c r="AE77" i="3"/>
  <c r="AD77" i="3"/>
  <c r="Z77" i="3"/>
  <c r="Y77" i="3"/>
  <c r="R77" i="3"/>
  <c r="Q77" i="3"/>
  <c r="P77" i="3"/>
  <c r="O77" i="3"/>
  <c r="G77" i="3"/>
  <c r="F77" i="3"/>
  <c r="D77" i="3"/>
  <c r="BR77" i="3" s="1"/>
  <c r="B77" i="3"/>
  <c r="A77" i="3"/>
  <c r="G76" i="3"/>
  <c r="F76" i="3"/>
  <c r="D76" i="3"/>
  <c r="B76" i="3"/>
  <c r="Y76" i="3" s="1"/>
  <c r="A76" i="3"/>
  <c r="AN75" i="3"/>
  <c r="G75" i="3"/>
  <c r="F75" i="3"/>
  <c r="D75" i="3"/>
  <c r="B75" i="3"/>
  <c r="AX75" i="3" s="1"/>
  <c r="A75" i="3"/>
  <c r="G74" i="3"/>
  <c r="F74" i="3"/>
  <c r="D74" i="3"/>
  <c r="B74" i="3"/>
  <c r="A74" i="3"/>
  <c r="G73" i="3"/>
  <c r="F73" i="3"/>
  <c r="D73" i="3"/>
  <c r="B73" i="3"/>
  <c r="AA73" i="3" s="1"/>
  <c r="A73" i="3"/>
  <c r="AV72" i="3"/>
  <c r="G72" i="3"/>
  <c r="F72" i="3"/>
  <c r="D72" i="3"/>
  <c r="BR72" i="3" s="1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AT30" i="3" s="1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S4" i="3" s="1"/>
  <c r="A4" i="3"/>
  <c r="G3" i="3"/>
  <c r="F3" i="3"/>
  <c r="D3" i="3"/>
  <c r="B3" i="3"/>
  <c r="A3" i="3"/>
  <c r="AK2" i="3"/>
  <c r="U2" i="3"/>
  <c r="T2" i="3"/>
  <c r="G2" i="3"/>
  <c r="F2" i="3"/>
  <c r="D2" i="3"/>
  <c r="B2" i="3"/>
  <c r="AE2" i="3" s="1"/>
  <c r="A2" i="3"/>
  <c r="BT1" i="3"/>
  <c r="BT137" i="3" s="1"/>
  <c r="BR1" i="3"/>
  <c r="BP1" i="3"/>
  <c r="BN1" i="3"/>
  <c r="G1" i="3"/>
  <c r="F1" i="3"/>
  <c r="C1" i="3"/>
  <c r="B1" i="3"/>
  <c r="A1" i="3"/>
  <c r="F2" i="6" l="1"/>
  <c r="M137" i="6"/>
  <c r="AC72" i="3"/>
  <c r="AE102" i="3"/>
  <c r="P111" i="3"/>
  <c r="AB111" i="3"/>
  <c r="AN111" i="3"/>
  <c r="Q111" i="3"/>
  <c r="AC111" i="3"/>
  <c r="AO111" i="3"/>
  <c r="M111" i="3"/>
  <c r="AA111" i="3"/>
  <c r="AQ111" i="3"/>
  <c r="N111" i="3"/>
  <c r="AD111" i="3"/>
  <c r="AR111" i="3"/>
  <c r="O111" i="3"/>
  <c r="AE111" i="3"/>
  <c r="AS111" i="3"/>
  <c r="X111" i="3"/>
  <c r="AT111" i="3"/>
  <c r="W111" i="3"/>
  <c r="AU111" i="3"/>
  <c r="Y111" i="3"/>
  <c r="AV111" i="3"/>
  <c r="S111" i="3"/>
  <c r="AM111" i="3"/>
  <c r="T111" i="3"/>
  <c r="AP111" i="3"/>
  <c r="U111" i="3"/>
  <c r="AW111" i="3"/>
  <c r="V111" i="3"/>
  <c r="AX111" i="3"/>
  <c r="K111" i="3"/>
  <c r="L111" i="3"/>
  <c r="R111" i="3"/>
  <c r="AK111" i="3"/>
  <c r="AL111" i="3"/>
  <c r="Z111" i="3"/>
  <c r="AG111" i="3"/>
  <c r="AI111" i="3"/>
  <c r="AF111" i="3"/>
  <c r="AH111" i="3"/>
  <c r="AJ111" i="3"/>
  <c r="Q135" i="3"/>
  <c r="AC135" i="3"/>
  <c r="R135" i="3"/>
  <c r="AD135" i="3"/>
  <c r="AP135" i="3"/>
  <c r="S135" i="3"/>
  <c r="AE135" i="3"/>
  <c r="AQ135" i="3"/>
  <c r="N135" i="3"/>
  <c r="AF135" i="3"/>
  <c r="AT135" i="3"/>
  <c r="T135" i="3"/>
  <c r="AJ135" i="3"/>
  <c r="U135" i="3"/>
  <c r="AK135" i="3"/>
  <c r="AB135" i="3"/>
  <c r="AW135" i="3"/>
  <c r="K135" i="3"/>
  <c r="AG135" i="3"/>
  <c r="AX135" i="3"/>
  <c r="L135" i="3"/>
  <c r="AH135" i="3"/>
  <c r="O135" i="3"/>
  <c r="AO135" i="3"/>
  <c r="P135" i="3"/>
  <c r="AR135" i="3"/>
  <c r="V135" i="3"/>
  <c r="AS135" i="3"/>
  <c r="M135" i="3"/>
  <c r="W135" i="3"/>
  <c r="X135" i="3"/>
  <c r="Y135" i="3"/>
  <c r="Z135" i="3"/>
  <c r="AA135" i="3"/>
  <c r="AI135" i="3"/>
  <c r="AU135" i="3"/>
  <c r="AV135" i="3"/>
  <c r="AL135" i="3"/>
  <c r="AM135" i="3"/>
  <c r="AN135" i="3"/>
  <c r="AV2" i="3"/>
  <c r="X96" i="3"/>
  <c r="AI102" i="3"/>
  <c r="K2" i="3"/>
  <c r="N72" i="3"/>
  <c r="AJ72" i="3"/>
  <c r="N75" i="3"/>
  <c r="AG81" i="3"/>
  <c r="U82" i="3"/>
  <c r="AC84" i="3"/>
  <c r="AJ86" i="3"/>
  <c r="AE90" i="3"/>
  <c r="Z96" i="3"/>
  <c r="AA97" i="3"/>
  <c r="M102" i="3"/>
  <c r="T103" i="3"/>
  <c r="T107" i="3"/>
  <c r="AF107" i="3"/>
  <c r="AR107" i="3"/>
  <c r="U107" i="3"/>
  <c r="AG107" i="3"/>
  <c r="AS107" i="3"/>
  <c r="O107" i="3"/>
  <c r="AC107" i="3"/>
  <c r="AQ107" i="3"/>
  <c r="P107" i="3"/>
  <c r="AD107" i="3"/>
  <c r="AT107" i="3"/>
  <c r="Q107" i="3"/>
  <c r="AE107" i="3"/>
  <c r="AU107" i="3"/>
  <c r="L107" i="3"/>
  <c r="AH107" i="3"/>
  <c r="R107" i="3"/>
  <c r="AL107" i="3"/>
  <c r="S107" i="3"/>
  <c r="AM107" i="3"/>
  <c r="Z107" i="3"/>
  <c r="AA107" i="3"/>
  <c r="AB107" i="3"/>
  <c r="AI107" i="3"/>
  <c r="V107" i="3"/>
  <c r="W107" i="3"/>
  <c r="X107" i="3"/>
  <c r="AO107" i="3"/>
  <c r="AW107" i="3"/>
  <c r="AX107" i="3"/>
  <c r="AP107" i="3"/>
  <c r="AV107" i="3"/>
  <c r="K107" i="3"/>
  <c r="M107" i="3"/>
  <c r="N107" i="3"/>
  <c r="AN107" i="3"/>
  <c r="Y107" i="3"/>
  <c r="AJ107" i="3"/>
  <c r="AK107" i="3"/>
  <c r="T119" i="3"/>
  <c r="AF119" i="3"/>
  <c r="AR119" i="3"/>
  <c r="U119" i="3"/>
  <c r="AG119" i="3"/>
  <c r="AS119" i="3"/>
  <c r="K119" i="3"/>
  <c r="Y119" i="3"/>
  <c r="AM119" i="3"/>
  <c r="L119" i="3"/>
  <c r="Z119" i="3"/>
  <c r="AN119" i="3"/>
  <c r="M119" i="3"/>
  <c r="AA119" i="3"/>
  <c r="AO119" i="3"/>
  <c r="N119" i="3"/>
  <c r="AE119" i="3"/>
  <c r="AX119" i="3"/>
  <c r="R119" i="3"/>
  <c r="AL119" i="3"/>
  <c r="S119" i="3"/>
  <c r="AP119" i="3"/>
  <c r="X119" i="3"/>
  <c r="AW119" i="3"/>
  <c r="AB119" i="3"/>
  <c r="AC119" i="3"/>
  <c r="O119" i="3"/>
  <c r="AU119" i="3"/>
  <c r="P119" i="3"/>
  <c r="AV119" i="3"/>
  <c r="Q119" i="3"/>
  <c r="V119" i="3"/>
  <c r="AD119" i="3"/>
  <c r="AH119" i="3"/>
  <c r="AJ119" i="3"/>
  <c r="W119" i="3"/>
  <c r="AI119" i="3"/>
  <c r="AK119" i="3"/>
  <c r="AT119" i="3"/>
  <c r="AQ119" i="3"/>
  <c r="T131" i="3"/>
  <c r="U131" i="3"/>
  <c r="S131" i="3"/>
  <c r="AG131" i="3"/>
  <c r="AS131" i="3"/>
  <c r="V131" i="3"/>
  <c r="AH131" i="3"/>
  <c r="AT131" i="3"/>
  <c r="W131" i="3"/>
  <c r="AI131" i="3"/>
  <c r="AU131" i="3"/>
  <c r="M131" i="3"/>
  <c r="AD131" i="3"/>
  <c r="AV131" i="3"/>
  <c r="R131" i="3"/>
  <c r="AM131" i="3"/>
  <c r="X131" i="3"/>
  <c r="AN131" i="3"/>
  <c r="Y131" i="3"/>
  <c r="AQ131" i="3"/>
  <c r="Z131" i="3"/>
  <c r="AR131" i="3"/>
  <c r="AA131" i="3"/>
  <c r="AW131" i="3"/>
  <c r="AJ131" i="3"/>
  <c r="AK131" i="3"/>
  <c r="K131" i="3"/>
  <c r="AL131" i="3"/>
  <c r="AB131" i="3"/>
  <c r="AC131" i="3"/>
  <c r="AE131" i="3"/>
  <c r="AF131" i="3"/>
  <c r="AO131" i="3"/>
  <c r="AP131" i="3"/>
  <c r="AX131" i="3"/>
  <c r="L131" i="3"/>
  <c r="O131" i="3"/>
  <c r="Q131" i="3"/>
  <c r="N131" i="3"/>
  <c r="P131" i="3"/>
  <c r="R143" i="3"/>
  <c r="AD143" i="3"/>
  <c r="AP143" i="3"/>
  <c r="W143" i="3"/>
  <c r="AJ143" i="3"/>
  <c r="AW143" i="3"/>
  <c r="K143" i="3"/>
  <c r="X143" i="3"/>
  <c r="AK143" i="3"/>
  <c r="AX143" i="3"/>
  <c r="P143" i="3"/>
  <c r="AF143" i="3"/>
  <c r="AU143" i="3"/>
  <c r="Q143" i="3"/>
  <c r="AG143" i="3"/>
  <c r="AV143" i="3"/>
  <c r="S143" i="3"/>
  <c r="AH143" i="3"/>
  <c r="U143" i="3"/>
  <c r="AO143" i="3"/>
  <c r="V143" i="3"/>
  <c r="AQ143" i="3"/>
  <c r="Y143" i="3"/>
  <c r="AR143" i="3"/>
  <c r="M143" i="3"/>
  <c r="AN143" i="3"/>
  <c r="N143" i="3"/>
  <c r="AS143" i="3"/>
  <c r="T143" i="3"/>
  <c r="Z143" i="3"/>
  <c r="AA143" i="3"/>
  <c r="AB143" i="3"/>
  <c r="O143" i="3"/>
  <c r="AT143" i="3"/>
  <c r="L143" i="3"/>
  <c r="AC143" i="3"/>
  <c r="AL143" i="3"/>
  <c r="AE143" i="3"/>
  <c r="AI143" i="3"/>
  <c r="AM143" i="3"/>
  <c r="R155" i="3"/>
  <c r="AD155" i="3"/>
  <c r="AP155" i="3"/>
  <c r="N155" i="3"/>
  <c r="AA155" i="3"/>
  <c r="AN155" i="3"/>
  <c r="T155" i="3"/>
  <c r="AH155" i="3"/>
  <c r="AV155" i="3"/>
  <c r="U155" i="3"/>
  <c r="AI155" i="3"/>
  <c r="AW155" i="3"/>
  <c r="V155" i="3"/>
  <c r="AJ155" i="3"/>
  <c r="AX155" i="3"/>
  <c r="AB155" i="3"/>
  <c r="AT155" i="3"/>
  <c r="K155" i="3"/>
  <c r="AC155" i="3"/>
  <c r="AU155" i="3"/>
  <c r="L155" i="3"/>
  <c r="AE155" i="3"/>
  <c r="Z155" i="3"/>
  <c r="AF155" i="3"/>
  <c r="M155" i="3"/>
  <c r="O155" i="3"/>
  <c r="P155" i="3"/>
  <c r="AG155" i="3"/>
  <c r="AK155" i="3"/>
  <c r="AL155" i="3"/>
  <c r="AM155" i="3"/>
  <c r="AO155" i="3"/>
  <c r="AQ155" i="3"/>
  <c r="AR155" i="3"/>
  <c r="Q155" i="3"/>
  <c r="W155" i="3"/>
  <c r="Y155" i="3"/>
  <c r="AS155" i="3"/>
  <c r="S155" i="3"/>
  <c r="X155" i="3"/>
  <c r="R167" i="3"/>
  <c r="AD167" i="3"/>
  <c r="S167" i="3"/>
  <c r="AF167" i="3"/>
  <c r="AR167" i="3"/>
  <c r="K167" i="3"/>
  <c r="Y167" i="3"/>
  <c r="AM167" i="3"/>
  <c r="L167" i="3"/>
  <c r="Z167" i="3"/>
  <c r="AN167" i="3"/>
  <c r="M167" i="3"/>
  <c r="AA167" i="3"/>
  <c r="AO167" i="3"/>
  <c r="W167" i="3"/>
  <c r="AQ167" i="3"/>
  <c r="X167" i="3"/>
  <c r="AS167" i="3"/>
  <c r="AB167" i="3"/>
  <c r="AT167" i="3"/>
  <c r="AG167" i="3"/>
  <c r="AH167" i="3"/>
  <c r="AJ167" i="3"/>
  <c r="AK167" i="3"/>
  <c r="AL167" i="3"/>
  <c r="AI167" i="3"/>
  <c r="N167" i="3"/>
  <c r="O167" i="3"/>
  <c r="P167" i="3"/>
  <c r="AC167" i="3"/>
  <c r="AE167" i="3"/>
  <c r="AV167" i="3"/>
  <c r="AX167" i="3"/>
  <c r="T167" i="3"/>
  <c r="V167" i="3"/>
  <c r="AP167" i="3"/>
  <c r="AU167" i="3"/>
  <c r="AW167" i="3"/>
  <c r="Q167" i="3"/>
  <c r="U167" i="3"/>
  <c r="T179" i="3"/>
  <c r="AF179" i="3"/>
  <c r="AR179" i="3"/>
  <c r="Q179" i="3"/>
  <c r="AD179" i="3"/>
  <c r="AQ179" i="3"/>
  <c r="R179" i="3"/>
  <c r="AE179" i="3"/>
  <c r="AS179" i="3"/>
  <c r="S179" i="3"/>
  <c r="AG179" i="3"/>
  <c r="AT179" i="3"/>
  <c r="O179" i="3"/>
  <c r="AI179" i="3"/>
  <c r="P179" i="3"/>
  <c r="AJ179" i="3"/>
  <c r="U179" i="3"/>
  <c r="AK179" i="3"/>
  <c r="N179" i="3"/>
  <c r="AN179" i="3"/>
  <c r="V179" i="3"/>
  <c r="AO179" i="3"/>
  <c r="X179" i="3"/>
  <c r="Y179" i="3"/>
  <c r="Z179" i="3"/>
  <c r="W179" i="3"/>
  <c r="AP179" i="3"/>
  <c r="AU179" i="3"/>
  <c r="AV179" i="3"/>
  <c r="AW179" i="3"/>
  <c r="L179" i="3"/>
  <c r="M179" i="3"/>
  <c r="AC179" i="3"/>
  <c r="AL179" i="3"/>
  <c r="AX179" i="3"/>
  <c r="K179" i="3"/>
  <c r="AA179" i="3"/>
  <c r="AB179" i="3"/>
  <c r="AH179" i="3"/>
  <c r="AM179" i="3"/>
  <c r="P186" i="3"/>
  <c r="AB186" i="3"/>
  <c r="AN186" i="3"/>
  <c r="L186" i="3"/>
  <c r="Y186" i="3"/>
  <c r="AL186" i="3"/>
  <c r="M186" i="3"/>
  <c r="Z186" i="3"/>
  <c r="AM186" i="3"/>
  <c r="N186" i="3"/>
  <c r="AA186" i="3"/>
  <c r="AO186" i="3"/>
  <c r="Q186" i="3"/>
  <c r="AG186" i="3"/>
  <c r="AW186" i="3"/>
  <c r="AH186" i="3"/>
  <c r="R186" i="3"/>
  <c r="AX186" i="3"/>
  <c r="S186" i="3"/>
  <c r="AI186" i="3"/>
  <c r="O186" i="3"/>
  <c r="AP186" i="3"/>
  <c r="T186" i="3"/>
  <c r="AQ186" i="3"/>
  <c r="V186" i="3"/>
  <c r="W186" i="3"/>
  <c r="X186" i="3"/>
  <c r="U186" i="3"/>
  <c r="AR186" i="3"/>
  <c r="AS186" i="3"/>
  <c r="AT186" i="3"/>
  <c r="AU186" i="3"/>
  <c r="K186" i="3"/>
  <c r="AC186" i="3"/>
  <c r="AE186" i="3"/>
  <c r="AJ186" i="3"/>
  <c r="AV186" i="3"/>
  <c r="AD186" i="3"/>
  <c r="AF186" i="3"/>
  <c r="AK186" i="3"/>
  <c r="L2" i="3"/>
  <c r="BR3" i="3"/>
  <c r="AB34" i="3"/>
  <c r="O72" i="3"/>
  <c r="AM72" i="3"/>
  <c r="O75" i="3"/>
  <c r="AK77" i="3"/>
  <c r="AU77" i="3"/>
  <c r="T78" i="3"/>
  <c r="AI81" i="3"/>
  <c r="V82" i="3"/>
  <c r="AE84" i="3"/>
  <c r="K90" i="3"/>
  <c r="AF90" i="3"/>
  <c r="S94" i="3"/>
  <c r="AA96" i="3"/>
  <c r="N102" i="3"/>
  <c r="AM102" i="3"/>
  <c r="U103" i="3"/>
  <c r="L112" i="3"/>
  <c r="X112" i="3"/>
  <c r="AJ112" i="3"/>
  <c r="AV112" i="3"/>
  <c r="M112" i="3"/>
  <c r="Y112" i="3"/>
  <c r="AK112" i="3"/>
  <c r="AW112" i="3"/>
  <c r="Q112" i="3"/>
  <c r="AE112" i="3"/>
  <c r="AS112" i="3"/>
  <c r="R112" i="3"/>
  <c r="AF112" i="3"/>
  <c r="AT112" i="3"/>
  <c r="S112" i="3"/>
  <c r="AG112" i="3"/>
  <c r="AU112" i="3"/>
  <c r="W112" i="3"/>
  <c r="AP112" i="3"/>
  <c r="AA112" i="3"/>
  <c r="AX112" i="3"/>
  <c r="AB112" i="3"/>
  <c r="AC112" i="3"/>
  <c r="AD112" i="3"/>
  <c r="AH112" i="3"/>
  <c r="AI112" i="3"/>
  <c r="K112" i="3"/>
  <c r="AQ112" i="3"/>
  <c r="N112" i="3"/>
  <c r="AR112" i="3"/>
  <c r="O112" i="3"/>
  <c r="P112" i="3"/>
  <c r="U112" i="3"/>
  <c r="V112" i="3"/>
  <c r="AL112" i="3"/>
  <c r="T112" i="3"/>
  <c r="Z112" i="3"/>
  <c r="AM112" i="3"/>
  <c r="AN112" i="3"/>
  <c r="AO112" i="3"/>
  <c r="L124" i="3"/>
  <c r="X124" i="3"/>
  <c r="AJ124" i="3"/>
  <c r="AV124" i="3"/>
  <c r="M124" i="3"/>
  <c r="Y124" i="3"/>
  <c r="AK124" i="3"/>
  <c r="AW124" i="3"/>
  <c r="K124" i="3"/>
  <c r="AA124" i="3"/>
  <c r="AO124" i="3"/>
  <c r="N124" i="3"/>
  <c r="AB124" i="3"/>
  <c r="AP124" i="3"/>
  <c r="O124" i="3"/>
  <c r="AC124" i="3"/>
  <c r="AQ124" i="3"/>
  <c r="V124" i="3"/>
  <c r="AR124" i="3"/>
  <c r="AD124" i="3"/>
  <c r="AX124" i="3"/>
  <c r="AE124" i="3"/>
  <c r="W124" i="3"/>
  <c r="Z124" i="3"/>
  <c r="AF124" i="3"/>
  <c r="Q124" i="3"/>
  <c r="AT124" i="3"/>
  <c r="R124" i="3"/>
  <c r="AU124" i="3"/>
  <c r="S124" i="3"/>
  <c r="AL124" i="3"/>
  <c r="AM124" i="3"/>
  <c r="P124" i="3"/>
  <c r="AN124" i="3"/>
  <c r="AS124" i="3"/>
  <c r="U124" i="3"/>
  <c r="AI124" i="3"/>
  <c r="AG124" i="3"/>
  <c r="AH124" i="3"/>
  <c r="T124" i="3"/>
  <c r="N136" i="3"/>
  <c r="Z136" i="3"/>
  <c r="O136" i="3"/>
  <c r="AA136" i="3"/>
  <c r="T136" i="3"/>
  <c r="AH136" i="3"/>
  <c r="AT136" i="3"/>
  <c r="K136" i="3"/>
  <c r="AB136" i="3"/>
  <c r="AO136" i="3"/>
  <c r="L136" i="3"/>
  <c r="AC136" i="3"/>
  <c r="AP136" i="3"/>
  <c r="AD136" i="3"/>
  <c r="AS136" i="3"/>
  <c r="AE136" i="3"/>
  <c r="AU136" i="3"/>
  <c r="M136" i="3"/>
  <c r="AF136" i="3"/>
  <c r="AV136" i="3"/>
  <c r="X136" i="3"/>
  <c r="AX136" i="3"/>
  <c r="Y136" i="3"/>
  <c r="AG136" i="3"/>
  <c r="P136" i="3"/>
  <c r="AN136" i="3"/>
  <c r="Q136" i="3"/>
  <c r="AQ136" i="3"/>
  <c r="S136" i="3"/>
  <c r="U136" i="3"/>
  <c r="V136" i="3"/>
  <c r="W136" i="3"/>
  <c r="R136" i="3"/>
  <c r="AR136" i="3"/>
  <c r="AW136" i="3"/>
  <c r="AJ136" i="3"/>
  <c r="AI136" i="3"/>
  <c r="AK136" i="3"/>
  <c r="AL136" i="3"/>
  <c r="AM136" i="3"/>
  <c r="V148" i="3"/>
  <c r="AH148" i="3"/>
  <c r="AT148" i="3"/>
  <c r="S148" i="3"/>
  <c r="AF148" i="3"/>
  <c r="AS148" i="3"/>
  <c r="N148" i="3"/>
  <c r="AB148" i="3"/>
  <c r="AP148" i="3"/>
  <c r="O148" i="3"/>
  <c r="AC148" i="3"/>
  <c r="AQ148" i="3"/>
  <c r="P148" i="3"/>
  <c r="AD148" i="3"/>
  <c r="AR148" i="3"/>
  <c r="W148" i="3"/>
  <c r="AN148" i="3"/>
  <c r="AO148" i="3"/>
  <c r="X148" i="3"/>
  <c r="Y148" i="3"/>
  <c r="AU148" i="3"/>
  <c r="AE148" i="3"/>
  <c r="AG148" i="3"/>
  <c r="AJ148" i="3"/>
  <c r="AK148" i="3"/>
  <c r="AL148" i="3"/>
  <c r="AM148" i="3"/>
  <c r="AI148" i="3"/>
  <c r="K148" i="3"/>
  <c r="L148" i="3"/>
  <c r="M148" i="3"/>
  <c r="Q148" i="3"/>
  <c r="R148" i="3"/>
  <c r="T148" i="3"/>
  <c r="Z148" i="3"/>
  <c r="AV148" i="3"/>
  <c r="AX148" i="3"/>
  <c r="U148" i="3"/>
  <c r="AA148" i="3"/>
  <c r="AW148" i="3"/>
  <c r="V160" i="3"/>
  <c r="AH160" i="3"/>
  <c r="AT160" i="3"/>
  <c r="K160" i="3"/>
  <c r="X160" i="3"/>
  <c r="AK160" i="3"/>
  <c r="AX160" i="3"/>
  <c r="S160" i="3"/>
  <c r="AG160" i="3"/>
  <c r="AV160" i="3"/>
  <c r="T160" i="3"/>
  <c r="AI160" i="3"/>
  <c r="AW160" i="3"/>
  <c r="U160" i="3"/>
  <c r="AJ160" i="3"/>
  <c r="Q160" i="3"/>
  <c r="AM160" i="3"/>
  <c r="R160" i="3"/>
  <c r="AN160" i="3"/>
  <c r="W160" i="3"/>
  <c r="AO160" i="3"/>
  <c r="AD160" i="3"/>
  <c r="AE160" i="3"/>
  <c r="M160" i="3"/>
  <c r="N160" i="3"/>
  <c r="O160" i="3"/>
  <c r="P160" i="3"/>
  <c r="L160" i="3"/>
  <c r="AF160" i="3"/>
  <c r="AL160" i="3"/>
  <c r="AP160" i="3"/>
  <c r="AQ160" i="3"/>
  <c r="AR160" i="3"/>
  <c r="Z160" i="3"/>
  <c r="AA160" i="3"/>
  <c r="AC160" i="3"/>
  <c r="AU160" i="3"/>
  <c r="AB160" i="3"/>
  <c r="AS160" i="3"/>
  <c r="Y160" i="3"/>
  <c r="L172" i="3"/>
  <c r="X172" i="3"/>
  <c r="AJ172" i="3"/>
  <c r="AV172" i="3"/>
  <c r="V172" i="3"/>
  <c r="AI172" i="3"/>
  <c r="AW172" i="3"/>
  <c r="W172" i="3"/>
  <c r="AK172" i="3"/>
  <c r="AX172" i="3"/>
  <c r="K172" i="3"/>
  <c r="Y172" i="3"/>
  <c r="AL172" i="3"/>
  <c r="Q172" i="3"/>
  <c r="AG172" i="3"/>
  <c r="R172" i="3"/>
  <c r="AH172" i="3"/>
  <c r="S172" i="3"/>
  <c r="AM172" i="3"/>
  <c r="P172" i="3"/>
  <c r="AP172" i="3"/>
  <c r="T172" i="3"/>
  <c r="AQ172" i="3"/>
  <c r="Z172" i="3"/>
  <c r="AA172" i="3"/>
  <c r="AB172" i="3"/>
  <c r="U172" i="3"/>
  <c r="AR172" i="3"/>
  <c r="AS172" i="3"/>
  <c r="AT172" i="3"/>
  <c r="AU172" i="3"/>
  <c r="N172" i="3"/>
  <c r="O172" i="3"/>
  <c r="AE172" i="3"/>
  <c r="AN172" i="3"/>
  <c r="M172" i="3"/>
  <c r="AC172" i="3"/>
  <c r="AD172" i="3"/>
  <c r="AF172" i="3"/>
  <c r="AO172" i="3"/>
  <c r="T191" i="3"/>
  <c r="AF191" i="3"/>
  <c r="AR191" i="3"/>
  <c r="V191" i="3"/>
  <c r="AI191" i="3"/>
  <c r="AV191" i="3"/>
  <c r="W191" i="3"/>
  <c r="AJ191" i="3"/>
  <c r="AW191" i="3"/>
  <c r="K191" i="3"/>
  <c r="X191" i="3"/>
  <c r="AK191" i="3"/>
  <c r="AX191" i="3"/>
  <c r="Z191" i="3"/>
  <c r="AP191" i="3"/>
  <c r="AQ191" i="3"/>
  <c r="AA191" i="3"/>
  <c r="L191" i="3"/>
  <c r="AB191" i="3"/>
  <c r="AS191" i="3"/>
  <c r="Y191" i="3"/>
  <c r="AC191" i="3"/>
  <c r="M191" i="3"/>
  <c r="N191" i="3"/>
  <c r="AD191" i="3"/>
  <c r="AE191" i="3"/>
  <c r="AG191" i="3"/>
  <c r="AH191" i="3"/>
  <c r="AT191" i="3"/>
  <c r="AU191" i="3"/>
  <c r="O191" i="3"/>
  <c r="Q191" i="3"/>
  <c r="S191" i="3"/>
  <c r="AL191" i="3"/>
  <c r="AN191" i="3"/>
  <c r="P191" i="3"/>
  <c r="R191" i="3"/>
  <c r="U191" i="3"/>
  <c r="AM191" i="3"/>
  <c r="AO191" i="3"/>
  <c r="AK54" i="3"/>
  <c r="N156" i="3"/>
  <c r="Z156" i="3"/>
  <c r="AL156" i="3"/>
  <c r="AX156" i="3"/>
  <c r="M156" i="3"/>
  <c r="AA156" i="3"/>
  <c r="AN156" i="3"/>
  <c r="V156" i="3"/>
  <c r="AJ156" i="3"/>
  <c r="W156" i="3"/>
  <c r="AK156" i="3"/>
  <c r="X156" i="3"/>
  <c r="AM156" i="3"/>
  <c r="AB156" i="3"/>
  <c r="AS156" i="3"/>
  <c r="AC156" i="3"/>
  <c r="AT156" i="3"/>
  <c r="K156" i="3"/>
  <c r="AD156" i="3"/>
  <c r="AU156" i="3"/>
  <c r="P156" i="3"/>
  <c r="AO156" i="3"/>
  <c r="Q156" i="3"/>
  <c r="AP156" i="3"/>
  <c r="S156" i="3"/>
  <c r="T156" i="3"/>
  <c r="U156" i="3"/>
  <c r="Y156" i="3"/>
  <c r="R156" i="3"/>
  <c r="AQ156" i="3"/>
  <c r="AR156" i="3"/>
  <c r="AV156" i="3"/>
  <c r="AW156" i="3"/>
  <c r="O156" i="3"/>
  <c r="AF156" i="3"/>
  <c r="AH156" i="3"/>
  <c r="L156" i="3"/>
  <c r="AE156" i="3"/>
  <c r="AG156" i="3"/>
  <c r="AI156" i="3"/>
  <c r="BT181" i="3"/>
  <c r="L184" i="3"/>
  <c r="X184" i="3"/>
  <c r="AJ184" i="3"/>
  <c r="AV184" i="3"/>
  <c r="N184" i="3"/>
  <c r="AA184" i="3"/>
  <c r="AN184" i="3"/>
  <c r="O184" i="3"/>
  <c r="AB184" i="3"/>
  <c r="AO184" i="3"/>
  <c r="P184" i="3"/>
  <c r="AC184" i="3"/>
  <c r="AP184" i="3"/>
  <c r="Y184" i="3"/>
  <c r="AR184" i="3"/>
  <c r="AS184" i="3"/>
  <c r="Z184" i="3"/>
  <c r="AD184" i="3"/>
  <c r="AT184" i="3"/>
  <c r="W184" i="3"/>
  <c r="AX184" i="3"/>
  <c r="AE184" i="3"/>
  <c r="K184" i="3"/>
  <c r="M184" i="3"/>
  <c r="AF184" i="3"/>
  <c r="AG184" i="3"/>
  <c r="AH184" i="3"/>
  <c r="AI184" i="3"/>
  <c r="AU184" i="3"/>
  <c r="AW184" i="3"/>
  <c r="Q184" i="3"/>
  <c r="S184" i="3"/>
  <c r="U184" i="3"/>
  <c r="AK184" i="3"/>
  <c r="AM184" i="3"/>
  <c r="R184" i="3"/>
  <c r="T184" i="3"/>
  <c r="V184" i="3"/>
  <c r="AL184" i="3"/>
  <c r="AQ184" i="3"/>
  <c r="AU42" i="3"/>
  <c r="Z72" i="3"/>
  <c r="P108" i="3"/>
  <c r="AB108" i="3"/>
  <c r="AN108" i="3"/>
  <c r="Q108" i="3"/>
  <c r="AC108" i="3"/>
  <c r="AO108" i="3"/>
  <c r="S108" i="3"/>
  <c r="AG108" i="3"/>
  <c r="AU108" i="3"/>
  <c r="T108" i="3"/>
  <c r="AH108" i="3"/>
  <c r="AV108" i="3"/>
  <c r="U108" i="3"/>
  <c r="AI108" i="3"/>
  <c r="AW108" i="3"/>
  <c r="K108" i="3"/>
  <c r="AD108" i="3"/>
  <c r="AX108" i="3"/>
  <c r="R108" i="3"/>
  <c r="AM108" i="3"/>
  <c r="V108" i="3"/>
  <c r="AP108" i="3"/>
  <c r="L108" i="3"/>
  <c r="AK108" i="3"/>
  <c r="M108" i="3"/>
  <c r="AL108" i="3"/>
  <c r="N108" i="3"/>
  <c r="AQ108" i="3"/>
  <c r="O108" i="3"/>
  <c r="AR108" i="3"/>
  <c r="W108" i="3"/>
  <c r="X108" i="3"/>
  <c r="Y108" i="3"/>
  <c r="Z108" i="3"/>
  <c r="AA108" i="3"/>
  <c r="AE108" i="3"/>
  <c r="AJ108" i="3"/>
  <c r="AT108" i="3"/>
  <c r="AF108" i="3"/>
  <c r="AS108" i="3"/>
  <c r="P120" i="3"/>
  <c r="AB120" i="3"/>
  <c r="AN120" i="3"/>
  <c r="Q120" i="3"/>
  <c r="AC120" i="3"/>
  <c r="AO120" i="3"/>
  <c r="M120" i="3"/>
  <c r="AA120" i="3"/>
  <c r="AQ120" i="3"/>
  <c r="N120" i="3"/>
  <c r="AD120" i="3"/>
  <c r="AR120" i="3"/>
  <c r="O120" i="3"/>
  <c r="AE120" i="3"/>
  <c r="AS120" i="3"/>
  <c r="AF120" i="3"/>
  <c r="AW120" i="3"/>
  <c r="U120" i="3"/>
  <c r="AM120" i="3"/>
  <c r="V120" i="3"/>
  <c r="AP120" i="3"/>
  <c r="AI120" i="3"/>
  <c r="K120" i="3"/>
  <c r="AJ120" i="3"/>
  <c r="L120" i="3"/>
  <c r="AK120" i="3"/>
  <c r="AT120" i="3"/>
  <c r="AU120" i="3"/>
  <c r="R120" i="3"/>
  <c r="AV120" i="3"/>
  <c r="W120" i="3"/>
  <c r="X120" i="3"/>
  <c r="Y120" i="3"/>
  <c r="Z120" i="3"/>
  <c r="AG120" i="3"/>
  <c r="AH120" i="3"/>
  <c r="AL120" i="3"/>
  <c r="T120" i="3"/>
  <c r="S120" i="3"/>
  <c r="AX120" i="3"/>
  <c r="Q132" i="3"/>
  <c r="AC132" i="3"/>
  <c r="AO132" i="3"/>
  <c r="R132" i="3"/>
  <c r="AD132" i="3"/>
  <c r="AP132" i="3"/>
  <c r="S132" i="3"/>
  <c r="AE132" i="3"/>
  <c r="AQ132" i="3"/>
  <c r="W132" i="3"/>
  <c r="AL132" i="3"/>
  <c r="O132" i="3"/>
  <c r="AH132" i="3"/>
  <c r="AX132" i="3"/>
  <c r="P132" i="3"/>
  <c r="AI132" i="3"/>
  <c r="Y132" i="3"/>
  <c r="AT132" i="3"/>
  <c r="Z132" i="3"/>
  <c r="AU132" i="3"/>
  <c r="AA132" i="3"/>
  <c r="AV132" i="3"/>
  <c r="V132" i="3"/>
  <c r="X132" i="3"/>
  <c r="AB132" i="3"/>
  <c r="U132" i="3"/>
  <c r="AF132" i="3"/>
  <c r="AJ132" i="3"/>
  <c r="AK132" i="3"/>
  <c r="AM132" i="3"/>
  <c r="AN132" i="3"/>
  <c r="AG132" i="3"/>
  <c r="M132" i="3"/>
  <c r="AS132" i="3"/>
  <c r="K132" i="3"/>
  <c r="L132" i="3"/>
  <c r="N132" i="3"/>
  <c r="T132" i="3"/>
  <c r="AR132" i="3"/>
  <c r="AW132" i="3"/>
  <c r="N144" i="3"/>
  <c r="Z144" i="3"/>
  <c r="AL144" i="3"/>
  <c r="AX144" i="3"/>
  <c r="V144" i="3"/>
  <c r="AI144" i="3"/>
  <c r="AV144" i="3"/>
  <c r="W144" i="3"/>
  <c r="AJ144" i="3"/>
  <c r="AW144" i="3"/>
  <c r="X144" i="3"/>
  <c r="AN144" i="3"/>
  <c r="Y144" i="3"/>
  <c r="AO144" i="3"/>
  <c r="K144" i="3"/>
  <c r="AA144" i="3"/>
  <c r="AP144" i="3"/>
  <c r="T144" i="3"/>
  <c r="AR144" i="3"/>
  <c r="U144" i="3"/>
  <c r="AS144" i="3"/>
  <c r="AB144" i="3"/>
  <c r="AT144" i="3"/>
  <c r="AE144" i="3"/>
  <c r="AF144" i="3"/>
  <c r="AH144" i="3"/>
  <c r="AK144" i="3"/>
  <c r="AM144" i="3"/>
  <c r="AQ144" i="3"/>
  <c r="AG144" i="3"/>
  <c r="L144" i="3"/>
  <c r="M144" i="3"/>
  <c r="O144" i="3"/>
  <c r="P144" i="3"/>
  <c r="Q144" i="3"/>
  <c r="R144" i="3"/>
  <c r="S144" i="3"/>
  <c r="AC144" i="3"/>
  <c r="AD144" i="3"/>
  <c r="AU144" i="3"/>
  <c r="P168" i="3"/>
  <c r="AB168" i="3"/>
  <c r="AN168" i="3"/>
  <c r="L168" i="3"/>
  <c r="Y168" i="3"/>
  <c r="AL168" i="3"/>
  <c r="M168" i="3"/>
  <c r="Z168" i="3"/>
  <c r="AM168" i="3"/>
  <c r="N168" i="3"/>
  <c r="AA168" i="3"/>
  <c r="AO168" i="3"/>
  <c r="T168" i="3"/>
  <c r="AJ168" i="3"/>
  <c r="AK168" i="3"/>
  <c r="U168" i="3"/>
  <c r="V168" i="3"/>
  <c r="AP168" i="3"/>
  <c r="O168" i="3"/>
  <c r="AI168" i="3"/>
  <c r="Q168" i="3"/>
  <c r="AQ168" i="3"/>
  <c r="AS168" i="3"/>
  <c r="AT168" i="3"/>
  <c r="AU168" i="3"/>
  <c r="R168" i="3"/>
  <c r="AR168" i="3"/>
  <c r="S168" i="3"/>
  <c r="W168" i="3"/>
  <c r="X168" i="3"/>
  <c r="AG168" i="3"/>
  <c r="AH168" i="3"/>
  <c r="AW168" i="3"/>
  <c r="AC168" i="3"/>
  <c r="AE168" i="3"/>
  <c r="AV168" i="3"/>
  <c r="AX168" i="3"/>
  <c r="K168" i="3"/>
  <c r="AD168" i="3"/>
  <c r="AF168" i="3"/>
  <c r="P180" i="3"/>
  <c r="AB180" i="3"/>
  <c r="AN180" i="3"/>
  <c r="Q180" i="3"/>
  <c r="AD180" i="3"/>
  <c r="AQ180" i="3"/>
  <c r="R180" i="3"/>
  <c r="AE180" i="3"/>
  <c r="AR180" i="3"/>
  <c r="S180" i="3"/>
  <c r="AF180" i="3"/>
  <c r="AS180" i="3"/>
  <c r="K180" i="3"/>
  <c r="AA180" i="3"/>
  <c r="AU180" i="3"/>
  <c r="L180" i="3"/>
  <c r="AC180" i="3"/>
  <c r="AV180" i="3"/>
  <c r="M180" i="3"/>
  <c r="AG180" i="3"/>
  <c r="AW180" i="3"/>
  <c r="W180" i="3"/>
  <c r="AT180" i="3"/>
  <c r="X180" i="3"/>
  <c r="AX180" i="3"/>
  <c r="Z180" i="3"/>
  <c r="AH180" i="3"/>
  <c r="AI180" i="3"/>
  <c r="Y180" i="3"/>
  <c r="U180" i="3"/>
  <c r="V180" i="3"/>
  <c r="AK180" i="3"/>
  <c r="AM180" i="3"/>
  <c r="AP180" i="3"/>
  <c r="O180" i="3"/>
  <c r="AJ180" i="3"/>
  <c r="AL180" i="3"/>
  <c r="AO180" i="3"/>
  <c r="N180" i="3"/>
  <c r="T180" i="3"/>
  <c r="L187" i="3"/>
  <c r="X187" i="3"/>
  <c r="AJ187" i="3"/>
  <c r="AV187" i="3"/>
  <c r="K187" i="3"/>
  <c r="Y187" i="3"/>
  <c r="AL187" i="3"/>
  <c r="M187" i="3"/>
  <c r="Z187" i="3"/>
  <c r="AM187" i="3"/>
  <c r="N187" i="3"/>
  <c r="AA187" i="3"/>
  <c r="AN187" i="3"/>
  <c r="AC187" i="3"/>
  <c r="AS187" i="3"/>
  <c r="AD187" i="3"/>
  <c r="AT187" i="3"/>
  <c r="O187" i="3"/>
  <c r="AE187" i="3"/>
  <c r="AU187" i="3"/>
  <c r="U187" i="3"/>
  <c r="AR187" i="3"/>
  <c r="V187" i="3"/>
  <c r="AW187" i="3"/>
  <c r="AB187" i="3"/>
  <c r="AF187" i="3"/>
  <c r="AG187" i="3"/>
  <c r="W187" i="3"/>
  <c r="AX187" i="3"/>
  <c r="S187" i="3"/>
  <c r="T187" i="3"/>
  <c r="AI187" i="3"/>
  <c r="AO187" i="3"/>
  <c r="AQ187" i="3"/>
  <c r="Q187" i="3"/>
  <c r="AH187" i="3"/>
  <c r="AK187" i="3"/>
  <c r="AP187" i="3"/>
  <c r="P187" i="3"/>
  <c r="R187" i="3"/>
  <c r="T194" i="3"/>
  <c r="AF194" i="3"/>
  <c r="AR194" i="3"/>
  <c r="S194" i="3"/>
  <c r="AG194" i="3"/>
  <c r="AT194" i="3"/>
  <c r="U194" i="3"/>
  <c r="AH194" i="3"/>
  <c r="AU194" i="3"/>
  <c r="V194" i="3"/>
  <c r="AI194" i="3"/>
  <c r="AV194" i="3"/>
  <c r="K194" i="3"/>
  <c r="AA194" i="3"/>
  <c r="AQ194" i="3"/>
  <c r="L194" i="3"/>
  <c r="AB194" i="3"/>
  <c r="AS194" i="3"/>
  <c r="M194" i="3"/>
  <c r="AC194" i="3"/>
  <c r="AW194" i="3"/>
  <c r="W194" i="3"/>
  <c r="AP194" i="3"/>
  <c r="X194" i="3"/>
  <c r="AX194" i="3"/>
  <c r="Z194" i="3"/>
  <c r="AD194" i="3"/>
  <c r="AE194" i="3"/>
  <c r="Y194" i="3"/>
  <c r="Q194" i="3"/>
  <c r="R194" i="3"/>
  <c r="AK194" i="3"/>
  <c r="AM194" i="3"/>
  <c r="AO194" i="3"/>
  <c r="O194" i="3"/>
  <c r="AJ194" i="3"/>
  <c r="AL194" i="3"/>
  <c r="AN194" i="3"/>
  <c r="N194" i="3"/>
  <c r="P194" i="3"/>
  <c r="R137" i="3"/>
  <c r="AD137" i="3"/>
  <c r="AP137" i="3"/>
  <c r="N137" i="3"/>
  <c r="AA137" i="3"/>
  <c r="AN137" i="3"/>
  <c r="O137" i="3"/>
  <c r="AB137" i="3"/>
  <c r="AO137" i="3"/>
  <c r="U137" i="3"/>
  <c r="AJ137" i="3"/>
  <c r="V137" i="3"/>
  <c r="AK137" i="3"/>
  <c r="W137" i="3"/>
  <c r="AL137" i="3"/>
  <c r="AE137" i="3"/>
  <c r="AW137" i="3"/>
  <c r="K137" i="3"/>
  <c r="AF137" i="3"/>
  <c r="AX137" i="3"/>
  <c r="L137" i="3"/>
  <c r="AG137" i="3"/>
  <c r="AC137" i="3"/>
  <c r="AH137" i="3"/>
  <c r="AM137" i="3"/>
  <c r="AQ137" i="3"/>
  <c r="AR137" i="3"/>
  <c r="AS137" i="3"/>
  <c r="AI137" i="3"/>
  <c r="M137" i="3"/>
  <c r="P137" i="3"/>
  <c r="Q137" i="3"/>
  <c r="S137" i="3"/>
  <c r="X137" i="3"/>
  <c r="Y137" i="3"/>
  <c r="Z137" i="3"/>
  <c r="T137" i="3"/>
  <c r="AT137" i="3"/>
  <c r="AU137" i="3"/>
  <c r="AV137" i="3"/>
  <c r="R161" i="3"/>
  <c r="AD161" i="3"/>
  <c r="AP161" i="3"/>
  <c r="W161" i="3"/>
  <c r="AJ161" i="3"/>
  <c r="AW161" i="3"/>
  <c r="V161" i="3"/>
  <c r="AK161" i="3"/>
  <c r="X161" i="3"/>
  <c r="AL161" i="3"/>
  <c r="K161" i="3"/>
  <c r="Y161" i="3"/>
  <c r="AM161" i="3"/>
  <c r="P161" i="3"/>
  <c r="AH161" i="3"/>
  <c r="Q161" i="3"/>
  <c r="AI161" i="3"/>
  <c r="S161" i="3"/>
  <c r="AN161" i="3"/>
  <c r="O161" i="3"/>
  <c r="AR161" i="3"/>
  <c r="T161" i="3"/>
  <c r="AS161" i="3"/>
  <c r="Z161" i="3"/>
  <c r="AA161" i="3"/>
  <c r="AB161" i="3"/>
  <c r="AC161" i="3"/>
  <c r="U161" i="3"/>
  <c r="AT161" i="3"/>
  <c r="AU161" i="3"/>
  <c r="AV161" i="3"/>
  <c r="AX161" i="3"/>
  <c r="AO161" i="3"/>
  <c r="AQ161" i="3"/>
  <c r="M161" i="3"/>
  <c r="AE161" i="3"/>
  <c r="AG161" i="3"/>
  <c r="L161" i="3"/>
  <c r="N161" i="3"/>
  <c r="AF161" i="3"/>
  <c r="T173" i="3"/>
  <c r="AF173" i="3"/>
  <c r="AR173" i="3"/>
  <c r="V173" i="3"/>
  <c r="AI173" i="3"/>
  <c r="AV173" i="3"/>
  <c r="W173" i="3"/>
  <c r="AJ173" i="3"/>
  <c r="AW173" i="3"/>
  <c r="K173" i="3"/>
  <c r="X173" i="3"/>
  <c r="AK173" i="3"/>
  <c r="AX173" i="3"/>
  <c r="M173" i="3"/>
  <c r="AC173" i="3"/>
  <c r="AT173" i="3"/>
  <c r="N173" i="3"/>
  <c r="AD173" i="3"/>
  <c r="AU173" i="3"/>
  <c r="O173" i="3"/>
  <c r="AE173" i="3"/>
  <c r="Y173" i="3"/>
  <c r="AS173" i="3"/>
  <c r="Z173" i="3"/>
  <c r="AB173" i="3"/>
  <c r="AG173" i="3"/>
  <c r="AH173" i="3"/>
  <c r="AA173" i="3"/>
  <c r="S173" i="3"/>
  <c r="AM173" i="3"/>
  <c r="AO173" i="3"/>
  <c r="AQ173" i="3"/>
  <c r="L173" i="3"/>
  <c r="Q173" i="3"/>
  <c r="U173" i="3"/>
  <c r="AL173" i="3"/>
  <c r="AN173" i="3"/>
  <c r="AP173" i="3"/>
  <c r="P173" i="3"/>
  <c r="R173" i="3"/>
  <c r="P192" i="3"/>
  <c r="AB192" i="3"/>
  <c r="AN192" i="3"/>
  <c r="U192" i="3"/>
  <c r="AH192" i="3"/>
  <c r="AU192" i="3"/>
  <c r="V192" i="3"/>
  <c r="AI192" i="3"/>
  <c r="AV192" i="3"/>
  <c r="W192" i="3"/>
  <c r="AJ192" i="3"/>
  <c r="AW192" i="3"/>
  <c r="S192" i="3"/>
  <c r="AL192" i="3"/>
  <c r="AM192" i="3"/>
  <c r="T192" i="3"/>
  <c r="X192" i="3"/>
  <c r="AO192" i="3"/>
  <c r="K192" i="3"/>
  <c r="AE192" i="3"/>
  <c r="L192" i="3"/>
  <c r="AF192" i="3"/>
  <c r="N192" i="3"/>
  <c r="O192" i="3"/>
  <c r="Q192" i="3"/>
  <c r="M192" i="3"/>
  <c r="AG192" i="3"/>
  <c r="AK192" i="3"/>
  <c r="AP192" i="3"/>
  <c r="AQ192" i="3"/>
  <c r="Y192" i="3"/>
  <c r="AA192" i="3"/>
  <c r="AD192" i="3"/>
  <c r="AS192" i="3"/>
  <c r="AX192" i="3"/>
  <c r="R192" i="3"/>
  <c r="Z192" i="3"/>
  <c r="AC192" i="3"/>
  <c r="AR192" i="3"/>
  <c r="AT192" i="3"/>
  <c r="L118" i="3"/>
  <c r="X118" i="3"/>
  <c r="AJ118" i="3"/>
  <c r="AV118" i="3"/>
  <c r="M118" i="3"/>
  <c r="Y118" i="3"/>
  <c r="AK118" i="3"/>
  <c r="AW118" i="3"/>
  <c r="U118" i="3"/>
  <c r="AI118" i="3"/>
  <c r="V118" i="3"/>
  <c r="AL118" i="3"/>
  <c r="W118" i="3"/>
  <c r="AM118" i="3"/>
  <c r="O118" i="3"/>
  <c r="AF118" i="3"/>
  <c r="Q118" i="3"/>
  <c r="AN118" i="3"/>
  <c r="R118" i="3"/>
  <c r="AO118" i="3"/>
  <c r="N118" i="3"/>
  <c r="AP118" i="3"/>
  <c r="P118" i="3"/>
  <c r="AQ118" i="3"/>
  <c r="S118" i="3"/>
  <c r="AR118" i="3"/>
  <c r="Z118" i="3"/>
  <c r="AA118" i="3"/>
  <c r="AB118" i="3"/>
  <c r="AX118" i="3"/>
  <c r="AD118" i="3"/>
  <c r="K118" i="3"/>
  <c r="T118" i="3"/>
  <c r="AC118" i="3"/>
  <c r="AE118" i="3"/>
  <c r="AS118" i="3"/>
  <c r="AT118" i="3"/>
  <c r="AU118" i="3"/>
  <c r="AG118" i="3"/>
  <c r="AH118" i="3"/>
  <c r="L130" i="3"/>
  <c r="X130" i="3"/>
  <c r="AJ130" i="3"/>
  <c r="AV130" i="3"/>
  <c r="M130" i="3"/>
  <c r="Y130" i="3"/>
  <c r="AK130" i="3"/>
  <c r="AW130" i="3"/>
  <c r="Q130" i="3"/>
  <c r="AE130" i="3"/>
  <c r="AS130" i="3"/>
  <c r="R130" i="3"/>
  <c r="AF130" i="3"/>
  <c r="AT130" i="3"/>
  <c r="S130" i="3"/>
  <c r="AG130" i="3"/>
  <c r="AU130" i="3"/>
  <c r="N130" i="3"/>
  <c r="AH130" i="3"/>
  <c r="T130" i="3"/>
  <c r="AN130" i="3"/>
  <c r="U130" i="3"/>
  <c r="AO130" i="3"/>
  <c r="AL130" i="3"/>
  <c r="K130" i="3"/>
  <c r="AM130" i="3"/>
  <c r="O130" i="3"/>
  <c r="AP130" i="3"/>
  <c r="AR130" i="3"/>
  <c r="AX130" i="3"/>
  <c r="P130" i="3"/>
  <c r="Z130" i="3"/>
  <c r="AA130" i="3"/>
  <c r="AC130" i="3"/>
  <c r="AD130" i="3"/>
  <c r="AI130" i="3"/>
  <c r="AQ130" i="3"/>
  <c r="AB130" i="3"/>
  <c r="V130" i="3"/>
  <c r="W130" i="3"/>
  <c r="V142" i="3"/>
  <c r="AH142" i="3"/>
  <c r="AT142" i="3"/>
  <c r="K142" i="3"/>
  <c r="X142" i="3"/>
  <c r="AK142" i="3"/>
  <c r="AX142" i="3"/>
  <c r="L142" i="3"/>
  <c r="Y142" i="3"/>
  <c r="AL142" i="3"/>
  <c r="Z142" i="3"/>
  <c r="AO142" i="3"/>
  <c r="AA142" i="3"/>
  <c r="AP142" i="3"/>
  <c r="M142" i="3"/>
  <c r="AB142" i="3"/>
  <c r="AQ142" i="3"/>
  <c r="R142" i="3"/>
  <c r="AM142" i="3"/>
  <c r="S142" i="3"/>
  <c r="AN142" i="3"/>
  <c r="T142" i="3"/>
  <c r="AR142" i="3"/>
  <c r="AC142" i="3"/>
  <c r="AD142" i="3"/>
  <c r="N142" i="3"/>
  <c r="AE142" i="3"/>
  <c r="AF142" i="3"/>
  <c r="AG142" i="3"/>
  <c r="AI142" i="3"/>
  <c r="AJ142" i="3"/>
  <c r="O142" i="3"/>
  <c r="Q142" i="3"/>
  <c r="AU142" i="3"/>
  <c r="AV142" i="3"/>
  <c r="AW142" i="3"/>
  <c r="P142" i="3"/>
  <c r="U142" i="3"/>
  <c r="W142" i="3"/>
  <c r="AS142" i="3"/>
  <c r="V166" i="3"/>
  <c r="AH166" i="3"/>
  <c r="AT166" i="3"/>
  <c r="S166" i="3"/>
  <c r="AF166" i="3"/>
  <c r="AS166" i="3"/>
  <c r="W166" i="3"/>
  <c r="AK166" i="3"/>
  <c r="X166" i="3"/>
  <c r="AL166" i="3"/>
  <c r="K166" i="3"/>
  <c r="Y166" i="3"/>
  <c r="AM166" i="3"/>
  <c r="AA166" i="3"/>
  <c r="AR166" i="3"/>
  <c r="AB166" i="3"/>
  <c r="AU166" i="3"/>
  <c r="L166" i="3"/>
  <c r="AC166" i="3"/>
  <c r="AV166" i="3"/>
  <c r="R166" i="3"/>
  <c r="AQ166" i="3"/>
  <c r="T166" i="3"/>
  <c r="AW166" i="3"/>
  <c r="Z166" i="3"/>
  <c r="AD166" i="3"/>
  <c r="AE166" i="3"/>
  <c r="U166" i="3"/>
  <c r="AX166" i="3"/>
  <c r="P166" i="3"/>
  <c r="Q166" i="3"/>
  <c r="AI166" i="3"/>
  <c r="AN166" i="3"/>
  <c r="AP166" i="3"/>
  <c r="N166" i="3"/>
  <c r="AG166" i="3"/>
  <c r="AJ166" i="3"/>
  <c r="AO166" i="3"/>
  <c r="M166" i="3"/>
  <c r="O166" i="3"/>
  <c r="N159" i="3"/>
  <c r="Z159" i="3"/>
  <c r="AL159" i="3"/>
  <c r="AX159" i="3"/>
  <c r="K159" i="3"/>
  <c r="X159" i="3"/>
  <c r="AK159" i="3"/>
  <c r="Q159" i="3"/>
  <c r="AE159" i="3"/>
  <c r="AS159" i="3"/>
  <c r="R159" i="3"/>
  <c r="AF159" i="3"/>
  <c r="AT159" i="3"/>
  <c r="S159" i="3"/>
  <c r="AG159" i="3"/>
  <c r="AU159" i="3"/>
  <c r="U159" i="3"/>
  <c r="AN159" i="3"/>
  <c r="V159" i="3"/>
  <c r="AO159" i="3"/>
  <c r="W159" i="3"/>
  <c r="AP159" i="3"/>
  <c r="T159" i="3"/>
  <c r="AV159" i="3"/>
  <c r="Y159" i="3"/>
  <c r="AW159" i="3"/>
  <c r="AA159" i="3"/>
  <c r="AB159" i="3"/>
  <c r="AC159" i="3"/>
  <c r="AD159" i="3"/>
  <c r="AH159" i="3"/>
  <c r="O159" i="3"/>
  <c r="AI159" i="3"/>
  <c r="AM159" i="3"/>
  <c r="AR159" i="3"/>
  <c r="L159" i="3"/>
  <c r="M159" i="3"/>
  <c r="P159" i="3"/>
  <c r="AJ159" i="3"/>
  <c r="AQ159" i="3"/>
  <c r="P171" i="3"/>
  <c r="AB171" i="3"/>
  <c r="AN171" i="3"/>
  <c r="W171" i="3"/>
  <c r="AJ171" i="3"/>
  <c r="AW171" i="3"/>
  <c r="K171" i="3"/>
  <c r="X171" i="3"/>
  <c r="AK171" i="3"/>
  <c r="AX171" i="3"/>
  <c r="L171" i="3"/>
  <c r="Y171" i="3"/>
  <c r="AL171" i="3"/>
  <c r="U171" i="3"/>
  <c r="AO171" i="3"/>
  <c r="V171" i="3"/>
  <c r="AP171" i="3"/>
  <c r="Z171" i="3"/>
  <c r="AQ171" i="3"/>
  <c r="M171" i="3"/>
  <c r="AG171" i="3"/>
  <c r="N171" i="3"/>
  <c r="AH171" i="3"/>
  <c r="Q171" i="3"/>
  <c r="R171" i="3"/>
  <c r="S171" i="3"/>
  <c r="O171" i="3"/>
  <c r="AI171" i="3"/>
  <c r="AM171" i="3"/>
  <c r="AR171" i="3"/>
  <c r="AS171" i="3"/>
  <c r="AA171" i="3"/>
  <c r="AD171" i="3"/>
  <c r="AF171" i="3"/>
  <c r="AU171" i="3"/>
  <c r="T171" i="3"/>
  <c r="AC171" i="3"/>
  <c r="AE171" i="3"/>
  <c r="AT171" i="3"/>
  <c r="AV171" i="3"/>
  <c r="L190" i="3"/>
  <c r="X190" i="3"/>
  <c r="AJ190" i="3"/>
  <c r="AV190" i="3"/>
  <c r="V190" i="3"/>
  <c r="AI190" i="3"/>
  <c r="AW190" i="3"/>
  <c r="W190" i="3"/>
  <c r="AK190" i="3"/>
  <c r="AX190" i="3"/>
  <c r="K190" i="3"/>
  <c r="Y190" i="3"/>
  <c r="AL190" i="3"/>
  <c r="N190" i="3"/>
  <c r="AD190" i="3"/>
  <c r="AT190" i="3"/>
  <c r="AE190" i="3"/>
  <c r="O190" i="3"/>
  <c r="AU190" i="3"/>
  <c r="P190" i="3"/>
  <c r="AF190" i="3"/>
  <c r="S190" i="3"/>
  <c r="AP190" i="3"/>
  <c r="T190" i="3"/>
  <c r="AQ190" i="3"/>
  <c r="AS190" i="3"/>
  <c r="U190" i="3"/>
  <c r="AR190" i="3"/>
  <c r="Z190" i="3"/>
  <c r="AA190" i="3"/>
  <c r="AB190" i="3"/>
  <c r="AN190" i="3"/>
  <c r="AO190" i="3"/>
  <c r="M190" i="3"/>
  <c r="R190" i="3"/>
  <c r="AG190" i="3"/>
  <c r="AM190" i="3"/>
  <c r="Q190" i="3"/>
  <c r="AC190" i="3"/>
  <c r="AH190" i="3"/>
  <c r="AF72" i="3"/>
  <c r="AS94" i="3"/>
  <c r="AF102" i="3"/>
  <c r="T128" i="3"/>
  <c r="AF128" i="3"/>
  <c r="AR128" i="3"/>
  <c r="U128" i="3"/>
  <c r="AG128" i="3"/>
  <c r="AS128" i="3"/>
  <c r="K128" i="3"/>
  <c r="Y128" i="3"/>
  <c r="AM128" i="3"/>
  <c r="L128" i="3"/>
  <c r="Z128" i="3"/>
  <c r="AN128" i="3"/>
  <c r="M128" i="3"/>
  <c r="AA128" i="3"/>
  <c r="AO128" i="3"/>
  <c r="Q128" i="3"/>
  <c r="AJ128" i="3"/>
  <c r="O128" i="3"/>
  <c r="AI128" i="3"/>
  <c r="P128" i="3"/>
  <c r="AK128" i="3"/>
  <c r="R128" i="3"/>
  <c r="AQ128" i="3"/>
  <c r="S128" i="3"/>
  <c r="AT128" i="3"/>
  <c r="V128" i="3"/>
  <c r="AU128" i="3"/>
  <c r="X128" i="3"/>
  <c r="AB128" i="3"/>
  <c r="AC128" i="3"/>
  <c r="W128" i="3"/>
  <c r="AD128" i="3"/>
  <c r="AE128" i="3"/>
  <c r="AH128" i="3"/>
  <c r="N128" i="3"/>
  <c r="AL128" i="3"/>
  <c r="AP128" i="3"/>
  <c r="AV128" i="3"/>
  <c r="AW128" i="3"/>
  <c r="AX128" i="3"/>
  <c r="AH72" i="3"/>
  <c r="AR79" i="3"/>
  <c r="AA90" i="3"/>
  <c r="AT94" i="3"/>
  <c r="K102" i="3"/>
  <c r="M133" i="3"/>
  <c r="Y133" i="3"/>
  <c r="AK133" i="3"/>
  <c r="AW133" i="3"/>
  <c r="N133" i="3"/>
  <c r="Z133" i="3"/>
  <c r="AL133" i="3"/>
  <c r="AX133" i="3"/>
  <c r="O133" i="3"/>
  <c r="AA133" i="3"/>
  <c r="AM133" i="3"/>
  <c r="P133" i="3"/>
  <c r="AE133" i="3"/>
  <c r="AT133" i="3"/>
  <c r="AC133" i="3"/>
  <c r="AS133" i="3"/>
  <c r="K133" i="3"/>
  <c r="AD133" i="3"/>
  <c r="AU133" i="3"/>
  <c r="X133" i="3"/>
  <c r="AV133" i="3"/>
  <c r="AB133" i="3"/>
  <c r="AF133" i="3"/>
  <c r="L133" i="3"/>
  <c r="AN133" i="3"/>
  <c r="Q133" i="3"/>
  <c r="AO133" i="3"/>
  <c r="R133" i="3"/>
  <c r="AP133" i="3"/>
  <c r="U133" i="3"/>
  <c r="V133" i="3"/>
  <c r="W133" i="3"/>
  <c r="AG133" i="3"/>
  <c r="AH133" i="3"/>
  <c r="AI133" i="3"/>
  <c r="AJ133" i="3"/>
  <c r="S133" i="3"/>
  <c r="T133" i="3"/>
  <c r="AQ133" i="3"/>
  <c r="AR133" i="3"/>
  <c r="V157" i="3"/>
  <c r="AH157" i="3"/>
  <c r="AT157" i="3"/>
  <c r="M157" i="3"/>
  <c r="Z157" i="3"/>
  <c r="AM157" i="3"/>
  <c r="K157" i="3"/>
  <c r="Y157" i="3"/>
  <c r="AN157" i="3"/>
  <c r="L157" i="3"/>
  <c r="AA157" i="3"/>
  <c r="AO157" i="3"/>
  <c r="N157" i="3"/>
  <c r="AB157" i="3"/>
  <c r="AP157" i="3"/>
  <c r="W157" i="3"/>
  <c r="AR157" i="3"/>
  <c r="X157" i="3"/>
  <c r="AS157" i="3"/>
  <c r="AC157" i="3"/>
  <c r="AU157" i="3"/>
  <c r="U157" i="3"/>
  <c r="AX157" i="3"/>
  <c r="AD157" i="3"/>
  <c r="AF157" i="3"/>
  <c r="AG157" i="3"/>
  <c r="AI157" i="3"/>
  <c r="AJ157" i="3"/>
  <c r="AE157" i="3"/>
  <c r="O157" i="3"/>
  <c r="R157" i="3"/>
  <c r="S157" i="3"/>
  <c r="AK157" i="3"/>
  <c r="AQ157" i="3"/>
  <c r="AW157" i="3"/>
  <c r="P157" i="3"/>
  <c r="T157" i="3"/>
  <c r="AL157" i="3"/>
  <c r="AV157" i="3"/>
  <c r="Q157" i="3"/>
  <c r="AT59" i="3"/>
  <c r="Q78" i="3"/>
  <c r="BR58" i="3"/>
  <c r="P75" i="3"/>
  <c r="U78" i="3"/>
  <c r="AK81" i="3"/>
  <c r="AH90" i="3"/>
  <c r="AO96" i="3"/>
  <c r="O102" i="3"/>
  <c r="R2" i="3"/>
  <c r="T72" i="3"/>
  <c r="AS72" i="3"/>
  <c r="Q75" i="3"/>
  <c r="AX77" i="3"/>
  <c r="X78" i="3"/>
  <c r="AG80" i="3"/>
  <c r="AN81" i="3"/>
  <c r="Y82" i="3"/>
  <c r="BR84" i="3"/>
  <c r="AH84" i="3"/>
  <c r="M90" i="3"/>
  <c r="AI90" i="3"/>
  <c r="U94" i="3"/>
  <c r="AQ96" i="3"/>
  <c r="AU101" i="3"/>
  <c r="Q102" i="3"/>
  <c r="AT102" i="3"/>
  <c r="Z103" i="3"/>
  <c r="AG105" i="3"/>
  <c r="T110" i="3"/>
  <c r="AF110" i="3"/>
  <c r="AR110" i="3"/>
  <c r="U110" i="3"/>
  <c r="AG110" i="3"/>
  <c r="AS110" i="3"/>
  <c r="K110" i="3"/>
  <c r="Y110" i="3"/>
  <c r="AM110" i="3"/>
  <c r="L110" i="3"/>
  <c r="Z110" i="3"/>
  <c r="AN110" i="3"/>
  <c r="M110" i="3"/>
  <c r="AA110" i="3"/>
  <c r="AO110" i="3"/>
  <c r="AB110" i="3"/>
  <c r="AU110" i="3"/>
  <c r="V110" i="3"/>
  <c r="AQ110" i="3"/>
  <c r="W110" i="3"/>
  <c r="AT110" i="3"/>
  <c r="AH110" i="3"/>
  <c r="AI110" i="3"/>
  <c r="N110" i="3"/>
  <c r="AJ110" i="3"/>
  <c r="O110" i="3"/>
  <c r="AK110" i="3"/>
  <c r="P110" i="3"/>
  <c r="AX110" i="3"/>
  <c r="Q110" i="3"/>
  <c r="R110" i="3"/>
  <c r="AD110" i="3"/>
  <c r="AW110" i="3"/>
  <c r="AE110" i="3"/>
  <c r="AL110" i="3"/>
  <c r="AP110" i="3"/>
  <c r="AV110" i="3"/>
  <c r="AC110" i="3"/>
  <c r="S110" i="3"/>
  <c r="X110" i="3"/>
  <c r="T122" i="3"/>
  <c r="AF122" i="3"/>
  <c r="AR122" i="3"/>
  <c r="U122" i="3"/>
  <c r="AG122" i="3"/>
  <c r="AS122" i="3"/>
  <c r="S122" i="3"/>
  <c r="AI122" i="3"/>
  <c r="AW122" i="3"/>
  <c r="V122" i="3"/>
  <c r="AJ122" i="3"/>
  <c r="AX122" i="3"/>
  <c r="W122" i="3"/>
  <c r="AK122" i="3"/>
  <c r="AA122" i="3"/>
  <c r="AT122" i="3"/>
  <c r="Y122" i="3"/>
  <c r="AQ122" i="3"/>
  <c r="Z122" i="3"/>
  <c r="AU122" i="3"/>
  <c r="AD122" i="3"/>
  <c r="K122" i="3"/>
  <c r="AE122" i="3"/>
  <c r="L122" i="3"/>
  <c r="AH122" i="3"/>
  <c r="AB122" i="3"/>
  <c r="AC122" i="3"/>
  <c r="AL122" i="3"/>
  <c r="X122" i="3"/>
  <c r="AM122" i="3"/>
  <c r="M122" i="3"/>
  <c r="AN122" i="3"/>
  <c r="AO122" i="3"/>
  <c r="AP122" i="3"/>
  <c r="AV122" i="3"/>
  <c r="Q122" i="3"/>
  <c r="N122" i="3"/>
  <c r="O122" i="3"/>
  <c r="P122" i="3"/>
  <c r="R122" i="3"/>
  <c r="U134" i="3"/>
  <c r="AG134" i="3"/>
  <c r="AS134" i="3"/>
  <c r="V134" i="3"/>
  <c r="AH134" i="3"/>
  <c r="AT134" i="3"/>
  <c r="K134" i="3"/>
  <c r="W134" i="3"/>
  <c r="AI134" i="3"/>
  <c r="AU134" i="3"/>
  <c r="X134" i="3"/>
  <c r="AM134" i="3"/>
  <c r="Y134" i="3"/>
  <c r="AO134" i="3"/>
  <c r="Z134" i="3"/>
  <c r="AP134" i="3"/>
  <c r="AC134" i="3"/>
  <c r="AX134" i="3"/>
  <c r="L134" i="3"/>
  <c r="AD134" i="3"/>
  <c r="M134" i="3"/>
  <c r="AE134" i="3"/>
  <c r="AA134" i="3"/>
  <c r="AB134" i="3"/>
  <c r="AF134" i="3"/>
  <c r="Q134" i="3"/>
  <c r="R134" i="3"/>
  <c r="T134" i="3"/>
  <c r="AJ134" i="3"/>
  <c r="AK134" i="3"/>
  <c r="AL134" i="3"/>
  <c r="S134" i="3"/>
  <c r="P134" i="3"/>
  <c r="AR134" i="3"/>
  <c r="AW134" i="3"/>
  <c r="AN134" i="3"/>
  <c r="AQ134" i="3"/>
  <c r="AV134" i="3"/>
  <c r="N134" i="3"/>
  <c r="O134" i="3"/>
  <c r="R146" i="3"/>
  <c r="AD146" i="3"/>
  <c r="AP146" i="3"/>
  <c r="U146" i="3"/>
  <c r="AH146" i="3"/>
  <c r="AU146" i="3"/>
  <c r="V146" i="3"/>
  <c r="W146" i="3"/>
  <c r="AK146" i="3"/>
  <c r="X146" i="3"/>
  <c r="AL146" i="3"/>
  <c r="Y146" i="3"/>
  <c r="AM146" i="3"/>
  <c r="AA146" i="3"/>
  <c r="AS146" i="3"/>
  <c r="AB146" i="3"/>
  <c r="AT146" i="3"/>
  <c r="K146" i="3"/>
  <c r="AC146" i="3"/>
  <c r="AV146" i="3"/>
  <c r="AG146" i="3"/>
  <c r="L146" i="3"/>
  <c r="AI146" i="3"/>
  <c r="N146" i="3"/>
  <c r="O146" i="3"/>
  <c r="P146" i="3"/>
  <c r="Q146" i="3"/>
  <c r="M146" i="3"/>
  <c r="AJ146" i="3"/>
  <c r="AN146" i="3"/>
  <c r="AO146" i="3"/>
  <c r="AQ146" i="3"/>
  <c r="AR146" i="3"/>
  <c r="AE146" i="3"/>
  <c r="AF146" i="3"/>
  <c r="S146" i="3"/>
  <c r="T146" i="3"/>
  <c r="Z146" i="3"/>
  <c r="AW146" i="3"/>
  <c r="AX146" i="3"/>
  <c r="R158" i="3"/>
  <c r="AD158" i="3"/>
  <c r="AP158" i="3"/>
  <c r="L158" i="3"/>
  <c r="Y158" i="3"/>
  <c r="AL158" i="3"/>
  <c r="N158" i="3"/>
  <c r="AB158" i="3"/>
  <c r="AQ158" i="3"/>
  <c r="O158" i="3"/>
  <c r="AC158" i="3"/>
  <c r="AR158" i="3"/>
  <c r="P158" i="3"/>
  <c r="AE158" i="3"/>
  <c r="AS158" i="3"/>
  <c r="V158" i="3"/>
  <c r="AN158" i="3"/>
  <c r="W158" i="3"/>
  <c r="AO158" i="3"/>
  <c r="X158" i="3"/>
  <c r="AT158" i="3"/>
  <c r="AI158" i="3"/>
  <c r="K158" i="3"/>
  <c r="AJ158" i="3"/>
  <c r="AM158" i="3"/>
  <c r="AU158" i="3"/>
  <c r="AV158" i="3"/>
  <c r="AW158" i="3"/>
  <c r="M158" i="3"/>
  <c r="AK158" i="3"/>
  <c r="Q158" i="3"/>
  <c r="S158" i="3"/>
  <c r="T158" i="3"/>
  <c r="U158" i="3"/>
  <c r="AH158" i="3"/>
  <c r="AX158" i="3"/>
  <c r="AA158" i="3"/>
  <c r="AG158" i="3"/>
  <c r="Z158" i="3"/>
  <c r="AF158" i="3"/>
  <c r="T170" i="3"/>
  <c r="AF170" i="3"/>
  <c r="AR170" i="3"/>
  <c r="K170" i="3"/>
  <c r="X170" i="3"/>
  <c r="AK170" i="3"/>
  <c r="AX170" i="3"/>
  <c r="L170" i="3"/>
  <c r="Y170" i="3"/>
  <c r="AL170" i="3"/>
  <c r="M170" i="3"/>
  <c r="Z170" i="3"/>
  <c r="AM170" i="3"/>
  <c r="AB170" i="3"/>
  <c r="AS170" i="3"/>
  <c r="AC170" i="3"/>
  <c r="AT170" i="3"/>
  <c r="N170" i="3"/>
  <c r="AD170" i="3"/>
  <c r="AU170" i="3"/>
  <c r="AA170" i="3"/>
  <c r="AE170" i="3"/>
  <c r="O170" i="3"/>
  <c r="P170" i="3"/>
  <c r="AG170" i="3"/>
  <c r="AH170" i="3"/>
  <c r="AI170" i="3"/>
  <c r="AJ170" i="3"/>
  <c r="AV170" i="3"/>
  <c r="AW170" i="3"/>
  <c r="S170" i="3"/>
  <c r="V170" i="3"/>
  <c r="AN170" i="3"/>
  <c r="AP170" i="3"/>
  <c r="Q170" i="3"/>
  <c r="R170" i="3"/>
  <c r="U170" i="3"/>
  <c r="W170" i="3"/>
  <c r="AO170" i="3"/>
  <c r="AQ170" i="3"/>
  <c r="P189" i="3"/>
  <c r="AB189" i="3"/>
  <c r="AN189" i="3"/>
  <c r="W189" i="3"/>
  <c r="AJ189" i="3"/>
  <c r="AW189" i="3"/>
  <c r="K189" i="3"/>
  <c r="X189" i="3"/>
  <c r="AK189" i="3"/>
  <c r="AX189" i="3"/>
  <c r="L189" i="3"/>
  <c r="Y189" i="3"/>
  <c r="AL189" i="3"/>
  <c r="R189" i="3"/>
  <c r="AH189" i="3"/>
  <c r="AI189" i="3"/>
  <c r="S189" i="3"/>
  <c r="T189" i="3"/>
  <c r="AM189" i="3"/>
  <c r="M189" i="3"/>
  <c r="AG189" i="3"/>
  <c r="N189" i="3"/>
  <c r="AO189" i="3"/>
  <c r="AQ189" i="3"/>
  <c r="AR189" i="3"/>
  <c r="AS189" i="3"/>
  <c r="O189" i="3"/>
  <c r="AP189" i="3"/>
  <c r="Q189" i="3"/>
  <c r="U189" i="3"/>
  <c r="V189" i="3"/>
  <c r="AE189" i="3"/>
  <c r="AF189" i="3"/>
  <c r="AU189" i="3"/>
  <c r="Z189" i="3"/>
  <c r="AC189" i="3"/>
  <c r="AT189" i="3"/>
  <c r="AV189" i="3"/>
  <c r="AA189" i="3"/>
  <c r="AD189" i="3"/>
  <c r="AA72" i="3"/>
  <c r="AW72" i="3"/>
  <c r="AA102" i="3"/>
  <c r="AX102" i="3"/>
  <c r="T113" i="3"/>
  <c r="AF113" i="3"/>
  <c r="AR113" i="3"/>
  <c r="U113" i="3"/>
  <c r="AG113" i="3"/>
  <c r="AS113" i="3"/>
  <c r="S113" i="3"/>
  <c r="AI113" i="3"/>
  <c r="AW113" i="3"/>
  <c r="V113" i="3"/>
  <c r="AJ113" i="3"/>
  <c r="AX113" i="3"/>
  <c r="W113" i="3"/>
  <c r="AK113" i="3"/>
  <c r="X113" i="3"/>
  <c r="AO113" i="3"/>
  <c r="AB113" i="3"/>
  <c r="AV113" i="3"/>
  <c r="K113" i="3"/>
  <c r="AC113" i="3"/>
  <c r="N113" i="3"/>
  <c r="AM113" i="3"/>
  <c r="O113" i="3"/>
  <c r="AN113" i="3"/>
  <c r="P113" i="3"/>
  <c r="AP113" i="3"/>
  <c r="Q113" i="3"/>
  <c r="AQ113" i="3"/>
  <c r="AT113" i="3"/>
  <c r="AU113" i="3"/>
  <c r="L113" i="3"/>
  <c r="Y113" i="3"/>
  <c r="Z113" i="3"/>
  <c r="AH113" i="3"/>
  <c r="AA113" i="3"/>
  <c r="AD113" i="3"/>
  <c r="AE113" i="3"/>
  <c r="AL113" i="3"/>
  <c r="M113" i="3"/>
  <c r="R113" i="3"/>
  <c r="T125" i="3"/>
  <c r="AF125" i="3"/>
  <c r="AR125" i="3"/>
  <c r="U125" i="3"/>
  <c r="AG125" i="3"/>
  <c r="AS125" i="3"/>
  <c r="O125" i="3"/>
  <c r="AC125" i="3"/>
  <c r="AQ125" i="3"/>
  <c r="P125" i="3"/>
  <c r="AD125" i="3"/>
  <c r="AT125" i="3"/>
  <c r="Q125" i="3"/>
  <c r="AE125" i="3"/>
  <c r="AU125" i="3"/>
  <c r="W125" i="3"/>
  <c r="AN125" i="3"/>
  <c r="AB125" i="3"/>
  <c r="K125" i="3"/>
  <c r="AH125" i="3"/>
  <c r="L125" i="3"/>
  <c r="AK125" i="3"/>
  <c r="M125" i="3"/>
  <c r="AL125" i="3"/>
  <c r="N125" i="3"/>
  <c r="AM125" i="3"/>
  <c r="AP125" i="3"/>
  <c r="AV125" i="3"/>
  <c r="R125" i="3"/>
  <c r="AW125" i="3"/>
  <c r="AO125" i="3"/>
  <c r="AX125" i="3"/>
  <c r="S125" i="3"/>
  <c r="V125" i="3"/>
  <c r="X125" i="3"/>
  <c r="Z125" i="3"/>
  <c r="AI125" i="3"/>
  <c r="Y125" i="3"/>
  <c r="AA125" i="3"/>
  <c r="AJ125" i="3"/>
  <c r="R149" i="3"/>
  <c r="AD149" i="3"/>
  <c r="AP149" i="3"/>
  <c r="S149" i="3"/>
  <c r="AF149" i="3"/>
  <c r="AS149" i="3"/>
  <c r="P149" i="3"/>
  <c r="AE149" i="3"/>
  <c r="AT149" i="3"/>
  <c r="Q149" i="3"/>
  <c r="AG149" i="3"/>
  <c r="AU149" i="3"/>
  <c r="T149" i="3"/>
  <c r="AH149" i="3"/>
  <c r="AV149" i="3"/>
  <c r="V149" i="3"/>
  <c r="AM149" i="3"/>
  <c r="W149" i="3"/>
  <c r="AN149" i="3"/>
  <c r="X149" i="3"/>
  <c r="AO149" i="3"/>
  <c r="M149" i="3"/>
  <c r="AL149" i="3"/>
  <c r="N149" i="3"/>
  <c r="AQ149" i="3"/>
  <c r="AW149" i="3"/>
  <c r="AX149" i="3"/>
  <c r="O149" i="3"/>
  <c r="AR149" i="3"/>
  <c r="U149" i="3"/>
  <c r="Y149" i="3"/>
  <c r="Z149" i="3"/>
  <c r="AA149" i="3"/>
  <c r="AI149" i="3"/>
  <c r="AJ149" i="3"/>
  <c r="L149" i="3"/>
  <c r="AB149" i="3"/>
  <c r="AC149" i="3"/>
  <c r="AK149" i="3"/>
  <c r="K149" i="3"/>
  <c r="BR30" i="3"/>
  <c r="AX72" i="3"/>
  <c r="AC102" i="3"/>
  <c r="L106" i="3"/>
  <c r="X106" i="3"/>
  <c r="AJ106" i="3"/>
  <c r="AV106" i="3"/>
  <c r="M106" i="3"/>
  <c r="Y106" i="3"/>
  <c r="AK106" i="3"/>
  <c r="AW106" i="3"/>
  <c r="K106" i="3"/>
  <c r="AA106" i="3"/>
  <c r="AO106" i="3"/>
  <c r="N106" i="3"/>
  <c r="AB106" i="3"/>
  <c r="AP106" i="3"/>
  <c r="O106" i="3"/>
  <c r="AC106" i="3"/>
  <c r="AQ106" i="3"/>
  <c r="P106" i="3"/>
  <c r="AG106" i="3"/>
  <c r="Q106" i="3"/>
  <c r="AI106" i="3"/>
  <c r="R106" i="3"/>
  <c r="AL106" i="3"/>
  <c r="S106" i="3"/>
  <c r="AR106" i="3"/>
  <c r="T106" i="3"/>
  <c r="AS106" i="3"/>
  <c r="U106" i="3"/>
  <c r="AT106" i="3"/>
  <c r="V106" i="3"/>
  <c r="AU106" i="3"/>
  <c r="W106" i="3"/>
  <c r="Z106" i="3"/>
  <c r="AD106" i="3"/>
  <c r="AE106" i="3"/>
  <c r="AF106" i="3"/>
  <c r="AH106" i="3"/>
  <c r="AM106" i="3"/>
  <c r="AN106" i="3"/>
  <c r="AX106" i="3"/>
  <c r="V154" i="3"/>
  <c r="AH154" i="3"/>
  <c r="AT154" i="3"/>
  <c r="O154" i="3"/>
  <c r="AB154" i="3"/>
  <c r="AO154" i="3"/>
  <c r="Q154" i="3"/>
  <c r="AE154" i="3"/>
  <c r="AS154" i="3"/>
  <c r="R154" i="3"/>
  <c r="AF154" i="3"/>
  <c r="AU154" i="3"/>
  <c r="S154" i="3"/>
  <c r="AG154" i="3"/>
  <c r="AV154" i="3"/>
  <c r="K154" i="3"/>
  <c r="AC154" i="3"/>
  <c r="AX154" i="3"/>
  <c r="L154" i="3"/>
  <c r="AD154" i="3"/>
  <c r="M154" i="3"/>
  <c r="AI154" i="3"/>
  <c r="T154" i="3"/>
  <c r="AP154" i="3"/>
  <c r="U154" i="3"/>
  <c r="AQ154" i="3"/>
  <c r="AW154" i="3"/>
  <c r="W154" i="3"/>
  <c r="AR154" i="3"/>
  <c r="X154" i="3"/>
  <c r="Y154" i="3"/>
  <c r="Z154" i="3"/>
  <c r="AA154" i="3"/>
  <c r="N154" i="3"/>
  <c r="P154" i="3"/>
  <c r="AK154" i="3"/>
  <c r="AM154" i="3"/>
  <c r="AJ154" i="3"/>
  <c r="AL154" i="3"/>
  <c r="AN154" i="3"/>
  <c r="L178" i="3"/>
  <c r="X178" i="3"/>
  <c r="AJ178" i="3"/>
  <c r="AV178" i="3"/>
  <c r="R178" i="3"/>
  <c r="AE178" i="3"/>
  <c r="AR178" i="3"/>
  <c r="S178" i="3"/>
  <c r="AF178" i="3"/>
  <c r="AS178" i="3"/>
  <c r="T178" i="3"/>
  <c r="AG178" i="3"/>
  <c r="AT178" i="3"/>
  <c r="V178" i="3"/>
  <c r="AM178" i="3"/>
  <c r="W178" i="3"/>
  <c r="AN178" i="3"/>
  <c r="Y178" i="3"/>
  <c r="AO178" i="3"/>
  <c r="K178" i="3"/>
  <c r="AH178" i="3"/>
  <c r="M178" i="3"/>
  <c r="AI178" i="3"/>
  <c r="O178" i="3"/>
  <c r="P178" i="3"/>
  <c r="Q178" i="3"/>
  <c r="N178" i="3"/>
  <c r="AK178" i="3"/>
  <c r="AL178" i="3"/>
  <c r="AP178" i="3"/>
  <c r="AQ178" i="3"/>
  <c r="Z178" i="3"/>
  <c r="AB178" i="3"/>
  <c r="AD178" i="3"/>
  <c r="AW178" i="3"/>
  <c r="U178" i="3"/>
  <c r="AA178" i="3"/>
  <c r="AC178" i="3"/>
  <c r="AU178" i="3"/>
  <c r="AX178" i="3"/>
  <c r="T185" i="3"/>
  <c r="AF185" i="3"/>
  <c r="AR185" i="3"/>
  <c r="M185" i="3"/>
  <c r="Z185" i="3"/>
  <c r="AM185" i="3"/>
  <c r="N185" i="3"/>
  <c r="AA185" i="3"/>
  <c r="AN185" i="3"/>
  <c r="O185" i="3"/>
  <c r="AB185" i="3"/>
  <c r="AO185" i="3"/>
  <c r="U185" i="3"/>
  <c r="AK185" i="3"/>
  <c r="AL185" i="3"/>
  <c r="V185" i="3"/>
  <c r="W185" i="3"/>
  <c r="AP185" i="3"/>
  <c r="AG185" i="3"/>
  <c r="K185" i="3"/>
  <c r="AH185" i="3"/>
  <c r="P185" i="3"/>
  <c r="Q185" i="3"/>
  <c r="R185" i="3"/>
  <c r="L185" i="3"/>
  <c r="AI185" i="3"/>
  <c r="AJ185" i="3"/>
  <c r="AQ185" i="3"/>
  <c r="AS185" i="3"/>
  <c r="AX185" i="3"/>
  <c r="X185" i="3"/>
  <c r="AC185" i="3"/>
  <c r="AE185" i="3"/>
  <c r="AU185" i="3"/>
  <c r="AW185" i="3"/>
  <c r="S185" i="3"/>
  <c r="Y185" i="3"/>
  <c r="AD185" i="3"/>
  <c r="AT185" i="3"/>
  <c r="AV185" i="3"/>
  <c r="AU2" i="3"/>
  <c r="AE72" i="3"/>
  <c r="P123" i="3"/>
  <c r="AB123" i="3"/>
  <c r="AN123" i="3"/>
  <c r="Q123" i="3"/>
  <c r="AC123" i="3"/>
  <c r="AO123" i="3"/>
  <c r="W123" i="3"/>
  <c r="AK123" i="3"/>
  <c r="X123" i="3"/>
  <c r="AL123" i="3"/>
  <c r="K123" i="3"/>
  <c r="Y123" i="3"/>
  <c r="AM123" i="3"/>
  <c r="Z123" i="3"/>
  <c r="AS123" i="3"/>
  <c r="AA123" i="3"/>
  <c r="AU123" i="3"/>
  <c r="AD123" i="3"/>
  <c r="AV123" i="3"/>
  <c r="O123" i="3"/>
  <c r="AP123" i="3"/>
  <c r="R123" i="3"/>
  <c r="AQ123" i="3"/>
  <c r="S123" i="3"/>
  <c r="AR123" i="3"/>
  <c r="U123" i="3"/>
  <c r="V123" i="3"/>
  <c r="AE123" i="3"/>
  <c r="AH123" i="3"/>
  <c r="AI123" i="3"/>
  <c r="AT123" i="3"/>
  <c r="AW123" i="3"/>
  <c r="AX123" i="3"/>
  <c r="AJ123" i="3"/>
  <c r="L123" i="3"/>
  <c r="M123" i="3"/>
  <c r="T123" i="3"/>
  <c r="N123" i="3"/>
  <c r="AF123" i="3"/>
  <c r="AG123" i="3"/>
  <c r="N147" i="3"/>
  <c r="Z147" i="3"/>
  <c r="AL147" i="3"/>
  <c r="AX147" i="3"/>
  <c r="T147" i="3"/>
  <c r="AG147" i="3"/>
  <c r="AT147" i="3"/>
  <c r="K147" i="3"/>
  <c r="Y147" i="3"/>
  <c r="AN147" i="3"/>
  <c r="L147" i="3"/>
  <c r="AA147" i="3"/>
  <c r="AO147" i="3"/>
  <c r="M147" i="3"/>
  <c r="AB147" i="3"/>
  <c r="AP147" i="3"/>
  <c r="W147" i="3"/>
  <c r="AR147" i="3"/>
  <c r="X147" i="3"/>
  <c r="AS147" i="3"/>
  <c r="AC147" i="3"/>
  <c r="AU147" i="3"/>
  <c r="R147" i="3"/>
  <c r="AQ147" i="3"/>
  <c r="S147" i="3"/>
  <c r="AV147" i="3"/>
  <c r="V147" i="3"/>
  <c r="AD147" i="3"/>
  <c r="AE147" i="3"/>
  <c r="AF147" i="3"/>
  <c r="U147" i="3"/>
  <c r="AW147" i="3"/>
  <c r="O147" i="3"/>
  <c r="Q147" i="3"/>
  <c r="AI147" i="3"/>
  <c r="P147" i="3"/>
  <c r="AH147" i="3"/>
  <c r="AJ147" i="3"/>
  <c r="AK147" i="3"/>
  <c r="AM147" i="3"/>
  <c r="BP168" i="3"/>
  <c r="K72" i="3"/>
  <c r="Z90" i="3"/>
  <c r="AV90" i="3"/>
  <c r="U96" i="3"/>
  <c r="BR111" i="3"/>
  <c r="T116" i="3"/>
  <c r="AF116" i="3"/>
  <c r="AR116" i="3"/>
  <c r="U116" i="3"/>
  <c r="AG116" i="3"/>
  <c r="AS116" i="3"/>
  <c r="O116" i="3"/>
  <c r="AC116" i="3"/>
  <c r="AQ116" i="3"/>
  <c r="P116" i="3"/>
  <c r="AD116" i="3"/>
  <c r="AT116" i="3"/>
  <c r="Q116" i="3"/>
  <c r="AE116" i="3"/>
  <c r="AU116" i="3"/>
  <c r="R116" i="3"/>
  <c r="AK116" i="3"/>
  <c r="L116" i="3"/>
  <c r="AI116" i="3"/>
  <c r="M116" i="3"/>
  <c r="AJ116" i="3"/>
  <c r="V116" i="3"/>
  <c r="AP116" i="3"/>
  <c r="W116" i="3"/>
  <c r="AV116" i="3"/>
  <c r="X116" i="3"/>
  <c r="AW116" i="3"/>
  <c r="AH116" i="3"/>
  <c r="AL116" i="3"/>
  <c r="AM116" i="3"/>
  <c r="AX116" i="3"/>
  <c r="S116" i="3"/>
  <c r="K116" i="3"/>
  <c r="N116" i="3"/>
  <c r="Y116" i="3"/>
  <c r="Z116" i="3"/>
  <c r="AO116" i="3"/>
  <c r="AA116" i="3"/>
  <c r="AB116" i="3"/>
  <c r="AN116" i="3"/>
  <c r="R140" i="3"/>
  <c r="AD140" i="3"/>
  <c r="AP140" i="3"/>
  <c r="L140" i="3"/>
  <c r="Y140" i="3"/>
  <c r="AL140" i="3"/>
  <c r="M140" i="3"/>
  <c r="Z140" i="3"/>
  <c r="AM140" i="3"/>
  <c r="AA140" i="3"/>
  <c r="AQ140" i="3"/>
  <c r="K140" i="3"/>
  <c r="AB140" i="3"/>
  <c r="AR140" i="3"/>
  <c r="N140" i="3"/>
  <c r="AC140" i="3"/>
  <c r="AS140" i="3"/>
  <c r="P140" i="3"/>
  <c r="AI140" i="3"/>
  <c r="Q140" i="3"/>
  <c r="AJ140" i="3"/>
  <c r="S140" i="3"/>
  <c r="AK140" i="3"/>
  <c r="V140" i="3"/>
  <c r="AW140" i="3"/>
  <c r="W140" i="3"/>
  <c r="AX140" i="3"/>
  <c r="AE140" i="3"/>
  <c r="AF140" i="3"/>
  <c r="AG140" i="3"/>
  <c r="AH140" i="3"/>
  <c r="X140" i="3"/>
  <c r="U140" i="3"/>
  <c r="AO140" i="3"/>
  <c r="AT140" i="3"/>
  <c r="AU140" i="3"/>
  <c r="O140" i="3"/>
  <c r="T140" i="3"/>
  <c r="AN140" i="3"/>
  <c r="AV140" i="3"/>
  <c r="R152" i="3"/>
  <c r="AD152" i="3"/>
  <c r="AP152" i="3"/>
  <c r="P152" i="3"/>
  <c r="AC152" i="3"/>
  <c r="AQ152" i="3"/>
  <c r="K152" i="3"/>
  <c r="Y152" i="3"/>
  <c r="AM152" i="3"/>
  <c r="L152" i="3"/>
  <c r="Z152" i="3"/>
  <c r="AN152" i="3"/>
  <c r="M152" i="3"/>
  <c r="AA152" i="3"/>
  <c r="AO152" i="3"/>
  <c r="O152" i="3"/>
  <c r="AH152" i="3"/>
  <c r="Q152" i="3"/>
  <c r="AI152" i="3"/>
  <c r="S152" i="3"/>
  <c r="AJ152" i="3"/>
  <c r="V152" i="3"/>
  <c r="AU152" i="3"/>
  <c r="W152" i="3"/>
  <c r="AV152" i="3"/>
  <c r="AB152" i="3"/>
  <c r="AE152" i="3"/>
  <c r="AF152" i="3"/>
  <c r="AG152" i="3"/>
  <c r="X152" i="3"/>
  <c r="AW152" i="3"/>
  <c r="AX152" i="3"/>
  <c r="AL152" i="3"/>
  <c r="AR152" i="3"/>
  <c r="T152" i="3"/>
  <c r="U152" i="3"/>
  <c r="AK152" i="3"/>
  <c r="AS152" i="3"/>
  <c r="AT152" i="3"/>
  <c r="N152" i="3"/>
  <c r="R164" i="3"/>
  <c r="AD164" i="3"/>
  <c r="AP164" i="3"/>
  <c r="U164" i="3"/>
  <c r="AH164" i="3"/>
  <c r="AU164" i="3"/>
  <c r="P164" i="3"/>
  <c r="AE164" i="3"/>
  <c r="AS164" i="3"/>
  <c r="Q164" i="3"/>
  <c r="AF164" i="3"/>
  <c r="AT164" i="3"/>
  <c r="S164" i="3"/>
  <c r="AG164" i="3"/>
  <c r="AV164" i="3"/>
  <c r="K164" i="3"/>
  <c r="AB164" i="3"/>
  <c r="AX164" i="3"/>
  <c r="L164" i="3"/>
  <c r="AC164" i="3"/>
  <c r="M164" i="3"/>
  <c r="AI164" i="3"/>
  <c r="X164" i="3"/>
  <c r="AW164" i="3"/>
  <c r="Y164" i="3"/>
  <c r="Z164" i="3"/>
  <c r="AA164" i="3"/>
  <c r="AJ164" i="3"/>
  <c r="AK164" i="3"/>
  <c r="AL164" i="3"/>
  <c r="AO164" i="3"/>
  <c r="AQ164" i="3"/>
  <c r="N164" i="3"/>
  <c r="T164" i="3"/>
  <c r="W164" i="3"/>
  <c r="AN164" i="3"/>
  <c r="AR164" i="3"/>
  <c r="O164" i="3"/>
  <c r="V164" i="3"/>
  <c r="AM164" i="3"/>
  <c r="T176" i="3"/>
  <c r="AF176" i="3"/>
  <c r="AR176" i="3"/>
  <c r="S176" i="3"/>
  <c r="AG176" i="3"/>
  <c r="AT176" i="3"/>
  <c r="U176" i="3"/>
  <c r="AH176" i="3"/>
  <c r="AU176" i="3"/>
  <c r="V176" i="3"/>
  <c r="AI176" i="3"/>
  <c r="AV176" i="3"/>
  <c r="N176" i="3"/>
  <c r="AD176" i="3"/>
  <c r="AX176" i="3"/>
  <c r="O176" i="3"/>
  <c r="AE176" i="3"/>
  <c r="P176" i="3"/>
  <c r="AJ176" i="3"/>
  <c r="W176" i="3"/>
  <c r="AP176" i="3"/>
  <c r="X176" i="3"/>
  <c r="AQ176" i="3"/>
  <c r="AW176" i="3"/>
  <c r="Y176" i="3"/>
  <c r="AS176" i="3"/>
  <c r="Z176" i="3"/>
  <c r="AA176" i="3"/>
  <c r="AB176" i="3"/>
  <c r="AN176" i="3"/>
  <c r="AO176" i="3"/>
  <c r="K176" i="3"/>
  <c r="M176" i="3"/>
  <c r="R176" i="3"/>
  <c r="AK176" i="3"/>
  <c r="AM176" i="3"/>
  <c r="L176" i="3"/>
  <c r="Q176" i="3"/>
  <c r="AC176" i="3"/>
  <c r="AL176" i="3"/>
  <c r="P183" i="3"/>
  <c r="AB183" i="3"/>
  <c r="AN183" i="3"/>
  <c r="N183" i="3"/>
  <c r="AA183" i="3"/>
  <c r="AO183" i="3"/>
  <c r="O183" i="3"/>
  <c r="AC183" i="3"/>
  <c r="AP183" i="3"/>
  <c r="Q183" i="3"/>
  <c r="AD183" i="3"/>
  <c r="AQ183" i="3"/>
  <c r="L183" i="3"/>
  <c r="AF183" i="3"/>
  <c r="AV183" i="3"/>
  <c r="AG183" i="3"/>
  <c r="M183" i="3"/>
  <c r="AW183" i="3"/>
  <c r="R183" i="3"/>
  <c r="AH183" i="3"/>
  <c r="AX183" i="3"/>
  <c r="U183" i="3"/>
  <c r="AR183" i="3"/>
  <c r="V183" i="3"/>
  <c r="AS183" i="3"/>
  <c r="AU183" i="3"/>
  <c r="W183" i="3"/>
  <c r="AT183" i="3"/>
  <c r="X183" i="3"/>
  <c r="Y183" i="3"/>
  <c r="Z183" i="3"/>
  <c r="AL183" i="3"/>
  <c r="AM183" i="3"/>
  <c r="K183" i="3"/>
  <c r="T183" i="3"/>
  <c r="AI183" i="3"/>
  <c r="AK183" i="3"/>
  <c r="S183" i="3"/>
  <c r="AE183" i="3"/>
  <c r="AJ183" i="3"/>
  <c r="AW2" i="3"/>
  <c r="AN59" i="3"/>
  <c r="L72" i="3"/>
  <c r="AW90" i="3"/>
  <c r="Y97" i="3"/>
  <c r="AH102" i="3"/>
  <c r="L109" i="3"/>
  <c r="X109" i="3"/>
  <c r="AJ109" i="3"/>
  <c r="AV109" i="3"/>
  <c r="M109" i="3"/>
  <c r="Y109" i="3"/>
  <c r="AK109" i="3"/>
  <c r="AW109" i="3"/>
  <c r="U109" i="3"/>
  <c r="AI109" i="3"/>
  <c r="V109" i="3"/>
  <c r="AL109" i="3"/>
  <c r="W109" i="3"/>
  <c r="AM109" i="3"/>
  <c r="AC109" i="3"/>
  <c r="AT109" i="3"/>
  <c r="S109" i="3"/>
  <c r="AP109" i="3"/>
  <c r="T109" i="3"/>
  <c r="AQ109" i="3"/>
  <c r="Z109" i="3"/>
  <c r="AU109" i="3"/>
  <c r="AA109" i="3"/>
  <c r="AX109" i="3"/>
  <c r="AB109" i="3"/>
  <c r="AD109" i="3"/>
  <c r="O109" i="3"/>
  <c r="P109" i="3"/>
  <c r="Q109" i="3"/>
  <c r="R109" i="3"/>
  <c r="N109" i="3"/>
  <c r="AE109" i="3"/>
  <c r="AG109" i="3"/>
  <c r="AH109" i="3"/>
  <c r="AO109" i="3"/>
  <c r="AF109" i="3"/>
  <c r="AS109" i="3"/>
  <c r="K109" i="3"/>
  <c r="AN109" i="3"/>
  <c r="AR109" i="3"/>
  <c r="L121" i="3"/>
  <c r="X121" i="3"/>
  <c r="AJ121" i="3"/>
  <c r="AV121" i="3"/>
  <c r="M121" i="3"/>
  <c r="Y121" i="3"/>
  <c r="AK121" i="3"/>
  <c r="AW121" i="3"/>
  <c r="Q121" i="3"/>
  <c r="AE121" i="3"/>
  <c r="AS121" i="3"/>
  <c r="R121" i="3"/>
  <c r="AF121" i="3"/>
  <c r="AT121" i="3"/>
  <c r="S121" i="3"/>
  <c r="AG121" i="3"/>
  <c r="AU121" i="3"/>
  <c r="AB121" i="3"/>
  <c r="AX121" i="3"/>
  <c r="V121" i="3"/>
  <c r="AP121" i="3"/>
  <c r="W121" i="3"/>
  <c r="AQ121" i="3"/>
  <c r="T121" i="3"/>
  <c r="AR121" i="3"/>
  <c r="U121" i="3"/>
  <c r="Z121" i="3"/>
  <c r="AI121" i="3"/>
  <c r="AL121" i="3"/>
  <c r="AM121" i="3"/>
  <c r="AA121" i="3"/>
  <c r="AC121" i="3"/>
  <c r="AH121" i="3"/>
  <c r="AN121" i="3"/>
  <c r="AO121" i="3"/>
  <c r="AD121" i="3"/>
  <c r="P121" i="3"/>
  <c r="K121" i="3"/>
  <c r="N121" i="3"/>
  <c r="O121" i="3"/>
  <c r="V145" i="3"/>
  <c r="AH145" i="3"/>
  <c r="AT145" i="3"/>
  <c r="U145" i="3"/>
  <c r="AI145" i="3"/>
  <c r="AV145" i="3"/>
  <c r="W145" i="3"/>
  <c r="AJ145" i="3"/>
  <c r="AW145" i="3"/>
  <c r="O145" i="3"/>
  <c r="AD145" i="3"/>
  <c r="AS145" i="3"/>
  <c r="P145" i="3"/>
  <c r="AE145" i="3"/>
  <c r="AU145" i="3"/>
  <c r="Q145" i="3"/>
  <c r="AF145" i="3"/>
  <c r="AX145" i="3"/>
  <c r="Y145" i="3"/>
  <c r="AQ145" i="3"/>
  <c r="Z145" i="3"/>
  <c r="AR145" i="3"/>
  <c r="AA145" i="3"/>
  <c r="R145" i="3"/>
  <c r="AP145" i="3"/>
  <c r="S145" i="3"/>
  <c r="T145" i="3"/>
  <c r="X145" i="3"/>
  <c r="AB145" i="3"/>
  <c r="AC145" i="3"/>
  <c r="AG145" i="3"/>
  <c r="K145" i="3"/>
  <c r="L145" i="3"/>
  <c r="N145" i="3"/>
  <c r="AL145" i="3"/>
  <c r="AN145" i="3"/>
  <c r="M145" i="3"/>
  <c r="AK145" i="3"/>
  <c r="AM145" i="3"/>
  <c r="AO145" i="3"/>
  <c r="L169" i="3"/>
  <c r="X169" i="3"/>
  <c r="AJ169" i="3"/>
  <c r="AV169" i="3"/>
  <c r="K169" i="3"/>
  <c r="Y169" i="3"/>
  <c r="AL169" i="3"/>
  <c r="M169" i="3"/>
  <c r="Z169" i="3"/>
  <c r="AM169" i="3"/>
  <c r="N169" i="3"/>
  <c r="AA169" i="3"/>
  <c r="AN169" i="3"/>
  <c r="P169" i="3"/>
  <c r="AF169" i="3"/>
  <c r="AW169" i="3"/>
  <c r="Q169" i="3"/>
  <c r="AG169" i="3"/>
  <c r="AX169" i="3"/>
  <c r="R169" i="3"/>
  <c r="AH169" i="3"/>
  <c r="U169" i="3"/>
  <c r="AR169" i="3"/>
  <c r="V169" i="3"/>
  <c r="AS169" i="3"/>
  <c r="AU169" i="3"/>
  <c r="W169" i="3"/>
  <c r="AT169" i="3"/>
  <c r="AB169" i="3"/>
  <c r="AC169" i="3"/>
  <c r="AD169" i="3"/>
  <c r="AP169" i="3"/>
  <c r="AQ169" i="3"/>
  <c r="O169" i="3"/>
  <c r="T169" i="3"/>
  <c r="AI169" i="3"/>
  <c r="AO169" i="3"/>
  <c r="S169" i="3"/>
  <c r="AE169" i="3"/>
  <c r="AK169" i="3"/>
  <c r="BP178" i="3"/>
  <c r="L181" i="3"/>
  <c r="X181" i="3"/>
  <c r="AJ181" i="3"/>
  <c r="AV181" i="3"/>
  <c r="P181" i="3"/>
  <c r="AC181" i="3"/>
  <c r="AP181" i="3"/>
  <c r="Q181" i="3"/>
  <c r="AD181" i="3"/>
  <c r="AQ181" i="3"/>
  <c r="R181" i="3"/>
  <c r="AE181" i="3"/>
  <c r="AR181" i="3"/>
  <c r="W181" i="3"/>
  <c r="AN181" i="3"/>
  <c r="AO181" i="3"/>
  <c r="Y181" i="3"/>
  <c r="Z181" i="3"/>
  <c r="AS181" i="3"/>
  <c r="AF181" i="3"/>
  <c r="AG181" i="3"/>
  <c r="AI181" i="3"/>
  <c r="AK181" i="3"/>
  <c r="AL181" i="3"/>
  <c r="K181" i="3"/>
  <c r="AH181" i="3"/>
  <c r="M181" i="3"/>
  <c r="N181" i="3"/>
  <c r="O181" i="3"/>
  <c r="AA181" i="3"/>
  <c r="AB181" i="3"/>
  <c r="AM181" i="3"/>
  <c r="AU181" i="3"/>
  <c r="AX181" i="3"/>
  <c r="T181" i="3"/>
  <c r="V181" i="3"/>
  <c r="AT181" i="3"/>
  <c r="AW181" i="3"/>
  <c r="S181" i="3"/>
  <c r="U181" i="3"/>
  <c r="T188" i="3"/>
  <c r="AF188" i="3"/>
  <c r="AR188" i="3"/>
  <c r="K188" i="3"/>
  <c r="X188" i="3"/>
  <c r="AK188" i="3"/>
  <c r="AX188" i="3"/>
  <c r="L188" i="3"/>
  <c r="Y188" i="3"/>
  <c r="AL188" i="3"/>
  <c r="M188" i="3"/>
  <c r="Z188" i="3"/>
  <c r="AM188" i="3"/>
  <c r="V188" i="3"/>
  <c r="AO188" i="3"/>
  <c r="AP188" i="3"/>
  <c r="W188" i="3"/>
  <c r="AA188" i="3"/>
  <c r="AQ188" i="3"/>
  <c r="AD188" i="3"/>
  <c r="AE188" i="3"/>
  <c r="AH188" i="3"/>
  <c r="AI188" i="3"/>
  <c r="AJ188" i="3"/>
  <c r="AG188" i="3"/>
  <c r="N188" i="3"/>
  <c r="O188" i="3"/>
  <c r="P188" i="3"/>
  <c r="AB188" i="3"/>
  <c r="AC188" i="3"/>
  <c r="AN188" i="3"/>
  <c r="AT188" i="3"/>
  <c r="AV188" i="3"/>
  <c r="R188" i="3"/>
  <c r="U188" i="3"/>
  <c r="AS188" i="3"/>
  <c r="AU188" i="3"/>
  <c r="AW188" i="3"/>
  <c r="Q188" i="3"/>
  <c r="S188" i="3"/>
  <c r="P195" i="3"/>
  <c r="AB195" i="3"/>
  <c r="AN195" i="3"/>
  <c r="S195" i="3"/>
  <c r="AF195" i="3"/>
  <c r="AS195" i="3"/>
  <c r="T195" i="3"/>
  <c r="AG195" i="3"/>
  <c r="AT195" i="3"/>
  <c r="U195" i="3"/>
  <c r="AH195" i="3"/>
  <c r="AU195" i="3"/>
  <c r="W195" i="3"/>
  <c r="AM195" i="3"/>
  <c r="X195" i="3"/>
  <c r="AO195" i="3"/>
  <c r="Y195" i="3"/>
  <c r="AP195" i="3"/>
  <c r="AC195" i="3"/>
  <c r="AD195" i="3"/>
  <c r="AI195" i="3"/>
  <c r="AJ195" i="3"/>
  <c r="AK195" i="3"/>
  <c r="K195" i="3"/>
  <c r="AE195" i="3"/>
  <c r="L195" i="3"/>
  <c r="M195" i="3"/>
  <c r="N195" i="3"/>
  <c r="Z195" i="3"/>
  <c r="AA195" i="3"/>
  <c r="AL195" i="3"/>
  <c r="AR195" i="3"/>
  <c r="AW195" i="3"/>
  <c r="Q195" i="3"/>
  <c r="V195" i="3"/>
  <c r="AQ195" i="3"/>
  <c r="AV195" i="3"/>
  <c r="AX195" i="3"/>
  <c r="O195" i="3"/>
  <c r="R195" i="3"/>
  <c r="BH2" i="3"/>
  <c r="AS59" i="3"/>
  <c r="M72" i="3"/>
  <c r="AI72" i="3"/>
  <c r="O78" i="3"/>
  <c r="AI86" i="3"/>
  <c r="AC90" i="3"/>
  <c r="AX90" i="3"/>
  <c r="Y96" i="3"/>
  <c r="L102" i="3"/>
  <c r="P114" i="3"/>
  <c r="AB114" i="3"/>
  <c r="AN114" i="3"/>
  <c r="Q114" i="3"/>
  <c r="AC114" i="3"/>
  <c r="AO114" i="3"/>
  <c r="W114" i="3"/>
  <c r="AK114" i="3"/>
  <c r="X114" i="3"/>
  <c r="AL114" i="3"/>
  <c r="K114" i="3"/>
  <c r="Y114" i="3"/>
  <c r="AM114" i="3"/>
  <c r="T114" i="3"/>
  <c r="AP114" i="3"/>
  <c r="AE114" i="3"/>
  <c r="AW114" i="3"/>
  <c r="L114" i="3"/>
  <c r="AF114" i="3"/>
  <c r="AX114" i="3"/>
  <c r="V114" i="3"/>
  <c r="AU114" i="3"/>
  <c r="Z114" i="3"/>
  <c r="AV114" i="3"/>
  <c r="AA114" i="3"/>
  <c r="AD114" i="3"/>
  <c r="AQ114" i="3"/>
  <c r="AR114" i="3"/>
  <c r="M114" i="3"/>
  <c r="AS114" i="3"/>
  <c r="AG114" i="3"/>
  <c r="AH114" i="3"/>
  <c r="AJ114" i="3"/>
  <c r="AT114" i="3"/>
  <c r="AI114" i="3"/>
  <c r="O114" i="3"/>
  <c r="S114" i="3"/>
  <c r="N114" i="3"/>
  <c r="R114" i="3"/>
  <c r="U114" i="3"/>
  <c r="P126" i="3"/>
  <c r="AB126" i="3"/>
  <c r="AN126" i="3"/>
  <c r="Q126" i="3"/>
  <c r="AC126" i="3"/>
  <c r="AO126" i="3"/>
  <c r="S126" i="3"/>
  <c r="AG126" i="3"/>
  <c r="AU126" i="3"/>
  <c r="T126" i="3"/>
  <c r="AH126" i="3"/>
  <c r="AV126" i="3"/>
  <c r="U126" i="3"/>
  <c r="AI126" i="3"/>
  <c r="AW126" i="3"/>
  <c r="V126" i="3"/>
  <c r="AM126" i="3"/>
  <c r="K126" i="3"/>
  <c r="AE126" i="3"/>
  <c r="L126" i="3"/>
  <c r="AF126" i="3"/>
  <c r="W126" i="3"/>
  <c r="AS126" i="3"/>
  <c r="X126" i="3"/>
  <c r="AT126" i="3"/>
  <c r="Y126" i="3"/>
  <c r="AX126" i="3"/>
  <c r="AK126" i="3"/>
  <c r="AL126" i="3"/>
  <c r="AP126" i="3"/>
  <c r="N126" i="3"/>
  <c r="O126" i="3"/>
  <c r="R126" i="3"/>
  <c r="Z126" i="3"/>
  <c r="M126" i="3"/>
  <c r="AQ126" i="3"/>
  <c r="AA126" i="3"/>
  <c r="AD126" i="3"/>
  <c r="AJ126" i="3"/>
  <c r="AR126" i="3"/>
  <c r="N138" i="3"/>
  <c r="Z138" i="3"/>
  <c r="AL138" i="3"/>
  <c r="AX138" i="3"/>
  <c r="M138" i="3"/>
  <c r="AA138" i="3"/>
  <c r="AN138" i="3"/>
  <c r="O138" i="3"/>
  <c r="AB138" i="3"/>
  <c r="AO138" i="3"/>
  <c r="K138" i="3"/>
  <c r="AC138" i="3"/>
  <c r="AR138" i="3"/>
  <c r="L138" i="3"/>
  <c r="AD138" i="3"/>
  <c r="AS138" i="3"/>
  <c r="P138" i="3"/>
  <c r="AE138" i="3"/>
  <c r="AT138" i="3"/>
  <c r="AG138" i="3"/>
  <c r="AH138" i="3"/>
  <c r="Q138" i="3"/>
  <c r="AI138" i="3"/>
  <c r="T138" i="3"/>
  <c r="AU138" i="3"/>
  <c r="AV138" i="3"/>
  <c r="U138" i="3"/>
  <c r="V138" i="3"/>
  <c r="AW138" i="3"/>
  <c r="W138" i="3"/>
  <c r="X138" i="3"/>
  <c r="Y138" i="3"/>
  <c r="AF138" i="3"/>
  <c r="R138" i="3"/>
  <c r="AK138" i="3"/>
  <c r="AP138" i="3"/>
  <c r="S138" i="3"/>
  <c r="AJ138" i="3"/>
  <c r="AM138" i="3"/>
  <c r="AQ138" i="3"/>
  <c r="N150" i="3"/>
  <c r="Z150" i="3"/>
  <c r="AL150" i="3"/>
  <c r="AX150" i="3"/>
  <c r="R150" i="3"/>
  <c r="AE150" i="3"/>
  <c r="AR150" i="3"/>
  <c r="T150" i="3"/>
  <c r="AH150" i="3"/>
  <c r="AV150" i="3"/>
  <c r="U150" i="3"/>
  <c r="AI150" i="3"/>
  <c r="AW150" i="3"/>
  <c r="V150" i="3"/>
  <c r="AJ150" i="3"/>
  <c r="Q150" i="3"/>
  <c r="AM150" i="3"/>
  <c r="S150" i="3"/>
  <c r="AN150" i="3"/>
  <c r="W150" i="3"/>
  <c r="AO150" i="3"/>
  <c r="AA150" i="3"/>
  <c r="AB150" i="3"/>
  <c r="K150" i="3"/>
  <c r="L150" i="3"/>
  <c r="AC150" i="3"/>
  <c r="AD150" i="3"/>
  <c r="AF150" i="3"/>
  <c r="AG150" i="3"/>
  <c r="AK150" i="3"/>
  <c r="AU150" i="3"/>
  <c r="O150" i="3"/>
  <c r="X150" i="3"/>
  <c r="AP150" i="3"/>
  <c r="M150" i="3"/>
  <c r="P150" i="3"/>
  <c r="Y150" i="3"/>
  <c r="AQ150" i="3"/>
  <c r="AS150" i="3"/>
  <c r="AT150" i="3"/>
  <c r="BP159" i="3"/>
  <c r="N162" i="3"/>
  <c r="Z162" i="3"/>
  <c r="AL162" i="3"/>
  <c r="AX162" i="3"/>
  <c r="V162" i="3"/>
  <c r="AI162" i="3"/>
  <c r="AV162" i="3"/>
  <c r="K162" i="3"/>
  <c r="Y162" i="3"/>
  <c r="AN162" i="3"/>
  <c r="L162" i="3"/>
  <c r="AA162" i="3"/>
  <c r="AO162" i="3"/>
  <c r="M162" i="3"/>
  <c r="AB162" i="3"/>
  <c r="AP162" i="3"/>
  <c r="P162" i="3"/>
  <c r="AG162" i="3"/>
  <c r="Q162" i="3"/>
  <c r="AH162" i="3"/>
  <c r="R162" i="3"/>
  <c r="AJ162" i="3"/>
  <c r="AC162" i="3"/>
  <c r="AD162" i="3"/>
  <c r="AF162" i="3"/>
  <c r="AK162" i="3"/>
  <c r="AM162" i="3"/>
  <c r="AQ162" i="3"/>
  <c r="AE162" i="3"/>
  <c r="O162" i="3"/>
  <c r="U162" i="3"/>
  <c r="X162" i="3"/>
  <c r="AS162" i="3"/>
  <c r="AU162" i="3"/>
  <c r="S162" i="3"/>
  <c r="T162" i="3"/>
  <c r="W162" i="3"/>
  <c r="AR162" i="3"/>
  <c r="AT162" i="3"/>
  <c r="AW162" i="3"/>
  <c r="P174" i="3"/>
  <c r="AB174" i="3"/>
  <c r="AN174" i="3"/>
  <c r="U174" i="3"/>
  <c r="AH174" i="3"/>
  <c r="AU174" i="3"/>
  <c r="V174" i="3"/>
  <c r="AI174" i="3"/>
  <c r="AV174" i="3"/>
  <c r="W174" i="3"/>
  <c r="AJ174" i="3"/>
  <c r="AW174" i="3"/>
  <c r="Y174" i="3"/>
  <c r="AP174" i="3"/>
  <c r="Z174" i="3"/>
  <c r="AQ174" i="3"/>
  <c r="K174" i="3"/>
  <c r="AA174" i="3"/>
  <c r="AR174" i="3"/>
  <c r="AE174" i="3"/>
  <c r="L174" i="3"/>
  <c r="AF174" i="3"/>
  <c r="AK174" i="3"/>
  <c r="AL174" i="3"/>
  <c r="AM174" i="3"/>
  <c r="M174" i="3"/>
  <c r="AG174" i="3"/>
  <c r="N174" i="3"/>
  <c r="O174" i="3"/>
  <c r="Q174" i="3"/>
  <c r="AC174" i="3"/>
  <c r="AD174" i="3"/>
  <c r="AT174" i="3"/>
  <c r="S174" i="3"/>
  <c r="X174" i="3"/>
  <c r="AO174" i="3"/>
  <c r="AS174" i="3"/>
  <c r="AX174" i="3"/>
  <c r="R174" i="3"/>
  <c r="T174" i="3"/>
  <c r="L193" i="3"/>
  <c r="X193" i="3"/>
  <c r="AJ193" i="3"/>
  <c r="AV193" i="3"/>
  <c r="T193" i="3"/>
  <c r="AG193" i="3"/>
  <c r="AT193" i="3"/>
  <c r="U193" i="3"/>
  <c r="AH193" i="3"/>
  <c r="AU193" i="3"/>
  <c r="V193" i="3"/>
  <c r="AI193" i="3"/>
  <c r="AW193" i="3"/>
  <c r="O193" i="3"/>
  <c r="AE193" i="3"/>
  <c r="AF193" i="3"/>
  <c r="P193" i="3"/>
  <c r="Q193" i="3"/>
  <c r="AK193" i="3"/>
  <c r="N193" i="3"/>
  <c r="AN193" i="3"/>
  <c r="R193" i="3"/>
  <c r="AO193" i="3"/>
  <c r="W193" i="3"/>
  <c r="Y193" i="3"/>
  <c r="Z193" i="3"/>
  <c r="S193" i="3"/>
  <c r="AP193" i="3"/>
  <c r="AQ193" i="3"/>
  <c r="AR193" i="3"/>
  <c r="AS193" i="3"/>
  <c r="K193" i="3"/>
  <c r="M193" i="3"/>
  <c r="AA193" i="3"/>
  <c r="AC193" i="3"/>
  <c r="AL193" i="3"/>
  <c r="AX193" i="3"/>
  <c r="AB193" i="3"/>
  <c r="AD193" i="3"/>
  <c r="AM193" i="3"/>
  <c r="AJ102" i="3"/>
  <c r="M2" i="3"/>
  <c r="Q72" i="3"/>
  <c r="AO72" i="3"/>
  <c r="AW77" i="3"/>
  <c r="X82" i="3"/>
  <c r="AF84" i="3"/>
  <c r="L90" i="3"/>
  <c r="T94" i="3"/>
  <c r="AS101" i="3"/>
  <c r="AS102" i="3"/>
  <c r="Y103" i="3"/>
  <c r="P117" i="3"/>
  <c r="AB117" i="3"/>
  <c r="AN117" i="3"/>
  <c r="Q117" i="3"/>
  <c r="AC117" i="3"/>
  <c r="AO117" i="3"/>
  <c r="S117" i="3"/>
  <c r="AG117" i="3"/>
  <c r="AU117" i="3"/>
  <c r="T117" i="3"/>
  <c r="AH117" i="3"/>
  <c r="AV117" i="3"/>
  <c r="U117" i="3"/>
  <c r="AI117" i="3"/>
  <c r="AW117" i="3"/>
  <c r="N117" i="3"/>
  <c r="AJ117" i="3"/>
  <c r="M117" i="3"/>
  <c r="AK117" i="3"/>
  <c r="O117" i="3"/>
  <c r="AL117" i="3"/>
  <c r="AA117" i="3"/>
  <c r="AD117" i="3"/>
  <c r="AE117" i="3"/>
  <c r="Y117" i="3"/>
  <c r="Z117" i="3"/>
  <c r="AF117" i="3"/>
  <c r="AT117" i="3"/>
  <c r="K117" i="3"/>
  <c r="AX117" i="3"/>
  <c r="R117" i="3"/>
  <c r="V117" i="3"/>
  <c r="X117" i="3"/>
  <c r="L117" i="3"/>
  <c r="W117" i="3"/>
  <c r="AP117" i="3"/>
  <c r="AR117" i="3"/>
  <c r="AM117" i="3"/>
  <c r="AQ117" i="3"/>
  <c r="AS117" i="3"/>
  <c r="P129" i="3"/>
  <c r="AB129" i="3"/>
  <c r="AN129" i="3"/>
  <c r="Q129" i="3"/>
  <c r="AC129" i="3"/>
  <c r="AO129" i="3"/>
  <c r="M129" i="3"/>
  <c r="AA129" i="3"/>
  <c r="AQ129" i="3"/>
  <c r="N129" i="3"/>
  <c r="AD129" i="3"/>
  <c r="AR129" i="3"/>
  <c r="O129" i="3"/>
  <c r="AE129" i="3"/>
  <c r="AS129" i="3"/>
  <c r="R129" i="3"/>
  <c r="AI129" i="3"/>
  <c r="S129" i="3"/>
  <c r="AK129" i="3"/>
  <c r="T129" i="3"/>
  <c r="AL129" i="3"/>
  <c r="Y129" i="3"/>
  <c r="AX129" i="3"/>
  <c r="Z129" i="3"/>
  <c r="AF129" i="3"/>
  <c r="L129" i="3"/>
  <c r="AV129" i="3"/>
  <c r="U129" i="3"/>
  <c r="AW129" i="3"/>
  <c r="V129" i="3"/>
  <c r="K129" i="3"/>
  <c r="W129" i="3"/>
  <c r="X129" i="3"/>
  <c r="AG129" i="3"/>
  <c r="AH129" i="3"/>
  <c r="AJ129" i="3"/>
  <c r="AM129" i="3"/>
  <c r="AP129" i="3"/>
  <c r="AT129" i="3"/>
  <c r="AU129" i="3"/>
  <c r="N141" i="3"/>
  <c r="Z141" i="3"/>
  <c r="AL141" i="3"/>
  <c r="AX141" i="3"/>
  <c r="K141" i="3"/>
  <c r="X141" i="3"/>
  <c r="AK141" i="3"/>
  <c r="L141" i="3"/>
  <c r="Y141" i="3"/>
  <c r="AM141" i="3"/>
  <c r="R141" i="3"/>
  <c r="AG141" i="3"/>
  <c r="AV141" i="3"/>
  <c r="S141" i="3"/>
  <c r="AH141" i="3"/>
  <c r="AW141" i="3"/>
  <c r="T141" i="3"/>
  <c r="AI141" i="3"/>
  <c r="P141" i="3"/>
  <c r="AN141" i="3"/>
  <c r="Q141" i="3"/>
  <c r="AO141" i="3"/>
  <c r="U141" i="3"/>
  <c r="AP141" i="3"/>
  <c r="AJ141" i="3"/>
  <c r="AQ141" i="3"/>
  <c r="AS141" i="3"/>
  <c r="AT141" i="3"/>
  <c r="AU141" i="3"/>
  <c r="M141" i="3"/>
  <c r="AR141" i="3"/>
  <c r="O141" i="3"/>
  <c r="V141" i="3"/>
  <c r="W141" i="3"/>
  <c r="AA141" i="3"/>
  <c r="AD141" i="3"/>
  <c r="AE141" i="3"/>
  <c r="AF141" i="3"/>
  <c r="AB141" i="3"/>
  <c r="AC141" i="3"/>
  <c r="N153" i="3"/>
  <c r="Z153" i="3"/>
  <c r="AL153" i="3"/>
  <c r="AX153" i="3"/>
  <c r="P153" i="3"/>
  <c r="AC153" i="3"/>
  <c r="AP153" i="3"/>
  <c r="M153" i="3"/>
  <c r="AB153" i="3"/>
  <c r="AQ153" i="3"/>
  <c r="O153" i="3"/>
  <c r="AD153" i="3"/>
  <c r="AR153" i="3"/>
  <c r="Q153" i="3"/>
  <c r="AE153" i="3"/>
  <c r="AS153" i="3"/>
  <c r="K153" i="3"/>
  <c r="AG153" i="3"/>
  <c r="L153" i="3"/>
  <c r="AH153" i="3"/>
  <c r="R153" i="3"/>
  <c r="AI153" i="3"/>
  <c r="AF153" i="3"/>
  <c r="AJ153" i="3"/>
  <c r="AM153" i="3"/>
  <c r="AN153" i="3"/>
  <c r="AO153" i="3"/>
  <c r="AT153" i="3"/>
  <c r="AK153" i="3"/>
  <c r="S153" i="3"/>
  <c r="T153" i="3"/>
  <c r="U153" i="3"/>
  <c r="V153" i="3"/>
  <c r="X153" i="3"/>
  <c r="AA153" i="3"/>
  <c r="AV153" i="3"/>
  <c r="W153" i="3"/>
  <c r="Y153" i="3"/>
  <c r="AU153" i="3"/>
  <c r="AW153" i="3"/>
  <c r="N165" i="3"/>
  <c r="Z165" i="3"/>
  <c r="AL165" i="3"/>
  <c r="AX165" i="3"/>
  <c r="T165" i="3"/>
  <c r="AG165" i="3"/>
  <c r="AT165" i="3"/>
  <c r="S165" i="3"/>
  <c r="AH165" i="3"/>
  <c r="AV165" i="3"/>
  <c r="U165" i="3"/>
  <c r="AI165" i="3"/>
  <c r="AW165" i="3"/>
  <c r="V165" i="3"/>
  <c r="AJ165" i="3"/>
  <c r="AB165" i="3"/>
  <c r="AS165" i="3"/>
  <c r="K165" i="3"/>
  <c r="AC165" i="3"/>
  <c r="AU165" i="3"/>
  <c r="L165" i="3"/>
  <c r="AD165" i="3"/>
  <c r="AK165" i="3"/>
  <c r="M165" i="3"/>
  <c r="AM165" i="3"/>
  <c r="P165" i="3"/>
  <c r="Q165" i="3"/>
  <c r="R165" i="3"/>
  <c r="W165" i="3"/>
  <c r="O165" i="3"/>
  <c r="AN165" i="3"/>
  <c r="AO165" i="3"/>
  <c r="AP165" i="3"/>
  <c r="AQ165" i="3"/>
  <c r="Y165" i="3"/>
  <c r="AE165" i="3"/>
  <c r="AR165" i="3"/>
  <c r="X165" i="3"/>
  <c r="AA165" i="3"/>
  <c r="AF165" i="3"/>
  <c r="P177" i="3"/>
  <c r="AB177" i="3"/>
  <c r="AN177" i="3"/>
  <c r="S177" i="3"/>
  <c r="AF177" i="3"/>
  <c r="AS177" i="3"/>
  <c r="T177" i="3"/>
  <c r="AG177" i="3"/>
  <c r="AT177" i="3"/>
  <c r="U177" i="3"/>
  <c r="AH177" i="3"/>
  <c r="AU177" i="3"/>
  <c r="Z177" i="3"/>
  <c r="AQ177" i="3"/>
  <c r="K177" i="3"/>
  <c r="AA177" i="3"/>
  <c r="AR177" i="3"/>
  <c r="L177" i="3"/>
  <c r="AC177" i="3"/>
  <c r="AV177" i="3"/>
  <c r="Y177" i="3"/>
  <c r="AD177" i="3"/>
  <c r="M177" i="3"/>
  <c r="N177" i="3"/>
  <c r="AE177" i="3"/>
  <c r="AI177" i="3"/>
  <c r="AJ177" i="3"/>
  <c r="AK177" i="3"/>
  <c r="AW177" i="3"/>
  <c r="AX177" i="3"/>
  <c r="O177" i="3"/>
  <c r="R177" i="3"/>
  <c r="W177" i="3"/>
  <c r="AL177" i="3"/>
  <c r="AO177" i="3"/>
  <c r="Q177" i="3"/>
  <c r="V177" i="3"/>
  <c r="X177" i="3"/>
  <c r="AM177" i="3"/>
  <c r="AP177" i="3"/>
  <c r="BP133" i="3"/>
  <c r="S2" i="3"/>
  <c r="AT62" i="3"/>
  <c r="AK67" i="3"/>
  <c r="U72" i="3"/>
  <c r="AT72" i="3"/>
  <c r="AU74" i="3"/>
  <c r="S75" i="3"/>
  <c r="K81" i="3"/>
  <c r="AO81" i="3"/>
  <c r="Z82" i="3"/>
  <c r="K84" i="3"/>
  <c r="AI84" i="3"/>
  <c r="Z85" i="3"/>
  <c r="N90" i="3"/>
  <c r="V94" i="3"/>
  <c r="T102" i="3"/>
  <c r="AV102" i="3"/>
  <c r="AA103" i="3"/>
  <c r="L115" i="3"/>
  <c r="X115" i="3"/>
  <c r="AJ115" i="3"/>
  <c r="AV115" i="3"/>
  <c r="M115" i="3"/>
  <c r="Y115" i="3"/>
  <c r="AK115" i="3"/>
  <c r="AW115" i="3"/>
  <c r="K115" i="3"/>
  <c r="AA115" i="3"/>
  <c r="AO115" i="3"/>
  <c r="N115" i="3"/>
  <c r="AB115" i="3"/>
  <c r="AP115" i="3"/>
  <c r="O115" i="3"/>
  <c r="AC115" i="3"/>
  <c r="AQ115" i="3"/>
  <c r="S115" i="3"/>
  <c r="AL115" i="3"/>
  <c r="AF115" i="3"/>
  <c r="AG115" i="3"/>
  <c r="AH115" i="3"/>
  <c r="AI115" i="3"/>
  <c r="P115" i="3"/>
  <c r="AM115" i="3"/>
  <c r="Q115" i="3"/>
  <c r="AN115" i="3"/>
  <c r="AR115" i="3"/>
  <c r="AS115" i="3"/>
  <c r="AT115" i="3"/>
  <c r="AE115" i="3"/>
  <c r="AU115" i="3"/>
  <c r="T115" i="3"/>
  <c r="AX115" i="3"/>
  <c r="R115" i="3"/>
  <c r="U115" i="3"/>
  <c r="W115" i="3"/>
  <c r="Z115" i="3"/>
  <c r="AD115" i="3"/>
  <c r="V115" i="3"/>
  <c r="L127" i="3"/>
  <c r="X127" i="3"/>
  <c r="AJ127" i="3"/>
  <c r="AV127" i="3"/>
  <c r="M127" i="3"/>
  <c r="Y127" i="3"/>
  <c r="AK127" i="3"/>
  <c r="AW127" i="3"/>
  <c r="U127" i="3"/>
  <c r="AI127" i="3"/>
  <c r="V127" i="3"/>
  <c r="AL127" i="3"/>
  <c r="W127" i="3"/>
  <c r="AM127" i="3"/>
  <c r="R127" i="3"/>
  <c r="AN127" i="3"/>
  <c r="N127" i="3"/>
  <c r="AF127" i="3"/>
  <c r="O127" i="3"/>
  <c r="AG127" i="3"/>
  <c r="AD127" i="3"/>
  <c r="AE127" i="3"/>
  <c r="AH127" i="3"/>
  <c r="AB127" i="3"/>
  <c r="AC127" i="3"/>
  <c r="AO127" i="3"/>
  <c r="K127" i="3"/>
  <c r="AU127" i="3"/>
  <c r="P127" i="3"/>
  <c r="AX127" i="3"/>
  <c r="Q127" i="3"/>
  <c r="S127" i="3"/>
  <c r="T127" i="3"/>
  <c r="Z127" i="3"/>
  <c r="AA127" i="3"/>
  <c r="AR127" i="3"/>
  <c r="AT127" i="3"/>
  <c r="AP127" i="3"/>
  <c r="AQ127" i="3"/>
  <c r="AS127" i="3"/>
  <c r="V139" i="3"/>
  <c r="AH139" i="3"/>
  <c r="AT139" i="3"/>
  <c r="M139" i="3"/>
  <c r="Z139" i="3"/>
  <c r="AM139" i="3"/>
  <c r="N139" i="3"/>
  <c r="AA139" i="3"/>
  <c r="AN139" i="3"/>
  <c r="S139" i="3"/>
  <c r="AI139" i="3"/>
  <c r="AX139" i="3"/>
  <c r="T139" i="3"/>
  <c r="AJ139" i="3"/>
  <c r="U139" i="3"/>
  <c r="AK139" i="3"/>
  <c r="L139" i="3"/>
  <c r="AF139" i="3"/>
  <c r="O139" i="3"/>
  <c r="AG139" i="3"/>
  <c r="P139" i="3"/>
  <c r="AL139" i="3"/>
  <c r="AE139" i="3"/>
  <c r="AO139" i="3"/>
  <c r="K139" i="3"/>
  <c r="Q139" i="3"/>
  <c r="R139" i="3"/>
  <c r="W139" i="3"/>
  <c r="AP139" i="3"/>
  <c r="AQ139" i="3"/>
  <c r="AR139" i="3"/>
  <c r="AS139" i="3"/>
  <c r="AU139" i="3"/>
  <c r="AV139" i="3"/>
  <c r="AB139" i="3"/>
  <c r="AC139" i="3"/>
  <c r="AD139" i="3"/>
  <c r="AW139" i="3"/>
  <c r="X139" i="3"/>
  <c r="Y139" i="3"/>
  <c r="V151" i="3"/>
  <c r="AH151" i="3"/>
  <c r="AT151" i="3"/>
  <c r="Q151" i="3"/>
  <c r="AD151" i="3"/>
  <c r="AQ151" i="3"/>
  <c r="W151" i="3"/>
  <c r="AK151" i="3"/>
  <c r="X151" i="3"/>
  <c r="AL151" i="3"/>
  <c r="K151" i="3"/>
  <c r="Y151" i="3"/>
  <c r="AM151" i="3"/>
  <c r="P151" i="3"/>
  <c r="AI151" i="3"/>
  <c r="R151" i="3"/>
  <c r="AJ151" i="3"/>
  <c r="S151" i="3"/>
  <c r="AN151" i="3"/>
  <c r="L151" i="3"/>
  <c r="AG151" i="3"/>
  <c r="M151" i="3"/>
  <c r="AO151" i="3"/>
  <c r="O151" i="3"/>
  <c r="T151" i="3"/>
  <c r="U151" i="3"/>
  <c r="Z151" i="3"/>
  <c r="N151" i="3"/>
  <c r="AP151" i="3"/>
  <c r="AR151" i="3"/>
  <c r="AS151" i="3"/>
  <c r="AU151" i="3"/>
  <c r="AV151" i="3"/>
  <c r="AA151" i="3"/>
  <c r="AC151" i="3"/>
  <c r="AF151" i="3"/>
  <c r="AX151" i="3"/>
  <c r="AB151" i="3"/>
  <c r="AE151" i="3"/>
  <c r="AW151" i="3"/>
  <c r="V163" i="3"/>
  <c r="AH163" i="3"/>
  <c r="AT163" i="3"/>
  <c r="U163" i="3"/>
  <c r="AI163" i="3"/>
  <c r="AV163" i="3"/>
  <c r="N163" i="3"/>
  <c r="AB163" i="3"/>
  <c r="AP163" i="3"/>
  <c r="O163" i="3"/>
  <c r="AC163" i="3"/>
  <c r="AQ163" i="3"/>
  <c r="P163" i="3"/>
  <c r="AD163" i="3"/>
  <c r="AR163" i="3"/>
  <c r="L163" i="3"/>
  <c r="AF163" i="3"/>
  <c r="M163" i="3"/>
  <c r="AG163" i="3"/>
  <c r="Q163" i="3"/>
  <c r="AJ163" i="3"/>
  <c r="K163" i="3"/>
  <c r="AM163" i="3"/>
  <c r="R163" i="3"/>
  <c r="AN163" i="3"/>
  <c r="AS163" i="3"/>
  <c r="AU163" i="3"/>
  <c r="AW163" i="3"/>
  <c r="AX163" i="3"/>
  <c r="S163" i="3"/>
  <c r="AO163" i="3"/>
  <c r="T163" i="3"/>
  <c r="W163" i="3"/>
  <c r="X163" i="3"/>
  <c r="Y163" i="3"/>
  <c r="Z163" i="3"/>
  <c r="AA163" i="3"/>
  <c r="AK163" i="3"/>
  <c r="AE163" i="3"/>
  <c r="AL163" i="3"/>
  <c r="L175" i="3"/>
  <c r="X175" i="3"/>
  <c r="AJ175" i="3"/>
  <c r="AV175" i="3"/>
  <c r="T175" i="3"/>
  <c r="AG175" i="3"/>
  <c r="AT175" i="3"/>
  <c r="U175" i="3"/>
  <c r="AH175" i="3"/>
  <c r="AU175" i="3"/>
  <c r="V175" i="3"/>
  <c r="AI175" i="3"/>
  <c r="AW175" i="3"/>
  <c r="R175" i="3"/>
  <c r="AL175" i="3"/>
  <c r="AM175" i="3"/>
  <c r="S175" i="3"/>
  <c r="W175" i="3"/>
  <c r="AN175" i="3"/>
  <c r="N175" i="3"/>
  <c r="AK175" i="3"/>
  <c r="O175" i="3"/>
  <c r="AO175" i="3"/>
  <c r="AQ175" i="3"/>
  <c r="AR175" i="3"/>
  <c r="AS175" i="3"/>
  <c r="P175" i="3"/>
  <c r="AP175" i="3"/>
  <c r="Q175" i="3"/>
  <c r="Y175" i="3"/>
  <c r="Z175" i="3"/>
  <c r="AE175" i="3"/>
  <c r="AF175" i="3"/>
  <c r="K175" i="3"/>
  <c r="AA175" i="3"/>
  <c r="AC175" i="3"/>
  <c r="AX175" i="3"/>
  <c r="M175" i="3"/>
  <c r="AB175" i="3"/>
  <c r="AD175" i="3"/>
  <c r="T182" i="3"/>
  <c r="AF182" i="3"/>
  <c r="AR182" i="3"/>
  <c r="O182" i="3"/>
  <c r="AB182" i="3"/>
  <c r="AO182" i="3"/>
  <c r="P182" i="3"/>
  <c r="AC182" i="3"/>
  <c r="AP182" i="3"/>
  <c r="Q182" i="3"/>
  <c r="AD182" i="3"/>
  <c r="AQ182" i="3"/>
  <c r="S182" i="3"/>
  <c r="AJ182" i="3"/>
  <c r="U182" i="3"/>
  <c r="AK182" i="3"/>
  <c r="V182" i="3"/>
  <c r="AL182" i="3"/>
  <c r="L182" i="3"/>
  <c r="AI182" i="3"/>
  <c r="M182" i="3"/>
  <c r="AM182" i="3"/>
  <c r="AS182" i="3"/>
  <c r="AT182" i="3"/>
  <c r="AU182" i="3"/>
  <c r="N182" i="3"/>
  <c r="AN182" i="3"/>
  <c r="R182" i="3"/>
  <c r="W182" i="3"/>
  <c r="X182" i="3"/>
  <c r="AG182" i="3"/>
  <c r="AH182" i="3"/>
  <c r="AW182" i="3"/>
  <c r="Y182" i="3"/>
  <c r="AA182" i="3"/>
  <c r="AV182" i="3"/>
  <c r="AX182" i="3"/>
  <c r="K182" i="3"/>
  <c r="Z182" i="3"/>
  <c r="AE182" i="3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E3" i="8"/>
  <c r="D7" i="8"/>
  <c r="E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M98" i="6"/>
  <c r="D64" i="7"/>
  <c r="T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T9" i="7" s="1"/>
  <c r="O36" i="7"/>
  <c r="R36" i="7" s="1"/>
  <c r="K174" i="7"/>
  <c r="M174" i="7"/>
  <c r="L174" i="7"/>
  <c r="L36" i="7"/>
  <c r="K36" i="7"/>
  <c r="M36" i="7"/>
  <c r="J32" i="7"/>
  <c r="L32" i="7" s="1"/>
  <c r="T174" i="7"/>
  <c r="V174" i="7" s="1"/>
  <c r="O175" i="7"/>
  <c r="R175" i="7" s="1"/>
  <c r="AA172" i="7"/>
  <c r="AA175" i="7"/>
  <c r="E175" i="7"/>
  <c r="F175" i="7" s="1"/>
  <c r="E28" i="7"/>
  <c r="H28" i="7" s="1"/>
  <c r="L172" i="7"/>
  <c r="V172" i="7"/>
  <c r="E174" i="7"/>
  <c r="F174" i="7" s="1"/>
  <c r="Y174" i="7"/>
  <c r="AA174" i="7" s="1"/>
  <c r="T175" i="7"/>
  <c r="U175" i="7" s="1"/>
  <c r="W172" i="7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O40" i="7" s="1"/>
  <c r="P6" i="6"/>
  <c r="S6" i="6"/>
  <c r="J5" i="6"/>
  <c r="L3" i="6"/>
  <c r="O5" i="6"/>
  <c r="J4" i="6"/>
  <c r="S4" i="6"/>
  <c r="F4" i="6"/>
  <c r="Y4" i="7"/>
  <c r="AB4" i="7" s="1"/>
  <c r="G4" i="6"/>
  <c r="P4" i="6"/>
  <c r="I4" i="6"/>
  <c r="R4" i="6"/>
  <c r="S65" i="6"/>
  <c r="L64" i="6"/>
  <c r="M64" i="6"/>
  <c r="O64" i="6"/>
  <c r="F63" i="6"/>
  <c r="AA59" i="7"/>
  <c r="Z59" i="7"/>
  <c r="AB59" i="7"/>
  <c r="BN24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T42" i="3"/>
  <c r="BR42" i="3"/>
  <c r="Z46" i="3"/>
  <c r="AP50" i="3"/>
  <c r="AV57" i="3"/>
  <c r="BT123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P83" i="3"/>
  <c r="BR88" i="3"/>
  <c r="BN88" i="3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AT38" i="3"/>
  <c r="BT40" i="3"/>
  <c r="BR40" i="3"/>
  <c r="BP40" i="3"/>
  <c r="BN43" i="3"/>
  <c r="T47" i="3"/>
  <c r="BN57" i="3"/>
  <c r="BT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N107" i="3"/>
  <c r="BQ138" i="3"/>
  <c r="BN138" i="3"/>
  <c r="BR151" i="3"/>
  <c r="BP151" i="3"/>
  <c r="BT151" i="3"/>
  <c r="BN151" i="3"/>
  <c r="BN190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BL10" i="3" s="1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AF51" i="3"/>
  <c r="AX51" i="3"/>
  <c r="AF54" i="3"/>
  <c r="BN55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R119" i="3"/>
  <c r="BT119" i="3"/>
  <c r="BR132" i="3"/>
  <c r="BP132" i="3"/>
  <c r="BP140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T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P117" i="3"/>
  <c r="BT117" i="3"/>
  <c r="BR122" i="3"/>
  <c r="BP122" i="3"/>
  <c r="BT122" i="3"/>
  <c r="BN122" i="3"/>
  <c r="BR144" i="3"/>
  <c r="BQ145" i="3"/>
  <c r="BN146" i="3"/>
  <c r="BN147" i="3"/>
  <c r="BP153" i="3"/>
  <c r="BR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N123" i="3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T59" i="7"/>
  <c r="E59" i="7"/>
  <c r="O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T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N101" i="3"/>
  <c r="AG101" i="3"/>
  <c r="BP101" i="3"/>
  <c r="Q104" i="3"/>
  <c r="AV104" i="3"/>
  <c r="BR106" i="3"/>
  <c r="BN106" i="3"/>
  <c r="BT106" i="3"/>
  <c r="BN110" i="3"/>
  <c r="BN113" i="3"/>
  <c r="BP113" i="3"/>
  <c r="BT120" i="3"/>
  <c r="BP130" i="3"/>
  <c r="BR137" i="3"/>
  <c r="BP138" i="3"/>
  <c r="BN143" i="3"/>
  <c r="BT143" i="3"/>
  <c r="BR145" i="3"/>
  <c r="BP149" i="3"/>
  <c r="BT156" i="3"/>
  <c r="BP156" i="3"/>
  <c r="BN156" i="3"/>
  <c r="BL156" i="3" s="1"/>
  <c r="BT161" i="3"/>
  <c r="BR161" i="3"/>
  <c r="BQ161" i="3"/>
  <c r="BP161" i="3"/>
  <c r="BN161" i="3"/>
  <c r="BP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N180" i="3"/>
  <c r="BN184" i="3"/>
  <c r="BN182" i="3"/>
  <c r="BN150" i="3"/>
  <c r="BN136" i="3"/>
  <c r="BN187" i="3"/>
  <c r="BN178" i="3"/>
  <c r="BL178" i="3" s="1"/>
  <c r="BN56" i="3"/>
  <c r="BN44" i="3"/>
  <c r="BN189" i="3"/>
  <c r="BN171" i="3"/>
  <c r="BN114" i="3"/>
  <c r="BN108" i="3"/>
  <c r="BN102" i="3"/>
  <c r="BN96" i="3"/>
  <c r="BN90" i="3"/>
  <c r="BN84" i="3"/>
  <c r="BN78" i="3"/>
  <c r="BN72" i="3"/>
  <c r="BN66" i="3"/>
  <c r="BN144" i="3"/>
  <c r="BL144" i="3" s="1"/>
  <c r="BN50" i="3"/>
  <c r="BN194" i="3"/>
  <c r="BN111" i="3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Y10" i="7"/>
  <c r="J10" i="7"/>
  <c r="E10" i="7"/>
  <c r="T10" i="7"/>
  <c r="O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R63" i="3"/>
  <c r="BP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T54" i="3"/>
  <c r="BR54" i="3"/>
  <c r="AH57" i="3"/>
  <c r="AN61" i="3"/>
  <c r="AH68" i="3"/>
  <c r="BP76" i="3"/>
  <c r="BP88" i="3"/>
  <c r="BP92" i="3"/>
  <c r="BQ97" i="3"/>
  <c r="BN97" i="3"/>
  <c r="BT97" i="3"/>
  <c r="BP100" i="3"/>
  <c r="AH104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AH86" i="3"/>
  <c r="BP86" i="3"/>
  <c r="M87" i="3"/>
  <c r="AK87" i="3"/>
  <c r="X88" i="3"/>
  <c r="AI89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P110" i="3"/>
  <c r="BR115" i="3"/>
  <c r="BQ115" i="3"/>
  <c r="BN115" i="3"/>
  <c r="BT115" i="3"/>
  <c r="BQ120" i="3"/>
  <c r="BR120" i="3"/>
  <c r="BP120" i="3"/>
  <c r="BU120" i="3"/>
  <c r="BR123" i="3"/>
  <c r="BP125" i="3"/>
  <c r="BR125" i="3"/>
  <c r="BN125" i="3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R124" i="3"/>
  <c r="BN124" i="3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P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Y9" i="7"/>
  <c r="J9" i="7"/>
  <c r="O9" i="7"/>
  <c r="E40" i="7"/>
  <c r="BT149" i="3"/>
  <c r="BR149" i="3"/>
  <c r="BN191" i="3"/>
  <c r="AM23" i="3"/>
  <c r="AA23" i="3"/>
  <c r="O23" i="3"/>
  <c r="BN33" i="3"/>
  <c r="AF35" i="3"/>
  <c r="AK62" i="3"/>
  <c r="BR121" i="3"/>
  <c r="BN121" i="3"/>
  <c r="BT121" i="3"/>
  <c r="BR130" i="3"/>
  <c r="BN130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T148" i="3"/>
  <c r="BR148" i="3"/>
  <c r="BN148" i="3"/>
  <c r="BL148" i="3" s="1"/>
  <c r="BT173" i="3"/>
  <c r="BR173" i="3"/>
  <c r="BP173" i="3"/>
  <c r="BN173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7" i="3"/>
  <c r="BR127" i="3"/>
  <c r="BN127" i="3"/>
  <c r="BR133" i="3"/>
  <c r="BQ133" i="3"/>
  <c r="BN133" i="3"/>
  <c r="BU1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N141" i="3"/>
  <c r="BN149" i="3"/>
  <c r="BT169" i="3"/>
  <c r="BR169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T136" i="3"/>
  <c r="BR136" i="3"/>
  <c r="BT163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R28" i="7"/>
  <c r="Q28" i="7"/>
  <c r="P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W72" i="3"/>
  <c r="AL72" i="3"/>
  <c r="BT75" i="3"/>
  <c r="W78" i="3"/>
  <c r="AL78" i="3"/>
  <c r="BU78" i="3"/>
  <c r="BU81" i="3"/>
  <c r="BT81" i="3"/>
  <c r="W84" i="3"/>
  <c r="AL84" i="3"/>
  <c r="BT87" i="3"/>
  <c r="W90" i="3"/>
  <c r="AL90" i="3"/>
  <c r="BU93" i="3"/>
  <c r="BT93" i="3"/>
  <c r="W96" i="3"/>
  <c r="AL96" i="3"/>
  <c r="BT99" i="3"/>
  <c r="W102" i="3"/>
  <c r="AL102" i="3"/>
  <c r="BT105" i="3"/>
  <c r="BQ108" i="3"/>
  <c r="BT111" i="3"/>
  <c r="BR157" i="3"/>
  <c r="BP157" i="3"/>
  <c r="BT160" i="3"/>
  <c r="BR160" i="3"/>
  <c r="BP160" i="3"/>
  <c r="BN160" i="3"/>
  <c r="BL160" i="3" s="1"/>
  <c r="BR180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R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T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N166" i="3"/>
  <c r="BT166" i="3"/>
  <c r="BP175" i="3"/>
  <c r="BQ181" i="3"/>
  <c r="BP181" i="3"/>
  <c r="BQ184" i="3"/>
  <c r="BR187" i="3"/>
  <c r="BP187" i="3"/>
  <c r="BU187" i="3"/>
  <c r="BT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O141" i="7"/>
  <c r="Y141" i="7"/>
  <c r="E141" i="7"/>
  <c r="J141" i="7"/>
  <c r="T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BR150" i="3"/>
  <c r="BP150" i="3"/>
  <c r="BT159" i="3"/>
  <c r="BQ177" i="3"/>
  <c r="BP177" i="3"/>
  <c r="BN177" i="3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N154" i="3"/>
  <c r="BT154" i="3"/>
  <c r="BR163" i="3"/>
  <c r="BP163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AA16" i="7"/>
  <c r="Z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T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Y60" i="7"/>
  <c r="J60" i="7"/>
  <c r="E60" i="7"/>
  <c r="O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Q36" i="7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P183" i="3"/>
  <c r="BT188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T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T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Q32" i="7"/>
  <c r="P32" i="7"/>
  <c r="L5" i="6"/>
  <c r="L17" i="6"/>
  <c r="L29" i="6"/>
  <c r="R89" i="6"/>
  <c r="S101" i="6"/>
  <c r="M115" i="6"/>
  <c r="M125" i="6"/>
  <c r="L151" i="6"/>
  <c r="R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T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G175" i="7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O44" i="7" l="1"/>
  <c r="J12" i="7"/>
  <c r="R174" i="7"/>
  <c r="H175" i="7"/>
  <c r="Q174" i="7"/>
  <c r="Y12" i="7"/>
  <c r="AB174" i="7"/>
  <c r="T12" i="7"/>
  <c r="U12" i="7" s="1"/>
  <c r="O12" i="7"/>
  <c r="R12" i="7" s="1"/>
  <c r="BL187" i="3"/>
  <c r="BL4" i="3"/>
  <c r="BL120" i="3"/>
  <c r="BU170" i="3"/>
  <c r="BU102" i="3"/>
  <c r="BU172" i="3"/>
  <c r="BU30" i="3"/>
  <c r="BU159" i="3"/>
  <c r="BU90" i="3"/>
  <c r="BU62" i="3"/>
  <c r="BU5" i="3"/>
  <c r="BU56" i="3"/>
  <c r="BU54" i="3"/>
  <c r="BU124" i="3"/>
  <c r="BU55" i="3"/>
  <c r="BU105" i="3"/>
  <c r="BU109" i="3"/>
  <c r="BU61" i="3"/>
  <c r="BU7" i="3"/>
  <c r="BU148" i="3"/>
  <c r="BO86" i="3"/>
  <c r="BU181" i="3"/>
  <c r="BU130" i="3"/>
  <c r="BU150" i="3"/>
  <c r="BU87" i="3"/>
  <c r="BO156" i="3"/>
  <c r="BU100" i="3"/>
  <c r="BL88" i="3"/>
  <c r="BU126" i="3"/>
  <c r="BO122" i="3"/>
  <c r="BL121" i="3"/>
  <c r="BL124" i="3"/>
  <c r="BQ125" i="3"/>
  <c r="BQ65" i="3"/>
  <c r="BL111" i="3"/>
  <c r="BL114" i="3"/>
  <c r="BL155" i="3"/>
  <c r="BL110" i="3"/>
  <c r="BL190" i="3"/>
  <c r="BU146" i="3"/>
  <c r="BU164" i="3"/>
  <c r="BU13" i="3"/>
  <c r="BU41" i="3"/>
  <c r="BU122" i="3"/>
  <c r="BL30" i="3"/>
  <c r="BL154" i="3"/>
  <c r="BL138" i="3"/>
  <c r="BU154" i="3"/>
  <c r="BU184" i="3"/>
  <c r="BO78" i="3"/>
  <c r="BU139" i="3"/>
  <c r="BU190" i="3"/>
  <c r="BU160" i="3"/>
  <c r="BU168" i="3"/>
  <c r="BL107" i="3"/>
  <c r="BL175" i="3"/>
  <c r="BL125" i="3"/>
  <c r="BU49" i="3"/>
  <c r="BU89" i="3"/>
  <c r="BU188" i="3"/>
  <c r="BU144" i="3"/>
  <c r="BU72" i="3"/>
  <c r="BU123" i="3"/>
  <c r="BQ28" i="3"/>
  <c r="BQ186" i="3"/>
  <c r="BQ178" i="3"/>
  <c r="BU114" i="3"/>
  <c r="BU96" i="3"/>
  <c r="BQ50" i="3"/>
  <c r="BU133" i="3"/>
  <c r="BU185" i="3"/>
  <c r="BQ113" i="3"/>
  <c r="BQ91" i="3"/>
  <c r="BQ67" i="3"/>
  <c r="BU162" i="3"/>
  <c r="BQ95" i="3"/>
  <c r="BQ63" i="3"/>
  <c r="BU113" i="3"/>
  <c r="BU38" i="3"/>
  <c r="BQ122" i="3"/>
  <c r="BU25" i="3"/>
  <c r="BU51" i="3"/>
  <c r="BU40" i="3"/>
  <c r="BQ88" i="3"/>
  <c r="BQ89" i="3"/>
  <c r="BQ183" i="3"/>
  <c r="BO155" i="3"/>
  <c r="BU189" i="3"/>
  <c r="BQ187" i="3"/>
  <c r="BU178" i="3"/>
  <c r="BU111" i="3"/>
  <c r="BQ84" i="3"/>
  <c r="BQ72" i="3"/>
  <c r="BU141" i="3"/>
  <c r="BU19" i="3"/>
  <c r="BQ127" i="3"/>
  <c r="BQ121" i="3"/>
  <c r="BQ185" i="3"/>
  <c r="BU125" i="3"/>
  <c r="BQ110" i="3"/>
  <c r="BQ98" i="3"/>
  <c r="BQ74" i="3"/>
  <c r="BU23" i="3"/>
  <c r="BU46" i="3"/>
  <c r="BU165" i="3"/>
  <c r="BU106" i="3"/>
  <c r="BQ129" i="3"/>
  <c r="BL147" i="3"/>
  <c r="BL119" i="3"/>
  <c r="BL151" i="3"/>
  <c r="BL139" i="3"/>
  <c r="BU57" i="3"/>
  <c r="BU76" i="3"/>
  <c r="BU42" i="3"/>
  <c r="BQ32" i="3"/>
  <c r="BU9" i="3"/>
  <c r="BU31" i="3"/>
  <c r="BU86" i="3"/>
  <c r="BU128" i="3"/>
  <c r="BU77" i="3"/>
  <c r="BU32" i="3"/>
  <c r="BL90" i="3"/>
  <c r="BU75" i="3"/>
  <c r="BU64" i="3"/>
  <c r="BU131" i="3"/>
  <c r="BL123" i="3"/>
  <c r="BU99" i="3"/>
  <c r="BU84" i="3"/>
  <c r="BU10" i="3"/>
  <c r="BL113" i="3"/>
  <c r="BU101" i="3"/>
  <c r="BU153" i="3"/>
  <c r="BU48" i="3"/>
  <c r="BQ41" i="3"/>
  <c r="BU163" i="3"/>
  <c r="BU182" i="3"/>
  <c r="BQ136" i="3"/>
  <c r="BL173" i="3"/>
  <c r="BQ195" i="3"/>
  <c r="BU193" i="3"/>
  <c r="BU176" i="3"/>
  <c r="BL177" i="3"/>
  <c r="BU166" i="3"/>
  <c r="BU194" i="3"/>
  <c r="BU108" i="3"/>
  <c r="BQ96" i="3"/>
  <c r="BU17" i="3"/>
  <c r="BQ124" i="3"/>
  <c r="BU63" i="3"/>
  <c r="BL189" i="3"/>
  <c r="BU143" i="3"/>
  <c r="BL117" i="3"/>
  <c r="BU68" i="3"/>
  <c r="BU151" i="3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M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Y100" i="7"/>
  <c r="AB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H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O21" i="3"/>
  <c r="BO88" i="3"/>
  <c r="BO175" i="3"/>
  <c r="BO72" i="3"/>
  <c r="BO140" i="3"/>
  <c r="BO74" i="3"/>
  <c r="BO161" i="3"/>
  <c r="BO73" i="3"/>
  <c r="BO180" i="3"/>
  <c r="BO109" i="3"/>
  <c r="BO76" i="3"/>
  <c r="BO119" i="3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Y44" i="7"/>
  <c r="AA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O64" i="7"/>
  <c r="P64" i="7" s="1"/>
  <c r="Y64" i="7"/>
  <c r="AB64" i="7" s="1"/>
  <c r="G33" i="7"/>
  <c r="V175" i="7"/>
  <c r="G174" i="7"/>
  <c r="L16" i="7"/>
  <c r="Z174" i="7"/>
  <c r="F33" i="7"/>
  <c r="P172" i="7"/>
  <c r="K173" i="7"/>
  <c r="Q175" i="7"/>
  <c r="Y24" i="7"/>
  <c r="AB24" i="7" s="1"/>
  <c r="O33" i="7"/>
  <c r="P33" i="7" s="1"/>
  <c r="T44" i="7"/>
  <c r="U44" i="7" s="1"/>
  <c r="Y33" i="7"/>
  <c r="AA33" i="7" s="1"/>
  <c r="H172" i="7"/>
  <c r="W174" i="7"/>
  <c r="K32" i="7"/>
  <c r="T33" i="7"/>
  <c r="U33" i="7" s="1"/>
  <c r="W175" i="7"/>
  <c r="P175" i="7"/>
  <c r="M32" i="7"/>
  <c r="L24" i="7"/>
  <c r="J33" i="7"/>
  <c r="L33" i="7" s="1"/>
  <c r="BF196" i="3"/>
  <c r="BF203" i="3" s="1"/>
  <c r="D30" i="4" s="1"/>
  <c r="R198" i="3"/>
  <c r="R202" i="3" s="1"/>
  <c r="O84" i="7"/>
  <c r="Q84" i="7" s="1"/>
  <c r="J40" i="7"/>
  <c r="L40" i="7" s="1"/>
  <c r="H174" i="7"/>
  <c r="Y52" i="7"/>
  <c r="AB52" i="7" s="1"/>
  <c r="M24" i="7"/>
  <c r="L173" i="7"/>
  <c r="U174" i="7"/>
  <c r="E52" i="7"/>
  <c r="H52" i="7" s="1"/>
  <c r="P36" i="7"/>
  <c r="T40" i="7"/>
  <c r="U40" i="7" s="1"/>
  <c r="G172" i="7"/>
  <c r="Y40" i="7"/>
  <c r="Z40" i="7" s="1"/>
  <c r="T52" i="7"/>
  <c r="U52" i="7" s="1"/>
  <c r="Q172" i="7"/>
  <c r="O100" i="7"/>
  <c r="Q100" i="7" s="1"/>
  <c r="Z4" i="7"/>
  <c r="T100" i="7"/>
  <c r="V100" i="7" s="1"/>
  <c r="Y84" i="7"/>
  <c r="Z84" i="7" s="1"/>
  <c r="T84" i="7"/>
  <c r="W84" i="7" s="1"/>
  <c r="E84" i="7"/>
  <c r="H84" i="7" s="1"/>
  <c r="E100" i="7"/>
  <c r="G100" i="7" s="1"/>
  <c r="F28" i="7"/>
  <c r="F16" i="7"/>
  <c r="H16" i="7"/>
  <c r="G16" i="7"/>
  <c r="AG198" i="3"/>
  <c r="BJ196" i="3"/>
  <c r="BH203" i="3" s="1"/>
  <c r="F30" i="4" s="1"/>
  <c r="AJ198" i="3"/>
  <c r="AW198" i="3"/>
  <c r="U198" i="3"/>
  <c r="U202" i="3" s="1"/>
  <c r="BI196" i="3"/>
  <c r="BG204" i="3" s="1"/>
  <c r="E31" i="4" s="1"/>
  <c r="AI198" i="3"/>
  <c r="AE198" i="3"/>
  <c r="T198" i="3"/>
  <c r="T202" i="3" s="1"/>
  <c r="BR196" i="3"/>
  <c r="BL203" i="3" s="1"/>
  <c r="J30" i="4" s="1"/>
  <c r="AU198" i="3"/>
  <c r="AH198" i="3"/>
  <c r="AV198" i="3"/>
  <c r="BT196" i="3"/>
  <c r="BM203" i="3" s="1"/>
  <c r="K30" i="4" s="1"/>
  <c r="M198" i="3"/>
  <c r="M202" i="3" s="1"/>
  <c r="AK198" i="3"/>
  <c r="L198" i="3"/>
  <c r="L202" i="3" s="1"/>
  <c r="BE196" i="3"/>
  <c r="BE204" i="3" s="1"/>
  <c r="C31" i="4" s="1"/>
  <c r="K198" i="3"/>
  <c r="K202" i="3" s="1"/>
  <c r="S198" i="3"/>
  <c r="S202" i="3" s="1"/>
  <c r="AF198" i="3"/>
  <c r="O52" i="7"/>
  <c r="R52" i="7" s="1"/>
  <c r="T76" i="7"/>
  <c r="V76" i="7" s="1"/>
  <c r="O76" i="7"/>
  <c r="Q76" i="7" s="1"/>
  <c r="Y76" i="7"/>
  <c r="AB76" i="7" s="1"/>
  <c r="J76" i="7"/>
  <c r="M76" i="7" s="1"/>
  <c r="T24" i="7"/>
  <c r="W24" i="7" s="1"/>
  <c r="O24" i="7"/>
  <c r="Q24" i="7" s="1"/>
  <c r="E24" i="7"/>
  <c r="F24" i="7" s="1"/>
  <c r="AA4" i="7"/>
  <c r="T96" i="7"/>
  <c r="E96" i="7"/>
  <c r="Y96" i="7"/>
  <c r="O96" i="7"/>
  <c r="J96" i="7"/>
  <c r="J99" i="7"/>
  <c r="T99" i="7"/>
  <c r="Y99" i="7"/>
  <c r="O99" i="7"/>
  <c r="E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BO159" i="3"/>
  <c r="BO187" i="3"/>
  <c r="BM187" i="3" s="1"/>
  <c r="BO102" i="3"/>
  <c r="BO149" i="3"/>
  <c r="BO158" i="3"/>
  <c r="T11" i="7"/>
  <c r="Y11" i="7"/>
  <c r="O11" i="7"/>
  <c r="E11" i="7"/>
  <c r="J11" i="7"/>
  <c r="BO38" i="3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BO39" i="3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BS19" i="3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BS193" i="3"/>
  <c r="Y97" i="7"/>
  <c r="T97" i="7"/>
  <c r="O97" i="7"/>
  <c r="J97" i="7"/>
  <c r="E97" i="7"/>
  <c r="O43" i="7"/>
  <c r="T43" i="7"/>
  <c r="Y43" i="7"/>
  <c r="E43" i="7"/>
  <c r="J43" i="7"/>
  <c r="G141" i="7"/>
  <c r="F141" i="7"/>
  <c r="H141" i="7"/>
  <c r="BO127" i="3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BS5" i="3"/>
  <c r="O39" i="7"/>
  <c r="Y39" i="7"/>
  <c r="T39" i="7"/>
  <c r="J39" i="7"/>
  <c r="E39" i="7"/>
  <c r="BS81" i="3"/>
  <c r="BO50" i="3"/>
  <c r="BS13" i="3"/>
  <c r="BO103" i="3"/>
  <c r="BO91" i="3"/>
  <c r="BO79" i="3"/>
  <c r="BO67" i="3"/>
  <c r="O147" i="7"/>
  <c r="E147" i="7"/>
  <c r="T147" i="7"/>
  <c r="Y147" i="7"/>
  <c r="J147" i="7"/>
  <c r="BS71" i="3"/>
  <c r="BS186" i="3"/>
  <c r="O166" i="7"/>
  <c r="J166" i="7"/>
  <c r="E166" i="7"/>
  <c r="Y166" i="7"/>
  <c r="T166" i="7"/>
  <c r="BS147" i="3"/>
  <c r="K10" i="7"/>
  <c r="L10" i="7"/>
  <c r="M10" i="7"/>
  <c r="AS198" i="3"/>
  <c r="E121" i="7"/>
  <c r="Y121" i="7"/>
  <c r="J121" i="7"/>
  <c r="O121" i="7"/>
  <c r="BO31" i="3"/>
  <c r="BS30" i="3"/>
  <c r="BS48" i="3"/>
  <c r="BB196" i="3"/>
  <c r="BD203" i="3" s="1"/>
  <c r="B30" i="4" s="1"/>
  <c r="BO132" i="3"/>
  <c r="AA198" i="3"/>
  <c r="BU35" i="3"/>
  <c r="BO116" i="3"/>
  <c r="T27" i="7"/>
  <c r="O27" i="7"/>
  <c r="J27" i="7"/>
  <c r="E27" i="7"/>
  <c r="Y27" i="7"/>
  <c r="BU95" i="3"/>
  <c r="BO134" i="3"/>
  <c r="BO104" i="3"/>
  <c r="BM104" i="3" s="1"/>
  <c r="BO16" i="3"/>
  <c r="BM16" i="3" s="1"/>
  <c r="BQ112" i="3"/>
  <c r="BO101" i="3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G76" i="7"/>
  <c r="H76" i="7"/>
  <c r="F76" i="7"/>
  <c r="R9" i="7"/>
  <c r="Q9" i="7"/>
  <c r="P9" i="7"/>
  <c r="BP196" i="3"/>
  <c r="BK203" i="3" s="1"/>
  <c r="I30" i="4" s="1"/>
  <c r="AO198" i="3"/>
  <c r="F44" i="7"/>
  <c r="H44" i="7"/>
  <c r="G44" i="7"/>
  <c r="T58" i="7"/>
  <c r="E58" i="7"/>
  <c r="O58" i="7"/>
  <c r="J58" i="7"/>
  <c r="Y58" i="7"/>
  <c r="M9" i="7"/>
  <c r="L9" i="7"/>
  <c r="K9" i="7"/>
  <c r="N198" i="3"/>
  <c r="N202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M12" i="7"/>
  <c r="L12" i="7"/>
  <c r="K12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T164" i="7"/>
  <c r="E164" i="7"/>
  <c r="Y164" i="7"/>
  <c r="O164" i="7"/>
  <c r="J164" i="7"/>
  <c r="J48" i="7"/>
  <c r="Y48" i="7"/>
  <c r="E48" i="7"/>
  <c r="T48" i="7"/>
  <c r="O48" i="7"/>
  <c r="M100" i="7"/>
  <c r="K100" i="7"/>
  <c r="L100" i="7"/>
  <c r="G60" i="7"/>
  <c r="F60" i="7"/>
  <c r="H60" i="7"/>
  <c r="AB12" i="7"/>
  <c r="AA12" i="7"/>
  <c r="Z12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BS144" i="3"/>
  <c r="O123" i="7"/>
  <c r="J123" i="7"/>
  <c r="Y123" i="7"/>
  <c r="E123" i="7"/>
  <c r="O167" i="7"/>
  <c r="E167" i="7"/>
  <c r="T167" i="7"/>
  <c r="Y167" i="7"/>
  <c r="J167" i="7"/>
  <c r="BO33" i="3"/>
  <c r="T109" i="7"/>
  <c r="E109" i="7"/>
  <c r="Y109" i="7"/>
  <c r="O109" i="7"/>
  <c r="J109" i="7"/>
  <c r="BO44" i="3"/>
  <c r="BS189" i="3"/>
  <c r="BS27" i="3"/>
  <c r="BO186" i="3"/>
  <c r="BO94" i="3"/>
  <c r="T18" i="7"/>
  <c r="E18" i="7"/>
  <c r="O18" i="7"/>
  <c r="Y18" i="7"/>
  <c r="J18" i="7"/>
  <c r="BO131" i="3"/>
  <c r="AR198" i="3"/>
  <c r="AL198" i="3"/>
  <c r="BO26" i="3"/>
  <c r="BS146" i="3"/>
  <c r="BO164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BO167" i="3"/>
  <c r="BO176" i="3"/>
  <c r="BM176" i="3" s="1"/>
  <c r="BS17" i="3"/>
  <c r="BO115" i="3"/>
  <c r="J143" i="7"/>
  <c r="Y143" i="7"/>
  <c r="E143" i="7"/>
  <c r="O143" i="7"/>
  <c r="T143" i="7"/>
  <c r="X198" i="3"/>
  <c r="X202" i="3" s="1"/>
  <c r="BO32" i="3"/>
  <c r="BO58" i="3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E14" i="7"/>
  <c r="BO169" i="3"/>
  <c r="BO170" i="3"/>
  <c r="BO173" i="3"/>
  <c r="O55" i="7"/>
  <c r="T55" i="7"/>
  <c r="Y55" i="7"/>
  <c r="E55" i="7"/>
  <c r="J55" i="7"/>
  <c r="BO64" i="3"/>
  <c r="BS131" i="3"/>
  <c r="BO28" i="3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BS174" i="3"/>
  <c r="BS15" i="3"/>
  <c r="AB30" i="7"/>
  <c r="AA30" i="7"/>
  <c r="Z30" i="7"/>
  <c r="BU121" i="3"/>
  <c r="BO191" i="3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O154" i="7"/>
  <c r="T154" i="7"/>
  <c r="Y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A9" i="7"/>
  <c r="Z9" i="7"/>
  <c r="AB9" i="7"/>
  <c r="AX198" i="3"/>
  <c r="T120" i="7"/>
  <c r="E120" i="7"/>
  <c r="J120" i="7"/>
  <c r="Y120" i="7"/>
  <c r="O120" i="7"/>
  <c r="AA32" i="7"/>
  <c r="AB32" i="7"/>
  <c r="Z32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BO163" i="3"/>
  <c r="E157" i="7"/>
  <c r="J157" i="7"/>
  <c r="T157" i="7"/>
  <c r="Y157" i="7"/>
  <c r="O157" i="7"/>
  <c r="T70" i="7"/>
  <c r="E70" i="7"/>
  <c r="O70" i="7"/>
  <c r="Y70" i="7"/>
  <c r="J70" i="7"/>
  <c r="BO139" i="3"/>
  <c r="BM139" i="3" s="1"/>
  <c r="T159" i="7"/>
  <c r="E159" i="7"/>
  <c r="Y159" i="7"/>
  <c r="O159" i="7"/>
  <c r="J159" i="7"/>
  <c r="F59" i="7"/>
  <c r="H59" i="7"/>
  <c r="G59" i="7"/>
  <c r="BS122" i="3"/>
  <c r="BS6" i="3"/>
  <c r="BS151" i="3"/>
  <c r="BO152" i="3"/>
  <c r="BS163" i="3"/>
  <c r="BS134" i="3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M84" i="7"/>
  <c r="L84" i="7"/>
  <c r="K84" i="7"/>
  <c r="BO141" i="3"/>
  <c r="BO97" i="3"/>
  <c r="BS154" i="3"/>
  <c r="O198" i="3"/>
  <c r="O202" i="3" s="1"/>
  <c r="BO30" i="3"/>
  <c r="BO4" i="3"/>
  <c r="BO77" i="3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O45" i="7"/>
  <c r="E101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BO136" i="3"/>
  <c r="BS118" i="3"/>
  <c r="L30" i="7"/>
  <c r="M30" i="7"/>
  <c r="K30" i="7"/>
  <c r="BS130" i="3"/>
  <c r="BO189" i="3"/>
  <c r="BM189" i="3" s="1"/>
  <c r="BS54" i="3"/>
  <c r="Z10" i="7"/>
  <c r="AB10" i="7"/>
  <c r="AA10" i="7"/>
  <c r="Y198" i="3"/>
  <c r="Y202" i="3" s="1"/>
  <c r="BS45" i="3"/>
  <c r="BO135" i="3"/>
  <c r="BO85" i="3"/>
  <c r="BM85" i="3" s="1"/>
  <c r="BO57" i="3"/>
  <c r="BS73" i="3"/>
  <c r="BO27" i="3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R44" i="7"/>
  <c r="P44" i="7"/>
  <c r="Q44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BO160" i="3"/>
  <c r="BO84" i="3"/>
  <c r="BO133" i="3"/>
  <c r="BO118" i="3"/>
  <c r="BS11" i="3"/>
  <c r="BS160" i="3"/>
  <c r="Y74" i="7"/>
  <c r="J74" i="7"/>
  <c r="T74" i="7"/>
  <c r="E74" i="7"/>
  <c r="O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S4" i="3"/>
  <c r="BC196" i="3"/>
  <c r="BD204" i="3" s="1"/>
  <c r="B31" i="4" s="1"/>
  <c r="BU135" i="3"/>
  <c r="BS41" i="3"/>
  <c r="BQ29" i="3"/>
  <c r="W198" i="3"/>
  <c r="W202" i="3" s="1"/>
  <c r="BU132" i="3"/>
  <c r="AP198" i="3"/>
  <c r="Q198" i="3"/>
  <c r="Q202" i="3" s="1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V12" i="7"/>
  <c r="E106" i="7"/>
  <c r="O106" i="7"/>
  <c r="Y106" i="7"/>
  <c r="T106" i="7"/>
  <c r="J106" i="7"/>
  <c r="O128" i="7"/>
  <c r="E128" i="7"/>
  <c r="Y128" i="7"/>
  <c r="T128" i="7"/>
  <c r="J128" i="7"/>
  <c r="E9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BO182" i="3"/>
  <c r="BO185" i="3"/>
  <c r="BO179" i="3"/>
  <c r="BM179" i="3" s="1"/>
  <c r="BO194" i="3"/>
  <c r="BO154" i="3"/>
  <c r="BO111" i="3"/>
  <c r="BO105" i="3"/>
  <c r="BO99" i="3"/>
  <c r="BO93" i="3"/>
  <c r="BM93" i="3" s="1"/>
  <c r="BO87" i="3"/>
  <c r="BO81" i="3"/>
  <c r="BO75" i="3"/>
  <c r="BO69" i="3"/>
  <c r="BO174" i="3"/>
  <c r="BO192" i="3"/>
  <c r="BO144" i="3"/>
  <c r="BO3" i="3"/>
  <c r="BO17" i="3"/>
  <c r="BO34" i="3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M15" i="3" s="1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O190" i="3"/>
  <c r="BO52" i="3"/>
  <c r="BO48" i="3"/>
  <c r="BO71" i="3"/>
  <c r="BO188" i="3"/>
  <c r="BO168" i="3"/>
  <c r="BO166" i="3"/>
  <c r="BO162" i="3"/>
  <c r="BM162" i="3" s="1"/>
  <c r="BO5" i="3"/>
  <c r="BO35" i="3"/>
  <c r="H4" i="7"/>
  <c r="G4" i="7"/>
  <c r="F4" i="7"/>
  <c r="BO184" i="3"/>
  <c r="BM184" i="3" s="1"/>
  <c r="BO66" i="3"/>
  <c r="BO142" i="3"/>
  <c r="BM142" i="3" s="1"/>
  <c r="BO63" i="3"/>
  <c r="R10" i="7"/>
  <c r="Q10" i="7"/>
  <c r="P10" i="7"/>
  <c r="Y107" i="7"/>
  <c r="E107" i="7"/>
  <c r="T107" i="7"/>
  <c r="O107" i="7"/>
  <c r="J107" i="7"/>
  <c r="BO143" i="3"/>
  <c r="BK196" i="3"/>
  <c r="BH204" i="3" s="1"/>
  <c r="F31" i="4" s="1"/>
  <c r="BO51" i="3"/>
  <c r="Z198" i="3"/>
  <c r="BS85" i="3"/>
  <c r="BS94" i="3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S87" i="3"/>
  <c r="W64" i="7"/>
  <c r="V64" i="7"/>
  <c r="U64" i="7"/>
  <c r="BH196" i="3"/>
  <c r="BG203" i="3" s="1"/>
  <c r="E30" i="4" s="1"/>
  <c r="BS143" i="3"/>
  <c r="U59" i="7"/>
  <c r="W59" i="7"/>
  <c r="V59" i="7"/>
  <c r="BO12" i="3"/>
  <c r="BS120" i="3"/>
  <c r="BO46" i="3"/>
  <c r="BO43" i="3"/>
  <c r="BO24" i="3"/>
  <c r="BS76" i="3"/>
  <c r="BO112" i="3"/>
  <c r="BO65" i="3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BO96" i="3"/>
  <c r="Y162" i="7"/>
  <c r="E162" i="7"/>
  <c r="T162" i="7"/>
  <c r="J162" i="7"/>
  <c r="O162" i="7"/>
  <c r="U30" i="7"/>
  <c r="W30" i="7"/>
  <c r="V30" i="7"/>
  <c r="BO53" i="3"/>
  <c r="T26" i="7"/>
  <c r="E26" i="7"/>
  <c r="O26" i="7"/>
  <c r="Y26" i="7"/>
  <c r="J26" i="7"/>
  <c r="BO45" i="3"/>
  <c r="BO123" i="3"/>
  <c r="BO82" i="3"/>
  <c r="BS159" i="3"/>
  <c r="BS38" i="3"/>
  <c r="BS26" i="3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L52" i="7"/>
  <c r="M52" i="7"/>
  <c r="K52" i="7"/>
  <c r="O67" i="7"/>
  <c r="T67" i="7"/>
  <c r="J67" i="7"/>
  <c r="Y67" i="7"/>
  <c r="E67" i="7"/>
  <c r="BO157" i="3"/>
  <c r="BO145" i="3"/>
  <c r="BM145" i="3" s="1"/>
  <c r="T114" i="7"/>
  <c r="Y114" i="7"/>
  <c r="E114" i="7"/>
  <c r="O114" i="7"/>
  <c r="J114" i="7"/>
  <c r="BO181" i="3"/>
  <c r="BO90" i="3"/>
  <c r="BS168" i="3"/>
  <c r="R40" i="7"/>
  <c r="P40" i="7"/>
  <c r="Q40" i="7"/>
  <c r="BS124" i="3"/>
  <c r="BS7" i="3"/>
  <c r="AT198" i="3"/>
  <c r="AQ198" i="3"/>
  <c r="BO2" i="3"/>
  <c r="P198" i="3"/>
  <c r="P202" i="3" s="1"/>
  <c r="BO61" i="3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BS188" i="3"/>
  <c r="BO183" i="3"/>
  <c r="Y122" i="7"/>
  <c r="E122" i="7"/>
  <c r="O122" i="7"/>
  <c r="J122" i="7"/>
  <c r="T6" i="7"/>
  <c r="E6" i="7"/>
  <c r="Y6" i="7"/>
  <c r="O6" i="7"/>
  <c r="J6" i="7"/>
  <c r="BO193" i="3"/>
  <c r="BM193" i="3" s="1"/>
  <c r="O142" i="7"/>
  <c r="T142" i="7"/>
  <c r="E142" i="7"/>
  <c r="Y142" i="7"/>
  <c r="J142" i="7"/>
  <c r="T51" i="7"/>
  <c r="O51" i="7"/>
  <c r="E51" i="7"/>
  <c r="J51" i="7"/>
  <c r="Y51" i="7"/>
  <c r="BO177" i="3"/>
  <c r="O34" i="7"/>
  <c r="J34" i="7"/>
  <c r="Y34" i="7"/>
  <c r="E34" i="7"/>
  <c r="T34" i="7"/>
  <c r="BS175" i="3"/>
  <c r="BS178" i="3"/>
  <c r="T82" i="7"/>
  <c r="E82" i="7"/>
  <c r="O82" i="7"/>
  <c r="J82" i="7"/>
  <c r="Y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W9" i="7"/>
  <c r="U9" i="7"/>
  <c r="V9" i="7"/>
  <c r="T85" i="7"/>
  <c r="O85" i="7"/>
  <c r="J85" i="7"/>
  <c r="E85" i="7"/>
  <c r="Y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Y83" i="7"/>
  <c r="T83" i="7"/>
  <c r="J83" i="7"/>
  <c r="O83" i="7"/>
  <c r="BO165" i="3"/>
  <c r="BU156" i="3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M155" i="3" s="1"/>
  <c r="BQ13" i="3"/>
  <c r="BQ7" i="3"/>
  <c r="BQ51" i="3"/>
  <c r="BQ62" i="3"/>
  <c r="BQ3" i="3"/>
  <c r="BQ128" i="3"/>
  <c r="BS110" i="3"/>
  <c r="BS190" i="3"/>
  <c r="BD196" i="3"/>
  <c r="BE203" i="3" s="1"/>
  <c r="C30" i="4" s="1"/>
  <c r="Y126" i="7"/>
  <c r="E126" i="7"/>
  <c r="J126" i="7"/>
  <c r="O126" i="7"/>
  <c r="BS107" i="3"/>
  <c r="BS95" i="3"/>
  <c r="BS83" i="3"/>
  <c r="BU6" i="3"/>
  <c r="V198" i="3"/>
  <c r="V202" i="3" s="1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S24" i="3"/>
  <c r="F100" i="7" l="1"/>
  <c r="H100" i="7"/>
  <c r="F52" i="7"/>
  <c r="F9" i="7"/>
  <c r="G52" i="7"/>
  <c r="P12" i="7"/>
  <c r="Q12" i="7"/>
  <c r="K64" i="7"/>
  <c r="Z100" i="7"/>
  <c r="L64" i="7"/>
  <c r="G9" i="7"/>
  <c r="AA100" i="7"/>
  <c r="W12" i="7"/>
  <c r="BM117" i="3"/>
  <c r="BM4" i="3"/>
  <c r="BM167" i="3"/>
  <c r="BM14" i="3"/>
  <c r="BM165" i="3"/>
  <c r="BM29" i="3"/>
  <c r="BM30" i="3"/>
  <c r="BM191" i="3"/>
  <c r="BM35" i="3"/>
  <c r="BM153" i="3"/>
  <c r="BM136" i="3"/>
  <c r="BM127" i="3"/>
  <c r="BM39" i="3"/>
  <c r="BM109" i="3"/>
  <c r="BM156" i="3"/>
  <c r="BM177" i="3"/>
  <c r="BM132" i="3"/>
  <c r="BM88" i="3"/>
  <c r="BM65" i="3"/>
  <c r="BM111" i="3"/>
  <c r="BM32" i="3"/>
  <c r="BM194" i="3"/>
  <c r="BM17" i="3"/>
  <c r="BM159" i="3"/>
  <c r="BM3" i="3"/>
  <c r="BM154" i="3"/>
  <c r="BM119" i="3"/>
  <c r="BM144" i="3"/>
  <c r="BM34" i="3"/>
  <c r="BM21" i="3"/>
  <c r="BM89" i="3"/>
  <c r="BM82" i="3"/>
  <c r="BM133" i="3"/>
  <c r="BM113" i="3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AB33" i="7"/>
  <c r="K44" i="7"/>
  <c r="M40" i="7"/>
  <c r="K40" i="7"/>
  <c r="Z44" i="7"/>
  <c r="Z33" i="7"/>
  <c r="AA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3" i="3"/>
  <c r="H30" i="4" s="1"/>
  <c r="BL196" i="3"/>
  <c r="BI203" i="3" s="1"/>
  <c r="G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4" i="3" s="1"/>
  <c r="D31" i="4" s="1"/>
  <c r="BQ196" i="3"/>
  <c r="BK204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4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4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I2" i="7"/>
  <c r="H2" i="7"/>
  <c r="G2" i="7"/>
  <c r="F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4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M196" i="3" l="1"/>
  <c r="BI204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<sst xmlns="http://schemas.openxmlformats.org/spreadsheetml/2006/main" count="452" uniqueCount="196">
  <si>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</si>
  <si>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</si>
  <si>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</si>
  <si>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</si>
  <si>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</si>
  <si>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</si>
  <si>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</si>
  <si>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</si>
  <si>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</si>
  <si>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</si>
  <si>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</si>
  <si>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</si>
  <si>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</si>
  <si>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</si>
  <si>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</si>
  <si>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</si>
  <si>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</si>
  <si>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</si>
  <si>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</si>
  <si>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</si>
  <si>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</si>
  <si>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</si>
  <si>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</si>
  <si>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</si>
  <si>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</si>
  <si>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</si>
  <si>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</si>
  <si>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</si>
  <si>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</si>
  <si>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</si>
  <si>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</si>
  <si>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</si>
  <si>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</si>
  <si>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</si>
  <si>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</si>
  <si>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</si>
  <si>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</si>
  <si>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</si>
  <si>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</si>
  <si>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</si>
  <si>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</si>
  <si>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</si>
  <si>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</si>
  <si>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</si>
  <si>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</si>
  <si>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</si>
  <si>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</si>
  <si>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</si>
  <si>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</si>
  <si>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</si>
  <si>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</si>
  <si>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</si>
  <si>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</si>
  <si>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</si>
  <si>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</si>
  <si>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</si>
  <si>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</si>
  <si>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</si>
  <si>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</si>
  <si>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</si>
  <si>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</si>
  <si>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</si>
  <si>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</si>
  <si>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</si>
  <si>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</si>
  <si>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</si>
  <si>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</si>
  <si>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</si>
  <si>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</si>
  <si>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</si>
  <si>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</si>
  <si>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</si>
  <si>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</si>
  <si>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</si>
  <si>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</si>
  <si>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</si>
  <si>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</si>
  <si>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</si>
  <si>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</si>
  <si>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</si>
  <si>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</si>
  <si>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</si>
  <si>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</si>
  <si>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</si>
  <si>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</si>
  <si>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</si>
  <si>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</si>
  <si>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</si>
  <si>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</si>
  <si>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</si>
  <si>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</si>
  <si>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</si>
  <si>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</si>
  <si>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</si>
  <si>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</si>
  <si>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</si>
  <si>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</si>
  <si>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</si>
  <si>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</si>
  <si>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</si>
  <si>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</si>
  <si>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</si>
  <si>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</si>
  <si>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</si>
  <si>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</si>
  <si>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</si>
  <si>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</si>
  <si>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</si>
  <si>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</si>
  <si>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</si>
  <si>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</si>
  <si>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</si>
  <si>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</si>
  <si>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</si>
  <si>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</si>
  <si>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</si>
  <si>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</si>
  <si>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</si>
  <si>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</si>
  <si>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</si>
  <si>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</si>
  <si>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</si>
  <si>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</si>
  <si>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</si>
  <si>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</si>
  <si>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</si>
  <si>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</si>
  <si>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</si>
  <si>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</si>
  <si>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</si>
  <si>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</si>
  <si>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post nord</t>
  </si>
  <si>
    <t>dag</t>
  </si>
  <si>
    <t>dd</t>
  </si>
  <si>
    <t>chi N</t>
  </si>
  <si>
    <t>V2</t>
  </si>
  <si>
    <t>V3</t>
  </si>
  <si>
    <t>V4</t>
  </si>
  <si>
    <t>V5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</si>
  <si>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</si>
  <si>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</si>
  <si>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</si>
  <si>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</si>
  <si>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</si>
  <si>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</si>
  <si>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</si>
  <si>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</si>
  <si>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</si>
  <si>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</si>
  <si>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</si>
  <si>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</si>
  <si>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</si>
  <si>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</si>
  <si>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</si>
  <si>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</si>
  <si>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Danmarks Statestik inberetning 2026</t>
  </si>
  <si>
    <t>sum 27</t>
  </si>
  <si>
    <t>Pinse</t>
  </si>
  <si>
    <t>2 pinsedag</t>
  </si>
  <si>
    <t>Kristi himmel</t>
  </si>
  <si>
    <t>ank</t>
  </si>
  <si>
    <t>v1</t>
  </si>
  <si>
    <t>v1 a</t>
  </si>
  <si>
    <t>v1 n</t>
  </si>
  <si>
    <t>v1 b</t>
  </si>
  <si>
    <t>v1 k</t>
  </si>
  <si>
    <t>v2</t>
  </si>
  <si>
    <t>v2 a</t>
  </si>
  <si>
    <t>v2 n</t>
  </si>
  <si>
    <t>v2 b</t>
  </si>
  <si>
    <t>v2 k</t>
  </si>
  <si>
    <t>v3</t>
  </si>
  <si>
    <t>v3 a</t>
  </si>
  <si>
    <t>v3 n</t>
  </si>
  <si>
    <t>v4</t>
  </si>
  <si>
    <t>v4 a</t>
  </si>
  <si>
    <t>v4 n</t>
  </si>
  <si>
    <t>v4 b</t>
  </si>
  <si>
    <t>v5</t>
  </si>
  <si>
    <t>v5 a</t>
  </si>
  <si>
    <t>v5 n</t>
  </si>
  <si>
    <t>v5 b</t>
  </si>
  <si>
    <t>v5  k</t>
  </si>
  <si>
    <t>v3 k</t>
  </si>
  <si>
    <t xml:space="preserve">v4 k 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</si>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</sst>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44" fontId="1" fillId="0" borderId="0"/>
    <xf numFmtId="0" fontId="9" fillId="0" borderId="0" applyNumberFormat="0" applyFill="0" applyBorder="0" applyAlignment="0" applyProtection="0"/>
  </cellStyleXfs>
  <cellXfs count="16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44" fontId="0" fillId="0" borderId="0" xfId="1" applyFo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44" fontId="2" fillId="0" borderId="0" xfId="1" applyFont="1" applyAlignment="1">
      <alignment horizontal="center"/>
    </xf>
    <xf numFmtId="44" fontId="0" fillId="0" borderId="0" xfId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9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9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9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49" fontId="12" fillId="0" borderId="35" xfId="0" applyNumberFormat="1" applyFont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0" borderId="28" xfId="0" applyFont="1" applyBorder="1"/>
    <xf numFmtId="0" fontId="2" fillId="0" borderId="37" xfId="0" applyNumberFormat="1" applyFont="1" applyBorder="1"/>
    <xf numFmtId="0" fontId="0" fillId="0" borderId="0" xfId="0" applyNumberFormat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stat'!$J$202</c:f>
              <c:strCache>
                <c:ptCount val="1"/>
                <c:pt idx="0">
                  <c:v>2025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15-412B-80A2-EAC2E2E6960A}"/>
            </c:ext>
          </c:extLst>
        </c:ser>
        <c:ser>
          <c:idx val="1"/>
          <c:order val="1"/>
          <c:tx>
            <c:strRef>
              <c:f>'book stat'!$J$203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15-412B-80A2-EAC2E2E6960A}"/>
            </c:ext>
          </c:extLst>
        </c:ser>
        <c:ser>
          <c:idx val="2"/>
          <c:order val="2"/>
          <c:tx>
            <c:strRef>
              <c:f>'book stat'!$J$204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15-412B-80A2-EAC2E2E6960A}"/>
            </c:ext>
          </c:extLst>
        </c:ser>
        <c:ser>
          <c:idx val="3"/>
          <c:order val="3"/>
          <c:tx>
            <c:strRef>
              <c:f>'book stat'!$J$205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15-412B-80A2-EAC2E2E6960A}"/>
            </c:ext>
          </c:extLst>
        </c:ser>
        <c:ser>
          <c:idx val="4"/>
          <c:order val="4"/>
          <c:tx>
            <c:strRef>
              <c:f>'book stat'!$J$206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15-412B-80A2-EAC2E2E6960A}"/>
            </c:ext>
          </c:extLst>
        </c:ser>
        <c:ser>
          <c:idx val="5"/>
          <c:order val="5"/>
          <c:tx>
            <c:strRef>
              <c:f>'book stat'!$J$207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C15-412B-80A2-EAC2E2E6960A}"/>
            </c:ext>
          </c:extLst>
        </c:ser>
        <c:ser>
          <c:idx val="6"/>
          <c:order val="6"/>
          <c:tx>
            <c:strRef>
              <c:f>'book stat'!$J$208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stat'!$K$208:$BA$208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15-412B-80A2-EAC2E2E6960A}"/>
            </c:ext>
          </c:extLst>
        </c:ser>
        <c:ser>
          <c:idx val="7"/>
          <c:order val="7"/>
          <c:tx>
            <c:strRef>
              <c:f>'book stat'!$J$209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stat'!$K$209:$BA$209</c:f>
              <c:numCache>
                <c:formatCode>General</c:formatCode>
                <c:ptCount val="43"/>
                <c:pt idx="0">
                  <c:v>92</c:v>
                </c:pt>
                <c:pt idx="1">
                  <c:v>107</c:v>
                </c:pt>
                <c:pt idx="2">
                  <c:v>112</c:v>
                </c:pt>
                <c:pt idx="3">
                  <c:v>143</c:v>
                </c:pt>
                <c:pt idx="4">
                  <c:v>160</c:v>
                </c:pt>
                <c:pt idx="5">
                  <c:v>160</c:v>
                </c:pt>
                <c:pt idx="6">
                  <c:v>181</c:v>
                </c:pt>
                <c:pt idx="7">
                  <c:v>197</c:v>
                </c:pt>
                <c:pt idx="8">
                  <c:v>203</c:v>
                </c:pt>
                <c:pt idx="9">
                  <c:v>226</c:v>
                </c:pt>
                <c:pt idx="10">
                  <c:v>226</c:v>
                </c:pt>
                <c:pt idx="11">
                  <c:v>226</c:v>
                </c:pt>
                <c:pt idx="12">
                  <c:v>253</c:v>
                </c:pt>
                <c:pt idx="13">
                  <c:v>256</c:v>
                </c:pt>
                <c:pt idx="14">
                  <c:v>261</c:v>
                </c:pt>
                <c:pt idx="15">
                  <c:v>266</c:v>
                </c:pt>
                <c:pt idx="16">
                  <c:v>267</c:v>
                </c:pt>
                <c:pt idx="17">
                  <c:v>275</c:v>
                </c:pt>
                <c:pt idx="18">
                  <c:v>278</c:v>
                </c:pt>
                <c:pt idx="19">
                  <c:v>293</c:v>
                </c:pt>
                <c:pt idx="20">
                  <c:v>302</c:v>
                </c:pt>
                <c:pt idx="21">
                  <c:v>318</c:v>
                </c:pt>
                <c:pt idx="22">
                  <c:v>323</c:v>
                </c:pt>
                <c:pt idx="23">
                  <c:v>331</c:v>
                </c:pt>
                <c:pt idx="24">
                  <c:v>345</c:v>
                </c:pt>
                <c:pt idx="25">
                  <c:v>357</c:v>
                </c:pt>
                <c:pt idx="26">
                  <c:v>375</c:v>
                </c:pt>
                <c:pt idx="27">
                  <c:v>388</c:v>
                </c:pt>
                <c:pt idx="28">
                  <c:v>392</c:v>
                </c:pt>
                <c:pt idx="29">
                  <c:v>408</c:v>
                </c:pt>
                <c:pt idx="30">
                  <c:v>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15-412B-80A2-EAC2E2E69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stat'!$BC$203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stat'!$BC$204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stat'!$BD$202:$BM$202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stat'!$BD$204:$BM$204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209</xdr:row>
      <xdr:rowOff>38100</xdr:rowOff>
    </xdr:from>
    <xdr:to>
      <xdr:col>42</xdr:col>
      <xdr:colOff>422275</xdr:colOff>
      <xdr:row>224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204</xdr:row>
      <xdr:rowOff>50800</xdr:rowOff>
    </xdr:from>
    <xdr:to>
      <xdr:col>70</xdr:col>
      <xdr:colOff>238125</xdr:colOff>
      <xdr:row>219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12700</xdr:colOff>
      <xdr:row>26</xdr:row>
      <xdr:rowOff>146050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nnj\-repoHK2\HK-portal10\2026_BOOKING%2010.xlsx" TargetMode="External"/><Relationship Id="rId1" Type="http://schemas.openxmlformats.org/officeDocument/2006/relationships/externalLinkPath" Target="2026_BOOKING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ok"/>
      <sheetName val="Database"/>
      <sheetName val="book stat"/>
      <sheetName val="week by week"/>
      <sheetName val="booking"/>
      <sheetName val="rengøring"/>
      <sheetName val="ankomster"/>
      <sheetName val="ankomst navn"/>
      <sheetName val="bf_calc"/>
      <sheetName val="web calc"/>
      <sheetName val="book_simp"/>
    </sheetNames>
    <sheetDataSet>
      <sheetData sheetId="0"/>
      <sheetData sheetId="1">
        <row r="2">
          <cell r="A2">
            <v>1</v>
          </cell>
          <cell r="B2" t="str">
            <v>Lars Grundfør</v>
          </cell>
          <cell r="C2">
            <v>46222</v>
          </cell>
          <cell r="D2">
            <v>46228</v>
          </cell>
          <cell r="E2">
            <v>45868</v>
          </cell>
          <cell r="F2" t="str">
            <v>DK</v>
          </cell>
          <cell r="G2" t="str">
            <v>web</v>
          </cell>
          <cell r="H2"/>
          <cell r="I2"/>
          <cell r="J2">
            <v>0.05</v>
          </cell>
          <cell r="K2">
            <v>1</v>
          </cell>
          <cell r="L2">
            <v>2</v>
          </cell>
        </row>
        <row r="3">
          <cell r="A3">
            <v>2</v>
          </cell>
          <cell r="B3" t="str">
            <v>Jan Gaard</v>
          </cell>
          <cell r="C3">
            <v>46172</v>
          </cell>
          <cell r="D3">
            <v>46180</v>
          </cell>
          <cell r="E3">
            <v>45889</v>
          </cell>
          <cell r="F3" t="str">
            <v>DK</v>
          </cell>
          <cell r="G3" t="str">
            <v>cansl</v>
          </cell>
          <cell r="H3"/>
          <cell r="I3"/>
          <cell r="J3"/>
          <cell r="K3"/>
          <cell r="L3"/>
        </row>
        <row r="4">
          <cell r="A4">
            <v>3</v>
          </cell>
          <cell r="B4" t="str">
            <v>Jan Gaard</v>
          </cell>
          <cell r="C4">
            <v>46283</v>
          </cell>
          <cell r="D4">
            <v>46285</v>
          </cell>
          <cell r="E4">
            <v>45889</v>
          </cell>
          <cell r="F4" t="str">
            <v>DK</v>
          </cell>
          <cell r="G4" t="str">
            <v>web</v>
          </cell>
          <cell r="H4"/>
          <cell r="I4"/>
          <cell r="J4">
            <v>0.1</v>
          </cell>
          <cell r="K4">
            <v>1</v>
          </cell>
          <cell r="L4">
            <v>2</v>
          </cell>
        </row>
        <row r="5">
          <cell r="A5">
            <v>4</v>
          </cell>
          <cell r="B5" t="str">
            <v>Stine Plæhn</v>
          </cell>
          <cell r="C5">
            <v>46246</v>
          </cell>
          <cell r="D5">
            <v>46250</v>
          </cell>
          <cell r="E5">
            <v>45891</v>
          </cell>
          <cell r="F5" t="str">
            <v>DK</v>
          </cell>
          <cell r="G5" t="str">
            <v>web</v>
          </cell>
          <cell r="H5"/>
          <cell r="I5"/>
          <cell r="J5">
            <v>0.1</v>
          </cell>
          <cell r="K5">
            <v>2</v>
          </cell>
          <cell r="L5">
            <v>4</v>
          </cell>
        </row>
        <row r="6">
          <cell r="A6">
            <v>5</v>
          </cell>
          <cell r="B6" t="str">
            <v>Birgitte Poulsen</v>
          </cell>
          <cell r="C6">
            <v>46169</v>
          </cell>
          <cell r="D6">
            <v>46174</v>
          </cell>
          <cell r="E6">
            <v>45903</v>
          </cell>
          <cell r="F6" t="str">
            <v>DK</v>
          </cell>
          <cell r="G6" t="str">
            <v>web</v>
          </cell>
          <cell r="H6">
            <v>1430</v>
          </cell>
          <cell r="I6" t="str">
            <v>dobb</v>
          </cell>
          <cell r="J6">
            <v>0.1</v>
          </cell>
          <cell r="K6">
            <v>1</v>
          </cell>
          <cell r="L6">
            <v>2</v>
          </cell>
        </row>
        <row r="7">
          <cell r="A7">
            <v>6</v>
          </cell>
          <cell r="B7" t="str">
            <v>Sanne Østrup</v>
          </cell>
          <cell r="C7">
            <v>46178</v>
          </cell>
          <cell r="D7">
            <v>46180</v>
          </cell>
          <cell r="E7">
            <v>45910</v>
          </cell>
          <cell r="F7" t="str">
            <v>DK</v>
          </cell>
          <cell r="G7" t="str">
            <v>web</v>
          </cell>
          <cell r="H7"/>
          <cell r="J7">
            <v>0.1</v>
          </cell>
          <cell r="K7">
            <v>2</v>
          </cell>
          <cell r="L7">
            <v>4</v>
          </cell>
        </row>
        <row r="8">
          <cell r="A8">
            <v>7</v>
          </cell>
          <cell r="B8" t="str">
            <v>Erik Petersen</v>
          </cell>
          <cell r="C8">
            <v>46207</v>
          </cell>
          <cell r="D8">
            <v>46214</v>
          </cell>
          <cell r="E8">
            <v>45927</v>
          </cell>
          <cell r="F8" t="str">
            <v>DK</v>
          </cell>
          <cell r="G8" t="str">
            <v>web</v>
          </cell>
          <cell r="H8"/>
          <cell r="J8">
            <v>0.1</v>
          </cell>
          <cell r="K8">
            <v>1</v>
          </cell>
          <cell r="L8">
            <v>2</v>
          </cell>
        </row>
        <row r="9">
          <cell r="A9">
            <v>8</v>
          </cell>
          <cell r="B9" t="str">
            <v>Hans-Dieter Lange</v>
          </cell>
          <cell r="C9">
            <v>46158</v>
          </cell>
          <cell r="D9">
            <v>46163</v>
          </cell>
          <cell r="E9">
            <v>45953</v>
          </cell>
          <cell r="F9" t="str">
            <v>D</v>
          </cell>
          <cell r="G9" t="str">
            <v>web</v>
          </cell>
          <cell r="H9"/>
          <cell r="J9">
            <v>0.1</v>
          </cell>
          <cell r="K9">
            <v>1</v>
          </cell>
          <cell r="L9">
            <v>2</v>
          </cell>
        </row>
        <row r="10">
          <cell r="A10">
            <v>9</v>
          </cell>
          <cell r="B10" t="str">
            <v>Erik Friis</v>
          </cell>
          <cell r="C10">
            <v>46159</v>
          </cell>
          <cell r="D10">
            <v>46166</v>
          </cell>
          <cell r="E10">
            <v>45954</v>
          </cell>
          <cell r="F10" t="str">
            <v>DK</v>
          </cell>
          <cell r="G10" t="str">
            <v>web</v>
          </cell>
          <cell r="H10">
            <v>1430</v>
          </cell>
          <cell r="I10" t="str">
            <v>dobb</v>
          </cell>
          <cell r="J10">
            <v>0.1</v>
          </cell>
          <cell r="K10">
            <v>1</v>
          </cell>
          <cell r="L10">
            <v>2</v>
          </cell>
        </row>
        <row r="11">
          <cell r="A11">
            <v>10</v>
          </cell>
          <cell r="B11" t="str">
            <v>Susanne Føgh Sørensen</v>
          </cell>
          <cell r="C11">
            <v>46225</v>
          </cell>
          <cell r="D11">
            <v>46228</v>
          </cell>
          <cell r="E11">
            <v>45932</v>
          </cell>
          <cell r="F11" t="str">
            <v>DK</v>
          </cell>
          <cell r="G11" t="str">
            <v>web</v>
          </cell>
          <cell r="H11"/>
          <cell r="J11">
            <v>0.1</v>
          </cell>
          <cell r="K11">
            <v>1</v>
          </cell>
          <cell r="L11">
            <v>2</v>
          </cell>
        </row>
        <row r="12">
          <cell r="A12">
            <v>11</v>
          </cell>
          <cell r="B12" t="str">
            <v>Kathrin Leupold</v>
          </cell>
          <cell r="C12">
            <v>46237</v>
          </cell>
          <cell r="D12">
            <v>46242</v>
          </cell>
          <cell r="E12">
            <v>45932</v>
          </cell>
          <cell r="F12" t="str">
            <v>D</v>
          </cell>
          <cell r="G12" t="str">
            <v>web</v>
          </cell>
          <cell r="H12"/>
          <cell r="J12">
            <v>0.1</v>
          </cell>
          <cell r="K12">
            <v>1</v>
          </cell>
          <cell r="L12">
            <v>2</v>
          </cell>
        </row>
        <row r="13">
          <cell r="A13">
            <v>12</v>
          </cell>
          <cell r="B13" t="str">
            <v>Stig Prehn</v>
          </cell>
          <cell r="C13">
            <v>46175</v>
          </cell>
          <cell r="D13">
            <v>46179</v>
          </cell>
          <cell r="E13">
            <v>45977</v>
          </cell>
          <cell r="F13" t="str">
            <v>DK</v>
          </cell>
          <cell r="G13" t="str">
            <v>web</v>
          </cell>
          <cell r="H13"/>
          <cell r="I13" t="str">
            <v>sing</v>
          </cell>
          <cell r="J13">
            <v>0.1</v>
          </cell>
          <cell r="K13">
            <v>1</v>
          </cell>
          <cell r="L13">
            <v>2</v>
          </cell>
        </row>
        <row r="14">
          <cell r="A14">
            <v>13</v>
          </cell>
          <cell r="B14" t="str">
            <v>Jan Gubbertsen</v>
          </cell>
          <cell r="C14">
            <v>46211</v>
          </cell>
          <cell r="D14">
            <v>46218</v>
          </cell>
          <cell r="E14">
            <v>45998</v>
          </cell>
          <cell r="F14" t="str">
            <v>DK</v>
          </cell>
          <cell r="G14" t="str">
            <v>web</v>
          </cell>
          <cell r="J14">
            <v>0.1</v>
          </cell>
          <cell r="K14">
            <v>1</v>
          </cell>
          <cell r="L14">
            <v>2</v>
          </cell>
        </row>
        <row r="15">
          <cell r="A15">
            <v>14</v>
          </cell>
          <cell r="B15" t="str">
            <v>Grete Bossenmeyer</v>
          </cell>
          <cell r="C15">
            <v>46206</v>
          </cell>
          <cell r="D15">
            <v>46213</v>
          </cell>
          <cell r="E15">
            <v>46001</v>
          </cell>
          <cell r="F15" t="str">
            <v>DK</v>
          </cell>
          <cell r="G15" t="str">
            <v>web</v>
          </cell>
          <cell r="J15">
            <v>0.1</v>
          </cell>
          <cell r="K15">
            <v>1</v>
          </cell>
          <cell r="L15">
            <v>2</v>
          </cell>
        </row>
        <row r="16">
          <cell r="A16">
            <v>15</v>
          </cell>
          <cell r="B16" t="str">
            <v>Niels Kaalund</v>
          </cell>
          <cell r="C16">
            <v>46181</v>
          </cell>
          <cell r="D16">
            <v>46188</v>
          </cell>
          <cell r="E16">
            <v>45866</v>
          </cell>
          <cell r="F16" t="str">
            <v>DK</v>
          </cell>
          <cell r="G16" t="str">
            <v>FM</v>
          </cell>
          <cell r="K16">
            <v>1</v>
          </cell>
          <cell r="L16">
            <v>2</v>
          </cell>
        </row>
        <row r="17">
          <cell r="A17">
            <v>16</v>
          </cell>
          <cell r="B17" t="str">
            <v>Gitte Horup</v>
          </cell>
          <cell r="C17">
            <v>46182</v>
          </cell>
          <cell r="D17">
            <v>46188</v>
          </cell>
          <cell r="E17">
            <v>45832</v>
          </cell>
          <cell r="F17" t="str">
            <v>DK</v>
          </cell>
          <cell r="G17" t="str">
            <v>FM</v>
          </cell>
          <cell r="H17" t="str">
            <v>2030</v>
          </cell>
          <cell r="K17">
            <v>2</v>
          </cell>
          <cell r="L17">
            <v>4</v>
          </cell>
        </row>
        <row r="18">
          <cell r="A18">
            <v>17</v>
          </cell>
          <cell r="B18" t="str">
            <v>Lars Thaarbøl</v>
          </cell>
          <cell r="C18">
            <v>46181</v>
          </cell>
          <cell r="D18">
            <v>46188</v>
          </cell>
          <cell r="E18">
            <v>45824</v>
          </cell>
          <cell r="F18" t="str">
            <v>DK</v>
          </cell>
          <cell r="G18" t="str">
            <v>FM</v>
          </cell>
          <cell r="K18">
            <v>1</v>
          </cell>
          <cell r="L18">
            <v>2</v>
          </cell>
        </row>
        <row r="19">
          <cell r="A19">
            <v>18</v>
          </cell>
          <cell r="B19" t="str">
            <v>Dorte Strøm</v>
          </cell>
          <cell r="C19">
            <v>46182</v>
          </cell>
          <cell r="D19">
            <v>46187</v>
          </cell>
          <cell r="E19">
            <v>45834</v>
          </cell>
          <cell r="F19" t="str">
            <v>DK</v>
          </cell>
          <cell r="G19" t="str">
            <v>FM</v>
          </cell>
          <cell r="K19">
            <v>1</v>
          </cell>
          <cell r="L19">
            <v>2</v>
          </cell>
        </row>
        <row r="20">
          <cell r="A20">
            <v>19</v>
          </cell>
          <cell r="B20" t="str">
            <v>Henrik Sørensen</v>
          </cell>
          <cell r="C20">
            <v>46215</v>
          </cell>
          <cell r="D20">
            <v>46229</v>
          </cell>
          <cell r="E20">
            <v>45931</v>
          </cell>
          <cell r="F20" t="str">
            <v>DK</v>
          </cell>
          <cell r="G20" t="str">
            <v>web</v>
          </cell>
          <cell r="I20" t="str">
            <v>sing</v>
          </cell>
          <cell r="J20">
            <v>0.1</v>
          </cell>
          <cell r="K20">
            <v>1</v>
          </cell>
          <cell r="L20">
            <v>1</v>
          </cell>
        </row>
        <row r="21">
          <cell r="A21">
            <v>20</v>
          </cell>
          <cell r="B21" t="str">
            <v>Susan Hart</v>
          </cell>
          <cell r="C21">
            <v>46163</v>
          </cell>
          <cell r="D21">
            <v>46167</v>
          </cell>
          <cell r="E21">
            <v>46008</v>
          </cell>
          <cell r="F21" t="str">
            <v>DK</v>
          </cell>
          <cell r="G21" t="str">
            <v>web</v>
          </cell>
          <cell r="K21">
            <v>3</v>
          </cell>
          <cell r="L21">
            <v>6</v>
          </cell>
        </row>
        <row r="22">
          <cell r="A22">
            <v>21</v>
          </cell>
          <cell r="B22" t="str">
            <v>Arne Sahlstedt</v>
          </cell>
          <cell r="C22">
            <v>46251</v>
          </cell>
          <cell r="D22">
            <v>46256</v>
          </cell>
          <cell r="E22">
            <v>46009</v>
          </cell>
          <cell r="F22" t="str">
            <v>S</v>
          </cell>
          <cell r="G22" t="str">
            <v>web</v>
          </cell>
          <cell r="J22">
            <v>0.1</v>
          </cell>
          <cell r="K22">
            <v>1</v>
          </cell>
          <cell r="L22">
            <v>2</v>
          </cell>
        </row>
        <row r="23">
          <cell r="A23">
            <v>22</v>
          </cell>
          <cell r="B23" t="str">
            <v>Schroll Lothar</v>
          </cell>
          <cell r="C23">
            <v>46271</v>
          </cell>
          <cell r="D23">
            <v>46282</v>
          </cell>
          <cell r="E23">
            <v>46016</v>
          </cell>
          <cell r="F23" t="str">
            <v>D</v>
          </cell>
          <cell r="G23" t="str">
            <v>bc</v>
          </cell>
          <cell r="K23">
            <v>1</v>
          </cell>
          <cell r="L23">
            <v>2</v>
          </cell>
        </row>
        <row r="24">
          <cell r="A24">
            <v>23</v>
          </cell>
          <cell r="B24" t="str">
            <v>Stine Jespersen</v>
          </cell>
          <cell r="C24">
            <v>46247</v>
          </cell>
          <cell r="D24">
            <v>46250</v>
          </cell>
          <cell r="E24">
            <v>46017</v>
          </cell>
          <cell r="F24" t="str">
            <v>DK</v>
          </cell>
          <cell r="G24" t="str">
            <v>bc</v>
          </cell>
          <cell r="H24" t="str">
            <v>1430</v>
          </cell>
          <cell r="I24" t="str">
            <v>dobb</v>
          </cell>
          <cell r="K24">
            <v>1</v>
          </cell>
          <cell r="L24">
            <v>2</v>
          </cell>
        </row>
        <row r="25">
          <cell r="A25">
            <v>24</v>
          </cell>
          <cell r="B25" t="str">
            <v>Malin Hällblad</v>
          </cell>
          <cell r="C25">
            <v>46205</v>
          </cell>
          <cell r="D25">
            <v>46208</v>
          </cell>
          <cell r="E25">
            <v>46016</v>
          </cell>
          <cell r="F25" t="str">
            <v>S</v>
          </cell>
          <cell r="G25" t="str">
            <v>bc</v>
          </cell>
          <cell r="I25" t="str">
            <v>dobb</v>
          </cell>
          <cell r="K25">
            <v>1</v>
          </cell>
          <cell r="L25">
            <v>2</v>
          </cell>
        </row>
        <row r="26">
          <cell r="A26">
            <v>25</v>
          </cell>
          <cell r="B26" t="str">
            <v>Liliane Schenker</v>
          </cell>
          <cell r="C26">
            <v>46256</v>
          </cell>
          <cell r="D26">
            <v>46261</v>
          </cell>
          <cell r="E26">
            <v>46017</v>
          </cell>
          <cell r="F26" t="str">
            <v>CH</v>
          </cell>
          <cell r="G26" t="str">
            <v>bc</v>
          </cell>
          <cell r="I26" t="str">
            <v>sing</v>
          </cell>
          <cell r="K26">
            <v>1</v>
          </cell>
          <cell r="L26">
            <v>1</v>
          </cell>
        </row>
        <row r="27">
          <cell r="A27">
            <v>26</v>
          </cell>
          <cell r="B27" t="str">
            <v>Holger Tygesen</v>
          </cell>
          <cell r="C27">
            <v>46251</v>
          </cell>
          <cell r="D27">
            <v>46255</v>
          </cell>
          <cell r="E27">
            <v>46019</v>
          </cell>
          <cell r="F27" t="str">
            <v>DK</v>
          </cell>
          <cell r="G27" t="str">
            <v>bc</v>
          </cell>
          <cell r="K27">
            <v>1</v>
          </cell>
          <cell r="L27">
            <v>2</v>
          </cell>
        </row>
        <row r="28">
          <cell r="A28">
            <v>27</v>
          </cell>
          <cell r="B28" t="str">
            <v>Eigil Holm Nielsen</v>
          </cell>
          <cell r="C28">
            <v>46176</v>
          </cell>
          <cell r="D28">
            <v>46182</v>
          </cell>
          <cell r="E28">
            <v>46021</v>
          </cell>
          <cell r="F28" t="str">
            <v>DK</v>
          </cell>
          <cell r="G28" t="str">
            <v>web</v>
          </cell>
          <cell r="I28" t="str">
            <v>sing/dobb</v>
          </cell>
          <cell r="J28">
            <v>0.1</v>
          </cell>
          <cell r="K28">
            <v>1</v>
          </cell>
          <cell r="L28">
            <v>2</v>
          </cell>
        </row>
        <row r="29">
          <cell r="A29">
            <v>28</v>
          </cell>
          <cell r="B29" t="str">
            <v>Alex Nielsen</v>
          </cell>
          <cell r="C29">
            <v>46143</v>
          </cell>
          <cell r="D29">
            <v>46145</v>
          </cell>
          <cell r="E29">
            <v>46021</v>
          </cell>
          <cell r="F29" t="str">
            <v>DK</v>
          </cell>
          <cell r="G29" t="str">
            <v>bc</v>
          </cell>
          <cell r="K29">
            <v>2</v>
          </cell>
          <cell r="L29">
            <v>3</v>
          </cell>
        </row>
        <row r="30">
          <cell r="A30">
            <v>29</v>
          </cell>
          <cell r="B30" t="str">
            <v>Ryszard Wasikieski</v>
          </cell>
          <cell r="C30">
            <v>46177</v>
          </cell>
          <cell r="D30">
            <v>46179</v>
          </cell>
          <cell r="E30">
            <v>46023</v>
          </cell>
          <cell r="F30" t="str">
            <v>PL</v>
          </cell>
          <cell r="G30" t="str">
            <v>cansl</v>
          </cell>
          <cell r="K30"/>
          <cell r="L30"/>
        </row>
        <row r="31">
          <cell r="A31">
            <v>30</v>
          </cell>
          <cell r="B31" t="str">
            <v>Annemarie Muller</v>
          </cell>
          <cell r="C31">
            <v>46230</v>
          </cell>
          <cell r="D31">
            <v>46234</v>
          </cell>
          <cell r="E31">
            <v>46025</v>
          </cell>
          <cell r="F31" t="str">
            <v>DK</v>
          </cell>
          <cell r="G31" t="str">
            <v>bc</v>
          </cell>
          <cell r="K31">
            <v>1</v>
          </cell>
          <cell r="L31">
            <v>2</v>
          </cell>
        </row>
        <row r="32">
          <cell r="A32">
            <v>31</v>
          </cell>
          <cell r="B32" t="str">
            <v>Kaj Henriksen</v>
          </cell>
          <cell r="C32">
            <v>46190</v>
          </cell>
          <cell r="D32">
            <v>46195</v>
          </cell>
          <cell r="E32">
            <v>46029</v>
          </cell>
          <cell r="F32" t="str">
            <v>DK</v>
          </cell>
          <cell r="G32" t="str">
            <v>web</v>
          </cell>
          <cell r="J32">
            <v>0.1</v>
          </cell>
          <cell r="K32">
            <v>1</v>
          </cell>
          <cell r="L32">
            <v>1</v>
          </cell>
        </row>
        <row r="33">
          <cell r="A33">
            <v>32</v>
          </cell>
          <cell r="B33" t="str">
            <v>Wolf Adrian</v>
          </cell>
          <cell r="C33">
            <v>46240</v>
          </cell>
          <cell r="D33">
            <v>46247</v>
          </cell>
          <cell r="E33">
            <v>46029</v>
          </cell>
          <cell r="F33" t="str">
            <v>D</v>
          </cell>
          <cell r="G33" t="str">
            <v>bc</v>
          </cell>
          <cell r="K33">
            <v>1</v>
          </cell>
          <cell r="L33">
            <v>2</v>
          </cell>
        </row>
        <row r="34">
          <cell r="A34">
            <v>33</v>
          </cell>
          <cell r="B34" t="str">
            <v>Jörg Wolf</v>
          </cell>
          <cell r="C34">
            <v>46240</v>
          </cell>
          <cell r="D34">
            <v>46247</v>
          </cell>
          <cell r="E34">
            <v>46029</v>
          </cell>
          <cell r="F34" t="str">
            <v>D</v>
          </cell>
          <cell r="G34" t="str">
            <v>bc</v>
          </cell>
          <cell r="K34">
            <v>1</v>
          </cell>
          <cell r="L34">
            <v>1</v>
          </cell>
        </row>
        <row r="35">
          <cell r="A35">
            <v>34</v>
          </cell>
          <cell r="B35" t="str">
            <v>Fred Pergande</v>
          </cell>
          <cell r="C35">
            <v>46198</v>
          </cell>
          <cell r="D35">
            <v>46208</v>
          </cell>
          <cell r="E35">
            <v>46030</v>
          </cell>
          <cell r="F35" t="str">
            <v>D</v>
          </cell>
          <cell r="G35" t="str">
            <v>bc</v>
          </cell>
          <cell r="H35" t="str">
            <v>1630</v>
          </cell>
          <cell r="I35" t="str">
            <v>dobb</v>
          </cell>
          <cell r="K35">
            <v>1</v>
          </cell>
          <cell r="L35">
            <v>2</v>
          </cell>
        </row>
        <row r="36">
          <cell r="A36">
            <v>35</v>
          </cell>
          <cell r="B36" t="str">
            <v>Ken Lentonsson</v>
          </cell>
          <cell r="C36">
            <v>46261</v>
          </cell>
          <cell r="D36">
            <v>46265</v>
          </cell>
          <cell r="E36">
            <v>46030</v>
          </cell>
          <cell r="F36" t="str">
            <v>S</v>
          </cell>
          <cell r="G36" t="str">
            <v>web</v>
          </cell>
          <cell r="I36" t="str">
            <v>dobb</v>
          </cell>
          <cell r="J36">
            <v>0.1</v>
          </cell>
          <cell r="K36">
            <v>1</v>
          </cell>
          <cell r="L36">
            <v>2</v>
          </cell>
        </row>
        <row r="37">
          <cell r="A37">
            <v>36</v>
          </cell>
          <cell r="B37" t="str">
            <v>Henrik Tillebeck</v>
          </cell>
          <cell r="C37">
            <v>46209</v>
          </cell>
          <cell r="D37">
            <v>46212</v>
          </cell>
          <cell r="E37">
            <v>46030</v>
          </cell>
          <cell r="F37" t="str">
            <v>DK</v>
          </cell>
          <cell r="G37" t="str">
            <v>bc</v>
          </cell>
          <cell r="I37" t="str">
            <v>sing</v>
          </cell>
          <cell r="K37">
            <v>2</v>
          </cell>
          <cell r="L37">
            <v>4</v>
          </cell>
        </row>
        <row r="38">
          <cell r="A38">
            <v>37</v>
          </cell>
          <cell r="B38" t="str">
            <v>Lene Fuglevig</v>
          </cell>
          <cell r="C38">
            <v>46195</v>
          </cell>
          <cell r="D38">
            <v>46198</v>
          </cell>
          <cell r="E38">
            <v>46031</v>
          </cell>
          <cell r="F38" t="str">
            <v>DK</v>
          </cell>
          <cell r="G38" t="str">
            <v>bc</v>
          </cell>
          <cell r="H38" t="str">
            <v>1430</v>
          </cell>
          <cell r="K38">
            <v>1</v>
          </cell>
          <cell r="L38">
            <v>2</v>
          </cell>
        </row>
        <row r="39">
          <cell r="A39">
            <v>38</v>
          </cell>
          <cell r="B39" t="str">
            <v>Werner Strehmel</v>
          </cell>
          <cell r="C39">
            <v>46221</v>
          </cell>
          <cell r="D39">
            <v>46228</v>
          </cell>
          <cell r="E39">
            <v>46031</v>
          </cell>
          <cell r="F39" t="str">
            <v>CH</v>
          </cell>
          <cell r="G39" t="str">
            <v>bc</v>
          </cell>
          <cell r="I39" t="str">
            <v>sing</v>
          </cell>
          <cell r="K39">
            <v>1</v>
          </cell>
          <cell r="L39">
            <v>2</v>
          </cell>
        </row>
        <row r="40">
          <cell r="A40">
            <v>39</v>
          </cell>
          <cell r="B40" t="str">
            <v>Bernhard Griesser</v>
          </cell>
          <cell r="C40">
            <v>46216</v>
          </cell>
          <cell r="D40">
            <v>46220</v>
          </cell>
          <cell r="E40">
            <v>46032</v>
          </cell>
          <cell r="G40" t="str">
            <v>cansl</v>
          </cell>
        </row>
        <row r="41">
          <cell r="A41">
            <v>40</v>
          </cell>
          <cell r="B41" t="str">
            <v>Else Andersen</v>
          </cell>
          <cell r="C41">
            <v>46164</v>
          </cell>
          <cell r="D41">
            <v>46167</v>
          </cell>
          <cell r="E41">
            <v>46033</v>
          </cell>
          <cell r="F41" t="str">
            <v>DK</v>
          </cell>
          <cell r="G41" t="str">
            <v>cansl</v>
          </cell>
        </row>
        <row r="42">
          <cell r="A42">
            <v>41</v>
          </cell>
          <cell r="B42" t="str">
            <v>Mette Sandvig</v>
          </cell>
          <cell r="C42">
            <v>46282</v>
          </cell>
          <cell r="D42">
            <v>46285</v>
          </cell>
          <cell r="E42">
            <v>46035</v>
          </cell>
          <cell r="F42" t="str">
            <v>DK</v>
          </cell>
          <cell r="G42" t="str">
            <v>bc</v>
          </cell>
          <cell r="I42" t="str">
            <v>sing</v>
          </cell>
          <cell r="K42">
            <v>1</v>
          </cell>
          <cell r="L42">
            <v>2</v>
          </cell>
        </row>
        <row r="43">
          <cell r="A43">
            <v>42</v>
          </cell>
          <cell r="B43" t="str">
            <v>Lisbeth Helbl</v>
          </cell>
          <cell r="C43">
            <v>46282</v>
          </cell>
          <cell r="D43">
            <v>46285</v>
          </cell>
          <cell r="E43">
            <v>46036</v>
          </cell>
          <cell r="F43" t="str">
            <v>S</v>
          </cell>
          <cell r="G43" t="str">
            <v>bc</v>
          </cell>
          <cell r="K43">
            <v>1</v>
          </cell>
          <cell r="L43">
            <v>1</v>
          </cell>
        </row>
        <row r="44">
          <cell r="A44">
            <v>43</v>
          </cell>
          <cell r="B44" t="str">
            <v>Ulla Ringgård</v>
          </cell>
          <cell r="C44">
            <v>46216</v>
          </cell>
          <cell r="D44">
            <v>46219</v>
          </cell>
          <cell r="E44">
            <v>46037</v>
          </cell>
          <cell r="F44" t="str">
            <v>DK</v>
          </cell>
          <cell r="G44" t="str">
            <v>web</v>
          </cell>
          <cell r="H44" t="str">
            <v>1430</v>
          </cell>
          <cell r="I44" t="str">
            <v>db + opr</v>
          </cell>
          <cell r="K44">
            <v>1</v>
          </cell>
          <cell r="L44">
            <v>2</v>
          </cell>
        </row>
        <row r="45">
          <cell r="A45">
            <v>44</v>
          </cell>
          <cell r="B45" t="str">
            <v>Jan Uxa</v>
          </cell>
          <cell r="C45">
            <v>46222</v>
          </cell>
          <cell r="D45">
            <v>46227</v>
          </cell>
          <cell r="E45">
            <v>46037</v>
          </cell>
          <cell r="F45" t="str">
            <v>CZ</v>
          </cell>
          <cell r="G45" t="str">
            <v>bc</v>
          </cell>
          <cell r="I45" t="str">
            <v>dobb</v>
          </cell>
          <cell r="K45">
            <v>1</v>
          </cell>
          <cell r="L45">
            <v>2</v>
          </cell>
        </row>
        <row r="46">
          <cell r="A46">
            <v>45</v>
          </cell>
          <cell r="B46" t="str">
            <v>Birgitta Björkroth</v>
          </cell>
          <cell r="C46">
            <v>46240</v>
          </cell>
          <cell r="D46">
            <v>46243</v>
          </cell>
          <cell r="E46">
            <v>46038</v>
          </cell>
          <cell r="F46" t="str">
            <v>S</v>
          </cell>
          <cell r="G46" t="str">
            <v>bc</v>
          </cell>
          <cell r="K46">
            <v>1</v>
          </cell>
          <cell r="L46">
            <v>2</v>
          </cell>
        </row>
        <row r="47">
          <cell r="A47">
            <v>46</v>
          </cell>
          <cell r="B47" t="str">
            <v>Kathrine Moelgaard Nielsen</v>
          </cell>
          <cell r="C47">
            <v>46247</v>
          </cell>
          <cell r="D47">
            <v>46252</v>
          </cell>
          <cell r="E47">
            <v>46037</v>
          </cell>
          <cell r="F47" t="str">
            <v>DK</v>
          </cell>
          <cell r="G47" t="str">
            <v>bc</v>
          </cell>
          <cell r="H47" t="str">
            <v>1430</v>
          </cell>
          <cell r="I47" t="str">
            <v>dobb</v>
          </cell>
          <cell r="K47">
            <v>1</v>
          </cell>
          <cell r="L47">
            <v>2</v>
          </cell>
        </row>
        <row r="48">
          <cell r="A48">
            <v>47</v>
          </cell>
          <cell r="B48" t="str">
            <v>Dorte Strøm</v>
          </cell>
          <cell r="C48">
            <v>46281</v>
          </cell>
          <cell r="D48">
            <v>46286</v>
          </cell>
          <cell r="E48">
            <v>46037</v>
          </cell>
          <cell r="F48" t="str">
            <v>DK</v>
          </cell>
          <cell r="G48" t="str">
            <v>web</v>
          </cell>
          <cell r="K48">
            <v>1</v>
          </cell>
          <cell r="L48">
            <v>2</v>
          </cell>
        </row>
        <row r="49">
          <cell r="A49">
            <v>48</v>
          </cell>
          <cell r="B49" t="str">
            <v>Charlotte Bremer</v>
          </cell>
          <cell r="C49">
            <v>46156</v>
          </cell>
          <cell r="D49">
            <v>46159</v>
          </cell>
          <cell r="E49">
            <v>46040</v>
          </cell>
          <cell r="F49" t="str">
            <v>DK</v>
          </cell>
          <cell r="G49" t="str">
            <v>cansl</v>
          </cell>
        </row>
        <row r="50">
          <cell r="A50">
            <v>49</v>
          </cell>
          <cell r="B50" t="str">
            <v>Jens Olesen</v>
          </cell>
          <cell r="C50">
            <v>46228</v>
          </cell>
          <cell r="D50">
            <v>46235</v>
          </cell>
          <cell r="E50">
            <v>46040</v>
          </cell>
          <cell r="F50" t="str">
            <v>DK</v>
          </cell>
          <cell r="G50" t="str">
            <v>bc</v>
          </cell>
          <cell r="I50" t="str">
            <v>dobb</v>
          </cell>
          <cell r="K50">
            <v>1</v>
          </cell>
          <cell r="L50">
            <v>2</v>
          </cell>
        </row>
        <row r="51">
          <cell r="A51">
            <v>50</v>
          </cell>
          <cell r="B51" t="str">
            <v>Lone Dybdahl</v>
          </cell>
          <cell r="C51">
            <v>46237</v>
          </cell>
          <cell r="D51">
            <v>46241</v>
          </cell>
          <cell r="E51">
            <v>46039</v>
          </cell>
          <cell r="F51" t="str">
            <v>DK</v>
          </cell>
          <cell r="G51" t="str">
            <v>bc</v>
          </cell>
          <cell r="I51" t="str">
            <v>dobb</v>
          </cell>
          <cell r="K51">
            <v>1</v>
          </cell>
          <cell r="L51">
            <v>2</v>
          </cell>
        </row>
        <row r="52">
          <cell r="A52">
            <v>51</v>
          </cell>
          <cell r="B52" t="str">
            <v>Mikael Holst</v>
          </cell>
          <cell r="C52">
            <v>46250</v>
          </cell>
          <cell r="D52">
            <v>46255</v>
          </cell>
          <cell r="E52">
            <v>46041</v>
          </cell>
          <cell r="F52" t="str">
            <v>DK</v>
          </cell>
          <cell r="G52" t="str">
            <v>web</v>
          </cell>
          <cell r="J52">
            <v>0.1</v>
          </cell>
          <cell r="K52">
            <v>1</v>
          </cell>
          <cell r="L52">
            <v>2</v>
          </cell>
        </row>
        <row r="53">
          <cell r="A53">
            <v>52</v>
          </cell>
          <cell r="B53" t="str">
            <v>Gitte Zebitz</v>
          </cell>
          <cell r="C53">
            <v>46251</v>
          </cell>
          <cell r="D53">
            <v>46255</v>
          </cell>
          <cell r="E53">
            <v>46041</v>
          </cell>
          <cell r="F53" t="str">
            <v>DK</v>
          </cell>
          <cell r="G53" t="str">
            <v>bc</v>
          </cell>
          <cell r="H53" t="str">
            <v>1300</v>
          </cell>
          <cell r="K53">
            <v>1</v>
          </cell>
          <cell r="L53">
            <v>2</v>
          </cell>
        </row>
        <row r="54">
          <cell r="A54">
            <v>53</v>
          </cell>
          <cell r="B54" t="str">
            <v>Claus Nyeland</v>
          </cell>
          <cell r="C54">
            <v>46155</v>
          </cell>
          <cell r="D54">
            <v>46158</v>
          </cell>
          <cell r="E54">
            <v>46041</v>
          </cell>
          <cell r="F54" t="str">
            <v>DK</v>
          </cell>
          <cell r="G54" t="str">
            <v>bc</v>
          </cell>
          <cell r="H54" t="str">
            <v>1400</v>
          </cell>
          <cell r="I54" t="str">
            <v>dobb</v>
          </cell>
          <cell r="K54">
            <v>1</v>
          </cell>
          <cell r="L54">
            <v>2</v>
          </cell>
        </row>
        <row r="55">
          <cell r="A55">
            <v>54</v>
          </cell>
          <cell r="B55" t="str">
            <v>Anita Steffensen</v>
          </cell>
          <cell r="C55">
            <v>46254</v>
          </cell>
          <cell r="D55">
            <v>46257</v>
          </cell>
          <cell r="E55">
            <v>46042</v>
          </cell>
          <cell r="F55" t="str">
            <v>DK</v>
          </cell>
          <cell r="G55" t="str">
            <v>bc</v>
          </cell>
          <cell r="H55" t="str">
            <v>1530</v>
          </cell>
          <cell r="I55" t="str">
            <v>db/sing</v>
          </cell>
          <cell r="K55">
            <v>2</v>
          </cell>
          <cell r="L55">
            <v>4</v>
          </cell>
        </row>
        <row r="56">
          <cell r="A56">
            <v>55</v>
          </cell>
          <cell r="B56" t="str">
            <v>Jette Jensen</v>
          </cell>
          <cell r="C56">
            <v>46230</v>
          </cell>
          <cell r="D56">
            <v>46234</v>
          </cell>
          <cell r="E56">
            <v>46042</v>
          </cell>
          <cell r="F56" t="str">
            <v>DK</v>
          </cell>
          <cell r="G56" t="str">
            <v>bc</v>
          </cell>
          <cell r="I56" t="str">
            <v>dobb</v>
          </cell>
          <cell r="K56">
            <v>1</v>
          </cell>
          <cell r="L56">
            <v>2</v>
          </cell>
        </row>
        <row r="57">
          <cell r="A57">
            <v>56</v>
          </cell>
          <cell r="B57" t="str">
            <v>Tage Ebbensgaard</v>
          </cell>
          <cell r="C57">
            <v>46192</v>
          </cell>
          <cell r="D57">
            <v>46194</v>
          </cell>
          <cell r="E57">
            <v>46043</v>
          </cell>
          <cell r="F57" t="str">
            <v>DK</v>
          </cell>
          <cell r="G57" t="str">
            <v>bc</v>
          </cell>
          <cell r="H57" t="str">
            <v>2000</v>
          </cell>
          <cell r="I57" t="str">
            <v>dobb</v>
          </cell>
          <cell r="K57">
            <v>1</v>
          </cell>
          <cell r="L57">
            <v>2</v>
          </cell>
        </row>
        <row r="58">
          <cell r="A58">
            <v>57</v>
          </cell>
          <cell r="B58" t="str">
            <v>Cecilia Löfgren</v>
          </cell>
          <cell r="C58">
            <v>46232</v>
          </cell>
          <cell r="D58">
            <v>46238</v>
          </cell>
          <cell r="E58">
            <v>46043</v>
          </cell>
          <cell r="F58" t="str">
            <v>S</v>
          </cell>
          <cell r="G58" t="str">
            <v>bc</v>
          </cell>
          <cell r="K58">
            <v>1</v>
          </cell>
          <cell r="L58">
            <v>2</v>
          </cell>
        </row>
        <row r="59">
          <cell r="A59">
            <v>58</v>
          </cell>
          <cell r="B59" t="str">
            <v>Rikke Schwartz</v>
          </cell>
          <cell r="C59">
            <v>46229</v>
          </cell>
          <cell r="D59">
            <v>46233</v>
          </cell>
          <cell r="E59">
            <v>46046</v>
          </cell>
          <cell r="F59" t="str">
            <v>DK</v>
          </cell>
          <cell r="G59" t="str">
            <v>web</v>
          </cell>
          <cell r="I59" t="str">
            <v>sing</v>
          </cell>
          <cell r="J59">
            <v>0.1</v>
          </cell>
          <cell r="K59">
            <v>2</v>
          </cell>
          <cell r="L59">
            <v>2</v>
          </cell>
        </row>
        <row r="60">
          <cell r="A60">
            <v>59</v>
          </cell>
          <cell r="B60" t="str">
            <v>Jutta Fogh</v>
          </cell>
          <cell r="C60">
            <v>46244</v>
          </cell>
          <cell r="D60">
            <v>46248</v>
          </cell>
          <cell r="E60">
            <v>46047</v>
          </cell>
          <cell r="F60" t="str">
            <v>DK</v>
          </cell>
          <cell r="G60" t="str">
            <v>bc</v>
          </cell>
          <cell r="H60" t="str">
            <v>1200</v>
          </cell>
          <cell r="I60" t="str">
            <v>dobb</v>
          </cell>
          <cell r="K60">
            <v>1</v>
          </cell>
          <cell r="L60">
            <v>2</v>
          </cell>
        </row>
        <row r="61">
          <cell r="A61">
            <v>60</v>
          </cell>
          <cell r="B61" t="str">
            <v>Linda Henriksen</v>
          </cell>
          <cell r="C61">
            <v>46258</v>
          </cell>
          <cell r="D61">
            <v>46262</v>
          </cell>
          <cell r="E61">
            <v>46047</v>
          </cell>
          <cell r="F61" t="str">
            <v>DK</v>
          </cell>
          <cell r="G61" t="str">
            <v>bc</v>
          </cell>
          <cell r="K61">
            <v>1</v>
          </cell>
          <cell r="L61">
            <v>1</v>
          </cell>
        </row>
        <row r="62">
          <cell r="A62">
            <v>61</v>
          </cell>
          <cell r="B62" t="str">
            <v>Hans-Peter Könitzer</v>
          </cell>
          <cell r="C62">
            <v>46199</v>
          </cell>
          <cell r="D62">
            <v>46202</v>
          </cell>
          <cell r="E62">
            <v>46047</v>
          </cell>
          <cell r="F62" t="str">
            <v>D</v>
          </cell>
          <cell r="G62" t="str">
            <v>bc</v>
          </cell>
          <cell r="H62" t="str">
            <v>1230</v>
          </cell>
          <cell r="I62" t="str">
            <v>Dobb</v>
          </cell>
          <cell r="K62">
            <v>1</v>
          </cell>
          <cell r="L62">
            <v>2</v>
          </cell>
        </row>
        <row r="63">
          <cell r="A63">
            <v>62</v>
          </cell>
          <cell r="B63" t="str">
            <v>Sigrid Marie Poulsen</v>
          </cell>
          <cell r="C63">
            <v>46214</v>
          </cell>
          <cell r="D63">
            <v>46225</v>
          </cell>
          <cell r="E63">
            <v>46047</v>
          </cell>
          <cell r="F63" t="str">
            <v>DK</v>
          </cell>
          <cell r="G63" t="str">
            <v>bc</v>
          </cell>
          <cell r="I63" t="str">
            <v>Dobb</v>
          </cell>
          <cell r="J63">
            <v>0.1</v>
          </cell>
          <cell r="K63">
            <v>1</v>
          </cell>
          <cell r="L63">
            <v>2</v>
          </cell>
        </row>
        <row r="64">
          <cell r="A64">
            <v>63</v>
          </cell>
          <cell r="B64" t="str">
            <v>Tommy Thunberg</v>
          </cell>
          <cell r="C64">
            <v>46153</v>
          </cell>
          <cell r="D64">
            <v>46155</v>
          </cell>
          <cell r="E64">
            <v>46048</v>
          </cell>
          <cell r="F64" t="str">
            <v>S</v>
          </cell>
          <cell r="G64" t="str">
            <v>web</v>
          </cell>
          <cell r="J64">
            <v>0.05</v>
          </cell>
          <cell r="K64">
            <v>1</v>
          </cell>
          <cell r="L64">
            <v>2</v>
          </cell>
        </row>
        <row r="65">
          <cell r="A65">
            <v>64</v>
          </cell>
          <cell r="B65" t="str">
            <v>Elonor Skog</v>
          </cell>
          <cell r="C65">
            <v>46198</v>
          </cell>
          <cell r="D65">
            <v>46201</v>
          </cell>
          <cell r="E65">
            <v>46053</v>
          </cell>
          <cell r="F65" t="str">
            <v>S</v>
          </cell>
          <cell r="G65" t="str">
            <v>bc</v>
          </cell>
          <cell r="I65" t="str">
            <v>sing</v>
          </cell>
          <cell r="K65">
            <v>1</v>
          </cell>
          <cell r="L65">
            <v>2</v>
          </cell>
        </row>
        <row r="66">
          <cell r="A66">
            <v>65</v>
          </cell>
          <cell r="B66" t="str">
            <v>Pia Jensen</v>
          </cell>
          <cell r="C66">
            <v>46256</v>
          </cell>
          <cell r="D66">
            <v>46259</v>
          </cell>
          <cell r="E66">
            <v>46054</v>
          </cell>
          <cell r="F66" t="str">
            <v>DK</v>
          </cell>
          <cell r="G66" t="str">
            <v>bc</v>
          </cell>
          <cell r="I66" t="str">
            <v>dobb</v>
          </cell>
          <cell r="K66">
            <v>1</v>
          </cell>
          <cell r="L66">
            <v>2</v>
          </cell>
        </row>
        <row r="67">
          <cell r="A67">
            <v>66</v>
          </cell>
          <cell r="B67" t="str">
            <v>Martin Jørn Simonsen</v>
          </cell>
          <cell r="C67">
            <v>46214</v>
          </cell>
          <cell r="D67">
            <v>46222</v>
          </cell>
          <cell r="E67">
            <v>46054</v>
          </cell>
          <cell r="F67" t="str">
            <v>DK</v>
          </cell>
          <cell r="G67" t="str">
            <v>web</v>
          </cell>
          <cell r="J67">
            <v>0.1</v>
          </cell>
          <cell r="K67">
            <v>1</v>
          </cell>
          <cell r="L67">
            <v>2</v>
          </cell>
        </row>
        <row r="68">
          <cell r="A68">
            <v>67</v>
          </cell>
          <cell r="B68" t="str">
            <v>Christian Struck</v>
          </cell>
          <cell r="C68">
            <v>46260</v>
          </cell>
          <cell r="D68">
            <v>46265</v>
          </cell>
          <cell r="E68">
            <v>46055</v>
          </cell>
          <cell r="F68" t="str">
            <v>D</v>
          </cell>
          <cell r="G68" t="str">
            <v>bc</v>
          </cell>
          <cell r="H68" t="str">
            <v>1430</v>
          </cell>
          <cell r="I68" t="str">
            <v>dobb</v>
          </cell>
          <cell r="K68">
            <v>1</v>
          </cell>
          <cell r="L68">
            <v>2</v>
          </cell>
        </row>
        <row r="69">
          <cell r="A69">
            <v>68</v>
          </cell>
          <cell r="B69" t="str">
            <v>Danny Bukh Almstrup</v>
          </cell>
          <cell r="C69">
            <v>46143</v>
          </cell>
          <cell r="D69">
            <v>46145</v>
          </cell>
          <cell r="E69">
            <v>46055</v>
          </cell>
          <cell r="F69" t="str">
            <v>DK</v>
          </cell>
          <cell r="G69" t="str">
            <v>bc</v>
          </cell>
          <cell r="H69" t="str">
            <v>1500</v>
          </cell>
          <cell r="I69" t="str">
            <v>sing</v>
          </cell>
          <cell r="K69">
            <v>1</v>
          </cell>
          <cell r="L69">
            <v>1</v>
          </cell>
        </row>
        <row r="70">
          <cell r="A70">
            <v>69</v>
          </cell>
          <cell r="B70" t="str">
            <v>Issam Saou</v>
          </cell>
          <cell r="C70">
            <v>46212</v>
          </cell>
          <cell r="D70">
            <v>46215</v>
          </cell>
          <cell r="E70">
            <v>46055</v>
          </cell>
          <cell r="F70" t="str">
            <v>DK</v>
          </cell>
          <cell r="G70" t="str">
            <v>bc</v>
          </cell>
          <cell r="K70">
            <v>1</v>
          </cell>
          <cell r="L70">
            <v>2</v>
          </cell>
        </row>
        <row r="71">
          <cell r="A71">
            <v>70</v>
          </cell>
          <cell r="B71" t="str">
            <v>Jan Andersen</v>
          </cell>
          <cell r="C71">
            <v>46188</v>
          </cell>
          <cell r="D71">
            <v>46193</v>
          </cell>
          <cell r="E71">
            <v>46056</v>
          </cell>
          <cell r="F71" t="str">
            <v>DK</v>
          </cell>
          <cell r="G71" t="str">
            <v>web</v>
          </cell>
          <cell r="K71">
            <v>1</v>
          </cell>
          <cell r="L71">
            <v>2</v>
          </cell>
        </row>
        <row r="72">
          <cell r="A72">
            <v>71</v>
          </cell>
          <cell r="B72" t="str">
            <v>Michael Zorn</v>
          </cell>
          <cell r="C72">
            <v>46260</v>
          </cell>
          <cell r="D72">
            <v>46264</v>
          </cell>
          <cell r="E72">
            <v>46057</v>
          </cell>
          <cell r="F72" t="str">
            <v>D</v>
          </cell>
          <cell r="G72" t="str">
            <v>cansl</v>
          </cell>
          <cell r="I72" t="str">
            <v>sing</v>
          </cell>
        </row>
        <row r="73">
          <cell r="A73">
            <v>72</v>
          </cell>
          <cell r="B73" t="str">
            <v>Anders Andersen</v>
          </cell>
          <cell r="C73">
            <v>46145</v>
          </cell>
          <cell r="D73">
            <v>46152</v>
          </cell>
          <cell r="E73">
            <v>46060</v>
          </cell>
          <cell r="F73" t="str">
            <v>DK</v>
          </cell>
          <cell r="G73" t="str">
            <v>bc</v>
          </cell>
          <cell r="H73" t="str">
            <v>1430</v>
          </cell>
          <cell r="K73">
            <v>1</v>
          </cell>
          <cell r="L73">
            <v>2</v>
          </cell>
        </row>
        <row r="74">
          <cell r="A74">
            <v>73</v>
          </cell>
          <cell r="B74" t="str">
            <v>Maria Meyer</v>
          </cell>
          <cell r="C74">
            <v>46143</v>
          </cell>
          <cell r="D74">
            <v>46145</v>
          </cell>
          <cell r="E74">
            <v>46061</v>
          </cell>
          <cell r="F74" t="str">
            <v>DK</v>
          </cell>
          <cell r="G74" t="str">
            <v>cansl</v>
          </cell>
        </row>
        <row r="75">
          <cell r="A75">
            <v>74</v>
          </cell>
          <cell r="B75" t="str">
            <v>Anne Hastrup Poulsen</v>
          </cell>
          <cell r="C75">
            <v>46236</v>
          </cell>
          <cell r="D75">
            <v>46240</v>
          </cell>
          <cell r="E75">
            <v>46063</v>
          </cell>
          <cell r="F75" t="str">
            <v>DK</v>
          </cell>
          <cell r="G75" t="str">
            <v>web</v>
          </cell>
          <cell r="J75">
            <v>0.1</v>
          </cell>
          <cell r="K75">
            <v>2</v>
          </cell>
          <cell r="L75">
            <v>3</v>
          </cell>
        </row>
        <row r="76">
          <cell r="A76">
            <v>75</v>
          </cell>
          <cell r="B76" t="str">
            <v>Belinda Danielsen</v>
          </cell>
          <cell r="C76">
            <v>46276</v>
          </cell>
          <cell r="D76">
            <v>46279</v>
          </cell>
          <cell r="E76">
            <v>46067</v>
          </cell>
          <cell r="F76" t="str">
            <v>DK</v>
          </cell>
          <cell r="G76" t="str">
            <v>cansl</v>
          </cell>
        </row>
        <row r="77">
          <cell r="A77">
            <v>76</v>
          </cell>
          <cell r="B77" t="str">
            <v>Karin Nielsen</v>
          </cell>
          <cell r="C77">
            <v>46202</v>
          </cell>
          <cell r="D77">
            <v>46206</v>
          </cell>
          <cell r="E77">
            <v>46068</v>
          </cell>
          <cell r="F77" t="str">
            <v>DK</v>
          </cell>
          <cell r="G77" t="str">
            <v>bc</v>
          </cell>
          <cell r="I77" t="str">
            <v>sing</v>
          </cell>
          <cell r="K77">
            <v>1</v>
          </cell>
          <cell r="L77">
            <v>2</v>
          </cell>
        </row>
        <row r="78">
          <cell r="A78">
            <v>77</v>
          </cell>
          <cell r="B78" t="str">
            <v>Stig Ravnkilde Erichsen</v>
          </cell>
          <cell r="C78">
            <v>46200</v>
          </cell>
          <cell r="D78">
            <v>46207</v>
          </cell>
          <cell r="E78">
            <v>46069</v>
          </cell>
          <cell r="F78" t="str">
            <v>DK</v>
          </cell>
          <cell r="G78" t="str">
            <v>web</v>
          </cell>
          <cell r="K78">
            <v>1</v>
          </cell>
          <cell r="L78">
            <v>2</v>
          </cell>
        </row>
        <row r="79">
          <cell r="A79">
            <v>78</v>
          </cell>
          <cell r="B79" t="str">
            <v>Kim Friedrichs</v>
          </cell>
          <cell r="C79">
            <v>46260</v>
          </cell>
          <cell r="D79">
            <v>46268</v>
          </cell>
          <cell r="E79">
            <v>46072</v>
          </cell>
          <cell r="F79" t="str">
            <v>D</v>
          </cell>
          <cell r="G79" t="str">
            <v>bc</v>
          </cell>
          <cell r="I79" t="str">
            <v>dobb</v>
          </cell>
          <cell r="K79">
            <v>1</v>
          </cell>
          <cell r="L79">
            <v>2</v>
          </cell>
        </row>
        <row r="80">
          <cell r="A80">
            <v>79</v>
          </cell>
          <cell r="B80" t="str">
            <v>Claus Kaae</v>
          </cell>
          <cell r="C80">
            <v>46173</v>
          </cell>
          <cell r="D80">
            <v>46178</v>
          </cell>
          <cell r="E80">
            <v>46073</v>
          </cell>
          <cell r="F80" t="str">
            <v>DK</v>
          </cell>
          <cell r="G80" t="str">
            <v>web</v>
          </cell>
          <cell r="J80">
            <v>0.1</v>
          </cell>
          <cell r="K80">
            <v>1</v>
          </cell>
          <cell r="L80">
            <v>2</v>
          </cell>
        </row>
        <row r="81">
          <cell r="A81">
            <v>80</v>
          </cell>
          <cell r="B81" t="str">
            <v>Finn Müllertz</v>
          </cell>
          <cell r="C81">
            <v>46149</v>
          </cell>
          <cell r="D81">
            <v>46152</v>
          </cell>
          <cell r="E81">
            <v>46074</v>
          </cell>
          <cell r="F81" t="str">
            <v>DK</v>
          </cell>
          <cell r="G81" t="str">
            <v>web</v>
          </cell>
          <cell r="I81" t="str">
            <v>db</v>
          </cell>
          <cell r="J81">
            <v>0.1</v>
          </cell>
          <cell r="K81">
            <v>2</v>
          </cell>
          <cell r="L81">
            <v>4</v>
          </cell>
        </row>
        <row r="82">
          <cell r="A82">
            <v>81</v>
          </cell>
          <cell r="B82" t="str">
            <v>Torben Juul Nielsen</v>
          </cell>
          <cell r="C82">
            <v>46218</v>
          </cell>
          <cell r="D82">
            <v>46221</v>
          </cell>
          <cell r="E82">
            <v>46074</v>
          </cell>
          <cell r="F82" t="str">
            <v>DK</v>
          </cell>
          <cell r="G82" t="str">
            <v>bc</v>
          </cell>
          <cell r="K82">
            <v>1</v>
          </cell>
          <cell r="L82">
            <v>2</v>
          </cell>
        </row>
        <row r="83">
          <cell r="A83">
            <v>82</v>
          </cell>
          <cell r="B83" t="str">
            <v>Rikke Duevang</v>
          </cell>
          <cell r="C83">
            <v>46143</v>
          </cell>
          <cell r="D83">
            <v>46145</v>
          </cell>
          <cell r="E83">
            <v>46075</v>
          </cell>
          <cell r="F83" t="str">
            <v>DK</v>
          </cell>
          <cell r="G83" t="str">
            <v>cansl</v>
          </cell>
        </row>
        <row r="84">
          <cell r="A84">
            <v>83</v>
          </cell>
          <cell r="B84" t="str">
            <v>Charlotte Søder</v>
          </cell>
          <cell r="C84">
            <v>46187</v>
          </cell>
          <cell r="D84">
            <v>46191</v>
          </cell>
          <cell r="E84">
            <v>46077</v>
          </cell>
          <cell r="F84" t="str">
            <v>DK</v>
          </cell>
          <cell r="G84" t="str">
            <v>bc</v>
          </cell>
          <cell r="K84">
            <v>1</v>
          </cell>
          <cell r="L84">
            <v>2</v>
          </cell>
        </row>
        <row r="85">
          <cell r="A85">
            <v>84</v>
          </cell>
          <cell r="B85" t="str">
            <v>Bjarne List Nissen</v>
          </cell>
          <cell r="C85">
            <v>46212</v>
          </cell>
          <cell r="D85">
            <v>46216</v>
          </cell>
          <cell r="E85">
            <v>46079</v>
          </cell>
          <cell r="F85" t="str">
            <v>DK</v>
          </cell>
          <cell r="G85" t="str">
            <v>web</v>
          </cell>
          <cell r="J85">
            <v>0.1</v>
          </cell>
          <cell r="K85">
            <v>1</v>
          </cell>
          <cell r="L85">
            <v>2</v>
          </cell>
        </row>
        <row r="86">
          <cell r="A86">
            <v>85</v>
          </cell>
          <cell r="B86" t="str">
            <v>Stine Yndgaard</v>
          </cell>
          <cell r="C86">
            <v>46143</v>
          </cell>
          <cell r="D86">
            <v>46145</v>
          </cell>
          <cell r="E86">
            <v>46081</v>
          </cell>
          <cell r="F86" t="str">
            <v>DK</v>
          </cell>
          <cell r="G86" t="str">
            <v>bc</v>
          </cell>
          <cell r="K86">
            <v>1</v>
          </cell>
          <cell r="L86">
            <v>1</v>
          </cell>
        </row>
        <row r="87">
          <cell r="A87">
            <v>86</v>
          </cell>
          <cell r="B87" t="str">
            <v>Peter Baberowski</v>
          </cell>
          <cell r="C87">
            <v>46188</v>
          </cell>
          <cell r="D87">
            <v>46195</v>
          </cell>
          <cell r="E87">
            <v>46081</v>
          </cell>
          <cell r="F87" t="str">
            <v>D</v>
          </cell>
          <cell r="G87" t="str">
            <v>web</v>
          </cell>
          <cell r="J87">
            <v>0.1</v>
          </cell>
          <cell r="K87">
            <v>1</v>
          </cell>
          <cell r="L87">
            <v>2</v>
          </cell>
        </row>
        <row r="88">
          <cell r="A88">
            <v>87</v>
          </cell>
          <cell r="B88" t="str">
            <v>Matthias Jaeger</v>
          </cell>
          <cell r="C88">
            <v>46199</v>
          </cell>
          <cell r="D88">
            <v>46202</v>
          </cell>
          <cell r="E88">
            <v>46083</v>
          </cell>
          <cell r="F88" t="str">
            <v>D</v>
          </cell>
          <cell r="G88" t="str">
            <v>bc</v>
          </cell>
          <cell r="K88">
            <v>1</v>
          </cell>
          <cell r="L88">
            <v>2</v>
          </cell>
        </row>
        <row r="89">
          <cell r="A89">
            <v>88</v>
          </cell>
          <cell r="B89" t="str">
            <v>Gabriele Walentowski</v>
          </cell>
          <cell r="C89">
            <v>46188</v>
          </cell>
          <cell r="D89">
            <v>46191</v>
          </cell>
          <cell r="E89">
            <v>46089</v>
          </cell>
          <cell r="F89" t="str">
            <v>D</v>
          </cell>
          <cell r="G89" t="str">
            <v>cansl</v>
          </cell>
        </row>
        <row r="90">
          <cell r="A90">
            <v>89</v>
          </cell>
          <cell r="B90" t="str">
            <v>Helle jacobsen</v>
          </cell>
          <cell r="C90">
            <v>46276</v>
          </cell>
          <cell r="D90">
            <v>46278</v>
          </cell>
          <cell r="E90">
            <v>46091</v>
          </cell>
          <cell r="F90" t="str">
            <v>DK</v>
          </cell>
          <cell r="G90" t="str">
            <v>web</v>
          </cell>
          <cell r="H90"/>
          <cell r="I90" t="str">
            <v>sing</v>
          </cell>
          <cell r="J90">
            <v>0.05</v>
          </cell>
          <cell r="K90">
            <v>2</v>
          </cell>
          <cell r="L90">
            <v>3</v>
          </cell>
        </row>
        <row r="91">
          <cell r="A91">
            <v>90</v>
          </cell>
          <cell r="B91" t="str">
            <v>Kjell Karlsson</v>
          </cell>
          <cell r="C91">
            <v>46156</v>
          </cell>
          <cell r="D91">
            <v>46159</v>
          </cell>
          <cell r="E91">
            <v>46091</v>
          </cell>
          <cell r="F91" t="str">
            <v>S</v>
          </cell>
          <cell r="G91" t="str">
            <v>bc</v>
          </cell>
          <cell r="H91" t="str">
            <v>1630</v>
          </cell>
          <cell r="I91" t="str">
            <v>dobb</v>
          </cell>
          <cell r="J91">
            <v>0</v>
          </cell>
          <cell r="K91">
            <v>1</v>
          </cell>
          <cell r="L91">
            <v>2</v>
          </cell>
        </row>
        <row r="92">
          <cell r="A92">
            <v>91</v>
          </cell>
          <cell r="B92" t="str">
            <v>Lars Erik Phorelli</v>
          </cell>
          <cell r="C92">
            <v>46157</v>
          </cell>
          <cell r="D92">
            <v>46159</v>
          </cell>
          <cell r="E92">
            <v>46095</v>
          </cell>
          <cell r="F92" t="str">
            <v>DK</v>
          </cell>
          <cell r="G92" t="str">
            <v>web</v>
          </cell>
          <cell r="H92"/>
          <cell r="I92"/>
          <cell r="J92">
            <v>0.05</v>
          </cell>
          <cell r="K92">
            <v>1</v>
          </cell>
          <cell r="L92">
            <v>2</v>
          </cell>
        </row>
        <row r="93">
          <cell r="A93">
            <v>92</v>
          </cell>
          <cell r="B93" t="str">
            <v>Carsten Mejer</v>
          </cell>
          <cell r="C93">
            <v>46241</v>
          </cell>
          <cell r="D93">
            <v>46246</v>
          </cell>
          <cell r="E93">
            <v>46095</v>
          </cell>
          <cell r="F93" t="str">
            <v>DK</v>
          </cell>
          <cell r="G93" t="str">
            <v>web</v>
          </cell>
          <cell r="H93" t="str">
            <v>1400</v>
          </cell>
          <cell r="I93" t="str">
            <v>sing</v>
          </cell>
          <cell r="J93">
            <v>0.1</v>
          </cell>
          <cell r="K93">
            <v>1</v>
          </cell>
          <cell r="L93">
            <v>2</v>
          </cell>
        </row>
        <row r="94">
          <cell r="A94">
            <v>93</v>
          </cell>
          <cell r="B94" t="str">
            <v>Jens Käding</v>
          </cell>
          <cell r="C94">
            <v>46255</v>
          </cell>
          <cell r="D94">
            <v>46258</v>
          </cell>
          <cell r="E94">
            <v>46095</v>
          </cell>
          <cell r="F94" t="str">
            <v>D</v>
          </cell>
          <cell r="G94" t="str">
            <v>bc</v>
          </cell>
          <cell r="H94" t="str">
            <v>1530</v>
          </cell>
          <cell r="I94" t="str">
            <v>sing</v>
          </cell>
          <cell r="J94">
            <v>0</v>
          </cell>
          <cell r="K94">
            <v>1</v>
          </cell>
          <cell r="L94">
            <v>2</v>
          </cell>
        </row>
        <row r="95">
          <cell r="A95">
            <v>94</v>
          </cell>
          <cell r="B95" t="str">
            <v>Barbara Lobinger</v>
          </cell>
          <cell r="C95">
            <v>46234</v>
          </cell>
          <cell r="D95">
            <v>46237</v>
          </cell>
          <cell r="E95">
            <v>46098</v>
          </cell>
          <cell r="F95" t="str">
            <v>D</v>
          </cell>
          <cell r="G95" t="str">
            <v>bc</v>
          </cell>
          <cell r="H95"/>
          <cell r="I95"/>
          <cell r="J95">
            <v>0</v>
          </cell>
          <cell r="K95">
            <v>1</v>
          </cell>
          <cell r="L95">
            <v>1</v>
          </cell>
        </row>
        <row r="96">
          <cell r="A96">
            <v>95</v>
          </cell>
          <cell r="B96" t="str">
            <v>Klas Sjödahl</v>
          </cell>
          <cell r="C96">
            <v>46156</v>
          </cell>
          <cell r="D96">
            <v>46159</v>
          </cell>
          <cell r="E96">
            <v>46098</v>
          </cell>
          <cell r="F96" t="str">
            <v>S</v>
          </cell>
          <cell r="G96" t="str">
            <v>bc</v>
          </cell>
          <cell r="H96"/>
          <cell r="I96"/>
          <cell r="J96">
            <v>0</v>
          </cell>
          <cell r="K96">
            <v>1</v>
          </cell>
          <cell r="L96">
            <v>2</v>
          </cell>
        </row>
        <row r="97">
          <cell r="A97">
            <v>96</v>
          </cell>
          <cell r="B97" t="str">
            <v>Thomas Schimmer</v>
          </cell>
          <cell r="C97">
            <v>46159</v>
          </cell>
          <cell r="D97">
            <v>46163</v>
          </cell>
          <cell r="E97">
            <v>46099</v>
          </cell>
          <cell r="F97" t="str">
            <v>D</v>
          </cell>
          <cell r="G97" t="str">
            <v>bc</v>
          </cell>
          <cell r="H97" t="str">
            <v>1700</v>
          </cell>
          <cell r="I97" t="str">
            <v>dobb</v>
          </cell>
          <cell r="J97">
            <v>0</v>
          </cell>
          <cell r="K97">
            <v>1</v>
          </cell>
          <cell r="L97">
            <v>2</v>
          </cell>
        </row>
        <row r="98">
          <cell r="A98">
            <v>97</v>
          </cell>
          <cell r="B98" t="str">
            <v>Calin Durnea</v>
          </cell>
          <cell r="C98">
            <v>46156</v>
          </cell>
          <cell r="D98">
            <v>46159</v>
          </cell>
          <cell r="E98">
            <v>46102</v>
          </cell>
          <cell r="F98" t="str">
            <v>DK</v>
          </cell>
          <cell r="G98" t="str">
            <v>bc</v>
          </cell>
          <cell r="H98"/>
          <cell r="I98"/>
          <cell r="J98">
            <v>0</v>
          </cell>
          <cell r="K98">
            <v>1</v>
          </cell>
          <cell r="L98">
            <v>2</v>
          </cell>
        </row>
        <row r="99">
          <cell r="A99">
            <v>98</v>
          </cell>
          <cell r="B99" t="str">
            <v>Klaus Pedersen</v>
          </cell>
          <cell r="C99">
            <v>46207</v>
          </cell>
          <cell r="D99">
            <v>46210</v>
          </cell>
          <cell r="E99">
            <v>46103</v>
          </cell>
          <cell r="F99" t="str">
            <v>DK</v>
          </cell>
          <cell r="G99" t="str">
            <v>cansl</v>
          </cell>
          <cell r="H99"/>
          <cell r="I99"/>
          <cell r="J99">
            <v>0</v>
          </cell>
        </row>
        <row r="100">
          <cell r="A100">
            <v>99</v>
          </cell>
          <cell r="B100" t="str">
            <v>Torben Sømberg</v>
          </cell>
          <cell r="C100">
            <v>46171</v>
          </cell>
          <cell r="D100">
            <v>46173</v>
          </cell>
          <cell r="E100">
            <v>46104</v>
          </cell>
          <cell r="F100" t="str">
            <v>DK</v>
          </cell>
          <cell r="G100" t="str">
            <v>web</v>
          </cell>
          <cell r="H100"/>
          <cell r="I100"/>
          <cell r="J100">
            <v>0.1</v>
          </cell>
          <cell r="K100">
            <v>1</v>
          </cell>
          <cell r="L100">
            <v>2</v>
          </cell>
        </row>
        <row r="101">
          <cell r="A101">
            <v>100</v>
          </cell>
          <cell r="B101" t="str">
            <v>Lene Larsen</v>
          </cell>
          <cell r="C101">
            <v>46279</v>
          </cell>
          <cell r="D101">
            <v>46281</v>
          </cell>
          <cell r="E101">
            <v>46104</v>
          </cell>
          <cell r="F101" t="str">
            <v>DK</v>
          </cell>
          <cell r="G101" t="str">
            <v>bc</v>
          </cell>
          <cell r="H101"/>
          <cell r="I101"/>
          <cell r="J101">
            <v>0</v>
          </cell>
          <cell r="K101">
            <v>1</v>
          </cell>
          <cell r="L101">
            <v>2</v>
          </cell>
        </row>
        <row r="102">
          <cell r="A102">
            <v>101</v>
          </cell>
          <cell r="B102" t="str">
            <v>Kirsten Nørgård Pedersen</v>
          </cell>
          <cell r="C102">
            <v>46279</v>
          </cell>
          <cell r="D102">
            <v>46281</v>
          </cell>
          <cell r="E102">
            <v>46104</v>
          </cell>
          <cell r="F102" t="str">
            <v>DK</v>
          </cell>
          <cell r="G102" t="str">
            <v>bc</v>
          </cell>
          <cell r="H102"/>
          <cell r="I102" t="str">
            <v>sing</v>
          </cell>
          <cell r="J102">
            <v>0</v>
          </cell>
          <cell r="K102">
            <v>1</v>
          </cell>
          <cell r="L102">
            <v>1</v>
          </cell>
        </row>
        <row r="103">
          <cell r="A103">
            <v>102</v>
          </cell>
          <cell r="B103" t="str">
            <v>Mona Andersen</v>
          </cell>
          <cell r="C103">
            <v>46172</v>
          </cell>
          <cell r="D103">
            <v>46174</v>
          </cell>
          <cell r="E103">
            <v>46106</v>
          </cell>
          <cell r="F103" t="str">
            <v>DK</v>
          </cell>
          <cell r="G103" t="str">
            <v>cansl</v>
          </cell>
          <cell r="H103"/>
          <cell r="I103"/>
        </row>
        <row r="104">
          <cell r="A104">
            <v>103</v>
          </cell>
          <cell r="B104" t="str">
            <v>Heidi Rose</v>
          </cell>
          <cell r="C104">
            <v>46277</v>
          </cell>
          <cell r="D104">
            <v>46284</v>
          </cell>
          <cell r="E104">
            <v>46107</v>
          </cell>
          <cell r="F104" t="str">
            <v>DK</v>
          </cell>
          <cell r="G104" t="str">
            <v>web</v>
          </cell>
          <cell r="H104"/>
          <cell r="I104" t="str">
            <v>sing</v>
          </cell>
          <cell r="J104">
            <v>0.1</v>
          </cell>
          <cell r="K104">
            <v>1</v>
          </cell>
          <cell r="L104">
            <v>2</v>
          </cell>
        </row>
        <row r="105">
          <cell r="A105">
            <v>104</v>
          </cell>
          <cell r="B105" t="str">
            <v>Jette Frederiksen</v>
          </cell>
          <cell r="C105">
            <v>46204</v>
          </cell>
          <cell r="D105">
            <v>46207</v>
          </cell>
          <cell r="E105">
            <v>46107</v>
          </cell>
          <cell r="F105" t="str">
            <v>DK</v>
          </cell>
          <cell r="G105" t="str">
            <v>bc</v>
          </cell>
          <cell r="H105"/>
          <cell r="I105"/>
          <cell r="J105">
            <v>0</v>
          </cell>
          <cell r="K105">
            <v>1</v>
          </cell>
          <cell r="L105">
            <v>2</v>
          </cell>
        </row>
        <row r="106">
          <cell r="A106">
            <v>105</v>
          </cell>
          <cell r="B106" t="str">
            <v>Tina Hildebrandt</v>
          </cell>
          <cell r="C106">
            <v>46260</v>
          </cell>
          <cell r="D106">
            <v>46264</v>
          </cell>
          <cell r="E106">
            <v>46108</v>
          </cell>
          <cell r="F106" t="str">
            <v>DK</v>
          </cell>
          <cell r="G106" t="str">
            <v>bc</v>
          </cell>
          <cell r="H106"/>
          <cell r="I106"/>
          <cell r="J106">
            <v>0</v>
          </cell>
          <cell r="K106">
            <v>1</v>
          </cell>
          <cell r="L106">
            <v>1</v>
          </cell>
        </row>
        <row r="107">
          <cell r="A107">
            <v>106</v>
          </cell>
          <cell r="B107" t="str">
            <v>Bolette Olsen</v>
          </cell>
          <cell r="C107">
            <v>46207</v>
          </cell>
          <cell r="D107">
            <v>46210</v>
          </cell>
          <cell r="E107">
            <v>46109</v>
          </cell>
          <cell r="F107" t="str">
            <v>DK</v>
          </cell>
          <cell r="G107" t="str">
            <v>bc</v>
          </cell>
          <cell r="H107"/>
          <cell r="I107"/>
          <cell r="J107">
            <v>0</v>
          </cell>
          <cell r="K107">
            <v>1</v>
          </cell>
          <cell r="L107">
            <v>2</v>
          </cell>
        </row>
        <row r="108">
          <cell r="A108">
            <v>107</v>
          </cell>
          <cell r="B108" t="str">
            <v>Marcia Swinney-Shay</v>
          </cell>
          <cell r="C108">
            <v>46160</v>
          </cell>
          <cell r="D108">
            <v>46164</v>
          </cell>
          <cell r="E108">
            <v>46109</v>
          </cell>
          <cell r="F108" t="str">
            <v>USA</v>
          </cell>
          <cell r="G108" t="str">
            <v>web</v>
          </cell>
          <cell r="H108"/>
          <cell r="I108"/>
          <cell r="J108">
            <v>0.05</v>
          </cell>
          <cell r="K108">
            <v>1</v>
          </cell>
          <cell r="L108">
            <v>2</v>
          </cell>
        </row>
        <row r="109">
          <cell r="A109">
            <v>108</v>
          </cell>
          <cell r="B109" t="str">
            <v>Kurt Bergen</v>
          </cell>
          <cell r="C109">
            <v>46159</v>
          </cell>
          <cell r="D109">
            <v>46163</v>
          </cell>
          <cell r="E109">
            <v>46118</v>
          </cell>
          <cell r="F109" t="str">
            <v>DK</v>
          </cell>
          <cell r="G109" t="str">
            <v>web</v>
          </cell>
          <cell r="H109"/>
          <cell r="I109"/>
          <cell r="J109">
            <v>0.05</v>
          </cell>
          <cell r="K109">
            <v>1</v>
          </cell>
          <cell r="L109">
            <v>2</v>
          </cell>
        </row>
        <row r="110">
          <cell r="A110">
            <v>109</v>
          </cell>
          <cell r="B110" t="str">
            <v>Soeren Tetzner</v>
          </cell>
          <cell r="C110">
            <v>46192</v>
          </cell>
          <cell r="D110">
            <v>46195</v>
          </cell>
          <cell r="E110">
            <v>46115</v>
          </cell>
          <cell r="F110" t="str">
            <v>D</v>
          </cell>
          <cell r="G110" t="str">
            <v>bc</v>
          </cell>
          <cell r="H110"/>
          <cell r="I110" t="str">
            <v>sing</v>
          </cell>
          <cell r="J110">
            <v>0</v>
          </cell>
          <cell r="K110">
            <v>1</v>
          </cell>
          <cell r="L110">
            <v>1</v>
          </cell>
        </row>
        <row r="111">
          <cell r="A111">
            <v>110</v>
          </cell>
          <cell r="B111" t="str">
            <v>Francesca Giraudo</v>
          </cell>
          <cell r="C111">
            <v>46143</v>
          </cell>
          <cell r="D111">
            <v>46145</v>
          </cell>
          <cell r="E111">
            <v>46117</v>
          </cell>
          <cell r="F111" t="str">
            <v>DK</v>
          </cell>
          <cell r="G111" t="str">
            <v>bc</v>
          </cell>
          <cell r="H111"/>
          <cell r="I111"/>
          <cell r="J111">
            <v>0</v>
          </cell>
          <cell r="K111">
            <v>1</v>
          </cell>
          <cell r="L111">
            <v>2</v>
          </cell>
        </row>
        <row r="112">
          <cell r="A112">
            <v>111</v>
          </cell>
          <cell r="B112" t="str">
            <v>Elsebeth Lesmeister</v>
          </cell>
          <cell r="C112">
            <v>46178</v>
          </cell>
          <cell r="D112">
            <v>46181</v>
          </cell>
          <cell r="E112">
            <v>46120</v>
          </cell>
          <cell r="F112" t="str">
            <v>DK</v>
          </cell>
          <cell r="G112" t="str">
            <v>cansl</v>
          </cell>
          <cell r="H112"/>
          <cell r="I112"/>
          <cell r="J112">
            <v>0</v>
          </cell>
        </row>
        <row r="113">
          <cell r="A113">
            <v>112</v>
          </cell>
          <cell r="B113" t="str">
            <v>Jytte Nielsen</v>
          </cell>
          <cell r="C113">
            <v>46195</v>
          </cell>
          <cell r="D113">
            <v>46199</v>
          </cell>
          <cell r="E113">
            <v>46121</v>
          </cell>
          <cell r="F113" t="str">
            <v>DK</v>
          </cell>
          <cell r="G113" t="str">
            <v>bc</v>
          </cell>
          <cell r="H113"/>
          <cell r="I113" t="str">
            <v>Sing</v>
          </cell>
          <cell r="J113">
            <v>0</v>
          </cell>
          <cell r="K113">
            <v>1</v>
          </cell>
          <cell r="L113">
            <v>2</v>
          </cell>
        </row>
        <row r="114">
          <cell r="A114">
            <v>113</v>
          </cell>
          <cell r="B114" t="str">
            <v>Maria Friis Jensen</v>
          </cell>
          <cell r="C114">
            <v>46269</v>
          </cell>
          <cell r="D114">
            <v>46271</v>
          </cell>
          <cell r="E114">
            <v>46122</v>
          </cell>
          <cell r="F114" t="str">
            <v>DK</v>
          </cell>
          <cell r="G114" t="str">
            <v>bc</v>
          </cell>
          <cell r="H114"/>
          <cell r="I114"/>
          <cell r="J114">
            <v>0</v>
          </cell>
          <cell r="K114">
            <v>1</v>
          </cell>
          <cell r="L114">
            <v>1</v>
          </cell>
        </row>
        <row r="115">
          <cell r="A115">
            <v>114</v>
          </cell>
          <cell r="B115" t="str">
            <v>Janne Malberg</v>
          </cell>
          <cell r="C115">
            <v>46243</v>
          </cell>
          <cell r="D115">
            <v>46246</v>
          </cell>
          <cell r="E115">
            <v>46125</v>
          </cell>
          <cell r="F115" t="str">
            <v>DK</v>
          </cell>
          <cell r="G115" t="str">
            <v>web</v>
          </cell>
          <cell r="H115"/>
          <cell r="I115"/>
          <cell r="J115">
            <v>0.1</v>
          </cell>
          <cell r="K115">
            <v>1</v>
          </cell>
          <cell r="L115">
            <v>2</v>
          </cell>
        </row>
        <row r="116">
          <cell r="A116">
            <v>115</v>
          </cell>
          <cell r="B116" t="str">
            <v>Lene Lei Jensen</v>
          </cell>
          <cell r="C116">
            <v>46233</v>
          </cell>
          <cell r="D116">
            <v>46236</v>
          </cell>
          <cell r="E116">
            <v>46125</v>
          </cell>
          <cell r="F116" t="str">
            <v>DK</v>
          </cell>
          <cell r="G116" t="str">
            <v>web</v>
          </cell>
          <cell r="H116"/>
          <cell r="I116"/>
          <cell r="J116">
            <v>0.1</v>
          </cell>
          <cell r="K116">
            <v>1</v>
          </cell>
          <cell r="L116">
            <v>2</v>
          </cell>
        </row>
        <row r="117">
          <cell r="A117">
            <v>116</v>
          </cell>
          <cell r="B117" t="str">
            <v>Lucas Larsen</v>
          </cell>
          <cell r="C117">
            <v>46177</v>
          </cell>
          <cell r="D117">
            <v>46180</v>
          </cell>
          <cell r="E117">
            <v>46126</v>
          </cell>
          <cell r="F117" t="str">
            <v>DK</v>
          </cell>
          <cell r="G117" t="str">
            <v>bc</v>
          </cell>
          <cell r="K117">
            <v>1</v>
          </cell>
          <cell r="L117">
            <v>2</v>
          </cell>
        </row>
        <row r="118">
          <cell r="A118">
            <v>117</v>
          </cell>
          <cell r="B118" t="str">
            <v>Jette Hansen</v>
          </cell>
          <cell r="C118">
            <v>46173</v>
          </cell>
          <cell r="D118">
            <v>46178</v>
          </cell>
          <cell r="E118">
            <v>46130</v>
          </cell>
          <cell r="F118" t="str">
            <v>DK</v>
          </cell>
          <cell r="G118" t="str">
            <v>bc</v>
          </cell>
          <cell r="H118" t="str">
            <v>1830</v>
          </cell>
          <cell r="I118" t="str">
            <v>dobb</v>
          </cell>
          <cell r="K118">
            <v>1</v>
          </cell>
          <cell r="L118">
            <v>2</v>
          </cell>
        </row>
        <row r="119">
          <cell r="A119">
            <v>118</v>
          </cell>
          <cell r="B119" t="str">
            <v>Børge Nordstrand</v>
          </cell>
          <cell r="C119">
            <v>46272</v>
          </cell>
          <cell r="D119">
            <v>46275</v>
          </cell>
          <cell r="E119">
            <v>46132</v>
          </cell>
          <cell r="F119" t="str">
            <v>DK</v>
          </cell>
          <cell r="G119" t="str">
            <v>bc</v>
          </cell>
          <cell r="H119" t="str">
            <v>1500</v>
          </cell>
          <cell r="I119"/>
          <cell r="J119">
            <v>0</v>
          </cell>
          <cell r="K119">
            <v>1</v>
          </cell>
          <cell r="L119">
            <v>2</v>
          </cell>
        </row>
        <row r="120">
          <cell r="A120">
            <v>119</v>
          </cell>
          <cell r="B120" t="str">
            <v>Thomas Negrini</v>
          </cell>
          <cell r="C120">
            <v>46179</v>
          </cell>
          <cell r="D120">
            <v>46182</v>
          </cell>
          <cell r="E120">
            <v>46135</v>
          </cell>
          <cell r="F120" t="str">
            <v>it</v>
          </cell>
          <cell r="G120" t="str">
            <v>bc</v>
          </cell>
          <cell r="H120"/>
          <cell r="I120"/>
          <cell r="J120">
            <v>0</v>
          </cell>
          <cell r="K120">
            <v>1</v>
          </cell>
          <cell r="L120">
            <v>2</v>
          </cell>
        </row>
      </sheetData>
      <sheetData sheetId="2"/>
      <sheetData sheetId="3"/>
      <sheetData sheetId="4"/>
      <sheetData sheetId="5"/>
      <sheetData sheetId="6">
        <row r="2">
          <cell r="A2" t="str">
            <v>mandag</v>
          </cell>
          <cell r="J2" t="str">
            <v>-</v>
          </cell>
          <cell r="O2" t="str">
            <v>-</v>
          </cell>
          <cell r="T2" t="str">
            <v>-</v>
          </cell>
          <cell r="Y2" t="str">
            <v>-</v>
          </cell>
        </row>
        <row r="3">
          <cell r="A3" t="str">
            <v>tirsdag</v>
          </cell>
          <cell r="E3" t="str">
            <v>-</v>
          </cell>
          <cell r="J3" t="str">
            <v>-</v>
          </cell>
          <cell r="O3" t="str">
            <v>-</v>
          </cell>
          <cell r="T3" t="str">
            <v>-</v>
          </cell>
          <cell r="Y3" t="str">
            <v>-</v>
          </cell>
        </row>
        <row r="4">
          <cell r="A4" t="str">
            <v>onsdag</v>
          </cell>
          <cell r="E4" t="str">
            <v>-</v>
          </cell>
          <cell r="J4" t="str">
            <v>-</v>
          </cell>
          <cell r="O4" t="str">
            <v>-</v>
          </cell>
          <cell r="T4" t="str">
            <v>-</v>
          </cell>
          <cell r="Y4" t="str">
            <v>-</v>
          </cell>
        </row>
        <row r="5">
          <cell r="A5" t="str">
            <v>torsdag</v>
          </cell>
          <cell r="E5" t="str">
            <v>-</v>
          </cell>
          <cell r="J5" t="str">
            <v>-</v>
          </cell>
          <cell r="O5" t="str">
            <v>-</v>
          </cell>
          <cell r="T5" t="str">
            <v>-</v>
          </cell>
          <cell r="Y5" t="str">
            <v>-</v>
          </cell>
        </row>
        <row r="6">
          <cell r="A6" t="str">
            <v>fredag</v>
          </cell>
          <cell r="E6">
            <v>85</v>
          </cell>
          <cell r="J6">
            <v>110</v>
          </cell>
          <cell r="O6">
            <v>68</v>
          </cell>
          <cell r="T6">
            <v>28</v>
          </cell>
          <cell r="Y6">
            <v>28</v>
          </cell>
        </row>
        <row r="7">
          <cell r="A7" t="str">
            <v>lørdag</v>
          </cell>
          <cell r="E7" t="str">
            <v>-</v>
          </cell>
          <cell r="J7" t="str">
            <v>-</v>
          </cell>
          <cell r="O7" t="str">
            <v>-</v>
          </cell>
          <cell r="T7" t="str">
            <v>-</v>
          </cell>
          <cell r="Y7" t="str">
            <v>-</v>
          </cell>
        </row>
        <row r="8">
          <cell r="A8" t="str">
            <v>søndag</v>
          </cell>
          <cell r="E8" t="str">
            <v>-</v>
          </cell>
          <cell r="J8" t="str">
            <v>-</v>
          </cell>
          <cell r="O8" t="str">
            <v>-</v>
          </cell>
          <cell r="T8">
            <v>72</v>
          </cell>
          <cell r="Y8" t="str">
            <v>-</v>
          </cell>
        </row>
        <row r="9">
          <cell r="A9" t="str">
            <v>mandag</v>
          </cell>
          <cell r="E9" t="str">
            <v>-</v>
          </cell>
          <cell r="J9" t="str">
            <v>-</v>
          </cell>
          <cell r="O9" t="str">
            <v>-</v>
          </cell>
          <cell r="T9" t="str">
            <v>-</v>
          </cell>
          <cell r="Y9" t="str">
            <v>-</v>
          </cell>
        </row>
        <row r="10">
          <cell r="A10" t="str">
            <v>tirsdag</v>
          </cell>
          <cell r="E10" t="str">
            <v>-</v>
          </cell>
          <cell r="J10" t="str">
            <v>-</v>
          </cell>
          <cell r="O10" t="str">
            <v>-</v>
          </cell>
          <cell r="T10" t="str">
            <v>-</v>
          </cell>
          <cell r="Y10" t="str">
            <v>-</v>
          </cell>
        </row>
        <row r="11">
          <cell r="A11" t="str">
            <v>onsdag</v>
          </cell>
          <cell r="E11" t="str">
            <v>-</v>
          </cell>
          <cell r="J11" t="str">
            <v>-</v>
          </cell>
          <cell r="O11" t="str">
            <v>-</v>
          </cell>
          <cell r="T11" t="str">
            <v>-</v>
          </cell>
          <cell r="Y11" t="str">
            <v>-</v>
          </cell>
        </row>
        <row r="12">
          <cell r="A12" t="str">
            <v>torsdag</v>
          </cell>
          <cell r="E12" t="str">
            <v>-</v>
          </cell>
          <cell r="J12">
            <v>80</v>
          </cell>
          <cell r="O12">
            <v>80</v>
          </cell>
          <cell r="T12" t="str">
            <v>-</v>
          </cell>
          <cell r="Y12" t="str">
            <v>-</v>
          </cell>
        </row>
        <row r="13">
          <cell r="A13" t="str">
            <v>fredag</v>
          </cell>
          <cell r="E13" t="str">
            <v>-</v>
          </cell>
          <cell r="J13" t="str">
            <v>-</v>
          </cell>
          <cell r="O13" t="str">
            <v>-</v>
          </cell>
          <cell r="T13" t="str">
            <v>-</v>
          </cell>
          <cell r="Y13" t="str">
            <v>-</v>
          </cell>
        </row>
        <row r="14">
          <cell r="A14" t="str">
            <v>lørdag</v>
          </cell>
          <cell r="E14" t="str">
            <v>-</v>
          </cell>
          <cell r="J14" t="str">
            <v>-</v>
          </cell>
          <cell r="O14" t="str">
            <v>-</v>
          </cell>
          <cell r="T14" t="str">
            <v>-</v>
          </cell>
          <cell r="Y14" t="str">
            <v>-</v>
          </cell>
        </row>
        <row r="15">
          <cell r="A15" t="str">
            <v>søndag</v>
          </cell>
          <cell r="E15" t="str">
            <v>-</v>
          </cell>
          <cell r="J15" t="str">
            <v>-</v>
          </cell>
          <cell r="O15" t="str">
            <v>-</v>
          </cell>
          <cell r="T15" t="str">
            <v>-</v>
          </cell>
          <cell r="Y15" t="str">
            <v>-</v>
          </cell>
        </row>
        <row r="16">
          <cell r="A16" t="str">
            <v>mandag</v>
          </cell>
          <cell r="E16" t="str">
            <v>-</v>
          </cell>
          <cell r="J16" t="str">
            <v>-</v>
          </cell>
          <cell r="O16" t="str">
            <v>-</v>
          </cell>
          <cell r="T16" t="str">
            <v>-</v>
          </cell>
          <cell r="Y16">
            <v>63</v>
          </cell>
        </row>
        <row r="17">
          <cell r="A17" t="str">
            <v>tirsdag</v>
          </cell>
          <cell r="E17" t="str">
            <v>-</v>
          </cell>
          <cell r="J17" t="str">
            <v>-</v>
          </cell>
          <cell r="O17" t="str">
            <v>-</v>
          </cell>
          <cell r="T17" t="str">
            <v>-</v>
          </cell>
          <cell r="Y17" t="str">
            <v>-</v>
          </cell>
        </row>
        <row r="18">
          <cell r="A18" t="str">
            <v>onsdag</v>
          </cell>
          <cell r="E18">
            <v>53</v>
          </cell>
          <cell r="J18" t="str">
            <v>-</v>
          </cell>
          <cell r="O18" t="str">
            <v>-</v>
          </cell>
          <cell r="T18" t="str">
            <v>-</v>
          </cell>
          <cell r="Y18" t="str">
            <v>-</v>
          </cell>
        </row>
        <row r="19">
          <cell r="A19" t="str">
            <v>torsdag</v>
          </cell>
          <cell r="E19" t="str">
            <v>-</v>
          </cell>
          <cell r="J19" t="str">
            <v>-</v>
          </cell>
          <cell r="O19">
            <v>95</v>
          </cell>
          <cell r="T19">
            <v>97</v>
          </cell>
          <cell r="Y19">
            <v>90</v>
          </cell>
        </row>
        <row r="20">
          <cell r="A20" t="str">
            <v>fredag</v>
          </cell>
          <cell r="E20" t="str">
            <v>-</v>
          </cell>
          <cell r="J20">
            <v>91</v>
          </cell>
          <cell r="O20" t="str">
            <v>-</v>
          </cell>
          <cell r="T20" t="str">
            <v>-</v>
          </cell>
          <cell r="Y20" t="str">
            <v>-</v>
          </cell>
        </row>
        <row r="21">
          <cell r="A21" t="str">
            <v>lørdag</v>
          </cell>
          <cell r="E21">
            <v>8</v>
          </cell>
          <cell r="J21" t="str">
            <v>-</v>
          </cell>
          <cell r="O21" t="str">
            <v>-</v>
          </cell>
          <cell r="T21" t="str">
            <v>-</v>
          </cell>
          <cell r="Y21" t="str">
            <v>-</v>
          </cell>
        </row>
        <row r="22">
          <cell r="A22" t="str">
            <v>søndag</v>
          </cell>
          <cell r="E22" t="str">
            <v>-</v>
          </cell>
          <cell r="J22">
            <v>108</v>
          </cell>
          <cell r="O22" t="str">
            <v>-</v>
          </cell>
          <cell r="T22">
            <v>96</v>
          </cell>
          <cell r="Y22">
            <v>9</v>
          </cell>
        </row>
        <row r="23">
          <cell r="A23" t="str">
            <v>mandag</v>
          </cell>
          <cell r="E23" t="str">
            <v>-</v>
          </cell>
          <cell r="J23" t="str">
            <v>-</v>
          </cell>
          <cell r="O23">
            <v>107</v>
          </cell>
          <cell r="T23" t="str">
            <v>-</v>
          </cell>
          <cell r="Y23" t="str">
            <v>-</v>
          </cell>
        </row>
        <row r="24">
          <cell r="A24" t="str">
            <v>tirsdag</v>
          </cell>
          <cell r="E24" t="str">
            <v>-</v>
          </cell>
          <cell r="J24" t="str">
            <v>-</v>
          </cell>
          <cell r="O24" t="str">
            <v>-</v>
          </cell>
          <cell r="T24" t="str">
            <v>-</v>
          </cell>
          <cell r="Y24" t="str">
            <v>-</v>
          </cell>
        </row>
        <row r="25">
          <cell r="A25" t="str">
            <v>onsdag</v>
          </cell>
          <cell r="E25" t="str">
            <v>-</v>
          </cell>
          <cell r="J25" t="str">
            <v>-</v>
          </cell>
          <cell r="O25" t="str">
            <v>-</v>
          </cell>
          <cell r="T25" t="str">
            <v>-</v>
          </cell>
          <cell r="Y25" t="str">
            <v>-</v>
          </cell>
        </row>
        <row r="26">
          <cell r="A26" t="str">
            <v>torsdag</v>
          </cell>
          <cell r="E26">
            <v>20</v>
          </cell>
          <cell r="J26">
            <v>20</v>
          </cell>
          <cell r="O26" t="str">
            <v>-</v>
          </cell>
          <cell r="T26">
            <v>20</v>
          </cell>
          <cell r="Y26" t="str">
            <v>-</v>
          </cell>
        </row>
        <row r="27">
          <cell r="A27" t="str">
            <v>fredag</v>
          </cell>
          <cell r="E27" t="str">
            <v>-</v>
          </cell>
          <cell r="J27" t="str">
            <v>-</v>
          </cell>
          <cell r="O27" t="str">
            <v>-</v>
          </cell>
          <cell r="T27" t="str">
            <v>-</v>
          </cell>
          <cell r="Y27" t="str">
            <v>-</v>
          </cell>
        </row>
        <row r="28">
          <cell r="A28" t="str">
            <v>lørdag</v>
          </cell>
          <cell r="E28" t="str">
            <v>-</v>
          </cell>
          <cell r="J28" t="str">
            <v>-</v>
          </cell>
          <cell r="O28" t="str">
            <v>-</v>
          </cell>
          <cell r="T28" t="str">
            <v>-</v>
          </cell>
          <cell r="Y28" t="str">
            <v>-</v>
          </cell>
        </row>
        <row r="29">
          <cell r="A29" t="str">
            <v>søndag</v>
          </cell>
          <cell r="E29" t="str">
            <v>-</v>
          </cell>
          <cell r="J29" t="str">
            <v>-</v>
          </cell>
          <cell r="O29" t="str">
            <v>-</v>
          </cell>
          <cell r="T29" t="str">
            <v>-</v>
          </cell>
          <cell r="Y29" t="str">
            <v>-</v>
          </cell>
        </row>
        <row r="30">
          <cell r="A30" t="str">
            <v>mandag</v>
          </cell>
          <cell r="E30" t="str">
            <v>-</v>
          </cell>
          <cell r="J30" t="str">
            <v>-</v>
          </cell>
          <cell r="O30" t="str">
            <v>-</v>
          </cell>
          <cell r="T30" t="str">
            <v>-</v>
          </cell>
          <cell r="Y30" t="str">
            <v>-</v>
          </cell>
        </row>
        <row r="31">
          <cell r="A31" t="str">
            <v>tirsdag</v>
          </cell>
          <cell r="E31" t="str">
            <v>-</v>
          </cell>
          <cell r="J31" t="str">
            <v>-</v>
          </cell>
          <cell r="O31" t="str">
            <v>-</v>
          </cell>
          <cell r="T31" t="str">
            <v>-</v>
          </cell>
          <cell r="Y31" t="str">
            <v>-</v>
          </cell>
        </row>
        <row r="32">
          <cell r="A32" t="str">
            <v>onsdag</v>
          </cell>
          <cell r="E32" t="str">
            <v>-</v>
          </cell>
          <cell r="J32" t="str">
            <v>-</v>
          </cell>
          <cell r="O32">
            <v>5</v>
          </cell>
          <cell r="T32" t="str">
            <v>-</v>
          </cell>
          <cell r="Y32" t="str">
            <v>-</v>
          </cell>
        </row>
        <row r="33">
          <cell r="A33" t="str">
            <v>torsdag</v>
          </cell>
          <cell r="E33" t="str">
            <v>-</v>
          </cell>
          <cell r="J33" t="str">
            <v>-</v>
          </cell>
          <cell r="O33" t="str">
            <v>-</v>
          </cell>
          <cell r="T33" t="str">
            <v>-</v>
          </cell>
          <cell r="Y33" t="str">
            <v>-</v>
          </cell>
        </row>
        <row r="34">
          <cell r="A34" t="str">
            <v>fredag</v>
          </cell>
          <cell r="E34" t="str">
            <v>-</v>
          </cell>
          <cell r="J34" t="str">
            <v>-</v>
          </cell>
          <cell r="O34" t="str">
            <v>-</v>
          </cell>
          <cell r="T34" t="str">
            <v>-</v>
          </cell>
          <cell r="Y34">
            <v>99</v>
          </cell>
        </row>
        <row r="35">
          <cell r="A35" t="str">
            <v>lørdag</v>
          </cell>
          <cell r="E35" t="str">
            <v>-</v>
          </cell>
          <cell r="J35" t="str">
            <v>-</v>
          </cell>
          <cell r="O35" t="str">
            <v>-</v>
          </cell>
          <cell r="T35" t="str">
            <v>-</v>
          </cell>
          <cell r="Y35" t="str">
            <v>-</v>
          </cell>
        </row>
        <row r="36">
          <cell r="A36" t="str">
            <v>søndag</v>
          </cell>
          <cell r="E36">
            <v>117</v>
          </cell>
          <cell r="J36">
            <v>79</v>
          </cell>
          <cell r="O36" t="str">
            <v>-</v>
          </cell>
          <cell r="T36" t="str">
            <v>-</v>
          </cell>
          <cell r="Y36" t="str">
            <v>-</v>
          </cell>
        </row>
        <row r="37">
          <cell r="A37" t="str">
            <v>mandag</v>
          </cell>
          <cell r="E37" t="str">
            <v>-</v>
          </cell>
          <cell r="J37" t="str">
            <v>-</v>
          </cell>
          <cell r="O37" t="str">
            <v>-</v>
          </cell>
          <cell r="T37" t="str">
            <v>-</v>
          </cell>
          <cell r="Y37" t="str">
            <v>-</v>
          </cell>
        </row>
        <row r="38">
          <cell r="A38" t="str">
            <v>tirsdag</v>
          </cell>
          <cell r="E38" t="str">
            <v>-</v>
          </cell>
          <cell r="J38" t="str">
            <v>-</v>
          </cell>
          <cell r="O38" t="str">
            <v>-</v>
          </cell>
          <cell r="T38" t="str">
            <v>-</v>
          </cell>
          <cell r="Y38">
            <v>12</v>
          </cell>
        </row>
        <row r="39">
          <cell r="A39" t="str">
            <v>onsdag</v>
          </cell>
          <cell r="E39" t="str">
            <v>-</v>
          </cell>
          <cell r="J39" t="str">
            <v>-</v>
          </cell>
          <cell r="O39">
            <v>27</v>
          </cell>
          <cell r="T39" t="str">
            <v>-</v>
          </cell>
          <cell r="Y39" t="str">
            <v>-</v>
          </cell>
        </row>
        <row r="40">
          <cell r="A40" t="str">
            <v>torsdag</v>
          </cell>
          <cell r="E40" t="str">
            <v>-</v>
          </cell>
          <cell r="J40" t="str">
            <v>-</v>
          </cell>
          <cell r="O40" t="str">
            <v>-</v>
          </cell>
          <cell r="T40">
            <v>116</v>
          </cell>
          <cell r="Y40" t="str">
            <v>-</v>
          </cell>
        </row>
        <row r="41">
          <cell r="A41" t="str">
            <v>fredag</v>
          </cell>
          <cell r="E41">
            <v>6</v>
          </cell>
          <cell r="J41">
            <v>6</v>
          </cell>
          <cell r="O41" t="str">
            <v>-</v>
          </cell>
          <cell r="T41" t="str">
            <v>-</v>
          </cell>
          <cell r="Y41" t="str">
            <v>-</v>
          </cell>
        </row>
        <row r="42">
          <cell r="A42" t="str">
            <v>lørdag</v>
          </cell>
          <cell r="E42" t="str">
            <v>-</v>
          </cell>
          <cell r="J42" t="str">
            <v>-</v>
          </cell>
          <cell r="O42" t="str">
            <v>-</v>
          </cell>
          <cell r="T42" t="str">
            <v>-</v>
          </cell>
          <cell r="Y42">
            <v>119</v>
          </cell>
        </row>
        <row r="43">
          <cell r="A43" t="str">
            <v>søndag</v>
          </cell>
          <cell r="E43" t="str">
            <v>-</v>
          </cell>
          <cell r="J43" t="str">
            <v>-</v>
          </cell>
          <cell r="O43" t="str">
            <v>-</v>
          </cell>
          <cell r="T43" t="str">
            <v>-</v>
          </cell>
          <cell r="Y43" t="str">
            <v>-</v>
          </cell>
        </row>
        <row r="44">
          <cell r="A44" t="str">
            <v>mandag</v>
          </cell>
          <cell r="E44" t="str">
            <v>-</v>
          </cell>
          <cell r="J44">
            <v>17</v>
          </cell>
          <cell r="O44" t="str">
            <v>-</v>
          </cell>
          <cell r="T44">
            <v>15</v>
          </cell>
          <cell r="Y44" t="str">
            <v>-</v>
          </cell>
        </row>
        <row r="45">
          <cell r="A45" t="str">
            <v>tirsdag</v>
          </cell>
          <cell r="E45">
            <v>16</v>
          </cell>
          <cell r="J45" t="str">
            <v>-</v>
          </cell>
          <cell r="O45">
            <v>18</v>
          </cell>
          <cell r="T45" t="str">
            <v>-</v>
          </cell>
          <cell r="Y45">
            <v>16</v>
          </cell>
        </row>
        <row r="46">
          <cell r="A46" t="str">
            <v>onsdag</v>
          </cell>
          <cell r="E46" t="str">
            <v>-</v>
          </cell>
          <cell r="J46" t="str">
            <v>-</v>
          </cell>
          <cell r="O46" t="str">
            <v>-</v>
          </cell>
          <cell r="T46" t="str">
            <v>-</v>
          </cell>
          <cell r="Y46" t="str">
            <v>-</v>
          </cell>
        </row>
        <row r="47">
          <cell r="A47" t="str">
            <v>torsdag</v>
          </cell>
          <cell r="E47" t="str">
            <v>-</v>
          </cell>
          <cell r="J47" t="str">
            <v>-</v>
          </cell>
          <cell r="O47" t="str">
            <v>-</v>
          </cell>
          <cell r="T47" t="str">
            <v>-</v>
          </cell>
          <cell r="Y47" t="str">
            <v>-</v>
          </cell>
        </row>
        <row r="48">
          <cell r="A48" t="str">
            <v>fredag</v>
          </cell>
          <cell r="E48" t="str">
            <v>-</v>
          </cell>
          <cell r="J48" t="str">
            <v>-</v>
          </cell>
          <cell r="O48" t="str">
            <v>-</v>
          </cell>
          <cell r="T48" t="str">
            <v>-</v>
          </cell>
          <cell r="Y48" t="str">
            <v>-</v>
          </cell>
        </row>
        <row r="49">
          <cell r="A49" t="str">
            <v>lørdag</v>
          </cell>
          <cell r="E49" t="str">
            <v>-</v>
          </cell>
          <cell r="J49" t="str">
            <v>-</v>
          </cell>
          <cell r="O49" t="str">
            <v>-</v>
          </cell>
          <cell r="T49" t="str">
            <v>-</v>
          </cell>
          <cell r="Y49" t="str">
            <v>-</v>
          </cell>
        </row>
        <row r="50">
          <cell r="A50" t="str">
            <v>søndag</v>
          </cell>
          <cell r="E50" t="str">
            <v>-</v>
          </cell>
          <cell r="J50" t="str">
            <v>-</v>
          </cell>
          <cell r="O50">
            <v>83</v>
          </cell>
          <cell r="T50" t="str">
            <v>-</v>
          </cell>
          <cell r="Y50" t="str">
            <v>-</v>
          </cell>
        </row>
        <row r="51">
          <cell r="A51" t="str">
            <v>mandag</v>
          </cell>
          <cell r="E51" t="str">
            <v>-</v>
          </cell>
          <cell r="J51" t="str">
            <v>-</v>
          </cell>
          <cell r="O51" t="str">
            <v>-</v>
          </cell>
          <cell r="T51">
            <v>70</v>
          </cell>
          <cell r="Y51">
            <v>86</v>
          </cell>
        </row>
        <row r="52">
          <cell r="A52" t="str">
            <v>tirsdag</v>
          </cell>
          <cell r="E52" t="str">
            <v>-</v>
          </cell>
          <cell r="J52" t="str">
            <v>-</v>
          </cell>
          <cell r="O52" t="str">
            <v>-</v>
          </cell>
          <cell r="T52" t="str">
            <v>-</v>
          </cell>
          <cell r="Y52" t="str">
            <v>-</v>
          </cell>
        </row>
        <row r="53">
          <cell r="A53" t="str">
            <v>onsdag</v>
          </cell>
          <cell r="E53">
            <v>31</v>
          </cell>
          <cell r="J53" t="str">
            <v>-</v>
          </cell>
          <cell r="O53" t="str">
            <v>-</v>
          </cell>
          <cell r="T53" t="str">
            <v>-</v>
          </cell>
          <cell r="Y53" t="str">
            <v>-</v>
          </cell>
        </row>
        <row r="54">
          <cell r="A54" t="str">
            <v>torsdag</v>
          </cell>
          <cell r="E54" t="str">
            <v>-</v>
          </cell>
          <cell r="J54" t="str">
            <v>-</v>
          </cell>
          <cell r="O54" t="str">
            <v>-</v>
          </cell>
          <cell r="T54" t="str">
            <v>-</v>
          </cell>
          <cell r="Y54" t="str">
            <v>-</v>
          </cell>
        </row>
        <row r="55">
          <cell r="A55" t="str">
            <v>fredag</v>
          </cell>
          <cell r="E55" t="str">
            <v>-</v>
          </cell>
          <cell r="J55">
            <v>109</v>
          </cell>
          <cell r="O55">
            <v>56</v>
          </cell>
          <cell r="T55" t="str">
            <v>-</v>
          </cell>
          <cell r="Y55" t="str">
            <v>-</v>
          </cell>
        </row>
        <row r="56">
          <cell r="A56" t="str">
            <v>lørdag</v>
          </cell>
          <cell r="E56" t="str">
            <v>-</v>
          </cell>
          <cell r="J56" t="str">
            <v>-</v>
          </cell>
          <cell r="O56" t="str">
            <v>-</v>
          </cell>
          <cell r="T56" t="str">
            <v>-</v>
          </cell>
          <cell r="Y56" t="str">
            <v>-</v>
          </cell>
        </row>
        <row r="57">
          <cell r="A57" t="str">
            <v>søndag</v>
          </cell>
          <cell r="E57" t="str">
            <v>-</v>
          </cell>
          <cell r="J57" t="str">
            <v>-</v>
          </cell>
          <cell r="O57" t="str">
            <v>-</v>
          </cell>
          <cell r="T57" t="str">
            <v>-</v>
          </cell>
          <cell r="Y57" t="str">
            <v>-</v>
          </cell>
        </row>
        <row r="58">
          <cell r="A58" t="str">
            <v>mandag</v>
          </cell>
          <cell r="E58" t="str">
            <v>-</v>
          </cell>
          <cell r="J58">
            <v>112</v>
          </cell>
          <cell r="O58" t="str">
            <v>-</v>
          </cell>
          <cell r="T58">
            <v>37</v>
          </cell>
          <cell r="Y58" t="str">
            <v>-</v>
          </cell>
        </row>
        <row r="59">
          <cell r="A59" t="str">
            <v>tirsdag</v>
          </cell>
          <cell r="E59" t="str">
            <v>-</v>
          </cell>
          <cell r="J59" t="str">
            <v>-</v>
          </cell>
          <cell r="O59" t="str">
            <v>-</v>
          </cell>
          <cell r="T59" t="str">
            <v>-</v>
          </cell>
          <cell r="Y59" t="str">
            <v>-</v>
          </cell>
        </row>
        <row r="60">
          <cell r="A60" t="str">
            <v>onsdag</v>
          </cell>
          <cell r="E60" t="str">
            <v>-</v>
          </cell>
          <cell r="J60" t="str">
            <v>-</v>
          </cell>
          <cell r="O60" t="str">
            <v>-</v>
          </cell>
          <cell r="T60" t="str">
            <v>-</v>
          </cell>
          <cell r="Y60" t="str">
            <v>-</v>
          </cell>
        </row>
        <row r="61">
          <cell r="A61" t="str">
            <v>torsdag</v>
          </cell>
          <cell r="E61" t="str">
            <v>-</v>
          </cell>
          <cell r="J61" t="str">
            <v>-</v>
          </cell>
          <cell r="O61">
            <v>34</v>
          </cell>
          <cell r="T61">
            <v>64</v>
          </cell>
          <cell r="Y61" t="str">
            <v>-</v>
          </cell>
        </row>
        <row r="62">
          <cell r="A62" t="str">
            <v>fredag</v>
          </cell>
          <cell r="E62">
            <v>87</v>
          </cell>
          <cell r="J62">
            <v>61</v>
          </cell>
          <cell r="O62" t="str">
            <v>-</v>
          </cell>
          <cell r="T62" t="str">
            <v>-</v>
          </cell>
          <cell r="Y62" t="str">
            <v>-</v>
          </cell>
        </row>
        <row r="63">
          <cell r="A63" t="str">
            <v>lørdag</v>
          </cell>
          <cell r="E63" t="str">
            <v>-</v>
          </cell>
          <cell r="J63" t="str">
            <v>-</v>
          </cell>
          <cell r="O63" t="str">
            <v>-</v>
          </cell>
          <cell r="T63" t="str">
            <v>-</v>
          </cell>
          <cell r="Y63">
            <v>77</v>
          </cell>
        </row>
        <row r="64">
          <cell r="A64" t="str">
            <v>søndag</v>
          </cell>
          <cell r="E64" t="str">
            <v>-</v>
          </cell>
          <cell r="J64" t="str">
            <v>-</v>
          </cell>
          <cell r="O64" t="str">
            <v>-</v>
          </cell>
          <cell r="T64" t="str">
            <v>-</v>
          </cell>
          <cell r="Y64" t="str">
            <v>-</v>
          </cell>
        </row>
        <row r="65">
          <cell r="A65" t="str">
            <v>mandag</v>
          </cell>
          <cell r="E65" t="str">
            <v>-</v>
          </cell>
          <cell r="J65" t="str">
            <v>-</v>
          </cell>
          <cell r="O65" t="str">
            <v>-</v>
          </cell>
          <cell r="T65">
            <v>76</v>
          </cell>
          <cell r="Y65" t="str">
            <v>-</v>
          </cell>
        </row>
        <row r="66">
          <cell r="A66" t="str">
            <v>tirsdag</v>
          </cell>
          <cell r="E66" t="str">
            <v>-</v>
          </cell>
          <cell r="J66" t="str">
            <v>-</v>
          </cell>
          <cell r="O66" t="str">
            <v>-</v>
          </cell>
          <cell r="T66" t="str">
            <v>-</v>
          </cell>
          <cell r="Y66" t="str">
            <v>-</v>
          </cell>
        </row>
        <row r="67">
          <cell r="A67" t="str">
            <v>onsdag</v>
          </cell>
          <cell r="E67" t="str">
            <v>-</v>
          </cell>
          <cell r="J67">
            <v>104</v>
          </cell>
          <cell r="O67" t="str">
            <v>-</v>
          </cell>
          <cell r="T67" t="str">
            <v>-</v>
          </cell>
          <cell r="Y67" t="str">
            <v>-</v>
          </cell>
        </row>
        <row r="68">
          <cell r="A68" t="str">
            <v>torsdag</v>
          </cell>
          <cell r="E68">
            <v>24</v>
          </cell>
          <cell r="J68" t="str">
            <v>-</v>
          </cell>
          <cell r="O68" t="str">
            <v>-</v>
          </cell>
          <cell r="T68" t="str">
            <v>-</v>
          </cell>
          <cell r="Y68" t="str">
            <v>-</v>
          </cell>
        </row>
        <row r="69">
          <cell r="A69" t="str">
            <v>fredag</v>
          </cell>
          <cell r="E69" t="str">
            <v>-</v>
          </cell>
          <cell r="J69" t="str">
            <v>-</v>
          </cell>
          <cell r="O69" t="str">
            <v>-</v>
          </cell>
          <cell r="T69">
            <v>14</v>
          </cell>
          <cell r="Y69" t="str">
            <v>-</v>
          </cell>
        </row>
        <row r="70">
          <cell r="A70" t="str">
            <v>lørdag</v>
          </cell>
          <cell r="E70" t="str">
            <v>-</v>
          </cell>
          <cell r="J70">
            <v>106</v>
          </cell>
          <cell r="O70" t="str">
            <v>-</v>
          </cell>
          <cell r="T70" t="str">
            <v>-</v>
          </cell>
          <cell r="Y70">
            <v>7</v>
          </cell>
        </row>
        <row r="71">
          <cell r="A71" t="str">
            <v>søndag</v>
          </cell>
          <cell r="E71" t="str">
            <v>-</v>
          </cell>
          <cell r="J71" t="str">
            <v>-</v>
          </cell>
          <cell r="O71" t="str">
            <v>-</v>
          </cell>
          <cell r="T71" t="str">
            <v>-</v>
          </cell>
          <cell r="Y71" t="str">
            <v>-</v>
          </cell>
        </row>
        <row r="72">
          <cell r="A72" t="str">
            <v>mandag</v>
          </cell>
          <cell r="E72">
            <v>36</v>
          </cell>
          <cell r="J72" t="str">
            <v>-</v>
          </cell>
          <cell r="O72">
            <v>36</v>
          </cell>
          <cell r="T72" t="str">
            <v>-</v>
          </cell>
          <cell r="Y72" t="str">
            <v>-</v>
          </cell>
        </row>
        <row r="73">
          <cell r="A73" t="str">
            <v>tirsdag</v>
          </cell>
          <cell r="E73" t="str">
            <v>-</v>
          </cell>
          <cell r="J73" t="str">
            <v>-</v>
          </cell>
          <cell r="O73" t="str">
            <v>-</v>
          </cell>
          <cell r="T73" t="str">
            <v>-</v>
          </cell>
          <cell r="Y73" t="str">
            <v>-</v>
          </cell>
        </row>
        <row r="74">
          <cell r="A74" t="str">
            <v>onsdag</v>
          </cell>
          <cell r="E74" t="str">
            <v>-</v>
          </cell>
          <cell r="J74">
            <v>13</v>
          </cell>
          <cell r="O74" t="str">
            <v>-</v>
          </cell>
          <cell r="T74" t="str">
            <v>-</v>
          </cell>
          <cell r="Y74" t="str">
            <v>-</v>
          </cell>
        </row>
        <row r="75">
          <cell r="A75" t="str">
            <v>torsdag</v>
          </cell>
          <cell r="E75">
            <v>69</v>
          </cell>
          <cell r="J75" t="str">
            <v>-</v>
          </cell>
          <cell r="O75">
            <v>84</v>
          </cell>
          <cell r="T75" t="str">
            <v>-</v>
          </cell>
          <cell r="Y75" t="str">
            <v>-</v>
          </cell>
        </row>
        <row r="76">
          <cell r="A76" t="str">
            <v>fredag</v>
          </cell>
          <cell r="E76" t="str">
            <v>-</v>
          </cell>
          <cell r="J76" t="str">
            <v>-</v>
          </cell>
          <cell r="O76" t="str">
            <v>-</v>
          </cell>
          <cell r="T76" t="str">
            <v>-</v>
          </cell>
          <cell r="Y76" t="str">
            <v>-</v>
          </cell>
        </row>
        <row r="77">
          <cell r="A77" t="str">
            <v>lørdag</v>
          </cell>
          <cell r="E77" t="str">
            <v>-</v>
          </cell>
          <cell r="J77" t="str">
            <v>-</v>
          </cell>
          <cell r="O77" t="str">
            <v>-</v>
          </cell>
          <cell r="T77">
            <v>66</v>
          </cell>
          <cell r="Y77">
            <v>62</v>
          </cell>
        </row>
        <row r="78">
          <cell r="A78" t="str">
            <v>søndag</v>
          </cell>
          <cell r="E78">
            <v>19</v>
          </cell>
          <cell r="J78" t="str">
            <v>-</v>
          </cell>
          <cell r="O78" t="str">
            <v>-</v>
          </cell>
          <cell r="T78" t="str">
            <v>-</v>
          </cell>
          <cell r="Y78" t="str">
            <v>-</v>
          </cell>
        </row>
        <row r="79">
          <cell r="A79" t="str">
            <v>mandag</v>
          </cell>
          <cell r="E79" t="str">
            <v>-</v>
          </cell>
          <cell r="J79" t="str">
            <v>-</v>
          </cell>
          <cell r="O79">
            <v>43</v>
          </cell>
          <cell r="T79" t="str">
            <v>-</v>
          </cell>
          <cell r="Y79" t="str">
            <v>-</v>
          </cell>
        </row>
        <row r="80">
          <cell r="A80" t="str">
            <v>tirsdag</v>
          </cell>
          <cell r="E80" t="str">
            <v>-</v>
          </cell>
          <cell r="J80" t="str">
            <v>-</v>
          </cell>
          <cell r="O80" t="str">
            <v>-</v>
          </cell>
          <cell r="T80" t="str">
            <v>-</v>
          </cell>
          <cell r="Y80" t="str">
            <v>-</v>
          </cell>
        </row>
        <row r="81">
          <cell r="A81" t="str">
            <v>onsdag</v>
          </cell>
          <cell r="E81" t="str">
            <v>-</v>
          </cell>
          <cell r="J81">
            <v>81</v>
          </cell>
          <cell r="O81" t="str">
            <v>-</v>
          </cell>
          <cell r="T81" t="str">
            <v>-</v>
          </cell>
          <cell r="Y81" t="str">
            <v>-</v>
          </cell>
        </row>
        <row r="82">
          <cell r="A82" t="str">
            <v>torsdag</v>
          </cell>
          <cell r="E82" t="str">
            <v>-</v>
          </cell>
          <cell r="J82" t="str">
            <v>-</v>
          </cell>
          <cell r="O82" t="str">
            <v>-</v>
          </cell>
          <cell r="T82" t="str">
            <v>-</v>
          </cell>
          <cell r="Y82" t="str">
            <v>-</v>
          </cell>
        </row>
        <row r="83">
          <cell r="A83" t="str">
            <v>fredag</v>
          </cell>
          <cell r="E83" t="str">
            <v>-</v>
          </cell>
          <cell r="J83" t="str">
            <v>-</v>
          </cell>
          <cell r="O83" t="str">
            <v>-</v>
          </cell>
          <cell r="T83" t="str">
            <v>-</v>
          </cell>
          <cell r="Y83" t="str">
            <v>-</v>
          </cell>
        </row>
        <row r="84">
          <cell r="A84" t="str">
            <v>lørdag</v>
          </cell>
          <cell r="E84" t="str">
            <v>-</v>
          </cell>
          <cell r="J84" t="str">
            <v>-</v>
          </cell>
          <cell r="O84">
            <v>38</v>
          </cell>
          <cell r="T84" t="str">
            <v>-</v>
          </cell>
          <cell r="Y84" t="str">
            <v>-</v>
          </cell>
        </row>
        <row r="85">
          <cell r="A85" t="str">
            <v>søndag</v>
          </cell>
          <cell r="E85" t="str">
            <v>-</v>
          </cell>
          <cell r="J85">
            <v>44</v>
          </cell>
          <cell r="O85" t="str">
            <v>-</v>
          </cell>
          <cell r="T85">
            <v>1</v>
          </cell>
          <cell r="Y85" t="str">
            <v>-</v>
          </cell>
        </row>
        <row r="86">
          <cell r="A86" t="str">
            <v>mandag</v>
          </cell>
          <cell r="E86" t="str">
            <v>-</v>
          </cell>
          <cell r="J86" t="str">
            <v>-</v>
          </cell>
          <cell r="O86" t="str">
            <v>-</v>
          </cell>
          <cell r="T86" t="str">
            <v>-</v>
          </cell>
          <cell r="Y86" t="str">
            <v>-</v>
          </cell>
        </row>
        <row r="87">
          <cell r="A87" t="str">
            <v>tirsdag</v>
          </cell>
          <cell r="E87" t="str">
            <v>-</v>
          </cell>
          <cell r="J87" t="str">
            <v>-</v>
          </cell>
          <cell r="O87" t="str">
            <v>-</v>
          </cell>
          <cell r="T87" t="str">
            <v>-</v>
          </cell>
          <cell r="Y87" t="str">
            <v>-</v>
          </cell>
        </row>
        <row r="88">
          <cell r="A88" t="str">
            <v>onsdag</v>
          </cell>
          <cell r="E88" t="str">
            <v>-</v>
          </cell>
          <cell r="J88" t="str">
            <v>-</v>
          </cell>
          <cell r="O88" t="str">
            <v>-</v>
          </cell>
          <cell r="T88" t="str">
            <v>-</v>
          </cell>
          <cell r="Y88">
            <v>10</v>
          </cell>
        </row>
        <row r="89">
          <cell r="A89" t="str">
            <v>torsdag</v>
          </cell>
          <cell r="E89" t="str">
            <v>-</v>
          </cell>
          <cell r="J89" t="str">
            <v>-</v>
          </cell>
          <cell r="O89" t="str">
            <v>-</v>
          </cell>
          <cell r="T89" t="str">
            <v>-</v>
          </cell>
          <cell r="Y89" t="str">
            <v>-</v>
          </cell>
        </row>
        <row r="90">
          <cell r="A90" t="str">
            <v>fredag</v>
          </cell>
          <cell r="E90" t="str">
            <v>-</v>
          </cell>
          <cell r="J90" t="str">
            <v>-</v>
          </cell>
          <cell r="O90" t="str">
            <v>-</v>
          </cell>
          <cell r="T90" t="str">
            <v>-</v>
          </cell>
          <cell r="Y90" t="str">
            <v>-</v>
          </cell>
        </row>
        <row r="91">
          <cell r="A91" t="str">
            <v>lørdag</v>
          </cell>
          <cell r="E91" t="str">
            <v>-</v>
          </cell>
          <cell r="J91" t="str">
            <v>-</v>
          </cell>
          <cell r="O91" t="str">
            <v>-</v>
          </cell>
          <cell r="T91" t="str">
            <v>-</v>
          </cell>
          <cell r="Y91">
            <v>49</v>
          </cell>
        </row>
        <row r="92">
          <cell r="A92" t="str">
            <v>søndag</v>
          </cell>
          <cell r="E92" t="str">
            <v>-</v>
          </cell>
          <cell r="J92" t="str">
            <v>-</v>
          </cell>
          <cell r="O92">
            <v>58</v>
          </cell>
          <cell r="T92">
            <v>58</v>
          </cell>
          <cell r="Y92" t="str">
            <v>-</v>
          </cell>
        </row>
        <row r="93">
          <cell r="A93" t="str">
            <v>mandag</v>
          </cell>
          <cell r="E93">
            <v>55</v>
          </cell>
          <cell r="J93">
            <v>30</v>
          </cell>
          <cell r="O93" t="str">
            <v>-</v>
          </cell>
          <cell r="T93" t="str">
            <v>-</v>
          </cell>
          <cell r="Y93" t="str">
            <v>-</v>
          </cell>
        </row>
        <row r="94">
          <cell r="A94" t="str">
            <v>tirsdag</v>
          </cell>
          <cell r="E94" t="str">
            <v>-</v>
          </cell>
          <cell r="J94" t="str">
            <v>-</v>
          </cell>
          <cell r="O94" t="str">
            <v>-</v>
          </cell>
          <cell r="T94" t="str">
            <v>-</v>
          </cell>
          <cell r="Y94" t="str">
            <v>-</v>
          </cell>
        </row>
        <row r="95">
          <cell r="A95" t="str">
            <v>onsdag</v>
          </cell>
          <cell r="E95" t="str">
            <v>-</v>
          </cell>
          <cell r="J95" t="str">
            <v>-</v>
          </cell>
          <cell r="O95" t="str">
            <v>-</v>
          </cell>
          <cell r="T95">
            <v>57</v>
          </cell>
          <cell r="Y95" t="str">
            <v>-</v>
          </cell>
        </row>
        <row r="96">
          <cell r="A96" t="str">
            <v>torsdag</v>
          </cell>
          <cell r="E96" t="str">
            <v>-</v>
          </cell>
          <cell r="J96" t="str">
            <v>-</v>
          </cell>
          <cell r="O96">
            <v>115</v>
          </cell>
          <cell r="T96" t="str">
            <v>-</v>
          </cell>
          <cell r="Y96" t="str">
            <v>-</v>
          </cell>
        </row>
        <row r="97">
          <cell r="A97" t="str">
            <v>fredag</v>
          </cell>
          <cell r="E97">
            <v>94</v>
          </cell>
          <cell r="J97" t="str">
            <v>-</v>
          </cell>
          <cell r="O97" t="str">
            <v>-</v>
          </cell>
          <cell r="T97" t="str">
            <v>-</v>
          </cell>
          <cell r="Y97" t="str">
            <v>-</v>
          </cell>
        </row>
        <row r="98">
          <cell r="A98" t="str">
            <v>lørdag</v>
          </cell>
          <cell r="E98" t="str">
            <v>-</v>
          </cell>
          <cell r="J98" t="str">
            <v>-</v>
          </cell>
          <cell r="O98" t="str">
            <v>-</v>
          </cell>
          <cell r="T98" t="str">
            <v>-</v>
          </cell>
          <cell r="Y98" t="str">
            <v>-</v>
          </cell>
        </row>
        <row r="99">
          <cell r="A99" t="str">
            <v>søndag</v>
          </cell>
          <cell r="E99" t="str">
            <v>-</v>
          </cell>
          <cell r="J99">
            <v>74</v>
          </cell>
          <cell r="O99">
            <v>74</v>
          </cell>
          <cell r="T99" t="str">
            <v>-</v>
          </cell>
          <cell r="Y99" t="str">
            <v>-</v>
          </cell>
        </row>
        <row r="100">
          <cell r="A100" t="str">
            <v>mandag</v>
          </cell>
          <cell r="E100">
            <v>11</v>
          </cell>
          <cell r="J100" t="str">
            <v>-</v>
          </cell>
          <cell r="O100" t="str">
            <v>-</v>
          </cell>
          <cell r="T100" t="str">
            <v>-</v>
          </cell>
          <cell r="Y100">
            <v>50</v>
          </cell>
        </row>
        <row r="101">
          <cell r="A101" t="str">
            <v>tirsdag</v>
          </cell>
          <cell r="E101" t="str">
            <v>-</v>
          </cell>
          <cell r="J101" t="str">
            <v>-</v>
          </cell>
          <cell r="O101" t="str">
            <v>-</v>
          </cell>
          <cell r="T101" t="str">
            <v>-</v>
          </cell>
          <cell r="Y101" t="str">
            <v>-</v>
          </cell>
        </row>
        <row r="102">
          <cell r="A102" t="str">
            <v>onsdag</v>
          </cell>
          <cell r="E102" t="str">
            <v>-</v>
          </cell>
          <cell r="J102" t="str">
            <v>-</v>
          </cell>
          <cell r="O102" t="str">
            <v>-</v>
          </cell>
          <cell r="T102" t="str">
            <v>-</v>
          </cell>
          <cell r="Y102" t="str">
            <v>-</v>
          </cell>
        </row>
        <row r="103">
          <cell r="A103" t="str">
            <v>torsdag</v>
          </cell>
          <cell r="E103" t="str">
            <v>-</v>
          </cell>
          <cell r="J103">
            <v>32</v>
          </cell>
          <cell r="O103">
            <v>33</v>
          </cell>
          <cell r="T103">
            <v>45</v>
          </cell>
          <cell r="Y103" t="str">
            <v>-</v>
          </cell>
        </row>
        <row r="104">
          <cell r="A104" t="str">
            <v>fredag</v>
          </cell>
          <cell r="E104" t="str">
            <v>-</v>
          </cell>
          <cell r="J104" t="str">
            <v>-</v>
          </cell>
          <cell r="O104" t="str">
            <v>-</v>
          </cell>
          <cell r="T104" t="str">
            <v>-</v>
          </cell>
          <cell r="Y104">
            <v>92</v>
          </cell>
        </row>
        <row r="105">
          <cell r="A105" t="str">
            <v>lørdag</v>
          </cell>
          <cell r="E105" t="str">
            <v>-</v>
          </cell>
          <cell r="J105" t="str">
            <v>-</v>
          </cell>
          <cell r="O105" t="str">
            <v>-</v>
          </cell>
          <cell r="T105" t="str">
            <v>-</v>
          </cell>
          <cell r="Y105" t="str">
            <v>-</v>
          </cell>
        </row>
        <row r="106">
          <cell r="A106" t="str">
            <v>søndag</v>
          </cell>
          <cell r="E106" t="str">
            <v>-</v>
          </cell>
          <cell r="J106" t="str">
            <v>-</v>
          </cell>
          <cell r="O106" t="str">
            <v>-</v>
          </cell>
          <cell r="T106">
            <v>114</v>
          </cell>
          <cell r="Y106" t="str">
            <v>-</v>
          </cell>
        </row>
        <row r="107">
          <cell r="A107" t="str">
            <v>mandag</v>
          </cell>
          <cell r="E107">
            <v>59</v>
          </cell>
          <cell r="J107" t="str">
            <v>-</v>
          </cell>
          <cell r="O107" t="str">
            <v>-</v>
          </cell>
          <cell r="T107" t="str">
            <v>-</v>
          </cell>
          <cell r="Y107" t="str">
            <v>-</v>
          </cell>
        </row>
        <row r="108">
          <cell r="A108" t="str">
            <v>tirsdag</v>
          </cell>
          <cell r="E108" t="str">
            <v>-</v>
          </cell>
          <cell r="J108" t="str">
            <v>-</v>
          </cell>
          <cell r="O108" t="str">
            <v>-</v>
          </cell>
          <cell r="T108" t="str">
            <v>-</v>
          </cell>
          <cell r="Y108" t="str">
            <v>-</v>
          </cell>
        </row>
        <row r="109">
          <cell r="A109" t="str">
            <v>onsdag</v>
          </cell>
          <cell r="E109" t="str">
            <v>-</v>
          </cell>
          <cell r="J109" t="str">
            <v>-</v>
          </cell>
          <cell r="O109" t="str">
            <v>-</v>
          </cell>
          <cell r="T109">
            <v>4</v>
          </cell>
          <cell r="Y109">
            <v>4</v>
          </cell>
        </row>
        <row r="110">
          <cell r="A110" t="str">
            <v>torsdag</v>
          </cell>
          <cell r="E110" t="str">
            <v>-</v>
          </cell>
          <cell r="J110">
            <v>46</v>
          </cell>
          <cell r="O110">
            <v>23</v>
          </cell>
          <cell r="T110" t="str">
            <v>-</v>
          </cell>
          <cell r="Y110" t="str">
            <v>-</v>
          </cell>
        </row>
        <row r="111">
          <cell r="A111" t="str">
            <v>fredag</v>
          </cell>
          <cell r="E111">
            <v>121</v>
          </cell>
          <cell r="J111" t="str">
            <v>-</v>
          </cell>
          <cell r="O111" t="str">
            <v>-</v>
          </cell>
          <cell r="T111" t="str">
            <v>-</v>
          </cell>
          <cell r="Y111" t="str">
            <v>-</v>
          </cell>
        </row>
        <row r="112">
          <cell r="A112" t="str">
            <v>lørdag</v>
          </cell>
          <cell r="E112" t="str">
            <v>-</v>
          </cell>
          <cell r="J112" t="str">
            <v>-</v>
          </cell>
          <cell r="O112" t="str">
            <v>-</v>
          </cell>
          <cell r="T112" t="str">
            <v>-</v>
          </cell>
          <cell r="Y112" t="str">
            <v>-</v>
          </cell>
        </row>
        <row r="113">
          <cell r="A113" t="str">
            <v>søndag</v>
          </cell>
          <cell r="E113" t="str">
            <v>-</v>
          </cell>
          <cell r="J113" t="str">
            <v>-</v>
          </cell>
          <cell r="O113" t="str">
            <v>-</v>
          </cell>
          <cell r="T113">
            <v>51</v>
          </cell>
          <cell r="Y113" t="str">
            <v>-</v>
          </cell>
        </row>
        <row r="114">
          <cell r="A114" t="str">
            <v>mandag</v>
          </cell>
          <cell r="E114">
            <v>26</v>
          </cell>
          <cell r="J114" t="str">
            <v>-</v>
          </cell>
          <cell r="O114">
            <v>52</v>
          </cell>
          <cell r="T114" t="str">
            <v>-</v>
          </cell>
          <cell r="Y114">
            <v>21</v>
          </cell>
        </row>
        <row r="115">
          <cell r="A115" t="str">
            <v>tirsdag</v>
          </cell>
          <cell r="E115" t="str">
            <v>-</v>
          </cell>
          <cell r="J115" t="str">
            <v>-</v>
          </cell>
          <cell r="O115" t="str">
            <v>-</v>
          </cell>
          <cell r="T115" t="str">
            <v>-</v>
          </cell>
          <cell r="Y115" t="str">
            <v>-</v>
          </cell>
        </row>
        <row r="116">
          <cell r="A116" t="str">
            <v>onsdag</v>
          </cell>
          <cell r="E116" t="str">
            <v>-</v>
          </cell>
          <cell r="J116" t="str">
            <v>-</v>
          </cell>
          <cell r="O116" t="str">
            <v>-</v>
          </cell>
          <cell r="T116" t="str">
            <v>-</v>
          </cell>
          <cell r="Y116" t="str">
            <v>-</v>
          </cell>
        </row>
        <row r="117">
          <cell r="A117" t="str">
            <v>torsdag</v>
          </cell>
          <cell r="E117" t="str">
            <v>-</v>
          </cell>
          <cell r="J117">
            <v>54</v>
          </cell>
          <cell r="O117" t="str">
            <v>-</v>
          </cell>
          <cell r="T117" t="str">
            <v>-</v>
          </cell>
          <cell r="Y117" t="str">
            <v>-</v>
          </cell>
        </row>
        <row r="118">
          <cell r="A118" t="str">
            <v>fredag</v>
          </cell>
          <cell r="E118" t="str">
            <v>-</v>
          </cell>
          <cell r="J118" t="str">
            <v>-</v>
          </cell>
          <cell r="O118">
            <v>54</v>
          </cell>
          <cell r="T118">
            <v>93</v>
          </cell>
          <cell r="Y118" t="str">
            <v>-</v>
          </cell>
        </row>
        <row r="119">
          <cell r="A119" t="str">
            <v>lørdag</v>
          </cell>
          <cell r="E119">
            <v>65</v>
          </cell>
          <cell r="J119" t="str">
            <v>-</v>
          </cell>
          <cell r="O119" t="str">
            <v>-</v>
          </cell>
          <cell r="T119" t="str">
            <v>-</v>
          </cell>
          <cell r="Y119">
            <v>25</v>
          </cell>
        </row>
        <row r="120">
          <cell r="A120" t="str">
            <v>søndag</v>
          </cell>
          <cell r="E120" t="str">
            <v>-</v>
          </cell>
          <cell r="J120">
            <v>120</v>
          </cell>
          <cell r="O120">
            <v>122</v>
          </cell>
          <cell r="T120" t="str">
            <v>-</v>
          </cell>
          <cell r="Y120" t="str">
            <v>-</v>
          </cell>
        </row>
        <row r="121">
          <cell r="A121" t="str">
            <v>mandag</v>
          </cell>
          <cell r="E121" t="str">
            <v>-</v>
          </cell>
          <cell r="J121" t="str">
            <v>-</v>
          </cell>
          <cell r="O121" t="str">
            <v>-</v>
          </cell>
          <cell r="T121">
            <v>60</v>
          </cell>
          <cell r="Y121" t="str">
            <v>-</v>
          </cell>
        </row>
        <row r="122">
          <cell r="A122" t="str">
            <v>tirsdag</v>
          </cell>
          <cell r="E122" t="str">
            <v>-</v>
          </cell>
          <cell r="J122" t="str">
            <v>-</v>
          </cell>
          <cell r="O122" t="str">
            <v>-</v>
          </cell>
          <cell r="T122" t="str">
            <v>-</v>
          </cell>
          <cell r="Y122" t="str">
            <v>-</v>
          </cell>
        </row>
        <row r="123">
          <cell r="A123" t="str">
            <v>onsdag</v>
          </cell>
          <cell r="E123">
            <v>67</v>
          </cell>
          <cell r="J123">
            <v>105</v>
          </cell>
          <cell r="O123">
            <v>78</v>
          </cell>
          <cell r="T123" t="str">
            <v>-</v>
          </cell>
          <cell r="Y123" t="str">
            <v>-</v>
          </cell>
        </row>
        <row r="124">
          <cell r="A124" t="str">
            <v>torsdag</v>
          </cell>
          <cell r="E124" t="str">
            <v>-</v>
          </cell>
          <cell r="J124" t="str">
            <v>-</v>
          </cell>
          <cell r="O124" t="str">
            <v>-</v>
          </cell>
          <cell r="T124" t="str">
            <v>-</v>
          </cell>
          <cell r="Y124">
            <v>35</v>
          </cell>
        </row>
        <row r="125">
          <cell r="A125" t="str">
            <v>fredag</v>
          </cell>
          <cell r="E125" t="str">
            <v>-</v>
          </cell>
          <cell r="J125" t="str">
            <v>-</v>
          </cell>
          <cell r="O125" t="str">
            <v>-</v>
          </cell>
          <cell r="T125" t="str">
            <v>-</v>
          </cell>
          <cell r="Y125" t="str">
            <v>-</v>
          </cell>
        </row>
        <row r="126">
          <cell r="A126" t="str">
            <v>lørdag</v>
          </cell>
          <cell r="E126" t="str">
            <v>-</v>
          </cell>
          <cell r="J126" t="str">
            <v>-</v>
          </cell>
          <cell r="O126" t="str">
            <v>-</v>
          </cell>
          <cell r="T126" t="str">
            <v>-</v>
          </cell>
          <cell r="Y126" t="str">
            <v>-</v>
          </cell>
        </row>
        <row r="127">
          <cell r="A127" t="str">
            <v>søndag</v>
          </cell>
          <cell r="E127" t="str">
            <v>-</v>
          </cell>
          <cell r="J127" t="str">
            <v>-</v>
          </cell>
          <cell r="O127" t="str">
            <v>-</v>
          </cell>
          <cell r="T127" t="str">
            <v>-</v>
          </cell>
          <cell r="Y127" t="str">
            <v>-</v>
          </cell>
        </row>
        <row r="128">
          <cell r="A128" t="str">
            <v>mandag</v>
          </cell>
          <cell r="E128" t="str">
            <v>-</v>
          </cell>
          <cell r="J128" t="str">
            <v>-</v>
          </cell>
          <cell r="O128" t="str">
            <v>-</v>
          </cell>
          <cell r="T128" t="str">
            <v>-</v>
          </cell>
          <cell r="Y128" t="str">
            <v>-</v>
          </cell>
        </row>
        <row r="129">
          <cell r="A129" t="str">
            <v>tirsdag</v>
          </cell>
          <cell r="E129" t="str">
            <v>-</v>
          </cell>
          <cell r="J129" t="str">
            <v>-</v>
          </cell>
          <cell r="O129" t="str">
            <v>-</v>
          </cell>
          <cell r="T129" t="str">
            <v>-</v>
          </cell>
          <cell r="Y129" t="str">
            <v>-</v>
          </cell>
        </row>
        <row r="130">
          <cell r="A130" t="str">
            <v>onsdag</v>
          </cell>
          <cell r="E130" t="str">
            <v>-</v>
          </cell>
          <cell r="J130" t="str">
            <v>-</v>
          </cell>
          <cell r="O130" t="str">
            <v>-</v>
          </cell>
          <cell r="T130" t="str">
            <v>-</v>
          </cell>
          <cell r="Y130" t="str">
            <v>-</v>
          </cell>
        </row>
        <row r="131">
          <cell r="A131" t="str">
            <v>torsdag</v>
          </cell>
          <cell r="E131" t="str">
            <v>-</v>
          </cell>
          <cell r="J131" t="str">
            <v>-</v>
          </cell>
          <cell r="O131" t="str">
            <v>-</v>
          </cell>
          <cell r="T131" t="str">
            <v>-</v>
          </cell>
          <cell r="Y131" t="str">
            <v>-</v>
          </cell>
        </row>
        <row r="132">
          <cell r="A132" t="str">
            <v>fredag</v>
          </cell>
          <cell r="E132" t="str">
            <v>-</v>
          </cell>
          <cell r="J132" t="str">
            <v>-</v>
          </cell>
          <cell r="O132" t="str">
            <v>-</v>
          </cell>
          <cell r="T132">
            <v>113</v>
          </cell>
          <cell r="Y132" t="str">
            <v>-</v>
          </cell>
        </row>
        <row r="133">
          <cell r="A133" t="str">
            <v>lørdag</v>
          </cell>
          <cell r="E133" t="str">
            <v>-</v>
          </cell>
          <cell r="J133" t="str">
            <v>-</v>
          </cell>
          <cell r="O133" t="str">
            <v>-</v>
          </cell>
          <cell r="T133" t="str">
            <v>-</v>
          </cell>
          <cell r="Y133" t="str">
            <v>-</v>
          </cell>
        </row>
        <row r="134">
          <cell r="A134" t="str">
            <v>søndag</v>
          </cell>
          <cell r="E134" t="str">
            <v>-</v>
          </cell>
          <cell r="J134" t="str">
            <v>-</v>
          </cell>
          <cell r="O134" t="str">
            <v>-</v>
          </cell>
          <cell r="T134" t="str">
            <v>-</v>
          </cell>
          <cell r="Y134">
            <v>22</v>
          </cell>
        </row>
        <row r="135">
          <cell r="A135" t="str">
            <v>mandag</v>
          </cell>
          <cell r="E135" t="str">
            <v>-</v>
          </cell>
          <cell r="J135" t="str">
            <v>-</v>
          </cell>
          <cell r="O135" t="str">
            <v>-</v>
          </cell>
          <cell r="T135">
            <v>118</v>
          </cell>
          <cell r="Y135" t="str">
            <v>-</v>
          </cell>
        </row>
        <row r="136">
          <cell r="A136" t="str">
            <v>tirsdag</v>
          </cell>
          <cell r="E136" t="str">
            <v>-</v>
          </cell>
          <cell r="J136" t="str">
            <v>-</v>
          </cell>
          <cell r="O136" t="str">
            <v>-</v>
          </cell>
          <cell r="T136" t="str">
            <v>-</v>
          </cell>
          <cell r="Y136" t="str">
            <v>-</v>
          </cell>
        </row>
        <row r="137">
          <cell r="A137" t="str">
            <v>onsdag</v>
          </cell>
          <cell r="E137" t="str">
            <v>-</v>
          </cell>
          <cell r="J137" t="str">
            <v>-</v>
          </cell>
          <cell r="O137" t="str">
            <v>-</v>
          </cell>
          <cell r="T137" t="str">
            <v>-</v>
          </cell>
          <cell r="Y137" t="str">
            <v>-</v>
          </cell>
        </row>
        <row r="138">
          <cell r="A138" t="str">
            <v>torsdag</v>
          </cell>
          <cell r="E138" t="str">
            <v>-</v>
          </cell>
          <cell r="J138" t="str">
            <v>-</v>
          </cell>
          <cell r="O138" t="str">
            <v>-</v>
          </cell>
          <cell r="T138" t="str">
            <v>-</v>
          </cell>
          <cell r="Y138" t="str">
            <v>-</v>
          </cell>
        </row>
        <row r="139">
          <cell r="A139" t="str">
            <v>fredag</v>
          </cell>
          <cell r="E139">
            <v>89</v>
          </cell>
          <cell r="J139">
            <v>89</v>
          </cell>
          <cell r="O139" t="str">
            <v>-</v>
          </cell>
          <cell r="T139" t="str">
            <v>-</v>
          </cell>
          <cell r="Y139" t="str">
            <v>-</v>
          </cell>
        </row>
        <row r="140">
          <cell r="A140" t="str">
            <v>lørdag</v>
          </cell>
          <cell r="E140" t="str">
            <v>-</v>
          </cell>
          <cell r="J140" t="str">
            <v>-</v>
          </cell>
          <cell r="O140">
            <v>103</v>
          </cell>
          <cell r="T140" t="str">
            <v>-</v>
          </cell>
          <cell r="Y140" t="str">
            <v>-</v>
          </cell>
        </row>
        <row r="141">
          <cell r="A141" t="str">
            <v>søndag</v>
          </cell>
          <cell r="E141" t="str">
            <v>-</v>
          </cell>
          <cell r="J141" t="str">
            <v>-</v>
          </cell>
          <cell r="O141" t="str">
            <v>-</v>
          </cell>
          <cell r="T141" t="str">
            <v>-</v>
          </cell>
          <cell r="Y141" t="str">
            <v>-</v>
          </cell>
        </row>
        <row r="142">
          <cell r="A142" t="str">
            <v>mandag</v>
          </cell>
          <cell r="E142">
            <v>100</v>
          </cell>
          <cell r="J142" t="str">
            <v>-</v>
          </cell>
          <cell r="O142" t="str">
            <v>-</v>
          </cell>
          <cell r="T142">
            <v>101</v>
          </cell>
          <cell r="Y142" t="str">
            <v>-</v>
          </cell>
        </row>
        <row r="143">
          <cell r="A143" t="str">
            <v>tirsdag</v>
          </cell>
          <cell r="E143" t="str">
            <v>-</v>
          </cell>
          <cell r="J143" t="str">
            <v>-</v>
          </cell>
          <cell r="O143" t="str">
            <v>-</v>
          </cell>
          <cell r="T143" t="str">
            <v>-</v>
          </cell>
          <cell r="Y143" t="str">
            <v>-</v>
          </cell>
        </row>
        <row r="144">
          <cell r="A144" t="str">
            <v>onsdag</v>
          </cell>
          <cell r="E144" t="str">
            <v>-</v>
          </cell>
          <cell r="J144">
            <v>47</v>
          </cell>
          <cell r="O144" t="str">
            <v>-</v>
          </cell>
          <cell r="T144" t="str">
            <v>-</v>
          </cell>
          <cell r="Y144" t="str">
            <v>-</v>
          </cell>
        </row>
        <row r="145">
          <cell r="A145" t="str">
            <v>torsdag</v>
          </cell>
          <cell r="E145">
            <v>41</v>
          </cell>
          <cell r="J145" t="str">
            <v>-</v>
          </cell>
          <cell r="O145" t="str">
            <v>-</v>
          </cell>
          <cell r="T145">
            <v>42</v>
          </cell>
          <cell r="Y145" t="str">
            <v>-</v>
          </cell>
        </row>
        <row r="146">
          <cell r="A146" t="str">
            <v>fredag</v>
          </cell>
          <cell r="E146" t="str">
            <v>-</v>
          </cell>
          <cell r="J146" t="str">
            <v>-</v>
          </cell>
          <cell r="O146" t="str">
            <v>-</v>
          </cell>
          <cell r="T146" t="str">
            <v>-</v>
          </cell>
          <cell r="Y146">
            <v>3</v>
          </cell>
        </row>
        <row r="147">
          <cell r="A147" t="str">
            <v>lørdag</v>
          </cell>
          <cell r="E147" t="str">
            <v>-</v>
          </cell>
          <cell r="J147" t="str">
            <v>-</v>
          </cell>
          <cell r="O147" t="str">
            <v>-</v>
          </cell>
          <cell r="T147" t="str">
            <v>-</v>
          </cell>
          <cell r="Y147" t="str">
            <v>-</v>
          </cell>
        </row>
        <row r="148">
          <cell r="A148" t="str">
            <v>søndag</v>
          </cell>
          <cell r="E148" t="str">
            <v>-</v>
          </cell>
          <cell r="J148" t="str">
            <v>-</v>
          </cell>
          <cell r="O148" t="str">
            <v>-</v>
          </cell>
          <cell r="T148" t="str">
            <v>-</v>
          </cell>
          <cell r="Y148" t="str">
            <v>-</v>
          </cell>
        </row>
        <row r="149">
          <cell r="A149" t="str">
            <v>mandag</v>
          </cell>
          <cell r="E149" t="str">
            <v>-</v>
          </cell>
          <cell r="J149" t="str">
            <v>-</v>
          </cell>
          <cell r="O149" t="str">
            <v>-</v>
          </cell>
          <cell r="T149" t="str">
            <v>-</v>
          </cell>
          <cell r="Y149" t="str">
            <v>-</v>
          </cell>
        </row>
        <row r="150">
          <cell r="A150" t="str">
            <v>tirsdag</v>
          </cell>
          <cell r="E150" t="str">
            <v>-</v>
          </cell>
          <cell r="J150" t="str">
            <v>-</v>
          </cell>
          <cell r="O150" t="str">
            <v>-</v>
          </cell>
          <cell r="T150" t="str">
            <v>-</v>
          </cell>
          <cell r="Y150" t="str">
            <v>-</v>
          </cell>
        </row>
        <row r="151">
          <cell r="A151" t="str">
            <v>onsdag</v>
          </cell>
          <cell r="E151" t="str">
            <v>-</v>
          </cell>
          <cell r="J151" t="str">
            <v>-</v>
          </cell>
          <cell r="O151" t="str">
            <v>-</v>
          </cell>
          <cell r="T151" t="str">
            <v>-</v>
          </cell>
          <cell r="Y151" t="str">
            <v>-</v>
          </cell>
        </row>
        <row r="152">
          <cell r="A152" t="str">
            <v>torsdag</v>
          </cell>
          <cell r="E152" t="str">
            <v>-</v>
          </cell>
          <cell r="J152" t="str">
            <v>-</v>
          </cell>
          <cell r="O152" t="str">
            <v>-</v>
          </cell>
          <cell r="T152" t="str">
            <v>-</v>
          </cell>
          <cell r="Y152" t="str">
            <v>-</v>
          </cell>
        </row>
        <row r="153">
          <cell r="A153" t="str">
            <v>fredag</v>
          </cell>
          <cell r="E153" t="str">
            <v>-</v>
          </cell>
          <cell r="J153" t="str">
            <v>-</v>
          </cell>
          <cell r="O153" t="str">
            <v>-</v>
          </cell>
          <cell r="T153" t="str">
            <v>-</v>
          </cell>
          <cell r="Y153" t="str">
            <v>-</v>
          </cell>
        </row>
        <row r="154">
          <cell r="A154" t="str">
            <v>lørdag</v>
          </cell>
          <cell r="E154" t="str">
            <v>-</v>
          </cell>
          <cell r="J154" t="str">
            <v>-</v>
          </cell>
          <cell r="O154" t="str">
            <v>-</v>
          </cell>
          <cell r="T154" t="str">
            <v>-</v>
          </cell>
          <cell r="Y154" t="str">
            <v>-</v>
          </cell>
        </row>
        <row r="155">
          <cell r="A155" t="str">
            <v>søndag</v>
          </cell>
          <cell r="E155" t="str">
            <v>-</v>
          </cell>
          <cell r="J155" t="str">
            <v>-</v>
          </cell>
          <cell r="O155" t="str">
            <v>-</v>
          </cell>
          <cell r="T155" t="str">
            <v>-</v>
          </cell>
          <cell r="Y155" t="str">
            <v>-</v>
          </cell>
        </row>
        <row r="156">
          <cell r="A156" t="str">
            <v>mandag</v>
          </cell>
          <cell r="E156" t="str">
            <v>-</v>
          </cell>
          <cell r="J156" t="str">
            <v>-</v>
          </cell>
          <cell r="O156" t="str">
            <v>-</v>
          </cell>
          <cell r="T156" t="str">
            <v>-</v>
          </cell>
          <cell r="Y156" t="str">
            <v>-</v>
          </cell>
        </row>
        <row r="157">
          <cell r="A157" t="str">
            <v>tirsdag</v>
          </cell>
          <cell r="E157" t="str">
            <v>-</v>
          </cell>
          <cell r="J157" t="str">
            <v>-</v>
          </cell>
          <cell r="O157" t="str">
            <v>-</v>
          </cell>
          <cell r="T157" t="str">
            <v>-</v>
          </cell>
          <cell r="Y157" t="str">
            <v>-</v>
          </cell>
        </row>
        <row r="158">
          <cell r="A158" t="str">
            <v>onsdag</v>
          </cell>
          <cell r="E158" t="str">
            <v>-</v>
          </cell>
          <cell r="J158" t="str">
            <v>-</v>
          </cell>
          <cell r="O158" t="str">
            <v>-</v>
          </cell>
          <cell r="T158" t="str">
            <v>-</v>
          </cell>
          <cell r="Y158" t="str">
            <v>-</v>
          </cell>
        </row>
        <row r="159">
          <cell r="A159" t="str">
            <v>torsdag</v>
          </cell>
          <cell r="E159" t="str">
            <v>-</v>
          </cell>
          <cell r="J159" t="str">
            <v>-</v>
          </cell>
          <cell r="O159" t="str">
            <v>-</v>
          </cell>
          <cell r="T159" t="str">
            <v>-</v>
          </cell>
          <cell r="Y159" t="str">
            <v>-</v>
          </cell>
        </row>
        <row r="160">
          <cell r="A160" t="str">
            <v>fredag</v>
          </cell>
          <cell r="E160" t="str">
            <v>-</v>
          </cell>
          <cell r="J160" t="str">
            <v>-</v>
          </cell>
          <cell r="O160" t="str">
            <v>-</v>
          </cell>
          <cell r="T160" t="str">
            <v>-</v>
          </cell>
          <cell r="Y160" t="str">
            <v>-</v>
          </cell>
        </row>
        <row r="161">
          <cell r="A161" t="str">
            <v>lørdag</v>
          </cell>
          <cell r="E161" t="str">
            <v>-</v>
          </cell>
          <cell r="J161" t="str">
            <v>-</v>
          </cell>
          <cell r="O161" t="str">
            <v>-</v>
          </cell>
          <cell r="T161" t="str">
            <v>-</v>
          </cell>
          <cell r="Y161" t="str">
            <v>-</v>
          </cell>
        </row>
        <row r="162">
          <cell r="A162" t="str">
            <v>søndag</v>
          </cell>
          <cell r="E162" t="str">
            <v>-</v>
          </cell>
          <cell r="J162" t="str">
            <v>-</v>
          </cell>
          <cell r="O162" t="str">
            <v>-</v>
          </cell>
          <cell r="T162" t="str">
            <v>-</v>
          </cell>
          <cell r="Y162" t="str">
            <v>-</v>
          </cell>
        </row>
        <row r="163">
          <cell r="A163" t="str">
            <v>mandag</v>
          </cell>
          <cell r="E163" t="str">
            <v>-</v>
          </cell>
          <cell r="J163" t="str">
            <v>-</v>
          </cell>
          <cell r="O163" t="str">
            <v>-</v>
          </cell>
          <cell r="T163" t="str">
            <v>-</v>
          </cell>
          <cell r="Y163" t="str">
            <v>-</v>
          </cell>
        </row>
        <row r="164">
          <cell r="A164" t="str">
            <v>tirsdag</v>
          </cell>
          <cell r="E164" t="str">
            <v>-</v>
          </cell>
          <cell r="J164" t="str">
            <v>-</v>
          </cell>
          <cell r="O164" t="str">
            <v>-</v>
          </cell>
          <cell r="T164" t="str">
            <v>-</v>
          </cell>
          <cell r="Y164" t="str">
            <v>-</v>
          </cell>
        </row>
        <row r="165">
          <cell r="A165" t="str">
            <v>onsdag</v>
          </cell>
          <cell r="E165" t="str">
            <v>-</v>
          </cell>
          <cell r="J165" t="str">
            <v>-</v>
          </cell>
          <cell r="O165" t="str">
            <v>-</v>
          </cell>
          <cell r="T165" t="str">
            <v>-</v>
          </cell>
          <cell r="Y165" t="str">
            <v>-</v>
          </cell>
        </row>
        <row r="166">
          <cell r="A166" t="str">
            <v>torsdag</v>
          </cell>
          <cell r="E166" t="str">
            <v>-</v>
          </cell>
          <cell r="J166" t="str">
            <v>-</v>
          </cell>
          <cell r="O166" t="str">
            <v>-</v>
          </cell>
          <cell r="T166" t="str">
            <v>-</v>
          </cell>
          <cell r="Y166" t="str">
            <v>-</v>
          </cell>
        </row>
        <row r="167">
          <cell r="A167" t="str">
            <v>fredag</v>
          </cell>
          <cell r="E167" t="str">
            <v>-</v>
          </cell>
          <cell r="J167" t="str">
            <v>-</v>
          </cell>
          <cell r="O167" t="str">
            <v>-</v>
          </cell>
          <cell r="T167" t="str">
            <v>-</v>
          </cell>
          <cell r="Y167" t="str">
            <v>-</v>
          </cell>
        </row>
        <row r="168">
          <cell r="A168" t="str">
            <v>lørdag</v>
          </cell>
          <cell r="E168" t="str">
            <v>-</v>
          </cell>
          <cell r="J168" t="str">
            <v>-</v>
          </cell>
          <cell r="O168" t="str">
            <v>-</v>
          </cell>
          <cell r="T168" t="str">
            <v>-</v>
          </cell>
          <cell r="Y168" t="str">
            <v>-</v>
          </cell>
        </row>
        <row r="169">
          <cell r="A169" t="str">
            <v>søndag</v>
          </cell>
          <cell r="E169" t="str">
            <v>-</v>
          </cell>
          <cell r="J169" t="str">
            <v>-</v>
          </cell>
          <cell r="O169" t="str">
            <v>-</v>
          </cell>
          <cell r="T169" t="str">
            <v>-</v>
          </cell>
          <cell r="Y169" t="str">
            <v>-</v>
          </cell>
        </row>
        <row r="170">
          <cell r="A170" t="str">
            <v>mandag</v>
          </cell>
          <cell r="E170" t="str">
            <v>-</v>
          </cell>
          <cell r="J170" t="str">
            <v>-</v>
          </cell>
          <cell r="O170" t="str">
            <v>-</v>
          </cell>
          <cell r="T170" t="str">
            <v>-</v>
          </cell>
          <cell r="Y170" t="str">
            <v>-</v>
          </cell>
        </row>
        <row r="171">
          <cell r="A171" t="str">
            <v>tirsdag</v>
          </cell>
          <cell r="E171" t="str">
            <v>-</v>
          </cell>
          <cell r="J171" t="str">
            <v>-</v>
          </cell>
          <cell r="O171" t="str">
            <v>-</v>
          </cell>
          <cell r="T171" t="str">
            <v>-</v>
          </cell>
          <cell r="Y171" t="str">
            <v>-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6" bestFit="1" customWidth="1"/>
    <col min="4" max="4" width="10.90625" style="26" bestFit="1" customWidth="1"/>
    <col min="5" max="5" width="13.54296875" style="26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6" t="s">
        <v>2</v>
      </c>
      <c r="D1" s="26" t="s">
        <v>3</v>
      </c>
      <c r="E1" s="26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2"/>
      <c r="B2" s="113"/>
      <c r="C2" s="116"/>
      <c r="D2" s="116"/>
      <c r="E2" s="116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7"/>
    </row>
    <row r="3" spans="1:19" x14ac:dyDescent="0.35">
      <c r="A3" s="114"/>
      <c r="B3" s="115"/>
      <c r="C3" s="118"/>
      <c r="D3" s="118"/>
      <c r="E3" s="118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9"/>
    </row>
    <row r="4" spans="1:19" x14ac:dyDescent="0.35">
      <c r="A4" s="112"/>
      <c r="B4" s="113"/>
      <c r="C4" s="116"/>
      <c r="D4" s="116"/>
      <c r="E4" s="116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7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6">
        <v>45530</v>
      </c>
      <c r="D84" s="26">
        <v>45533</v>
      </c>
      <c r="E84" s="26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6">
        <v>45543</v>
      </c>
      <c r="D117" s="26">
        <v>45548</v>
      </c>
      <c r="E117" s="26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6">
        <v>45536</v>
      </c>
      <c r="D134" s="26">
        <v>45539</v>
      </c>
      <c r="E134" s="26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6">
        <v>45533</v>
      </c>
      <c r="D141" s="26">
        <v>45536</v>
      </c>
      <c r="E141" s="26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6">
        <v>45544</v>
      </c>
      <c r="D143" s="26">
        <v>45549</v>
      </c>
      <c r="E143" s="26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6">
        <v>45557</v>
      </c>
      <c r="D144" s="26">
        <v>45560</v>
      </c>
      <c r="E144" s="26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6">
        <v>45559</v>
      </c>
      <c r="D145" s="26">
        <v>45563</v>
      </c>
      <c r="E145" s="26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2" activePane="bottomLeft" state="frozen"/>
      <selection pane="bottomLeft" activeCell="E49" sqref="E4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6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4.453125" bestFit="1" customWidth="1"/>
    <col min="14" max="14" width="11.54296875" bestFit="1" customWidth="1"/>
    <col min="16" max="16" width="8.54296875" style="2"/>
    <col min="17" max="17" width="8.54296875" style="2" customWidth="1"/>
    <col min="18" max="18" width="12.54296875" style="6" bestFit="1" customWidth="1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1" t="s">
        <v>40</v>
      </c>
      <c r="D1" s="111" t="s">
        <v>41</v>
      </c>
      <c r="E1" s="111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4" t="s">
        <v>48</v>
      </c>
      <c r="O1" s="3" t="s">
        <v>49</v>
      </c>
      <c r="P1" s="3" t="s">
        <v>32</v>
      </c>
      <c r="Q1" s="3" t="s">
        <v>50</v>
      </c>
      <c r="R1" s="109" t="s">
        <v>51</v>
      </c>
      <c r="S1" s="3" t="s">
        <v>18</v>
      </c>
      <c r="T1" s="3" t="s">
        <v>52</v>
      </c>
    </row>
    <row r="2" spans="1:20" x14ac:dyDescent="0.35">
      <c r="A2" s="150">
        <v>1</v>
      </c>
      <c r="B2" s="113"/>
      <c r="C2" s="116"/>
      <c r="D2" s="116"/>
      <c r="E2" s="116"/>
      <c r="F2" s="113"/>
      <c r="G2" s="113"/>
      <c r="H2" s="113"/>
      <c r="I2" s="134"/>
      <c r="J2" s="113"/>
      <c r="K2" s="113"/>
      <c r="L2" s="113"/>
      <c r="M2" s="113"/>
      <c r="N2" s="113"/>
      <c r="O2" s="113"/>
      <c r="P2" s="134"/>
      <c r="Q2" s="134"/>
      <c r="R2" s="113"/>
      <c r="S2" s="117"/>
    </row>
    <row r="3" spans="1:20" x14ac:dyDescent="0.35">
      <c r="A3" s="151">
        <v>2</v>
      </c>
      <c r="B3" s="115"/>
      <c r="C3" s="118"/>
      <c r="D3" s="118"/>
      <c r="E3" s="118"/>
      <c r="F3" s="115"/>
      <c r="G3" s="115"/>
      <c r="H3" s="115"/>
      <c r="I3" s="135"/>
      <c r="J3" s="115"/>
      <c r="K3" s="115"/>
      <c r="L3" s="115"/>
      <c r="M3" s="115"/>
      <c r="N3" s="115"/>
      <c r="O3" s="115"/>
      <c r="P3" s="135"/>
      <c r="Q3" s="135"/>
      <c r="R3" s="115"/>
      <c r="S3" s="119"/>
    </row>
    <row r="4" spans="1:20" x14ac:dyDescent="0.35">
      <c r="A4" s="150">
        <v>3</v>
      </c>
      <c r="B4" s="113"/>
      <c r="C4" s="116"/>
      <c r="D4" s="116"/>
      <c r="E4" s="116"/>
      <c r="F4" s="113"/>
      <c r="G4" s="113"/>
      <c r="H4" s="113"/>
      <c r="I4" s="134"/>
      <c r="J4" s="113"/>
      <c r="K4" s="113"/>
      <c r="L4" s="113"/>
      <c r="M4" s="113"/>
      <c r="N4" s="113"/>
      <c r="O4" s="113"/>
      <c r="P4" s="134"/>
      <c r="Q4" s="134"/>
      <c r="R4" s="113"/>
      <c r="S4" s="117"/>
      <c r="T4" s="132"/>
    </row>
    <row r="5" spans="1:20" x14ac:dyDescent="0.35">
      <c r="A5" s="151">
        <v>4</v>
      </c>
      <c r="B5" s="115"/>
      <c r="C5" s="118"/>
      <c r="D5" s="118"/>
      <c r="E5" s="118"/>
      <c r="F5" s="115"/>
      <c r="G5" s="115"/>
      <c r="H5" s="115"/>
      <c r="I5" s="135"/>
      <c r="J5" s="115"/>
      <c r="K5" s="115"/>
      <c r="L5" s="115"/>
      <c r="M5" s="115"/>
      <c r="N5" s="115"/>
      <c r="O5" s="115"/>
      <c r="P5" s="135"/>
      <c r="Q5" s="135"/>
      <c r="R5" s="133"/>
      <c r="S5" s="119"/>
    </row>
    <row r="6" spans="1:20" x14ac:dyDescent="0.35">
      <c r="A6" s="150">
        <v>5</v>
      </c>
      <c r="B6" s="113"/>
      <c r="C6" s="116"/>
      <c r="D6" s="116"/>
      <c r="E6" s="116"/>
      <c r="F6" s="113"/>
      <c r="G6" s="113"/>
      <c r="H6" s="113"/>
      <c r="I6" s="134"/>
      <c r="J6" s="113"/>
      <c r="K6" s="113"/>
      <c r="L6" s="113"/>
      <c r="M6" s="113"/>
      <c r="N6" s="113"/>
      <c r="O6" s="113"/>
      <c r="P6" s="134"/>
      <c r="Q6" s="134"/>
      <c r="R6" s="133"/>
      <c r="S6" s="117"/>
    </row>
    <row r="7" spans="1:20" x14ac:dyDescent="0.35">
      <c r="A7" s="150">
        <v>6</v>
      </c>
      <c r="B7" s="127"/>
      <c r="C7" s="130"/>
      <c r="D7" s="130"/>
      <c r="E7" s="130"/>
      <c r="F7" s="127"/>
      <c r="G7" s="2"/>
      <c r="H7" s="2"/>
      <c r="J7" s="129"/>
      <c r="K7" s="129"/>
      <c r="L7" s="129"/>
      <c r="M7" s="131"/>
      <c r="N7" s="2"/>
      <c r="O7" s="2"/>
      <c r="R7" s="110"/>
      <c r="S7" s="2"/>
    </row>
    <row r="8" spans="1:20" x14ac:dyDescent="0.35">
      <c r="A8" s="151">
        <v>7</v>
      </c>
      <c r="B8" s="127"/>
      <c r="C8" s="130"/>
      <c r="D8" s="130"/>
      <c r="E8" s="130"/>
      <c r="F8" s="127"/>
      <c r="G8" s="2"/>
      <c r="H8" s="2"/>
      <c r="J8" s="129"/>
      <c r="K8" s="129"/>
      <c r="L8" s="129"/>
      <c r="M8" s="2"/>
      <c r="N8" s="2"/>
      <c r="O8" s="2"/>
      <c r="R8" s="110"/>
      <c r="S8" s="2"/>
    </row>
    <row r="9" spans="1:20" x14ac:dyDescent="0.35">
      <c r="A9" s="150">
        <v>8</v>
      </c>
      <c r="B9" s="127"/>
      <c r="C9" s="130"/>
      <c r="D9" s="130"/>
      <c r="E9" s="130"/>
      <c r="F9" s="127"/>
      <c r="G9" s="2"/>
      <c r="H9" s="2"/>
      <c r="J9" s="129"/>
      <c r="K9" s="129"/>
      <c r="L9" s="129"/>
      <c r="M9" s="131"/>
      <c r="N9" s="129"/>
      <c r="O9" s="2"/>
      <c r="R9" s="110"/>
      <c r="S9" s="2"/>
    </row>
    <row r="10" spans="1:20" x14ac:dyDescent="0.35">
      <c r="A10" s="150">
        <v>9</v>
      </c>
      <c r="B10" s="127"/>
      <c r="C10" s="130"/>
      <c r="D10" s="130"/>
      <c r="E10" s="130"/>
      <c r="F10" s="127"/>
      <c r="G10" s="2"/>
      <c r="H10" s="2"/>
      <c r="J10" s="129"/>
      <c r="K10" s="129"/>
      <c r="L10" s="129"/>
      <c r="M10" s="131"/>
      <c r="N10" s="129"/>
      <c r="O10" s="2"/>
      <c r="R10" s="110"/>
      <c r="S10" s="127"/>
    </row>
    <row r="11" spans="1:20" x14ac:dyDescent="0.35">
      <c r="A11" s="151">
        <v>10</v>
      </c>
      <c r="B11" s="127"/>
      <c r="C11" s="130"/>
      <c r="D11" s="130"/>
      <c r="E11" s="130"/>
      <c r="F11" s="127"/>
      <c r="G11" s="2"/>
      <c r="H11" s="2"/>
      <c r="J11" s="129"/>
      <c r="K11" s="129"/>
      <c r="L11" s="129"/>
      <c r="M11" s="128"/>
      <c r="N11" s="2"/>
      <c r="O11" s="2"/>
      <c r="R11" s="110"/>
      <c r="S11" s="127"/>
    </row>
    <row r="12" spans="1:20" x14ac:dyDescent="0.35">
      <c r="A12" s="150">
        <v>11</v>
      </c>
      <c r="B12" s="127"/>
      <c r="F12" s="127"/>
      <c r="G12" s="2"/>
      <c r="H12" s="2"/>
      <c r="J12" s="129"/>
      <c r="K12" s="129"/>
      <c r="L12" s="129"/>
      <c r="M12" s="131"/>
      <c r="N12" s="2"/>
      <c r="O12" s="2"/>
      <c r="R12" s="110"/>
      <c r="S12" s="2"/>
    </row>
    <row r="13" spans="1:20" x14ac:dyDescent="0.35">
      <c r="A13" s="150">
        <v>12</v>
      </c>
      <c r="B13" s="127"/>
      <c r="C13" s="130"/>
      <c r="D13" s="130"/>
      <c r="E13" s="130"/>
      <c r="F13" s="127"/>
      <c r="G13" s="2"/>
      <c r="H13" s="2"/>
      <c r="J13" s="129"/>
      <c r="K13" s="129"/>
      <c r="L13" s="129"/>
      <c r="M13" s="128"/>
      <c r="N13" s="2"/>
      <c r="O13" s="2"/>
      <c r="R13" s="110"/>
      <c r="S13" s="127"/>
    </row>
    <row r="14" spans="1:20" x14ac:dyDescent="0.35">
      <c r="A14" s="151">
        <v>13</v>
      </c>
      <c r="F14" s="127"/>
      <c r="M14" s="124"/>
    </row>
    <row r="15" spans="1:20" x14ac:dyDescent="0.35">
      <c r="A15" s="150">
        <v>14</v>
      </c>
      <c r="F15" s="127"/>
      <c r="M15" s="124"/>
    </row>
    <row r="16" spans="1:20" x14ac:dyDescent="0.35">
      <c r="A16" s="150">
        <v>15</v>
      </c>
      <c r="F16" s="127"/>
      <c r="M16" s="124"/>
    </row>
    <row r="17" spans="1:14" x14ac:dyDescent="0.35">
      <c r="A17" s="151">
        <v>16</v>
      </c>
      <c r="M17" s="124"/>
    </row>
    <row r="18" spans="1:14" x14ac:dyDescent="0.35">
      <c r="A18" s="150">
        <v>17</v>
      </c>
      <c r="M18" s="124"/>
    </row>
    <row r="19" spans="1:14" x14ac:dyDescent="0.35">
      <c r="A19" s="150">
        <v>18</v>
      </c>
      <c r="M19" s="124"/>
    </row>
    <row r="20" spans="1:14" x14ac:dyDescent="0.35">
      <c r="A20" s="151">
        <v>19</v>
      </c>
    </row>
    <row r="21" spans="1:14" x14ac:dyDescent="0.35">
      <c r="A21" s="150">
        <v>20</v>
      </c>
    </row>
    <row r="22" spans="1:14" x14ac:dyDescent="0.35">
      <c r="A22" s="150">
        <v>21</v>
      </c>
      <c r="M22" s="124"/>
    </row>
    <row r="23" spans="1:14" x14ac:dyDescent="0.35">
      <c r="A23" s="151">
        <v>22</v>
      </c>
      <c r="M23" s="124"/>
    </row>
    <row r="24" spans="1:14" x14ac:dyDescent="0.35">
      <c r="A24" s="150">
        <v>23</v>
      </c>
    </row>
    <row r="25" spans="1:14" x14ac:dyDescent="0.35">
      <c r="A25" s="150">
        <v>24</v>
      </c>
      <c r="M25" s="124"/>
    </row>
    <row r="26" spans="1:14" x14ac:dyDescent="0.35">
      <c r="A26" s="151">
        <v>25</v>
      </c>
      <c r="M26" s="124"/>
    </row>
    <row r="27" spans="1:14" x14ac:dyDescent="0.35">
      <c r="A27" s="150">
        <v>26</v>
      </c>
      <c r="N27" s="143"/>
    </row>
    <row r="28" spans="1:14" x14ac:dyDescent="0.35">
      <c r="A28" s="150">
        <v>27</v>
      </c>
      <c r="M28" s="124"/>
    </row>
    <row r="29" spans="1:14" x14ac:dyDescent="0.35">
      <c r="A29" s="151">
        <v>28</v>
      </c>
      <c r="M29" s="124"/>
    </row>
    <row r="30" spans="1:14" x14ac:dyDescent="0.35">
      <c r="A30" s="150">
        <v>29</v>
      </c>
      <c r="M30" s="124"/>
    </row>
    <row r="31" spans="1:14" x14ac:dyDescent="0.35">
      <c r="A31" s="150">
        <v>30</v>
      </c>
    </row>
    <row r="32" spans="1:14" x14ac:dyDescent="0.35">
      <c r="A32" s="151">
        <v>31</v>
      </c>
    </row>
    <row r="33" spans="1:13" x14ac:dyDescent="0.35">
      <c r="A33" s="150">
        <v>32</v>
      </c>
    </row>
    <row r="34" spans="1:13" x14ac:dyDescent="0.35">
      <c r="A34" s="150">
        <v>33</v>
      </c>
      <c r="M34" s="124"/>
    </row>
    <row r="35" spans="1:13" x14ac:dyDescent="0.35">
      <c r="A35" s="151">
        <v>34</v>
      </c>
    </row>
    <row r="36" spans="1:13" x14ac:dyDescent="0.35">
      <c r="A36" s="150">
        <v>35</v>
      </c>
    </row>
    <row r="37" spans="1:13" x14ac:dyDescent="0.35">
      <c r="A37" s="150">
        <v>36</v>
      </c>
      <c r="M37" s="124"/>
    </row>
    <row r="38" spans="1:13" x14ac:dyDescent="0.35">
      <c r="A38" s="151">
        <v>37</v>
      </c>
      <c r="M38" s="124"/>
    </row>
    <row r="39" spans="1:13" x14ac:dyDescent="0.35">
      <c r="A39" s="150">
        <v>38</v>
      </c>
      <c r="M39" s="124"/>
    </row>
    <row r="40" spans="1:13" x14ac:dyDescent="0.35">
      <c r="A40" s="2">
        <v>39</v>
      </c>
    </row>
    <row r="41" spans="1:13" x14ac:dyDescent="0.35">
      <c r="A41" s="2">
        <v>40</v>
      </c>
      <c r="M41" s="124"/>
    </row>
    <row r="42" spans="1:13" x14ac:dyDescent="0.35">
      <c r="A42" s="2">
        <v>41</v>
      </c>
      <c r="M42" s="124"/>
    </row>
    <row r="43" spans="1:13" x14ac:dyDescent="0.35">
      <c r="A43" s="2">
        <v>42</v>
      </c>
      <c r="M43" s="124"/>
    </row>
    <row r="44" spans="1:13" x14ac:dyDescent="0.35">
      <c r="A44" s="2">
        <v>43</v>
      </c>
    </row>
    <row r="45" spans="1:13" x14ac:dyDescent="0.35">
      <c r="A45" s="2">
        <v>44</v>
      </c>
    </row>
    <row r="46" spans="1:13" x14ac:dyDescent="0.35">
      <c r="A46" s="2">
        <v>45</v>
      </c>
    </row>
    <row r="47" spans="1:13" x14ac:dyDescent="0.35">
      <c r="A47" s="2">
        <v>46</v>
      </c>
      <c r="M47" s="124"/>
    </row>
    <row r="48" spans="1:13" x14ac:dyDescent="0.35">
      <c r="A48" s="2">
        <v>47</v>
      </c>
    </row>
    <row r="49" spans="1:13" x14ac:dyDescent="0.35">
      <c r="A49" s="2">
        <v>48</v>
      </c>
      <c r="M49" s="124"/>
    </row>
    <row r="50" spans="1:13" x14ac:dyDescent="0.35">
      <c r="A50" s="2">
        <v>49</v>
      </c>
      <c r="M50" s="124"/>
    </row>
    <row r="51" spans="1:13" x14ac:dyDescent="0.35">
      <c r="A51" s="2">
        <v>50</v>
      </c>
    </row>
    <row r="52" spans="1:13" x14ac:dyDescent="0.35">
      <c r="A52" s="2">
        <v>51</v>
      </c>
      <c r="M52" s="124"/>
    </row>
    <row r="53" spans="1:13" x14ac:dyDescent="0.35">
      <c r="A53" s="2">
        <v>52</v>
      </c>
      <c r="M53" s="124"/>
    </row>
    <row r="54" spans="1:13" x14ac:dyDescent="0.35">
      <c r="A54" s="2">
        <v>53</v>
      </c>
    </row>
    <row r="55" spans="1:13" x14ac:dyDescent="0.35">
      <c r="A55" s="2">
        <v>54</v>
      </c>
      <c r="M55" s="124"/>
    </row>
    <row r="56" spans="1:13" x14ac:dyDescent="0.35">
      <c r="A56" s="2">
        <v>55</v>
      </c>
      <c r="M56" s="124"/>
    </row>
    <row r="57" spans="1:13" x14ac:dyDescent="0.35">
      <c r="A57" s="2">
        <v>56</v>
      </c>
      <c r="M57" s="124"/>
    </row>
    <row r="58" spans="1:13" x14ac:dyDescent="0.35">
      <c r="A58" s="2">
        <v>57</v>
      </c>
    </row>
    <row r="59" spans="1:13" x14ac:dyDescent="0.35">
      <c r="A59" s="2">
        <v>58</v>
      </c>
      <c r="M59" s="124"/>
    </row>
    <row r="60" spans="1:13" x14ac:dyDescent="0.35">
      <c r="A60" s="2">
        <v>59</v>
      </c>
      <c r="M60" s="124"/>
    </row>
    <row r="61" spans="1:13" x14ac:dyDescent="0.35">
      <c r="A61" s="2">
        <v>60</v>
      </c>
    </row>
    <row r="62" spans="1:13" x14ac:dyDescent="0.35">
      <c r="A62" s="2">
        <v>61</v>
      </c>
      <c r="M62" s="124"/>
    </row>
    <row r="63" spans="1:13" x14ac:dyDescent="0.35">
      <c r="A63" s="2">
        <v>62</v>
      </c>
    </row>
    <row r="64" spans="1:13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9"/>
  <sheetViews>
    <sheetView topLeftCell="D1" workbookViewId="0">
      <pane ySplit="1" topLeftCell="A188" activePane="bottomLeft" state="frozen"/>
      <selection pane="bottomLeft" activeCell="F198" sqref="F198"/>
    </sheetView>
  </sheetViews>
  <sheetFormatPr defaultRowHeight="14.5" x14ac:dyDescent="0.35"/>
  <cols>
    <col min="1" max="1" width="6.54296875" bestFit="1" customWidth="1"/>
    <col min="2" max="2" width="8.54296875" style="26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73" width="3.54296875" customWidth="1"/>
  </cols>
  <sheetData>
    <row r="1" spans="1:73" x14ac:dyDescent="0.35">
      <c r="A1" t="str">
        <f>Database!A1</f>
        <v>book nr</v>
      </c>
      <c r="B1" s="26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46384</v>
      </c>
      <c r="L1" s="5">
        <v>46391</v>
      </c>
      <c r="M1" s="5">
        <v>46398</v>
      </c>
      <c r="N1" s="5">
        <v>46405</v>
      </c>
      <c r="O1" s="5">
        <v>46412</v>
      </c>
      <c r="P1" s="5">
        <v>46419</v>
      </c>
      <c r="Q1" s="5">
        <v>46426</v>
      </c>
      <c r="R1" s="5">
        <v>46433</v>
      </c>
      <c r="S1" s="5">
        <v>46440</v>
      </c>
      <c r="T1" s="5">
        <v>46447</v>
      </c>
      <c r="U1" s="5">
        <v>46454</v>
      </c>
      <c r="V1" s="5">
        <v>46461</v>
      </c>
      <c r="W1" s="5">
        <v>46468</v>
      </c>
      <c r="X1" s="5">
        <v>46475</v>
      </c>
      <c r="Y1" s="5">
        <v>46482</v>
      </c>
      <c r="Z1" s="5">
        <v>46489</v>
      </c>
      <c r="AA1" s="5">
        <v>46496</v>
      </c>
      <c r="AB1" s="5">
        <v>46503</v>
      </c>
      <c r="AC1" s="5">
        <v>46510</v>
      </c>
      <c r="AD1" s="5">
        <v>46517</v>
      </c>
      <c r="AE1" s="5">
        <v>46524</v>
      </c>
      <c r="AF1" s="5">
        <v>46531</v>
      </c>
      <c r="AG1" s="5">
        <v>46538</v>
      </c>
      <c r="AH1" s="5">
        <v>46545</v>
      </c>
      <c r="AI1" s="5">
        <v>46552</v>
      </c>
      <c r="AJ1" s="5">
        <v>46559</v>
      </c>
      <c r="AK1" s="5">
        <v>46566</v>
      </c>
      <c r="AL1" s="5">
        <v>46573</v>
      </c>
      <c r="AM1" s="5">
        <v>46580</v>
      </c>
      <c r="AN1" s="5">
        <v>46587</v>
      </c>
      <c r="AO1" s="5">
        <v>46594</v>
      </c>
      <c r="AP1" s="5">
        <v>46601</v>
      </c>
      <c r="AQ1" s="5">
        <v>46608</v>
      </c>
      <c r="AR1" s="5">
        <v>46615</v>
      </c>
      <c r="AS1" s="5">
        <v>46622</v>
      </c>
      <c r="AT1" s="5">
        <v>46629</v>
      </c>
      <c r="AU1" s="5">
        <v>46636</v>
      </c>
      <c r="AV1" s="5">
        <v>46643</v>
      </c>
      <c r="AW1" s="5">
        <v>46650</v>
      </c>
      <c r="AX1" s="5">
        <v>46657</v>
      </c>
      <c r="AZ1" t="s">
        <v>61</v>
      </c>
      <c r="BB1" s="47" t="s">
        <v>53</v>
      </c>
      <c r="BC1" s="47" t="s">
        <v>53</v>
      </c>
      <c r="BD1" s="47" t="s">
        <v>54</v>
      </c>
      <c r="BE1" s="47" t="s">
        <v>54</v>
      </c>
      <c r="BF1" s="47" t="s">
        <v>20</v>
      </c>
      <c r="BG1" s="47" t="s">
        <v>20</v>
      </c>
      <c r="BH1" s="47" t="s">
        <v>31</v>
      </c>
      <c r="BI1" s="47" t="s">
        <v>31</v>
      </c>
      <c r="BJ1" s="47" t="s">
        <v>62</v>
      </c>
      <c r="BK1" s="47" t="s">
        <v>62</v>
      </c>
      <c r="BL1" s="47" t="s">
        <v>63</v>
      </c>
      <c r="BM1" s="47" t="s">
        <v>63</v>
      </c>
      <c r="BN1" s="2" t="str">
        <f>BJ202</f>
        <v>PL</v>
      </c>
      <c r="BO1" s="2" t="str">
        <f>BN1</f>
        <v>PL</v>
      </c>
      <c r="BP1" s="2" t="str">
        <f>BK202</f>
        <v>I</v>
      </c>
      <c r="BQ1" s="2" t="str">
        <f>BP1</f>
        <v>I</v>
      </c>
      <c r="BR1" s="2" t="str">
        <f>BL202</f>
        <v>CH</v>
      </c>
      <c r="BS1" s="2" t="str">
        <f>BR1</f>
        <v>CH</v>
      </c>
      <c r="BT1" s="2">
        <f>BM202</f>
        <v>0</v>
      </c>
      <c r="BU1" s="2">
        <f>BT1</f>
        <v>0</v>
      </c>
    </row>
    <row r="2" spans="1:73" x14ac:dyDescent="0.35">
      <c r="A2">
        <f>Database!A2</f>
        <v>1</v>
      </c>
      <c r="B2" s="26">
        <f>Database!E2</f>
        <v>0</v>
      </c>
      <c r="C2">
        <f>IF(Database!G2="cansl",0,Database!K2)</f>
        <v>0</v>
      </c>
      <c r="D2">
        <f>Database!D2-Database!C2</f>
        <v>0</v>
      </c>
      <c r="F2">
        <f>Database!L2</f>
        <v>0</v>
      </c>
      <c r="G2">
        <f>Database!F2</f>
        <v>0</v>
      </c>
      <c r="K2">
        <f t="shared" ref="K2:K33" si="0">IF(B2&lt;$K$1,C2*D2,0)</f>
        <v>0</v>
      </c>
      <c r="L2">
        <f t="shared" ref="L2:L33" si="1">IF(B2&lt;$L$1,C2*D2,0)</f>
        <v>0</v>
      </c>
      <c r="M2">
        <f t="shared" ref="M2:AX2" si="2">IF($B2&lt;M$1,$C2*$D2,0)</f>
        <v>0</v>
      </c>
      <c r="N2">
        <f t="shared" si="2"/>
        <v>0</v>
      </c>
      <c r="O2">
        <f t="shared" si="2"/>
        <v>0</v>
      </c>
      <c r="P2">
        <f t="shared" si="2"/>
        <v>0</v>
      </c>
      <c r="Q2">
        <f t="shared" si="2"/>
        <v>0</v>
      </c>
      <c r="R2">
        <f t="shared" si="2"/>
        <v>0</v>
      </c>
      <c r="S2">
        <f t="shared" si="2"/>
        <v>0</v>
      </c>
      <c r="T2">
        <f t="shared" si="2"/>
        <v>0</v>
      </c>
      <c r="U2">
        <f t="shared" si="2"/>
        <v>0</v>
      </c>
      <c r="V2">
        <f t="shared" si="2"/>
        <v>0</v>
      </c>
      <c r="W2">
        <f t="shared" si="2"/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  <c r="AL2">
        <f t="shared" si="2"/>
        <v>0</v>
      </c>
      <c r="AM2">
        <f t="shared" si="2"/>
        <v>0</v>
      </c>
      <c r="AN2">
        <f t="shared" si="2"/>
        <v>0</v>
      </c>
      <c r="AO2">
        <f t="shared" si="2"/>
        <v>0</v>
      </c>
      <c r="AP2">
        <f t="shared" si="2"/>
        <v>0</v>
      </c>
      <c r="AQ2">
        <f t="shared" si="2"/>
        <v>0</v>
      </c>
      <c r="AR2">
        <f t="shared" si="2"/>
        <v>0</v>
      </c>
      <c r="AS2">
        <f t="shared" si="2"/>
        <v>0</v>
      </c>
      <c r="AT2">
        <f t="shared" si="2"/>
        <v>0</v>
      </c>
      <c r="AU2">
        <f t="shared" si="2"/>
        <v>0</v>
      </c>
      <c r="AV2">
        <f t="shared" si="2"/>
        <v>0</v>
      </c>
      <c r="AW2">
        <f t="shared" si="2"/>
        <v>0</v>
      </c>
      <c r="AX2">
        <f t="shared" si="2"/>
        <v>0</v>
      </c>
      <c r="BB2" s="36">
        <f>IF(AND($D2&gt;0,$G2=BB$1),$F2,0)</f>
        <v>0</v>
      </c>
      <c r="BC2" s="36">
        <f>IF(AND($D2&gt;0,$G2=BC$1),$D2,0)</f>
        <v>0</v>
      </c>
      <c r="BD2" s="36">
        <f>IF(AND($D2&gt;0,$G2=BD$1),$F2,0)</f>
        <v>0</v>
      </c>
      <c r="BE2" s="36">
        <f>IF(AND($D2&gt;0,$G2=BE$1),$D2,0)</f>
        <v>0</v>
      </c>
      <c r="BF2" s="36">
        <f>IF(AND($D2&gt;0,$G2=BF$1),$F2,0)</f>
        <v>0</v>
      </c>
      <c r="BG2" s="36">
        <f>IF(AND($D2&gt;0,$G2=BG$1),$D2,0)</f>
        <v>0</v>
      </c>
      <c r="BH2" s="36">
        <f>IF(AND($D2&gt;0,$G2=BH$1),$F2,0)</f>
        <v>0</v>
      </c>
      <c r="BI2" s="36">
        <f>IF(AND($D2&gt;0,$G2=BI$1),$D2,0)</f>
        <v>0</v>
      </c>
      <c r="BJ2" s="36">
        <f>IF(AND($D2&gt;0,$G2=BJ$1),$F2,0)</f>
        <v>0</v>
      </c>
      <c r="BK2" s="36">
        <f>IF(AND($D2&gt;0,$G2=BK$1),$D2,0)</f>
        <v>0</v>
      </c>
      <c r="BL2" s="36">
        <f>BN2+BP2+BR2+BT2</f>
        <v>0</v>
      </c>
      <c r="BM2" s="36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6">
        <f>Database!E3</f>
        <v>0</v>
      </c>
      <c r="C3">
        <f>IF(Database!G3="cansl",0,Database!K3)</f>
        <v>0</v>
      </c>
      <c r="D3">
        <f>Database!D3-Database!C3</f>
        <v>0</v>
      </c>
      <c r="F3">
        <f>Database!L3</f>
        <v>0</v>
      </c>
      <c r="G3">
        <f>Database!F3</f>
        <v>0</v>
      </c>
      <c r="K3">
        <f t="shared" si="0"/>
        <v>0</v>
      </c>
      <c r="L3">
        <f t="shared" si="1"/>
        <v>0</v>
      </c>
      <c r="M3">
        <f t="shared" ref="M3:M34" si="9">IF(B3&lt;$L$1,C3*D3,0)</f>
        <v>0</v>
      </c>
      <c r="N3">
        <f t="shared" ref="N3:W12" si="10">IF($B3&lt;N$1,$C3*$D3,0)</f>
        <v>0</v>
      </c>
      <c r="O3">
        <f t="shared" si="10"/>
        <v>0</v>
      </c>
      <c r="P3">
        <f t="shared" si="10"/>
        <v>0</v>
      </c>
      <c r="Q3">
        <f t="shared" si="10"/>
        <v>0</v>
      </c>
      <c r="R3">
        <f t="shared" si="10"/>
        <v>0</v>
      </c>
      <c r="S3">
        <f t="shared" si="10"/>
        <v>0</v>
      </c>
      <c r="T3">
        <f t="shared" si="10"/>
        <v>0</v>
      </c>
      <c r="U3">
        <f t="shared" si="10"/>
        <v>0</v>
      </c>
      <c r="V3">
        <f t="shared" si="10"/>
        <v>0</v>
      </c>
      <c r="W3">
        <f t="shared" si="10"/>
        <v>0</v>
      </c>
      <c r="X3">
        <f t="shared" ref="X3:AG12" si="11">IF($B3&lt;X$1,$C3*$D3,0)</f>
        <v>0</v>
      </c>
      <c r="Y3">
        <f t="shared" si="11"/>
        <v>0</v>
      </c>
      <c r="Z3">
        <f t="shared" si="11"/>
        <v>0</v>
      </c>
      <c r="AA3">
        <f t="shared" si="11"/>
        <v>0</v>
      </c>
      <c r="AB3">
        <f t="shared" si="11"/>
        <v>0</v>
      </c>
      <c r="AC3">
        <f t="shared" si="11"/>
        <v>0</v>
      </c>
      <c r="AD3">
        <f t="shared" si="11"/>
        <v>0</v>
      </c>
      <c r="AE3">
        <f t="shared" si="11"/>
        <v>0</v>
      </c>
      <c r="AF3">
        <f t="shared" si="11"/>
        <v>0</v>
      </c>
      <c r="AG3">
        <f t="shared" si="11"/>
        <v>0</v>
      </c>
      <c r="AH3">
        <f t="shared" ref="AH3:AQ12" si="12">IF($B3&lt;AH$1,$C3*$D3,0)</f>
        <v>0</v>
      </c>
      <c r="AI3">
        <f t="shared" si="12"/>
        <v>0</v>
      </c>
      <c r="AJ3">
        <f t="shared" si="12"/>
        <v>0</v>
      </c>
      <c r="AK3">
        <f t="shared" si="12"/>
        <v>0</v>
      </c>
      <c r="AL3">
        <f t="shared" si="12"/>
        <v>0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</v>
      </c>
      <c r="AQ3">
        <f t="shared" si="12"/>
        <v>0</v>
      </c>
      <c r="AR3">
        <f t="shared" ref="AR3:AX12" si="13">IF($B3&lt;AR$1,$C3*$D3,0)</f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BB3" s="36">
        <f>IF(AND($D3&gt;0,$G3=BB$1),$F3,0)</f>
        <v>0</v>
      </c>
      <c r="BC3" s="36">
        <f>IF(AND($D3&gt;0,$G3=BC$1),$D3,0)</f>
        <v>0</v>
      </c>
      <c r="BD3" s="36">
        <f>IF(AND($D3&gt;0,$G3=BD$1),$F3,0)</f>
        <v>0</v>
      </c>
      <c r="BE3" s="36">
        <f>IF(AND($D3&gt;0,$G3=BE$1),$D3,0)</f>
        <v>0</v>
      </c>
      <c r="BF3" s="36">
        <f>IF(AND($D3&gt;0,$G3=BF$1),$F3,0)</f>
        <v>0</v>
      </c>
      <c r="BG3" s="36">
        <f>IF(AND($D3&gt;0,$G3=BG$1),$D3,0)</f>
        <v>0</v>
      </c>
      <c r="BH3" s="36">
        <f>IF(AND($D3&gt;0,$G3=BH$1),$F3,0)</f>
        <v>0</v>
      </c>
      <c r="BI3" s="36">
        <f>IF(AND($D3&gt;0,$G3=BI$1),$D3,0)</f>
        <v>0</v>
      </c>
      <c r="BJ3" s="36">
        <f>IF(AND($D3&gt;0,$G3=BJ$1),$F3,0)</f>
        <v>0</v>
      </c>
      <c r="BK3" s="36">
        <f>IF(AND($D3&gt;0,$G3=BK$1),$D3,0)</f>
        <v>0</v>
      </c>
      <c r="BL3" s="36">
        <f>BN3+BP3+BR3+BT3</f>
        <v>0</v>
      </c>
      <c r="BM3" s="36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6">
        <f>Database!E4</f>
        <v>0</v>
      </c>
      <c r="C4">
        <f>IF(Database!G4="cansl",0,Database!K4)</f>
        <v>0</v>
      </c>
      <c r="D4">
        <f>Database!D4-Database!C4</f>
        <v>0</v>
      </c>
      <c r="F4">
        <f>Database!L4</f>
        <v>0</v>
      </c>
      <c r="G4">
        <f>Database!F4</f>
        <v>0</v>
      </c>
      <c r="K4">
        <f t="shared" si="0"/>
        <v>0</v>
      </c>
      <c r="L4">
        <f t="shared" si="1"/>
        <v>0</v>
      </c>
      <c r="M4">
        <f t="shared" si="9"/>
        <v>0</v>
      </c>
      <c r="N4">
        <f t="shared" si="10"/>
        <v>0</v>
      </c>
      <c r="O4">
        <f t="shared" si="10"/>
        <v>0</v>
      </c>
      <c r="P4">
        <f t="shared" si="10"/>
        <v>0</v>
      </c>
      <c r="Q4">
        <f t="shared" si="10"/>
        <v>0</v>
      </c>
      <c r="R4">
        <f t="shared" si="10"/>
        <v>0</v>
      </c>
      <c r="S4">
        <f t="shared" si="10"/>
        <v>0</v>
      </c>
      <c r="T4">
        <f t="shared" si="10"/>
        <v>0</v>
      </c>
      <c r="U4">
        <f t="shared" si="10"/>
        <v>0</v>
      </c>
      <c r="V4">
        <f t="shared" si="10"/>
        <v>0</v>
      </c>
      <c r="W4">
        <f t="shared" si="10"/>
        <v>0</v>
      </c>
      <c r="X4">
        <f t="shared" si="11"/>
        <v>0</v>
      </c>
      <c r="Y4">
        <f t="shared" si="11"/>
        <v>0</v>
      </c>
      <c r="Z4">
        <f t="shared" si="11"/>
        <v>0</v>
      </c>
      <c r="AA4">
        <f t="shared" si="11"/>
        <v>0</v>
      </c>
      <c r="AB4">
        <f t="shared" si="11"/>
        <v>0</v>
      </c>
      <c r="AC4">
        <f t="shared" si="11"/>
        <v>0</v>
      </c>
      <c r="AD4">
        <f t="shared" si="11"/>
        <v>0</v>
      </c>
      <c r="AE4">
        <f t="shared" si="11"/>
        <v>0</v>
      </c>
      <c r="AF4">
        <f t="shared" si="11"/>
        <v>0</v>
      </c>
      <c r="AG4">
        <f t="shared" si="11"/>
        <v>0</v>
      </c>
      <c r="AH4">
        <f t="shared" si="12"/>
        <v>0</v>
      </c>
      <c r="AI4">
        <f t="shared" si="12"/>
        <v>0</v>
      </c>
      <c r="AJ4">
        <f t="shared" si="12"/>
        <v>0</v>
      </c>
      <c r="AK4">
        <f t="shared" si="12"/>
        <v>0</v>
      </c>
      <c r="AL4">
        <f t="shared" si="12"/>
        <v>0</v>
      </c>
      <c r="AM4">
        <f t="shared" si="12"/>
        <v>0</v>
      </c>
      <c r="AN4">
        <f t="shared" si="12"/>
        <v>0</v>
      </c>
      <c r="AO4">
        <f t="shared" si="12"/>
        <v>0</v>
      </c>
      <c r="AP4">
        <f t="shared" si="12"/>
        <v>0</v>
      </c>
      <c r="AQ4">
        <f t="shared" si="12"/>
        <v>0</v>
      </c>
      <c r="AR4">
        <f t="shared" si="13"/>
        <v>0</v>
      </c>
      <c r="AS4">
        <f t="shared" si="13"/>
        <v>0</v>
      </c>
      <c r="AT4">
        <f t="shared" si="13"/>
        <v>0</v>
      </c>
      <c r="AU4">
        <f t="shared" si="13"/>
        <v>0</v>
      </c>
      <c r="AV4">
        <f t="shared" si="13"/>
        <v>0</v>
      </c>
      <c r="AW4">
        <f t="shared" si="13"/>
        <v>0</v>
      </c>
      <c r="AX4">
        <f t="shared" si="13"/>
        <v>0</v>
      </c>
      <c r="BB4" s="36">
        <f t="shared" ref="BB4:BB67" si="14">IF(AND($D4&gt;0,$G4=BB$1),$F4,0)</f>
        <v>0</v>
      </c>
      <c r="BC4" s="36">
        <f t="shared" ref="BC4:BC67" si="15">IF(AND($D4&gt;0,$G4=BC$1),$D4,0)</f>
        <v>0</v>
      </c>
      <c r="BD4" s="36">
        <f t="shared" ref="BD4:BD67" si="16">IF(AND($D4&gt;0,$G4=BD$1),$F4,0)</f>
        <v>0</v>
      </c>
      <c r="BE4" s="36">
        <f t="shared" ref="BE4:BE67" si="17">IF(AND($D4&gt;0,$G4=BE$1),$D4,0)</f>
        <v>0</v>
      </c>
      <c r="BF4" s="36">
        <f t="shared" ref="BF4:BF67" si="18">IF(AND($D4&gt;0,$G4=BF$1),$F4,0)</f>
        <v>0</v>
      </c>
      <c r="BG4" s="36">
        <f t="shared" ref="BG4:BG67" si="19">IF(AND($D4&gt;0,$G4=BG$1),$D4,0)</f>
        <v>0</v>
      </c>
      <c r="BH4" s="36">
        <f t="shared" ref="BH4:BH67" si="20">IF(AND($D4&gt;0,$G4=BH$1),$F4,0)</f>
        <v>0</v>
      </c>
      <c r="BI4" s="36">
        <f t="shared" ref="BI4:BI67" si="21">IF(AND($D4&gt;0,$G4=BI$1),$D4,0)</f>
        <v>0</v>
      </c>
      <c r="BJ4" s="36">
        <f t="shared" ref="BJ4:BJ67" si="22">IF(AND($D4&gt;0,$G4=BJ$1),$F4,0)</f>
        <v>0</v>
      </c>
      <c r="BK4" s="36">
        <f t="shared" ref="BK4:BK67" si="23">IF(AND($D4&gt;0,$G4=BK$1),$D4,0)</f>
        <v>0</v>
      </c>
      <c r="BL4" s="36">
        <f t="shared" ref="BL4:BL67" si="24">BN4+BP4+BR4+BT4</f>
        <v>0</v>
      </c>
      <c r="BM4" s="36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6">
        <f>Database!E5</f>
        <v>0</v>
      </c>
      <c r="C5">
        <f>IF(Database!G5="cansl",0,Database!K5)</f>
        <v>0</v>
      </c>
      <c r="D5">
        <f>Database!D5-Database!C5</f>
        <v>0</v>
      </c>
      <c r="F5">
        <f>Database!L5</f>
        <v>0</v>
      </c>
      <c r="G5">
        <f>Database!F5</f>
        <v>0</v>
      </c>
      <c r="K5">
        <f t="shared" si="0"/>
        <v>0</v>
      </c>
      <c r="L5">
        <f t="shared" si="1"/>
        <v>0</v>
      </c>
      <c r="M5">
        <f t="shared" si="9"/>
        <v>0</v>
      </c>
      <c r="N5">
        <f t="shared" si="10"/>
        <v>0</v>
      </c>
      <c r="O5">
        <f t="shared" si="10"/>
        <v>0</v>
      </c>
      <c r="P5">
        <f t="shared" si="10"/>
        <v>0</v>
      </c>
      <c r="Q5">
        <f t="shared" si="10"/>
        <v>0</v>
      </c>
      <c r="R5">
        <f t="shared" si="10"/>
        <v>0</v>
      </c>
      <c r="S5">
        <f t="shared" si="10"/>
        <v>0</v>
      </c>
      <c r="T5">
        <f t="shared" si="10"/>
        <v>0</v>
      </c>
      <c r="U5">
        <f t="shared" si="10"/>
        <v>0</v>
      </c>
      <c r="V5">
        <f t="shared" si="10"/>
        <v>0</v>
      </c>
      <c r="W5">
        <f t="shared" si="10"/>
        <v>0</v>
      </c>
      <c r="X5">
        <f t="shared" si="11"/>
        <v>0</v>
      </c>
      <c r="Y5">
        <f t="shared" si="11"/>
        <v>0</v>
      </c>
      <c r="Z5">
        <f t="shared" si="11"/>
        <v>0</v>
      </c>
      <c r="AA5">
        <f t="shared" si="11"/>
        <v>0</v>
      </c>
      <c r="AB5">
        <f t="shared" si="11"/>
        <v>0</v>
      </c>
      <c r="AC5">
        <f t="shared" si="11"/>
        <v>0</v>
      </c>
      <c r="AD5">
        <f t="shared" si="11"/>
        <v>0</v>
      </c>
      <c r="AE5">
        <f t="shared" si="11"/>
        <v>0</v>
      </c>
      <c r="AF5">
        <f t="shared" si="11"/>
        <v>0</v>
      </c>
      <c r="AG5">
        <f t="shared" si="11"/>
        <v>0</v>
      </c>
      <c r="AH5">
        <f t="shared" si="12"/>
        <v>0</v>
      </c>
      <c r="AI5">
        <f t="shared" si="12"/>
        <v>0</v>
      </c>
      <c r="AJ5">
        <f t="shared" si="12"/>
        <v>0</v>
      </c>
      <c r="AK5">
        <f t="shared" si="12"/>
        <v>0</v>
      </c>
      <c r="AL5">
        <f t="shared" si="12"/>
        <v>0</v>
      </c>
      <c r="AM5">
        <f t="shared" si="12"/>
        <v>0</v>
      </c>
      <c r="AN5">
        <f t="shared" si="12"/>
        <v>0</v>
      </c>
      <c r="AO5">
        <f t="shared" si="12"/>
        <v>0</v>
      </c>
      <c r="AP5">
        <f t="shared" si="12"/>
        <v>0</v>
      </c>
      <c r="AQ5">
        <f t="shared" si="12"/>
        <v>0</v>
      </c>
      <c r="AR5">
        <f t="shared" si="13"/>
        <v>0</v>
      </c>
      <c r="AS5">
        <f t="shared" si="13"/>
        <v>0</v>
      </c>
      <c r="AT5">
        <f t="shared" si="13"/>
        <v>0</v>
      </c>
      <c r="AU5">
        <f t="shared" si="13"/>
        <v>0</v>
      </c>
      <c r="AV5">
        <f t="shared" si="13"/>
        <v>0</v>
      </c>
      <c r="AW5">
        <f t="shared" si="13"/>
        <v>0</v>
      </c>
      <c r="AX5">
        <f t="shared" si="13"/>
        <v>0</v>
      </c>
      <c r="BB5" s="36">
        <f t="shared" si="14"/>
        <v>0</v>
      </c>
      <c r="BC5" s="36">
        <f t="shared" si="15"/>
        <v>0</v>
      </c>
      <c r="BD5" s="36">
        <f t="shared" si="16"/>
        <v>0</v>
      </c>
      <c r="BE5" s="36">
        <f t="shared" si="17"/>
        <v>0</v>
      </c>
      <c r="BF5" s="36">
        <f t="shared" si="18"/>
        <v>0</v>
      </c>
      <c r="BG5" s="36">
        <f t="shared" si="19"/>
        <v>0</v>
      </c>
      <c r="BH5" s="36">
        <f t="shared" si="20"/>
        <v>0</v>
      </c>
      <c r="BI5" s="36">
        <f t="shared" si="21"/>
        <v>0</v>
      </c>
      <c r="BJ5" s="36">
        <f t="shared" si="22"/>
        <v>0</v>
      </c>
      <c r="BK5" s="36">
        <f t="shared" si="23"/>
        <v>0</v>
      </c>
      <c r="BL5" s="36">
        <f t="shared" si="24"/>
        <v>0</v>
      </c>
      <c r="BM5" s="36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6">
        <f>Database!E6</f>
        <v>0</v>
      </c>
      <c r="C6">
        <f>IF(Database!G6="cansl",0,Database!K6)</f>
        <v>0</v>
      </c>
      <c r="D6">
        <f>Database!D6-Database!C6</f>
        <v>0</v>
      </c>
      <c r="F6">
        <f>Database!L6</f>
        <v>0</v>
      </c>
      <c r="G6">
        <f>Database!F6</f>
        <v>0</v>
      </c>
      <c r="K6">
        <f t="shared" si="0"/>
        <v>0</v>
      </c>
      <c r="L6">
        <f t="shared" si="1"/>
        <v>0</v>
      </c>
      <c r="M6">
        <f t="shared" si="9"/>
        <v>0</v>
      </c>
      <c r="N6">
        <f t="shared" si="10"/>
        <v>0</v>
      </c>
      <c r="O6">
        <f t="shared" si="10"/>
        <v>0</v>
      </c>
      <c r="P6">
        <f t="shared" si="10"/>
        <v>0</v>
      </c>
      <c r="Q6">
        <f t="shared" si="10"/>
        <v>0</v>
      </c>
      <c r="R6">
        <f t="shared" si="10"/>
        <v>0</v>
      </c>
      <c r="S6">
        <f t="shared" si="10"/>
        <v>0</v>
      </c>
      <c r="T6">
        <f t="shared" si="10"/>
        <v>0</v>
      </c>
      <c r="U6">
        <f t="shared" si="10"/>
        <v>0</v>
      </c>
      <c r="V6">
        <f t="shared" si="10"/>
        <v>0</v>
      </c>
      <c r="W6">
        <f t="shared" si="10"/>
        <v>0</v>
      </c>
      <c r="X6">
        <f t="shared" si="11"/>
        <v>0</v>
      </c>
      <c r="Y6">
        <f t="shared" si="11"/>
        <v>0</v>
      </c>
      <c r="Z6">
        <f t="shared" si="11"/>
        <v>0</v>
      </c>
      <c r="AA6">
        <f t="shared" si="11"/>
        <v>0</v>
      </c>
      <c r="AB6">
        <f t="shared" si="11"/>
        <v>0</v>
      </c>
      <c r="AC6">
        <f t="shared" si="11"/>
        <v>0</v>
      </c>
      <c r="AD6">
        <f t="shared" si="11"/>
        <v>0</v>
      </c>
      <c r="AE6">
        <f t="shared" si="11"/>
        <v>0</v>
      </c>
      <c r="AF6">
        <f t="shared" si="11"/>
        <v>0</v>
      </c>
      <c r="AG6">
        <f t="shared" si="11"/>
        <v>0</v>
      </c>
      <c r="AH6">
        <f t="shared" si="12"/>
        <v>0</v>
      </c>
      <c r="AI6">
        <f t="shared" si="12"/>
        <v>0</v>
      </c>
      <c r="AJ6">
        <f t="shared" si="12"/>
        <v>0</v>
      </c>
      <c r="AK6">
        <f t="shared" si="12"/>
        <v>0</v>
      </c>
      <c r="AL6">
        <f t="shared" si="12"/>
        <v>0</v>
      </c>
      <c r="AM6">
        <f t="shared" si="12"/>
        <v>0</v>
      </c>
      <c r="AN6">
        <f t="shared" si="12"/>
        <v>0</v>
      </c>
      <c r="AO6">
        <f t="shared" si="12"/>
        <v>0</v>
      </c>
      <c r="AP6">
        <f t="shared" si="12"/>
        <v>0</v>
      </c>
      <c r="AQ6">
        <f t="shared" si="12"/>
        <v>0</v>
      </c>
      <c r="AR6">
        <f t="shared" si="13"/>
        <v>0</v>
      </c>
      <c r="AS6">
        <f t="shared" si="13"/>
        <v>0</v>
      </c>
      <c r="AT6">
        <f t="shared" si="13"/>
        <v>0</v>
      </c>
      <c r="AU6">
        <f t="shared" si="13"/>
        <v>0</v>
      </c>
      <c r="AV6">
        <f t="shared" si="13"/>
        <v>0</v>
      </c>
      <c r="AW6">
        <f t="shared" si="13"/>
        <v>0</v>
      </c>
      <c r="AX6">
        <f t="shared" si="13"/>
        <v>0</v>
      </c>
      <c r="BB6" s="36">
        <f t="shared" si="14"/>
        <v>0</v>
      </c>
      <c r="BC6" s="36">
        <f t="shared" si="15"/>
        <v>0</v>
      </c>
      <c r="BD6" s="36">
        <f t="shared" si="16"/>
        <v>0</v>
      </c>
      <c r="BE6" s="36">
        <f t="shared" si="17"/>
        <v>0</v>
      </c>
      <c r="BF6" s="36">
        <f t="shared" si="18"/>
        <v>0</v>
      </c>
      <c r="BG6" s="36">
        <f t="shared" si="19"/>
        <v>0</v>
      </c>
      <c r="BH6" s="36">
        <f t="shared" si="20"/>
        <v>0</v>
      </c>
      <c r="BI6" s="36">
        <f t="shared" si="21"/>
        <v>0</v>
      </c>
      <c r="BJ6" s="36">
        <f t="shared" si="22"/>
        <v>0</v>
      </c>
      <c r="BK6" s="36">
        <f t="shared" si="23"/>
        <v>0</v>
      </c>
      <c r="BL6" s="36">
        <f t="shared" si="24"/>
        <v>0</v>
      </c>
      <c r="BM6" s="36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6">
        <f>Database!E7</f>
        <v>0</v>
      </c>
      <c r="C7">
        <f>IF(Database!G7="cansl",0,Database!K7)</f>
        <v>0</v>
      </c>
      <c r="D7">
        <f>Database!D7-Database!C7</f>
        <v>0</v>
      </c>
      <c r="F7">
        <f>Database!L7</f>
        <v>0</v>
      </c>
      <c r="G7">
        <f>Database!F7</f>
        <v>0</v>
      </c>
      <c r="K7">
        <f t="shared" si="0"/>
        <v>0</v>
      </c>
      <c r="L7">
        <f t="shared" si="1"/>
        <v>0</v>
      </c>
      <c r="M7">
        <f t="shared" si="9"/>
        <v>0</v>
      </c>
      <c r="N7">
        <f t="shared" si="10"/>
        <v>0</v>
      </c>
      <c r="O7">
        <f t="shared" si="10"/>
        <v>0</v>
      </c>
      <c r="P7">
        <f t="shared" si="10"/>
        <v>0</v>
      </c>
      <c r="Q7">
        <f t="shared" si="10"/>
        <v>0</v>
      </c>
      <c r="R7">
        <f t="shared" si="10"/>
        <v>0</v>
      </c>
      <c r="S7">
        <f t="shared" si="10"/>
        <v>0</v>
      </c>
      <c r="T7">
        <f t="shared" si="10"/>
        <v>0</v>
      </c>
      <c r="U7">
        <f t="shared" si="10"/>
        <v>0</v>
      </c>
      <c r="V7">
        <f t="shared" si="10"/>
        <v>0</v>
      </c>
      <c r="W7">
        <f t="shared" si="10"/>
        <v>0</v>
      </c>
      <c r="X7">
        <f t="shared" si="11"/>
        <v>0</v>
      </c>
      <c r="Y7">
        <f t="shared" si="11"/>
        <v>0</v>
      </c>
      <c r="Z7">
        <f t="shared" si="11"/>
        <v>0</v>
      </c>
      <c r="AA7">
        <f t="shared" si="11"/>
        <v>0</v>
      </c>
      <c r="AB7">
        <f t="shared" si="11"/>
        <v>0</v>
      </c>
      <c r="AC7">
        <f t="shared" si="11"/>
        <v>0</v>
      </c>
      <c r="AD7">
        <f t="shared" si="11"/>
        <v>0</v>
      </c>
      <c r="AE7">
        <f t="shared" si="11"/>
        <v>0</v>
      </c>
      <c r="AF7">
        <f t="shared" si="11"/>
        <v>0</v>
      </c>
      <c r="AG7">
        <f t="shared" si="11"/>
        <v>0</v>
      </c>
      <c r="AH7">
        <f t="shared" si="12"/>
        <v>0</v>
      </c>
      <c r="AI7">
        <f t="shared" si="12"/>
        <v>0</v>
      </c>
      <c r="AJ7">
        <f t="shared" si="12"/>
        <v>0</v>
      </c>
      <c r="AK7">
        <f t="shared" si="12"/>
        <v>0</v>
      </c>
      <c r="AL7">
        <f t="shared" si="12"/>
        <v>0</v>
      </c>
      <c r="AM7">
        <f t="shared" si="12"/>
        <v>0</v>
      </c>
      <c r="AN7">
        <f t="shared" si="12"/>
        <v>0</v>
      </c>
      <c r="AO7">
        <f t="shared" si="12"/>
        <v>0</v>
      </c>
      <c r="AP7">
        <f t="shared" si="12"/>
        <v>0</v>
      </c>
      <c r="AQ7">
        <f t="shared" si="12"/>
        <v>0</v>
      </c>
      <c r="AR7">
        <f t="shared" si="13"/>
        <v>0</v>
      </c>
      <c r="AS7">
        <f t="shared" si="13"/>
        <v>0</v>
      </c>
      <c r="AT7">
        <f t="shared" si="13"/>
        <v>0</v>
      </c>
      <c r="AU7">
        <f t="shared" si="13"/>
        <v>0</v>
      </c>
      <c r="AV7">
        <f t="shared" si="13"/>
        <v>0</v>
      </c>
      <c r="AW7">
        <f t="shared" si="13"/>
        <v>0</v>
      </c>
      <c r="AX7">
        <f t="shared" si="13"/>
        <v>0</v>
      </c>
      <c r="BB7" s="36">
        <f t="shared" si="14"/>
        <v>0</v>
      </c>
      <c r="BC7" s="36">
        <f t="shared" si="15"/>
        <v>0</v>
      </c>
      <c r="BD7" s="36">
        <f t="shared" si="16"/>
        <v>0</v>
      </c>
      <c r="BE7" s="36">
        <f t="shared" si="17"/>
        <v>0</v>
      </c>
      <c r="BF7" s="36">
        <f t="shared" si="18"/>
        <v>0</v>
      </c>
      <c r="BG7" s="36">
        <f t="shared" si="19"/>
        <v>0</v>
      </c>
      <c r="BH7" s="36">
        <f t="shared" si="20"/>
        <v>0</v>
      </c>
      <c r="BI7" s="36">
        <f t="shared" si="21"/>
        <v>0</v>
      </c>
      <c r="BJ7" s="36">
        <f t="shared" si="22"/>
        <v>0</v>
      </c>
      <c r="BK7" s="36">
        <f t="shared" si="23"/>
        <v>0</v>
      </c>
      <c r="BL7" s="36">
        <f t="shared" si="24"/>
        <v>0</v>
      </c>
      <c r="BM7" s="36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6">
        <f>Database!E8</f>
        <v>0</v>
      </c>
      <c r="C8">
        <f>IF(Database!G8="cansl",0,Database!K8)</f>
        <v>0</v>
      </c>
      <c r="D8">
        <f>Database!D8-Database!C8</f>
        <v>0</v>
      </c>
      <c r="F8">
        <f>Database!L8</f>
        <v>0</v>
      </c>
      <c r="G8">
        <f>Database!F8</f>
        <v>0</v>
      </c>
      <c r="K8">
        <f t="shared" si="0"/>
        <v>0</v>
      </c>
      <c r="L8">
        <f t="shared" si="1"/>
        <v>0</v>
      </c>
      <c r="M8">
        <f t="shared" si="9"/>
        <v>0</v>
      </c>
      <c r="N8">
        <f t="shared" si="10"/>
        <v>0</v>
      </c>
      <c r="O8">
        <f t="shared" si="10"/>
        <v>0</v>
      </c>
      <c r="P8">
        <f t="shared" si="10"/>
        <v>0</v>
      </c>
      <c r="Q8">
        <f t="shared" si="10"/>
        <v>0</v>
      </c>
      <c r="R8">
        <f t="shared" si="10"/>
        <v>0</v>
      </c>
      <c r="S8">
        <f t="shared" si="10"/>
        <v>0</v>
      </c>
      <c r="T8">
        <f t="shared" si="10"/>
        <v>0</v>
      </c>
      <c r="U8">
        <f t="shared" si="10"/>
        <v>0</v>
      </c>
      <c r="V8">
        <f t="shared" si="10"/>
        <v>0</v>
      </c>
      <c r="W8">
        <f t="shared" si="10"/>
        <v>0</v>
      </c>
      <c r="X8">
        <f t="shared" si="11"/>
        <v>0</v>
      </c>
      <c r="Y8">
        <f t="shared" si="11"/>
        <v>0</v>
      </c>
      <c r="Z8">
        <f t="shared" si="11"/>
        <v>0</v>
      </c>
      <c r="AA8">
        <f t="shared" si="11"/>
        <v>0</v>
      </c>
      <c r="AB8">
        <f t="shared" si="11"/>
        <v>0</v>
      </c>
      <c r="AC8">
        <f t="shared" si="11"/>
        <v>0</v>
      </c>
      <c r="AD8">
        <f t="shared" si="11"/>
        <v>0</v>
      </c>
      <c r="AE8">
        <f t="shared" si="11"/>
        <v>0</v>
      </c>
      <c r="AF8">
        <f t="shared" si="11"/>
        <v>0</v>
      </c>
      <c r="AG8">
        <f t="shared" si="11"/>
        <v>0</v>
      </c>
      <c r="AH8">
        <f t="shared" si="12"/>
        <v>0</v>
      </c>
      <c r="AI8">
        <f t="shared" si="12"/>
        <v>0</v>
      </c>
      <c r="AJ8">
        <f t="shared" si="12"/>
        <v>0</v>
      </c>
      <c r="AK8">
        <f t="shared" si="12"/>
        <v>0</v>
      </c>
      <c r="AL8">
        <f t="shared" si="12"/>
        <v>0</v>
      </c>
      <c r="AM8">
        <f t="shared" si="12"/>
        <v>0</v>
      </c>
      <c r="AN8">
        <f t="shared" si="12"/>
        <v>0</v>
      </c>
      <c r="AO8">
        <f t="shared" si="12"/>
        <v>0</v>
      </c>
      <c r="AP8">
        <f t="shared" si="12"/>
        <v>0</v>
      </c>
      <c r="AQ8">
        <f t="shared" si="12"/>
        <v>0</v>
      </c>
      <c r="AR8">
        <f t="shared" si="13"/>
        <v>0</v>
      </c>
      <c r="AS8">
        <f t="shared" si="13"/>
        <v>0</v>
      </c>
      <c r="AT8">
        <f t="shared" si="13"/>
        <v>0</v>
      </c>
      <c r="AU8">
        <f t="shared" si="13"/>
        <v>0</v>
      </c>
      <c r="AV8">
        <f t="shared" si="13"/>
        <v>0</v>
      </c>
      <c r="AW8">
        <f t="shared" si="13"/>
        <v>0</v>
      </c>
      <c r="AX8">
        <f t="shared" si="13"/>
        <v>0</v>
      </c>
      <c r="BB8" s="36">
        <f t="shared" si="14"/>
        <v>0</v>
      </c>
      <c r="BC8" s="36">
        <f t="shared" si="15"/>
        <v>0</v>
      </c>
      <c r="BD8" s="36">
        <f t="shared" si="16"/>
        <v>0</v>
      </c>
      <c r="BE8" s="36">
        <f t="shared" si="17"/>
        <v>0</v>
      </c>
      <c r="BF8" s="36">
        <f t="shared" si="18"/>
        <v>0</v>
      </c>
      <c r="BG8" s="36">
        <f t="shared" si="19"/>
        <v>0</v>
      </c>
      <c r="BH8" s="36">
        <f t="shared" si="20"/>
        <v>0</v>
      </c>
      <c r="BI8" s="36">
        <f t="shared" si="21"/>
        <v>0</v>
      </c>
      <c r="BJ8" s="36">
        <f t="shared" si="22"/>
        <v>0</v>
      </c>
      <c r="BK8" s="36">
        <f t="shared" si="23"/>
        <v>0</v>
      </c>
      <c r="BL8" s="36">
        <f t="shared" si="24"/>
        <v>0</v>
      </c>
      <c r="BM8" s="36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6">
        <f>Database!E9</f>
        <v>0</v>
      </c>
      <c r="C9">
        <f>IF(Database!G9="cansl",0,Database!K9)</f>
        <v>0</v>
      </c>
      <c r="D9">
        <f>Database!D9-Database!C9</f>
        <v>0</v>
      </c>
      <c r="F9">
        <f>Database!L9</f>
        <v>0</v>
      </c>
      <c r="G9">
        <f>Database!F9</f>
        <v>0</v>
      </c>
      <c r="K9">
        <f t="shared" si="0"/>
        <v>0</v>
      </c>
      <c r="L9">
        <f t="shared" si="1"/>
        <v>0</v>
      </c>
      <c r="M9">
        <f t="shared" si="9"/>
        <v>0</v>
      </c>
      <c r="N9">
        <f t="shared" si="10"/>
        <v>0</v>
      </c>
      <c r="O9">
        <f t="shared" si="10"/>
        <v>0</v>
      </c>
      <c r="P9">
        <f t="shared" si="10"/>
        <v>0</v>
      </c>
      <c r="Q9">
        <f t="shared" si="10"/>
        <v>0</v>
      </c>
      <c r="R9">
        <f t="shared" si="10"/>
        <v>0</v>
      </c>
      <c r="S9">
        <f t="shared" si="10"/>
        <v>0</v>
      </c>
      <c r="T9">
        <f t="shared" si="10"/>
        <v>0</v>
      </c>
      <c r="U9">
        <f t="shared" si="10"/>
        <v>0</v>
      </c>
      <c r="V9">
        <f t="shared" si="10"/>
        <v>0</v>
      </c>
      <c r="W9">
        <f t="shared" si="10"/>
        <v>0</v>
      </c>
      <c r="X9">
        <f t="shared" si="11"/>
        <v>0</v>
      </c>
      <c r="Y9">
        <f t="shared" si="11"/>
        <v>0</v>
      </c>
      <c r="Z9">
        <f t="shared" si="11"/>
        <v>0</v>
      </c>
      <c r="AA9">
        <f t="shared" si="11"/>
        <v>0</v>
      </c>
      <c r="AB9">
        <f t="shared" si="11"/>
        <v>0</v>
      </c>
      <c r="AC9">
        <f t="shared" si="11"/>
        <v>0</v>
      </c>
      <c r="AD9">
        <f t="shared" si="11"/>
        <v>0</v>
      </c>
      <c r="AE9">
        <f t="shared" si="11"/>
        <v>0</v>
      </c>
      <c r="AF9">
        <f t="shared" si="11"/>
        <v>0</v>
      </c>
      <c r="AG9">
        <f t="shared" si="11"/>
        <v>0</v>
      </c>
      <c r="AH9">
        <f t="shared" si="12"/>
        <v>0</v>
      </c>
      <c r="AI9">
        <f t="shared" si="12"/>
        <v>0</v>
      </c>
      <c r="AJ9">
        <f t="shared" si="12"/>
        <v>0</v>
      </c>
      <c r="AK9">
        <f t="shared" si="12"/>
        <v>0</v>
      </c>
      <c r="AL9">
        <f t="shared" si="12"/>
        <v>0</v>
      </c>
      <c r="AM9">
        <f t="shared" si="12"/>
        <v>0</v>
      </c>
      <c r="AN9">
        <f t="shared" si="12"/>
        <v>0</v>
      </c>
      <c r="AO9">
        <f t="shared" si="12"/>
        <v>0</v>
      </c>
      <c r="AP9">
        <f t="shared" si="12"/>
        <v>0</v>
      </c>
      <c r="AQ9">
        <f t="shared" si="12"/>
        <v>0</v>
      </c>
      <c r="AR9">
        <f t="shared" si="13"/>
        <v>0</v>
      </c>
      <c r="AS9">
        <f t="shared" si="13"/>
        <v>0</v>
      </c>
      <c r="AT9">
        <f t="shared" si="13"/>
        <v>0</v>
      </c>
      <c r="AU9">
        <f t="shared" si="13"/>
        <v>0</v>
      </c>
      <c r="AV9">
        <f t="shared" si="13"/>
        <v>0</v>
      </c>
      <c r="AW9">
        <f t="shared" si="13"/>
        <v>0</v>
      </c>
      <c r="AX9">
        <f t="shared" si="13"/>
        <v>0</v>
      </c>
      <c r="BB9" s="36">
        <f t="shared" si="14"/>
        <v>0</v>
      </c>
      <c r="BC9" s="36">
        <f t="shared" si="15"/>
        <v>0</v>
      </c>
      <c r="BD9" s="36">
        <f t="shared" si="16"/>
        <v>0</v>
      </c>
      <c r="BE9" s="36">
        <f t="shared" si="17"/>
        <v>0</v>
      </c>
      <c r="BF9" s="36">
        <f t="shared" si="18"/>
        <v>0</v>
      </c>
      <c r="BG9" s="36">
        <f t="shared" si="19"/>
        <v>0</v>
      </c>
      <c r="BH9" s="36">
        <f t="shared" si="20"/>
        <v>0</v>
      </c>
      <c r="BI9" s="36">
        <f t="shared" si="21"/>
        <v>0</v>
      </c>
      <c r="BJ9" s="36">
        <f t="shared" si="22"/>
        <v>0</v>
      </c>
      <c r="BK9" s="36">
        <f t="shared" si="23"/>
        <v>0</v>
      </c>
      <c r="BL9" s="36">
        <f t="shared" si="24"/>
        <v>0</v>
      </c>
      <c r="BM9" s="36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6">
        <f>Database!E10</f>
        <v>0</v>
      </c>
      <c r="C10">
        <f>IF(Database!G10="cansl",0,Database!K10)</f>
        <v>0</v>
      </c>
      <c r="D10">
        <f>Database!D10-Database!C10</f>
        <v>0</v>
      </c>
      <c r="F10">
        <f>Database!L10</f>
        <v>0</v>
      </c>
      <c r="G10">
        <f>Database!F10</f>
        <v>0</v>
      </c>
      <c r="K10">
        <f t="shared" si="0"/>
        <v>0</v>
      </c>
      <c r="L10">
        <f t="shared" si="1"/>
        <v>0</v>
      </c>
      <c r="M10">
        <f t="shared" si="9"/>
        <v>0</v>
      </c>
      <c r="N10">
        <f t="shared" si="10"/>
        <v>0</v>
      </c>
      <c r="O10">
        <f t="shared" si="10"/>
        <v>0</v>
      </c>
      <c r="P10">
        <f t="shared" si="10"/>
        <v>0</v>
      </c>
      <c r="Q10">
        <f t="shared" si="10"/>
        <v>0</v>
      </c>
      <c r="R10">
        <f t="shared" si="10"/>
        <v>0</v>
      </c>
      <c r="S10">
        <f t="shared" si="10"/>
        <v>0</v>
      </c>
      <c r="T10">
        <f t="shared" si="10"/>
        <v>0</v>
      </c>
      <c r="U10">
        <f t="shared" si="10"/>
        <v>0</v>
      </c>
      <c r="V10">
        <f t="shared" si="10"/>
        <v>0</v>
      </c>
      <c r="W10">
        <f t="shared" si="10"/>
        <v>0</v>
      </c>
      <c r="X10">
        <f t="shared" si="11"/>
        <v>0</v>
      </c>
      <c r="Y10">
        <f t="shared" si="11"/>
        <v>0</v>
      </c>
      <c r="Z10">
        <f t="shared" si="11"/>
        <v>0</v>
      </c>
      <c r="AA10">
        <f t="shared" si="11"/>
        <v>0</v>
      </c>
      <c r="AB10">
        <f t="shared" si="11"/>
        <v>0</v>
      </c>
      <c r="AC10">
        <f t="shared" si="11"/>
        <v>0</v>
      </c>
      <c r="AD10">
        <f t="shared" si="11"/>
        <v>0</v>
      </c>
      <c r="AE10">
        <f t="shared" si="11"/>
        <v>0</v>
      </c>
      <c r="AF10">
        <f t="shared" si="11"/>
        <v>0</v>
      </c>
      <c r="AG10">
        <f t="shared" si="11"/>
        <v>0</v>
      </c>
      <c r="AH10">
        <f t="shared" si="12"/>
        <v>0</v>
      </c>
      <c r="AI10">
        <f t="shared" si="12"/>
        <v>0</v>
      </c>
      <c r="AJ10">
        <f t="shared" si="12"/>
        <v>0</v>
      </c>
      <c r="AK10">
        <f t="shared" si="12"/>
        <v>0</v>
      </c>
      <c r="AL10">
        <f t="shared" si="12"/>
        <v>0</v>
      </c>
      <c r="AM10">
        <f t="shared" si="12"/>
        <v>0</v>
      </c>
      <c r="AN10">
        <f t="shared" si="12"/>
        <v>0</v>
      </c>
      <c r="AO10">
        <f t="shared" si="12"/>
        <v>0</v>
      </c>
      <c r="AP10">
        <f t="shared" si="12"/>
        <v>0</v>
      </c>
      <c r="AQ10">
        <f t="shared" si="12"/>
        <v>0</v>
      </c>
      <c r="AR10">
        <f t="shared" si="13"/>
        <v>0</v>
      </c>
      <c r="AS10">
        <f t="shared" si="13"/>
        <v>0</v>
      </c>
      <c r="AT10">
        <f t="shared" si="13"/>
        <v>0</v>
      </c>
      <c r="AU10">
        <f t="shared" si="13"/>
        <v>0</v>
      </c>
      <c r="AV10">
        <f t="shared" si="13"/>
        <v>0</v>
      </c>
      <c r="AW10">
        <f t="shared" si="13"/>
        <v>0</v>
      </c>
      <c r="AX10">
        <f t="shared" si="13"/>
        <v>0</v>
      </c>
      <c r="BB10" s="36">
        <f t="shared" si="14"/>
        <v>0</v>
      </c>
      <c r="BC10" s="36">
        <f t="shared" si="15"/>
        <v>0</v>
      </c>
      <c r="BD10" s="36">
        <f t="shared" si="16"/>
        <v>0</v>
      </c>
      <c r="BE10" s="36">
        <f t="shared" si="17"/>
        <v>0</v>
      </c>
      <c r="BF10" s="36">
        <f t="shared" si="18"/>
        <v>0</v>
      </c>
      <c r="BG10" s="36">
        <f t="shared" si="19"/>
        <v>0</v>
      </c>
      <c r="BH10" s="36">
        <f t="shared" si="20"/>
        <v>0</v>
      </c>
      <c r="BI10" s="36">
        <f t="shared" si="21"/>
        <v>0</v>
      </c>
      <c r="BJ10" s="36">
        <f t="shared" si="22"/>
        <v>0</v>
      </c>
      <c r="BK10" s="36">
        <f t="shared" si="23"/>
        <v>0</v>
      </c>
      <c r="BL10" s="36">
        <f t="shared" si="24"/>
        <v>0</v>
      </c>
      <c r="BM10" s="36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6">
        <f>Database!E11</f>
        <v>0</v>
      </c>
      <c r="C11">
        <f>IF(Database!G11="cansl",0,Database!K11)</f>
        <v>0</v>
      </c>
      <c r="D11">
        <f>Database!D11-Database!C11</f>
        <v>0</v>
      </c>
      <c r="F11">
        <f>Database!L11</f>
        <v>0</v>
      </c>
      <c r="G11">
        <f>Database!F11</f>
        <v>0</v>
      </c>
      <c r="K11">
        <f t="shared" si="0"/>
        <v>0</v>
      </c>
      <c r="L11">
        <f t="shared" si="1"/>
        <v>0</v>
      </c>
      <c r="M11">
        <f t="shared" si="9"/>
        <v>0</v>
      </c>
      <c r="N11">
        <f t="shared" si="10"/>
        <v>0</v>
      </c>
      <c r="O11">
        <f t="shared" si="10"/>
        <v>0</v>
      </c>
      <c r="P11">
        <f t="shared" si="10"/>
        <v>0</v>
      </c>
      <c r="Q11">
        <f t="shared" si="10"/>
        <v>0</v>
      </c>
      <c r="R11">
        <f t="shared" si="10"/>
        <v>0</v>
      </c>
      <c r="S11">
        <f t="shared" si="10"/>
        <v>0</v>
      </c>
      <c r="T11">
        <f t="shared" si="10"/>
        <v>0</v>
      </c>
      <c r="U11">
        <f t="shared" si="10"/>
        <v>0</v>
      </c>
      <c r="V11">
        <f t="shared" si="10"/>
        <v>0</v>
      </c>
      <c r="W11">
        <f t="shared" si="10"/>
        <v>0</v>
      </c>
      <c r="X11">
        <f t="shared" si="11"/>
        <v>0</v>
      </c>
      <c r="Y11">
        <f t="shared" si="11"/>
        <v>0</v>
      </c>
      <c r="Z11">
        <f t="shared" si="11"/>
        <v>0</v>
      </c>
      <c r="AA11">
        <f t="shared" si="11"/>
        <v>0</v>
      </c>
      <c r="AB11">
        <f t="shared" si="11"/>
        <v>0</v>
      </c>
      <c r="AC11">
        <f t="shared" si="11"/>
        <v>0</v>
      </c>
      <c r="AD11">
        <f t="shared" si="11"/>
        <v>0</v>
      </c>
      <c r="AE11">
        <f t="shared" si="11"/>
        <v>0</v>
      </c>
      <c r="AF11">
        <f t="shared" si="11"/>
        <v>0</v>
      </c>
      <c r="AG11">
        <f t="shared" si="11"/>
        <v>0</v>
      </c>
      <c r="AH11">
        <f t="shared" si="12"/>
        <v>0</v>
      </c>
      <c r="AI11">
        <f t="shared" si="12"/>
        <v>0</v>
      </c>
      <c r="AJ11">
        <f t="shared" si="12"/>
        <v>0</v>
      </c>
      <c r="AK11">
        <f t="shared" si="12"/>
        <v>0</v>
      </c>
      <c r="AL11">
        <f t="shared" si="12"/>
        <v>0</v>
      </c>
      <c r="AM11">
        <f t="shared" si="12"/>
        <v>0</v>
      </c>
      <c r="AN11">
        <f t="shared" si="12"/>
        <v>0</v>
      </c>
      <c r="AO11">
        <f t="shared" si="12"/>
        <v>0</v>
      </c>
      <c r="AP11">
        <f t="shared" si="12"/>
        <v>0</v>
      </c>
      <c r="AQ11">
        <f t="shared" si="12"/>
        <v>0</v>
      </c>
      <c r="AR11">
        <f t="shared" si="13"/>
        <v>0</v>
      </c>
      <c r="AS11">
        <f t="shared" si="13"/>
        <v>0</v>
      </c>
      <c r="AT11">
        <f t="shared" si="13"/>
        <v>0</v>
      </c>
      <c r="AU11">
        <f t="shared" si="13"/>
        <v>0</v>
      </c>
      <c r="AV11">
        <f t="shared" si="13"/>
        <v>0</v>
      </c>
      <c r="AW11">
        <f t="shared" si="13"/>
        <v>0</v>
      </c>
      <c r="AX11">
        <f t="shared" si="13"/>
        <v>0</v>
      </c>
      <c r="BB11" s="36">
        <f t="shared" si="14"/>
        <v>0</v>
      </c>
      <c r="BC11" s="36">
        <f t="shared" si="15"/>
        <v>0</v>
      </c>
      <c r="BD11" s="36">
        <f t="shared" si="16"/>
        <v>0</v>
      </c>
      <c r="BE11" s="36">
        <f t="shared" si="17"/>
        <v>0</v>
      </c>
      <c r="BF11" s="36">
        <f t="shared" si="18"/>
        <v>0</v>
      </c>
      <c r="BG11" s="36">
        <f t="shared" si="19"/>
        <v>0</v>
      </c>
      <c r="BH11" s="36">
        <f t="shared" si="20"/>
        <v>0</v>
      </c>
      <c r="BI11" s="36">
        <f t="shared" si="21"/>
        <v>0</v>
      </c>
      <c r="BJ11" s="36">
        <f t="shared" si="22"/>
        <v>0</v>
      </c>
      <c r="BK11" s="36">
        <f t="shared" si="23"/>
        <v>0</v>
      </c>
      <c r="BL11" s="36">
        <f t="shared" si="24"/>
        <v>0</v>
      </c>
      <c r="BM11" s="36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6">
        <f>Database!E12</f>
        <v>0</v>
      </c>
      <c r="C12">
        <f>IF(Database!G12="cansl",0,Database!K12)</f>
        <v>0</v>
      </c>
      <c r="D12">
        <f>Database!D12-Database!C12</f>
        <v>0</v>
      </c>
      <c r="F12">
        <f>Database!L12</f>
        <v>0</v>
      </c>
      <c r="G12">
        <f>Database!F12</f>
        <v>0</v>
      </c>
      <c r="K12">
        <f t="shared" si="0"/>
        <v>0</v>
      </c>
      <c r="L12">
        <f t="shared" si="1"/>
        <v>0</v>
      </c>
      <c r="M12">
        <f t="shared" si="9"/>
        <v>0</v>
      </c>
      <c r="N12">
        <f t="shared" si="10"/>
        <v>0</v>
      </c>
      <c r="O12">
        <f t="shared" si="10"/>
        <v>0</v>
      </c>
      <c r="P12">
        <f t="shared" si="10"/>
        <v>0</v>
      </c>
      <c r="Q12">
        <f t="shared" si="10"/>
        <v>0</v>
      </c>
      <c r="R12">
        <f t="shared" si="10"/>
        <v>0</v>
      </c>
      <c r="S12">
        <f t="shared" si="10"/>
        <v>0</v>
      </c>
      <c r="T12">
        <f t="shared" si="10"/>
        <v>0</v>
      </c>
      <c r="U12">
        <f t="shared" si="10"/>
        <v>0</v>
      </c>
      <c r="V12">
        <f t="shared" si="10"/>
        <v>0</v>
      </c>
      <c r="W12">
        <f t="shared" si="10"/>
        <v>0</v>
      </c>
      <c r="X12">
        <f t="shared" si="11"/>
        <v>0</v>
      </c>
      <c r="Y12">
        <f t="shared" si="11"/>
        <v>0</v>
      </c>
      <c r="Z12">
        <f t="shared" si="11"/>
        <v>0</v>
      </c>
      <c r="AA12">
        <f t="shared" si="11"/>
        <v>0</v>
      </c>
      <c r="AB12">
        <f t="shared" si="11"/>
        <v>0</v>
      </c>
      <c r="AC12">
        <f t="shared" si="11"/>
        <v>0</v>
      </c>
      <c r="AD12">
        <f t="shared" si="11"/>
        <v>0</v>
      </c>
      <c r="AE12">
        <f t="shared" si="11"/>
        <v>0</v>
      </c>
      <c r="AF12">
        <f t="shared" si="11"/>
        <v>0</v>
      </c>
      <c r="AG12">
        <f t="shared" si="11"/>
        <v>0</v>
      </c>
      <c r="AH12">
        <f t="shared" si="12"/>
        <v>0</v>
      </c>
      <c r="AI12">
        <f t="shared" si="12"/>
        <v>0</v>
      </c>
      <c r="AJ12">
        <f t="shared" si="12"/>
        <v>0</v>
      </c>
      <c r="AK12">
        <f t="shared" si="12"/>
        <v>0</v>
      </c>
      <c r="AL12">
        <f t="shared" si="12"/>
        <v>0</v>
      </c>
      <c r="AM12">
        <f t="shared" si="12"/>
        <v>0</v>
      </c>
      <c r="AN12">
        <f t="shared" si="12"/>
        <v>0</v>
      </c>
      <c r="AO12">
        <f t="shared" si="12"/>
        <v>0</v>
      </c>
      <c r="AP12">
        <f t="shared" si="12"/>
        <v>0</v>
      </c>
      <c r="AQ12">
        <f t="shared" si="12"/>
        <v>0</v>
      </c>
      <c r="AR12">
        <f t="shared" si="13"/>
        <v>0</v>
      </c>
      <c r="AS12">
        <f t="shared" si="13"/>
        <v>0</v>
      </c>
      <c r="AT12">
        <f t="shared" si="13"/>
        <v>0</v>
      </c>
      <c r="AU12">
        <f t="shared" si="13"/>
        <v>0</v>
      </c>
      <c r="AV12">
        <f t="shared" si="13"/>
        <v>0</v>
      </c>
      <c r="AW12">
        <f t="shared" si="13"/>
        <v>0</v>
      </c>
      <c r="AX12">
        <f t="shared" si="13"/>
        <v>0</v>
      </c>
      <c r="BB12" s="36">
        <f t="shared" si="14"/>
        <v>0</v>
      </c>
      <c r="BC12" s="36">
        <f t="shared" si="15"/>
        <v>0</v>
      </c>
      <c r="BD12" s="36">
        <f t="shared" si="16"/>
        <v>0</v>
      </c>
      <c r="BE12" s="36">
        <f t="shared" si="17"/>
        <v>0</v>
      </c>
      <c r="BF12" s="36">
        <f t="shared" si="18"/>
        <v>0</v>
      </c>
      <c r="BG12" s="36">
        <f t="shared" si="19"/>
        <v>0</v>
      </c>
      <c r="BH12" s="36">
        <f t="shared" si="20"/>
        <v>0</v>
      </c>
      <c r="BI12" s="36">
        <f t="shared" si="21"/>
        <v>0</v>
      </c>
      <c r="BJ12" s="36">
        <f t="shared" si="22"/>
        <v>0</v>
      </c>
      <c r="BK12" s="36">
        <f t="shared" si="23"/>
        <v>0</v>
      </c>
      <c r="BL12" s="36">
        <f t="shared" si="24"/>
        <v>0</v>
      </c>
      <c r="BM12" s="36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6">
        <f>Database!E13</f>
        <v>0</v>
      </c>
      <c r="C13">
        <f>IF(Database!G13="cansl",0,Database!K13)</f>
        <v>0</v>
      </c>
      <c r="D13">
        <f>Database!D13-Database!C13</f>
        <v>0</v>
      </c>
      <c r="F13">
        <f>Database!L13</f>
        <v>0</v>
      </c>
      <c r="G13">
        <f>Database!F13</f>
        <v>0</v>
      </c>
      <c r="K13">
        <f t="shared" si="0"/>
        <v>0</v>
      </c>
      <c r="L13">
        <f t="shared" si="1"/>
        <v>0</v>
      </c>
      <c r="M13">
        <f t="shared" si="9"/>
        <v>0</v>
      </c>
      <c r="N13">
        <f t="shared" ref="N13:W22" si="26">IF($B13&lt;N$1,$C13*$D13,0)</f>
        <v>0</v>
      </c>
      <c r="O13">
        <f t="shared" si="26"/>
        <v>0</v>
      </c>
      <c r="P13">
        <f t="shared" si="26"/>
        <v>0</v>
      </c>
      <c r="Q13">
        <f t="shared" si="26"/>
        <v>0</v>
      </c>
      <c r="R13">
        <f t="shared" si="26"/>
        <v>0</v>
      </c>
      <c r="S13">
        <f t="shared" si="26"/>
        <v>0</v>
      </c>
      <c r="T13">
        <f t="shared" si="26"/>
        <v>0</v>
      </c>
      <c r="U13">
        <f t="shared" si="26"/>
        <v>0</v>
      </c>
      <c r="V13">
        <f t="shared" si="26"/>
        <v>0</v>
      </c>
      <c r="W13">
        <f t="shared" si="26"/>
        <v>0</v>
      </c>
      <c r="X13">
        <f t="shared" ref="X13:AG22" si="27">IF($B13&lt;X$1,$C13*$D13,0)</f>
        <v>0</v>
      </c>
      <c r="Y13">
        <f t="shared" si="27"/>
        <v>0</v>
      </c>
      <c r="Z13">
        <f t="shared" si="27"/>
        <v>0</v>
      </c>
      <c r="AA13">
        <f t="shared" si="27"/>
        <v>0</v>
      </c>
      <c r="AB13">
        <f t="shared" si="27"/>
        <v>0</v>
      </c>
      <c r="AC13">
        <f t="shared" si="27"/>
        <v>0</v>
      </c>
      <c r="AD13">
        <f t="shared" si="27"/>
        <v>0</v>
      </c>
      <c r="AE13">
        <f t="shared" si="27"/>
        <v>0</v>
      </c>
      <c r="AF13">
        <f t="shared" si="27"/>
        <v>0</v>
      </c>
      <c r="AG13">
        <f t="shared" si="27"/>
        <v>0</v>
      </c>
      <c r="AH13">
        <f t="shared" ref="AH13:AQ22" si="28">IF($B13&lt;AH$1,$C13*$D13,0)</f>
        <v>0</v>
      </c>
      <c r="AI13">
        <f t="shared" si="28"/>
        <v>0</v>
      </c>
      <c r="AJ13">
        <f t="shared" si="28"/>
        <v>0</v>
      </c>
      <c r="AK13">
        <f t="shared" si="28"/>
        <v>0</v>
      </c>
      <c r="AL13">
        <f t="shared" si="28"/>
        <v>0</v>
      </c>
      <c r="AM13">
        <f t="shared" si="28"/>
        <v>0</v>
      </c>
      <c r="AN13">
        <f t="shared" si="28"/>
        <v>0</v>
      </c>
      <c r="AO13">
        <f t="shared" si="28"/>
        <v>0</v>
      </c>
      <c r="AP13">
        <f t="shared" si="28"/>
        <v>0</v>
      </c>
      <c r="AQ13">
        <f t="shared" si="28"/>
        <v>0</v>
      </c>
      <c r="AR13">
        <f t="shared" ref="AR13:AX22" si="29">IF($B13&lt;AR$1,$C13*$D13,0)</f>
        <v>0</v>
      </c>
      <c r="AS13">
        <f t="shared" si="29"/>
        <v>0</v>
      </c>
      <c r="AT13">
        <f t="shared" si="29"/>
        <v>0</v>
      </c>
      <c r="AU13">
        <f t="shared" si="29"/>
        <v>0</v>
      </c>
      <c r="AV13">
        <f t="shared" si="29"/>
        <v>0</v>
      </c>
      <c r="AW13">
        <f t="shared" si="29"/>
        <v>0</v>
      </c>
      <c r="AX13">
        <f t="shared" si="29"/>
        <v>0</v>
      </c>
      <c r="BB13" s="36">
        <f t="shared" si="14"/>
        <v>0</v>
      </c>
      <c r="BC13" s="36">
        <f t="shared" si="15"/>
        <v>0</v>
      </c>
      <c r="BD13" s="36">
        <f t="shared" si="16"/>
        <v>0</v>
      </c>
      <c r="BE13" s="36">
        <f t="shared" si="17"/>
        <v>0</v>
      </c>
      <c r="BF13" s="36">
        <f t="shared" si="18"/>
        <v>0</v>
      </c>
      <c r="BG13" s="36">
        <f t="shared" si="19"/>
        <v>0</v>
      </c>
      <c r="BH13" s="36">
        <f t="shared" si="20"/>
        <v>0</v>
      </c>
      <c r="BI13" s="36">
        <f t="shared" si="21"/>
        <v>0</v>
      </c>
      <c r="BJ13" s="36">
        <f t="shared" si="22"/>
        <v>0</v>
      </c>
      <c r="BK13" s="36">
        <f t="shared" si="23"/>
        <v>0</v>
      </c>
      <c r="BL13" s="36">
        <f t="shared" si="24"/>
        <v>0</v>
      </c>
      <c r="BM13" s="36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6">
        <f>Database!E14</f>
        <v>0</v>
      </c>
      <c r="C14">
        <f>IF(Database!G14="cansl",0,Database!K14)</f>
        <v>0</v>
      </c>
      <c r="D14">
        <f>Database!D14-Database!C14</f>
        <v>0</v>
      </c>
      <c r="F14">
        <f>Database!L14</f>
        <v>0</v>
      </c>
      <c r="G14">
        <f>Database!F14</f>
        <v>0</v>
      </c>
      <c r="K14">
        <f t="shared" si="0"/>
        <v>0</v>
      </c>
      <c r="L14">
        <f t="shared" si="1"/>
        <v>0</v>
      </c>
      <c r="M14">
        <f t="shared" si="9"/>
        <v>0</v>
      </c>
      <c r="N14">
        <f t="shared" si="26"/>
        <v>0</v>
      </c>
      <c r="O14">
        <f t="shared" si="26"/>
        <v>0</v>
      </c>
      <c r="P14">
        <f t="shared" si="26"/>
        <v>0</v>
      </c>
      <c r="Q14">
        <f t="shared" si="26"/>
        <v>0</v>
      </c>
      <c r="R14">
        <f t="shared" si="26"/>
        <v>0</v>
      </c>
      <c r="S14">
        <f t="shared" si="26"/>
        <v>0</v>
      </c>
      <c r="T14">
        <f t="shared" si="26"/>
        <v>0</v>
      </c>
      <c r="U14">
        <f t="shared" si="26"/>
        <v>0</v>
      </c>
      <c r="V14">
        <f t="shared" si="26"/>
        <v>0</v>
      </c>
      <c r="W14">
        <f t="shared" si="26"/>
        <v>0</v>
      </c>
      <c r="X14">
        <f t="shared" si="27"/>
        <v>0</v>
      </c>
      <c r="Y14">
        <f t="shared" si="27"/>
        <v>0</v>
      </c>
      <c r="Z14">
        <f t="shared" si="27"/>
        <v>0</v>
      </c>
      <c r="AA14">
        <f t="shared" si="27"/>
        <v>0</v>
      </c>
      <c r="AB14">
        <f t="shared" si="27"/>
        <v>0</v>
      </c>
      <c r="AC14">
        <f t="shared" si="27"/>
        <v>0</v>
      </c>
      <c r="AD14">
        <f t="shared" si="27"/>
        <v>0</v>
      </c>
      <c r="AE14">
        <f t="shared" si="27"/>
        <v>0</v>
      </c>
      <c r="AF14">
        <f t="shared" si="27"/>
        <v>0</v>
      </c>
      <c r="AG14">
        <f t="shared" si="27"/>
        <v>0</v>
      </c>
      <c r="AH14">
        <f t="shared" si="28"/>
        <v>0</v>
      </c>
      <c r="AI14">
        <f t="shared" si="28"/>
        <v>0</v>
      </c>
      <c r="AJ14">
        <f t="shared" si="28"/>
        <v>0</v>
      </c>
      <c r="AK14">
        <f t="shared" si="28"/>
        <v>0</v>
      </c>
      <c r="AL14">
        <f t="shared" si="28"/>
        <v>0</v>
      </c>
      <c r="AM14">
        <f t="shared" si="28"/>
        <v>0</v>
      </c>
      <c r="AN14">
        <f t="shared" si="28"/>
        <v>0</v>
      </c>
      <c r="AO14">
        <f t="shared" si="28"/>
        <v>0</v>
      </c>
      <c r="AP14">
        <f t="shared" si="28"/>
        <v>0</v>
      </c>
      <c r="AQ14">
        <f t="shared" si="28"/>
        <v>0</v>
      </c>
      <c r="AR14">
        <f t="shared" si="29"/>
        <v>0</v>
      </c>
      <c r="AS14">
        <f t="shared" si="29"/>
        <v>0</v>
      </c>
      <c r="AT14">
        <f t="shared" si="29"/>
        <v>0</v>
      </c>
      <c r="AU14">
        <f t="shared" si="29"/>
        <v>0</v>
      </c>
      <c r="AV14">
        <f t="shared" si="29"/>
        <v>0</v>
      </c>
      <c r="AW14">
        <f t="shared" si="29"/>
        <v>0</v>
      </c>
      <c r="AX14">
        <f t="shared" si="29"/>
        <v>0</v>
      </c>
      <c r="BB14" s="36">
        <f t="shared" si="14"/>
        <v>0</v>
      </c>
      <c r="BC14" s="36">
        <f t="shared" si="15"/>
        <v>0</v>
      </c>
      <c r="BD14" s="36">
        <f t="shared" si="16"/>
        <v>0</v>
      </c>
      <c r="BE14" s="36">
        <f t="shared" si="17"/>
        <v>0</v>
      </c>
      <c r="BF14" s="36">
        <f t="shared" si="18"/>
        <v>0</v>
      </c>
      <c r="BG14" s="36">
        <f t="shared" si="19"/>
        <v>0</v>
      </c>
      <c r="BH14" s="36">
        <f t="shared" si="20"/>
        <v>0</v>
      </c>
      <c r="BI14" s="36">
        <f t="shared" si="21"/>
        <v>0</v>
      </c>
      <c r="BJ14" s="36">
        <f t="shared" si="22"/>
        <v>0</v>
      </c>
      <c r="BK14" s="36">
        <f t="shared" si="23"/>
        <v>0</v>
      </c>
      <c r="BL14" s="36">
        <f t="shared" si="24"/>
        <v>0</v>
      </c>
      <c r="BM14" s="36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6">
        <f>Database!E15</f>
        <v>0</v>
      </c>
      <c r="C15">
        <f>IF(Database!G15="cansl",0,Database!K15)</f>
        <v>0</v>
      </c>
      <c r="D15">
        <f>Database!D15-Database!C15</f>
        <v>0</v>
      </c>
      <c r="F15">
        <f>Database!L15</f>
        <v>0</v>
      </c>
      <c r="G15">
        <f>Database!F15</f>
        <v>0</v>
      </c>
      <c r="K15">
        <f t="shared" si="0"/>
        <v>0</v>
      </c>
      <c r="L15">
        <f t="shared" si="1"/>
        <v>0</v>
      </c>
      <c r="M15">
        <f t="shared" si="9"/>
        <v>0</v>
      </c>
      <c r="N15">
        <f t="shared" si="26"/>
        <v>0</v>
      </c>
      <c r="O15">
        <f t="shared" si="26"/>
        <v>0</v>
      </c>
      <c r="P15">
        <f t="shared" si="26"/>
        <v>0</v>
      </c>
      <c r="Q15">
        <f t="shared" si="26"/>
        <v>0</v>
      </c>
      <c r="R15">
        <f t="shared" si="26"/>
        <v>0</v>
      </c>
      <c r="S15">
        <f t="shared" si="26"/>
        <v>0</v>
      </c>
      <c r="T15">
        <f t="shared" si="26"/>
        <v>0</v>
      </c>
      <c r="U15">
        <f t="shared" si="26"/>
        <v>0</v>
      </c>
      <c r="V15">
        <f t="shared" si="26"/>
        <v>0</v>
      </c>
      <c r="W15">
        <f t="shared" si="26"/>
        <v>0</v>
      </c>
      <c r="X15">
        <f t="shared" si="27"/>
        <v>0</v>
      </c>
      <c r="Y15">
        <f t="shared" si="27"/>
        <v>0</v>
      </c>
      <c r="Z15">
        <f t="shared" si="27"/>
        <v>0</v>
      </c>
      <c r="AA15">
        <f t="shared" si="27"/>
        <v>0</v>
      </c>
      <c r="AB15">
        <f t="shared" si="27"/>
        <v>0</v>
      </c>
      <c r="AC15">
        <f t="shared" si="27"/>
        <v>0</v>
      </c>
      <c r="AD15">
        <f t="shared" si="27"/>
        <v>0</v>
      </c>
      <c r="AE15">
        <f t="shared" si="27"/>
        <v>0</v>
      </c>
      <c r="AF15">
        <f t="shared" si="27"/>
        <v>0</v>
      </c>
      <c r="AG15">
        <f t="shared" si="27"/>
        <v>0</v>
      </c>
      <c r="AH15">
        <f t="shared" si="28"/>
        <v>0</v>
      </c>
      <c r="AI15">
        <f t="shared" si="28"/>
        <v>0</v>
      </c>
      <c r="AJ15">
        <f t="shared" si="28"/>
        <v>0</v>
      </c>
      <c r="AK15">
        <f t="shared" si="28"/>
        <v>0</v>
      </c>
      <c r="AL15">
        <f t="shared" si="28"/>
        <v>0</v>
      </c>
      <c r="AM15">
        <f t="shared" si="28"/>
        <v>0</v>
      </c>
      <c r="AN15">
        <f t="shared" si="28"/>
        <v>0</v>
      </c>
      <c r="AO15">
        <f t="shared" si="28"/>
        <v>0</v>
      </c>
      <c r="AP15">
        <f t="shared" si="28"/>
        <v>0</v>
      </c>
      <c r="AQ15">
        <f t="shared" si="28"/>
        <v>0</v>
      </c>
      <c r="AR15">
        <f t="shared" si="29"/>
        <v>0</v>
      </c>
      <c r="AS15">
        <f t="shared" si="29"/>
        <v>0</v>
      </c>
      <c r="AT15">
        <f t="shared" si="29"/>
        <v>0</v>
      </c>
      <c r="AU15">
        <f t="shared" si="29"/>
        <v>0</v>
      </c>
      <c r="AV15">
        <f t="shared" si="29"/>
        <v>0</v>
      </c>
      <c r="AW15">
        <f t="shared" si="29"/>
        <v>0</v>
      </c>
      <c r="AX15">
        <f t="shared" si="29"/>
        <v>0</v>
      </c>
      <c r="BB15" s="36">
        <f t="shared" si="14"/>
        <v>0</v>
      </c>
      <c r="BC15" s="36">
        <f t="shared" si="15"/>
        <v>0</v>
      </c>
      <c r="BD15" s="36">
        <f t="shared" si="16"/>
        <v>0</v>
      </c>
      <c r="BE15" s="36">
        <f t="shared" si="17"/>
        <v>0</v>
      </c>
      <c r="BF15" s="36">
        <f t="shared" si="18"/>
        <v>0</v>
      </c>
      <c r="BG15" s="36">
        <f t="shared" si="19"/>
        <v>0</v>
      </c>
      <c r="BH15" s="36">
        <f t="shared" si="20"/>
        <v>0</v>
      </c>
      <c r="BI15" s="36">
        <f t="shared" si="21"/>
        <v>0</v>
      </c>
      <c r="BJ15" s="36">
        <f t="shared" si="22"/>
        <v>0</v>
      </c>
      <c r="BK15" s="36">
        <f t="shared" si="23"/>
        <v>0</v>
      </c>
      <c r="BL15" s="36">
        <f t="shared" si="24"/>
        <v>0</v>
      </c>
      <c r="BM15" s="36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6">
        <f>Database!E16</f>
        <v>0</v>
      </c>
      <c r="C16">
        <f>IF(Database!G16="cansl",0,Database!K16)</f>
        <v>0</v>
      </c>
      <c r="D16">
        <f>Database!D16-Database!C16</f>
        <v>0</v>
      </c>
      <c r="F16">
        <f>Database!L16</f>
        <v>0</v>
      </c>
      <c r="G16">
        <f>Database!F16</f>
        <v>0</v>
      </c>
      <c r="K16">
        <f t="shared" si="0"/>
        <v>0</v>
      </c>
      <c r="L16">
        <f t="shared" si="1"/>
        <v>0</v>
      </c>
      <c r="M16">
        <f t="shared" si="9"/>
        <v>0</v>
      </c>
      <c r="N16">
        <f t="shared" si="26"/>
        <v>0</v>
      </c>
      <c r="O16">
        <f t="shared" si="26"/>
        <v>0</v>
      </c>
      <c r="P16">
        <f t="shared" si="26"/>
        <v>0</v>
      </c>
      <c r="Q16">
        <f t="shared" si="26"/>
        <v>0</v>
      </c>
      <c r="R16">
        <f t="shared" si="26"/>
        <v>0</v>
      </c>
      <c r="S16">
        <f t="shared" si="26"/>
        <v>0</v>
      </c>
      <c r="T16">
        <f t="shared" si="26"/>
        <v>0</v>
      </c>
      <c r="U16">
        <f t="shared" si="26"/>
        <v>0</v>
      </c>
      <c r="V16">
        <f t="shared" si="26"/>
        <v>0</v>
      </c>
      <c r="W16">
        <f t="shared" si="26"/>
        <v>0</v>
      </c>
      <c r="X16">
        <f t="shared" si="27"/>
        <v>0</v>
      </c>
      <c r="Y16">
        <f t="shared" si="27"/>
        <v>0</v>
      </c>
      <c r="Z16">
        <f t="shared" si="27"/>
        <v>0</v>
      </c>
      <c r="AA16">
        <f t="shared" si="27"/>
        <v>0</v>
      </c>
      <c r="AB16">
        <f t="shared" si="27"/>
        <v>0</v>
      </c>
      <c r="AC16">
        <f t="shared" si="27"/>
        <v>0</v>
      </c>
      <c r="AD16">
        <f t="shared" si="27"/>
        <v>0</v>
      </c>
      <c r="AE16">
        <f t="shared" si="27"/>
        <v>0</v>
      </c>
      <c r="AF16">
        <f t="shared" si="27"/>
        <v>0</v>
      </c>
      <c r="AG16">
        <f t="shared" si="27"/>
        <v>0</v>
      </c>
      <c r="AH16">
        <f t="shared" si="28"/>
        <v>0</v>
      </c>
      <c r="AI16">
        <f t="shared" si="28"/>
        <v>0</v>
      </c>
      <c r="AJ16">
        <f t="shared" si="28"/>
        <v>0</v>
      </c>
      <c r="AK16">
        <f t="shared" si="28"/>
        <v>0</v>
      </c>
      <c r="AL16">
        <f t="shared" si="28"/>
        <v>0</v>
      </c>
      <c r="AM16">
        <f t="shared" si="28"/>
        <v>0</v>
      </c>
      <c r="AN16">
        <f t="shared" si="28"/>
        <v>0</v>
      </c>
      <c r="AO16">
        <f t="shared" si="28"/>
        <v>0</v>
      </c>
      <c r="AP16">
        <f t="shared" si="28"/>
        <v>0</v>
      </c>
      <c r="AQ16">
        <f t="shared" si="28"/>
        <v>0</v>
      </c>
      <c r="AR16">
        <f t="shared" si="29"/>
        <v>0</v>
      </c>
      <c r="AS16">
        <f t="shared" si="29"/>
        <v>0</v>
      </c>
      <c r="AT16">
        <f t="shared" si="29"/>
        <v>0</v>
      </c>
      <c r="AU16">
        <f t="shared" si="29"/>
        <v>0</v>
      </c>
      <c r="AV16">
        <f t="shared" si="29"/>
        <v>0</v>
      </c>
      <c r="AW16">
        <f t="shared" si="29"/>
        <v>0</v>
      </c>
      <c r="AX16">
        <f t="shared" si="29"/>
        <v>0</v>
      </c>
      <c r="BB16" s="36">
        <f t="shared" si="14"/>
        <v>0</v>
      </c>
      <c r="BC16" s="36">
        <f t="shared" si="15"/>
        <v>0</v>
      </c>
      <c r="BD16" s="36">
        <f t="shared" si="16"/>
        <v>0</v>
      </c>
      <c r="BE16" s="36">
        <f t="shared" si="17"/>
        <v>0</v>
      </c>
      <c r="BF16" s="36">
        <f t="shared" si="18"/>
        <v>0</v>
      </c>
      <c r="BG16" s="36">
        <f t="shared" si="19"/>
        <v>0</v>
      </c>
      <c r="BH16" s="36">
        <f t="shared" si="20"/>
        <v>0</v>
      </c>
      <c r="BI16" s="36">
        <f t="shared" si="21"/>
        <v>0</v>
      </c>
      <c r="BJ16" s="36">
        <f t="shared" si="22"/>
        <v>0</v>
      </c>
      <c r="BK16" s="36">
        <f t="shared" si="23"/>
        <v>0</v>
      </c>
      <c r="BL16" s="36">
        <f t="shared" si="24"/>
        <v>0</v>
      </c>
      <c r="BM16" s="36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6">
        <f>Database!E17</f>
        <v>0</v>
      </c>
      <c r="C17">
        <f>IF(Database!G17="cansl",0,Database!K17)</f>
        <v>0</v>
      </c>
      <c r="D17">
        <f>Database!D17-Database!C17</f>
        <v>0</v>
      </c>
      <c r="F17">
        <f>Database!L17</f>
        <v>0</v>
      </c>
      <c r="G17">
        <f>Database!F17</f>
        <v>0</v>
      </c>
      <c r="K17">
        <f t="shared" si="0"/>
        <v>0</v>
      </c>
      <c r="L17">
        <f t="shared" si="1"/>
        <v>0</v>
      </c>
      <c r="M17">
        <f t="shared" si="9"/>
        <v>0</v>
      </c>
      <c r="N17">
        <f t="shared" si="26"/>
        <v>0</v>
      </c>
      <c r="O17">
        <f t="shared" si="26"/>
        <v>0</v>
      </c>
      <c r="P17">
        <f t="shared" si="26"/>
        <v>0</v>
      </c>
      <c r="Q17">
        <f t="shared" si="26"/>
        <v>0</v>
      </c>
      <c r="R17">
        <f t="shared" si="26"/>
        <v>0</v>
      </c>
      <c r="S17">
        <f t="shared" si="26"/>
        <v>0</v>
      </c>
      <c r="T17">
        <f t="shared" si="26"/>
        <v>0</v>
      </c>
      <c r="U17">
        <f t="shared" si="26"/>
        <v>0</v>
      </c>
      <c r="V17">
        <f t="shared" si="26"/>
        <v>0</v>
      </c>
      <c r="W17">
        <f t="shared" si="26"/>
        <v>0</v>
      </c>
      <c r="X17">
        <f t="shared" si="27"/>
        <v>0</v>
      </c>
      <c r="Y17">
        <f t="shared" si="27"/>
        <v>0</v>
      </c>
      <c r="Z17">
        <f t="shared" si="27"/>
        <v>0</v>
      </c>
      <c r="AA17">
        <f t="shared" si="27"/>
        <v>0</v>
      </c>
      <c r="AB17">
        <f t="shared" si="27"/>
        <v>0</v>
      </c>
      <c r="AC17">
        <f t="shared" si="27"/>
        <v>0</v>
      </c>
      <c r="AD17">
        <f t="shared" si="27"/>
        <v>0</v>
      </c>
      <c r="AE17">
        <f t="shared" si="27"/>
        <v>0</v>
      </c>
      <c r="AF17">
        <f t="shared" si="27"/>
        <v>0</v>
      </c>
      <c r="AG17">
        <f t="shared" si="27"/>
        <v>0</v>
      </c>
      <c r="AH17">
        <f t="shared" si="28"/>
        <v>0</v>
      </c>
      <c r="AI17">
        <f t="shared" si="28"/>
        <v>0</v>
      </c>
      <c r="AJ17">
        <f t="shared" si="28"/>
        <v>0</v>
      </c>
      <c r="AK17">
        <f t="shared" si="28"/>
        <v>0</v>
      </c>
      <c r="AL17">
        <f t="shared" si="28"/>
        <v>0</v>
      </c>
      <c r="AM17">
        <f t="shared" si="28"/>
        <v>0</v>
      </c>
      <c r="AN17">
        <f t="shared" si="28"/>
        <v>0</v>
      </c>
      <c r="AO17">
        <f t="shared" si="28"/>
        <v>0</v>
      </c>
      <c r="AP17">
        <f t="shared" si="28"/>
        <v>0</v>
      </c>
      <c r="AQ17">
        <f t="shared" si="28"/>
        <v>0</v>
      </c>
      <c r="AR17">
        <f t="shared" si="29"/>
        <v>0</v>
      </c>
      <c r="AS17">
        <f t="shared" si="29"/>
        <v>0</v>
      </c>
      <c r="AT17">
        <f t="shared" si="29"/>
        <v>0</v>
      </c>
      <c r="AU17">
        <f t="shared" si="29"/>
        <v>0</v>
      </c>
      <c r="AV17">
        <f t="shared" si="29"/>
        <v>0</v>
      </c>
      <c r="AW17">
        <f t="shared" si="29"/>
        <v>0</v>
      </c>
      <c r="AX17">
        <f t="shared" si="29"/>
        <v>0</v>
      </c>
      <c r="BB17" s="36">
        <f t="shared" si="14"/>
        <v>0</v>
      </c>
      <c r="BC17" s="36">
        <f t="shared" si="15"/>
        <v>0</v>
      </c>
      <c r="BD17" s="36">
        <f t="shared" si="16"/>
        <v>0</v>
      </c>
      <c r="BE17" s="36">
        <f t="shared" si="17"/>
        <v>0</v>
      </c>
      <c r="BF17" s="36">
        <f t="shared" si="18"/>
        <v>0</v>
      </c>
      <c r="BG17" s="36">
        <f t="shared" si="19"/>
        <v>0</v>
      </c>
      <c r="BH17" s="36">
        <f t="shared" si="20"/>
        <v>0</v>
      </c>
      <c r="BI17" s="36">
        <f t="shared" si="21"/>
        <v>0</v>
      </c>
      <c r="BJ17" s="36">
        <f t="shared" si="22"/>
        <v>0</v>
      </c>
      <c r="BK17" s="36">
        <f t="shared" si="23"/>
        <v>0</v>
      </c>
      <c r="BL17" s="36">
        <f t="shared" si="24"/>
        <v>0</v>
      </c>
      <c r="BM17" s="36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6">
        <f>Database!E18</f>
        <v>0</v>
      </c>
      <c r="C18">
        <f>IF(Database!G18="cansl",0,Database!K18)</f>
        <v>0</v>
      </c>
      <c r="D18">
        <f>Database!D18-Database!C18</f>
        <v>0</v>
      </c>
      <c r="F18">
        <f>Database!L18</f>
        <v>0</v>
      </c>
      <c r="G18">
        <f>Database!F18</f>
        <v>0</v>
      </c>
      <c r="K18">
        <f t="shared" si="0"/>
        <v>0</v>
      </c>
      <c r="L18">
        <f t="shared" si="1"/>
        <v>0</v>
      </c>
      <c r="M18">
        <f t="shared" si="9"/>
        <v>0</v>
      </c>
      <c r="N18">
        <f t="shared" si="26"/>
        <v>0</v>
      </c>
      <c r="O18">
        <f t="shared" si="26"/>
        <v>0</v>
      </c>
      <c r="P18">
        <f t="shared" si="26"/>
        <v>0</v>
      </c>
      <c r="Q18">
        <f t="shared" si="26"/>
        <v>0</v>
      </c>
      <c r="R18">
        <f t="shared" si="26"/>
        <v>0</v>
      </c>
      <c r="S18">
        <f t="shared" si="26"/>
        <v>0</v>
      </c>
      <c r="T18">
        <f t="shared" si="26"/>
        <v>0</v>
      </c>
      <c r="U18">
        <f t="shared" si="26"/>
        <v>0</v>
      </c>
      <c r="V18">
        <f t="shared" si="26"/>
        <v>0</v>
      </c>
      <c r="W18">
        <f t="shared" si="26"/>
        <v>0</v>
      </c>
      <c r="X18">
        <f t="shared" si="27"/>
        <v>0</v>
      </c>
      <c r="Y18">
        <f t="shared" si="27"/>
        <v>0</v>
      </c>
      <c r="Z18">
        <f t="shared" si="27"/>
        <v>0</v>
      </c>
      <c r="AA18">
        <f t="shared" si="27"/>
        <v>0</v>
      </c>
      <c r="AB18">
        <f t="shared" si="27"/>
        <v>0</v>
      </c>
      <c r="AC18">
        <f t="shared" si="27"/>
        <v>0</v>
      </c>
      <c r="AD18">
        <f t="shared" si="27"/>
        <v>0</v>
      </c>
      <c r="AE18">
        <f t="shared" si="27"/>
        <v>0</v>
      </c>
      <c r="AF18">
        <f t="shared" si="27"/>
        <v>0</v>
      </c>
      <c r="AG18">
        <f t="shared" si="27"/>
        <v>0</v>
      </c>
      <c r="AH18">
        <f t="shared" si="28"/>
        <v>0</v>
      </c>
      <c r="AI18">
        <f t="shared" si="28"/>
        <v>0</v>
      </c>
      <c r="AJ18">
        <f t="shared" si="28"/>
        <v>0</v>
      </c>
      <c r="AK18">
        <f t="shared" si="28"/>
        <v>0</v>
      </c>
      <c r="AL18">
        <f t="shared" si="28"/>
        <v>0</v>
      </c>
      <c r="AM18">
        <f t="shared" si="28"/>
        <v>0</v>
      </c>
      <c r="AN18">
        <f t="shared" si="28"/>
        <v>0</v>
      </c>
      <c r="AO18">
        <f t="shared" si="28"/>
        <v>0</v>
      </c>
      <c r="AP18">
        <f t="shared" si="28"/>
        <v>0</v>
      </c>
      <c r="AQ18">
        <f t="shared" si="28"/>
        <v>0</v>
      </c>
      <c r="AR18">
        <f t="shared" si="29"/>
        <v>0</v>
      </c>
      <c r="AS18">
        <f t="shared" si="29"/>
        <v>0</v>
      </c>
      <c r="AT18">
        <f t="shared" si="29"/>
        <v>0</v>
      </c>
      <c r="AU18">
        <f t="shared" si="29"/>
        <v>0</v>
      </c>
      <c r="AV18">
        <f t="shared" si="29"/>
        <v>0</v>
      </c>
      <c r="AW18">
        <f t="shared" si="29"/>
        <v>0</v>
      </c>
      <c r="AX18">
        <f t="shared" si="29"/>
        <v>0</v>
      </c>
      <c r="BB18" s="36">
        <f t="shared" si="14"/>
        <v>0</v>
      </c>
      <c r="BC18" s="36">
        <f t="shared" si="15"/>
        <v>0</v>
      </c>
      <c r="BD18" s="36">
        <f t="shared" si="16"/>
        <v>0</v>
      </c>
      <c r="BE18" s="36">
        <f t="shared" si="17"/>
        <v>0</v>
      </c>
      <c r="BF18" s="36">
        <f t="shared" si="18"/>
        <v>0</v>
      </c>
      <c r="BG18" s="36">
        <f t="shared" si="19"/>
        <v>0</v>
      </c>
      <c r="BH18" s="36">
        <f t="shared" si="20"/>
        <v>0</v>
      </c>
      <c r="BI18" s="36">
        <f t="shared" si="21"/>
        <v>0</v>
      </c>
      <c r="BJ18" s="36">
        <f t="shared" si="22"/>
        <v>0</v>
      </c>
      <c r="BK18" s="36">
        <f t="shared" si="23"/>
        <v>0</v>
      </c>
      <c r="BL18" s="36">
        <f t="shared" si="24"/>
        <v>0</v>
      </c>
      <c r="BM18" s="36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6">
        <f>Database!E19</f>
        <v>0</v>
      </c>
      <c r="C19">
        <f>IF(Database!G19="cansl",0,Database!K19)</f>
        <v>0</v>
      </c>
      <c r="D19">
        <f>Database!D19-Database!C19</f>
        <v>0</v>
      </c>
      <c r="F19">
        <f>Database!L19</f>
        <v>0</v>
      </c>
      <c r="G19">
        <f>Database!F19</f>
        <v>0</v>
      </c>
      <c r="K19">
        <f t="shared" si="0"/>
        <v>0</v>
      </c>
      <c r="L19">
        <f t="shared" si="1"/>
        <v>0</v>
      </c>
      <c r="M19">
        <f t="shared" si="9"/>
        <v>0</v>
      </c>
      <c r="N19">
        <f t="shared" si="26"/>
        <v>0</v>
      </c>
      <c r="O19">
        <f t="shared" si="26"/>
        <v>0</v>
      </c>
      <c r="P19">
        <f t="shared" si="26"/>
        <v>0</v>
      </c>
      <c r="Q19">
        <f t="shared" si="26"/>
        <v>0</v>
      </c>
      <c r="R19">
        <f t="shared" si="26"/>
        <v>0</v>
      </c>
      <c r="S19">
        <f t="shared" si="26"/>
        <v>0</v>
      </c>
      <c r="T19">
        <f t="shared" si="26"/>
        <v>0</v>
      </c>
      <c r="U19">
        <f t="shared" si="26"/>
        <v>0</v>
      </c>
      <c r="V19">
        <f t="shared" si="26"/>
        <v>0</v>
      </c>
      <c r="W19">
        <f t="shared" si="26"/>
        <v>0</v>
      </c>
      <c r="X19">
        <f t="shared" si="27"/>
        <v>0</v>
      </c>
      <c r="Y19">
        <f t="shared" si="27"/>
        <v>0</v>
      </c>
      <c r="Z19">
        <f t="shared" si="27"/>
        <v>0</v>
      </c>
      <c r="AA19">
        <f t="shared" si="27"/>
        <v>0</v>
      </c>
      <c r="AB19">
        <f t="shared" si="27"/>
        <v>0</v>
      </c>
      <c r="AC19">
        <f t="shared" si="27"/>
        <v>0</v>
      </c>
      <c r="AD19">
        <f t="shared" si="27"/>
        <v>0</v>
      </c>
      <c r="AE19">
        <f t="shared" si="27"/>
        <v>0</v>
      </c>
      <c r="AF19">
        <f t="shared" si="27"/>
        <v>0</v>
      </c>
      <c r="AG19">
        <f t="shared" si="27"/>
        <v>0</v>
      </c>
      <c r="AH19">
        <f t="shared" si="28"/>
        <v>0</v>
      </c>
      <c r="AI19">
        <f t="shared" si="28"/>
        <v>0</v>
      </c>
      <c r="AJ19">
        <f t="shared" si="28"/>
        <v>0</v>
      </c>
      <c r="AK19">
        <f t="shared" si="28"/>
        <v>0</v>
      </c>
      <c r="AL19">
        <f t="shared" si="28"/>
        <v>0</v>
      </c>
      <c r="AM19">
        <f t="shared" si="28"/>
        <v>0</v>
      </c>
      <c r="AN19">
        <f t="shared" si="28"/>
        <v>0</v>
      </c>
      <c r="AO19">
        <f t="shared" si="28"/>
        <v>0</v>
      </c>
      <c r="AP19">
        <f t="shared" si="28"/>
        <v>0</v>
      </c>
      <c r="AQ19">
        <f t="shared" si="28"/>
        <v>0</v>
      </c>
      <c r="AR19">
        <f t="shared" si="29"/>
        <v>0</v>
      </c>
      <c r="AS19">
        <f t="shared" si="29"/>
        <v>0</v>
      </c>
      <c r="AT19">
        <f t="shared" si="29"/>
        <v>0</v>
      </c>
      <c r="AU19">
        <f t="shared" si="29"/>
        <v>0</v>
      </c>
      <c r="AV19">
        <f t="shared" si="29"/>
        <v>0</v>
      </c>
      <c r="AW19">
        <f t="shared" si="29"/>
        <v>0</v>
      </c>
      <c r="AX19">
        <f t="shared" si="29"/>
        <v>0</v>
      </c>
      <c r="BB19" s="36">
        <f t="shared" si="14"/>
        <v>0</v>
      </c>
      <c r="BC19" s="36">
        <f t="shared" si="15"/>
        <v>0</v>
      </c>
      <c r="BD19" s="36">
        <f t="shared" si="16"/>
        <v>0</v>
      </c>
      <c r="BE19" s="36">
        <f t="shared" si="17"/>
        <v>0</v>
      </c>
      <c r="BF19" s="36">
        <f t="shared" si="18"/>
        <v>0</v>
      </c>
      <c r="BG19" s="36">
        <f t="shared" si="19"/>
        <v>0</v>
      </c>
      <c r="BH19" s="36">
        <f t="shared" si="20"/>
        <v>0</v>
      </c>
      <c r="BI19" s="36">
        <f t="shared" si="21"/>
        <v>0</v>
      </c>
      <c r="BJ19" s="36">
        <f t="shared" si="22"/>
        <v>0</v>
      </c>
      <c r="BK19" s="36">
        <f t="shared" si="23"/>
        <v>0</v>
      </c>
      <c r="BL19" s="36">
        <f t="shared" si="24"/>
        <v>0</v>
      </c>
      <c r="BM19" s="36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6">
        <f>Database!E20</f>
        <v>0</v>
      </c>
      <c r="C20">
        <f>IF(Database!G20="cansl",0,Database!K20)</f>
        <v>0</v>
      </c>
      <c r="D20">
        <f>Database!D20-Database!C20</f>
        <v>0</v>
      </c>
      <c r="F20">
        <f>Database!L20</f>
        <v>0</v>
      </c>
      <c r="G20">
        <f>Database!F20</f>
        <v>0</v>
      </c>
      <c r="K20">
        <f t="shared" si="0"/>
        <v>0</v>
      </c>
      <c r="L20">
        <f t="shared" si="1"/>
        <v>0</v>
      </c>
      <c r="M20">
        <f t="shared" si="9"/>
        <v>0</v>
      </c>
      <c r="N20">
        <f t="shared" si="26"/>
        <v>0</v>
      </c>
      <c r="O20">
        <f t="shared" si="26"/>
        <v>0</v>
      </c>
      <c r="P20">
        <f t="shared" si="26"/>
        <v>0</v>
      </c>
      <c r="Q20">
        <f t="shared" si="26"/>
        <v>0</v>
      </c>
      <c r="R20">
        <f t="shared" si="26"/>
        <v>0</v>
      </c>
      <c r="S20">
        <f t="shared" si="26"/>
        <v>0</v>
      </c>
      <c r="T20">
        <f t="shared" si="26"/>
        <v>0</v>
      </c>
      <c r="U20">
        <f t="shared" si="26"/>
        <v>0</v>
      </c>
      <c r="V20">
        <f t="shared" si="26"/>
        <v>0</v>
      </c>
      <c r="W20">
        <f t="shared" si="26"/>
        <v>0</v>
      </c>
      <c r="X20">
        <f t="shared" si="27"/>
        <v>0</v>
      </c>
      <c r="Y20">
        <f t="shared" si="27"/>
        <v>0</v>
      </c>
      <c r="Z20">
        <f t="shared" si="27"/>
        <v>0</v>
      </c>
      <c r="AA20">
        <f t="shared" si="27"/>
        <v>0</v>
      </c>
      <c r="AB20">
        <f t="shared" si="27"/>
        <v>0</v>
      </c>
      <c r="AC20">
        <f t="shared" si="27"/>
        <v>0</v>
      </c>
      <c r="AD20">
        <f t="shared" si="27"/>
        <v>0</v>
      </c>
      <c r="AE20">
        <f t="shared" si="27"/>
        <v>0</v>
      </c>
      <c r="AF20">
        <f t="shared" si="27"/>
        <v>0</v>
      </c>
      <c r="AG20">
        <f t="shared" si="27"/>
        <v>0</v>
      </c>
      <c r="AH20">
        <f t="shared" si="28"/>
        <v>0</v>
      </c>
      <c r="AI20">
        <f t="shared" si="28"/>
        <v>0</v>
      </c>
      <c r="AJ20">
        <f t="shared" si="28"/>
        <v>0</v>
      </c>
      <c r="AK20">
        <f t="shared" si="28"/>
        <v>0</v>
      </c>
      <c r="AL20">
        <f t="shared" si="28"/>
        <v>0</v>
      </c>
      <c r="AM20">
        <f t="shared" si="28"/>
        <v>0</v>
      </c>
      <c r="AN20">
        <f t="shared" si="28"/>
        <v>0</v>
      </c>
      <c r="AO20">
        <f t="shared" si="28"/>
        <v>0</v>
      </c>
      <c r="AP20">
        <f t="shared" si="28"/>
        <v>0</v>
      </c>
      <c r="AQ20">
        <f t="shared" si="28"/>
        <v>0</v>
      </c>
      <c r="AR20">
        <f t="shared" si="29"/>
        <v>0</v>
      </c>
      <c r="AS20">
        <f t="shared" si="29"/>
        <v>0</v>
      </c>
      <c r="AT20">
        <f t="shared" si="29"/>
        <v>0</v>
      </c>
      <c r="AU20">
        <f t="shared" si="29"/>
        <v>0</v>
      </c>
      <c r="AV20">
        <f t="shared" si="29"/>
        <v>0</v>
      </c>
      <c r="AW20">
        <f t="shared" si="29"/>
        <v>0</v>
      </c>
      <c r="AX20">
        <f t="shared" si="29"/>
        <v>0</v>
      </c>
      <c r="BB20" s="36">
        <f t="shared" si="14"/>
        <v>0</v>
      </c>
      <c r="BC20" s="36">
        <f t="shared" si="15"/>
        <v>0</v>
      </c>
      <c r="BD20" s="36">
        <f t="shared" si="16"/>
        <v>0</v>
      </c>
      <c r="BE20" s="36">
        <f t="shared" si="17"/>
        <v>0</v>
      </c>
      <c r="BF20" s="36">
        <f t="shared" si="18"/>
        <v>0</v>
      </c>
      <c r="BG20" s="36">
        <f t="shared" si="19"/>
        <v>0</v>
      </c>
      <c r="BH20" s="36">
        <f t="shared" si="20"/>
        <v>0</v>
      </c>
      <c r="BI20" s="36">
        <f t="shared" si="21"/>
        <v>0</v>
      </c>
      <c r="BJ20" s="36">
        <f t="shared" si="22"/>
        <v>0</v>
      </c>
      <c r="BK20" s="36">
        <f t="shared" si="23"/>
        <v>0</v>
      </c>
      <c r="BL20" s="36">
        <f t="shared" si="24"/>
        <v>0</v>
      </c>
      <c r="BM20" s="36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6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6">
        <f t="shared" si="14"/>
        <v>0</v>
      </c>
      <c r="BC21" s="36">
        <f t="shared" si="15"/>
        <v>0</v>
      </c>
      <c r="BD21" s="36">
        <f t="shared" si="16"/>
        <v>0</v>
      </c>
      <c r="BE21" s="36">
        <f t="shared" si="17"/>
        <v>0</v>
      </c>
      <c r="BF21" s="36">
        <f t="shared" si="18"/>
        <v>0</v>
      </c>
      <c r="BG21" s="36">
        <f t="shared" si="19"/>
        <v>0</v>
      </c>
      <c r="BH21" s="36">
        <f t="shared" si="20"/>
        <v>0</v>
      </c>
      <c r="BI21" s="36">
        <f t="shared" si="21"/>
        <v>0</v>
      </c>
      <c r="BJ21" s="36">
        <f t="shared" si="22"/>
        <v>0</v>
      </c>
      <c r="BK21" s="36">
        <f t="shared" si="23"/>
        <v>0</v>
      </c>
      <c r="BL21" s="36">
        <f t="shared" si="24"/>
        <v>0</v>
      </c>
      <c r="BM21" s="36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6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6">
        <f t="shared" si="14"/>
        <v>0</v>
      </c>
      <c r="BC22" s="36">
        <f t="shared" si="15"/>
        <v>0</v>
      </c>
      <c r="BD22" s="36">
        <f t="shared" si="16"/>
        <v>0</v>
      </c>
      <c r="BE22" s="36">
        <f t="shared" si="17"/>
        <v>0</v>
      </c>
      <c r="BF22" s="36">
        <f t="shared" si="18"/>
        <v>0</v>
      </c>
      <c r="BG22" s="36">
        <f t="shared" si="19"/>
        <v>0</v>
      </c>
      <c r="BH22" s="36">
        <f t="shared" si="20"/>
        <v>0</v>
      </c>
      <c r="BI22" s="36">
        <f t="shared" si="21"/>
        <v>0</v>
      </c>
      <c r="BJ22" s="36">
        <f t="shared" si="22"/>
        <v>0</v>
      </c>
      <c r="BK22" s="36">
        <f t="shared" si="23"/>
        <v>0</v>
      </c>
      <c r="BL22" s="36">
        <f t="shared" si="24"/>
        <v>0</v>
      </c>
      <c r="BM22" s="36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6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6">
        <f t="shared" si="14"/>
        <v>0</v>
      </c>
      <c r="BC23" s="36">
        <f t="shared" si="15"/>
        <v>0</v>
      </c>
      <c r="BD23" s="36">
        <f t="shared" si="16"/>
        <v>0</v>
      </c>
      <c r="BE23" s="36">
        <f t="shared" si="17"/>
        <v>0</v>
      </c>
      <c r="BF23" s="36">
        <f t="shared" si="18"/>
        <v>0</v>
      </c>
      <c r="BG23" s="36">
        <f t="shared" si="19"/>
        <v>0</v>
      </c>
      <c r="BH23" s="36">
        <f t="shared" si="20"/>
        <v>0</v>
      </c>
      <c r="BI23" s="36">
        <f t="shared" si="21"/>
        <v>0</v>
      </c>
      <c r="BJ23" s="36">
        <f t="shared" si="22"/>
        <v>0</v>
      </c>
      <c r="BK23" s="36">
        <f t="shared" si="23"/>
        <v>0</v>
      </c>
      <c r="BL23" s="36">
        <f t="shared" si="24"/>
        <v>0</v>
      </c>
      <c r="BM23" s="36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6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6">
        <f t="shared" si="14"/>
        <v>0</v>
      </c>
      <c r="BC24" s="36">
        <f t="shared" si="15"/>
        <v>0</v>
      </c>
      <c r="BD24" s="36">
        <f t="shared" si="16"/>
        <v>0</v>
      </c>
      <c r="BE24" s="36">
        <f t="shared" si="17"/>
        <v>0</v>
      </c>
      <c r="BF24" s="36">
        <f t="shared" si="18"/>
        <v>0</v>
      </c>
      <c r="BG24" s="36">
        <f t="shared" si="19"/>
        <v>0</v>
      </c>
      <c r="BH24" s="36">
        <f t="shared" si="20"/>
        <v>0</v>
      </c>
      <c r="BI24" s="36">
        <f t="shared" si="21"/>
        <v>0</v>
      </c>
      <c r="BJ24" s="36">
        <f t="shared" si="22"/>
        <v>0</v>
      </c>
      <c r="BK24" s="36">
        <f t="shared" si="23"/>
        <v>0</v>
      </c>
      <c r="BL24" s="36">
        <f t="shared" si="24"/>
        <v>0</v>
      </c>
      <c r="BM24" s="36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6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6">
        <f t="shared" si="14"/>
        <v>0</v>
      </c>
      <c r="BC25" s="36">
        <f t="shared" si="15"/>
        <v>0</v>
      </c>
      <c r="BD25" s="36">
        <f t="shared" si="16"/>
        <v>0</v>
      </c>
      <c r="BE25" s="36">
        <f t="shared" si="17"/>
        <v>0</v>
      </c>
      <c r="BF25" s="36">
        <f t="shared" si="18"/>
        <v>0</v>
      </c>
      <c r="BG25" s="36">
        <f t="shared" si="19"/>
        <v>0</v>
      </c>
      <c r="BH25" s="36">
        <f t="shared" si="20"/>
        <v>0</v>
      </c>
      <c r="BI25" s="36">
        <f t="shared" si="21"/>
        <v>0</v>
      </c>
      <c r="BJ25" s="36">
        <f t="shared" si="22"/>
        <v>0</v>
      </c>
      <c r="BK25" s="36">
        <f t="shared" si="23"/>
        <v>0</v>
      </c>
      <c r="BL25" s="36">
        <f t="shared" si="24"/>
        <v>0</v>
      </c>
      <c r="BM25" s="36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6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6">
        <f t="shared" si="14"/>
        <v>0</v>
      </c>
      <c r="BC26" s="36">
        <f t="shared" si="15"/>
        <v>0</v>
      </c>
      <c r="BD26" s="36">
        <f t="shared" si="16"/>
        <v>0</v>
      </c>
      <c r="BE26" s="36">
        <f t="shared" si="17"/>
        <v>0</v>
      </c>
      <c r="BF26" s="36">
        <f t="shared" si="18"/>
        <v>0</v>
      </c>
      <c r="BG26" s="36">
        <f t="shared" si="19"/>
        <v>0</v>
      </c>
      <c r="BH26" s="36">
        <f t="shared" si="20"/>
        <v>0</v>
      </c>
      <c r="BI26" s="36">
        <f t="shared" si="21"/>
        <v>0</v>
      </c>
      <c r="BJ26" s="36">
        <f t="shared" si="22"/>
        <v>0</v>
      </c>
      <c r="BK26" s="36">
        <f t="shared" si="23"/>
        <v>0</v>
      </c>
      <c r="BL26" s="36">
        <f t="shared" si="24"/>
        <v>0</v>
      </c>
      <c r="BM26" s="36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6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6">
        <f t="shared" si="14"/>
        <v>0</v>
      </c>
      <c r="BC27" s="36">
        <f t="shared" si="15"/>
        <v>0</v>
      </c>
      <c r="BD27" s="36">
        <f t="shared" si="16"/>
        <v>0</v>
      </c>
      <c r="BE27" s="36">
        <f t="shared" si="17"/>
        <v>0</v>
      </c>
      <c r="BF27" s="36">
        <f t="shared" si="18"/>
        <v>0</v>
      </c>
      <c r="BG27" s="36">
        <f t="shared" si="19"/>
        <v>0</v>
      </c>
      <c r="BH27" s="36">
        <f t="shared" si="20"/>
        <v>0</v>
      </c>
      <c r="BI27" s="36">
        <f t="shared" si="21"/>
        <v>0</v>
      </c>
      <c r="BJ27" s="36">
        <f t="shared" si="22"/>
        <v>0</v>
      </c>
      <c r="BK27" s="36">
        <f t="shared" si="23"/>
        <v>0</v>
      </c>
      <c r="BL27" s="36">
        <f t="shared" si="24"/>
        <v>0</v>
      </c>
      <c r="BM27" s="36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6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6">
        <f t="shared" si="14"/>
        <v>0</v>
      </c>
      <c r="BC28" s="36">
        <f t="shared" si="15"/>
        <v>0</v>
      </c>
      <c r="BD28" s="36">
        <f t="shared" si="16"/>
        <v>0</v>
      </c>
      <c r="BE28" s="36">
        <f t="shared" si="17"/>
        <v>0</v>
      </c>
      <c r="BF28" s="36">
        <f t="shared" si="18"/>
        <v>0</v>
      </c>
      <c r="BG28" s="36">
        <f t="shared" si="19"/>
        <v>0</v>
      </c>
      <c r="BH28" s="36">
        <f t="shared" si="20"/>
        <v>0</v>
      </c>
      <c r="BI28" s="36">
        <f t="shared" si="21"/>
        <v>0</v>
      </c>
      <c r="BJ28" s="36">
        <f t="shared" si="22"/>
        <v>0</v>
      </c>
      <c r="BK28" s="36">
        <f t="shared" si="23"/>
        <v>0</v>
      </c>
      <c r="BL28" s="36">
        <f t="shared" si="24"/>
        <v>0</v>
      </c>
      <c r="BM28" s="36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6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6">
        <f t="shared" si="14"/>
        <v>0</v>
      </c>
      <c r="BC29" s="36">
        <f t="shared" si="15"/>
        <v>0</v>
      </c>
      <c r="BD29" s="36">
        <f t="shared" si="16"/>
        <v>0</v>
      </c>
      <c r="BE29" s="36">
        <f t="shared" si="17"/>
        <v>0</v>
      </c>
      <c r="BF29" s="36">
        <f t="shared" si="18"/>
        <v>0</v>
      </c>
      <c r="BG29" s="36">
        <f t="shared" si="19"/>
        <v>0</v>
      </c>
      <c r="BH29" s="36">
        <f t="shared" si="20"/>
        <v>0</v>
      </c>
      <c r="BI29" s="36">
        <f t="shared" si="21"/>
        <v>0</v>
      </c>
      <c r="BJ29" s="36">
        <f t="shared" si="22"/>
        <v>0</v>
      </c>
      <c r="BK29" s="36">
        <f t="shared" si="23"/>
        <v>0</v>
      </c>
      <c r="BL29" s="36">
        <f t="shared" si="24"/>
        <v>0</v>
      </c>
      <c r="BM29" s="36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6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6">
        <f t="shared" si="14"/>
        <v>0</v>
      </c>
      <c r="BC30" s="36">
        <f t="shared" si="15"/>
        <v>0</v>
      </c>
      <c r="BD30" s="36">
        <f t="shared" si="16"/>
        <v>0</v>
      </c>
      <c r="BE30" s="36">
        <f t="shared" si="17"/>
        <v>0</v>
      </c>
      <c r="BF30" s="36">
        <f t="shared" si="18"/>
        <v>0</v>
      </c>
      <c r="BG30" s="36">
        <f t="shared" si="19"/>
        <v>0</v>
      </c>
      <c r="BH30" s="36">
        <f t="shared" si="20"/>
        <v>0</v>
      </c>
      <c r="BI30" s="36">
        <f t="shared" si="21"/>
        <v>0</v>
      </c>
      <c r="BJ30" s="36">
        <f t="shared" si="22"/>
        <v>0</v>
      </c>
      <c r="BK30" s="36">
        <f t="shared" si="23"/>
        <v>0</v>
      </c>
      <c r="BL30" s="36">
        <f t="shared" si="24"/>
        <v>0</v>
      </c>
      <c r="BM30" s="36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6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6">
        <f t="shared" si="14"/>
        <v>0</v>
      </c>
      <c r="BC31" s="36">
        <f t="shared" si="15"/>
        <v>0</v>
      </c>
      <c r="BD31" s="36">
        <f t="shared" si="16"/>
        <v>0</v>
      </c>
      <c r="BE31" s="36">
        <f t="shared" si="17"/>
        <v>0</v>
      </c>
      <c r="BF31" s="36">
        <f t="shared" si="18"/>
        <v>0</v>
      </c>
      <c r="BG31" s="36">
        <f t="shared" si="19"/>
        <v>0</v>
      </c>
      <c r="BH31" s="36">
        <f t="shared" si="20"/>
        <v>0</v>
      </c>
      <c r="BI31" s="36">
        <f t="shared" si="21"/>
        <v>0</v>
      </c>
      <c r="BJ31" s="36">
        <f t="shared" si="22"/>
        <v>0</v>
      </c>
      <c r="BK31" s="36">
        <f t="shared" si="23"/>
        <v>0</v>
      </c>
      <c r="BL31" s="36">
        <f t="shared" si="24"/>
        <v>0</v>
      </c>
      <c r="BM31" s="36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6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6">
        <f t="shared" si="14"/>
        <v>0</v>
      </c>
      <c r="BC32" s="36">
        <f t="shared" si="15"/>
        <v>0</v>
      </c>
      <c r="BD32" s="36">
        <f t="shared" si="16"/>
        <v>0</v>
      </c>
      <c r="BE32" s="36">
        <f t="shared" si="17"/>
        <v>0</v>
      </c>
      <c r="BF32" s="36">
        <f t="shared" si="18"/>
        <v>0</v>
      </c>
      <c r="BG32" s="36">
        <f t="shared" si="19"/>
        <v>0</v>
      </c>
      <c r="BH32" s="36">
        <f t="shared" si="20"/>
        <v>0</v>
      </c>
      <c r="BI32" s="36">
        <f t="shared" si="21"/>
        <v>0</v>
      </c>
      <c r="BJ32" s="36">
        <f t="shared" si="22"/>
        <v>0</v>
      </c>
      <c r="BK32" s="36">
        <f t="shared" si="23"/>
        <v>0</v>
      </c>
      <c r="BL32" s="36">
        <f t="shared" si="24"/>
        <v>0</v>
      </c>
      <c r="BM32" s="36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6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6">
        <f t="shared" si="14"/>
        <v>0</v>
      </c>
      <c r="BC33" s="36">
        <f t="shared" si="15"/>
        <v>0</v>
      </c>
      <c r="BD33" s="36">
        <f t="shared" si="16"/>
        <v>0</v>
      </c>
      <c r="BE33" s="36">
        <f t="shared" si="17"/>
        <v>0</v>
      </c>
      <c r="BF33" s="36">
        <f t="shared" si="18"/>
        <v>0</v>
      </c>
      <c r="BG33" s="36">
        <f t="shared" si="19"/>
        <v>0</v>
      </c>
      <c r="BH33" s="36">
        <f t="shared" si="20"/>
        <v>0</v>
      </c>
      <c r="BI33" s="36">
        <f t="shared" si="21"/>
        <v>0</v>
      </c>
      <c r="BJ33" s="36">
        <f t="shared" si="22"/>
        <v>0</v>
      </c>
      <c r="BK33" s="36">
        <f t="shared" si="23"/>
        <v>0</v>
      </c>
      <c r="BL33" s="36">
        <f t="shared" si="24"/>
        <v>0</v>
      </c>
      <c r="BM33" s="36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6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6">
        <f t="shared" si="14"/>
        <v>0</v>
      </c>
      <c r="BC34" s="36">
        <f t="shared" si="15"/>
        <v>0</v>
      </c>
      <c r="BD34" s="36">
        <f t="shared" si="16"/>
        <v>0</v>
      </c>
      <c r="BE34" s="36">
        <f t="shared" si="17"/>
        <v>0</v>
      </c>
      <c r="BF34" s="36">
        <f t="shared" si="18"/>
        <v>0</v>
      </c>
      <c r="BG34" s="36">
        <f t="shared" si="19"/>
        <v>0</v>
      </c>
      <c r="BH34" s="36">
        <f t="shared" si="20"/>
        <v>0</v>
      </c>
      <c r="BI34" s="36">
        <f t="shared" si="21"/>
        <v>0</v>
      </c>
      <c r="BJ34" s="36">
        <f t="shared" si="22"/>
        <v>0</v>
      </c>
      <c r="BK34" s="36">
        <f t="shared" si="23"/>
        <v>0</v>
      </c>
      <c r="BL34" s="36">
        <f t="shared" si="24"/>
        <v>0</v>
      </c>
      <c r="BM34" s="36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5">
      <c r="A35">
        <f>Database!A35</f>
        <v>34</v>
      </c>
      <c r="B35" s="26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6">
        <f t="shared" si="14"/>
        <v>0</v>
      </c>
      <c r="BC35" s="36">
        <f t="shared" si="15"/>
        <v>0</v>
      </c>
      <c r="BD35" s="36">
        <f t="shared" si="16"/>
        <v>0</v>
      </c>
      <c r="BE35" s="36">
        <f t="shared" si="17"/>
        <v>0</v>
      </c>
      <c r="BF35" s="36">
        <f t="shared" si="18"/>
        <v>0</v>
      </c>
      <c r="BG35" s="36">
        <f t="shared" si="19"/>
        <v>0</v>
      </c>
      <c r="BH35" s="36">
        <f t="shared" si="20"/>
        <v>0</v>
      </c>
      <c r="BI35" s="36">
        <f t="shared" si="21"/>
        <v>0</v>
      </c>
      <c r="BJ35" s="36">
        <f t="shared" si="22"/>
        <v>0</v>
      </c>
      <c r="BK35" s="36">
        <f t="shared" si="23"/>
        <v>0</v>
      </c>
      <c r="BL35" s="36">
        <f t="shared" si="24"/>
        <v>0</v>
      </c>
      <c r="BM35" s="36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5">
      <c r="A36">
        <f>Database!A36</f>
        <v>35</v>
      </c>
      <c r="B36" s="26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6">
        <f t="shared" si="14"/>
        <v>0</v>
      </c>
      <c r="BC36" s="36">
        <f t="shared" si="15"/>
        <v>0</v>
      </c>
      <c r="BD36" s="36">
        <f t="shared" si="16"/>
        <v>0</v>
      </c>
      <c r="BE36" s="36">
        <f t="shared" si="17"/>
        <v>0</v>
      </c>
      <c r="BF36" s="36">
        <f t="shared" si="18"/>
        <v>0</v>
      </c>
      <c r="BG36" s="36">
        <f t="shared" si="19"/>
        <v>0</v>
      </c>
      <c r="BH36" s="36">
        <f t="shared" si="20"/>
        <v>0</v>
      </c>
      <c r="BI36" s="36">
        <f t="shared" si="21"/>
        <v>0</v>
      </c>
      <c r="BJ36" s="36">
        <f t="shared" si="22"/>
        <v>0</v>
      </c>
      <c r="BK36" s="36">
        <f t="shared" si="23"/>
        <v>0</v>
      </c>
      <c r="BL36" s="36">
        <f t="shared" si="24"/>
        <v>0</v>
      </c>
      <c r="BM36" s="36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5">
      <c r="A37">
        <f>Database!A37</f>
        <v>36</v>
      </c>
      <c r="B37" s="26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6">
        <f t="shared" si="14"/>
        <v>0</v>
      </c>
      <c r="BC37" s="36">
        <f t="shared" si="15"/>
        <v>0</v>
      </c>
      <c r="BD37" s="36">
        <f t="shared" si="16"/>
        <v>0</v>
      </c>
      <c r="BE37" s="36">
        <f t="shared" si="17"/>
        <v>0</v>
      </c>
      <c r="BF37" s="36">
        <f t="shared" si="18"/>
        <v>0</v>
      </c>
      <c r="BG37" s="36">
        <f t="shared" si="19"/>
        <v>0</v>
      </c>
      <c r="BH37" s="36">
        <f t="shared" si="20"/>
        <v>0</v>
      </c>
      <c r="BI37" s="36">
        <f t="shared" si="21"/>
        <v>0</v>
      </c>
      <c r="BJ37" s="36">
        <f t="shared" si="22"/>
        <v>0</v>
      </c>
      <c r="BK37" s="36">
        <f t="shared" si="23"/>
        <v>0</v>
      </c>
      <c r="BL37" s="36">
        <f t="shared" si="24"/>
        <v>0</v>
      </c>
      <c r="BM37" s="36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5">
      <c r="A38">
        <f>Database!A38</f>
        <v>37</v>
      </c>
      <c r="B38" s="26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6">
        <f t="shared" si="14"/>
        <v>0</v>
      </c>
      <c r="BC38" s="36">
        <f t="shared" si="15"/>
        <v>0</v>
      </c>
      <c r="BD38" s="36">
        <f t="shared" si="16"/>
        <v>0</v>
      </c>
      <c r="BE38" s="36">
        <f t="shared" si="17"/>
        <v>0</v>
      </c>
      <c r="BF38" s="36">
        <f t="shared" si="18"/>
        <v>0</v>
      </c>
      <c r="BG38" s="36">
        <f t="shared" si="19"/>
        <v>0</v>
      </c>
      <c r="BH38" s="36">
        <f t="shared" si="20"/>
        <v>0</v>
      </c>
      <c r="BI38" s="36">
        <f t="shared" si="21"/>
        <v>0</v>
      </c>
      <c r="BJ38" s="36">
        <f t="shared" si="22"/>
        <v>0</v>
      </c>
      <c r="BK38" s="36">
        <f t="shared" si="23"/>
        <v>0</v>
      </c>
      <c r="BL38" s="36">
        <f t="shared" si="24"/>
        <v>0</v>
      </c>
      <c r="BM38" s="36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5">
      <c r="A39">
        <f>Database!A39</f>
        <v>38</v>
      </c>
      <c r="B39" s="26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6">
        <f t="shared" si="14"/>
        <v>0</v>
      </c>
      <c r="BC39" s="36">
        <f t="shared" si="15"/>
        <v>0</v>
      </c>
      <c r="BD39" s="36">
        <f t="shared" si="16"/>
        <v>0</v>
      </c>
      <c r="BE39" s="36">
        <f t="shared" si="17"/>
        <v>0</v>
      </c>
      <c r="BF39" s="36">
        <f t="shared" si="18"/>
        <v>0</v>
      </c>
      <c r="BG39" s="36">
        <f t="shared" si="19"/>
        <v>0</v>
      </c>
      <c r="BH39" s="36">
        <f t="shared" si="20"/>
        <v>0</v>
      </c>
      <c r="BI39" s="36">
        <f t="shared" si="21"/>
        <v>0</v>
      </c>
      <c r="BJ39" s="36">
        <f t="shared" si="22"/>
        <v>0</v>
      </c>
      <c r="BK39" s="36">
        <f t="shared" si="23"/>
        <v>0</v>
      </c>
      <c r="BL39" s="36">
        <f t="shared" si="24"/>
        <v>0</v>
      </c>
      <c r="BM39" s="36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5">
      <c r="A40">
        <f>Database!A40</f>
        <v>39</v>
      </c>
      <c r="B40" s="26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6">
        <f t="shared" si="14"/>
        <v>0</v>
      </c>
      <c r="BC40" s="36">
        <f t="shared" si="15"/>
        <v>0</v>
      </c>
      <c r="BD40" s="36">
        <f t="shared" si="16"/>
        <v>0</v>
      </c>
      <c r="BE40" s="36">
        <f t="shared" si="17"/>
        <v>0</v>
      </c>
      <c r="BF40" s="36">
        <f t="shared" si="18"/>
        <v>0</v>
      </c>
      <c r="BG40" s="36">
        <f t="shared" si="19"/>
        <v>0</v>
      </c>
      <c r="BH40" s="36">
        <f t="shared" si="20"/>
        <v>0</v>
      </c>
      <c r="BI40" s="36">
        <f t="shared" si="21"/>
        <v>0</v>
      </c>
      <c r="BJ40" s="36">
        <f t="shared" si="22"/>
        <v>0</v>
      </c>
      <c r="BK40" s="36">
        <f t="shared" si="23"/>
        <v>0</v>
      </c>
      <c r="BL40" s="36">
        <f t="shared" si="24"/>
        <v>0</v>
      </c>
      <c r="BM40" s="36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5">
      <c r="A41">
        <f>Database!A41</f>
        <v>40</v>
      </c>
      <c r="B41" s="26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6">
        <f t="shared" si="14"/>
        <v>0</v>
      </c>
      <c r="BC41" s="36">
        <f t="shared" si="15"/>
        <v>0</v>
      </c>
      <c r="BD41" s="36">
        <f t="shared" si="16"/>
        <v>0</v>
      </c>
      <c r="BE41" s="36">
        <f t="shared" si="17"/>
        <v>0</v>
      </c>
      <c r="BF41" s="36">
        <f t="shared" si="18"/>
        <v>0</v>
      </c>
      <c r="BG41" s="36">
        <f t="shared" si="19"/>
        <v>0</v>
      </c>
      <c r="BH41" s="36">
        <f t="shared" si="20"/>
        <v>0</v>
      </c>
      <c r="BI41" s="36">
        <f t="shared" si="21"/>
        <v>0</v>
      </c>
      <c r="BJ41" s="36">
        <f t="shared" si="22"/>
        <v>0</v>
      </c>
      <c r="BK41" s="36">
        <f t="shared" si="23"/>
        <v>0</v>
      </c>
      <c r="BL41" s="36">
        <f t="shared" si="24"/>
        <v>0</v>
      </c>
      <c r="BM41" s="36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5">
      <c r="A42">
        <f>Database!A42</f>
        <v>41</v>
      </c>
      <c r="B42" s="26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6">
        <f t="shared" si="14"/>
        <v>0</v>
      </c>
      <c r="BC42" s="36">
        <f t="shared" si="15"/>
        <v>0</v>
      </c>
      <c r="BD42" s="36">
        <f t="shared" si="16"/>
        <v>0</v>
      </c>
      <c r="BE42" s="36">
        <f t="shared" si="17"/>
        <v>0</v>
      </c>
      <c r="BF42" s="36">
        <f t="shared" si="18"/>
        <v>0</v>
      </c>
      <c r="BG42" s="36">
        <f t="shared" si="19"/>
        <v>0</v>
      </c>
      <c r="BH42" s="36">
        <f t="shared" si="20"/>
        <v>0</v>
      </c>
      <c r="BI42" s="36">
        <f t="shared" si="21"/>
        <v>0</v>
      </c>
      <c r="BJ42" s="36">
        <f t="shared" si="22"/>
        <v>0</v>
      </c>
      <c r="BK42" s="36">
        <f t="shared" si="23"/>
        <v>0</v>
      </c>
      <c r="BL42" s="36">
        <f t="shared" si="24"/>
        <v>0</v>
      </c>
      <c r="BM42" s="36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5">
      <c r="A43">
        <f>Database!A43</f>
        <v>42</v>
      </c>
      <c r="B43" s="26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6">
        <f t="shared" si="14"/>
        <v>0</v>
      </c>
      <c r="BC43" s="36">
        <f t="shared" si="15"/>
        <v>0</v>
      </c>
      <c r="BD43" s="36">
        <f t="shared" si="16"/>
        <v>0</v>
      </c>
      <c r="BE43" s="36">
        <f t="shared" si="17"/>
        <v>0</v>
      </c>
      <c r="BF43" s="36">
        <f t="shared" si="18"/>
        <v>0</v>
      </c>
      <c r="BG43" s="36">
        <f t="shared" si="19"/>
        <v>0</v>
      </c>
      <c r="BH43" s="36">
        <f t="shared" si="20"/>
        <v>0</v>
      </c>
      <c r="BI43" s="36">
        <f t="shared" si="21"/>
        <v>0</v>
      </c>
      <c r="BJ43" s="36">
        <f t="shared" si="22"/>
        <v>0</v>
      </c>
      <c r="BK43" s="36">
        <f t="shared" si="23"/>
        <v>0</v>
      </c>
      <c r="BL43" s="36">
        <f t="shared" si="24"/>
        <v>0</v>
      </c>
      <c r="BM43" s="36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5">
      <c r="A44">
        <f>Database!A44</f>
        <v>43</v>
      </c>
      <c r="B44" s="26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6">
        <f t="shared" si="14"/>
        <v>0</v>
      </c>
      <c r="BC44" s="36">
        <f t="shared" si="15"/>
        <v>0</v>
      </c>
      <c r="BD44" s="36">
        <f t="shared" si="16"/>
        <v>0</v>
      </c>
      <c r="BE44" s="36">
        <f t="shared" si="17"/>
        <v>0</v>
      </c>
      <c r="BF44" s="36">
        <f t="shared" si="18"/>
        <v>0</v>
      </c>
      <c r="BG44" s="36">
        <f t="shared" si="19"/>
        <v>0</v>
      </c>
      <c r="BH44" s="36">
        <f t="shared" si="20"/>
        <v>0</v>
      </c>
      <c r="BI44" s="36">
        <f t="shared" si="21"/>
        <v>0</v>
      </c>
      <c r="BJ44" s="36">
        <f t="shared" si="22"/>
        <v>0</v>
      </c>
      <c r="BK44" s="36">
        <f t="shared" si="23"/>
        <v>0</v>
      </c>
      <c r="BL44" s="36">
        <f t="shared" si="24"/>
        <v>0</v>
      </c>
      <c r="BM44" s="36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5">
      <c r="A45">
        <f>Database!A45</f>
        <v>44</v>
      </c>
      <c r="B45" s="26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6">
        <f t="shared" si="14"/>
        <v>0</v>
      </c>
      <c r="BC45" s="36">
        <f t="shared" si="15"/>
        <v>0</v>
      </c>
      <c r="BD45" s="36">
        <f t="shared" si="16"/>
        <v>0</v>
      </c>
      <c r="BE45" s="36">
        <f t="shared" si="17"/>
        <v>0</v>
      </c>
      <c r="BF45" s="36">
        <f t="shared" si="18"/>
        <v>0</v>
      </c>
      <c r="BG45" s="36">
        <f t="shared" si="19"/>
        <v>0</v>
      </c>
      <c r="BH45" s="36">
        <f t="shared" si="20"/>
        <v>0</v>
      </c>
      <c r="BI45" s="36">
        <f t="shared" si="21"/>
        <v>0</v>
      </c>
      <c r="BJ45" s="36">
        <f t="shared" si="22"/>
        <v>0</v>
      </c>
      <c r="BK45" s="36">
        <f t="shared" si="23"/>
        <v>0</v>
      </c>
      <c r="BL45" s="36">
        <f t="shared" si="24"/>
        <v>0</v>
      </c>
      <c r="BM45" s="36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5">
      <c r="A46">
        <f>Database!A46</f>
        <v>45</v>
      </c>
      <c r="B46" s="26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6">
        <f t="shared" si="14"/>
        <v>0</v>
      </c>
      <c r="BC46" s="36">
        <f t="shared" si="15"/>
        <v>0</v>
      </c>
      <c r="BD46" s="36">
        <f t="shared" si="16"/>
        <v>0</v>
      </c>
      <c r="BE46" s="36">
        <f t="shared" si="17"/>
        <v>0</v>
      </c>
      <c r="BF46" s="36">
        <f t="shared" si="18"/>
        <v>0</v>
      </c>
      <c r="BG46" s="36">
        <f t="shared" si="19"/>
        <v>0</v>
      </c>
      <c r="BH46" s="36">
        <f t="shared" si="20"/>
        <v>0</v>
      </c>
      <c r="BI46" s="36">
        <f t="shared" si="21"/>
        <v>0</v>
      </c>
      <c r="BJ46" s="36">
        <f t="shared" si="22"/>
        <v>0</v>
      </c>
      <c r="BK46" s="36">
        <f t="shared" si="23"/>
        <v>0</v>
      </c>
      <c r="BL46" s="36">
        <f t="shared" si="24"/>
        <v>0</v>
      </c>
      <c r="BM46" s="36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5">
      <c r="A47">
        <f>Database!A47</f>
        <v>46</v>
      </c>
      <c r="B47" s="26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6">
        <f t="shared" si="14"/>
        <v>0</v>
      </c>
      <c r="BC47" s="36">
        <f t="shared" si="15"/>
        <v>0</v>
      </c>
      <c r="BD47" s="36">
        <f t="shared" si="16"/>
        <v>0</v>
      </c>
      <c r="BE47" s="36">
        <f t="shared" si="17"/>
        <v>0</v>
      </c>
      <c r="BF47" s="36">
        <f t="shared" si="18"/>
        <v>0</v>
      </c>
      <c r="BG47" s="36">
        <f t="shared" si="19"/>
        <v>0</v>
      </c>
      <c r="BH47" s="36">
        <f t="shared" si="20"/>
        <v>0</v>
      </c>
      <c r="BI47" s="36">
        <f t="shared" si="21"/>
        <v>0</v>
      </c>
      <c r="BJ47" s="36">
        <f t="shared" si="22"/>
        <v>0</v>
      </c>
      <c r="BK47" s="36">
        <f t="shared" si="23"/>
        <v>0</v>
      </c>
      <c r="BL47" s="36">
        <f t="shared" si="24"/>
        <v>0</v>
      </c>
      <c r="BM47" s="36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5">
      <c r="A48">
        <f>Database!A48</f>
        <v>47</v>
      </c>
      <c r="B48" s="26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6">
        <f t="shared" si="14"/>
        <v>0</v>
      </c>
      <c r="BC48" s="36">
        <f t="shared" si="15"/>
        <v>0</v>
      </c>
      <c r="BD48" s="36">
        <f t="shared" si="16"/>
        <v>0</v>
      </c>
      <c r="BE48" s="36">
        <f t="shared" si="17"/>
        <v>0</v>
      </c>
      <c r="BF48" s="36">
        <f t="shared" si="18"/>
        <v>0</v>
      </c>
      <c r="BG48" s="36">
        <f t="shared" si="19"/>
        <v>0</v>
      </c>
      <c r="BH48" s="36">
        <f t="shared" si="20"/>
        <v>0</v>
      </c>
      <c r="BI48" s="36">
        <f t="shared" si="21"/>
        <v>0</v>
      </c>
      <c r="BJ48" s="36">
        <f t="shared" si="22"/>
        <v>0</v>
      </c>
      <c r="BK48" s="36">
        <f t="shared" si="23"/>
        <v>0</v>
      </c>
      <c r="BL48" s="36">
        <f t="shared" si="24"/>
        <v>0</v>
      </c>
      <c r="BM48" s="36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5">
      <c r="A49">
        <f>Database!A49</f>
        <v>48</v>
      </c>
      <c r="B49" s="26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6">
        <f t="shared" si="14"/>
        <v>0</v>
      </c>
      <c r="BC49" s="36">
        <f t="shared" si="15"/>
        <v>0</v>
      </c>
      <c r="BD49" s="36">
        <f t="shared" si="16"/>
        <v>0</v>
      </c>
      <c r="BE49" s="36">
        <f t="shared" si="17"/>
        <v>0</v>
      </c>
      <c r="BF49" s="36">
        <f t="shared" si="18"/>
        <v>0</v>
      </c>
      <c r="BG49" s="36">
        <f t="shared" si="19"/>
        <v>0</v>
      </c>
      <c r="BH49" s="36">
        <f t="shared" si="20"/>
        <v>0</v>
      </c>
      <c r="BI49" s="36">
        <f t="shared" si="21"/>
        <v>0</v>
      </c>
      <c r="BJ49" s="36">
        <f t="shared" si="22"/>
        <v>0</v>
      </c>
      <c r="BK49" s="36">
        <f t="shared" si="23"/>
        <v>0</v>
      </c>
      <c r="BL49" s="36">
        <f t="shared" si="24"/>
        <v>0</v>
      </c>
      <c r="BM49" s="36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5">
      <c r="A50">
        <f>Database!A50</f>
        <v>49</v>
      </c>
      <c r="B50" s="26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6">
        <f t="shared" si="14"/>
        <v>0</v>
      </c>
      <c r="BC50" s="36">
        <f t="shared" si="15"/>
        <v>0</v>
      </c>
      <c r="BD50" s="36">
        <f t="shared" si="16"/>
        <v>0</v>
      </c>
      <c r="BE50" s="36">
        <f t="shared" si="17"/>
        <v>0</v>
      </c>
      <c r="BF50" s="36">
        <f t="shared" si="18"/>
        <v>0</v>
      </c>
      <c r="BG50" s="36">
        <f t="shared" si="19"/>
        <v>0</v>
      </c>
      <c r="BH50" s="36">
        <f t="shared" si="20"/>
        <v>0</v>
      </c>
      <c r="BI50" s="36">
        <f t="shared" si="21"/>
        <v>0</v>
      </c>
      <c r="BJ50" s="36">
        <f t="shared" si="22"/>
        <v>0</v>
      </c>
      <c r="BK50" s="36">
        <f t="shared" si="23"/>
        <v>0</v>
      </c>
      <c r="BL50" s="36">
        <f t="shared" si="24"/>
        <v>0</v>
      </c>
      <c r="BM50" s="36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5">
      <c r="A51">
        <f>Database!A51</f>
        <v>50</v>
      </c>
      <c r="B51" s="26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6">
        <f t="shared" si="14"/>
        <v>0</v>
      </c>
      <c r="BC51" s="36">
        <f t="shared" si="15"/>
        <v>0</v>
      </c>
      <c r="BD51" s="36">
        <f t="shared" si="16"/>
        <v>0</v>
      </c>
      <c r="BE51" s="36">
        <f t="shared" si="17"/>
        <v>0</v>
      </c>
      <c r="BF51" s="36">
        <f t="shared" si="18"/>
        <v>0</v>
      </c>
      <c r="BG51" s="36">
        <f t="shared" si="19"/>
        <v>0</v>
      </c>
      <c r="BH51" s="36">
        <f t="shared" si="20"/>
        <v>0</v>
      </c>
      <c r="BI51" s="36">
        <f t="shared" si="21"/>
        <v>0</v>
      </c>
      <c r="BJ51" s="36">
        <f t="shared" si="22"/>
        <v>0</v>
      </c>
      <c r="BK51" s="36">
        <f t="shared" si="23"/>
        <v>0</v>
      </c>
      <c r="BL51" s="36">
        <f t="shared" si="24"/>
        <v>0</v>
      </c>
      <c r="BM51" s="36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5">
      <c r="A52">
        <f>Database!A52</f>
        <v>51</v>
      </c>
      <c r="B52" s="26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6">
        <f t="shared" si="14"/>
        <v>0</v>
      </c>
      <c r="BC52" s="36">
        <f t="shared" si="15"/>
        <v>0</v>
      </c>
      <c r="BD52" s="36">
        <f t="shared" si="16"/>
        <v>0</v>
      </c>
      <c r="BE52" s="36">
        <f t="shared" si="17"/>
        <v>0</v>
      </c>
      <c r="BF52" s="36">
        <f t="shared" si="18"/>
        <v>0</v>
      </c>
      <c r="BG52" s="36">
        <f t="shared" si="19"/>
        <v>0</v>
      </c>
      <c r="BH52" s="36">
        <f t="shared" si="20"/>
        <v>0</v>
      </c>
      <c r="BI52" s="36">
        <f t="shared" si="21"/>
        <v>0</v>
      </c>
      <c r="BJ52" s="36">
        <f t="shared" si="22"/>
        <v>0</v>
      </c>
      <c r="BK52" s="36">
        <f t="shared" si="23"/>
        <v>0</v>
      </c>
      <c r="BL52" s="36">
        <f t="shared" si="24"/>
        <v>0</v>
      </c>
      <c r="BM52" s="36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5">
      <c r="A53">
        <f>Database!A53</f>
        <v>52</v>
      </c>
      <c r="B53" s="26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6">
        <f t="shared" si="14"/>
        <v>0</v>
      </c>
      <c r="BC53" s="36">
        <f t="shared" si="15"/>
        <v>0</v>
      </c>
      <c r="BD53" s="36">
        <f t="shared" si="16"/>
        <v>0</v>
      </c>
      <c r="BE53" s="36">
        <f t="shared" si="17"/>
        <v>0</v>
      </c>
      <c r="BF53" s="36">
        <f t="shared" si="18"/>
        <v>0</v>
      </c>
      <c r="BG53" s="36">
        <f t="shared" si="19"/>
        <v>0</v>
      </c>
      <c r="BH53" s="36">
        <f t="shared" si="20"/>
        <v>0</v>
      </c>
      <c r="BI53" s="36">
        <f t="shared" si="21"/>
        <v>0</v>
      </c>
      <c r="BJ53" s="36">
        <f t="shared" si="22"/>
        <v>0</v>
      </c>
      <c r="BK53" s="36">
        <f t="shared" si="23"/>
        <v>0</v>
      </c>
      <c r="BL53" s="36">
        <f t="shared" si="24"/>
        <v>0</v>
      </c>
      <c r="BM53" s="36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5">
      <c r="A54">
        <f>Database!A54</f>
        <v>53</v>
      </c>
      <c r="B54" s="26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6">
        <f t="shared" si="14"/>
        <v>0</v>
      </c>
      <c r="BC54" s="36">
        <f t="shared" si="15"/>
        <v>0</v>
      </c>
      <c r="BD54" s="36">
        <f t="shared" si="16"/>
        <v>0</v>
      </c>
      <c r="BE54" s="36">
        <f t="shared" si="17"/>
        <v>0</v>
      </c>
      <c r="BF54" s="36">
        <f t="shared" si="18"/>
        <v>0</v>
      </c>
      <c r="BG54" s="36">
        <f t="shared" si="19"/>
        <v>0</v>
      </c>
      <c r="BH54" s="36">
        <f t="shared" si="20"/>
        <v>0</v>
      </c>
      <c r="BI54" s="36">
        <f t="shared" si="21"/>
        <v>0</v>
      </c>
      <c r="BJ54" s="36">
        <f t="shared" si="22"/>
        <v>0</v>
      </c>
      <c r="BK54" s="36">
        <f t="shared" si="23"/>
        <v>0</v>
      </c>
      <c r="BL54" s="36">
        <f t="shared" si="24"/>
        <v>0</v>
      </c>
      <c r="BM54" s="36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5">
      <c r="A55">
        <f>Database!A55</f>
        <v>54</v>
      </c>
      <c r="B55" s="26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6">
        <f t="shared" si="14"/>
        <v>0</v>
      </c>
      <c r="BC55" s="36">
        <f t="shared" si="15"/>
        <v>0</v>
      </c>
      <c r="BD55" s="36">
        <f t="shared" si="16"/>
        <v>0</v>
      </c>
      <c r="BE55" s="36">
        <f t="shared" si="17"/>
        <v>0</v>
      </c>
      <c r="BF55" s="36">
        <f t="shared" si="18"/>
        <v>0</v>
      </c>
      <c r="BG55" s="36">
        <f t="shared" si="19"/>
        <v>0</v>
      </c>
      <c r="BH55" s="36">
        <f t="shared" si="20"/>
        <v>0</v>
      </c>
      <c r="BI55" s="36">
        <f t="shared" si="21"/>
        <v>0</v>
      </c>
      <c r="BJ55" s="36">
        <f t="shared" si="22"/>
        <v>0</v>
      </c>
      <c r="BK55" s="36">
        <f t="shared" si="23"/>
        <v>0</v>
      </c>
      <c r="BL55" s="36">
        <f t="shared" si="24"/>
        <v>0</v>
      </c>
      <c r="BM55" s="36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5">
      <c r="A56">
        <f>Database!A56</f>
        <v>55</v>
      </c>
      <c r="B56" s="26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6">
        <f t="shared" si="14"/>
        <v>0</v>
      </c>
      <c r="BC56" s="36">
        <f t="shared" si="15"/>
        <v>0</v>
      </c>
      <c r="BD56" s="36">
        <f t="shared" si="16"/>
        <v>0</v>
      </c>
      <c r="BE56" s="36">
        <f t="shared" si="17"/>
        <v>0</v>
      </c>
      <c r="BF56" s="36">
        <f t="shared" si="18"/>
        <v>0</v>
      </c>
      <c r="BG56" s="36">
        <f t="shared" si="19"/>
        <v>0</v>
      </c>
      <c r="BH56" s="36">
        <f t="shared" si="20"/>
        <v>0</v>
      </c>
      <c r="BI56" s="36">
        <f t="shared" si="21"/>
        <v>0</v>
      </c>
      <c r="BJ56" s="36">
        <f t="shared" si="22"/>
        <v>0</v>
      </c>
      <c r="BK56" s="36">
        <f t="shared" si="23"/>
        <v>0</v>
      </c>
      <c r="BL56" s="36">
        <f t="shared" si="24"/>
        <v>0</v>
      </c>
      <c r="BM56" s="36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5">
      <c r="A57">
        <f>Database!A57</f>
        <v>56</v>
      </c>
      <c r="B57" s="26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6">
        <f t="shared" si="14"/>
        <v>0</v>
      </c>
      <c r="BC57" s="36">
        <f t="shared" si="15"/>
        <v>0</v>
      </c>
      <c r="BD57" s="36">
        <f t="shared" si="16"/>
        <v>0</v>
      </c>
      <c r="BE57" s="36">
        <f t="shared" si="17"/>
        <v>0</v>
      </c>
      <c r="BF57" s="36">
        <f t="shared" si="18"/>
        <v>0</v>
      </c>
      <c r="BG57" s="36">
        <f t="shared" si="19"/>
        <v>0</v>
      </c>
      <c r="BH57" s="36">
        <f t="shared" si="20"/>
        <v>0</v>
      </c>
      <c r="BI57" s="36">
        <f t="shared" si="21"/>
        <v>0</v>
      </c>
      <c r="BJ57" s="36">
        <f t="shared" si="22"/>
        <v>0</v>
      </c>
      <c r="BK57" s="36">
        <f t="shared" si="23"/>
        <v>0</v>
      </c>
      <c r="BL57" s="36">
        <f t="shared" si="24"/>
        <v>0</v>
      </c>
      <c r="BM57" s="36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5">
      <c r="A58">
        <f>Database!A58</f>
        <v>57</v>
      </c>
      <c r="B58" s="26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6">
        <f t="shared" si="14"/>
        <v>0</v>
      </c>
      <c r="BC58" s="36">
        <f t="shared" si="15"/>
        <v>0</v>
      </c>
      <c r="BD58" s="36">
        <f t="shared" si="16"/>
        <v>0</v>
      </c>
      <c r="BE58" s="36">
        <f t="shared" si="17"/>
        <v>0</v>
      </c>
      <c r="BF58" s="36">
        <f t="shared" si="18"/>
        <v>0</v>
      </c>
      <c r="BG58" s="36">
        <f t="shared" si="19"/>
        <v>0</v>
      </c>
      <c r="BH58" s="36">
        <f t="shared" si="20"/>
        <v>0</v>
      </c>
      <c r="BI58" s="36">
        <f t="shared" si="21"/>
        <v>0</v>
      </c>
      <c r="BJ58" s="36">
        <f t="shared" si="22"/>
        <v>0</v>
      </c>
      <c r="BK58" s="36">
        <f t="shared" si="23"/>
        <v>0</v>
      </c>
      <c r="BL58" s="36">
        <f t="shared" si="24"/>
        <v>0</v>
      </c>
      <c r="BM58" s="36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5">
      <c r="A59">
        <f>Database!A59</f>
        <v>58</v>
      </c>
      <c r="B59" s="26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6">
        <f t="shared" si="14"/>
        <v>0</v>
      </c>
      <c r="BC59" s="36">
        <f t="shared" si="15"/>
        <v>0</v>
      </c>
      <c r="BD59" s="36">
        <f t="shared" si="16"/>
        <v>0</v>
      </c>
      <c r="BE59" s="36">
        <f t="shared" si="17"/>
        <v>0</v>
      </c>
      <c r="BF59" s="36">
        <f t="shared" si="18"/>
        <v>0</v>
      </c>
      <c r="BG59" s="36">
        <f t="shared" si="19"/>
        <v>0</v>
      </c>
      <c r="BH59" s="36">
        <f t="shared" si="20"/>
        <v>0</v>
      </c>
      <c r="BI59" s="36">
        <f t="shared" si="21"/>
        <v>0</v>
      </c>
      <c r="BJ59" s="36">
        <f t="shared" si="22"/>
        <v>0</v>
      </c>
      <c r="BK59" s="36">
        <f t="shared" si="23"/>
        <v>0</v>
      </c>
      <c r="BL59" s="36">
        <f t="shared" si="24"/>
        <v>0</v>
      </c>
      <c r="BM59" s="36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5">
      <c r="A60">
        <f>Database!A60</f>
        <v>59</v>
      </c>
      <c r="B60" s="26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6">
        <f t="shared" si="14"/>
        <v>0</v>
      </c>
      <c r="BC60" s="36">
        <f t="shared" si="15"/>
        <v>0</v>
      </c>
      <c r="BD60" s="36">
        <f t="shared" si="16"/>
        <v>0</v>
      </c>
      <c r="BE60" s="36">
        <f t="shared" si="17"/>
        <v>0</v>
      </c>
      <c r="BF60" s="36">
        <f t="shared" si="18"/>
        <v>0</v>
      </c>
      <c r="BG60" s="36">
        <f t="shared" si="19"/>
        <v>0</v>
      </c>
      <c r="BH60" s="36">
        <f t="shared" si="20"/>
        <v>0</v>
      </c>
      <c r="BI60" s="36">
        <f t="shared" si="21"/>
        <v>0</v>
      </c>
      <c r="BJ60" s="36">
        <f t="shared" si="22"/>
        <v>0</v>
      </c>
      <c r="BK60" s="36">
        <f t="shared" si="23"/>
        <v>0</v>
      </c>
      <c r="BL60" s="36">
        <f t="shared" si="24"/>
        <v>0</v>
      </c>
      <c r="BM60" s="36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5">
      <c r="A61">
        <f>Database!A61</f>
        <v>60</v>
      </c>
      <c r="B61" s="26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6">
        <f t="shared" si="14"/>
        <v>0</v>
      </c>
      <c r="BC61" s="36">
        <f t="shared" si="15"/>
        <v>0</v>
      </c>
      <c r="BD61" s="36">
        <f t="shared" si="16"/>
        <v>0</v>
      </c>
      <c r="BE61" s="36">
        <f t="shared" si="17"/>
        <v>0</v>
      </c>
      <c r="BF61" s="36">
        <f t="shared" si="18"/>
        <v>0</v>
      </c>
      <c r="BG61" s="36">
        <f t="shared" si="19"/>
        <v>0</v>
      </c>
      <c r="BH61" s="36">
        <f t="shared" si="20"/>
        <v>0</v>
      </c>
      <c r="BI61" s="36">
        <f t="shared" si="21"/>
        <v>0</v>
      </c>
      <c r="BJ61" s="36">
        <f t="shared" si="22"/>
        <v>0</v>
      </c>
      <c r="BK61" s="36">
        <f t="shared" si="23"/>
        <v>0</v>
      </c>
      <c r="BL61" s="36">
        <f t="shared" si="24"/>
        <v>0</v>
      </c>
      <c r="BM61" s="36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5">
      <c r="A62">
        <f>Database!A62</f>
        <v>61</v>
      </c>
      <c r="B62" s="26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6">
        <f t="shared" si="14"/>
        <v>0</v>
      </c>
      <c r="BC62" s="36">
        <f t="shared" si="15"/>
        <v>0</v>
      </c>
      <c r="BD62" s="36">
        <f t="shared" si="16"/>
        <v>0</v>
      </c>
      <c r="BE62" s="36">
        <f t="shared" si="17"/>
        <v>0</v>
      </c>
      <c r="BF62" s="36">
        <f t="shared" si="18"/>
        <v>0</v>
      </c>
      <c r="BG62" s="36">
        <f t="shared" si="19"/>
        <v>0</v>
      </c>
      <c r="BH62" s="36">
        <f t="shared" si="20"/>
        <v>0</v>
      </c>
      <c r="BI62" s="36">
        <f t="shared" si="21"/>
        <v>0</v>
      </c>
      <c r="BJ62" s="36">
        <f t="shared" si="22"/>
        <v>0</v>
      </c>
      <c r="BK62" s="36">
        <f t="shared" si="23"/>
        <v>0</v>
      </c>
      <c r="BL62" s="36">
        <f t="shared" si="24"/>
        <v>0</v>
      </c>
      <c r="BM62" s="36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5">
      <c r="A63">
        <f>Database!A63</f>
        <v>62</v>
      </c>
      <c r="B63" s="26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6">
        <f t="shared" si="14"/>
        <v>0</v>
      </c>
      <c r="BC63" s="36">
        <f t="shared" si="15"/>
        <v>0</v>
      </c>
      <c r="BD63" s="36">
        <f t="shared" si="16"/>
        <v>0</v>
      </c>
      <c r="BE63" s="36">
        <f t="shared" si="17"/>
        <v>0</v>
      </c>
      <c r="BF63" s="36">
        <f t="shared" si="18"/>
        <v>0</v>
      </c>
      <c r="BG63" s="36">
        <f t="shared" si="19"/>
        <v>0</v>
      </c>
      <c r="BH63" s="36">
        <f t="shared" si="20"/>
        <v>0</v>
      </c>
      <c r="BI63" s="36">
        <f t="shared" si="21"/>
        <v>0</v>
      </c>
      <c r="BJ63" s="36">
        <f t="shared" si="22"/>
        <v>0</v>
      </c>
      <c r="BK63" s="36">
        <f t="shared" si="23"/>
        <v>0</v>
      </c>
      <c r="BL63" s="36">
        <f t="shared" si="24"/>
        <v>0</v>
      </c>
      <c r="BM63" s="36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5">
      <c r="A64">
        <f>Database!A64</f>
        <v>63</v>
      </c>
      <c r="B64" s="26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6">
        <f t="shared" si="14"/>
        <v>0</v>
      </c>
      <c r="BC64" s="36">
        <f t="shared" si="15"/>
        <v>0</v>
      </c>
      <c r="BD64" s="36">
        <f t="shared" si="16"/>
        <v>0</v>
      </c>
      <c r="BE64" s="36">
        <f t="shared" si="17"/>
        <v>0</v>
      </c>
      <c r="BF64" s="36">
        <f t="shared" si="18"/>
        <v>0</v>
      </c>
      <c r="BG64" s="36">
        <f t="shared" si="19"/>
        <v>0</v>
      </c>
      <c r="BH64" s="36">
        <f t="shared" si="20"/>
        <v>0</v>
      </c>
      <c r="BI64" s="36">
        <f t="shared" si="21"/>
        <v>0</v>
      </c>
      <c r="BJ64" s="36">
        <f t="shared" si="22"/>
        <v>0</v>
      </c>
      <c r="BK64" s="36">
        <f t="shared" si="23"/>
        <v>0</v>
      </c>
      <c r="BL64" s="36">
        <f t="shared" si="24"/>
        <v>0</v>
      </c>
      <c r="BM64" s="36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5">
      <c r="A65">
        <f>Database!A65</f>
        <v>64</v>
      </c>
      <c r="B65" s="26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6">
        <f t="shared" si="14"/>
        <v>0</v>
      </c>
      <c r="BC65" s="36">
        <f t="shared" si="15"/>
        <v>0</v>
      </c>
      <c r="BD65" s="36">
        <f t="shared" si="16"/>
        <v>0</v>
      </c>
      <c r="BE65" s="36">
        <f t="shared" si="17"/>
        <v>0</v>
      </c>
      <c r="BF65" s="36">
        <f t="shared" si="18"/>
        <v>0</v>
      </c>
      <c r="BG65" s="36">
        <f t="shared" si="19"/>
        <v>0</v>
      </c>
      <c r="BH65" s="36">
        <f t="shared" si="20"/>
        <v>0</v>
      </c>
      <c r="BI65" s="36">
        <f t="shared" si="21"/>
        <v>0</v>
      </c>
      <c r="BJ65" s="36">
        <f t="shared" si="22"/>
        <v>0</v>
      </c>
      <c r="BK65" s="36">
        <f t="shared" si="23"/>
        <v>0</v>
      </c>
      <c r="BL65" s="36">
        <f t="shared" si="24"/>
        <v>0</v>
      </c>
      <c r="BM65" s="36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5">
      <c r="A66">
        <f>Database!A66</f>
        <v>65</v>
      </c>
      <c r="B66" s="26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6">
        <f t="shared" si="14"/>
        <v>0</v>
      </c>
      <c r="BC66" s="36">
        <f t="shared" si="15"/>
        <v>0</v>
      </c>
      <c r="BD66" s="36">
        <f t="shared" si="16"/>
        <v>0</v>
      </c>
      <c r="BE66" s="36">
        <f t="shared" si="17"/>
        <v>0</v>
      </c>
      <c r="BF66" s="36">
        <f t="shared" si="18"/>
        <v>0</v>
      </c>
      <c r="BG66" s="36">
        <f t="shared" si="19"/>
        <v>0</v>
      </c>
      <c r="BH66" s="36">
        <f t="shared" si="20"/>
        <v>0</v>
      </c>
      <c r="BI66" s="36">
        <f t="shared" si="21"/>
        <v>0</v>
      </c>
      <c r="BJ66" s="36">
        <f t="shared" si="22"/>
        <v>0</v>
      </c>
      <c r="BK66" s="36">
        <f t="shared" si="23"/>
        <v>0</v>
      </c>
      <c r="BL66" s="36">
        <f t="shared" si="24"/>
        <v>0</v>
      </c>
      <c r="BM66" s="36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5">
      <c r="A67">
        <f>Database!A67</f>
        <v>66</v>
      </c>
      <c r="B67" s="26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6">
        <f t="shared" si="14"/>
        <v>0</v>
      </c>
      <c r="BC67" s="36">
        <f t="shared" si="15"/>
        <v>0</v>
      </c>
      <c r="BD67" s="36">
        <f t="shared" si="16"/>
        <v>0</v>
      </c>
      <c r="BE67" s="36">
        <f t="shared" si="17"/>
        <v>0</v>
      </c>
      <c r="BF67" s="36">
        <f t="shared" si="18"/>
        <v>0</v>
      </c>
      <c r="BG67" s="36">
        <f t="shared" si="19"/>
        <v>0</v>
      </c>
      <c r="BH67" s="36">
        <f t="shared" si="20"/>
        <v>0</v>
      </c>
      <c r="BI67" s="36">
        <f t="shared" si="21"/>
        <v>0</v>
      </c>
      <c r="BJ67" s="36">
        <f t="shared" si="22"/>
        <v>0</v>
      </c>
      <c r="BK67" s="36">
        <f t="shared" si="23"/>
        <v>0</v>
      </c>
      <c r="BL67" s="36">
        <f t="shared" si="24"/>
        <v>0</v>
      </c>
      <c r="BM67" s="36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5">
      <c r="A68">
        <f>Database!A68</f>
        <v>67</v>
      </c>
      <c r="B68" s="26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6">
        <f t="shared" ref="BB68:BB131" si="69">IF(AND($D68&gt;0,$G68=BB$1),$F68,0)</f>
        <v>0</v>
      </c>
      <c r="BC68" s="36">
        <f t="shared" ref="BC68:BC131" si="70">IF(AND($D68&gt;0,$G68=BC$1),$D68,0)</f>
        <v>0</v>
      </c>
      <c r="BD68" s="36">
        <f t="shared" ref="BD68:BD131" si="71">IF(AND($D68&gt;0,$G68=BD$1),$F68,0)</f>
        <v>0</v>
      </c>
      <c r="BE68" s="36">
        <f t="shared" ref="BE68:BE131" si="72">IF(AND($D68&gt;0,$G68=BE$1),$D68,0)</f>
        <v>0</v>
      </c>
      <c r="BF68" s="36">
        <f t="shared" ref="BF68:BF131" si="73">IF(AND($D68&gt;0,$G68=BF$1),$F68,0)</f>
        <v>0</v>
      </c>
      <c r="BG68" s="36">
        <f t="shared" ref="BG68:BG131" si="74">IF(AND($D68&gt;0,$G68=BG$1),$D68,0)</f>
        <v>0</v>
      </c>
      <c r="BH68" s="36">
        <f t="shared" ref="BH68:BH131" si="75">IF(AND($D68&gt;0,$G68=BH$1),$F68,0)</f>
        <v>0</v>
      </c>
      <c r="BI68" s="36">
        <f t="shared" ref="BI68:BI131" si="76">IF(AND($D68&gt;0,$G68=BI$1),$D68,0)</f>
        <v>0</v>
      </c>
      <c r="BJ68" s="36">
        <f t="shared" ref="BJ68:BJ131" si="77">IF(AND($D68&gt;0,$G68=BJ$1),$F68,0)</f>
        <v>0</v>
      </c>
      <c r="BK68" s="36">
        <f t="shared" ref="BK68:BK131" si="78">IF(AND($D68&gt;0,$G68=BK$1),$D68,0)</f>
        <v>0</v>
      </c>
      <c r="BL68" s="36">
        <f t="shared" ref="BL68:BL131" si="79">BN68+BP68+BR68+BT68</f>
        <v>0</v>
      </c>
      <c r="BM68" s="36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5">
      <c r="A69">
        <f>Database!A69</f>
        <v>68</v>
      </c>
      <c r="B69" s="26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6">
        <f t="shared" si="69"/>
        <v>0</v>
      </c>
      <c r="BC69" s="36">
        <f t="shared" si="70"/>
        <v>0</v>
      </c>
      <c r="BD69" s="36">
        <f t="shared" si="71"/>
        <v>0</v>
      </c>
      <c r="BE69" s="36">
        <f t="shared" si="72"/>
        <v>0</v>
      </c>
      <c r="BF69" s="36">
        <f t="shared" si="73"/>
        <v>0</v>
      </c>
      <c r="BG69" s="36">
        <f t="shared" si="74"/>
        <v>0</v>
      </c>
      <c r="BH69" s="36">
        <f t="shared" si="75"/>
        <v>0</v>
      </c>
      <c r="BI69" s="36">
        <f t="shared" si="76"/>
        <v>0</v>
      </c>
      <c r="BJ69" s="36">
        <f t="shared" si="77"/>
        <v>0</v>
      </c>
      <c r="BK69" s="36">
        <f t="shared" si="78"/>
        <v>0</v>
      </c>
      <c r="BL69" s="36">
        <f t="shared" si="79"/>
        <v>0</v>
      </c>
      <c r="BM69" s="36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5">
      <c r="A70">
        <f>Database!A70</f>
        <v>69</v>
      </c>
      <c r="B70" s="26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6">
        <f t="shared" si="69"/>
        <v>0</v>
      </c>
      <c r="BC70" s="36">
        <f t="shared" si="70"/>
        <v>0</v>
      </c>
      <c r="BD70" s="36">
        <f t="shared" si="71"/>
        <v>0</v>
      </c>
      <c r="BE70" s="36">
        <f t="shared" si="72"/>
        <v>0</v>
      </c>
      <c r="BF70" s="36">
        <f t="shared" si="73"/>
        <v>0</v>
      </c>
      <c r="BG70" s="36">
        <f t="shared" si="74"/>
        <v>0</v>
      </c>
      <c r="BH70" s="36">
        <f t="shared" si="75"/>
        <v>0</v>
      </c>
      <c r="BI70" s="36">
        <f t="shared" si="76"/>
        <v>0</v>
      </c>
      <c r="BJ70" s="36">
        <f t="shared" si="77"/>
        <v>0</v>
      </c>
      <c r="BK70" s="36">
        <f t="shared" si="78"/>
        <v>0</v>
      </c>
      <c r="BL70" s="36">
        <f t="shared" si="79"/>
        <v>0</v>
      </c>
      <c r="BM70" s="36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5">
      <c r="A71">
        <f>Database!A71</f>
        <v>70</v>
      </c>
      <c r="B71" s="26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6">
        <f t="shared" si="69"/>
        <v>0</v>
      </c>
      <c r="BC71" s="36">
        <f t="shared" si="70"/>
        <v>0</v>
      </c>
      <c r="BD71" s="36">
        <f t="shared" si="71"/>
        <v>0</v>
      </c>
      <c r="BE71" s="36">
        <f t="shared" si="72"/>
        <v>0</v>
      </c>
      <c r="BF71" s="36">
        <f t="shared" si="73"/>
        <v>0</v>
      </c>
      <c r="BG71" s="36">
        <f t="shared" si="74"/>
        <v>0</v>
      </c>
      <c r="BH71" s="36">
        <f t="shared" si="75"/>
        <v>0</v>
      </c>
      <c r="BI71" s="36">
        <f t="shared" si="76"/>
        <v>0</v>
      </c>
      <c r="BJ71" s="36">
        <f t="shared" si="77"/>
        <v>0</v>
      </c>
      <c r="BK71" s="36">
        <f t="shared" si="78"/>
        <v>0</v>
      </c>
      <c r="BL71" s="36">
        <f t="shared" si="79"/>
        <v>0</v>
      </c>
      <c r="BM71" s="36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5">
      <c r="A72">
        <f>Database!A72</f>
        <v>0</v>
      </c>
      <c r="B72" s="26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6">
        <f t="shared" si="69"/>
        <v>0</v>
      </c>
      <c r="BC72" s="36">
        <f t="shared" si="70"/>
        <v>0</v>
      </c>
      <c r="BD72" s="36">
        <f t="shared" si="71"/>
        <v>0</v>
      </c>
      <c r="BE72" s="36">
        <f t="shared" si="72"/>
        <v>0</v>
      </c>
      <c r="BF72" s="36">
        <f t="shared" si="73"/>
        <v>0</v>
      </c>
      <c r="BG72" s="36">
        <f t="shared" si="74"/>
        <v>0</v>
      </c>
      <c r="BH72" s="36">
        <f t="shared" si="75"/>
        <v>0</v>
      </c>
      <c r="BI72" s="36">
        <f t="shared" si="76"/>
        <v>0</v>
      </c>
      <c r="BJ72" s="36">
        <f t="shared" si="77"/>
        <v>0</v>
      </c>
      <c r="BK72" s="36">
        <f t="shared" si="78"/>
        <v>0</v>
      </c>
      <c r="BL72" s="36">
        <f t="shared" si="79"/>
        <v>0</v>
      </c>
      <c r="BM72" s="36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5">
      <c r="A73">
        <f>Database!A73</f>
        <v>0</v>
      </c>
      <c r="B73" s="26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6">
        <f t="shared" si="69"/>
        <v>0</v>
      </c>
      <c r="BC73" s="36">
        <f t="shared" si="70"/>
        <v>0</v>
      </c>
      <c r="BD73" s="36">
        <f t="shared" si="71"/>
        <v>0</v>
      </c>
      <c r="BE73" s="36">
        <f t="shared" si="72"/>
        <v>0</v>
      </c>
      <c r="BF73" s="36">
        <f t="shared" si="73"/>
        <v>0</v>
      </c>
      <c r="BG73" s="36">
        <f t="shared" si="74"/>
        <v>0</v>
      </c>
      <c r="BH73" s="36">
        <f t="shared" si="75"/>
        <v>0</v>
      </c>
      <c r="BI73" s="36">
        <f t="shared" si="76"/>
        <v>0</v>
      </c>
      <c r="BJ73" s="36">
        <f t="shared" si="77"/>
        <v>0</v>
      </c>
      <c r="BK73" s="36">
        <f t="shared" si="78"/>
        <v>0</v>
      </c>
      <c r="BL73" s="36">
        <f t="shared" si="79"/>
        <v>0</v>
      </c>
      <c r="BM73" s="36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5">
      <c r="A74">
        <f>Database!A74</f>
        <v>0</v>
      </c>
      <c r="B74" s="26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6">
        <f t="shared" si="69"/>
        <v>0</v>
      </c>
      <c r="BC74" s="36">
        <f t="shared" si="70"/>
        <v>0</v>
      </c>
      <c r="BD74" s="36">
        <f t="shared" si="71"/>
        <v>0</v>
      </c>
      <c r="BE74" s="36">
        <f t="shared" si="72"/>
        <v>0</v>
      </c>
      <c r="BF74" s="36">
        <f t="shared" si="73"/>
        <v>0</v>
      </c>
      <c r="BG74" s="36">
        <f t="shared" si="74"/>
        <v>0</v>
      </c>
      <c r="BH74" s="36">
        <f t="shared" si="75"/>
        <v>0</v>
      </c>
      <c r="BI74" s="36">
        <f t="shared" si="76"/>
        <v>0</v>
      </c>
      <c r="BJ74" s="36">
        <f t="shared" si="77"/>
        <v>0</v>
      </c>
      <c r="BK74" s="36">
        <f t="shared" si="78"/>
        <v>0</v>
      </c>
      <c r="BL74" s="36">
        <f t="shared" si="79"/>
        <v>0</v>
      </c>
      <c r="BM74" s="36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5">
      <c r="A75">
        <f>Database!A75</f>
        <v>0</v>
      </c>
      <c r="B75" s="26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6">
        <f t="shared" si="69"/>
        <v>0</v>
      </c>
      <c r="BC75" s="36">
        <f t="shared" si="70"/>
        <v>0</v>
      </c>
      <c r="BD75" s="36">
        <f t="shared" si="71"/>
        <v>0</v>
      </c>
      <c r="BE75" s="36">
        <f t="shared" si="72"/>
        <v>0</v>
      </c>
      <c r="BF75" s="36">
        <f t="shared" si="73"/>
        <v>0</v>
      </c>
      <c r="BG75" s="36">
        <f t="shared" si="74"/>
        <v>0</v>
      </c>
      <c r="BH75" s="36">
        <f t="shared" si="75"/>
        <v>0</v>
      </c>
      <c r="BI75" s="36">
        <f t="shared" si="76"/>
        <v>0</v>
      </c>
      <c r="BJ75" s="36">
        <f t="shared" si="77"/>
        <v>0</v>
      </c>
      <c r="BK75" s="36">
        <f t="shared" si="78"/>
        <v>0</v>
      </c>
      <c r="BL75" s="36">
        <f t="shared" si="79"/>
        <v>0</v>
      </c>
      <c r="BM75" s="36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5">
      <c r="A76">
        <f>Database!A76</f>
        <v>0</v>
      </c>
      <c r="B76" s="26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6">
        <f t="shared" si="69"/>
        <v>0</v>
      </c>
      <c r="BC76" s="36">
        <f t="shared" si="70"/>
        <v>0</v>
      </c>
      <c r="BD76" s="36">
        <f t="shared" si="71"/>
        <v>0</v>
      </c>
      <c r="BE76" s="36">
        <f t="shared" si="72"/>
        <v>0</v>
      </c>
      <c r="BF76" s="36">
        <f t="shared" si="73"/>
        <v>0</v>
      </c>
      <c r="BG76" s="36">
        <f t="shared" si="74"/>
        <v>0</v>
      </c>
      <c r="BH76" s="36">
        <f t="shared" si="75"/>
        <v>0</v>
      </c>
      <c r="BI76" s="36">
        <f t="shared" si="76"/>
        <v>0</v>
      </c>
      <c r="BJ76" s="36">
        <f t="shared" si="77"/>
        <v>0</v>
      </c>
      <c r="BK76" s="36">
        <f t="shared" si="78"/>
        <v>0</v>
      </c>
      <c r="BL76" s="36">
        <f t="shared" si="79"/>
        <v>0</v>
      </c>
      <c r="BM76" s="36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5">
      <c r="A77">
        <f>Database!A77</f>
        <v>0</v>
      </c>
      <c r="B77" s="26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6">
        <f t="shared" si="69"/>
        <v>0</v>
      </c>
      <c r="BC77" s="36">
        <f t="shared" si="70"/>
        <v>0</v>
      </c>
      <c r="BD77" s="36">
        <f t="shared" si="71"/>
        <v>0</v>
      </c>
      <c r="BE77" s="36">
        <f t="shared" si="72"/>
        <v>0</v>
      </c>
      <c r="BF77" s="36">
        <f t="shared" si="73"/>
        <v>0</v>
      </c>
      <c r="BG77" s="36">
        <f t="shared" si="74"/>
        <v>0</v>
      </c>
      <c r="BH77" s="36">
        <f t="shared" si="75"/>
        <v>0</v>
      </c>
      <c r="BI77" s="36">
        <f t="shared" si="76"/>
        <v>0</v>
      </c>
      <c r="BJ77" s="36">
        <f t="shared" si="77"/>
        <v>0</v>
      </c>
      <c r="BK77" s="36">
        <f t="shared" si="78"/>
        <v>0</v>
      </c>
      <c r="BL77" s="36">
        <f t="shared" si="79"/>
        <v>0</v>
      </c>
      <c r="BM77" s="36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5">
      <c r="A78">
        <f>Database!A78</f>
        <v>0</v>
      </c>
      <c r="B78" s="26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6">
        <f t="shared" si="69"/>
        <v>0</v>
      </c>
      <c r="BC78" s="36">
        <f t="shared" si="70"/>
        <v>0</v>
      </c>
      <c r="BD78" s="36">
        <f t="shared" si="71"/>
        <v>0</v>
      </c>
      <c r="BE78" s="36">
        <f t="shared" si="72"/>
        <v>0</v>
      </c>
      <c r="BF78" s="36">
        <f t="shared" si="73"/>
        <v>0</v>
      </c>
      <c r="BG78" s="36">
        <f t="shared" si="74"/>
        <v>0</v>
      </c>
      <c r="BH78" s="36">
        <f t="shared" si="75"/>
        <v>0</v>
      </c>
      <c r="BI78" s="36">
        <f t="shared" si="76"/>
        <v>0</v>
      </c>
      <c r="BJ78" s="36">
        <f t="shared" si="77"/>
        <v>0</v>
      </c>
      <c r="BK78" s="36">
        <f t="shared" si="78"/>
        <v>0</v>
      </c>
      <c r="BL78" s="36">
        <f t="shared" si="79"/>
        <v>0</v>
      </c>
      <c r="BM78" s="36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5">
      <c r="A79">
        <f>Database!A79</f>
        <v>0</v>
      </c>
      <c r="B79" s="26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6">
        <f t="shared" si="69"/>
        <v>0</v>
      </c>
      <c r="BC79" s="36">
        <f t="shared" si="70"/>
        <v>0</v>
      </c>
      <c r="BD79" s="36">
        <f t="shared" si="71"/>
        <v>0</v>
      </c>
      <c r="BE79" s="36">
        <f t="shared" si="72"/>
        <v>0</v>
      </c>
      <c r="BF79" s="36">
        <f t="shared" si="73"/>
        <v>0</v>
      </c>
      <c r="BG79" s="36">
        <f t="shared" si="74"/>
        <v>0</v>
      </c>
      <c r="BH79" s="36">
        <f t="shared" si="75"/>
        <v>0</v>
      </c>
      <c r="BI79" s="36">
        <f t="shared" si="76"/>
        <v>0</v>
      </c>
      <c r="BJ79" s="36">
        <f t="shared" si="77"/>
        <v>0</v>
      </c>
      <c r="BK79" s="36">
        <f t="shared" si="78"/>
        <v>0</v>
      </c>
      <c r="BL79" s="36">
        <f t="shared" si="79"/>
        <v>0</v>
      </c>
      <c r="BM79" s="36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5">
      <c r="A80">
        <f>Database!A80</f>
        <v>0</v>
      </c>
      <c r="B80" s="26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6">
        <f t="shared" si="69"/>
        <v>0</v>
      </c>
      <c r="BC80" s="36">
        <f t="shared" si="70"/>
        <v>0</v>
      </c>
      <c r="BD80" s="36">
        <f t="shared" si="71"/>
        <v>0</v>
      </c>
      <c r="BE80" s="36">
        <f t="shared" si="72"/>
        <v>0</v>
      </c>
      <c r="BF80" s="36">
        <f t="shared" si="73"/>
        <v>0</v>
      </c>
      <c r="BG80" s="36">
        <f t="shared" si="74"/>
        <v>0</v>
      </c>
      <c r="BH80" s="36">
        <f t="shared" si="75"/>
        <v>0</v>
      </c>
      <c r="BI80" s="36">
        <f t="shared" si="76"/>
        <v>0</v>
      </c>
      <c r="BJ80" s="36">
        <f t="shared" si="77"/>
        <v>0</v>
      </c>
      <c r="BK80" s="36">
        <f t="shared" si="78"/>
        <v>0</v>
      </c>
      <c r="BL80" s="36">
        <f t="shared" si="79"/>
        <v>0</v>
      </c>
      <c r="BM80" s="36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5">
      <c r="A81">
        <f>Database!A81</f>
        <v>0</v>
      </c>
      <c r="B81" s="26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6">
        <f t="shared" si="69"/>
        <v>0</v>
      </c>
      <c r="BC81" s="36">
        <f t="shared" si="70"/>
        <v>0</v>
      </c>
      <c r="BD81" s="36">
        <f t="shared" si="71"/>
        <v>0</v>
      </c>
      <c r="BE81" s="36">
        <f t="shared" si="72"/>
        <v>0</v>
      </c>
      <c r="BF81" s="36">
        <f t="shared" si="73"/>
        <v>0</v>
      </c>
      <c r="BG81" s="36">
        <f t="shared" si="74"/>
        <v>0</v>
      </c>
      <c r="BH81" s="36">
        <f t="shared" si="75"/>
        <v>0</v>
      </c>
      <c r="BI81" s="36">
        <f t="shared" si="76"/>
        <v>0</v>
      </c>
      <c r="BJ81" s="36">
        <f t="shared" si="77"/>
        <v>0</v>
      </c>
      <c r="BK81" s="36">
        <f t="shared" si="78"/>
        <v>0</v>
      </c>
      <c r="BL81" s="36">
        <f t="shared" si="79"/>
        <v>0</v>
      </c>
      <c r="BM81" s="36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5">
      <c r="A82">
        <f>Database!A82</f>
        <v>0</v>
      </c>
      <c r="B82" s="26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6">
        <f t="shared" si="69"/>
        <v>0</v>
      </c>
      <c r="BC82" s="36">
        <f t="shared" si="70"/>
        <v>0</v>
      </c>
      <c r="BD82" s="36">
        <f t="shared" si="71"/>
        <v>0</v>
      </c>
      <c r="BE82" s="36">
        <f t="shared" si="72"/>
        <v>0</v>
      </c>
      <c r="BF82" s="36">
        <f t="shared" si="73"/>
        <v>0</v>
      </c>
      <c r="BG82" s="36">
        <f t="shared" si="74"/>
        <v>0</v>
      </c>
      <c r="BH82" s="36">
        <f t="shared" si="75"/>
        <v>0</v>
      </c>
      <c r="BI82" s="36">
        <f t="shared" si="76"/>
        <v>0</v>
      </c>
      <c r="BJ82" s="36">
        <f t="shared" si="77"/>
        <v>0</v>
      </c>
      <c r="BK82" s="36">
        <f t="shared" si="78"/>
        <v>0</v>
      </c>
      <c r="BL82" s="36">
        <f t="shared" si="79"/>
        <v>0</v>
      </c>
      <c r="BM82" s="36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5">
      <c r="A83">
        <f>Database!A83</f>
        <v>0</v>
      </c>
      <c r="B83" s="26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6">
        <f t="shared" si="69"/>
        <v>0</v>
      </c>
      <c r="BC83" s="36">
        <f t="shared" si="70"/>
        <v>0</v>
      </c>
      <c r="BD83" s="36">
        <f t="shared" si="71"/>
        <v>0</v>
      </c>
      <c r="BE83" s="36">
        <f t="shared" si="72"/>
        <v>0</v>
      </c>
      <c r="BF83" s="36">
        <f t="shared" si="73"/>
        <v>0</v>
      </c>
      <c r="BG83" s="36">
        <f t="shared" si="74"/>
        <v>0</v>
      </c>
      <c r="BH83" s="36">
        <f t="shared" si="75"/>
        <v>0</v>
      </c>
      <c r="BI83" s="36">
        <f t="shared" si="76"/>
        <v>0</v>
      </c>
      <c r="BJ83" s="36">
        <f t="shared" si="77"/>
        <v>0</v>
      </c>
      <c r="BK83" s="36">
        <f t="shared" si="78"/>
        <v>0</v>
      </c>
      <c r="BL83" s="36">
        <f t="shared" si="79"/>
        <v>0</v>
      </c>
      <c r="BM83" s="36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5">
      <c r="A84">
        <f>Database!A84</f>
        <v>0</v>
      </c>
      <c r="B84" s="26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6">
        <f t="shared" si="69"/>
        <v>0</v>
      </c>
      <c r="BC84" s="36">
        <f t="shared" si="70"/>
        <v>0</v>
      </c>
      <c r="BD84" s="36">
        <f t="shared" si="71"/>
        <v>0</v>
      </c>
      <c r="BE84" s="36">
        <f t="shared" si="72"/>
        <v>0</v>
      </c>
      <c r="BF84" s="36">
        <f t="shared" si="73"/>
        <v>0</v>
      </c>
      <c r="BG84" s="36">
        <f t="shared" si="74"/>
        <v>0</v>
      </c>
      <c r="BH84" s="36">
        <f t="shared" si="75"/>
        <v>0</v>
      </c>
      <c r="BI84" s="36">
        <f t="shared" si="76"/>
        <v>0</v>
      </c>
      <c r="BJ84" s="36">
        <f t="shared" si="77"/>
        <v>0</v>
      </c>
      <c r="BK84" s="36">
        <f t="shared" si="78"/>
        <v>0</v>
      </c>
      <c r="BL84" s="36">
        <f t="shared" si="79"/>
        <v>0</v>
      </c>
      <c r="BM84" s="36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5">
      <c r="A85">
        <f>Database!A85</f>
        <v>0</v>
      </c>
      <c r="B85" s="26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6">
        <f t="shared" si="69"/>
        <v>0</v>
      </c>
      <c r="BC85" s="36">
        <f t="shared" si="70"/>
        <v>0</v>
      </c>
      <c r="BD85" s="36">
        <f t="shared" si="71"/>
        <v>0</v>
      </c>
      <c r="BE85" s="36">
        <f t="shared" si="72"/>
        <v>0</v>
      </c>
      <c r="BF85" s="36">
        <f t="shared" si="73"/>
        <v>0</v>
      </c>
      <c r="BG85" s="36">
        <f t="shared" si="74"/>
        <v>0</v>
      </c>
      <c r="BH85" s="36">
        <f t="shared" si="75"/>
        <v>0</v>
      </c>
      <c r="BI85" s="36">
        <f t="shared" si="76"/>
        <v>0</v>
      </c>
      <c r="BJ85" s="36">
        <f t="shared" si="77"/>
        <v>0</v>
      </c>
      <c r="BK85" s="36">
        <f t="shared" si="78"/>
        <v>0</v>
      </c>
      <c r="BL85" s="36">
        <f t="shared" si="79"/>
        <v>0</v>
      </c>
      <c r="BM85" s="36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5">
      <c r="A86">
        <f>Database!A86</f>
        <v>0</v>
      </c>
      <c r="B86" s="26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6">
        <f t="shared" si="69"/>
        <v>0</v>
      </c>
      <c r="BC86" s="36">
        <f t="shared" si="70"/>
        <v>0</v>
      </c>
      <c r="BD86" s="36">
        <f t="shared" si="71"/>
        <v>0</v>
      </c>
      <c r="BE86" s="36">
        <f t="shared" si="72"/>
        <v>0</v>
      </c>
      <c r="BF86" s="36">
        <f t="shared" si="73"/>
        <v>0</v>
      </c>
      <c r="BG86" s="36">
        <f t="shared" si="74"/>
        <v>0</v>
      </c>
      <c r="BH86" s="36">
        <f t="shared" si="75"/>
        <v>0</v>
      </c>
      <c r="BI86" s="36">
        <f t="shared" si="76"/>
        <v>0</v>
      </c>
      <c r="BJ86" s="36">
        <f t="shared" si="77"/>
        <v>0</v>
      </c>
      <c r="BK86" s="36">
        <f t="shared" si="78"/>
        <v>0</v>
      </c>
      <c r="BL86" s="36">
        <f t="shared" si="79"/>
        <v>0</v>
      </c>
      <c r="BM86" s="36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5">
      <c r="A87">
        <f>Database!A87</f>
        <v>0</v>
      </c>
      <c r="B87" s="26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6">
        <f t="shared" si="69"/>
        <v>0</v>
      </c>
      <c r="BC87" s="36">
        <f t="shared" si="70"/>
        <v>0</v>
      </c>
      <c r="BD87" s="36">
        <f t="shared" si="71"/>
        <v>0</v>
      </c>
      <c r="BE87" s="36">
        <f t="shared" si="72"/>
        <v>0</v>
      </c>
      <c r="BF87" s="36">
        <f t="shared" si="73"/>
        <v>0</v>
      </c>
      <c r="BG87" s="36">
        <f t="shared" si="74"/>
        <v>0</v>
      </c>
      <c r="BH87" s="36">
        <f t="shared" si="75"/>
        <v>0</v>
      </c>
      <c r="BI87" s="36">
        <f t="shared" si="76"/>
        <v>0</v>
      </c>
      <c r="BJ87" s="36">
        <f t="shared" si="77"/>
        <v>0</v>
      </c>
      <c r="BK87" s="36">
        <f t="shared" si="78"/>
        <v>0</v>
      </c>
      <c r="BL87" s="36">
        <f t="shared" si="79"/>
        <v>0</v>
      </c>
      <c r="BM87" s="36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5">
      <c r="A88">
        <f>Database!A88</f>
        <v>0</v>
      </c>
      <c r="B88" s="26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6">
        <f t="shared" si="69"/>
        <v>0</v>
      </c>
      <c r="BC88" s="36">
        <f t="shared" si="70"/>
        <v>0</v>
      </c>
      <c r="BD88" s="36">
        <f t="shared" si="71"/>
        <v>0</v>
      </c>
      <c r="BE88" s="36">
        <f t="shared" si="72"/>
        <v>0</v>
      </c>
      <c r="BF88" s="36">
        <f t="shared" si="73"/>
        <v>0</v>
      </c>
      <c r="BG88" s="36">
        <f t="shared" si="74"/>
        <v>0</v>
      </c>
      <c r="BH88" s="36">
        <f t="shared" si="75"/>
        <v>0</v>
      </c>
      <c r="BI88" s="36">
        <f t="shared" si="76"/>
        <v>0</v>
      </c>
      <c r="BJ88" s="36">
        <f t="shared" si="77"/>
        <v>0</v>
      </c>
      <c r="BK88" s="36">
        <f t="shared" si="78"/>
        <v>0</v>
      </c>
      <c r="BL88" s="36">
        <f t="shared" si="79"/>
        <v>0</v>
      </c>
      <c r="BM88" s="36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5">
      <c r="A89">
        <f>Database!A89</f>
        <v>0</v>
      </c>
      <c r="B89" s="26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6">
        <f t="shared" si="69"/>
        <v>0</v>
      </c>
      <c r="BC89" s="36">
        <f t="shared" si="70"/>
        <v>0</v>
      </c>
      <c r="BD89" s="36">
        <f t="shared" si="71"/>
        <v>0</v>
      </c>
      <c r="BE89" s="36">
        <f t="shared" si="72"/>
        <v>0</v>
      </c>
      <c r="BF89" s="36">
        <f t="shared" si="73"/>
        <v>0</v>
      </c>
      <c r="BG89" s="36">
        <f t="shared" si="74"/>
        <v>0</v>
      </c>
      <c r="BH89" s="36">
        <f t="shared" si="75"/>
        <v>0</v>
      </c>
      <c r="BI89" s="36">
        <f t="shared" si="76"/>
        <v>0</v>
      </c>
      <c r="BJ89" s="36">
        <f t="shared" si="77"/>
        <v>0</v>
      </c>
      <c r="BK89" s="36">
        <f t="shared" si="78"/>
        <v>0</v>
      </c>
      <c r="BL89" s="36">
        <f t="shared" si="79"/>
        <v>0</v>
      </c>
      <c r="BM89" s="36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5">
      <c r="A90">
        <f>Database!A90</f>
        <v>0</v>
      </c>
      <c r="B90" s="26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6">
        <f t="shared" si="69"/>
        <v>0</v>
      </c>
      <c r="BC90" s="36">
        <f t="shared" si="70"/>
        <v>0</v>
      </c>
      <c r="BD90" s="36">
        <f t="shared" si="71"/>
        <v>0</v>
      </c>
      <c r="BE90" s="36">
        <f t="shared" si="72"/>
        <v>0</v>
      </c>
      <c r="BF90" s="36">
        <f t="shared" si="73"/>
        <v>0</v>
      </c>
      <c r="BG90" s="36">
        <f t="shared" si="74"/>
        <v>0</v>
      </c>
      <c r="BH90" s="36">
        <f t="shared" si="75"/>
        <v>0</v>
      </c>
      <c r="BI90" s="36">
        <f t="shared" si="76"/>
        <v>0</v>
      </c>
      <c r="BJ90" s="36">
        <f t="shared" si="77"/>
        <v>0</v>
      </c>
      <c r="BK90" s="36">
        <f t="shared" si="78"/>
        <v>0</v>
      </c>
      <c r="BL90" s="36">
        <f t="shared" si="79"/>
        <v>0</v>
      </c>
      <c r="BM90" s="36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5">
      <c r="A91">
        <f>Database!A91</f>
        <v>0</v>
      </c>
      <c r="B91" s="26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6">
        <f t="shared" si="69"/>
        <v>0</v>
      </c>
      <c r="BC91" s="36">
        <f t="shared" si="70"/>
        <v>0</v>
      </c>
      <c r="BD91" s="36">
        <f t="shared" si="71"/>
        <v>0</v>
      </c>
      <c r="BE91" s="36">
        <f t="shared" si="72"/>
        <v>0</v>
      </c>
      <c r="BF91" s="36">
        <f t="shared" si="73"/>
        <v>0</v>
      </c>
      <c r="BG91" s="36">
        <f t="shared" si="74"/>
        <v>0</v>
      </c>
      <c r="BH91" s="36">
        <f t="shared" si="75"/>
        <v>0</v>
      </c>
      <c r="BI91" s="36">
        <f t="shared" si="76"/>
        <v>0</v>
      </c>
      <c r="BJ91" s="36">
        <f t="shared" si="77"/>
        <v>0</v>
      </c>
      <c r="BK91" s="36">
        <f t="shared" si="78"/>
        <v>0</v>
      </c>
      <c r="BL91" s="36">
        <f t="shared" si="79"/>
        <v>0</v>
      </c>
      <c r="BM91" s="36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5">
      <c r="A92">
        <f>Database!A92</f>
        <v>0</v>
      </c>
      <c r="B92" s="26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6">
        <f t="shared" si="69"/>
        <v>0</v>
      </c>
      <c r="BC92" s="36">
        <f t="shared" si="70"/>
        <v>0</v>
      </c>
      <c r="BD92" s="36">
        <f t="shared" si="71"/>
        <v>0</v>
      </c>
      <c r="BE92" s="36">
        <f t="shared" si="72"/>
        <v>0</v>
      </c>
      <c r="BF92" s="36">
        <f t="shared" si="73"/>
        <v>0</v>
      </c>
      <c r="BG92" s="36">
        <f t="shared" si="74"/>
        <v>0</v>
      </c>
      <c r="BH92" s="36">
        <f t="shared" si="75"/>
        <v>0</v>
      </c>
      <c r="BI92" s="36">
        <f t="shared" si="76"/>
        <v>0</v>
      </c>
      <c r="BJ92" s="36">
        <f t="shared" si="77"/>
        <v>0</v>
      </c>
      <c r="BK92" s="36">
        <f t="shared" si="78"/>
        <v>0</v>
      </c>
      <c r="BL92" s="36">
        <f t="shared" si="79"/>
        <v>0</v>
      </c>
      <c r="BM92" s="36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5">
      <c r="A93">
        <f>Database!A93</f>
        <v>0</v>
      </c>
      <c r="B93" s="26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6">
        <f t="shared" si="69"/>
        <v>0</v>
      </c>
      <c r="BC93" s="36">
        <f t="shared" si="70"/>
        <v>0</v>
      </c>
      <c r="BD93" s="36">
        <f t="shared" si="71"/>
        <v>0</v>
      </c>
      <c r="BE93" s="36">
        <f t="shared" si="72"/>
        <v>0</v>
      </c>
      <c r="BF93" s="36">
        <f t="shared" si="73"/>
        <v>0</v>
      </c>
      <c r="BG93" s="36">
        <f t="shared" si="74"/>
        <v>0</v>
      </c>
      <c r="BH93" s="36">
        <f t="shared" si="75"/>
        <v>0</v>
      </c>
      <c r="BI93" s="36">
        <f t="shared" si="76"/>
        <v>0</v>
      </c>
      <c r="BJ93" s="36">
        <f t="shared" si="77"/>
        <v>0</v>
      </c>
      <c r="BK93" s="36">
        <f t="shared" si="78"/>
        <v>0</v>
      </c>
      <c r="BL93" s="36">
        <f t="shared" si="79"/>
        <v>0</v>
      </c>
      <c r="BM93" s="36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5">
      <c r="A94">
        <f>Database!A94</f>
        <v>0</v>
      </c>
      <c r="B94" s="26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6">
        <f t="shared" si="69"/>
        <v>0</v>
      </c>
      <c r="BC94" s="36">
        <f t="shared" si="70"/>
        <v>0</v>
      </c>
      <c r="BD94" s="36">
        <f t="shared" si="71"/>
        <v>0</v>
      </c>
      <c r="BE94" s="36">
        <f t="shared" si="72"/>
        <v>0</v>
      </c>
      <c r="BF94" s="36">
        <f t="shared" si="73"/>
        <v>0</v>
      </c>
      <c r="BG94" s="36">
        <f t="shared" si="74"/>
        <v>0</v>
      </c>
      <c r="BH94" s="36">
        <f t="shared" si="75"/>
        <v>0</v>
      </c>
      <c r="BI94" s="36">
        <f t="shared" si="76"/>
        <v>0</v>
      </c>
      <c r="BJ94" s="36">
        <f t="shared" si="77"/>
        <v>0</v>
      </c>
      <c r="BK94" s="36">
        <f t="shared" si="78"/>
        <v>0</v>
      </c>
      <c r="BL94" s="36">
        <f t="shared" si="79"/>
        <v>0</v>
      </c>
      <c r="BM94" s="36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5">
      <c r="A95">
        <f>Database!A95</f>
        <v>0</v>
      </c>
      <c r="B95" s="26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6">
        <f t="shared" si="69"/>
        <v>0</v>
      </c>
      <c r="BC95" s="36">
        <f t="shared" si="70"/>
        <v>0</v>
      </c>
      <c r="BD95" s="36">
        <f t="shared" si="71"/>
        <v>0</v>
      </c>
      <c r="BE95" s="36">
        <f t="shared" si="72"/>
        <v>0</v>
      </c>
      <c r="BF95" s="36">
        <f t="shared" si="73"/>
        <v>0</v>
      </c>
      <c r="BG95" s="36">
        <f t="shared" si="74"/>
        <v>0</v>
      </c>
      <c r="BH95" s="36">
        <f t="shared" si="75"/>
        <v>0</v>
      </c>
      <c r="BI95" s="36">
        <f t="shared" si="76"/>
        <v>0</v>
      </c>
      <c r="BJ95" s="36">
        <f t="shared" si="77"/>
        <v>0</v>
      </c>
      <c r="BK95" s="36">
        <f t="shared" si="78"/>
        <v>0</v>
      </c>
      <c r="BL95" s="36">
        <f t="shared" si="79"/>
        <v>0</v>
      </c>
      <c r="BM95" s="36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5">
      <c r="A96">
        <f>Database!A96</f>
        <v>0</v>
      </c>
      <c r="B96" s="26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6">
        <f t="shared" si="69"/>
        <v>0</v>
      </c>
      <c r="BC96" s="36">
        <f t="shared" si="70"/>
        <v>0</v>
      </c>
      <c r="BD96" s="36">
        <f t="shared" si="71"/>
        <v>0</v>
      </c>
      <c r="BE96" s="36">
        <f t="shared" si="72"/>
        <v>0</v>
      </c>
      <c r="BF96" s="36">
        <f t="shared" si="73"/>
        <v>0</v>
      </c>
      <c r="BG96" s="36">
        <f t="shared" si="74"/>
        <v>0</v>
      </c>
      <c r="BH96" s="36">
        <f t="shared" si="75"/>
        <v>0</v>
      </c>
      <c r="BI96" s="36">
        <f t="shared" si="76"/>
        <v>0</v>
      </c>
      <c r="BJ96" s="36">
        <f t="shared" si="77"/>
        <v>0</v>
      </c>
      <c r="BK96" s="36">
        <f t="shared" si="78"/>
        <v>0</v>
      </c>
      <c r="BL96" s="36">
        <f t="shared" si="79"/>
        <v>0</v>
      </c>
      <c r="BM96" s="36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5">
      <c r="A97">
        <f>Database!A97</f>
        <v>0</v>
      </c>
      <c r="B97" s="26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6">
        <f t="shared" si="69"/>
        <v>0</v>
      </c>
      <c r="BC97" s="36">
        <f t="shared" si="70"/>
        <v>0</v>
      </c>
      <c r="BD97" s="36">
        <f t="shared" si="71"/>
        <v>0</v>
      </c>
      <c r="BE97" s="36">
        <f t="shared" si="72"/>
        <v>0</v>
      </c>
      <c r="BF97" s="36">
        <f t="shared" si="73"/>
        <v>0</v>
      </c>
      <c r="BG97" s="36">
        <f t="shared" si="74"/>
        <v>0</v>
      </c>
      <c r="BH97" s="36">
        <f t="shared" si="75"/>
        <v>0</v>
      </c>
      <c r="BI97" s="36">
        <f t="shared" si="76"/>
        <v>0</v>
      </c>
      <c r="BJ97" s="36">
        <f t="shared" si="77"/>
        <v>0</v>
      </c>
      <c r="BK97" s="36">
        <f t="shared" si="78"/>
        <v>0</v>
      </c>
      <c r="BL97" s="36">
        <f t="shared" si="79"/>
        <v>0</v>
      </c>
      <c r="BM97" s="36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5">
      <c r="A98">
        <f>Database!A98</f>
        <v>0</v>
      </c>
      <c r="B98" s="26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6">
        <f t="shared" si="69"/>
        <v>0</v>
      </c>
      <c r="BC98" s="36">
        <f t="shared" si="70"/>
        <v>0</v>
      </c>
      <c r="BD98" s="36">
        <f t="shared" si="71"/>
        <v>0</v>
      </c>
      <c r="BE98" s="36">
        <f t="shared" si="72"/>
        <v>0</v>
      </c>
      <c r="BF98" s="36">
        <f t="shared" si="73"/>
        <v>0</v>
      </c>
      <c r="BG98" s="36">
        <f t="shared" si="74"/>
        <v>0</v>
      </c>
      <c r="BH98" s="36">
        <f t="shared" si="75"/>
        <v>0</v>
      </c>
      <c r="BI98" s="36">
        <f t="shared" si="76"/>
        <v>0</v>
      </c>
      <c r="BJ98" s="36">
        <f t="shared" si="77"/>
        <v>0</v>
      </c>
      <c r="BK98" s="36">
        <f t="shared" si="78"/>
        <v>0</v>
      </c>
      <c r="BL98" s="36">
        <f t="shared" si="79"/>
        <v>0</v>
      </c>
      <c r="BM98" s="36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5">
      <c r="A99">
        <f>Database!A99</f>
        <v>0</v>
      </c>
      <c r="B99" s="26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6">
        <f t="shared" si="69"/>
        <v>0</v>
      </c>
      <c r="BC99" s="36">
        <f t="shared" si="70"/>
        <v>0</v>
      </c>
      <c r="BD99" s="36">
        <f t="shared" si="71"/>
        <v>0</v>
      </c>
      <c r="BE99" s="36">
        <f t="shared" si="72"/>
        <v>0</v>
      </c>
      <c r="BF99" s="36">
        <f t="shared" si="73"/>
        <v>0</v>
      </c>
      <c r="BG99" s="36">
        <f t="shared" si="74"/>
        <v>0</v>
      </c>
      <c r="BH99" s="36">
        <f t="shared" si="75"/>
        <v>0</v>
      </c>
      <c r="BI99" s="36">
        <f t="shared" si="76"/>
        <v>0</v>
      </c>
      <c r="BJ99" s="36">
        <f t="shared" si="77"/>
        <v>0</v>
      </c>
      <c r="BK99" s="36">
        <f t="shared" si="78"/>
        <v>0</v>
      </c>
      <c r="BL99" s="36">
        <f t="shared" si="79"/>
        <v>0</v>
      </c>
      <c r="BM99" s="36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5">
      <c r="A100">
        <f>Database!A100</f>
        <v>0</v>
      </c>
      <c r="B100" s="26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6">
        <f t="shared" si="69"/>
        <v>0</v>
      </c>
      <c r="BC100" s="36">
        <f t="shared" si="70"/>
        <v>0</v>
      </c>
      <c r="BD100" s="36">
        <f t="shared" si="71"/>
        <v>0</v>
      </c>
      <c r="BE100" s="36">
        <f t="shared" si="72"/>
        <v>0</v>
      </c>
      <c r="BF100" s="36">
        <f t="shared" si="73"/>
        <v>0</v>
      </c>
      <c r="BG100" s="36">
        <f t="shared" si="74"/>
        <v>0</v>
      </c>
      <c r="BH100" s="36">
        <f t="shared" si="75"/>
        <v>0</v>
      </c>
      <c r="BI100" s="36">
        <f t="shared" si="76"/>
        <v>0</v>
      </c>
      <c r="BJ100" s="36">
        <f t="shared" si="77"/>
        <v>0</v>
      </c>
      <c r="BK100" s="36">
        <f t="shared" si="78"/>
        <v>0</v>
      </c>
      <c r="BL100" s="36">
        <f t="shared" si="79"/>
        <v>0</v>
      </c>
      <c r="BM100" s="36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5">
      <c r="A101">
        <f>Database!A101</f>
        <v>0</v>
      </c>
      <c r="B101" s="26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6">
        <f t="shared" si="69"/>
        <v>0</v>
      </c>
      <c r="BC101" s="36">
        <f t="shared" si="70"/>
        <v>0</v>
      </c>
      <c r="BD101" s="36">
        <f t="shared" si="71"/>
        <v>0</v>
      </c>
      <c r="BE101" s="36">
        <f t="shared" si="72"/>
        <v>0</v>
      </c>
      <c r="BF101" s="36">
        <f t="shared" si="73"/>
        <v>0</v>
      </c>
      <c r="BG101" s="36">
        <f t="shared" si="74"/>
        <v>0</v>
      </c>
      <c r="BH101" s="36">
        <f t="shared" si="75"/>
        <v>0</v>
      </c>
      <c r="BI101" s="36">
        <f t="shared" si="76"/>
        <v>0</v>
      </c>
      <c r="BJ101" s="36">
        <f t="shared" si="77"/>
        <v>0</v>
      </c>
      <c r="BK101" s="36">
        <f t="shared" si="78"/>
        <v>0</v>
      </c>
      <c r="BL101" s="36">
        <f t="shared" si="79"/>
        <v>0</v>
      </c>
      <c r="BM101" s="36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5">
      <c r="A102">
        <f>Database!A102</f>
        <v>0</v>
      </c>
      <c r="B102" s="26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6">
        <f t="shared" si="69"/>
        <v>0</v>
      </c>
      <c r="BC102" s="36">
        <f t="shared" si="70"/>
        <v>0</v>
      </c>
      <c r="BD102" s="36">
        <f t="shared" si="71"/>
        <v>0</v>
      </c>
      <c r="BE102" s="36">
        <f t="shared" si="72"/>
        <v>0</v>
      </c>
      <c r="BF102" s="36">
        <f t="shared" si="73"/>
        <v>0</v>
      </c>
      <c r="BG102" s="36">
        <f t="shared" si="74"/>
        <v>0</v>
      </c>
      <c r="BH102" s="36">
        <f t="shared" si="75"/>
        <v>0</v>
      </c>
      <c r="BI102" s="36">
        <f t="shared" si="76"/>
        <v>0</v>
      </c>
      <c r="BJ102" s="36">
        <f t="shared" si="77"/>
        <v>0</v>
      </c>
      <c r="BK102" s="36">
        <f t="shared" si="78"/>
        <v>0</v>
      </c>
      <c r="BL102" s="36">
        <f t="shared" si="79"/>
        <v>0</v>
      </c>
      <c r="BM102" s="36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5">
      <c r="A103">
        <f>Database!A103</f>
        <v>0</v>
      </c>
      <c r="B103" s="26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6">
        <f t="shared" si="69"/>
        <v>0</v>
      </c>
      <c r="BC103" s="36">
        <f t="shared" si="70"/>
        <v>0</v>
      </c>
      <c r="BD103" s="36">
        <f t="shared" si="71"/>
        <v>0</v>
      </c>
      <c r="BE103" s="36">
        <f t="shared" si="72"/>
        <v>0</v>
      </c>
      <c r="BF103" s="36">
        <f t="shared" si="73"/>
        <v>0</v>
      </c>
      <c r="BG103" s="36">
        <f t="shared" si="74"/>
        <v>0</v>
      </c>
      <c r="BH103" s="36">
        <f t="shared" si="75"/>
        <v>0</v>
      </c>
      <c r="BI103" s="36">
        <f t="shared" si="76"/>
        <v>0</v>
      </c>
      <c r="BJ103" s="36">
        <f t="shared" si="77"/>
        <v>0</v>
      </c>
      <c r="BK103" s="36">
        <f t="shared" si="78"/>
        <v>0</v>
      </c>
      <c r="BL103" s="36">
        <f t="shared" si="79"/>
        <v>0</v>
      </c>
      <c r="BM103" s="36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5">
      <c r="A104">
        <f>Database!A104</f>
        <v>0</v>
      </c>
      <c r="B104" s="26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6">
        <f t="shared" si="69"/>
        <v>0</v>
      </c>
      <c r="BC104" s="36">
        <f t="shared" si="70"/>
        <v>0</v>
      </c>
      <c r="BD104" s="36">
        <f t="shared" si="71"/>
        <v>0</v>
      </c>
      <c r="BE104" s="36">
        <f t="shared" si="72"/>
        <v>0</v>
      </c>
      <c r="BF104" s="36">
        <f t="shared" si="73"/>
        <v>0</v>
      </c>
      <c r="BG104" s="36">
        <f t="shared" si="74"/>
        <v>0</v>
      </c>
      <c r="BH104" s="36">
        <f t="shared" si="75"/>
        <v>0</v>
      </c>
      <c r="BI104" s="36">
        <f t="shared" si="76"/>
        <v>0</v>
      </c>
      <c r="BJ104" s="36">
        <f t="shared" si="77"/>
        <v>0</v>
      </c>
      <c r="BK104" s="36">
        <f t="shared" si="78"/>
        <v>0</v>
      </c>
      <c r="BL104" s="36">
        <f t="shared" si="79"/>
        <v>0</v>
      </c>
      <c r="BM104" s="36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5">
      <c r="A105">
        <f>Database!A105</f>
        <v>0</v>
      </c>
      <c r="B105" s="26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6">
        <f t="shared" si="69"/>
        <v>0</v>
      </c>
      <c r="BC105" s="36">
        <f t="shared" si="70"/>
        <v>0</v>
      </c>
      <c r="BD105" s="36">
        <f t="shared" si="71"/>
        <v>0</v>
      </c>
      <c r="BE105" s="36">
        <f t="shared" si="72"/>
        <v>0</v>
      </c>
      <c r="BF105" s="36">
        <f t="shared" si="73"/>
        <v>0</v>
      </c>
      <c r="BG105" s="36">
        <f t="shared" si="74"/>
        <v>0</v>
      </c>
      <c r="BH105" s="36">
        <f t="shared" si="75"/>
        <v>0</v>
      </c>
      <c r="BI105" s="36">
        <f t="shared" si="76"/>
        <v>0</v>
      </c>
      <c r="BJ105" s="36">
        <f t="shared" si="77"/>
        <v>0</v>
      </c>
      <c r="BK105" s="36">
        <f t="shared" si="78"/>
        <v>0</v>
      </c>
      <c r="BL105" s="36">
        <f t="shared" si="79"/>
        <v>0</v>
      </c>
      <c r="BM105" s="36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5">
      <c r="A106">
        <f>Database!A106</f>
        <v>0</v>
      </c>
      <c r="B106" s="26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6">
        <f t="shared" si="69"/>
        <v>0</v>
      </c>
      <c r="BC106" s="36">
        <f t="shared" si="70"/>
        <v>0</v>
      </c>
      <c r="BD106" s="36">
        <f t="shared" si="71"/>
        <v>0</v>
      </c>
      <c r="BE106" s="36">
        <f t="shared" si="72"/>
        <v>0</v>
      </c>
      <c r="BF106" s="36">
        <f t="shared" si="73"/>
        <v>0</v>
      </c>
      <c r="BG106" s="36">
        <f t="shared" si="74"/>
        <v>0</v>
      </c>
      <c r="BH106" s="36">
        <f t="shared" si="75"/>
        <v>0</v>
      </c>
      <c r="BI106" s="36">
        <f t="shared" si="76"/>
        <v>0</v>
      </c>
      <c r="BJ106" s="36">
        <f t="shared" si="77"/>
        <v>0</v>
      </c>
      <c r="BK106" s="36">
        <f t="shared" si="78"/>
        <v>0</v>
      </c>
      <c r="BL106" s="36">
        <f t="shared" si="79"/>
        <v>0</v>
      </c>
      <c r="BM106" s="36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5">
      <c r="A107">
        <f>Database!A107</f>
        <v>0</v>
      </c>
      <c r="B107" s="26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6">
        <f t="shared" si="69"/>
        <v>0</v>
      </c>
      <c r="BC107" s="36">
        <f t="shared" si="70"/>
        <v>0</v>
      </c>
      <c r="BD107" s="36">
        <f t="shared" si="71"/>
        <v>0</v>
      </c>
      <c r="BE107" s="36">
        <f t="shared" si="72"/>
        <v>0</v>
      </c>
      <c r="BF107" s="36">
        <f t="shared" si="73"/>
        <v>0</v>
      </c>
      <c r="BG107" s="36">
        <f t="shared" si="74"/>
        <v>0</v>
      </c>
      <c r="BH107" s="36">
        <f t="shared" si="75"/>
        <v>0</v>
      </c>
      <c r="BI107" s="36">
        <f t="shared" si="76"/>
        <v>0</v>
      </c>
      <c r="BJ107" s="36">
        <f t="shared" si="77"/>
        <v>0</v>
      </c>
      <c r="BK107" s="36">
        <f t="shared" si="78"/>
        <v>0</v>
      </c>
      <c r="BL107" s="36">
        <f t="shared" si="79"/>
        <v>0</v>
      </c>
      <c r="BM107" s="36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5">
      <c r="A108">
        <f>Database!A108</f>
        <v>0</v>
      </c>
      <c r="B108" s="26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6">
        <f t="shared" si="69"/>
        <v>0</v>
      </c>
      <c r="BC108" s="36">
        <f t="shared" si="70"/>
        <v>0</v>
      </c>
      <c r="BD108" s="36">
        <f t="shared" si="71"/>
        <v>0</v>
      </c>
      <c r="BE108" s="36">
        <f t="shared" si="72"/>
        <v>0</v>
      </c>
      <c r="BF108" s="36">
        <f t="shared" si="73"/>
        <v>0</v>
      </c>
      <c r="BG108" s="36">
        <f t="shared" si="74"/>
        <v>0</v>
      </c>
      <c r="BH108" s="36">
        <f t="shared" si="75"/>
        <v>0</v>
      </c>
      <c r="BI108" s="36">
        <f t="shared" si="76"/>
        <v>0</v>
      </c>
      <c r="BJ108" s="36">
        <f t="shared" si="77"/>
        <v>0</v>
      </c>
      <c r="BK108" s="36">
        <f t="shared" si="78"/>
        <v>0</v>
      </c>
      <c r="BL108" s="36">
        <f t="shared" si="79"/>
        <v>0</v>
      </c>
      <c r="BM108" s="36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5">
      <c r="A109">
        <f>Database!A109</f>
        <v>0</v>
      </c>
      <c r="B109" s="26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6">
        <f t="shared" si="69"/>
        <v>0</v>
      </c>
      <c r="BC109" s="36">
        <f t="shared" si="70"/>
        <v>0</v>
      </c>
      <c r="BD109" s="36">
        <f t="shared" si="71"/>
        <v>0</v>
      </c>
      <c r="BE109" s="36">
        <f t="shared" si="72"/>
        <v>0</v>
      </c>
      <c r="BF109" s="36">
        <f t="shared" si="73"/>
        <v>0</v>
      </c>
      <c r="BG109" s="36">
        <f t="shared" si="74"/>
        <v>0</v>
      </c>
      <c r="BH109" s="36">
        <f t="shared" si="75"/>
        <v>0</v>
      </c>
      <c r="BI109" s="36">
        <f t="shared" si="76"/>
        <v>0</v>
      </c>
      <c r="BJ109" s="36">
        <f t="shared" si="77"/>
        <v>0</v>
      </c>
      <c r="BK109" s="36">
        <f t="shared" si="78"/>
        <v>0</v>
      </c>
      <c r="BL109" s="36">
        <f t="shared" si="79"/>
        <v>0</v>
      </c>
      <c r="BM109" s="36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5">
      <c r="A110">
        <f>Database!A110</f>
        <v>0</v>
      </c>
      <c r="B110" s="26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6">
        <f t="shared" si="69"/>
        <v>0</v>
      </c>
      <c r="BC110" s="36">
        <f t="shared" si="70"/>
        <v>0</v>
      </c>
      <c r="BD110" s="36">
        <f t="shared" si="71"/>
        <v>0</v>
      </c>
      <c r="BE110" s="36">
        <f t="shared" si="72"/>
        <v>0</v>
      </c>
      <c r="BF110" s="36">
        <f t="shared" si="73"/>
        <v>0</v>
      </c>
      <c r="BG110" s="36">
        <f t="shared" si="74"/>
        <v>0</v>
      </c>
      <c r="BH110" s="36">
        <f t="shared" si="75"/>
        <v>0</v>
      </c>
      <c r="BI110" s="36">
        <f t="shared" si="76"/>
        <v>0</v>
      </c>
      <c r="BJ110" s="36">
        <f t="shared" si="77"/>
        <v>0</v>
      </c>
      <c r="BK110" s="36">
        <f t="shared" si="78"/>
        <v>0</v>
      </c>
      <c r="BL110" s="36">
        <f t="shared" si="79"/>
        <v>0</v>
      </c>
      <c r="BM110" s="36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5">
      <c r="A111">
        <f>Database!A111</f>
        <v>0</v>
      </c>
      <c r="B111" s="26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6">
        <f t="shared" si="69"/>
        <v>0</v>
      </c>
      <c r="BC111" s="36">
        <f t="shared" si="70"/>
        <v>0</v>
      </c>
      <c r="BD111" s="36">
        <f t="shared" si="71"/>
        <v>0</v>
      </c>
      <c r="BE111" s="36">
        <f t="shared" si="72"/>
        <v>0</v>
      </c>
      <c r="BF111" s="36">
        <f t="shared" si="73"/>
        <v>0</v>
      </c>
      <c r="BG111" s="36">
        <f t="shared" si="74"/>
        <v>0</v>
      </c>
      <c r="BH111" s="36">
        <f t="shared" si="75"/>
        <v>0</v>
      </c>
      <c r="BI111" s="36">
        <f t="shared" si="76"/>
        <v>0</v>
      </c>
      <c r="BJ111" s="36">
        <f t="shared" si="77"/>
        <v>0</v>
      </c>
      <c r="BK111" s="36">
        <f t="shared" si="78"/>
        <v>0</v>
      </c>
      <c r="BL111" s="36">
        <f t="shared" si="79"/>
        <v>0</v>
      </c>
      <c r="BM111" s="36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5">
      <c r="A112">
        <f>Database!A112</f>
        <v>0</v>
      </c>
      <c r="B112" s="26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6">
        <f t="shared" si="69"/>
        <v>0</v>
      </c>
      <c r="BC112" s="36">
        <f t="shared" si="70"/>
        <v>0</v>
      </c>
      <c r="BD112" s="36">
        <f t="shared" si="71"/>
        <v>0</v>
      </c>
      <c r="BE112" s="36">
        <f t="shared" si="72"/>
        <v>0</v>
      </c>
      <c r="BF112" s="36">
        <f t="shared" si="73"/>
        <v>0</v>
      </c>
      <c r="BG112" s="36">
        <f t="shared" si="74"/>
        <v>0</v>
      </c>
      <c r="BH112" s="36">
        <f t="shared" si="75"/>
        <v>0</v>
      </c>
      <c r="BI112" s="36">
        <f t="shared" si="76"/>
        <v>0</v>
      </c>
      <c r="BJ112" s="36">
        <f t="shared" si="77"/>
        <v>0</v>
      </c>
      <c r="BK112" s="36">
        <f t="shared" si="78"/>
        <v>0</v>
      </c>
      <c r="BL112" s="36">
        <f t="shared" si="79"/>
        <v>0</v>
      </c>
      <c r="BM112" s="36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5">
      <c r="A113">
        <f>Database!A113</f>
        <v>0</v>
      </c>
      <c r="B113" s="26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6">
        <f t="shared" si="69"/>
        <v>0</v>
      </c>
      <c r="BC113" s="36">
        <f t="shared" si="70"/>
        <v>0</v>
      </c>
      <c r="BD113" s="36">
        <f t="shared" si="71"/>
        <v>0</v>
      </c>
      <c r="BE113" s="36">
        <f t="shared" si="72"/>
        <v>0</v>
      </c>
      <c r="BF113" s="36">
        <f t="shared" si="73"/>
        <v>0</v>
      </c>
      <c r="BG113" s="36">
        <f t="shared" si="74"/>
        <v>0</v>
      </c>
      <c r="BH113" s="36">
        <f t="shared" si="75"/>
        <v>0</v>
      </c>
      <c r="BI113" s="36">
        <f t="shared" si="76"/>
        <v>0</v>
      </c>
      <c r="BJ113" s="36">
        <f t="shared" si="77"/>
        <v>0</v>
      </c>
      <c r="BK113" s="36">
        <f t="shared" si="78"/>
        <v>0</v>
      </c>
      <c r="BL113" s="36">
        <f t="shared" si="79"/>
        <v>0</v>
      </c>
      <c r="BM113" s="36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5">
      <c r="A114">
        <f>Database!A114</f>
        <v>0</v>
      </c>
      <c r="B114" s="26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6">
        <f t="shared" si="69"/>
        <v>0</v>
      </c>
      <c r="BC114" s="36">
        <f t="shared" si="70"/>
        <v>0</v>
      </c>
      <c r="BD114" s="36">
        <f t="shared" si="71"/>
        <v>0</v>
      </c>
      <c r="BE114" s="36">
        <f t="shared" si="72"/>
        <v>0</v>
      </c>
      <c r="BF114" s="36">
        <f t="shared" si="73"/>
        <v>0</v>
      </c>
      <c r="BG114" s="36">
        <f t="shared" si="74"/>
        <v>0</v>
      </c>
      <c r="BH114" s="36">
        <f t="shared" si="75"/>
        <v>0</v>
      </c>
      <c r="BI114" s="36">
        <f t="shared" si="76"/>
        <v>0</v>
      </c>
      <c r="BJ114" s="36">
        <f t="shared" si="77"/>
        <v>0</v>
      </c>
      <c r="BK114" s="36">
        <f t="shared" si="78"/>
        <v>0</v>
      </c>
      <c r="BL114" s="36">
        <f t="shared" si="79"/>
        <v>0</v>
      </c>
      <c r="BM114" s="36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5">
      <c r="A115">
        <f>Database!A115</f>
        <v>0</v>
      </c>
      <c r="B115" s="26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6">
        <f t="shared" si="69"/>
        <v>0</v>
      </c>
      <c r="BC115" s="36">
        <f t="shared" si="70"/>
        <v>0</v>
      </c>
      <c r="BD115" s="36">
        <f t="shared" si="71"/>
        <v>0</v>
      </c>
      <c r="BE115" s="36">
        <f t="shared" si="72"/>
        <v>0</v>
      </c>
      <c r="BF115" s="36">
        <f t="shared" si="73"/>
        <v>0</v>
      </c>
      <c r="BG115" s="36">
        <f t="shared" si="74"/>
        <v>0</v>
      </c>
      <c r="BH115" s="36">
        <f t="shared" si="75"/>
        <v>0</v>
      </c>
      <c r="BI115" s="36">
        <f t="shared" si="76"/>
        <v>0</v>
      </c>
      <c r="BJ115" s="36">
        <f t="shared" si="77"/>
        <v>0</v>
      </c>
      <c r="BK115" s="36">
        <f t="shared" si="78"/>
        <v>0</v>
      </c>
      <c r="BL115" s="36">
        <f t="shared" si="79"/>
        <v>0</v>
      </c>
      <c r="BM115" s="36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5">
      <c r="A116">
        <f>Database!A116</f>
        <v>0</v>
      </c>
      <c r="B116" s="26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6">
        <f t="shared" si="69"/>
        <v>0</v>
      </c>
      <c r="BC116" s="36">
        <f t="shared" si="70"/>
        <v>0</v>
      </c>
      <c r="BD116" s="36">
        <f t="shared" si="71"/>
        <v>0</v>
      </c>
      <c r="BE116" s="36">
        <f t="shared" si="72"/>
        <v>0</v>
      </c>
      <c r="BF116" s="36">
        <f t="shared" si="73"/>
        <v>0</v>
      </c>
      <c r="BG116" s="36">
        <f t="shared" si="74"/>
        <v>0</v>
      </c>
      <c r="BH116" s="36">
        <f t="shared" si="75"/>
        <v>0</v>
      </c>
      <c r="BI116" s="36">
        <f t="shared" si="76"/>
        <v>0</v>
      </c>
      <c r="BJ116" s="36">
        <f t="shared" si="77"/>
        <v>0</v>
      </c>
      <c r="BK116" s="36">
        <f t="shared" si="78"/>
        <v>0</v>
      </c>
      <c r="BL116" s="36">
        <f t="shared" si="79"/>
        <v>0</v>
      </c>
      <c r="BM116" s="36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5">
      <c r="A117">
        <f>Database!A117</f>
        <v>0</v>
      </c>
      <c r="B117" s="26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6">
        <f t="shared" si="69"/>
        <v>0</v>
      </c>
      <c r="BC117" s="36">
        <f t="shared" si="70"/>
        <v>0</v>
      </c>
      <c r="BD117" s="36">
        <f t="shared" si="71"/>
        <v>0</v>
      </c>
      <c r="BE117" s="36">
        <f t="shared" si="72"/>
        <v>0</v>
      </c>
      <c r="BF117" s="36">
        <f t="shared" si="73"/>
        <v>0</v>
      </c>
      <c r="BG117" s="36">
        <f t="shared" si="74"/>
        <v>0</v>
      </c>
      <c r="BH117" s="36">
        <f t="shared" si="75"/>
        <v>0</v>
      </c>
      <c r="BI117" s="36">
        <f t="shared" si="76"/>
        <v>0</v>
      </c>
      <c r="BJ117" s="36">
        <f t="shared" si="77"/>
        <v>0</v>
      </c>
      <c r="BK117" s="36">
        <f t="shared" si="78"/>
        <v>0</v>
      </c>
      <c r="BL117" s="36">
        <f t="shared" si="79"/>
        <v>0</v>
      </c>
      <c r="BM117" s="36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5">
      <c r="A118">
        <f>Database!A118</f>
        <v>0</v>
      </c>
      <c r="B118" s="26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6">
        <f t="shared" si="69"/>
        <v>0</v>
      </c>
      <c r="BC118" s="36">
        <f t="shared" si="70"/>
        <v>0</v>
      </c>
      <c r="BD118" s="36">
        <f t="shared" si="71"/>
        <v>0</v>
      </c>
      <c r="BE118" s="36">
        <f t="shared" si="72"/>
        <v>0</v>
      </c>
      <c r="BF118" s="36">
        <f t="shared" si="73"/>
        <v>0</v>
      </c>
      <c r="BG118" s="36">
        <f t="shared" si="74"/>
        <v>0</v>
      </c>
      <c r="BH118" s="36">
        <f t="shared" si="75"/>
        <v>0</v>
      </c>
      <c r="BI118" s="36">
        <f t="shared" si="76"/>
        <v>0</v>
      </c>
      <c r="BJ118" s="36">
        <f t="shared" si="77"/>
        <v>0</v>
      </c>
      <c r="BK118" s="36">
        <f t="shared" si="78"/>
        <v>0</v>
      </c>
      <c r="BL118" s="36">
        <f t="shared" si="79"/>
        <v>0</v>
      </c>
      <c r="BM118" s="36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5">
      <c r="A119">
        <f>Database!A119</f>
        <v>0</v>
      </c>
      <c r="B119" s="26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6">
        <f t="shared" si="69"/>
        <v>0</v>
      </c>
      <c r="BC119" s="36">
        <f t="shared" si="70"/>
        <v>0</v>
      </c>
      <c r="BD119" s="36">
        <f t="shared" si="71"/>
        <v>0</v>
      </c>
      <c r="BE119" s="36">
        <f t="shared" si="72"/>
        <v>0</v>
      </c>
      <c r="BF119" s="36">
        <f t="shared" si="73"/>
        <v>0</v>
      </c>
      <c r="BG119" s="36">
        <f t="shared" si="74"/>
        <v>0</v>
      </c>
      <c r="BH119" s="36">
        <f t="shared" si="75"/>
        <v>0</v>
      </c>
      <c r="BI119" s="36">
        <f t="shared" si="76"/>
        <v>0</v>
      </c>
      <c r="BJ119" s="36">
        <f t="shared" si="77"/>
        <v>0</v>
      </c>
      <c r="BK119" s="36">
        <f t="shared" si="78"/>
        <v>0</v>
      </c>
      <c r="BL119" s="36">
        <f t="shared" si="79"/>
        <v>0</v>
      </c>
      <c r="BM119" s="36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5">
      <c r="A120">
        <f>Database!A120</f>
        <v>0</v>
      </c>
      <c r="B120" s="26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6">
        <f t="shared" si="69"/>
        <v>0</v>
      </c>
      <c r="BC120" s="36">
        <f t="shared" si="70"/>
        <v>0</v>
      </c>
      <c r="BD120" s="36">
        <f t="shared" si="71"/>
        <v>0</v>
      </c>
      <c r="BE120" s="36">
        <f t="shared" si="72"/>
        <v>0</v>
      </c>
      <c r="BF120" s="36">
        <f t="shared" si="73"/>
        <v>0</v>
      </c>
      <c r="BG120" s="36">
        <f t="shared" si="74"/>
        <v>0</v>
      </c>
      <c r="BH120" s="36">
        <f t="shared" si="75"/>
        <v>0</v>
      </c>
      <c r="BI120" s="36">
        <f t="shared" si="76"/>
        <v>0</v>
      </c>
      <c r="BJ120" s="36">
        <f t="shared" si="77"/>
        <v>0</v>
      </c>
      <c r="BK120" s="36">
        <f t="shared" si="78"/>
        <v>0</v>
      </c>
      <c r="BL120" s="36">
        <f t="shared" si="79"/>
        <v>0</v>
      </c>
      <c r="BM120" s="36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5">
      <c r="A121">
        <f>Database!A121</f>
        <v>0</v>
      </c>
      <c r="B121" s="26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6">
        <f t="shared" si="69"/>
        <v>0</v>
      </c>
      <c r="BC121" s="36">
        <f t="shared" si="70"/>
        <v>0</v>
      </c>
      <c r="BD121" s="36">
        <f t="shared" si="71"/>
        <v>0</v>
      </c>
      <c r="BE121" s="36">
        <f t="shared" si="72"/>
        <v>0</v>
      </c>
      <c r="BF121" s="36">
        <f t="shared" si="73"/>
        <v>0</v>
      </c>
      <c r="BG121" s="36">
        <f t="shared" si="74"/>
        <v>0</v>
      </c>
      <c r="BH121" s="36">
        <f t="shared" si="75"/>
        <v>0</v>
      </c>
      <c r="BI121" s="36">
        <f t="shared" si="76"/>
        <v>0</v>
      </c>
      <c r="BJ121" s="36">
        <f t="shared" si="77"/>
        <v>0</v>
      </c>
      <c r="BK121" s="36">
        <f t="shared" si="78"/>
        <v>0</v>
      </c>
      <c r="BL121" s="36">
        <f t="shared" si="79"/>
        <v>0</v>
      </c>
      <c r="BM121" s="36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5">
      <c r="A122">
        <f>Database!A122</f>
        <v>0</v>
      </c>
      <c r="B122" s="26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6">
        <f t="shared" si="69"/>
        <v>0</v>
      </c>
      <c r="BC122" s="36">
        <f t="shared" si="70"/>
        <v>0</v>
      </c>
      <c r="BD122" s="36">
        <f t="shared" si="71"/>
        <v>0</v>
      </c>
      <c r="BE122" s="36">
        <f t="shared" si="72"/>
        <v>0</v>
      </c>
      <c r="BF122" s="36">
        <f t="shared" si="73"/>
        <v>0</v>
      </c>
      <c r="BG122" s="36">
        <f t="shared" si="74"/>
        <v>0</v>
      </c>
      <c r="BH122" s="36">
        <f t="shared" si="75"/>
        <v>0</v>
      </c>
      <c r="BI122" s="36">
        <f t="shared" si="76"/>
        <v>0</v>
      </c>
      <c r="BJ122" s="36">
        <f t="shared" si="77"/>
        <v>0</v>
      </c>
      <c r="BK122" s="36">
        <f t="shared" si="78"/>
        <v>0</v>
      </c>
      <c r="BL122" s="36">
        <f t="shared" si="79"/>
        <v>0</v>
      </c>
      <c r="BM122" s="36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5">
      <c r="A123">
        <f>Database!A123</f>
        <v>0</v>
      </c>
      <c r="B123" s="26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6">
        <f t="shared" si="69"/>
        <v>0</v>
      </c>
      <c r="BC123" s="36">
        <f t="shared" si="70"/>
        <v>0</v>
      </c>
      <c r="BD123" s="36">
        <f t="shared" si="71"/>
        <v>0</v>
      </c>
      <c r="BE123" s="36">
        <f t="shared" si="72"/>
        <v>0</v>
      </c>
      <c r="BF123" s="36">
        <f t="shared" si="73"/>
        <v>0</v>
      </c>
      <c r="BG123" s="36">
        <f t="shared" si="74"/>
        <v>0</v>
      </c>
      <c r="BH123" s="36">
        <f t="shared" si="75"/>
        <v>0</v>
      </c>
      <c r="BI123" s="36">
        <f t="shared" si="76"/>
        <v>0</v>
      </c>
      <c r="BJ123" s="36">
        <f t="shared" si="77"/>
        <v>0</v>
      </c>
      <c r="BK123" s="36">
        <f t="shared" si="78"/>
        <v>0</v>
      </c>
      <c r="BL123" s="36">
        <f t="shared" si="79"/>
        <v>0</v>
      </c>
      <c r="BM123" s="36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5">
      <c r="A124">
        <f>Database!A124</f>
        <v>0</v>
      </c>
      <c r="B124" s="26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6">
        <f t="shared" si="69"/>
        <v>0</v>
      </c>
      <c r="BC124" s="36">
        <f t="shared" si="70"/>
        <v>0</v>
      </c>
      <c r="BD124" s="36">
        <f t="shared" si="71"/>
        <v>0</v>
      </c>
      <c r="BE124" s="36">
        <f t="shared" si="72"/>
        <v>0</v>
      </c>
      <c r="BF124" s="36">
        <f t="shared" si="73"/>
        <v>0</v>
      </c>
      <c r="BG124" s="36">
        <f t="shared" si="74"/>
        <v>0</v>
      </c>
      <c r="BH124" s="36">
        <f t="shared" si="75"/>
        <v>0</v>
      </c>
      <c r="BI124" s="36">
        <f t="shared" si="76"/>
        <v>0</v>
      </c>
      <c r="BJ124" s="36">
        <f t="shared" si="77"/>
        <v>0</v>
      </c>
      <c r="BK124" s="36">
        <f t="shared" si="78"/>
        <v>0</v>
      </c>
      <c r="BL124" s="36">
        <f t="shared" si="79"/>
        <v>0</v>
      </c>
      <c r="BM124" s="36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5">
      <c r="A125">
        <f>Database!A125</f>
        <v>0</v>
      </c>
      <c r="B125" s="26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6">
        <f t="shared" si="69"/>
        <v>0</v>
      </c>
      <c r="BC125" s="36">
        <f t="shared" si="70"/>
        <v>0</v>
      </c>
      <c r="BD125" s="36">
        <f t="shared" si="71"/>
        <v>0</v>
      </c>
      <c r="BE125" s="36">
        <f t="shared" si="72"/>
        <v>0</v>
      </c>
      <c r="BF125" s="36">
        <f t="shared" si="73"/>
        <v>0</v>
      </c>
      <c r="BG125" s="36">
        <f t="shared" si="74"/>
        <v>0</v>
      </c>
      <c r="BH125" s="36">
        <f t="shared" si="75"/>
        <v>0</v>
      </c>
      <c r="BI125" s="36">
        <f t="shared" si="76"/>
        <v>0</v>
      </c>
      <c r="BJ125" s="36">
        <f t="shared" si="77"/>
        <v>0</v>
      </c>
      <c r="BK125" s="36">
        <f t="shared" si="78"/>
        <v>0</v>
      </c>
      <c r="BL125" s="36">
        <f t="shared" si="79"/>
        <v>0</v>
      </c>
      <c r="BM125" s="36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5">
      <c r="A126">
        <f>Database!A126</f>
        <v>0</v>
      </c>
      <c r="B126" s="26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6">
        <f t="shared" si="69"/>
        <v>0</v>
      </c>
      <c r="BC126" s="36">
        <f t="shared" si="70"/>
        <v>0</v>
      </c>
      <c r="BD126" s="36">
        <f t="shared" si="71"/>
        <v>0</v>
      </c>
      <c r="BE126" s="36">
        <f t="shared" si="72"/>
        <v>0</v>
      </c>
      <c r="BF126" s="36">
        <f t="shared" si="73"/>
        <v>0</v>
      </c>
      <c r="BG126" s="36">
        <f t="shared" si="74"/>
        <v>0</v>
      </c>
      <c r="BH126" s="36">
        <f t="shared" si="75"/>
        <v>0</v>
      </c>
      <c r="BI126" s="36">
        <f t="shared" si="76"/>
        <v>0</v>
      </c>
      <c r="BJ126" s="36">
        <f t="shared" si="77"/>
        <v>0</v>
      </c>
      <c r="BK126" s="36">
        <f t="shared" si="78"/>
        <v>0</v>
      </c>
      <c r="BL126" s="36">
        <f t="shared" si="79"/>
        <v>0</v>
      </c>
      <c r="BM126" s="36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5">
      <c r="A127">
        <f>Database!A127</f>
        <v>0</v>
      </c>
      <c r="B127" s="26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6">
        <f t="shared" si="69"/>
        <v>0</v>
      </c>
      <c r="BC127" s="36">
        <f t="shared" si="70"/>
        <v>0</v>
      </c>
      <c r="BD127" s="36">
        <f t="shared" si="71"/>
        <v>0</v>
      </c>
      <c r="BE127" s="36">
        <f t="shared" si="72"/>
        <v>0</v>
      </c>
      <c r="BF127" s="36">
        <f t="shared" si="73"/>
        <v>0</v>
      </c>
      <c r="BG127" s="36">
        <f t="shared" si="74"/>
        <v>0</v>
      </c>
      <c r="BH127" s="36">
        <f t="shared" si="75"/>
        <v>0</v>
      </c>
      <c r="BI127" s="36">
        <f t="shared" si="76"/>
        <v>0</v>
      </c>
      <c r="BJ127" s="36">
        <f t="shared" si="77"/>
        <v>0</v>
      </c>
      <c r="BK127" s="36">
        <f t="shared" si="78"/>
        <v>0</v>
      </c>
      <c r="BL127" s="36">
        <f t="shared" si="79"/>
        <v>0</v>
      </c>
      <c r="BM127" s="36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5">
      <c r="A128">
        <f>Database!A128</f>
        <v>0</v>
      </c>
      <c r="B128" s="26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6">
        <f t="shared" si="69"/>
        <v>0</v>
      </c>
      <c r="BC128" s="36">
        <f t="shared" si="70"/>
        <v>0</v>
      </c>
      <c r="BD128" s="36">
        <f t="shared" si="71"/>
        <v>0</v>
      </c>
      <c r="BE128" s="36">
        <f t="shared" si="72"/>
        <v>0</v>
      </c>
      <c r="BF128" s="36">
        <f t="shared" si="73"/>
        <v>0</v>
      </c>
      <c r="BG128" s="36">
        <f t="shared" si="74"/>
        <v>0</v>
      </c>
      <c r="BH128" s="36">
        <f t="shared" si="75"/>
        <v>0</v>
      </c>
      <c r="BI128" s="36">
        <f t="shared" si="76"/>
        <v>0</v>
      </c>
      <c r="BJ128" s="36">
        <f t="shared" si="77"/>
        <v>0</v>
      </c>
      <c r="BK128" s="36">
        <f t="shared" si="78"/>
        <v>0</v>
      </c>
      <c r="BL128" s="36">
        <f t="shared" si="79"/>
        <v>0</v>
      </c>
      <c r="BM128" s="36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5">
      <c r="A129">
        <f>Database!A129</f>
        <v>0</v>
      </c>
      <c r="B129" s="26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6">
        <f t="shared" si="69"/>
        <v>0</v>
      </c>
      <c r="BC129" s="36">
        <f t="shared" si="70"/>
        <v>0</v>
      </c>
      <c r="BD129" s="36">
        <f t="shared" si="71"/>
        <v>0</v>
      </c>
      <c r="BE129" s="36">
        <f t="shared" si="72"/>
        <v>0</v>
      </c>
      <c r="BF129" s="36">
        <f t="shared" si="73"/>
        <v>0</v>
      </c>
      <c r="BG129" s="36">
        <f t="shared" si="74"/>
        <v>0</v>
      </c>
      <c r="BH129" s="36">
        <f t="shared" si="75"/>
        <v>0</v>
      </c>
      <c r="BI129" s="36">
        <f t="shared" si="76"/>
        <v>0</v>
      </c>
      <c r="BJ129" s="36">
        <f t="shared" si="77"/>
        <v>0</v>
      </c>
      <c r="BK129" s="36">
        <f t="shared" si="78"/>
        <v>0</v>
      </c>
      <c r="BL129" s="36">
        <f t="shared" si="79"/>
        <v>0</v>
      </c>
      <c r="BM129" s="36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5">
      <c r="A130">
        <f>Database!A130</f>
        <v>0</v>
      </c>
      <c r="B130" s="26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6">
        <f t="shared" si="69"/>
        <v>0</v>
      </c>
      <c r="BC130" s="36">
        <f t="shared" si="70"/>
        <v>0</v>
      </c>
      <c r="BD130" s="36">
        <f t="shared" si="71"/>
        <v>0</v>
      </c>
      <c r="BE130" s="36">
        <f t="shared" si="72"/>
        <v>0</v>
      </c>
      <c r="BF130" s="36">
        <f t="shared" si="73"/>
        <v>0</v>
      </c>
      <c r="BG130" s="36">
        <f t="shared" si="74"/>
        <v>0</v>
      </c>
      <c r="BH130" s="36">
        <f t="shared" si="75"/>
        <v>0</v>
      </c>
      <c r="BI130" s="36">
        <f t="shared" si="76"/>
        <v>0</v>
      </c>
      <c r="BJ130" s="36">
        <f t="shared" si="77"/>
        <v>0</v>
      </c>
      <c r="BK130" s="36">
        <f t="shared" si="78"/>
        <v>0</v>
      </c>
      <c r="BL130" s="36">
        <f t="shared" si="79"/>
        <v>0</v>
      </c>
      <c r="BM130" s="36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5">
      <c r="A131">
        <f>Database!A131</f>
        <v>0</v>
      </c>
      <c r="B131" s="26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6">
        <f t="shared" si="69"/>
        <v>0</v>
      </c>
      <c r="BC131" s="36">
        <f t="shared" si="70"/>
        <v>0</v>
      </c>
      <c r="BD131" s="36">
        <f t="shared" si="71"/>
        <v>0</v>
      </c>
      <c r="BE131" s="36">
        <f t="shared" si="72"/>
        <v>0</v>
      </c>
      <c r="BF131" s="36">
        <f t="shared" si="73"/>
        <v>0</v>
      </c>
      <c r="BG131" s="36">
        <f t="shared" si="74"/>
        <v>0</v>
      </c>
      <c r="BH131" s="36">
        <f t="shared" si="75"/>
        <v>0</v>
      </c>
      <c r="BI131" s="36">
        <f t="shared" si="76"/>
        <v>0</v>
      </c>
      <c r="BJ131" s="36">
        <f t="shared" si="77"/>
        <v>0</v>
      </c>
      <c r="BK131" s="36">
        <f t="shared" si="78"/>
        <v>0</v>
      </c>
      <c r="BL131" s="36">
        <f t="shared" si="79"/>
        <v>0</v>
      </c>
      <c r="BM131" s="36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5">
      <c r="A132">
        <f>Database!A132</f>
        <v>0</v>
      </c>
      <c r="B132" s="26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6">
        <f t="shared" ref="BB132:BB195" si="119">IF(AND($D132&gt;0,$G132=BB$1),$F132,0)</f>
        <v>0</v>
      </c>
      <c r="BC132" s="36">
        <f t="shared" ref="BC132:BC195" si="120">IF(AND($D132&gt;0,$G132=BC$1),$D132,0)</f>
        <v>0</v>
      </c>
      <c r="BD132" s="36">
        <f t="shared" ref="BD132:BD195" si="121">IF(AND($D132&gt;0,$G132=BD$1),$F132,0)</f>
        <v>0</v>
      </c>
      <c r="BE132" s="36">
        <f t="shared" ref="BE132:BE195" si="122">IF(AND($D132&gt;0,$G132=BE$1),$D132,0)</f>
        <v>0</v>
      </c>
      <c r="BF132" s="36">
        <f t="shared" ref="BF132:BF195" si="123">IF(AND($D132&gt;0,$G132=BF$1),$F132,0)</f>
        <v>0</v>
      </c>
      <c r="BG132" s="36">
        <f t="shared" ref="BG132:BG195" si="124">IF(AND($D132&gt;0,$G132=BG$1),$D132,0)</f>
        <v>0</v>
      </c>
      <c r="BH132" s="36">
        <f t="shared" ref="BH132:BH195" si="125">IF(AND($D132&gt;0,$G132=BH$1),$F132,0)</f>
        <v>0</v>
      </c>
      <c r="BI132" s="36">
        <f t="shared" ref="BI132:BI195" si="126">IF(AND($D132&gt;0,$G132=BI$1),$D132,0)</f>
        <v>0</v>
      </c>
      <c r="BJ132" s="36">
        <f t="shared" ref="BJ132:BJ195" si="127">IF(AND($D132&gt;0,$G132=BJ$1),$F132,0)</f>
        <v>0</v>
      </c>
      <c r="BK132" s="36">
        <f t="shared" ref="BK132:BK195" si="128">IF(AND($D132&gt;0,$G132=BK$1),$D132,0)</f>
        <v>0</v>
      </c>
      <c r="BL132" s="36">
        <f t="shared" ref="BL132:BL195" si="129">BN132+BP132+BR132+BT132</f>
        <v>0</v>
      </c>
      <c r="BM132" s="36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5">
      <c r="A133">
        <f>Database!A133</f>
        <v>0</v>
      </c>
      <c r="B133" s="26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6">
        <f t="shared" si="119"/>
        <v>0</v>
      </c>
      <c r="BC133" s="36">
        <f t="shared" si="120"/>
        <v>0</v>
      </c>
      <c r="BD133" s="36">
        <f t="shared" si="121"/>
        <v>0</v>
      </c>
      <c r="BE133" s="36">
        <f t="shared" si="122"/>
        <v>0</v>
      </c>
      <c r="BF133" s="36">
        <f t="shared" si="123"/>
        <v>0</v>
      </c>
      <c r="BG133" s="36">
        <f t="shared" si="124"/>
        <v>0</v>
      </c>
      <c r="BH133" s="36">
        <f t="shared" si="125"/>
        <v>0</v>
      </c>
      <c r="BI133" s="36">
        <f t="shared" si="126"/>
        <v>0</v>
      </c>
      <c r="BJ133" s="36">
        <f t="shared" si="127"/>
        <v>0</v>
      </c>
      <c r="BK133" s="36">
        <f t="shared" si="128"/>
        <v>0</v>
      </c>
      <c r="BL133" s="36">
        <f t="shared" si="129"/>
        <v>0</v>
      </c>
      <c r="BM133" s="36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5">
      <c r="A134">
        <f>Database!A134</f>
        <v>0</v>
      </c>
      <c r="B134" s="26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6">
        <f t="shared" si="119"/>
        <v>0</v>
      </c>
      <c r="BC134" s="36">
        <f t="shared" si="120"/>
        <v>0</v>
      </c>
      <c r="BD134" s="36">
        <f t="shared" si="121"/>
        <v>0</v>
      </c>
      <c r="BE134" s="36">
        <f t="shared" si="122"/>
        <v>0</v>
      </c>
      <c r="BF134" s="36">
        <f t="shared" si="123"/>
        <v>0</v>
      </c>
      <c r="BG134" s="36">
        <f t="shared" si="124"/>
        <v>0</v>
      </c>
      <c r="BH134" s="36">
        <f t="shared" si="125"/>
        <v>0</v>
      </c>
      <c r="BI134" s="36">
        <f t="shared" si="126"/>
        <v>0</v>
      </c>
      <c r="BJ134" s="36">
        <f t="shared" si="127"/>
        <v>0</v>
      </c>
      <c r="BK134" s="36">
        <f t="shared" si="128"/>
        <v>0</v>
      </c>
      <c r="BL134" s="36">
        <f t="shared" si="129"/>
        <v>0</v>
      </c>
      <c r="BM134" s="36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5">
      <c r="A135">
        <f>Database!A135</f>
        <v>0</v>
      </c>
      <c r="B135" s="26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6">
        <f t="shared" si="119"/>
        <v>0</v>
      </c>
      <c r="BC135" s="36">
        <f t="shared" si="120"/>
        <v>0</v>
      </c>
      <c r="BD135" s="36">
        <f t="shared" si="121"/>
        <v>0</v>
      </c>
      <c r="BE135" s="36">
        <f t="shared" si="122"/>
        <v>0</v>
      </c>
      <c r="BF135" s="36">
        <f t="shared" si="123"/>
        <v>0</v>
      </c>
      <c r="BG135" s="36">
        <f t="shared" si="124"/>
        <v>0</v>
      </c>
      <c r="BH135" s="36">
        <f t="shared" si="125"/>
        <v>0</v>
      </c>
      <c r="BI135" s="36">
        <f t="shared" si="126"/>
        <v>0</v>
      </c>
      <c r="BJ135" s="36">
        <f t="shared" si="127"/>
        <v>0</v>
      </c>
      <c r="BK135" s="36">
        <f t="shared" si="128"/>
        <v>0</v>
      </c>
      <c r="BL135" s="36">
        <f t="shared" si="129"/>
        <v>0</v>
      </c>
      <c r="BM135" s="36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5">
      <c r="A136">
        <f>Database!A136</f>
        <v>0</v>
      </c>
      <c r="B136" s="26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6">
        <f t="shared" si="119"/>
        <v>0</v>
      </c>
      <c r="BC136" s="36">
        <f t="shared" si="120"/>
        <v>0</v>
      </c>
      <c r="BD136" s="36">
        <f t="shared" si="121"/>
        <v>0</v>
      </c>
      <c r="BE136" s="36">
        <f t="shared" si="122"/>
        <v>0</v>
      </c>
      <c r="BF136" s="36">
        <f t="shared" si="123"/>
        <v>0</v>
      </c>
      <c r="BG136" s="36">
        <f t="shared" si="124"/>
        <v>0</v>
      </c>
      <c r="BH136" s="36">
        <f t="shared" si="125"/>
        <v>0</v>
      </c>
      <c r="BI136" s="36">
        <f t="shared" si="126"/>
        <v>0</v>
      </c>
      <c r="BJ136" s="36">
        <f t="shared" si="127"/>
        <v>0</v>
      </c>
      <c r="BK136" s="36">
        <f t="shared" si="128"/>
        <v>0</v>
      </c>
      <c r="BL136" s="36">
        <f t="shared" si="129"/>
        <v>0</v>
      </c>
      <c r="BM136" s="36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5">
      <c r="A137">
        <f>Database!A137</f>
        <v>0</v>
      </c>
      <c r="B137" s="26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6">
        <f t="shared" si="119"/>
        <v>0</v>
      </c>
      <c r="BC137" s="36">
        <f t="shared" si="120"/>
        <v>0</v>
      </c>
      <c r="BD137" s="36">
        <f t="shared" si="121"/>
        <v>0</v>
      </c>
      <c r="BE137" s="36">
        <f t="shared" si="122"/>
        <v>0</v>
      </c>
      <c r="BF137" s="36">
        <f t="shared" si="123"/>
        <v>0</v>
      </c>
      <c r="BG137" s="36">
        <f t="shared" si="124"/>
        <v>0</v>
      </c>
      <c r="BH137" s="36">
        <f t="shared" si="125"/>
        <v>0</v>
      </c>
      <c r="BI137" s="36">
        <f t="shared" si="126"/>
        <v>0</v>
      </c>
      <c r="BJ137" s="36">
        <f t="shared" si="127"/>
        <v>0</v>
      </c>
      <c r="BK137" s="36">
        <f t="shared" si="128"/>
        <v>0</v>
      </c>
      <c r="BL137" s="36">
        <f t="shared" si="129"/>
        <v>0</v>
      </c>
      <c r="BM137" s="36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5">
      <c r="A138">
        <f>Database!A138</f>
        <v>0</v>
      </c>
      <c r="B138" s="26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6">
        <f t="shared" si="119"/>
        <v>0</v>
      </c>
      <c r="BC138" s="36">
        <f t="shared" si="120"/>
        <v>0</v>
      </c>
      <c r="BD138" s="36">
        <f t="shared" si="121"/>
        <v>0</v>
      </c>
      <c r="BE138" s="36">
        <f t="shared" si="122"/>
        <v>0</v>
      </c>
      <c r="BF138" s="36">
        <f t="shared" si="123"/>
        <v>0</v>
      </c>
      <c r="BG138" s="36">
        <f t="shared" si="124"/>
        <v>0</v>
      </c>
      <c r="BH138" s="36">
        <f t="shared" si="125"/>
        <v>0</v>
      </c>
      <c r="BI138" s="36">
        <f t="shared" si="126"/>
        <v>0</v>
      </c>
      <c r="BJ138" s="36">
        <f t="shared" si="127"/>
        <v>0</v>
      </c>
      <c r="BK138" s="36">
        <f t="shared" si="128"/>
        <v>0</v>
      </c>
      <c r="BL138" s="36">
        <f t="shared" si="129"/>
        <v>0</v>
      </c>
      <c r="BM138" s="36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5">
      <c r="A139">
        <f>Database!A139</f>
        <v>0</v>
      </c>
      <c r="B139" s="26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6">
        <f t="shared" si="119"/>
        <v>0</v>
      </c>
      <c r="BC139" s="36">
        <f t="shared" si="120"/>
        <v>0</v>
      </c>
      <c r="BD139" s="36">
        <f t="shared" si="121"/>
        <v>0</v>
      </c>
      <c r="BE139" s="36">
        <f t="shared" si="122"/>
        <v>0</v>
      </c>
      <c r="BF139" s="36">
        <f t="shared" si="123"/>
        <v>0</v>
      </c>
      <c r="BG139" s="36">
        <f t="shared" si="124"/>
        <v>0</v>
      </c>
      <c r="BH139" s="36">
        <f t="shared" si="125"/>
        <v>0</v>
      </c>
      <c r="BI139" s="36">
        <f t="shared" si="126"/>
        <v>0</v>
      </c>
      <c r="BJ139" s="36">
        <f t="shared" si="127"/>
        <v>0</v>
      </c>
      <c r="BK139" s="36">
        <f t="shared" si="128"/>
        <v>0</v>
      </c>
      <c r="BL139" s="36">
        <f t="shared" si="129"/>
        <v>0</v>
      </c>
      <c r="BM139" s="36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5">
      <c r="A140">
        <f>Database!A140</f>
        <v>0</v>
      </c>
      <c r="B140" s="26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6">
        <f t="shared" si="119"/>
        <v>0</v>
      </c>
      <c r="BC140" s="36">
        <f t="shared" si="120"/>
        <v>0</v>
      </c>
      <c r="BD140" s="36">
        <f t="shared" si="121"/>
        <v>0</v>
      </c>
      <c r="BE140" s="36">
        <f t="shared" si="122"/>
        <v>0</v>
      </c>
      <c r="BF140" s="36">
        <f t="shared" si="123"/>
        <v>0</v>
      </c>
      <c r="BG140" s="36">
        <f t="shared" si="124"/>
        <v>0</v>
      </c>
      <c r="BH140" s="36">
        <f t="shared" si="125"/>
        <v>0</v>
      </c>
      <c r="BI140" s="36">
        <f t="shared" si="126"/>
        <v>0</v>
      </c>
      <c r="BJ140" s="36">
        <f t="shared" si="127"/>
        <v>0</v>
      </c>
      <c r="BK140" s="36">
        <f t="shared" si="128"/>
        <v>0</v>
      </c>
      <c r="BL140" s="36">
        <f t="shared" si="129"/>
        <v>0</v>
      </c>
      <c r="BM140" s="36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5">
      <c r="A141">
        <f>Database!A141</f>
        <v>0</v>
      </c>
      <c r="B141" s="26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6">
        <f t="shared" si="119"/>
        <v>0</v>
      </c>
      <c r="BC141" s="36">
        <f t="shared" si="120"/>
        <v>0</v>
      </c>
      <c r="BD141" s="36">
        <f t="shared" si="121"/>
        <v>0</v>
      </c>
      <c r="BE141" s="36">
        <f t="shared" si="122"/>
        <v>0</v>
      </c>
      <c r="BF141" s="36">
        <f t="shared" si="123"/>
        <v>0</v>
      </c>
      <c r="BG141" s="36">
        <f t="shared" si="124"/>
        <v>0</v>
      </c>
      <c r="BH141" s="36">
        <f t="shared" si="125"/>
        <v>0</v>
      </c>
      <c r="BI141" s="36">
        <f t="shared" si="126"/>
        <v>0</v>
      </c>
      <c r="BJ141" s="36">
        <f t="shared" si="127"/>
        <v>0</v>
      </c>
      <c r="BK141" s="36">
        <f t="shared" si="128"/>
        <v>0</v>
      </c>
      <c r="BL141" s="36">
        <f t="shared" si="129"/>
        <v>0</v>
      </c>
      <c r="BM141" s="36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5">
      <c r="A142">
        <f>Database!A142</f>
        <v>0</v>
      </c>
      <c r="B142" s="26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6">
        <f t="shared" si="119"/>
        <v>0</v>
      </c>
      <c r="BC142" s="36">
        <f t="shared" si="120"/>
        <v>0</v>
      </c>
      <c r="BD142" s="36">
        <f t="shared" si="121"/>
        <v>0</v>
      </c>
      <c r="BE142" s="36">
        <f t="shared" si="122"/>
        <v>0</v>
      </c>
      <c r="BF142" s="36">
        <f t="shared" si="123"/>
        <v>0</v>
      </c>
      <c r="BG142" s="36">
        <f t="shared" si="124"/>
        <v>0</v>
      </c>
      <c r="BH142" s="36">
        <f t="shared" si="125"/>
        <v>0</v>
      </c>
      <c r="BI142" s="36">
        <f t="shared" si="126"/>
        <v>0</v>
      </c>
      <c r="BJ142" s="36">
        <f t="shared" si="127"/>
        <v>0</v>
      </c>
      <c r="BK142" s="36">
        <f t="shared" si="128"/>
        <v>0</v>
      </c>
      <c r="BL142" s="36">
        <f t="shared" si="129"/>
        <v>0</v>
      </c>
      <c r="BM142" s="36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5">
      <c r="A143">
        <f>Database!A143</f>
        <v>0</v>
      </c>
      <c r="B143" s="26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6">
        <f t="shared" si="119"/>
        <v>0</v>
      </c>
      <c r="BC143" s="36">
        <f t="shared" si="120"/>
        <v>0</v>
      </c>
      <c r="BD143" s="36">
        <f t="shared" si="121"/>
        <v>0</v>
      </c>
      <c r="BE143" s="36">
        <f t="shared" si="122"/>
        <v>0</v>
      </c>
      <c r="BF143" s="36">
        <f t="shared" si="123"/>
        <v>0</v>
      </c>
      <c r="BG143" s="36">
        <f t="shared" si="124"/>
        <v>0</v>
      </c>
      <c r="BH143" s="36">
        <f t="shared" si="125"/>
        <v>0</v>
      </c>
      <c r="BI143" s="36">
        <f t="shared" si="126"/>
        <v>0</v>
      </c>
      <c r="BJ143" s="36">
        <f t="shared" si="127"/>
        <v>0</v>
      </c>
      <c r="BK143" s="36">
        <f t="shared" si="128"/>
        <v>0</v>
      </c>
      <c r="BL143" s="36">
        <f t="shared" si="129"/>
        <v>0</v>
      </c>
      <c r="BM143" s="36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5">
      <c r="A144">
        <f>Database!A144</f>
        <v>0</v>
      </c>
      <c r="B144" s="26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6">
        <f t="shared" si="119"/>
        <v>0</v>
      </c>
      <c r="BC144" s="36">
        <f t="shared" si="120"/>
        <v>0</v>
      </c>
      <c r="BD144" s="36">
        <f t="shared" si="121"/>
        <v>0</v>
      </c>
      <c r="BE144" s="36">
        <f t="shared" si="122"/>
        <v>0</v>
      </c>
      <c r="BF144" s="36">
        <f t="shared" si="123"/>
        <v>0</v>
      </c>
      <c r="BG144" s="36">
        <f t="shared" si="124"/>
        <v>0</v>
      </c>
      <c r="BH144" s="36">
        <f t="shared" si="125"/>
        <v>0</v>
      </c>
      <c r="BI144" s="36">
        <f t="shared" si="126"/>
        <v>0</v>
      </c>
      <c r="BJ144" s="36">
        <f t="shared" si="127"/>
        <v>0</v>
      </c>
      <c r="BK144" s="36">
        <f t="shared" si="128"/>
        <v>0</v>
      </c>
      <c r="BL144" s="36">
        <f t="shared" si="129"/>
        <v>0</v>
      </c>
      <c r="BM144" s="36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5">
      <c r="A145">
        <f>Database!A145</f>
        <v>0</v>
      </c>
      <c r="B145" s="26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6">
        <f t="shared" si="119"/>
        <v>0</v>
      </c>
      <c r="BC145" s="36">
        <f t="shared" si="120"/>
        <v>0</v>
      </c>
      <c r="BD145" s="36">
        <f t="shared" si="121"/>
        <v>0</v>
      </c>
      <c r="BE145" s="36">
        <f t="shared" si="122"/>
        <v>0</v>
      </c>
      <c r="BF145" s="36">
        <f t="shared" si="123"/>
        <v>0</v>
      </c>
      <c r="BG145" s="36">
        <f t="shared" si="124"/>
        <v>0</v>
      </c>
      <c r="BH145" s="36">
        <f t="shared" si="125"/>
        <v>0</v>
      </c>
      <c r="BI145" s="36">
        <f t="shared" si="126"/>
        <v>0</v>
      </c>
      <c r="BJ145" s="36">
        <f t="shared" si="127"/>
        <v>0</v>
      </c>
      <c r="BK145" s="36">
        <f t="shared" si="128"/>
        <v>0</v>
      </c>
      <c r="BL145" s="36">
        <f t="shared" si="129"/>
        <v>0</v>
      </c>
      <c r="BM145" s="36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5">
      <c r="A146">
        <f>Database!A146</f>
        <v>0</v>
      </c>
      <c r="B146" s="26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6">
        <f t="shared" si="119"/>
        <v>0</v>
      </c>
      <c r="BC146" s="36">
        <f t="shared" si="120"/>
        <v>0</v>
      </c>
      <c r="BD146" s="36">
        <f t="shared" si="121"/>
        <v>0</v>
      </c>
      <c r="BE146" s="36">
        <f t="shared" si="122"/>
        <v>0</v>
      </c>
      <c r="BF146" s="36">
        <f t="shared" si="123"/>
        <v>0</v>
      </c>
      <c r="BG146" s="36">
        <f t="shared" si="124"/>
        <v>0</v>
      </c>
      <c r="BH146" s="36">
        <f t="shared" si="125"/>
        <v>0</v>
      </c>
      <c r="BI146" s="36">
        <f t="shared" si="126"/>
        <v>0</v>
      </c>
      <c r="BJ146" s="36">
        <f t="shared" si="127"/>
        <v>0</v>
      </c>
      <c r="BK146" s="36">
        <f t="shared" si="128"/>
        <v>0</v>
      </c>
      <c r="BL146" s="36">
        <f t="shared" si="129"/>
        <v>0</v>
      </c>
      <c r="BM146" s="36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5">
      <c r="A147">
        <f>Database!A147</f>
        <v>0</v>
      </c>
      <c r="B147" s="26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6">
        <f t="shared" si="119"/>
        <v>0</v>
      </c>
      <c r="BC147" s="36">
        <f t="shared" si="120"/>
        <v>0</v>
      </c>
      <c r="BD147" s="36">
        <f t="shared" si="121"/>
        <v>0</v>
      </c>
      <c r="BE147" s="36">
        <f t="shared" si="122"/>
        <v>0</v>
      </c>
      <c r="BF147" s="36">
        <f t="shared" si="123"/>
        <v>0</v>
      </c>
      <c r="BG147" s="36">
        <f t="shared" si="124"/>
        <v>0</v>
      </c>
      <c r="BH147" s="36">
        <f t="shared" si="125"/>
        <v>0</v>
      </c>
      <c r="BI147" s="36">
        <f t="shared" si="126"/>
        <v>0</v>
      </c>
      <c r="BJ147" s="36">
        <f t="shared" si="127"/>
        <v>0</v>
      </c>
      <c r="BK147" s="36">
        <f t="shared" si="128"/>
        <v>0</v>
      </c>
      <c r="BL147" s="36">
        <f t="shared" si="129"/>
        <v>0</v>
      </c>
      <c r="BM147" s="36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5">
      <c r="A148">
        <f>Database!A148</f>
        <v>0</v>
      </c>
      <c r="B148" s="26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6">
        <f t="shared" si="119"/>
        <v>0</v>
      </c>
      <c r="BC148" s="36">
        <f t="shared" si="120"/>
        <v>0</v>
      </c>
      <c r="BD148" s="36">
        <f t="shared" si="121"/>
        <v>0</v>
      </c>
      <c r="BE148" s="36">
        <f t="shared" si="122"/>
        <v>0</v>
      </c>
      <c r="BF148" s="36">
        <f t="shared" si="123"/>
        <v>0</v>
      </c>
      <c r="BG148" s="36">
        <f t="shared" si="124"/>
        <v>0</v>
      </c>
      <c r="BH148" s="36">
        <f t="shared" si="125"/>
        <v>0</v>
      </c>
      <c r="BI148" s="36">
        <f t="shared" si="126"/>
        <v>0</v>
      </c>
      <c r="BJ148" s="36">
        <f t="shared" si="127"/>
        <v>0</v>
      </c>
      <c r="BK148" s="36">
        <f t="shared" si="128"/>
        <v>0</v>
      </c>
      <c r="BL148" s="36">
        <f t="shared" si="129"/>
        <v>0</v>
      </c>
      <c r="BM148" s="36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5">
      <c r="A149">
        <f>Database!A149</f>
        <v>0</v>
      </c>
      <c r="B149" s="26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6">
        <f t="shared" si="119"/>
        <v>0</v>
      </c>
      <c r="BC149" s="36">
        <f t="shared" si="120"/>
        <v>0</v>
      </c>
      <c r="BD149" s="36">
        <f t="shared" si="121"/>
        <v>0</v>
      </c>
      <c r="BE149" s="36">
        <f t="shared" si="122"/>
        <v>0</v>
      </c>
      <c r="BF149" s="36">
        <f t="shared" si="123"/>
        <v>0</v>
      </c>
      <c r="BG149" s="36">
        <f t="shared" si="124"/>
        <v>0</v>
      </c>
      <c r="BH149" s="36">
        <f t="shared" si="125"/>
        <v>0</v>
      </c>
      <c r="BI149" s="36">
        <f t="shared" si="126"/>
        <v>0</v>
      </c>
      <c r="BJ149" s="36">
        <f t="shared" si="127"/>
        <v>0</v>
      </c>
      <c r="BK149" s="36">
        <f t="shared" si="128"/>
        <v>0</v>
      </c>
      <c r="BL149" s="36">
        <f t="shared" si="129"/>
        <v>0</v>
      </c>
      <c r="BM149" s="36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5">
      <c r="A150">
        <f>Database!A150</f>
        <v>0</v>
      </c>
      <c r="B150" s="26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6">
        <f t="shared" si="119"/>
        <v>0</v>
      </c>
      <c r="BC150" s="36">
        <f t="shared" si="120"/>
        <v>0</v>
      </c>
      <c r="BD150" s="36">
        <f t="shared" si="121"/>
        <v>0</v>
      </c>
      <c r="BE150" s="36">
        <f t="shared" si="122"/>
        <v>0</v>
      </c>
      <c r="BF150" s="36">
        <f t="shared" si="123"/>
        <v>0</v>
      </c>
      <c r="BG150" s="36">
        <f t="shared" si="124"/>
        <v>0</v>
      </c>
      <c r="BH150" s="36">
        <f t="shared" si="125"/>
        <v>0</v>
      </c>
      <c r="BI150" s="36">
        <f t="shared" si="126"/>
        <v>0</v>
      </c>
      <c r="BJ150" s="36">
        <f t="shared" si="127"/>
        <v>0</v>
      </c>
      <c r="BK150" s="36">
        <f t="shared" si="128"/>
        <v>0</v>
      </c>
      <c r="BL150" s="36">
        <f t="shared" si="129"/>
        <v>0</v>
      </c>
      <c r="BM150" s="36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5">
      <c r="A151">
        <f>Database!A151</f>
        <v>0</v>
      </c>
      <c r="B151" s="26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6">
        <f t="shared" si="119"/>
        <v>0</v>
      </c>
      <c r="BC151" s="36">
        <f t="shared" si="120"/>
        <v>0</v>
      </c>
      <c r="BD151" s="36">
        <f t="shared" si="121"/>
        <v>0</v>
      </c>
      <c r="BE151" s="36">
        <f t="shared" si="122"/>
        <v>0</v>
      </c>
      <c r="BF151" s="36">
        <f t="shared" si="123"/>
        <v>0</v>
      </c>
      <c r="BG151" s="36">
        <f t="shared" si="124"/>
        <v>0</v>
      </c>
      <c r="BH151" s="36">
        <f t="shared" si="125"/>
        <v>0</v>
      </c>
      <c r="BI151" s="36">
        <f t="shared" si="126"/>
        <v>0</v>
      </c>
      <c r="BJ151" s="36">
        <f t="shared" si="127"/>
        <v>0</v>
      </c>
      <c r="BK151" s="36">
        <f t="shared" si="128"/>
        <v>0</v>
      </c>
      <c r="BL151" s="36">
        <f t="shared" si="129"/>
        <v>0</v>
      </c>
      <c r="BM151" s="36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5">
      <c r="A152">
        <f>Database!A152</f>
        <v>0</v>
      </c>
      <c r="B152" s="26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6">
        <f t="shared" si="119"/>
        <v>0</v>
      </c>
      <c r="BC152" s="36">
        <f t="shared" si="120"/>
        <v>0</v>
      </c>
      <c r="BD152" s="36">
        <f t="shared" si="121"/>
        <v>0</v>
      </c>
      <c r="BE152" s="36">
        <f t="shared" si="122"/>
        <v>0</v>
      </c>
      <c r="BF152" s="36">
        <f t="shared" si="123"/>
        <v>0</v>
      </c>
      <c r="BG152" s="36">
        <f t="shared" si="124"/>
        <v>0</v>
      </c>
      <c r="BH152" s="36">
        <f t="shared" si="125"/>
        <v>0</v>
      </c>
      <c r="BI152" s="36">
        <f t="shared" si="126"/>
        <v>0</v>
      </c>
      <c r="BJ152" s="36">
        <f t="shared" si="127"/>
        <v>0</v>
      </c>
      <c r="BK152" s="36">
        <f t="shared" si="128"/>
        <v>0</v>
      </c>
      <c r="BL152" s="36">
        <f t="shared" si="129"/>
        <v>0</v>
      </c>
      <c r="BM152" s="36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5">
      <c r="A153">
        <f>Database!A153</f>
        <v>0</v>
      </c>
      <c r="B153" s="26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6">
        <f t="shared" si="119"/>
        <v>0</v>
      </c>
      <c r="BC153" s="36">
        <f t="shared" si="120"/>
        <v>0</v>
      </c>
      <c r="BD153" s="36">
        <f t="shared" si="121"/>
        <v>0</v>
      </c>
      <c r="BE153" s="36">
        <f t="shared" si="122"/>
        <v>0</v>
      </c>
      <c r="BF153" s="36">
        <f t="shared" si="123"/>
        <v>0</v>
      </c>
      <c r="BG153" s="36">
        <f t="shared" si="124"/>
        <v>0</v>
      </c>
      <c r="BH153" s="36">
        <f t="shared" si="125"/>
        <v>0</v>
      </c>
      <c r="BI153" s="36">
        <f t="shared" si="126"/>
        <v>0</v>
      </c>
      <c r="BJ153" s="36">
        <f t="shared" si="127"/>
        <v>0</v>
      </c>
      <c r="BK153" s="36">
        <f t="shared" si="128"/>
        <v>0</v>
      </c>
      <c r="BL153" s="36">
        <f t="shared" si="129"/>
        <v>0</v>
      </c>
      <c r="BM153" s="36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5">
      <c r="A154">
        <f>Database!A154</f>
        <v>0</v>
      </c>
      <c r="B154" s="26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6">
        <f t="shared" si="119"/>
        <v>0</v>
      </c>
      <c r="BC154" s="36">
        <f t="shared" si="120"/>
        <v>0</v>
      </c>
      <c r="BD154" s="36">
        <f t="shared" si="121"/>
        <v>0</v>
      </c>
      <c r="BE154" s="36">
        <f t="shared" si="122"/>
        <v>0</v>
      </c>
      <c r="BF154" s="36">
        <f t="shared" si="123"/>
        <v>0</v>
      </c>
      <c r="BG154" s="36">
        <f t="shared" si="124"/>
        <v>0</v>
      </c>
      <c r="BH154" s="36">
        <f t="shared" si="125"/>
        <v>0</v>
      </c>
      <c r="BI154" s="36">
        <f t="shared" si="126"/>
        <v>0</v>
      </c>
      <c r="BJ154" s="36">
        <f t="shared" si="127"/>
        <v>0</v>
      </c>
      <c r="BK154" s="36">
        <f t="shared" si="128"/>
        <v>0</v>
      </c>
      <c r="BL154" s="36">
        <f t="shared" si="129"/>
        <v>0</v>
      </c>
      <c r="BM154" s="36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5">
      <c r="A155">
        <f>Database!A155</f>
        <v>0</v>
      </c>
      <c r="B155" s="26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6">
        <f t="shared" si="119"/>
        <v>0</v>
      </c>
      <c r="BC155" s="36">
        <f t="shared" si="120"/>
        <v>0</v>
      </c>
      <c r="BD155" s="36">
        <f t="shared" si="121"/>
        <v>0</v>
      </c>
      <c r="BE155" s="36">
        <f t="shared" si="122"/>
        <v>0</v>
      </c>
      <c r="BF155" s="36">
        <f t="shared" si="123"/>
        <v>0</v>
      </c>
      <c r="BG155" s="36">
        <f t="shared" si="124"/>
        <v>0</v>
      </c>
      <c r="BH155" s="36">
        <f t="shared" si="125"/>
        <v>0</v>
      </c>
      <c r="BI155" s="36">
        <f t="shared" si="126"/>
        <v>0</v>
      </c>
      <c r="BJ155" s="36">
        <f t="shared" si="127"/>
        <v>0</v>
      </c>
      <c r="BK155" s="36">
        <f t="shared" si="128"/>
        <v>0</v>
      </c>
      <c r="BL155" s="36">
        <f t="shared" si="129"/>
        <v>0</v>
      </c>
      <c r="BM155" s="36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5">
      <c r="A156">
        <f>Database!A156</f>
        <v>0</v>
      </c>
      <c r="B156" s="26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6">
        <f t="shared" si="119"/>
        <v>0</v>
      </c>
      <c r="BC156" s="36">
        <f t="shared" si="120"/>
        <v>0</v>
      </c>
      <c r="BD156" s="36">
        <f t="shared" si="121"/>
        <v>0</v>
      </c>
      <c r="BE156" s="36">
        <f t="shared" si="122"/>
        <v>0</v>
      </c>
      <c r="BF156" s="36">
        <f t="shared" si="123"/>
        <v>0</v>
      </c>
      <c r="BG156" s="36">
        <f t="shared" si="124"/>
        <v>0</v>
      </c>
      <c r="BH156" s="36">
        <f t="shared" si="125"/>
        <v>0</v>
      </c>
      <c r="BI156" s="36">
        <f t="shared" si="126"/>
        <v>0</v>
      </c>
      <c r="BJ156" s="36">
        <f t="shared" si="127"/>
        <v>0</v>
      </c>
      <c r="BK156" s="36">
        <f t="shared" si="128"/>
        <v>0</v>
      </c>
      <c r="BL156" s="36">
        <f t="shared" si="129"/>
        <v>0</v>
      </c>
      <c r="BM156" s="36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5">
      <c r="A157">
        <f>Database!A157</f>
        <v>0</v>
      </c>
      <c r="B157" s="26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6">
        <f t="shared" si="119"/>
        <v>0</v>
      </c>
      <c r="BC157" s="36">
        <f t="shared" si="120"/>
        <v>0</v>
      </c>
      <c r="BD157" s="36">
        <f t="shared" si="121"/>
        <v>0</v>
      </c>
      <c r="BE157" s="36">
        <f t="shared" si="122"/>
        <v>0</v>
      </c>
      <c r="BF157" s="36">
        <f t="shared" si="123"/>
        <v>0</v>
      </c>
      <c r="BG157" s="36">
        <f t="shared" si="124"/>
        <v>0</v>
      </c>
      <c r="BH157" s="36">
        <f t="shared" si="125"/>
        <v>0</v>
      </c>
      <c r="BI157" s="36">
        <f t="shared" si="126"/>
        <v>0</v>
      </c>
      <c r="BJ157" s="36">
        <f t="shared" si="127"/>
        <v>0</v>
      </c>
      <c r="BK157" s="36">
        <f t="shared" si="128"/>
        <v>0</v>
      </c>
      <c r="BL157" s="36">
        <f t="shared" si="129"/>
        <v>0</v>
      </c>
      <c r="BM157" s="36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5">
      <c r="A158">
        <f>Database!A158</f>
        <v>0</v>
      </c>
      <c r="B158" s="26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6">
        <f t="shared" si="119"/>
        <v>0</v>
      </c>
      <c r="BC158" s="36">
        <f t="shared" si="120"/>
        <v>0</v>
      </c>
      <c r="BD158" s="36">
        <f t="shared" si="121"/>
        <v>0</v>
      </c>
      <c r="BE158" s="36">
        <f t="shared" si="122"/>
        <v>0</v>
      </c>
      <c r="BF158" s="36">
        <f t="shared" si="123"/>
        <v>0</v>
      </c>
      <c r="BG158" s="36">
        <f t="shared" si="124"/>
        <v>0</v>
      </c>
      <c r="BH158" s="36">
        <f t="shared" si="125"/>
        <v>0</v>
      </c>
      <c r="BI158" s="36">
        <f t="shared" si="126"/>
        <v>0</v>
      </c>
      <c r="BJ158" s="36">
        <f t="shared" si="127"/>
        <v>0</v>
      </c>
      <c r="BK158" s="36">
        <f t="shared" si="128"/>
        <v>0</v>
      </c>
      <c r="BL158" s="36">
        <f t="shared" si="129"/>
        <v>0</v>
      </c>
      <c r="BM158" s="36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5">
      <c r="A159">
        <f>Database!A159</f>
        <v>0</v>
      </c>
      <c r="B159" s="26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6">
        <f t="shared" si="119"/>
        <v>0</v>
      </c>
      <c r="BC159" s="36">
        <f t="shared" si="120"/>
        <v>0</v>
      </c>
      <c r="BD159" s="36">
        <f t="shared" si="121"/>
        <v>0</v>
      </c>
      <c r="BE159" s="36">
        <f t="shared" si="122"/>
        <v>0</v>
      </c>
      <c r="BF159" s="36">
        <f t="shared" si="123"/>
        <v>0</v>
      </c>
      <c r="BG159" s="36">
        <f t="shared" si="124"/>
        <v>0</v>
      </c>
      <c r="BH159" s="36">
        <f t="shared" si="125"/>
        <v>0</v>
      </c>
      <c r="BI159" s="36">
        <f t="shared" si="126"/>
        <v>0</v>
      </c>
      <c r="BJ159" s="36">
        <f t="shared" si="127"/>
        <v>0</v>
      </c>
      <c r="BK159" s="36">
        <f t="shared" si="128"/>
        <v>0</v>
      </c>
      <c r="BL159" s="36">
        <f t="shared" si="129"/>
        <v>0</v>
      </c>
      <c r="BM159" s="36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5">
      <c r="A160">
        <f>Database!A160</f>
        <v>0</v>
      </c>
      <c r="B160" s="26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6">
        <f t="shared" si="119"/>
        <v>0</v>
      </c>
      <c r="BC160" s="36">
        <f t="shared" si="120"/>
        <v>0</v>
      </c>
      <c r="BD160" s="36">
        <f t="shared" si="121"/>
        <v>0</v>
      </c>
      <c r="BE160" s="36">
        <f t="shared" si="122"/>
        <v>0</v>
      </c>
      <c r="BF160" s="36">
        <f t="shared" si="123"/>
        <v>0</v>
      </c>
      <c r="BG160" s="36">
        <f t="shared" si="124"/>
        <v>0</v>
      </c>
      <c r="BH160" s="36">
        <f t="shared" si="125"/>
        <v>0</v>
      </c>
      <c r="BI160" s="36">
        <f t="shared" si="126"/>
        <v>0</v>
      </c>
      <c r="BJ160" s="36">
        <f t="shared" si="127"/>
        <v>0</v>
      </c>
      <c r="BK160" s="36">
        <f t="shared" si="128"/>
        <v>0</v>
      </c>
      <c r="BL160" s="36">
        <f t="shared" si="129"/>
        <v>0</v>
      </c>
      <c r="BM160" s="36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5">
      <c r="A161">
        <f>Database!A161</f>
        <v>0</v>
      </c>
      <c r="B161" s="26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6">
        <f t="shared" si="119"/>
        <v>0</v>
      </c>
      <c r="BC161" s="36">
        <f t="shared" si="120"/>
        <v>0</v>
      </c>
      <c r="BD161" s="36">
        <f t="shared" si="121"/>
        <v>0</v>
      </c>
      <c r="BE161" s="36">
        <f t="shared" si="122"/>
        <v>0</v>
      </c>
      <c r="BF161" s="36">
        <f t="shared" si="123"/>
        <v>0</v>
      </c>
      <c r="BG161" s="36">
        <f t="shared" si="124"/>
        <v>0</v>
      </c>
      <c r="BH161" s="36">
        <f t="shared" si="125"/>
        <v>0</v>
      </c>
      <c r="BI161" s="36">
        <f t="shared" si="126"/>
        <v>0</v>
      </c>
      <c r="BJ161" s="36">
        <f t="shared" si="127"/>
        <v>0</v>
      </c>
      <c r="BK161" s="36">
        <f t="shared" si="128"/>
        <v>0</v>
      </c>
      <c r="BL161" s="36">
        <f t="shared" si="129"/>
        <v>0</v>
      </c>
      <c r="BM161" s="36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5">
      <c r="A162">
        <f>Database!A162</f>
        <v>0</v>
      </c>
      <c r="B162" s="26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6">
        <f t="shared" si="119"/>
        <v>0</v>
      </c>
      <c r="BC162" s="36">
        <f t="shared" si="120"/>
        <v>0</v>
      </c>
      <c r="BD162" s="36">
        <f t="shared" si="121"/>
        <v>0</v>
      </c>
      <c r="BE162" s="36">
        <f t="shared" si="122"/>
        <v>0</v>
      </c>
      <c r="BF162" s="36">
        <f t="shared" si="123"/>
        <v>0</v>
      </c>
      <c r="BG162" s="36">
        <f t="shared" si="124"/>
        <v>0</v>
      </c>
      <c r="BH162" s="36">
        <f t="shared" si="125"/>
        <v>0</v>
      </c>
      <c r="BI162" s="36">
        <f t="shared" si="126"/>
        <v>0</v>
      </c>
      <c r="BJ162" s="36">
        <f t="shared" si="127"/>
        <v>0</v>
      </c>
      <c r="BK162" s="36">
        <f t="shared" si="128"/>
        <v>0</v>
      </c>
      <c r="BL162" s="36">
        <f t="shared" si="129"/>
        <v>0</v>
      </c>
      <c r="BM162" s="36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6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6">
        <f t="shared" si="119"/>
        <v>0</v>
      </c>
      <c r="BC163" s="36">
        <f t="shared" si="120"/>
        <v>0</v>
      </c>
      <c r="BD163" s="36">
        <f t="shared" si="121"/>
        <v>0</v>
      </c>
      <c r="BE163" s="36">
        <f t="shared" si="122"/>
        <v>0</v>
      </c>
      <c r="BF163" s="36">
        <f t="shared" si="123"/>
        <v>0</v>
      </c>
      <c r="BG163" s="36">
        <f t="shared" si="124"/>
        <v>0</v>
      </c>
      <c r="BH163" s="36">
        <f t="shared" si="125"/>
        <v>0</v>
      </c>
      <c r="BI163" s="36">
        <f t="shared" si="126"/>
        <v>0</v>
      </c>
      <c r="BJ163" s="36">
        <f t="shared" si="127"/>
        <v>0</v>
      </c>
      <c r="BK163" s="36">
        <f t="shared" si="128"/>
        <v>0</v>
      </c>
      <c r="BL163" s="36">
        <f t="shared" si="129"/>
        <v>0</v>
      </c>
      <c r="BM163" s="36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6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6">
        <f t="shared" si="119"/>
        <v>0</v>
      </c>
      <c r="BC164" s="36">
        <f t="shared" si="120"/>
        <v>0</v>
      </c>
      <c r="BD164" s="36">
        <f t="shared" si="121"/>
        <v>0</v>
      </c>
      <c r="BE164" s="36">
        <f t="shared" si="122"/>
        <v>0</v>
      </c>
      <c r="BF164" s="36">
        <f t="shared" si="123"/>
        <v>0</v>
      </c>
      <c r="BG164" s="36">
        <f t="shared" si="124"/>
        <v>0</v>
      </c>
      <c r="BH164" s="36">
        <f t="shared" si="125"/>
        <v>0</v>
      </c>
      <c r="BI164" s="36">
        <f t="shared" si="126"/>
        <v>0</v>
      </c>
      <c r="BJ164" s="36">
        <f t="shared" si="127"/>
        <v>0</v>
      </c>
      <c r="BK164" s="36">
        <f t="shared" si="128"/>
        <v>0</v>
      </c>
      <c r="BL164" s="36">
        <f t="shared" si="129"/>
        <v>0</v>
      </c>
      <c r="BM164" s="36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6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6">
        <f t="shared" si="119"/>
        <v>0</v>
      </c>
      <c r="BC165" s="36">
        <f t="shared" si="120"/>
        <v>0</v>
      </c>
      <c r="BD165" s="36">
        <f t="shared" si="121"/>
        <v>0</v>
      </c>
      <c r="BE165" s="36">
        <f t="shared" si="122"/>
        <v>0</v>
      </c>
      <c r="BF165" s="36">
        <f t="shared" si="123"/>
        <v>0</v>
      </c>
      <c r="BG165" s="36">
        <f t="shared" si="124"/>
        <v>0</v>
      </c>
      <c r="BH165" s="36">
        <f t="shared" si="125"/>
        <v>0</v>
      </c>
      <c r="BI165" s="36">
        <f t="shared" si="126"/>
        <v>0</v>
      </c>
      <c r="BJ165" s="36">
        <f t="shared" si="127"/>
        <v>0</v>
      </c>
      <c r="BK165" s="36">
        <f t="shared" si="128"/>
        <v>0</v>
      </c>
      <c r="BL165" s="36">
        <f t="shared" si="129"/>
        <v>0</v>
      </c>
      <c r="BM165" s="36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6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6">
        <f t="shared" si="119"/>
        <v>0</v>
      </c>
      <c r="BC166" s="36">
        <f t="shared" si="120"/>
        <v>0</v>
      </c>
      <c r="BD166" s="36">
        <f t="shared" si="121"/>
        <v>0</v>
      </c>
      <c r="BE166" s="36">
        <f t="shared" si="122"/>
        <v>0</v>
      </c>
      <c r="BF166" s="36">
        <f t="shared" si="123"/>
        <v>0</v>
      </c>
      <c r="BG166" s="36">
        <f t="shared" si="124"/>
        <v>0</v>
      </c>
      <c r="BH166" s="36">
        <f t="shared" si="125"/>
        <v>0</v>
      </c>
      <c r="BI166" s="36">
        <f t="shared" si="126"/>
        <v>0</v>
      </c>
      <c r="BJ166" s="36">
        <f t="shared" si="127"/>
        <v>0</v>
      </c>
      <c r="BK166" s="36">
        <f t="shared" si="128"/>
        <v>0</v>
      </c>
      <c r="BL166" s="36">
        <f t="shared" si="129"/>
        <v>0</v>
      </c>
      <c r="BM166" s="36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6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6">
        <f t="shared" si="119"/>
        <v>0</v>
      </c>
      <c r="BC167" s="36">
        <f t="shared" si="120"/>
        <v>0</v>
      </c>
      <c r="BD167" s="36">
        <f t="shared" si="121"/>
        <v>0</v>
      </c>
      <c r="BE167" s="36">
        <f t="shared" si="122"/>
        <v>0</v>
      </c>
      <c r="BF167" s="36">
        <f t="shared" si="123"/>
        <v>0</v>
      </c>
      <c r="BG167" s="36">
        <f t="shared" si="124"/>
        <v>0</v>
      </c>
      <c r="BH167" s="36">
        <f t="shared" si="125"/>
        <v>0</v>
      </c>
      <c r="BI167" s="36">
        <f t="shared" si="126"/>
        <v>0</v>
      </c>
      <c r="BJ167" s="36">
        <f t="shared" si="127"/>
        <v>0</v>
      </c>
      <c r="BK167" s="36">
        <f t="shared" si="128"/>
        <v>0</v>
      </c>
      <c r="BL167" s="36">
        <f t="shared" si="129"/>
        <v>0</v>
      </c>
      <c r="BM167" s="36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6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6">
        <f t="shared" si="119"/>
        <v>0</v>
      </c>
      <c r="BC168" s="36">
        <f t="shared" si="120"/>
        <v>0</v>
      </c>
      <c r="BD168" s="36">
        <f t="shared" si="121"/>
        <v>0</v>
      </c>
      <c r="BE168" s="36">
        <f t="shared" si="122"/>
        <v>0</v>
      </c>
      <c r="BF168" s="36">
        <f t="shared" si="123"/>
        <v>0</v>
      </c>
      <c r="BG168" s="36">
        <f t="shared" si="124"/>
        <v>0</v>
      </c>
      <c r="BH168" s="36">
        <f t="shared" si="125"/>
        <v>0</v>
      </c>
      <c r="BI168" s="36">
        <f t="shared" si="126"/>
        <v>0</v>
      </c>
      <c r="BJ168" s="36">
        <f t="shared" si="127"/>
        <v>0</v>
      </c>
      <c r="BK168" s="36">
        <f t="shared" si="128"/>
        <v>0</v>
      </c>
      <c r="BL168" s="36">
        <f t="shared" si="129"/>
        <v>0</v>
      </c>
      <c r="BM168" s="36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6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6">
        <f t="shared" si="119"/>
        <v>0</v>
      </c>
      <c r="BC169" s="36">
        <f t="shared" si="120"/>
        <v>0</v>
      </c>
      <c r="BD169" s="36">
        <f t="shared" si="121"/>
        <v>0</v>
      </c>
      <c r="BE169" s="36">
        <f t="shared" si="122"/>
        <v>0</v>
      </c>
      <c r="BF169" s="36">
        <f t="shared" si="123"/>
        <v>0</v>
      </c>
      <c r="BG169" s="36">
        <f t="shared" si="124"/>
        <v>0</v>
      </c>
      <c r="BH169" s="36">
        <f t="shared" si="125"/>
        <v>0</v>
      </c>
      <c r="BI169" s="36">
        <f t="shared" si="126"/>
        <v>0</v>
      </c>
      <c r="BJ169" s="36">
        <f t="shared" si="127"/>
        <v>0</v>
      </c>
      <c r="BK169" s="36">
        <f t="shared" si="128"/>
        <v>0</v>
      </c>
      <c r="BL169" s="36">
        <f t="shared" si="129"/>
        <v>0</v>
      </c>
      <c r="BM169" s="36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6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6">
        <f t="shared" si="119"/>
        <v>0</v>
      </c>
      <c r="BC170" s="36">
        <f t="shared" si="120"/>
        <v>0</v>
      </c>
      <c r="BD170" s="36">
        <f t="shared" si="121"/>
        <v>0</v>
      </c>
      <c r="BE170" s="36">
        <f t="shared" si="122"/>
        <v>0</v>
      </c>
      <c r="BF170" s="36">
        <f t="shared" si="123"/>
        <v>0</v>
      </c>
      <c r="BG170" s="36">
        <f t="shared" si="124"/>
        <v>0</v>
      </c>
      <c r="BH170" s="36">
        <f t="shared" si="125"/>
        <v>0</v>
      </c>
      <c r="BI170" s="36">
        <f t="shared" si="126"/>
        <v>0</v>
      </c>
      <c r="BJ170" s="36">
        <f t="shared" si="127"/>
        <v>0</v>
      </c>
      <c r="BK170" s="36">
        <f t="shared" si="128"/>
        <v>0</v>
      </c>
      <c r="BL170" s="36">
        <f t="shared" si="129"/>
        <v>0</v>
      </c>
      <c r="BM170" s="36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6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6">
        <f t="shared" si="119"/>
        <v>0</v>
      </c>
      <c r="BC171" s="36">
        <f t="shared" si="120"/>
        <v>0</v>
      </c>
      <c r="BD171" s="36">
        <f t="shared" si="121"/>
        <v>0</v>
      </c>
      <c r="BE171" s="36">
        <f t="shared" si="122"/>
        <v>0</v>
      </c>
      <c r="BF171" s="36">
        <f t="shared" si="123"/>
        <v>0</v>
      </c>
      <c r="BG171" s="36">
        <f t="shared" si="124"/>
        <v>0</v>
      </c>
      <c r="BH171" s="36">
        <f t="shared" si="125"/>
        <v>0</v>
      </c>
      <c r="BI171" s="36">
        <f t="shared" si="126"/>
        <v>0</v>
      </c>
      <c r="BJ171" s="36">
        <f t="shared" si="127"/>
        <v>0</v>
      </c>
      <c r="BK171" s="36">
        <f t="shared" si="128"/>
        <v>0</v>
      </c>
      <c r="BL171" s="36">
        <f t="shared" si="129"/>
        <v>0</v>
      </c>
      <c r="BM171" s="36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6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6">
        <f t="shared" si="119"/>
        <v>0</v>
      </c>
      <c r="BC172" s="36">
        <f t="shared" si="120"/>
        <v>0</v>
      </c>
      <c r="BD172" s="36">
        <f t="shared" si="121"/>
        <v>0</v>
      </c>
      <c r="BE172" s="36">
        <f t="shared" si="122"/>
        <v>0</v>
      </c>
      <c r="BF172" s="36">
        <f t="shared" si="123"/>
        <v>0</v>
      </c>
      <c r="BG172" s="36">
        <f t="shared" si="124"/>
        <v>0</v>
      </c>
      <c r="BH172" s="36">
        <f t="shared" si="125"/>
        <v>0</v>
      </c>
      <c r="BI172" s="36">
        <f t="shared" si="126"/>
        <v>0</v>
      </c>
      <c r="BJ172" s="36">
        <f t="shared" si="127"/>
        <v>0</v>
      </c>
      <c r="BK172" s="36">
        <f t="shared" si="128"/>
        <v>0</v>
      </c>
      <c r="BL172" s="36">
        <f t="shared" si="129"/>
        <v>0</v>
      </c>
      <c r="BM172" s="36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6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6">
        <f t="shared" si="119"/>
        <v>0</v>
      </c>
      <c r="BC173" s="36">
        <f t="shared" si="120"/>
        <v>0</v>
      </c>
      <c r="BD173" s="36">
        <f t="shared" si="121"/>
        <v>0</v>
      </c>
      <c r="BE173" s="36">
        <f t="shared" si="122"/>
        <v>0</v>
      </c>
      <c r="BF173" s="36">
        <f t="shared" si="123"/>
        <v>0</v>
      </c>
      <c r="BG173" s="36">
        <f t="shared" si="124"/>
        <v>0</v>
      </c>
      <c r="BH173" s="36">
        <f t="shared" si="125"/>
        <v>0</v>
      </c>
      <c r="BI173" s="36">
        <f t="shared" si="126"/>
        <v>0</v>
      </c>
      <c r="BJ173" s="36">
        <f t="shared" si="127"/>
        <v>0</v>
      </c>
      <c r="BK173" s="36">
        <f t="shared" si="128"/>
        <v>0</v>
      </c>
      <c r="BL173" s="36">
        <f t="shared" si="129"/>
        <v>0</v>
      </c>
      <c r="BM173" s="36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6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6">
        <f t="shared" si="119"/>
        <v>0</v>
      </c>
      <c r="BC174" s="36">
        <f t="shared" si="120"/>
        <v>0</v>
      </c>
      <c r="BD174" s="36">
        <f t="shared" si="121"/>
        <v>0</v>
      </c>
      <c r="BE174" s="36">
        <f t="shared" si="122"/>
        <v>0</v>
      </c>
      <c r="BF174" s="36">
        <f t="shared" si="123"/>
        <v>0</v>
      </c>
      <c r="BG174" s="36">
        <f t="shared" si="124"/>
        <v>0</v>
      </c>
      <c r="BH174" s="36">
        <f t="shared" si="125"/>
        <v>0</v>
      </c>
      <c r="BI174" s="36">
        <f t="shared" si="126"/>
        <v>0</v>
      </c>
      <c r="BJ174" s="36">
        <f t="shared" si="127"/>
        <v>0</v>
      </c>
      <c r="BK174" s="36">
        <f t="shared" si="128"/>
        <v>0</v>
      </c>
      <c r="BL174" s="36">
        <f t="shared" si="129"/>
        <v>0</v>
      </c>
      <c r="BM174" s="36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6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6">
        <f t="shared" si="119"/>
        <v>0</v>
      </c>
      <c r="BC175" s="36">
        <f t="shared" si="120"/>
        <v>0</v>
      </c>
      <c r="BD175" s="36">
        <f t="shared" si="121"/>
        <v>0</v>
      </c>
      <c r="BE175" s="36">
        <f t="shared" si="122"/>
        <v>0</v>
      </c>
      <c r="BF175" s="36">
        <f t="shared" si="123"/>
        <v>0</v>
      </c>
      <c r="BG175" s="36">
        <f t="shared" si="124"/>
        <v>0</v>
      </c>
      <c r="BH175" s="36">
        <f t="shared" si="125"/>
        <v>0</v>
      </c>
      <c r="BI175" s="36">
        <f t="shared" si="126"/>
        <v>0</v>
      </c>
      <c r="BJ175" s="36">
        <f t="shared" si="127"/>
        <v>0</v>
      </c>
      <c r="BK175" s="36">
        <f t="shared" si="128"/>
        <v>0</v>
      </c>
      <c r="BL175" s="36">
        <f t="shared" si="129"/>
        <v>0</v>
      </c>
      <c r="BM175" s="36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6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6">
        <f t="shared" si="119"/>
        <v>0</v>
      </c>
      <c r="BC176" s="36">
        <f t="shared" si="120"/>
        <v>0</v>
      </c>
      <c r="BD176" s="36">
        <f t="shared" si="121"/>
        <v>0</v>
      </c>
      <c r="BE176" s="36">
        <f t="shared" si="122"/>
        <v>0</v>
      </c>
      <c r="BF176" s="36">
        <f t="shared" si="123"/>
        <v>0</v>
      </c>
      <c r="BG176" s="36">
        <f t="shared" si="124"/>
        <v>0</v>
      </c>
      <c r="BH176" s="36">
        <f t="shared" si="125"/>
        <v>0</v>
      </c>
      <c r="BI176" s="36">
        <f t="shared" si="126"/>
        <v>0</v>
      </c>
      <c r="BJ176" s="36">
        <f t="shared" si="127"/>
        <v>0</v>
      </c>
      <c r="BK176" s="36">
        <f t="shared" si="128"/>
        <v>0</v>
      </c>
      <c r="BL176" s="36">
        <f t="shared" si="129"/>
        <v>0</v>
      </c>
      <c r="BM176" s="36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6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6">
        <f t="shared" si="119"/>
        <v>0</v>
      </c>
      <c r="BC177" s="36">
        <f t="shared" si="120"/>
        <v>0</v>
      </c>
      <c r="BD177" s="36">
        <f t="shared" si="121"/>
        <v>0</v>
      </c>
      <c r="BE177" s="36">
        <f t="shared" si="122"/>
        <v>0</v>
      </c>
      <c r="BF177" s="36">
        <f t="shared" si="123"/>
        <v>0</v>
      </c>
      <c r="BG177" s="36">
        <f t="shared" si="124"/>
        <v>0</v>
      </c>
      <c r="BH177" s="36">
        <f t="shared" si="125"/>
        <v>0</v>
      </c>
      <c r="BI177" s="36">
        <f t="shared" si="126"/>
        <v>0</v>
      </c>
      <c r="BJ177" s="36">
        <f t="shared" si="127"/>
        <v>0</v>
      </c>
      <c r="BK177" s="36">
        <f t="shared" si="128"/>
        <v>0</v>
      </c>
      <c r="BL177" s="36">
        <f t="shared" si="129"/>
        <v>0</v>
      </c>
      <c r="BM177" s="36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6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6">
        <f t="shared" si="119"/>
        <v>0</v>
      </c>
      <c r="BC178" s="36">
        <f t="shared" si="120"/>
        <v>0</v>
      </c>
      <c r="BD178" s="36">
        <f t="shared" si="121"/>
        <v>0</v>
      </c>
      <c r="BE178" s="36">
        <f t="shared" si="122"/>
        <v>0</v>
      </c>
      <c r="BF178" s="36">
        <f t="shared" si="123"/>
        <v>0</v>
      </c>
      <c r="BG178" s="36">
        <f t="shared" si="124"/>
        <v>0</v>
      </c>
      <c r="BH178" s="36">
        <f t="shared" si="125"/>
        <v>0</v>
      </c>
      <c r="BI178" s="36">
        <f t="shared" si="126"/>
        <v>0</v>
      </c>
      <c r="BJ178" s="36">
        <f t="shared" si="127"/>
        <v>0</v>
      </c>
      <c r="BK178" s="36">
        <f t="shared" si="128"/>
        <v>0</v>
      </c>
      <c r="BL178" s="36">
        <f t="shared" si="129"/>
        <v>0</v>
      </c>
      <c r="BM178" s="36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6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6">
        <f t="shared" si="119"/>
        <v>0</v>
      </c>
      <c r="BC179" s="36">
        <f t="shared" si="120"/>
        <v>0</v>
      </c>
      <c r="BD179" s="36">
        <f t="shared" si="121"/>
        <v>0</v>
      </c>
      <c r="BE179" s="36">
        <f t="shared" si="122"/>
        <v>0</v>
      </c>
      <c r="BF179" s="36">
        <f t="shared" si="123"/>
        <v>0</v>
      </c>
      <c r="BG179" s="36">
        <f t="shared" si="124"/>
        <v>0</v>
      </c>
      <c r="BH179" s="36">
        <f t="shared" si="125"/>
        <v>0</v>
      </c>
      <c r="BI179" s="36">
        <f t="shared" si="126"/>
        <v>0</v>
      </c>
      <c r="BJ179" s="36">
        <f t="shared" si="127"/>
        <v>0</v>
      </c>
      <c r="BK179" s="36">
        <f t="shared" si="128"/>
        <v>0</v>
      </c>
      <c r="BL179" s="36">
        <f t="shared" si="129"/>
        <v>0</v>
      </c>
      <c r="BM179" s="36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6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6">
        <f t="shared" si="119"/>
        <v>0</v>
      </c>
      <c r="BC180" s="36">
        <f t="shared" si="120"/>
        <v>0</v>
      </c>
      <c r="BD180" s="36">
        <f t="shared" si="121"/>
        <v>0</v>
      </c>
      <c r="BE180" s="36">
        <f t="shared" si="122"/>
        <v>0</v>
      </c>
      <c r="BF180" s="36">
        <f t="shared" si="123"/>
        <v>0</v>
      </c>
      <c r="BG180" s="36">
        <f t="shared" si="124"/>
        <v>0</v>
      </c>
      <c r="BH180" s="36">
        <f t="shared" si="125"/>
        <v>0</v>
      </c>
      <c r="BI180" s="36">
        <f t="shared" si="126"/>
        <v>0</v>
      </c>
      <c r="BJ180" s="36">
        <f t="shared" si="127"/>
        <v>0</v>
      </c>
      <c r="BK180" s="36">
        <f t="shared" si="128"/>
        <v>0</v>
      </c>
      <c r="BL180" s="36">
        <f t="shared" si="129"/>
        <v>0</v>
      </c>
      <c r="BM180" s="36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6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6">
        <f t="shared" si="119"/>
        <v>0</v>
      </c>
      <c r="BC181" s="36">
        <f t="shared" si="120"/>
        <v>0</v>
      </c>
      <c r="BD181" s="36">
        <f t="shared" si="121"/>
        <v>0</v>
      </c>
      <c r="BE181" s="36">
        <f t="shared" si="122"/>
        <v>0</v>
      </c>
      <c r="BF181" s="36">
        <f t="shared" si="123"/>
        <v>0</v>
      </c>
      <c r="BG181" s="36">
        <f t="shared" si="124"/>
        <v>0</v>
      </c>
      <c r="BH181" s="36">
        <f t="shared" si="125"/>
        <v>0</v>
      </c>
      <c r="BI181" s="36">
        <f t="shared" si="126"/>
        <v>0</v>
      </c>
      <c r="BJ181" s="36">
        <f t="shared" si="127"/>
        <v>0</v>
      </c>
      <c r="BK181" s="36">
        <f t="shared" si="128"/>
        <v>0</v>
      </c>
      <c r="BL181" s="36">
        <f t="shared" si="129"/>
        <v>0</v>
      </c>
      <c r="BM181" s="36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6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6">
        <f t="shared" si="119"/>
        <v>0</v>
      </c>
      <c r="BC182" s="36">
        <f t="shared" si="120"/>
        <v>0</v>
      </c>
      <c r="BD182" s="36">
        <f t="shared" si="121"/>
        <v>0</v>
      </c>
      <c r="BE182" s="36">
        <f t="shared" si="122"/>
        <v>0</v>
      </c>
      <c r="BF182" s="36">
        <f t="shared" si="123"/>
        <v>0</v>
      </c>
      <c r="BG182" s="36">
        <f t="shared" si="124"/>
        <v>0</v>
      </c>
      <c r="BH182" s="36">
        <f t="shared" si="125"/>
        <v>0</v>
      </c>
      <c r="BI182" s="36">
        <f t="shared" si="126"/>
        <v>0</v>
      </c>
      <c r="BJ182" s="36">
        <f t="shared" si="127"/>
        <v>0</v>
      </c>
      <c r="BK182" s="36">
        <f t="shared" si="128"/>
        <v>0</v>
      </c>
      <c r="BL182" s="36">
        <f t="shared" si="129"/>
        <v>0</v>
      </c>
      <c r="BM182" s="36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6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6">
        <f t="shared" si="119"/>
        <v>0</v>
      </c>
      <c r="BC183" s="36">
        <f t="shared" si="120"/>
        <v>0</v>
      </c>
      <c r="BD183" s="36">
        <f t="shared" si="121"/>
        <v>0</v>
      </c>
      <c r="BE183" s="36">
        <f t="shared" si="122"/>
        <v>0</v>
      </c>
      <c r="BF183" s="36">
        <f t="shared" si="123"/>
        <v>0</v>
      </c>
      <c r="BG183" s="36">
        <f t="shared" si="124"/>
        <v>0</v>
      </c>
      <c r="BH183" s="36">
        <f t="shared" si="125"/>
        <v>0</v>
      </c>
      <c r="BI183" s="36">
        <f t="shared" si="126"/>
        <v>0</v>
      </c>
      <c r="BJ183" s="36">
        <f t="shared" si="127"/>
        <v>0</v>
      </c>
      <c r="BK183" s="36">
        <f t="shared" si="128"/>
        <v>0</v>
      </c>
      <c r="BL183" s="36">
        <f t="shared" si="129"/>
        <v>0</v>
      </c>
      <c r="BM183" s="36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6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6">
        <f t="shared" si="119"/>
        <v>0</v>
      </c>
      <c r="BC184" s="36">
        <f t="shared" si="120"/>
        <v>0</v>
      </c>
      <c r="BD184" s="36">
        <f t="shared" si="121"/>
        <v>0</v>
      </c>
      <c r="BE184" s="36">
        <f t="shared" si="122"/>
        <v>0</v>
      </c>
      <c r="BF184" s="36">
        <f t="shared" si="123"/>
        <v>0</v>
      </c>
      <c r="BG184" s="36">
        <f t="shared" si="124"/>
        <v>0</v>
      </c>
      <c r="BH184" s="36">
        <f t="shared" si="125"/>
        <v>0</v>
      </c>
      <c r="BI184" s="36">
        <f t="shared" si="126"/>
        <v>0</v>
      </c>
      <c r="BJ184" s="36">
        <f t="shared" si="127"/>
        <v>0</v>
      </c>
      <c r="BK184" s="36">
        <f t="shared" si="128"/>
        <v>0</v>
      </c>
      <c r="BL184" s="36">
        <f t="shared" si="129"/>
        <v>0</v>
      </c>
      <c r="BM184" s="36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6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6">
        <f t="shared" si="119"/>
        <v>0</v>
      </c>
      <c r="BC185" s="36">
        <f t="shared" si="120"/>
        <v>0</v>
      </c>
      <c r="BD185" s="36">
        <f t="shared" si="121"/>
        <v>0</v>
      </c>
      <c r="BE185" s="36">
        <f t="shared" si="122"/>
        <v>0</v>
      </c>
      <c r="BF185" s="36">
        <f t="shared" si="123"/>
        <v>0</v>
      </c>
      <c r="BG185" s="36">
        <f t="shared" si="124"/>
        <v>0</v>
      </c>
      <c r="BH185" s="36">
        <f t="shared" si="125"/>
        <v>0</v>
      </c>
      <c r="BI185" s="36">
        <f t="shared" si="126"/>
        <v>0</v>
      </c>
      <c r="BJ185" s="36">
        <f t="shared" si="127"/>
        <v>0</v>
      </c>
      <c r="BK185" s="36">
        <f t="shared" si="128"/>
        <v>0</v>
      </c>
      <c r="BL185" s="36">
        <f t="shared" si="129"/>
        <v>0</v>
      </c>
      <c r="BM185" s="36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6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6">
        <f t="shared" si="119"/>
        <v>0</v>
      </c>
      <c r="BC186" s="36">
        <f t="shared" si="120"/>
        <v>0</v>
      </c>
      <c r="BD186" s="36">
        <f t="shared" si="121"/>
        <v>0</v>
      </c>
      <c r="BE186" s="36">
        <f t="shared" si="122"/>
        <v>0</v>
      </c>
      <c r="BF186" s="36">
        <f t="shared" si="123"/>
        <v>0</v>
      </c>
      <c r="BG186" s="36">
        <f t="shared" si="124"/>
        <v>0</v>
      </c>
      <c r="BH186" s="36">
        <f t="shared" si="125"/>
        <v>0</v>
      </c>
      <c r="BI186" s="36">
        <f t="shared" si="126"/>
        <v>0</v>
      </c>
      <c r="BJ186" s="36">
        <f t="shared" si="127"/>
        <v>0</v>
      </c>
      <c r="BK186" s="36">
        <f t="shared" si="128"/>
        <v>0</v>
      </c>
      <c r="BL186" s="36">
        <f t="shared" si="129"/>
        <v>0</v>
      </c>
      <c r="BM186" s="36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6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6">
        <f t="shared" si="119"/>
        <v>0</v>
      </c>
      <c r="BC187" s="36">
        <f t="shared" si="120"/>
        <v>0</v>
      </c>
      <c r="BD187" s="36">
        <f t="shared" si="121"/>
        <v>0</v>
      </c>
      <c r="BE187" s="36">
        <f t="shared" si="122"/>
        <v>0</v>
      </c>
      <c r="BF187" s="36">
        <f t="shared" si="123"/>
        <v>0</v>
      </c>
      <c r="BG187" s="36">
        <f t="shared" si="124"/>
        <v>0</v>
      </c>
      <c r="BH187" s="36">
        <f t="shared" si="125"/>
        <v>0</v>
      </c>
      <c r="BI187" s="36">
        <f t="shared" si="126"/>
        <v>0</v>
      </c>
      <c r="BJ187" s="36">
        <f t="shared" si="127"/>
        <v>0</v>
      </c>
      <c r="BK187" s="36">
        <f t="shared" si="128"/>
        <v>0</v>
      </c>
      <c r="BL187" s="36">
        <f t="shared" si="129"/>
        <v>0</v>
      </c>
      <c r="BM187" s="36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6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6">
        <f t="shared" si="119"/>
        <v>0</v>
      </c>
      <c r="BC188" s="36">
        <f t="shared" si="120"/>
        <v>0</v>
      </c>
      <c r="BD188" s="36">
        <f t="shared" si="121"/>
        <v>0</v>
      </c>
      <c r="BE188" s="36">
        <f t="shared" si="122"/>
        <v>0</v>
      </c>
      <c r="BF188" s="36">
        <f t="shared" si="123"/>
        <v>0</v>
      </c>
      <c r="BG188" s="36">
        <f t="shared" si="124"/>
        <v>0</v>
      </c>
      <c r="BH188" s="36">
        <f t="shared" si="125"/>
        <v>0</v>
      </c>
      <c r="BI188" s="36">
        <f t="shared" si="126"/>
        <v>0</v>
      </c>
      <c r="BJ188" s="36">
        <f t="shared" si="127"/>
        <v>0</v>
      </c>
      <c r="BK188" s="36">
        <f t="shared" si="128"/>
        <v>0</v>
      </c>
      <c r="BL188" s="36">
        <f t="shared" si="129"/>
        <v>0</v>
      </c>
      <c r="BM188" s="36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6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6">
        <f t="shared" si="119"/>
        <v>0</v>
      </c>
      <c r="BC189" s="36">
        <f t="shared" si="120"/>
        <v>0</v>
      </c>
      <c r="BD189" s="36">
        <f t="shared" si="121"/>
        <v>0</v>
      </c>
      <c r="BE189" s="36">
        <f t="shared" si="122"/>
        <v>0</v>
      </c>
      <c r="BF189" s="36">
        <f t="shared" si="123"/>
        <v>0</v>
      </c>
      <c r="BG189" s="36">
        <f t="shared" si="124"/>
        <v>0</v>
      </c>
      <c r="BH189" s="36">
        <f t="shared" si="125"/>
        <v>0</v>
      </c>
      <c r="BI189" s="36">
        <f t="shared" si="126"/>
        <v>0</v>
      </c>
      <c r="BJ189" s="36">
        <f t="shared" si="127"/>
        <v>0</v>
      </c>
      <c r="BK189" s="36">
        <f t="shared" si="128"/>
        <v>0</v>
      </c>
      <c r="BL189" s="36">
        <f t="shared" si="129"/>
        <v>0</v>
      </c>
      <c r="BM189" s="36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6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6">
        <f t="shared" si="119"/>
        <v>0</v>
      </c>
      <c r="BC190" s="36">
        <f t="shared" si="120"/>
        <v>0</v>
      </c>
      <c r="BD190" s="36">
        <f t="shared" si="121"/>
        <v>0</v>
      </c>
      <c r="BE190" s="36">
        <f t="shared" si="122"/>
        <v>0</v>
      </c>
      <c r="BF190" s="36">
        <f t="shared" si="123"/>
        <v>0</v>
      </c>
      <c r="BG190" s="36">
        <f t="shared" si="124"/>
        <v>0</v>
      </c>
      <c r="BH190" s="36">
        <f t="shared" si="125"/>
        <v>0</v>
      </c>
      <c r="BI190" s="36">
        <f t="shared" si="126"/>
        <v>0</v>
      </c>
      <c r="BJ190" s="36">
        <f t="shared" si="127"/>
        <v>0</v>
      </c>
      <c r="BK190" s="36">
        <f t="shared" si="128"/>
        <v>0</v>
      </c>
      <c r="BL190" s="36">
        <f t="shared" si="129"/>
        <v>0</v>
      </c>
      <c r="BM190" s="36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6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6">
        <f t="shared" si="119"/>
        <v>0</v>
      </c>
      <c r="BC191" s="36">
        <f t="shared" si="120"/>
        <v>0</v>
      </c>
      <c r="BD191" s="36">
        <f t="shared" si="121"/>
        <v>0</v>
      </c>
      <c r="BE191" s="36">
        <f t="shared" si="122"/>
        <v>0</v>
      </c>
      <c r="BF191" s="36">
        <f t="shared" si="123"/>
        <v>0</v>
      </c>
      <c r="BG191" s="36">
        <f t="shared" si="124"/>
        <v>0</v>
      </c>
      <c r="BH191" s="36">
        <f t="shared" si="125"/>
        <v>0</v>
      </c>
      <c r="BI191" s="36">
        <f t="shared" si="126"/>
        <v>0</v>
      </c>
      <c r="BJ191" s="36">
        <f t="shared" si="127"/>
        <v>0</v>
      </c>
      <c r="BK191" s="36">
        <f t="shared" si="128"/>
        <v>0</v>
      </c>
      <c r="BL191" s="36">
        <f t="shared" si="129"/>
        <v>0</v>
      </c>
      <c r="BM191" s="36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6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6">
        <f t="shared" si="119"/>
        <v>0</v>
      </c>
      <c r="BC192" s="36">
        <f t="shared" si="120"/>
        <v>0</v>
      </c>
      <c r="BD192" s="36">
        <f t="shared" si="121"/>
        <v>0</v>
      </c>
      <c r="BE192" s="36">
        <f t="shared" si="122"/>
        <v>0</v>
      </c>
      <c r="BF192" s="36">
        <f t="shared" si="123"/>
        <v>0</v>
      </c>
      <c r="BG192" s="36">
        <f t="shared" si="124"/>
        <v>0</v>
      </c>
      <c r="BH192" s="36">
        <f t="shared" si="125"/>
        <v>0</v>
      </c>
      <c r="BI192" s="36">
        <f t="shared" si="126"/>
        <v>0</v>
      </c>
      <c r="BJ192" s="36">
        <f t="shared" si="127"/>
        <v>0</v>
      </c>
      <c r="BK192" s="36">
        <f t="shared" si="128"/>
        <v>0</v>
      </c>
      <c r="BL192" s="36">
        <f t="shared" si="129"/>
        <v>0</v>
      </c>
      <c r="BM192" s="36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6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6">
        <f t="shared" si="119"/>
        <v>0</v>
      </c>
      <c r="BC193" s="36">
        <f t="shared" si="120"/>
        <v>0</v>
      </c>
      <c r="BD193" s="36">
        <f t="shared" si="121"/>
        <v>0</v>
      </c>
      <c r="BE193" s="36">
        <f t="shared" si="122"/>
        <v>0</v>
      </c>
      <c r="BF193" s="36">
        <f t="shared" si="123"/>
        <v>0</v>
      </c>
      <c r="BG193" s="36">
        <f t="shared" si="124"/>
        <v>0</v>
      </c>
      <c r="BH193" s="36">
        <f t="shared" si="125"/>
        <v>0</v>
      </c>
      <c r="BI193" s="36">
        <f t="shared" si="126"/>
        <v>0</v>
      </c>
      <c r="BJ193" s="36">
        <f t="shared" si="127"/>
        <v>0</v>
      </c>
      <c r="BK193" s="36">
        <f t="shared" si="128"/>
        <v>0</v>
      </c>
      <c r="BL193" s="36">
        <f t="shared" si="129"/>
        <v>0</v>
      </c>
      <c r="BM193" s="36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6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6">
        <f t="shared" si="119"/>
        <v>0</v>
      </c>
      <c r="BC194" s="36">
        <f t="shared" si="120"/>
        <v>0</v>
      </c>
      <c r="BD194" s="36">
        <f t="shared" si="121"/>
        <v>0</v>
      </c>
      <c r="BE194" s="36">
        <f t="shared" si="122"/>
        <v>0</v>
      </c>
      <c r="BF194" s="36">
        <f t="shared" si="123"/>
        <v>0</v>
      </c>
      <c r="BG194" s="36">
        <f t="shared" si="124"/>
        <v>0</v>
      </c>
      <c r="BH194" s="36">
        <f t="shared" si="125"/>
        <v>0</v>
      </c>
      <c r="BI194" s="36">
        <f t="shared" si="126"/>
        <v>0</v>
      </c>
      <c r="BJ194" s="36">
        <f t="shared" si="127"/>
        <v>0</v>
      </c>
      <c r="BK194" s="36">
        <f t="shared" si="128"/>
        <v>0</v>
      </c>
      <c r="BL194" s="36">
        <f t="shared" si="129"/>
        <v>0</v>
      </c>
      <c r="BM194" s="36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7">
        <f>Database!A195</f>
        <v>0</v>
      </c>
      <c r="B195" s="28">
        <f>Database!E195</f>
        <v>0</v>
      </c>
      <c r="C195">
        <f>IF(Database!G195="cansl",0,Database!K195)</f>
        <v>0</v>
      </c>
      <c r="D195" s="27">
        <f>Database!D195-Database!C195</f>
        <v>0</v>
      </c>
      <c r="E195" s="27"/>
      <c r="F195" s="27">
        <f>Database!L195</f>
        <v>0</v>
      </c>
      <c r="G195" s="27">
        <f>Database!F195</f>
        <v>0</v>
      </c>
      <c r="H195" s="27"/>
      <c r="I195" s="27"/>
      <c r="J195" s="27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6">
        <f t="shared" si="119"/>
        <v>0</v>
      </c>
      <c r="BC195" s="36">
        <f t="shared" si="120"/>
        <v>0</v>
      </c>
      <c r="BD195" s="36">
        <f t="shared" si="121"/>
        <v>0</v>
      </c>
      <c r="BE195" s="36">
        <f t="shared" si="122"/>
        <v>0</v>
      </c>
      <c r="BF195" s="36">
        <f t="shared" si="123"/>
        <v>0</v>
      </c>
      <c r="BG195" s="36">
        <f t="shared" si="124"/>
        <v>0</v>
      </c>
      <c r="BH195" s="36">
        <f t="shared" si="125"/>
        <v>0</v>
      </c>
      <c r="BI195" s="36">
        <f t="shared" si="126"/>
        <v>0</v>
      </c>
      <c r="BJ195" s="36">
        <f t="shared" si="127"/>
        <v>0</v>
      </c>
      <c r="BK195" s="36">
        <f t="shared" si="128"/>
        <v>0</v>
      </c>
      <c r="BL195" s="36">
        <f t="shared" si="129"/>
        <v>0</v>
      </c>
      <c r="BM195" s="36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6">
        <f t="shared" ref="BB196:BU196" si="153">SUM(BB2:BB195)</f>
        <v>0</v>
      </c>
      <c r="BC196" s="36">
        <f t="shared" si="153"/>
        <v>0</v>
      </c>
      <c r="BD196" s="36">
        <f t="shared" si="153"/>
        <v>0</v>
      </c>
      <c r="BE196" s="36">
        <f t="shared" si="153"/>
        <v>0</v>
      </c>
      <c r="BF196" s="36">
        <f t="shared" si="153"/>
        <v>0</v>
      </c>
      <c r="BG196" s="36">
        <f t="shared" si="153"/>
        <v>0</v>
      </c>
      <c r="BH196" s="36">
        <f t="shared" si="153"/>
        <v>0</v>
      </c>
      <c r="BI196" s="36">
        <f t="shared" si="153"/>
        <v>0</v>
      </c>
      <c r="BJ196" s="36">
        <f t="shared" si="153"/>
        <v>0</v>
      </c>
      <c r="BK196" s="36">
        <f t="shared" si="153"/>
        <v>0</v>
      </c>
      <c r="BL196" s="36">
        <f t="shared" ref="BL196" si="154">BN196+BP196+BR196+BT196</f>
        <v>0</v>
      </c>
      <c r="BM196" s="36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5">
      <c r="J198" t="s">
        <v>156</v>
      </c>
      <c r="K198">
        <f t="shared" ref="K198:AX198" si="155">SUM(K2:K195)</f>
        <v>0</v>
      </c>
      <c r="L198">
        <f t="shared" si="155"/>
        <v>0</v>
      </c>
      <c r="M198">
        <f t="shared" si="155"/>
        <v>0</v>
      </c>
      <c r="N198">
        <f t="shared" si="155"/>
        <v>0</v>
      </c>
      <c r="O198">
        <f t="shared" si="155"/>
        <v>0</v>
      </c>
      <c r="P198">
        <f t="shared" si="155"/>
        <v>0</v>
      </c>
      <c r="Q198">
        <f t="shared" si="155"/>
        <v>0</v>
      </c>
      <c r="R198">
        <f t="shared" si="155"/>
        <v>0</v>
      </c>
      <c r="S198">
        <f t="shared" si="155"/>
        <v>0</v>
      </c>
      <c r="T198">
        <f t="shared" si="155"/>
        <v>0</v>
      </c>
      <c r="U198">
        <f t="shared" si="155"/>
        <v>0</v>
      </c>
      <c r="V198">
        <f t="shared" si="155"/>
        <v>0</v>
      </c>
      <c r="W198">
        <f t="shared" si="155"/>
        <v>0</v>
      </c>
      <c r="X198">
        <f t="shared" si="155"/>
        <v>0</v>
      </c>
      <c r="Y198">
        <f t="shared" si="155"/>
        <v>0</v>
      </c>
      <c r="Z198">
        <f t="shared" si="155"/>
        <v>0</v>
      </c>
      <c r="AA198">
        <f t="shared" si="155"/>
        <v>0</v>
      </c>
      <c r="AB198">
        <f t="shared" si="155"/>
        <v>0</v>
      </c>
      <c r="AC198">
        <f t="shared" si="155"/>
        <v>0</v>
      </c>
      <c r="AD198">
        <f t="shared" si="155"/>
        <v>0</v>
      </c>
      <c r="AE198">
        <f t="shared" si="155"/>
        <v>0</v>
      </c>
      <c r="AF198">
        <f t="shared" si="155"/>
        <v>0</v>
      </c>
      <c r="AG198">
        <f t="shared" si="155"/>
        <v>0</v>
      </c>
      <c r="AH198">
        <f t="shared" si="155"/>
        <v>0</v>
      </c>
      <c r="AI198">
        <f t="shared" si="155"/>
        <v>0</v>
      </c>
      <c r="AJ198">
        <f t="shared" si="155"/>
        <v>0</v>
      </c>
      <c r="AK198">
        <f t="shared" si="155"/>
        <v>0</v>
      </c>
      <c r="AL198">
        <f t="shared" si="155"/>
        <v>0</v>
      </c>
      <c r="AM198">
        <f t="shared" si="155"/>
        <v>0</v>
      </c>
      <c r="AN198">
        <f t="shared" si="155"/>
        <v>0</v>
      </c>
      <c r="AO198">
        <f t="shared" si="155"/>
        <v>0</v>
      </c>
      <c r="AP198">
        <f t="shared" si="155"/>
        <v>0</v>
      </c>
      <c r="AQ198">
        <f t="shared" si="155"/>
        <v>0</v>
      </c>
      <c r="AR198">
        <f t="shared" si="155"/>
        <v>0</v>
      </c>
      <c r="AS198">
        <f t="shared" si="155"/>
        <v>0</v>
      </c>
      <c r="AT198">
        <f t="shared" si="155"/>
        <v>0</v>
      </c>
      <c r="AU198">
        <f t="shared" si="155"/>
        <v>0</v>
      </c>
      <c r="AV198">
        <f t="shared" si="155"/>
        <v>0</v>
      </c>
      <c r="AW198">
        <f t="shared" si="155"/>
        <v>0</v>
      </c>
      <c r="AX198">
        <f t="shared" si="155"/>
        <v>0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x14ac:dyDescent="0.35">
      <c r="J200">
        <v>2027</v>
      </c>
      <c r="BL200" s="2"/>
      <c r="BN200" s="2"/>
    </row>
    <row r="201" spans="1:73" ht="15" customHeight="1" thickBot="1" x14ac:dyDescent="0.4">
      <c r="J201">
        <v>2026</v>
      </c>
      <c r="BL201" s="2"/>
      <c r="BN201" s="2"/>
    </row>
    <row r="202" spans="1:73" x14ac:dyDescent="0.35">
      <c r="J202">
        <v>2025</v>
      </c>
      <c r="K202">
        <f>K198</f>
        <v>0</v>
      </c>
      <c r="L202">
        <f t="shared" ref="L202:Y202" si="156">L198</f>
        <v>0</v>
      </c>
      <c r="M202">
        <f t="shared" si="156"/>
        <v>0</v>
      </c>
      <c r="N202">
        <f t="shared" si="156"/>
        <v>0</v>
      </c>
      <c r="O202">
        <f t="shared" si="156"/>
        <v>0</v>
      </c>
      <c r="P202">
        <f t="shared" si="156"/>
        <v>0</v>
      </c>
      <c r="Q202">
        <f t="shared" si="156"/>
        <v>0</v>
      </c>
      <c r="R202">
        <f t="shared" si="156"/>
        <v>0</v>
      </c>
      <c r="S202">
        <f t="shared" si="156"/>
        <v>0</v>
      </c>
      <c r="T202">
        <f t="shared" si="156"/>
        <v>0</v>
      </c>
      <c r="U202">
        <f t="shared" si="156"/>
        <v>0</v>
      </c>
      <c r="V202">
        <f t="shared" si="156"/>
        <v>0</v>
      </c>
      <c r="W202">
        <f t="shared" si="156"/>
        <v>0</v>
      </c>
      <c r="X202">
        <f t="shared" si="156"/>
        <v>0</v>
      </c>
      <c r="Y202">
        <f t="shared" si="156"/>
        <v>0</v>
      </c>
      <c r="BC202" s="29"/>
      <c r="BD202" s="30" t="s">
        <v>53</v>
      </c>
      <c r="BE202" s="30" t="s">
        <v>20</v>
      </c>
      <c r="BF202" s="30" t="s">
        <v>54</v>
      </c>
      <c r="BG202" s="30" t="s">
        <v>31</v>
      </c>
      <c r="BH202" s="30" t="s">
        <v>62</v>
      </c>
      <c r="BI202" s="31" t="s">
        <v>110</v>
      </c>
      <c r="BJ202" s="32" t="s">
        <v>58</v>
      </c>
      <c r="BK202" s="33" t="s">
        <v>111</v>
      </c>
      <c r="BL202" s="33" t="s">
        <v>57</v>
      </c>
      <c r="BM202" s="34"/>
      <c r="BN202" s="2"/>
      <c r="BO202" s="2"/>
    </row>
    <row r="203" spans="1:73" x14ac:dyDescent="0.35">
      <c r="J203">
        <v>2024</v>
      </c>
      <c r="K203">
        <v>103</v>
      </c>
      <c r="L203">
        <v>173</v>
      </c>
      <c r="M203">
        <v>200</v>
      </c>
      <c r="N203">
        <v>234</v>
      </c>
      <c r="O203">
        <v>251</v>
      </c>
      <c r="P203">
        <v>280</v>
      </c>
      <c r="Q203">
        <v>308</v>
      </c>
      <c r="R203">
        <v>330</v>
      </c>
      <c r="S203">
        <v>348</v>
      </c>
      <c r="T203">
        <v>362</v>
      </c>
      <c r="U203">
        <v>392</v>
      </c>
      <c r="V203">
        <v>396</v>
      </c>
      <c r="W203">
        <v>408</v>
      </c>
      <c r="X203">
        <v>435</v>
      </c>
      <c r="Y203">
        <v>439</v>
      </c>
      <c r="Z203">
        <v>464</v>
      </c>
      <c r="AA203">
        <v>474</v>
      </c>
      <c r="AB203">
        <v>495</v>
      </c>
      <c r="AC203">
        <v>508</v>
      </c>
      <c r="AD203">
        <v>515</v>
      </c>
      <c r="AE203">
        <v>517</v>
      </c>
      <c r="AF203">
        <v>528</v>
      </c>
      <c r="AG203">
        <v>528</v>
      </c>
      <c r="AH203">
        <v>536</v>
      </c>
      <c r="AI203">
        <v>539</v>
      </c>
      <c r="AJ203">
        <v>539</v>
      </c>
      <c r="AK203">
        <v>543</v>
      </c>
      <c r="AL203">
        <v>547</v>
      </c>
      <c r="AM203">
        <v>551</v>
      </c>
      <c r="AN203">
        <v>551</v>
      </c>
      <c r="AO203">
        <v>558</v>
      </c>
      <c r="AP203">
        <v>559</v>
      </c>
      <c r="AQ203">
        <v>564</v>
      </c>
      <c r="AR203">
        <v>566</v>
      </c>
      <c r="AS203">
        <v>582</v>
      </c>
      <c r="AT203">
        <v>600</v>
      </c>
      <c r="AU203">
        <v>604</v>
      </c>
      <c r="AV203">
        <v>604</v>
      </c>
      <c r="AW203">
        <v>604</v>
      </c>
      <c r="AX203">
        <v>604</v>
      </c>
      <c r="AY203">
        <v>604</v>
      </c>
      <c r="AZ203">
        <v>604</v>
      </c>
      <c r="BA203">
        <v>604</v>
      </c>
      <c r="BC203" s="35" t="s">
        <v>112</v>
      </c>
      <c r="BD203" s="36">
        <f>BB196</f>
        <v>0</v>
      </c>
      <c r="BE203" s="36">
        <f>BD196</f>
        <v>0</v>
      </c>
      <c r="BF203" s="36">
        <f>BF196</f>
        <v>0</v>
      </c>
      <c r="BG203" s="36">
        <f>BH196</f>
        <v>0</v>
      </c>
      <c r="BH203" s="36">
        <f>BJ196</f>
        <v>0</v>
      </c>
      <c r="BI203" s="37">
        <f>BL196</f>
        <v>0</v>
      </c>
      <c r="BJ203" s="38">
        <f>BN196</f>
        <v>0</v>
      </c>
      <c r="BK203" s="39">
        <f>BP196</f>
        <v>0</v>
      </c>
      <c r="BL203" s="39">
        <f>BR196</f>
        <v>0</v>
      </c>
      <c r="BM203" s="40">
        <f>BT196</f>
        <v>0</v>
      </c>
    </row>
    <row r="204" spans="1:73" ht="15" customHeight="1" thickBot="1" x14ac:dyDescent="0.4">
      <c r="J204">
        <v>2023</v>
      </c>
      <c r="K204">
        <v>119</v>
      </c>
      <c r="L204">
        <v>136</v>
      </c>
      <c r="M204">
        <v>162</v>
      </c>
      <c r="N204">
        <v>205</v>
      </c>
      <c r="O204">
        <v>232</v>
      </c>
      <c r="P204">
        <v>252</v>
      </c>
      <c r="Q204">
        <v>276</v>
      </c>
      <c r="R204">
        <v>290</v>
      </c>
      <c r="S204">
        <v>305</v>
      </c>
      <c r="T204">
        <v>332</v>
      </c>
      <c r="U204">
        <v>352</v>
      </c>
      <c r="V204">
        <v>362</v>
      </c>
      <c r="W204">
        <v>386</v>
      </c>
      <c r="X204">
        <v>410</v>
      </c>
      <c r="Y204">
        <v>423</v>
      </c>
      <c r="Z204">
        <v>441</v>
      </c>
      <c r="AA204">
        <v>447</v>
      </c>
      <c r="AB204">
        <v>455</v>
      </c>
      <c r="AC204">
        <v>457</v>
      </c>
      <c r="AD204">
        <v>466</v>
      </c>
      <c r="AE204">
        <v>490</v>
      </c>
      <c r="AF204">
        <v>508</v>
      </c>
      <c r="AG204">
        <v>508</v>
      </c>
      <c r="AH204">
        <v>508</v>
      </c>
      <c r="AI204">
        <v>522</v>
      </c>
      <c r="AJ204">
        <v>527</v>
      </c>
      <c r="AK204">
        <v>532</v>
      </c>
      <c r="AL204">
        <v>538</v>
      </c>
      <c r="AM204">
        <v>546</v>
      </c>
      <c r="AN204">
        <v>554</v>
      </c>
      <c r="AO204">
        <v>554</v>
      </c>
      <c r="AP204">
        <v>554</v>
      </c>
      <c r="AQ204">
        <v>554</v>
      </c>
      <c r="AR204">
        <v>567</v>
      </c>
      <c r="AS204">
        <v>567</v>
      </c>
      <c r="AT204">
        <v>582</v>
      </c>
      <c r="AU204">
        <v>582</v>
      </c>
      <c r="AV204">
        <v>587</v>
      </c>
      <c r="AW204">
        <v>589</v>
      </c>
      <c r="AX204">
        <v>589</v>
      </c>
      <c r="AY204">
        <v>589</v>
      </c>
      <c r="AZ204">
        <v>589</v>
      </c>
      <c r="BA204">
        <v>589</v>
      </c>
      <c r="BC204" s="41" t="s">
        <v>113</v>
      </c>
      <c r="BD204" s="42">
        <f>BC196</f>
        <v>0</v>
      </c>
      <c r="BE204" s="42">
        <f>BE196</f>
        <v>0</v>
      </c>
      <c r="BF204" s="42">
        <f>BG196</f>
        <v>0</v>
      </c>
      <c r="BG204" s="42">
        <f>BI196</f>
        <v>0</v>
      </c>
      <c r="BH204" s="42">
        <f>BK196</f>
        <v>0</v>
      </c>
      <c r="BI204" s="43">
        <f>BM196</f>
        <v>0</v>
      </c>
      <c r="BJ204" s="44">
        <f>BO196</f>
        <v>0</v>
      </c>
      <c r="BK204" s="45">
        <f>BQ196</f>
        <v>0</v>
      </c>
      <c r="BL204" s="45">
        <f>BS196</f>
        <v>0</v>
      </c>
      <c r="BM204" s="46">
        <f>BU196</f>
        <v>0</v>
      </c>
    </row>
    <row r="205" spans="1:73" x14ac:dyDescent="0.35">
      <c r="J205">
        <v>2022</v>
      </c>
      <c r="K205">
        <v>91</v>
      </c>
      <c r="L205">
        <v>161</v>
      </c>
      <c r="M205">
        <v>193</v>
      </c>
      <c r="N205">
        <v>238</v>
      </c>
      <c r="O205">
        <v>279</v>
      </c>
      <c r="P205">
        <v>300</v>
      </c>
      <c r="Q205">
        <v>361</v>
      </c>
      <c r="R205">
        <v>383</v>
      </c>
      <c r="S205">
        <v>402</v>
      </c>
      <c r="T205">
        <v>412</v>
      </c>
      <c r="U205">
        <v>426</v>
      </c>
      <c r="V205">
        <v>449</v>
      </c>
      <c r="W205">
        <v>467</v>
      </c>
      <c r="X205">
        <v>478</v>
      </c>
      <c r="Y205">
        <v>514</v>
      </c>
      <c r="Z205">
        <v>521</v>
      </c>
      <c r="AA205">
        <v>548</v>
      </c>
      <c r="AB205">
        <v>559</v>
      </c>
      <c r="AC205">
        <v>575</v>
      </c>
      <c r="AD205">
        <v>580</v>
      </c>
      <c r="AE205">
        <v>593</v>
      </c>
      <c r="AF205">
        <v>597</v>
      </c>
      <c r="AG205">
        <v>600</v>
      </c>
      <c r="AH205">
        <v>600</v>
      </c>
      <c r="AI205">
        <v>610</v>
      </c>
      <c r="AJ205">
        <v>615</v>
      </c>
      <c r="AK205">
        <v>615</v>
      </c>
      <c r="AL205">
        <v>620</v>
      </c>
      <c r="AM205">
        <v>633</v>
      </c>
      <c r="AN205">
        <v>643</v>
      </c>
      <c r="AO205">
        <v>643</v>
      </c>
    </row>
    <row r="206" spans="1:73" x14ac:dyDescent="0.35">
      <c r="J206">
        <v>2021</v>
      </c>
      <c r="K206">
        <v>116</v>
      </c>
      <c r="L206">
        <v>153</v>
      </c>
      <c r="M206">
        <v>179</v>
      </c>
      <c r="N206">
        <v>240</v>
      </c>
      <c r="O206">
        <v>250</v>
      </c>
      <c r="P206">
        <v>269</v>
      </c>
      <c r="Q206">
        <v>278</v>
      </c>
      <c r="R206">
        <v>302</v>
      </c>
      <c r="S206">
        <v>319</v>
      </c>
      <c r="T206">
        <v>333</v>
      </c>
      <c r="U206">
        <v>349</v>
      </c>
      <c r="V206">
        <v>365</v>
      </c>
      <c r="W206">
        <v>381</v>
      </c>
      <c r="X206">
        <v>381</v>
      </c>
      <c r="Y206">
        <v>410</v>
      </c>
      <c r="Z206">
        <v>441</v>
      </c>
      <c r="AA206">
        <v>447</v>
      </c>
      <c r="AB206">
        <v>454</v>
      </c>
      <c r="AC206">
        <v>485</v>
      </c>
      <c r="AD206">
        <v>498</v>
      </c>
      <c r="AE206">
        <v>510</v>
      </c>
      <c r="AF206">
        <v>523</v>
      </c>
      <c r="AG206">
        <v>531</v>
      </c>
      <c r="AH206">
        <v>544</v>
      </c>
      <c r="AI206">
        <v>552</v>
      </c>
      <c r="AJ206">
        <v>567</v>
      </c>
      <c r="AK206">
        <v>573</v>
      </c>
      <c r="AL206">
        <v>584</v>
      </c>
      <c r="AM206">
        <v>593</v>
      </c>
      <c r="AN206">
        <v>611</v>
      </c>
      <c r="AO206">
        <v>616</v>
      </c>
    </row>
    <row r="207" spans="1:73" x14ac:dyDescent="0.35">
      <c r="J207">
        <v>2020</v>
      </c>
      <c r="K207">
        <v>40</v>
      </c>
      <c r="L207">
        <v>43</v>
      </c>
      <c r="M207">
        <v>69</v>
      </c>
      <c r="N207">
        <v>80</v>
      </c>
      <c r="O207">
        <v>99</v>
      </c>
      <c r="P207">
        <v>111</v>
      </c>
      <c r="Q207">
        <v>113</v>
      </c>
      <c r="R207">
        <v>113</v>
      </c>
      <c r="S207">
        <v>137</v>
      </c>
      <c r="T207">
        <v>137</v>
      </c>
      <c r="U207">
        <v>137</v>
      </c>
      <c r="V207">
        <v>137</v>
      </c>
      <c r="W207">
        <v>139</v>
      </c>
      <c r="X207">
        <v>147</v>
      </c>
      <c r="Y207">
        <v>149</v>
      </c>
      <c r="Z207">
        <v>159</v>
      </c>
      <c r="AA207">
        <v>169</v>
      </c>
      <c r="AB207">
        <v>195</v>
      </c>
      <c r="AC207">
        <v>214</v>
      </c>
      <c r="AD207">
        <v>218</v>
      </c>
      <c r="AE207">
        <v>237</v>
      </c>
      <c r="AF207">
        <v>249</v>
      </c>
      <c r="AG207">
        <v>316</v>
      </c>
      <c r="AH207">
        <v>336</v>
      </c>
      <c r="AI207">
        <v>366</v>
      </c>
      <c r="AJ207">
        <v>391</v>
      </c>
      <c r="AK207">
        <v>405</v>
      </c>
      <c r="AL207">
        <v>432</v>
      </c>
      <c r="AM207">
        <v>445</v>
      </c>
      <c r="AN207">
        <v>461</v>
      </c>
      <c r="AO207">
        <v>469</v>
      </c>
    </row>
    <row r="208" spans="1:73" x14ac:dyDescent="0.35">
      <c r="J208">
        <v>2019</v>
      </c>
      <c r="K208">
        <v>93</v>
      </c>
      <c r="L208">
        <v>104</v>
      </c>
      <c r="M208">
        <v>141</v>
      </c>
      <c r="N208">
        <v>153</v>
      </c>
      <c r="O208">
        <v>167</v>
      </c>
      <c r="P208">
        <v>200</v>
      </c>
      <c r="Q208">
        <v>216</v>
      </c>
      <c r="R208">
        <v>236</v>
      </c>
      <c r="S208">
        <v>265</v>
      </c>
      <c r="T208">
        <v>287</v>
      </c>
      <c r="U208">
        <v>305</v>
      </c>
      <c r="V208">
        <v>316</v>
      </c>
      <c r="W208">
        <v>351</v>
      </c>
      <c r="X208">
        <v>372</v>
      </c>
      <c r="Y208">
        <v>390</v>
      </c>
      <c r="Z208">
        <v>405</v>
      </c>
      <c r="AA208">
        <v>407</v>
      </c>
      <c r="AB208">
        <v>419</v>
      </c>
      <c r="AC208">
        <v>423</v>
      </c>
      <c r="AD208">
        <v>437</v>
      </c>
      <c r="AE208">
        <v>442</v>
      </c>
      <c r="AF208">
        <v>463</v>
      </c>
      <c r="AG208">
        <v>470</v>
      </c>
      <c r="AH208">
        <v>470</v>
      </c>
      <c r="AI208">
        <v>478</v>
      </c>
      <c r="AJ208">
        <v>481</v>
      </c>
      <c r="AK208">
        <v>491</v>
      </c>
      <c r="AL208">
        <v>500</v>
      </c>
      <c r="AM208">
        <v>517</v>
      </c>
      <c r="AN208">
        <v>527</v>
      </c>
    </row>
    <row r="209" spans="10:41" x14ac:dyDescent="0.35">
      <c r="J209">
        <v>2018</v>
      </c>
      <c r="K209">
        <v>92</v>
      </c>
      <c r="L209">
        <v>107</v>
      </c>
      <c r="M209">
        <v>112</v>
      </c>
      <c r="N209">
        <v>143</v>
      </c>
      <c r="O209">
        <v>160</v>
      </c>
      <c r="P209">
        <v>160</v>
      </c>
      <c r="Q209">
        <v>181</v>
      </c>
      <c r="R209">
        <v>197</v>
      </c>
      <c r="S209">
        <v>203</v>
      </c>
      <c r="T209">
        <v>226</v>
      </c>
      <c r="U209">
        <v>226</v>
      </c>
      <c r="V209">
        <v>226</v>
      </c>
      <c r="W209">
        <v>253</v>
      </c>
      <c r="X209">
        <v>256</v>
      </c>
      <c r="Y209">
        <v>261</v>
      </c>
      <c r="Z209">
        <v>266</v>
      </c>
      <c r="AA209">
        <v>267</v>
      </c>
      <c r="AB209">
        <v>275</v>
      </c>
      <c r="AC209">
        <v>278</v>
      </c>
      <c r="AD209">
        <v>293</v>
      </c>
      <c r="AE209">
        <v>302</v>
      </c>
      <c r="AF209">
        <v>318</v>
      </c>
      <c r="AG209">
        <v>323</v>
      </c>
      <c r="AH209">
        <v>331</v>
      </c>
      <c r="AI209">
        <v>345</v>
      </c>
      <c r="AJ209">
        <v>357</v>
      </c>
      <c r="AK209">
        <v>375</v>
      </c>
      <c r="AL209">
        <v>388</v>
      </c>
      <c r="AM209">
        <v>392</v>
      </c>
      <c r="AN209">
        <v>408</v>
      </c>
      <c r="AO209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16" workbookViewId="0">
      <selection activeCell="M29" sqref="M29"/>
    </sheetView>
  </sheetViews>
  <sheetFormatPr defaultRowHeight="14.5" x14ac:dyDescent="0.35"/>
  <sheetData>
    <row r="28" spans="1:11" ht="15" customHeight="1" thickBot="1" x14ac:dyDescent="0.4">
      <c r="A28" t="s">
        <v>155</v>
      </c>
      <c r="H28" t="s">
        <v>109</v>
      </c>
      <c r="J28" s="2"/>
    </row>
    <row r="29" spans="1:11" x14ac:dyDescent="0.35">
      <c r="A29" s="29"/>
      <c r="B29" s="30" t="s">
        <v>53</v>
      </c>
      <c r="C29" s="30" t="s">
        <v>20</v>
      </c>
      <c r="D29" s="30" t="s">
        <v>54</v>
      </c>
      <c r="E29" s="30" t="s">
        <v>31</v>
      </c>
      <c r="F29" s="30" t="s">
        <v>62</v>
      </c>
      <c r="G29" s="31" t="s">
        <v>110</v>
      </c>
      <c r="H29" s="32" t="s">
        <v>58</v>
      </c>
      <c r="I29" s="33" t="s">
        <v>111</v>
      </c>
      <c r="J29" s="33" t="s">
        <v>57</v>
      </c>
      <c r="K29" s="34"/>
    </row>
    <row r="30" spans="1:11" x14ac:dyDescent="0.35">
      <c r="A30" s="35" t="s">
        <v>112</v>
      </c>
      <c r="B30" s="36">
        <f>'book stat'!BD203</f>
        <v>0</v>
      </c>
      <c r="C30" s="36">
        <f>'book stat'!BE203</f>
        <v>0</v>
      </c>
      <c r="D30" s="36">
        <f>'book stat'!BF203</f>
        <v>0</v>
      </c>
      <c r="E30" s="36">
        <f>'book stat'!BG203</f>
        <v>0</v>
      </c>
      <c r="F30" s="36">
        <f>'book stat'!BH203</f>
        <v>0</v>
      </c>
      <c r="G30" s="36">
        <f>'book stat'!BI203</f>
        <v>0</v>
      </c>
      <c r="H30" s="36">
        <f>'book stat'!BJ203</f>
        <v>0</v>
      </c>
      <c r="I30" s="36">
        <f>'book stat'!BK203</f>
        <v>0</v>
      </c>
      <c r="J30" s="36">
        <f>'book stat'!BL203</f>
        <v>0</v>
      </c>
      <c r="K30" s="36">
        <f>'book stat'!BM203</f>
        <v>0</v>
      </c>
    </row>
    <row r="31" spans="1:11" ht="15" customHeight="1" thickBot="1" x14ac:dyDescent="0.4">
      <c r="A31" s="41" t="s">
        <v>113</v>
      </c>
      <c r="B31" s="36">
        <f>'book stat'!BD204</f>
        <v>0</v>
      </c>
      <c r="C31" s="36">
        <f>'book stat'!BE204</f>
        <v>0</v>
      </c>
      <c r="D31" s="36">
        <f>'book stat'!BF204</f>
        <v>0</v>
      </c>
      <c r="E31" s="36">
        <f>'book stat'!BG204</f>
        <v>0</v>
      </c>
      <c r="F31" s="36">
        <f>'book stat'!BH204</f>
        <v>0</v>
      </c>
      <c r="G31" s="36">
        <f>'book stat'!BI204</f>
        <v>0</v>
      </c>
      <c r="H31" s="36">
        <f>'book stat'!BJ204</f>
        <v>0</v>
      </c>
      <c r="I31" s="36">
        <f>'book stat'!BK204</f>
        <v>0</v>
      </c>
      <c r="J31" s="36">
        <f>'book stat'!BL204</f>
        <v>0</v>
      </c>
      <c r="K31" s="36">
        <f>'book stat'!BM204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11.3632812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9" customWidth="1"/>
  </cols>
  <sheetData>
    <row r="1" spans="1:30" s="7" customFormat="1" ht="30" customHeight="1" thickBot="1" x14ac:dyDescent="0.4">
      <c r="A1" s="60" t="s">
        <v>114</v>
      </c>
      <c r="B1" s="17" t="s">
        <v>115</v>
      </c>
      <c r="C1" s="18" t="s">
        <v>116</v>
      </c>
      <c r="D1" s="153">
        <v>1</v>
      </c>
      <c r="E1" s="154"/>
      <c r="F1" s="68" t="s">
        <v>117</v>
      </c>
      <c r="G1" s="69" t="s">
        <v>8</v>
      </c>
      <c r="H1" s="155">
        <v>2</v>
      </c>
      <c r="I1" s="154"/>
      <c r="J1" s="68" t="s">
        <v>117</v>
      </c>
      <c r="K1" s="70" t="s">
        <v>8</v>
      </c>
      <c r="L1" s="155">
        <v>3</v>
      </c>
      <c r="M1" s="154"/>
      <c r="N1" s="68" t="s">
        <v>117</v>
      </c>
      <c r="O1" s="71" t="s">
        <v>8</v>
      </c>
      <c r="P1" s="153">
        <v>4</v>
      </c>
      <c r="Q1" s="154"/>
      <c r="R1" s="68" t="s">
        <v>117</v>
      </c>
      <c r="S1" s="70" t="s">
        <v>8</v>
      </c>
      <c r="T1" s="156">
        <v>5</v>
      </c>
      <c r="U1" s="157"/>
      <c r="V1" s="68" t="s">
        <v>117</v>
      </c>
      <c r="W1" s="70" t="s">
        <v>8</v>
      </c>
      <c r="X1" s="153">
        <v>6</v>
      </c>
      <c r="Y1" s="154"/>
      <c r="Z1" s="72" t="s">
        <v>118</v>
      </c>
      <c r="AA1" s="140">
        <f>SUM(AA2:AA171)</f>
        <v>0</v>
      </c>
      <c r="AB1" s="73" t="s">
        <v>119</v>
      </c>
      <c r="AC1" s="73" t="s">
        <v>120</v>
      </c>
      <c r="AD1" s="74" t="s">
        <v>121</v>
      </c>
    </row>
    <row r="2" spans="1:30" ht="30" customHeight="1" x14ac:dyDescent="0.35">
      <c r="A2" s="7">
        <v>18</v>
      </c>
      <c r="B2" s="7" t="s">
        <v>122</v>
      </c>
      <c r="C2" s="8">
        <v>46503</v>
      </c>
      <c r="D2" s="23"/>
      <c r="E2" s="61"/>
      <c r="F2" s="62"/>
      <c r="G2" s="126"/>
      <c r="H2" s="64"/>
      <c r="I2" s="61"/>
      <c r="J2" s="62"/>
      <c r="K2" s="63"/>
      <c r="L2" s="64"/>
      <c r="M2" s="61"/>
      <c r="N2" s="62"/>
      <c r="O2" s="62"/>
      <c r="P2" s="61"/>
      <c r="Q2" s="61"/>
      <c r="R2" s="62"/>
      <c r="S2" s="62"/>
      <c r="T2" s="61"/>
      <c r="U2" s="61"/>
      <c r="V2" s="62"/>
      <c r="W2" s="62"/>
      <c r="X2" s="65"/>
      <c r="Y2" s="65"/>
      <c r="Z2" s="149">
        <f>F2+J2+N2+R2+V2</f>
        <v>0</v>
      </c>
      <c r="AA2" s="141">
        <f t="shared" ref="AA2:AA33" si="0">COUNT(E2,I2,M2,Q2,U2,Y2)</f>
        <v>0</v>
      </c>
      <c r="AB2" s="61">
        <f t="shared" ref="AB2:AB33" si="1">IF(AND(D2&lt;&gt;E2,E2&gt;0),1,0)+IF(AND(H2&lt;&gt;I2,I2&gt;0),1,0)+IF(AND(L2&lt;&gt;M2,M2&gt;0),1,0)+IF(AND(P2&lt;&gt;Q2,Q2&gt;0),1,0)+IF(AND(T2&lt;&gt;U2,U2&gt;0),1,0)</f>
        <v>0</v>
      </c>
      <c r="AC2" s="66">
        <f t="shared" ref="AC2:AC33" si="2">IF(AND(D2&lt;&gt;E2,D2&gt;0),1,0)+IF(AND(H2&lt;&gt;I2,H2&gt;0),1,0)+IF(AND(L2&lt;&gt;M2,L2&gt;0),1,0)+IF(AND(P2&lt;&gt;Q2,P2&gt;0),1,0)+IF(AND(T2&lt;&gt;U2,T2&gt;0),1,0)</f>
        <v>0</v>
      </c>
      <c r="AD2" s="67"/>
    </row>
    <row r="3" spans="1:30" ht="30" customHeight="1" x14ac:dyDescent="0.35">
      <c r="A3" s="7"/>
      <c r="B3" s="7" t="s">
        <v>123</v>
      </c>
      <c r="C3" s="8">
        <v>46504</v>
      </c>
      <c r="D3" s="12"/>
      <c r="E3" s="9"/>
      <c r="F3" s="22"/>
      <c r="G3" s="21"/>
      <c r="H3" s="16"/>
      <c r="I3" s="9"/>
      <c r="J3" s="22"/>
      <c r="K3" s="21"/>
      <c r="L3" s="16"/>
      <c r="M3" s="9"/>
      <c r="N3" s="22"/>
      <c r="O3" s="22"/>
      <c r="P3" s="122"/>
      <c r="Q3" s="122"/>
      <c r="R3" s="62"/>
      <c r="S3" s="62"/>
      <c r="T3" s="122"/>
      <c r="U3" s="122"/>
      <c r="V3" s="125"/>
      <c r="W3" s="125"/>
      <c r="X3" s="24"/>
      <c r="Y3" s="24"/>
      <c r="Z3" s="149">
        <f t="shared" ref="Z3:Z66" si="3">F3+J3+N3+R3+V3</f>
        <v>0</v>
      </c>
      <c r="AA3" s="141">
        <f t="shared" si="0"/>
        <v>0</v>
      </c>
      <c r="AB3" s="9">
        <f t="shared" si="1"/>
        <v>0</v>
      </c>
      <c r="AC3" s="25">
        <f t="shared" si="2"/>
        <v>0</v>
      </c>
      <c r="AD3" s="20"/>
    </row>
    <row r="4" spans="1:30" ht="30" customHeight="1" x14ac:dyDescent="0.35">
      <c r="A4" s="7"/>
      <c r="B4" s="7" t="s">
        <v>124</v>
      </c>
      <c r="C4" s="8">
        <v>46505</v>
      </c>
      <c r="D4" s="12"/>
      <c r="E4" s="9"/>
      <c r="F4" s="22"/>
      <c r="G4" s="21"/>
      <c r="H4" s="16"/>
      <c r="I4" s="9"/>
      <c r="J4" s="22"/>
      <c r="K4" s="21"/>
      <c r="L4" s="16"/>
      <c r="M4" s="9"/>
      <c r="N4" s="22"/>
      <c r="O4" s="22"/>
      <c r="P4" s="122"/>
      <c r="Q4" s="122"/>
      <c r="R4" s="62"/>
      <c r="S4" s="62"/>
      <c r="T4" s="122"/>
      <c r="U4" s="122"/>
      <c r="V4" s="125"/>
      <c r="W4" s="125"/>
      <c r="X4" s="24"/>
      <c r="Y4" s="24"/>
      <c r="Z4" s="149">
        <f t="shared" si="3"/>
        <v>0</v>
      </c>
      <c r="AA4" s="141">
        <f t="shared" si="0"/>
        <v>0</v>
      </c>
      <c r="AB4" s="9">
        <f t="shared" si="1"/>
        <v>0</v>
      </c>
      <c r="AC4" s="25">
        <f t="shared" si="2"/>
        <v>0</v>
      </c>
      <c r="AD4" s="20"/>
    </row>
    <row r="5" spans="1:30" ht="30" customHeight="1" x14ac:dyDescent="0.35">
      <c r="A5" s="7"/>
      <c r="B5" s="7" t="s">
        <v>125</v>
      </c>
      <c r="C5" s="8">
        <v>46506</v>
      </c>
      <c r="D5" s="12"/>
      <c r="E5" s="9"/>
      <c r="F5" s="22"/>
      <c r="G5" s="21"/>
      <c r="H5" s="16"/>
      <c r="I5" s="9"/>
      <c r="J5" s="22"/>
      <c r="K5" s="21"/>
      <c r="L5" s="16"/>
      <c r="M5" s="9"/>
      <c r="N5" s="22"/>
      <c r="O5" s="22"/>
      <c r="P5" s="122"/>
      <c r="Q5" s="122"/>
      <c r="R5" s="62"/>
      <c r="S5" s="62"/>
      <c r="T5" s="9"/>
      <c r="U5" s="9"/>
      <c r="V5" s="125"/>
      <c r="W5" s="125"/>
      <c r="X5" s="24"/>
      <c r="Y5" s="24"/>
      <c r="Z5" s="149">
        <f t="shared" si="3"/>
        <v>0</v>
      </c>
      <c r="AA5" s="141">
        <f t="shared" si="0"/>
        <v>0</v>
      </c>
      <c r="AB5" s="9">
        <f t="shared" si="1"/>
        <v>0</v>
      </c>
      <c r="AC5" s="25">
        <f t="shared" si="2"/>
        <v>0</v>
      </c>
      <c r="AD5" s="20"/>
    </row>
    <row r="6" spans="1:30" ht="30" customHeight="1" x14ac:dyDescent="0.35">
      <c r="A6" s="7"/>
      <c r="B6" s="7" t="s">
        <v>126</v>
      </c>
      <c r="C6" s="8">
        <v>46507</v>
      </c>
      <c r="D6" s="12"/>
      <c r="E6" s="9"/>
      <c r="F6" s="22"/>
      <c r="G6" s="21"/>
      <c r="H6" s="16"/>
      <c r="I6" s="9"/>
      <c r="J6" s="22"/>
      <c r="K6" s="21"/>
      <c r="L6" s="16"/>
      <c r="M6" s="9"/>
      <c r="N6" s="22"/>
      <c r="O6" s="22"/>
      <c r="P6" s="123"/>
      <c r="Q6" s="122"/>
      <c r="R6" s="62"/>
      <c r="S6" s="62"/>
      <c r="T6" s="9"/>
      <c r="U6" s="9"/>
      <c r="V6" s="125"/>
      <c r="W6" s="125"/>
      <c r="X6" s="24"/>
      <c r="Y6" s="24"/>
      <c r="Z6" s="149">
        <f t="shared" si="3"/>
        <v>0</v>
      </c>
      <c r="AA6" s="141">
        <f t="shared" si="0"/>
        <v>0</v>
      </c>
      <c r="AB6" s="9">
        <f t="shared" si="1"/>
        <v>0</v>
      </c>
      <c r="AC6" s="25">
        <f t="shared" si="2"/>
        <v>0</v>
      </c>
      <c r="AD6" s="20"/>
    </row>
    <row r="7" spans="1:30" ht="30" customHeight="1" x14ac:dyDescent="0.35">
      <c r="A7" s="7"/>
      <c r="B7" s="7" t="s">
        <v>127</v>
      </c>
      <c r="C7" s="8">
        <v>46508</v>
      </c>
      <c r="D7" s="12"/>
      <c r="E7" s="9"/>
      <c r="F7" s="22"/>
      <c r="G7" s="21"/>
      <c r="H7" s="16"/>
      <c r="I7" s="9"/>
      <c r="J7" s="22"/>
      <c r="K7" s="21"/>
      <c r="L7" s="16"/>
      <c r="M7" s="9"/>
      <c r="N7" s="22"/>
      <c r="O7" s="22"/>
      <c r="P7" s="16"/>
      <c r="Q7" s="9"/>
      <c r="R7" s="62"/>
      <c r="S7" s="62"/>
      <c r="T7" s="9"/>
      <c r="U7" s="9"/>
      <c r="V7" s="125"/>
      <c r="W7" s="125"/>
      <c r="X7" s="24"/>
      <c r="Y7" s="24"/>
      <c r="Z7" s="149">
        <f t="shared" si="3"/>
        <v>0</v>
      </c>
      <c r="AA7" s="141">
        <f t="shared" si="0"/>
        <v>0</v>
      </c>
      <c r="AB7" s="9">
        <f t="shared" si="1"/>
        <v>0</v>
      </c>
      <c r="AC7" s="25">
        <f t="shared" si="2"/>
        <v>0</v>
      </c>
      <c r="AD7" s="20"/>
    </row>
    <row r="8" spans="1:30" ht="30" customHeight="1" x14ac:dyDescent="0.35">
      <c r="A8" s="7"/>
      <c r="B8" s="7" t="s">
        <v>128</v>
      </c>
      <c r="C8" s="8">
        <v>46509</v>
      </c>
      <c r="D8" s="12"/>
      <c r="E8" s="9"/>
      <c r="F8" s="22"/>
      <c r="G8" s="21"/>
      <c r="H8" s="16"/>
      <c r="I8" s="9"/>
      <c r="J8" s="22"/>
      <c r="K8" s="21"/>
      <c r="L8" s="16"/>
      <c r="M8" s="9"/>
      <c r="N8" s="22"/>
      <c r="O8" s="22"/>
      <c r="P8" s="9"/>
      <c r="Q8" s="9"/>
      <c r="R8" s="22"/>
      <c r="S8" s="22"/>
      <c r="T8" s="9"/>
      <c r="U8" s="9"/>
      <c r="V8" s="22"/>
      <c r="W8" s="22"/>
      <c r="X8" s="24"/>
      <c r="Y8" s="24"/>
      <c r="Z8" s="149">
        <f t="shared" si="3"/>
        <v>0</v>
      </c>
      <c r="AA8" s="141">
        <f t="shared" si="0"/>
        <v>0</v>
      </c>
      <c r="AB8" s="9">
        <f t="shared" si="1"/>
        <v>0</v>
      </c>
      <c r="AC8" s="25">
        <f t="shared" si="2"/>
        <v>0</v>
      </c>
      <c r="AD8" s="20"/>
    </row>
    <row r="9" spans="1:30" ht="30" customHeight="1" x14ac:dyDescent="0.35">
      <c r="A9" s="7">
        <v>19</v>
      </c>
      <c r="B9" s="7" t="s">
        <v>122</v>
      </c>
      <c r="C9" s="8">
        <v>46510</v>
      </c>
      <c r="D9" s="12"/>
      <c r="E9" s="9"/>
      <c r="F9" s="22"/>
      <c r="G9" s="21"/>
      <c r="H9" s="16"/>
      <c r="I9" s="9"/>
      <c r="J9" s="22"/>
      <c r="K9" s="21"/>
      <c r="L9" s="16"/>
      <c r="M9" s="9"/>
      <c r="N9" s="22"/>
      <c r="O9" s="22"/>
      <c r="P9" s="9"/>
      <c r="Q9" s="9"/>
      <c r="R9" s="22"/>
      <c r="S9" s="22"/>
      <c r="T9" s="9"/>
      <c r="U9" s="9"/>
      <c r="V9" s="22"/>
      <c r="W9" s="22"/>
      <c r="X9" s="24"/>
      <c r="Y9" s="24"/>
      <c r="Z9" s="149">
        <f t="shared" si="3"/>
        <v>0</v>
      </c>
      <c r="AA9" s="141">
        <f t="shared" si="0"/>
        <v>0</v>
      </c>
      <c r="AB9" s="9">
        <f t="shared" si="1"/>
        <v>0</v>
      </c>
      <c r="AC9" s="25">
        <f t="shared" si="2"/>
        <v>0</v>
      </c>
      <c r="AD9" s="20"/>
    </row>
    <row r="10" spans="1:30" ht="30" customHeight="1" x14ac:dyDescent="0.35">
      <c r="A10" s="7"/>
      <c r="B10" s="7" t="s">
        <v>123</v>
      </c>
      <c r="C10" s="8">
        <v>46511</v>
      </c>
      <c r="D10" s="12"/>
      <c r="E10" s="9"/>
      <c r="F10" s="22"/>
      <c r="G10" s="21"/>
      <c r="H10" s="16"/>
      <c r="I10" s="9"/>
      <c r="J10" s="22"/>
      <c r="K10" s="21"/>
      <c r="L10" s="16"/>
      <c r="M10" s="9"/>
      <c r="N10" s="22"/>
      <c r="O10" s="22"/>
      <c r="P10" s="9"/>
      <c r="Q10" s="9"/>
      <c r="R10" s="22"/>
      <c r="S10" s="22"/>
      <c r="T10" s="9"/>
      <c r="U10" s="9"/>
      <c r="V10" s="22"/>
      <c r="W10" s="22"/>
      <c r="X10" s="24"/>
      <c r="Y10" s="24"/>
      <c r="Z10" s="149">
        <f t="shared" si="3"/>
        <v>0</v>
      </c>
      <c r="AA10" s="141">
        <f t="shared" si="0"/>
        <v>0</v>
      </c>
      <c r="AB10" s="9">
        <f t="shared" si="1"/>
        <v>0</v>
      </c>
      <c r="AC10" s="25">
        <f t="shared" si="2"/>
        <v>0</v>
      </c>
      <c r="AD10" s="20"/>
    </row>
    <row r="11" spans="1:30" ht="30" customHeight="1" x14ac:dyDescent="0.35">
      <c r="A11" s="7"/>
      <c r="B11" s="7" t="s">
        <v>124</v>
      </c>
      <c r="C11" s="8">
        <v>46512</v>
      </c>
      <c r="D11" s="12"/>
      <c r="E11" s="9"/>
      <c r="F11" s="22"/>
      <c r="G11" s="21"/>
      <c r="H11" s="16"/>
      <c r="I11" s="9"/>
      <c r="J11" s="22"/>
      <c r="K11" s="21"/>
      <c r="L11" s="16"/>
      <c r="M11" s="9"/>
      <c r="N11" s="22"/>
      <c r="O11" s="22"/>
      <c r="P11" s="9"/>
      <c r="Q11" s="9"/>
      <c r="R11" s="22"/>
      <c r="S11" s="22"/>
      <c r="T11" s="9"/>
      <c r="U11" s="9"/>
      <c r="V11" s="22"/>
      <c r="W11" s="22"/>
      <c r="X11" s="24"/>
      <c r="Y11" s="24"/>
      <c r="Z11" s="149">
        <f t="shared" si="3"/>
        <v>0</v>
      </c>
      <c r="AA11" s="141">
        <f t="shared" si="0"/>
        <v>0</v>
      </c>
      <c r="AB11" s="9">
        <f t="shared" si="1"/>
        <v>0</v>
      </c>
      <c r="AC11" s="25">
        <f t="shared" si="2"/>
        <v>0</v>
      </c>
      <c r="AD11" s="20"/>
    </row>
    <row r="12" spans="1:30" ht="30" customHeight="1" x14ac:dyDescent="0.35">
      <c r="A12" s="7" t="s">
        <v>159</v>
      </c>
      <c r="B12" s="7" t="s">
        <v>125</v>
      </c>
      <c r="C12" s="8">
        <v>46513</v>
      </c>
      <c r="D12" s="12"/>
      <c r="E12" s="9"/>
      <c r="F12" s="22"/>
      <c r="G12" s="21"/>
      <c r="H12" s="16"/>
      <c r="I12" s="9"/>
      <c r="J12" s="22"/>
      <c r="K12" s="21"/>
      <c r="L12" s="16"/>
      <c r="M12" s="9"/>
      <c r="N12" s="22"/>
      <c r="O12" s="22"/>
      <c r="P12" s="9"/>
      <c r="Q12" s="9"/>
      <c r="R12" s="22"/>
      <c r="S12" s="22"/>
      <c r="T12" s="9"/>
      <c r="U12" s="9"/>
      <c r="V12" s="22"/>
      <c r="W12" s="22"/>
      <c r="X12" s="24"/>
      <c r="Y12" s="24"/>
      <c r="Z12" s="149">
        <f t="shared" si="3"/>
        <v>0</v>
      </c>
      <c r="AA12" s="141">
        <f t="shared" si="0"/>
        <v>0</v>
      </c>
      <c r="AB12" s="9">
        <f t="shared" si="1"/>
        <v>0</v>
      </c>
      <c r="AC12" s="25">
        <f t="shared" si="2"/>
        <v>0</v>
      </c>
      <c r="AD12" s="20"/>
    </row>
    <row r="13" spans="1:30" ht="30" customHeight="1" x14ac:dyDescent="0.35">
      <c r="A13" s="7"/>
      <c r="B13" s="7" t="s">
        <v>126</v>
      </c>
      <c r="C13" s="8">
        <v>46514</v>
      </c>
      <c r="D13" s="9"/>
      <c r="E13" s="9"/>
      <c r="F13" s="22"/>
      <c r="G13" s="21"/>
      <c r="H13" s="16"/>
      <c r="I13" s="9"/>
      <c r="J13" s="22"/>
      <c r="K13" s="21"/>
      <c r="L13" s="16"/>
      <c r="M13" s="9"/>
      <c r="N13" s="22"/>
      <c r="O13" s="22"/>
      <c r="P13" s="9"/>
      <c r="Q13" s="9"/>
      <c r="R13" s="22"/>
      <c r="S13" s="22"/>
      <c r="T13" s="9"/>
      <c r="U13" s="9"/>
      <c r="V13" s="22"/>
      <c r="W13" s="22"/>
      <c r="X13" s="24"/>
      <c r="Y13" s="24"/>
      <c r="Z13" s="149">
        <f t="shared" si="3"/>
        <v>0</v>
      </c>
      <c r="AA13" s="141">
        <f t="shared" si="0"/>
        <v>0</v>
      </c>
      <c r="AB13" s="9">
        <f t="shared" si="1"/>
        <v>0</v>
      </c>
      <c r="AC13" s="25">
        <f t="shared" si="2"/>
        <v>0</v>
      </c>
      <c r="AD13" s="20"/>
    </row>
    <row r="14" spans="1:30" ht="30" customHeight="1" x14ac:dyDescent="0.35">
      <c r="A14" s="7"/>
      <c r="B14" s="7" t="s">
        <v>127</v>
      </c>
      <c r="C14" s="8">
        <v>46515</v>
      </c>
      <c r="D14" s="9"/>
      <c r="E14" s="9"/>
      <c r="F14" s="22"/>
      <c r="G14" s="21"/>
      <c r="H14" s="16"/>
      <c r="I14" s="9"/>
      <c r="J14" s="22"/>
      <c r="K14" s="21"/>
      <c r="L14" s="16"/>
      <c r="M14" s="9"/>
      <c r="N14" s="22"/>
      <c r="O14" s="22"/>
      <c r="P14" s="9"/>
      <c r="Q14" s="9"/>
      <c r="R14" s="22"/>
      <c r="S14" s="22"/>
      <c r="T14" s="9"/>
      <c r="U14" s="9"/>
      <c r="V14" s="22"/>
      <c r="W14" s="22"/>
      <c r="X14" s="24"/>
      <c r="Y14" s="24"/>
      <c r="Z14" s="149">
        <f t="shared" si="3"/>
        <v>0</v>
      </c>
      <c r="AA14" s="141">
        <f t="shared" si="0"/>
        <v>0</v>
      </c>
      <c r="AB14" s="9">
        <f t="shared" si="1"/>
        <v>0</v>
      </c>
      <c r="AC14" s="25">
        <f t="shared" si="2"/>
        <v>0</v>
      </c>
      <c r="AD14" s="20"/>
    </row>
    <row r="15" spans="1:30" ht="30" customHeight="1" x14ac:dyDescent="0.35">
      <c r="A15" s="7"/>
      <c r="B15" s="7" t="s">
        <v>128</v>
      </c>
      <c r="C15" s="8">
        <v>46516</v>
      </c>
      <c r="D15" s="9"/>
      <c r="E15" s="9"/>
      <c r="F15" s="22"/>
      <c r="G15" s="21"/>
      <c r="H15" s="16"/>
      <c r="I15" s="9"/>
      <c r="J15" s="22"/>
      <c r="K15" s="21"/>
      <c r="L15" s="16"/>
      <c r="M15" s="9"/>
      <c r="N15" s="22"/>
      <c r="O15" s="22"/>
      <c r="P15" s="9"/>
      <c r="Q15" s="9"/>
      <c r="R15" s="22"/>
      <c r="S15" s="22"/>
      <c r="T15" s="9"/>
      <c r="U15" s="9"/>
      <c r="V15" s="22"/>
      <c r="W15" s="22"/>
      <c r="X15" s="24"/>
      <c r="Y15" s="24"/>
      <c r="Z15" s="149">
        <f t="shared" si="3"/>
        <v>0</v>
      </c>
      <c r="AA15" s="141">
        <f t="shared" si="0"/>
        <v>0</v>
      </c>
      <c r="AB15" s="9">
        <f t="shared" si="1"/>
        <v>0</v>
      </c>
      <c r="AC15" s="25">
        <f t="shared" si="2"/>
        <v>0</v>
      </c>
      <c r="AD15" s="20"/>
    </row>
    <row r="16" spans="1:30" ht="30" customHeight="1" thickBot="1" x14ac:dyDescent="0.4">
      <c r="A16" s="7">
        <v>20</v>
      </c>
      <c r="B16" s="7" t="s">
        <v>122</v>
      </c>
      <c r="C16" s="8">
        <v>46517</v>
      </c>
      <c r="D16" s="13"/>
      <c r="E16" s="14"/>
      <c r="F16" s="22"/>
      <c r="G16" s="21"/>
      <c r="H16" s="16"/>
      <c r="I16" s="9"/>
      <c r="J16" s="22"/>
      <c r="K16" s="21"/>
      <c r="L16" s="16"/>
      <c r="M16" s="9"/>
      <c r="N16" s="22"/>
      <c r="O16" s="22"/>
      <c r="P16" s="9"/>
      <c r="Q16" s="9"/>
      <c r="R16" s="22"/>
      <c r="S16" s="22"/>
      <c r="T16" s="9"/>
      <c r="U16" s="9"/>
      <c r="V16" s="22"/>
      <c r="W16" s="22"/>
      <c r="X16" s="24"/>
      <c r="Y16" s="24"/>
      <c r="Z16" s="149">
        <f t="shared" si="3"/>
        <v>0</v>
      </c>
      <c r="AA16" s="141">
        <f t="shared" si="0"/>
        <v>0</v>
      </c>
      <c r="AB16" s="9">
        <f t="shared" si="1"/>
        <v>0</v>
      </c>
      <c r="AC16" s="25">
        <f t="shared" si="2"/>
        <v>0</v>
      </c>
      <c r="AD16" s="20"/>
    </row>
    <row r="17" spans="1:30" ht="30" customHeight="1" x14ac:dyDescent="0.35">
      <c r="A17" s="7"/>
      <c r="B17" s="7" t="s">
        <v>123</v>
      </c>
      <c r="C17" s="8">
        <v>46518</v>
      </c>
      <c r="D17" s="23"/>
      <c r="E17" s="11"/>
      <c r="F17" s="22"/>
      <c r="G17" s="21"/>
      <c r="H17" s="16"/>
      <c r="I17" s="9"/>
      <c r="J17" s="22"/>
      <c r="K17" s="21"/>
      <c r="L17" s="16"/>
      <c r="M17" s="9"/>
      <c r="N17" s="22"/>
      <c r="O17" s="22"/>
      <c r="P17" s="9"/>
      <c r="Q17" s="9"/>
      <c r="R17" s="125"/>
      <c r="S17" s="125"/>
      <c r="T17" s="9"/>
      <c r="U17" s="9"/>
      <c r="V17" s="22"/>
      <c r="W17" s="22"/>
      <c r="X17" s="24"/>
      <c r="Y17" s="24"/>
      <c r="Z17" s="149">
        <f t="shared" si="3"/>
        <v>0</v>
      </c>
      <c r="AA17" s="141">
        <f t="shared" si="0"/>
        <v>0</v>
      </c>
      <c r="AB17" s="9">
        <f t="shared" si="1"/>
        <v>0</v>
      </c>
      <c r="AC17" s="25">
        <f t="shared" si="2"/>
        <v>0</v>
      </c>
      <c r="AD17" s="20"/>
    </row>
    <row r="18" spans="1:30" ht="30" customHeight="1" x14ac:dyDescent="0.35">
      <c r="A18" s="7"/>
      <c r="B18" s="7" t="s">
        <v>124</v>
      </c>
      <c r="C18" s="8">
        <v>46519</v>
      </c>
      <c r="D18" s="12"/>
      <c r="E18" s="10"/>
      <c r="F18" s="22"/>
      <c r="G18" s="21"/>
      <c r="H18" s="16"/>
      <c r="I18" s="9"/>
      <c r="J18" s="22"/>
      <c r="K18" s="21"/>
      <c r="L18" s="16"/>
      <c r="M18" s="9"/>
      <c r="N18" s="22"/>
      <c r="O18" s="22"/>
      <c r="P18" s="9"/>
      <c r="Q18" s="9"/>
      <c r="R18" s="125"/>
      <c r="S18" s="125"/>
      <c r="T18" s="9"/>
      <c r="U18" s="9"/>
      <c r="V18" s="22"/>
      <c r="W18" s="22"/>
      <c r="X18" s="24"/>
      <c r="Y18" s="24"/>
      <c r="Z18" s="149">
        <f t="shared" si="3"/>
        <v>0</v>
      </c>
      <c r="AA18" s="141">
        <f t="shared" si="0"/>
        <v>0</v>
      </c>
      <c r="AB18" s="9">
        <f t="shared" si="1"/>
        <v>0</v>
      </c>
      <c r="AC18" s="25">
        <f t="shared" si="2"/>
        <v>0</v>
      </c>
      <c r="AD18" s="20"/>
    </row>
    <row r="19" spans="1:30" ht="30" customHeight="1" x14ac:dyDescent="0.35">
      <c r="A19" s="7"/>
      <c r="B19" s="7" t="s">
        <v>125</v>
      </c>
      <c r="C19" s="8">
        <v>46520</v>
      </c>
      <c r="D19" s="12"/>
      <c r="E19" s="10"/>
      <c r="F19" s="22"/>
      <c r="G19" s="21"/>
      <c r="H19" s="9"/>
      <c r="I19" s="9"/>
      <c r="J19" s="125"/>
      <c r="K19" s="21"/>
      <c r="L19" s="16"/>
      <c r="M19" s="9"/>
      <c r="N19" s="22"/>
      <c r="O19" s="22"/>
      <c r="P19" s="9"/>
      <c r="Q19" s="9"/>
      <c r="R19" s="125"/>
      <c r="S19" s="125"/>
      <c r="T19" s="9"/>
      <c r="U19" s="9"/>
      <c r="V19" s="22"/>
      <c r="W19" s="22" t="str">
        <f>IFERROR(VLOOKUP(U19,Database!$A$2:$I$200,9,FALSE),"-")</f>
        <v>-</v>
      </c>
      <c r="X19" s="24"/>
      <c r="Y19" s="24"/>
      <c r="Z19" s="149">
        <f t="shared" si="3"/>
        <v>0</v>
      </c>
      <c r="AA19" s="141">
        <f t="shared" si="0"/>
        <v>0</v>
      </c>
      <c r="AB19" s="9">
        <f t="shared" si="1"/>
        <v>0</v>
      </c>
      <c r="AC19" s="25">
        <f t="shared" si="2"/>
        <v>0</v>
      </c>
      <c r="AD19" s="20"/>
    </row>
    <row r="20" spans="1:30" ht="30" customHeight="1" x14ac:dyDescent="0.35">
      <c r="A20" s="7"/>
      <c r="B20" s="7" t="s">
        <v>126</v>
      </c>
      <c r="C20" s="8">
        <v>46521</v>
      </c>
      <c r="D20" s="12"/>
      <c r="E20" s="10"/>
      <c r="F20" s="22"/>
      <c r="G20" s="21"/>
      <c r="H20" s="9"/>
      <c r="I20" s="9"/>
      <c r="J20" s="125"/>
      <c r="K20" s="21"/>
      <c r="L20" s="16"/>
      <c r="M20" s="9"/>
      <c r="N20" s="22"/>
      <c r="O20" s="22"/>
      <c r="P20" s="9"/>
      <c r="Q20" s="9"/>
      <c r="R20" s="125"/>
      <c r="S20" s="125"/>
      <c r="T20" s="9"/>
      <c r="U20" s="9"/>
      <c r="V20" s="22"/>
      <c r="W20" s="22"/>
      <c r="X20" s="24"/>
      <c r="Y20" s="24"/>
      <c r="Z20" s="149">
        <f t="shared" si="3"/>
        <v>0</v>
      </c>
      <c r="AA20" s="141">
        <f t="shared" si="0"/>
        <v>0</v>
      </c>
      <c r="AB20" s="9">
        <f t="shared" si="1"/>
        <v>0</v>
      </c>
      <c r="AC20" s="25">
        <f t="shared" si="2"/>
        <v>0</v>
      </c>
      <c r="AD20" s="20"/>
    </row>
    <row r="21" spans="1:30" ht="30" customHeight="1" x14ac:dyDescent="0.35">
      <c r="A21" s="7"/>
      <c r="B21" s="7" t="s">
        <v>127</v>
      </c>
      <c r="C21" s="8">
        <v>46522</v>
      </c>
      <c r="D21" s="12"/>
      <c r="E21" s="10"/>
      <c r="F21" s="22"/>
      <c r="G21" s="21"/>
      <c r="H21" s="9"/>
      <c r="I21" s="9"/>
      <c r="J21" s="125"/>
      <c r="K21" s="21"/>
      <c r="L21" s="16"/>
      <c r="M21" s="9"/>
      <c r="N21" s="22"/>
      <c r="O21" s="22"/>
      <c r="P21" s="9"/>
      <c r="Q21" s="9"/>
      <c r="R21" s="125"/>
      <c r="S21" s="125"/>
      <c r="T21" s="9"/>
      <c r="U21" s="9"/>
      <c r="V21" s="22"/>
      <c r="W21" s="22"/>
      <c r="X21" s="24"/>
      <c r="Y21" s="24"/>
      <c r="Z21" s="149">
        <f t="shared" si="3"/>
        <v>0</v>
      </c>
      <c r="AA21" s="141">
        <f t="shared" si="0"/>
        <v>0</v>
      </c>
      <c r="AB21" s="9">
        <f t="shared" si="1"/>
        <v>0</v>
      </c>
      <c r="AC21" s="25">
        <f t="shared" si="2"/>
        <v>0</v>
      </c>
      <c r="AD21" s="20"/>
    </row>
    <row r="22" spans="1:30" ht="30" customHeight="1" x14ac:dyDescent="0.35">
      <c r="A22" s="7" t="s">
        <v>157</v>
      </c>
      <c r="B22" s="7" t="s">
        <v>128</v>
      </c>
      <c r="C22" s="8">
        <v>46523</v>
      </c>
      <c r="D22" s="12"/>
      <c r="E22" s="10"/>
      <c r="F22" s="22"/>
      <c r="G22" s="21"/>
      <c r="H22" s="9"/>
      <c r="I22" s="9"/>
      <c r="J22" s="125"/>
      <c r="K22" s="21"/>
      <c r="L22" s="16"/>
      <c r="M22" s="9"/>
      <c r="N22" s="22"/>
      <c r="O22" s="22"/>
      <c r="P22" s="9"/>
      <c r="Q22" s="9"/>
      <c r="R22" s="125"/>
      <c r="S22" s="125"/>
      <c r="T22" s="9"/>
      <c r="U22" s="9"/>
      <c r="V22" s="22"/>
      <c r="W22" s="22"/>
      <c r="X22" s="24"/>
      <c r="Y22" s="24"/>
      <c r="Z22" s="149">
        <f t="shared" si="3"/>
        <v>0</v>
      </c>
      <c r="AA22" s="141">
        <f t="shared" si="0"/>
        <v>0</v>
      </c>
      <c r="AB22" s="9">
        <f t="shared" si="1"/>
        <v>0</v>
      </c>
      <c r="AC22" s="25">
        <f t="shared" si="2"/>
        <v>0</v>
      </c>
      <c r="AD22" s="20"/>
    </row>
    <row r="23" spans="1:30" ht="30" customHeight="1" x14ac:dyDescent="0.35">
      <c r="A23" s="7" t="s">
        <v>158</v>
      </c>
      <c r="B23" s="7" t="s">
        <v>122</v>
      </c>
      <c r="C23" s="8">
        <v>46524</v>
      </c>
      <c r="D23" s="12"/>
      <c r="E23" s="10"/>
      <c r="F23" s="22"/>
      <c r="G23" s="21"/>
      <c r="H23" s="16"/>
      <c r="I23" s="9"/>
      <c r="J23" s="125"/>
      <c r="K23" s="21"/>
      <c r="L23" s="16"/>
      <c r="M23" s="9"/>
      <c r="N23" s="22"/>
      <c r="O23" s="22"/>
      <c r="P23" s="9"/>
      <c r="Q23" s="9"/>
      <c r="R23" s="125"/>
      <c r="S23" s="125"/>
      <c r="T23" s="9"/>
      <c r="U23" s="9"/>
      <c r="V23" s="22"/>
      <c r="W23" s="22"/>
      <c r="X23" s="24"/>
      <c r="Y23" s="24"/>
      <c r="Z23" s="149">
        <f t="shared" si="3"/>
        <v>0</v>
      </c>
      <c r="AA23" s="141">
        <f t="shared" si="0"/>
        <v>0</v>
      </c>
      <c r="AB23" s="9">
        <f t="shared" si="1"/>
        <v>0</v>
      </c>
      <c r="AC23" s="25">
        <f t="shared" si="2"/>
        <v>0</v>
      </c>
      <c r="AD23" s="20"/>
    </row>
    <row r="24" spans="1:30" ht="30" customHeight="1" x14ac:dyDescent="0.35">
      <c r="A24" s="7"/>
      <c r="B24" s="7" t="s">
        <v>123</v>
      </c>
      <c r="C24" s="8">
        <v>46525</v>
      </c>
      <c r="D24" s="12"/>
      <c r="E24" s="10"/>
      <c r="F24" s="22"/>
      <c r="G24" s="21"/>
      <c r="H24" s="16"/>
      <c r="I24" s="9"/>
      <c r="J24" s="22"/>
      <c r="K24" s="21"/>
      <c r="L24" s="16"/>
      <c r="M24" s="9"/>
      <c r="N24" s="22"/>
      <c r="O24" s="22"/>
      <c r="P24" s="9"/>
      <c r="Q24" s="9"/>
      <c r="R24" s="125"/>
      <c r="S24" s="125"/>
      <c r="T24" s="9"/>
      <c r="U24" s="9"/>
      <c r="V24" s="22"/>
      <c r="W24" s="22"/>
      <c r="X24" s="24"/>
      <c r="Y24" s="24"/>
      <c r="Z24" s="149">
        <f t="shared" si="3"/>
        <v>0</v>
      </c>
      <c r="AA24" s="141">
        <f t="shared" si="0"/>
        <v>0</v>
      </c>
      <c r="AB24" s="9">
        <f t="shared" si="1"/>
        <v>0</v>
      </c>
      <c r="AC24" s="25">
        <f t="shared" si="2"/>
        <v>0</v>
      </c>
      <c r="AD24" s="20"/>
    </row>
    <row r="25" spans="1:30" ht="30" customHeight="1" x14ac:dyDescent="0.35">
      <c r="A25" s="7"/>
      <c r="B25" s="7" t="s">
        <v>124</v>
      </c>
      <c r="C25" s="8">
        <v>46526</v>
      </c>
      <c r="D25" s="12"/>
      <c r="E25" s="10"/>
      <c r="F25" s="22"/>
      <c r="G25" s="21"/>
      <c r="H25" s="16"/>
      <c r="I25" s="9"/>
      <c r="J25" s="22"/>
      <c r="K25" s="21"/>
      <c r="L25" s="16"/>
      <c r="M25" s="9"/>
      <c r="N25" s="22"/>
      <c r="O25" s="22"/>
      <c r="P25" s="9"/>
      <c r="Q25" s="9"/>
      <c r="R25" s="125"/>
      <c r="S25" s="125"/>
      <c r="T25" s="9"/>
      <c r="U25" s="9"/>
      <c r="V25" s="22"/>
      <c r="W25" s="22"/>
      <c r="X25" s="24"/>
      <c r="Y25" s="24"/>
      <c r="Z25" s="149">
        <f t="shared" si="3"/>
        <v>0</v>
      </c>
      <c r="AA25" s="141">
        <f t="shared" si="0"/>
        <v>0</v>
      </c>
      <c r="AB25" s="9">
        <f t="shared" si="1"/>
        <v>0</v>
      </c>
      <c r="AC25" s="25">
        <f t="shared" si="2"/>
        <v>0</v>
      </c>
      <c r="AD25" s="20"/>
    </row>
    <row r="26" spans="1:30" ht="30" customHeight="1" x14ac:dyDescent="0.35">
      <c r="A26" s="7"/>
      <c r="B26" s="7" t="s">
        <v>125</v>
      </c>
      <c r="C26" s="8">
        <v>46527</v>
      </c>
      <c r="D26" s="12"/>
      <c r="E26" s="10"/>
      <c r="F26" s="22"/>
      <c r="G26" s="21"/>
      <c r="H26" s="16"/>
      <c r="I26" s="9"/>
      <c r="J26" s="22"/>
      <c r="K26" s="21"/>
      <c r="L26" s="16"/>
      <c r="M26" s="9"/>
      <c r="N26" s="22"/>
      <c r="O26" s="22"/>
      <c r="P26" s="9"/>
      <c r="Q26" s="9"/>
      <c r="R26" s="125"/>
      <c r="S26" s="125"/>
      <c r="T26" s="9"/>
      <c r="U26" s="9"/>
      <c r="V26" s="22"/>
      <c r="W26" s="22"/>
      <c r="X26" s="24"/>
      <c r="Y26" s="24"/>
      <c r="Z26" s="149">
        <f t="shared" si="3"/>
        <v>0</v>
      </c>
      <c r="AA26" s="141">
        <f t="shared" si="0"/>
        <v>0</v>
      </c>
      <c r="AB26" s="9">
        <f t="shared" si="1"/>
        <v>0</v>
      </c>
      <c r="AC26" s="25">
        <f t="shared" si="2"/>
        <v>0</v>
      </c>
      <c r="AD26" s="20"/>
    </row>
    <row r="27" spans="1:30" ht="30" customHeight="1" x14ac:dyDescent="0.35">
      <c r="A27" s="7"/>
      <c r="B27" s="7" t="s">
        <v>126</v>
      </c>
      <c r="C27" s="8">
        <v>46528</v>
      </c>
      <c r="D27" s="12"/>
      <c r="E27" s="10"/>
      <c r="F27" s="22"/>
      <c r="G27" s="21"/>
      <c r="H27" s="16"/>
      <c r="I27" s="9"/>
      <c r="J27" s="22"/>
      <c r="K27" s="21"/>
      <c r="L27" s="16"/>
      <c r="M27" s="9"/>
      <c r="N27" s="22"/>
      <c r="O27" s="22"/>
      <c r="P27" s="9"/>
      <c r="Q27" s="9"/>
      <c r="R27" s="125"/>
      <c r="S27" s="125"/>
      <c r="T27" s="9"/>
      <c r="U27" s="9"/>
      <c r="V27" s="22"/>
      <c r="W27" s="22"/>
      <c r="X27" s="24"/>
      <c r="Y27" s="24"/>
      <c r="Z27" s="149">
        <f t="shared" si="3"/>
        <v>0</v>
      </c>
      <c r="AA27" s="141">
        <f t="shared" si="0"/>
        <v>0</v>
      </c>
      <c r="AB27" s="9">
        <f t="shared" si="1"/>
        <v>0</v>
      </c>
      <c r="AC27" s="25">
        <f t="shared" si="2"/>
        <v>0</v>
      </c>
      <c r="AD27" s="20"/>
    </row>
    <row r="28" spans="1:30" ht="30" customHeight="1" x14ac:dyDescent="0.35">
      <c r="A28" s="7"/>
      <c r="B28" s="7" t="s">
        <v>127</v>
      </c>
      <c r="C28" s="8">
        <v>46529</v>
      </c>
      <c r="D28" s="12"/>
      <c r="E28" s="10"/>
      <c r="F28" s="22"/>
      <c r="G28" s="21"/>
      <c r="H28" s="16"/>
      <c r="I28" s="9"/>
      <c r="J28" s="22"/>
      <c r="K28" s="21"/>
      <c r="L28" s="16"/>
      <c r="M28" s="9"/>
      <c r="N28" s="22"/>
      <c r="O28" s="22"/>
      <c r="P28" s="9"/>
      <c r="Q28" s="9"/>
      <c r="R28" s="125"/>
      <c r="S28" s="125"/>
      <c r="T28" s="9"/>
      <c r="U28" s="9"/>
      <c r="V28" s="22"/>
      <c r="W28" s="22"/>
      <c r="X28" s="24"/>
      <c r="Y28" s="24"/>
      <c r="Z28" s="149">
        <f t="shared" si="3"/>
        <v>0</v>
      </c>
      <c r="AA28" s="141">
        <f t="shared" si="0"/>
        <v>0</v>
      </c>
      <c r="AB28" s="9">
        <f t="shared" si="1"/>
        <v>0</v>
      </c>
      <c r="AC28" s="25">
        <f t="shared" si="2"/>
        <v>0</v>
      </c>
      <c r="AD28" s="20"/>
    </row>
    <row r="29" spans="1:30" ht="30" customHeight="1" x14ac:dyDescent="0.35">
      <c r="A29" s="7"/>
      <c r="B29" s="7" t="s">
        <v>128</v>
      </c>
      <c r="C29" s="8">
        <v>46530</v>
      </c>
      <c r="D29" s="12"/>
      <c r="E29" s="10"/>
      <c r="F29" s="22"/>
      <c r="G29" s="21"/>
      <c r="H29" s="16"/>
      <c r="I29" s="9"/>
      <c r="J29" s="22"/>
      <c r="K29" s="21"/>
      <c r="L29" s="16"/>
      <c r="M29" s="9"/>
      <c r="N29" s="22"/>
      <c r="O29" s="22"/>
      <c r="P29" s="9"/>
      <c r="Q29" s="9"/>
      <c r="R29" s="125"/>
      <c r="S29" s="125"/>
      <c r="T29" s="9"/>
      <c r="U29" s="9"/>
      <c r="V29" s="22"/>
      <c r="W29" s="22"/>
      <c r="X29" s="24"/>
      <c r="Y29" s="24"/>
      <c r="Z29" s="149">
        <f t="shared" si="3"/>
        <v>0</v>
      </c>
      <c r="AA29" s="141">
        <f t="shared" si="0"/>
        <v>0</v>
      </c>
      <c r="AB29" s="9">
        <f t="shared" si="1"/>
        <v>0</v>
      </c>
      <c r="AC29" s="25">
        <f t="shared" si="2"/>
        <v>0</v>
      </c>
      <c r="AD29" s="20"/>
    </row>
    <row r="30" spans="1:30" ht="30" customHeight="1" x14ac:dyDescent="0.35">
      <c r="A30" s="7">
        <v>22</v>
      </c>
      <c r="B30" s="7" t="s">
        <v>122</v>
      </c>
      <c r="C30" s="8">
        <v>46531</v>
      </c>
      <c r="D30" s="12"/>
      <c r="E30" s="10"/>
      <c r="F30" s="125"/>
      <c r="G30" s="145"/>
      <c r="H30" s="16"/>
      <c r="I30" s="9"/>
      <c r="J30" s="22"/>
      <c r="K30" s="21"/>
      <c r="L30" s="16"/>
      <c r="M30" s="9"/>
      <c r="N30" s="22"/>
      <c r="O30" s="22"/>
      <c r="P30" s="9"/>
      <c r="Q30" s="9"/>
      <c r="R30" s="125"/>
      <c r="S30" s="125"/>
      <c r="T30" s="9"/>
      <c r="U30" s="9"/>
      <c r="V30" s="22"/>
      <c r="W30" s="22"/>
      <c r="X30" s="24"/>
      <c r="Y30" s="24"/>
      <c r="Z30" s="149">
        <f t="shared" si="3"/>
        <v>0</v>
      </c>
      <c r="AA30" s="141">
        <f t="shared" si="0"/>
        <v>0</v>
      </c>
      <c r="AB30" s="9">
        <f t="shared" si="1"/>
        <v>0</v>
      </c>
      <c r="AC30" s="25">
        <f t="shared" si="2"/>
        <v>0</v>
      </c>
      <c r="AD30" s="20"/>
    </row>
    <row r="31" spans="1:30" ht="30" customHeight="1" x14ac:dyDescent="0.35">
      <c r="A31" s="7"/>
      <c r="B31" s="7" t="s">
        <v>123</v>
      </c>
      <c r="C31" s="8">
        <v>46532</v>
      </c>
      <c r="D31" s="10"/>
      <c r="E31" s="10"/>
      <c r="F31" s="125"/>
      <c r="G31" s="145"/>
      <c r="H31" s="16"/>
      <c r="I31" s="9"/>
      <c r="J31" s="22"/>
      <c r="K31" s="21"/>
      <c r="L31" s="9"/>
      <c r="M31" s="9"/>
      <c r="N31" s="22"/>
      <c r="O31" s="22"/>
      <c r="P31" s="9"/>
      <c r="Q31" s="9"/>
      <c r="R31" s="125"/>
      <c r="S31" s="125"/>
      <c r="T31" s="9"/>
      <c r="U31" s="9"/>
      <c r="V31" s="22"/>
      <c r="W31" s="22"/>
      <c r="X31" s="24"/>
      <c r="Y31" s="24"/>
      <c r="Z31" s="149">
        <f t="shared" si="3"/>
        <v>0</v>
      </c>
      <c r="AA31" s="141">
        <f t="shared" si="0"/>
        <v>0</v>
      </c>
      <c r="AB31" s="9">
        <f t="shared" si="1"/>
        <v>0</v>
      </c>
      <c r="AC31" s="25">
        <f t="shared" si="2"/>
        <v>0</v>
      </c>
      <c r="AD31" s="20"/>
    </row>
    <row r="32" spans="1:30" ht="30" customHeight="1" x14ac:dyDescent="0.35">
      <c r="A32" s="7"/>
      <c r="B32" s="7" t="s">
        <v>124</v>
      </c>
      <c r="C32" s="8">
        <v>46533</v>
      </c>
      <c r="D32" s="10"/>
      <c r="E32" s="10"/>
      <c r="F32" s="125"/>
      <c r="G32" s="145"/>
      <c r="H32" s="16"/>
      <c r="I32" s="9"/>
      <c r="J32" s="22"/>
      <c r="K32" s="21"/>
      <c r="L32" s="9"/>
      <c r="M32" s="9"/>
      <c r="N32" s="22"/>
      <c r="O32" s="22"/>
      <c r="P32" s="9"/>
      <c r="Q32" s="9"/>
      <c r="R32" s="125"/>
      <c r="S32" s="125"/>
      <c r="T32" s="9"/>
      <c r="U32" s="9"/>
      <c r="V32" s="22"/>
      <c r="W32" s="22"/>
      <c r="X32" s="24"/>
      <c r="Y32" s="24"/>
      <c r="Z32" s="149">
        <f t="shared" si="3"/>
        <v>0</v>
      </c>
      <c r="AA32" s="141">
        <f t="shared" si="0"/>
        <v>0</v>
      </c>
      <c r="AB32" s="9">
        <f t="shared" si="1"/>
        <v>0</v>
      </c>
      <c r="AC32" s="25">
        <f t="shared" si="2"/>
        <v>0</v>
      </c>
      <c r="AD32" s="20"/>
    </row>
    <row r="33" spans="1:30" ht="30" customHeight="1" x14ac:dyDescent="0.35">
      <c r="A33" s="7"/>
      <c r="B33" s="7" t="s">
        <v>125</v>
      </c>
      <c r="C33" s="8">
        <v>46534</v>
      </c>
      <c r="D33" s="10"/>
      <c r="E33" s="10"/>
      <c r="F33" s="125"/>
      <c r="G33" s="145"/>
      <c r="H33" s="16"/>
      <c r="I33" s="9"/>
      <c r="J33" s="22"/>
      <c r="K33" s="21"/>
      <c r="L33" s="9"/>
      <c r="M33" s="9"/>
      <c r="N33" s="22"/>
      <c r="O33" s="22"/>
      <c r="P33" s="9"/>
      <c r="Q33" s="9"/>
      <c r="R33" s="125"/>
      <c r="S33" s="125"/>
      <c r="T33" s="9"/>
      <c r="U33" s="9"/>
      <c r="V33" s="22"/>
      <c r="W33" s="22"/>
      <c r="X33" s="24"/>
      <c r="Y33" s="24"/>
      <c r="Z33" s="149">
        <f t="shared" si="3"/>
        <v>0</v>
      </c>
      <c r="AA33" s="141">
        <f t="shared" si="0"/>
        <v>0</v>
      </c>
      <c r="AB33" s="9">
        <f t="shared" si="1"/>
        <v>0</v>
      </c>
      <c r="AC33" s="25">
        <f t="shared" si="2"/>
        <v>0</v>
      </c>
      <c r="AD33" s="20"/>
    </row>
    <row r="34" spans="1:30" ht="30" customHeight="1" x14ac:dyDescent="0.35">
      <c r="A34" s="7"/>
      <c r="B34" s="7" t="s">
        <v>126</v>
      </c>
      <c r="C34" s="8">
        <v>46535</v>
      </c>
      <c r="D34" s="10"/>
      <c r="E34" s="10"/>
      <c r="F34" s="125"/>
      <c r="G34" s="145"/>
      <c r="H34" s="16"/>
      <c r="I34" s="9"/>
      <c r="J34" s="22"/>
      <c r="K34" s="21"/>
      <c r="L34" s="9"/>
      <c r="M34" s="9"/>
      <c r="N34" s="22"/>
      <c r="O34" s="22"/>
      <c r="P34" s="9"/>
      <c r="Q34" s="9"/>
      <c r="R34" s="125"/>
      <c r="S34" s="125"/>
      <c r="T34" s="9"/>
      <c r="U34" s="9"/>
      <c r="V34" s="22"/>
      <c r="W34" s="22"/>
      <c r="X34" s="24"/>
      <c r="Y34" s="24"/>
      <c r="Z34" s="149">
        <f t="shared" si="3"/>
        <v>0</v>
      </c>
      <c r="AA34" s="141">
        <f t="shared" ref="AA34:AA65" si="4">COUNT(E34,I34,M34,Q34,U34,Y34)</f>
        <v>0</v>
      </c>
      <c r="AB34" s="9">
        <f t="shared" ref="AB34:AB65" si="5">IF(AND(D34&lt;&gt;E34,E34&gt;0),1,0)+IF(AND(H34&lt;&gt;I34,I34&gt;0),1,0)+IF(AND(L34&lt;&gt;M34,M34&gt;0),1,0)+IF(AND(P34&lt;&gt;Q34,Q34&gt;0),1,0)+IF(AND(T34&lt;&gt;U34,U34&gt;0),1,0)</f>
        <v>0</v>
      </c>
      <c r="AC34" s="25">
        <f t="shared" ref="AC34:AC65" si="6">IF(AND(D34&lt;&gt;E34,D34&gt;0),1,0)+IF(AND(H34&lt;&gt;I34,H34&gt;0),1,0)+IF(AND(L34&lt;&gt;M34,L34&gt;0),1,0)+IF(AND(P34&lt;&gt;Q34,P34&gt;0),1,0)+IF(AND(T34&lt;&gt;U34,T34&gt;0),1,0)</f>
        <v>0</v>
      </c>
      <c r="AD34" s="20"/>
    </row>
    <row r="35" spans="1:30" ht="30" customHeight="1" x14ac:dyDescent="0.35">
      <c r="A35" s="7"/>
      <c r="B35" s="7" t="s">
        <v>127</v>
      </c>
      <c r="C35" s="8">
        <v>46536</v>
      </c>
      <c r="D35" s="10"/>
      <c r="E35" s="10"/>
      <c r="F35" s="125"/>
      <c r="G35" s="145"/>
      <c r="H35" s="16"/>
      <c r="I35" s="9"/>
      <c r="J35" s="22"/>
      <c r="K35" s="21"/>
      <c r="L35" s="9"/>
      <c r="M35" s="9"/>
      <c r="N35" s="22"/>
      <c r="O35" s="22"/>
      <c r="P35" s="9"/>
      <c r="Q35" s="9"/>
      <c r="R35" s="125"/>
      <c r="S35" s="125"/>
      <c r="T35" s="9"/>
      <c r="U35" s="9"/>
      <c r="V35" s="22"/>
      <c r="W35" s="22"/>
      <c r="X35" s="24"/>
      <c r="Y35" s="24"/>
      <c r="Z35" s="149">
        <f t="shared" si="3"/>
        <v>0</v>
      </c>
      <c r="AA35" s="141">
        <f t="shared" si="4"/>
        <v>0</v>
      </c>
      <c r="AB35" s="9">
        <f t="shared" si="5"/>
        <v>0</v>
      </c>
      <c r="AC35" s="25">
        <f t="shared" si="6"/>
        <v>0</v>
      </c>
      <c r="AD35" s="20"/>
    </row>
    <row r="36" spans="1:30" ht="30" customHeight="1" x14ac:dyDescent="0.35">
      <c r="A36" s="7"/>
      <c r="B36" s="7" t="s">
        <v>128</v>
      </c>
      <c r="C36" s="8">
        <v>46537</v>
      </c>
      <c r="D36" s="10"/>
      <c r="E36" s="10"/>
      <c r="F36" s="125"/>
      <c r="G36" s="145"/>
      <c r="H36" s="16"/>
      <c r="I36" s="9"/>
      <c r="J36" s="22"/>
      <c r="K36" s="21"/>
      <c r="L36" s="9"/>
      <c r="M36" s="9"/>
      <c r="N36" s="22"/>
      <c r="O36" s="22"/>
      <c r="P36" s="9"/>
      <c r="Q36" s="9"/>
      <c r="R36" s="125"/>
      <c r="S36" s="125"/>
      <c r="T36" s="9"/>
      <c r="U36" s="9"/>
      <c r="V36" s="22"/>
      <c r="W36" s="22"/>
      <c r="X36" s="24"/>
      <c r="Y36" s="24"/>
      <c r="Z36" s="149">
        <f t="shared" si="3"/>
        <v>0</v>
      </c>
      <c r="AA36" s="141">
        <f t="shared" si="4"/>
        <v>0</v>
      </c>
      <c r="AB36" s="9">
        <f t="shared" si="5"/>
        <v>0</v>
      </c>
      <c r="AC36" s="25">
        <f t="shared" si="6"/>
        <v>0</v>
      </c>
      <c r="AD36" s="20"/>
    </row>
    <row r="37" spans="1:30" ht="30" customHeight="1" x14ac:dyDescent="0.35">
      <c r="A37" s="7">
        <v>23</v>
      </c>
      <c r="B37" s="7" t="s">
        <v>122</v>
      </c>
      <c r="C37" s="8">
        <v>46538</v>
      </c>
      <c r="D37" s="12"/>
      <c r="E37" s="10"/>
      <c r="F37" s="125"/>
      <c r="G37" s="145"/>
      <c r="H37" s="16"/>
      <c r="I37" s="9"/>
      <c r="J37" s="22"/>
      <c r="K37" s="21"/>
      <c r="L37" s="9"/>
      <c r="M37" s="9"/>
      <c r="N37" s="22"/>
      <c r="O37" s="22"/>
      <c r="P37" s="9"/>
      <c r="Q37" s="9"/>
      <c r="R37" s="125"/>
      <c r="S37" s="125"/>
      <c r="T37" s="9"/>
      <c r="U37" s="9"/>
      <c r="V37" s="22"/>
      <c r="W37" s="22"/>
      <c r="X37" s="24"/>
      <c r="Y37" s="24"/>
      <c r="Z37" s="149">
        <f t="shared" si="3"/>
        <v>0</v>
      </c>
      <c r="AA37" s="141">
        <f t="shared" si="4"/>
        <v>0</v>
      </c>
      <c r="AB37" s="9">
        <f t="shared" si="5"/>
        <v>0</v>
      </c>
      <c r="AC37" s="25">
        <f t="shared" si="6"/>
        <v>0</v>
      </c>
      <c r="AD37" s="20"/>
    </row>
    <row r="38" spans="1:30" ht="30" customHeight="1" x14ac:dyDescent="0.35">
      <c r="A38" s="7"/>
      <c r="B38" s="7" t="s">
        <v>123</v>
      </c>
      <c r="C38" s="8">
        <v>46539</v>
      </c>
      <c r="D38" s="12"/>
      <c r="E38" s="10"/>
      <c r="F38" s="125"/>
      <c r="G38" s="145"/>
      <c r="H38" s="16"/>
      <c r="I38" s="9"/>
      <c r="J38" s="22"/>
      <c r="K38" s="21"/>
      <c r="L38" s="9"/>
      <c r="M38" s="9"/>
      <c r="N38" s="22"/>
      <c r="O38" s="22"/>
      <c r="P38" s="9"/>
      <c r="Q38" s="9"/>
      <c r="R38" s="125"/>
      <c r="S38" s="125"/>
      <c r="T38" s="9"/>
      <c r="U38" s="9"/>
      <c r="V38" s="22"/>
      <c r="W38" s="22"/>
      <c r="X38" s="24"/>
      <c r="Y38" s="24"/>
      <c r="Z38" s="149">
        <f t="shared" si="3"/>
        <v>0</v>
      </c>
      <c r="AA38" s="141">
        <f t="shared" si="4"/>
        <v>0</v>
      </c>
      <c r="AB38" s="9">
        <f t="shared" si="5"/>
        <v>0</v>
      </c>
      <c r="AC38" s="25">
        <f t="shared" si="6"/>
        <v>0</v>
      </c>
      <c r="AD38" s="20"/>
    </row>
    <row r="39" spans="1:30" ht="30" customHeight="1" x14ac:dyDescent="0.35">
      <c r="A39" s="7"/>
      <c r="B39" s="7" t="s">
        <v>124</v>
      </c>
      <c r="C39" s="8">
        <v>46540</v>
      </c>
      <c r="D39" s="12"/>
      <c r="E39" s="10"/>
      <c r="F39" s="125"/>
      <c r="G39" s="145"/>
      <c r="H39" s="16"/>
      <c r="I39" s="9"/>
      <c r="J39" s="22"/>
      <c r="K39" s="21"/>
      <c r="L39" s="9"/>
      <c r="M39" s="9"/>
      <c r="N39" s="22"/>
      <c r="O39" s="22"/>
      <c r="P39" s="9"/>
      <c r="Q39" s="9"/>
      <c r="R39" s="125"/>
      <c r="S39" s="125"/>
      <c r="T39" s="9"/>
      <c r="U39" s="9"/>
      <c r="V39" s="22"/>
      <c r="W39" s="22"/>
      <c r="X39" s="24"/>
      <c r="Y39" s="24"/>
      <c r="Z39" s="149">
        <f t="shared" si="3"/>
        <v>0</v>
      </c>
      <c r="AA39" s="141">
        <f t="shared" si="4"/>
        <v>0</v>
      </c>
      <c r="AB39" s="9">
        <f t="shared" si="5"/>
        <v>0</v>
      </c>
      <c r="AC39" s="25">
        <f t="shared" si="6"/>
        <v>0</v>
      </c>
      <c r="AD39" s="20"/>
    </row>
    <row r="40" spans="1:30" ht="30" customHeight="1" x14ac:dyDescent="0.35">
      <c r="A40" s="7"/>
      <c r="B40" s="7" t="s">
        <v>125</v>
      </c>
      <c r="C40" s="8">
        <v>46541</v>
      </c>
      <c r="D40" s="12"/>
      <c r="E40" s="9"/>
      <c r="F40" s="125"/>
      <c r="G40" s="145"/>
      <c r="H40" s="16"/>
      <c r="I40" s="9"/>
      <c r="J40" s="22"/>
      <c r="K40" s="21"/>
      <c r="L40" s="16"/>
      <c r="M40" s="9"/>
      <c r="N40" s="22"/>
      <c r="O40" s="22"/>
      <c r="P40" s="9"/>
      <c r="Q40" s="9"/>
      <c r="R40" s="125"/>
      <c r="S40" s="125"/>
      <c r="T40" s="9"/>
      <c r="U40" s="9"/>
      <c r="V40" s="22"/>
      <c r="W40" s="22"/>
      <c r="X40" s="24"/>
      <c r="Y40" s="24"/>
      <c r="Z40" s="149">
        <f t="shared" si="3"/>
        <v>0</v>
      </c>
      <c r="AA40" s="141">
        <f t="shared" si="4"/>
        <v>0</v>
      </c>
      <c r="AB40" s="9">
        <f t="shared" si="5"/>
        <v>0</v>
      </c>
      <c r="AC40" s="25">
        <f t="shared" si="6"/>
        <v>0</v>
      </c>
      <c r="AD40" s="20"/>
    </row>
    <row r="41" spans="1:30" ht="30" customHeight="1" x14ac:dyDescent="0.35">
      <c r="A41" s="7"/>
      <c r="B41" s="7" t="s">
        <v>126</v>
      </c>
      <c r="C41" s="8">
        <v>46542</v>
      </c>
      <c r="D41" s="12"/>
      <c r="E41" s="9"/>
      <c r="F41" s="125"/>
      <c r="G41" s="145"/>
      <c r="H41" s="16"/>
      <c r="I41" s="9"/>
      <c r="J41" s="22"/>
      <c r="K41" s="21"/>
      <c r="L41" s="9"/>
      <c r="M41" s="9"/>
      <c r="N41" s="22"/>
      <c r="O41" s="22"/>
      <c r="P41" s="9"/>
      <c r="Q41" s="9"/>
      <c r="R41" s="125"/>
      <c r="S41" s="125"/>
      <c r="T41" s="9"/>
      <c r="U41" s="9"/>
      <c r="V41" s="22"/>
      <c r="W41" s="22"/>
      <c r="X41" s="24"/>
      <c r="Y41" s="24"/>
      <c r="Z41" s="149">
        <f t="shared" si="3"/>
        <v>0</v>
      </c>
      <c r="AA41" s="141">
        <f t="shared" si="4"/>
        <v>0</v>
      </c>
      <c r="AB41" s="9">
        <f t="shared" si="5"/>
        <v>0</v>
      </c>
      <c r="AC41" s="25">
        <f t="shared" si="6"/>
        <v>0</v>
      </c>
      <c r="AD41" s="20"/>
    </row>
    <row r="42" spans="1:30" ht="30" customHeight="1" x14ac:dyDescent="0.35">
      <c r="A42" s="7" t="s">
        <v>129</v>
      </c>
      <c r="B42" s="7" t="s">
        <v>127</v>
      </c>
      <c r="C42" s="8">
        <v>46543</v>
      </c>
      <c r="D42" s="12"/>
      <c r="E42" s="9"/>
      <c r="F42" s="125"/>
      <c r="G42" s="145"/>
      <c r="H42" s="16"/>
      <c r="I42" s="9"/>
      <c r="J42" s="22"/>
      <c r="K42" s="21"/>
      <c r="L42" s="9"/>
      <c r="M42" s="9"/>
      <c r="N42" s="22"/>
      <c r="O42" s="22"/>
      <c r="P42" s="9"/>
      <c r="Q42" s="9"/>
      <c r="R42" s="125"/>
      <c r="S42" s="125"/>
      <c r="T42" s="9"/>
      <c r="U42" s="9"/>
      <c r="V42" s="22"/>
      <c r="W42" s="22"/>
      <c r="X42" s="24"/>
      <c r="Y42" s="24"/>
      <c r="Z42" s="149">
        <f t="shared" si="3"/>
        <v>0</v>
      </c>
      <c r="AA42" s="141">
        <f t="shared" si="4"/>
        <v>0</v>
      </c>
      <c r="AB42" s="9">
        <f t="shared" si="5"/>
        <v>0</v>
      </c>
      <c r="AC42" s="25">
        <f t="shared" si="6"/>
        <v>0</v>
      </c>
      <c r="AD42" s="20"/>
    </row>
    <row r="43" spans="1:30" ht="30" customHeight="1" x14ac:dyDescent="0.35">
      <c r="A43" s="7"/>
      <c r="B43" s="7" t="s">
        <v>128</v>
      </c>
      <c r="C43" s="8">
        <v>46544</v>
      </c>
      <c r="D43" s="12"/>
      <c r="E43" s="9"/>
      <c r="F43" s="125"/>
      <c r="G43" s="145"/>
      <c r="H43" s="16"/>
      <c r="I43" s="9"/>
      <c r="J43" s="22"/>
      <c r="K43" s="21"/>
      <c r="L43" s="9"/>
      <c r="M43" s="9"/>
      <c r="N43" s="22"/>
      <c r="O43" s="22"/>
      <c r="P43" s="9"/>
      <c r="Q43" s="9"/>
      <c r="R43" s="125"/>
      <c r="S43" s="125"/>
      <c r="T43" s="9"/>
      <c r="U43" s="9"/>
      <c r="V43" s="22"/>
      <c r="W43" s="22"/>
      <c r="X43" s="24"/>
      <c r="Y43" s="24"/>
      <c r="Z43" s="149">
        <f t="shared" si="3"/>
        <v>0</v>
      </c>
      <c r="AA43" s="141">
        <f t="shared" si="4"/>
        <v>0</v>
      </c>
      <c r="AB43" s="9">
        <f t="shared" si="5"/>
        <v>0</v>
      </c>
      <c r="AC43" s="25">
        <f t="shared" si="6"/>
        <v>0</v>
      </c>
      <c r="AD43" s="20"/>
    </row>
    <row r="44" spans="1:30" ht="30" customHeight="1" x14ac:dyDescent="0.35">
      <c r="A44" s="7"/>
      <c r="B44" s="7" t="s">
        <v>122</v>
      </c>
      <c r="C44" s="8">
        <v>46545</v>
      </c>
      <c r="D44" s="12"/>
      <c r="E44" s="9"/>
      <c r="F44" s="125"/>
      <c r="G44" s="145"/>
      <c r="H44" s="16"/>
      <c r="I44" s="9"/>
      <c r="J44" s="22"/>
      <c r="K44" s="21"/>
      <c r="L44" s="9"/>
      <c r="M44" s="9"/>
      <c r="N44" s="22"/>
      <c r="O44" s="22"/>
      <c r="P44" s="9"/>
      <c r="Q44" s="146"/>
      <c r="R44" s="125"/>
      <c r="S44" s="125"/>
      <c r="T44" s="9"/>
      <c r="U44" s="9"/>
      <c r="V44" s="22"/>
      <c r="W44" s="22"/>
      <c r="X44" s="24"/>
      <c r="Y44" s="24"/>
      <c r="Z44" s="149">
        <f t="shared" si="3"/>
        <v>0</v>
      </c>
      <c r="AA44" s="141">
        <f t="shared" si="4"/>
        <v>0</v>
      </c>
      <c r="AB44" s="9">
        <f t="shared" si="5"/>
        <v>0</v>
      </c>
      <c r="AC44" s="25">
        <f t="shared" si="6"/>
        <v>0</v>
      </c>
      <c r="AD44" s="20"/>
    </row>
    <row r="45" spans="1:30" ht="30" customHeight="1" x14ac:dyDescent="0.35">
      <c r="A45" s="7"/>
      <c r="B45" s="7" t="s">
        <v>123</v>
      </c>
      <c r="C45" s="8">
        <v>46546</v>
      </c>
      <c r="D45" s="12"/>
      <c r="E45" s="9"/>
      <c r="F45" s="125"/>
      <c r="G45" s="145"/>
      <c r="H45" s="16"/>
      <c r="I45" s="9"/>
      <c r="J45" s="22"/>
      <c r="K45" s="21"/>
      <c r="L45" s="9"/>
      <c r="M45" s="9"/>
      <c r="N45" s="22"/>
      <c r="O45" s="22"/>
      <c r="P45" s="146"/>
      <c r="Q45" s="146"/>
      <c r="R45" s="125"/>
      <c r="S45" s="125"/>
      <c r="T45" s="9"/>
      <c r="U45" s="9"/>
      <c r="V45" s="22"/>
      <c r="W45" s="22"/>
      <c r="X45" s="24"/>
      <c r="Y45" s="24"/>
      <c r="Z45" s="149">
        <f t="shared" si="3"/>
        <v>0</v>
      </c>
      <c r="AA45" s="141">
        <f t="shared" si="4"/>
        <v>0</v>
      </c>
      <c r="AB45" s="9">
        <f t="shared" si="5"/>
        <v>0</v>
      </c>
      <c r="AC45" s="25">
        <f t="shared" si="6"/>
        <v>0</v>
      </c>
      <c r="AD45" s="20"/>
    </row>
    <row r="46" spans="1:30" ht="30" customHeight="1" x14ac:dyDescent="0.35">
      <c r="A46" s="7"/>
      <c r="B46" s="7" t="s">
        <v>124</v>
      </c>
      <c r="C46" s="8">
        <v>46547</v>
      </c>
      <c r="D46" s="9"/>
      <c r="E46" s="9"/>
      <c r="F46" s="125"/>
      <c r="G46" s="145"/>
      <c r="H46" s="9"/>
      <c r="I46" s="9"/>
      <c r="J46" s="22"/>
      <c r="K46" s="21"/>
      <c r="L46" s="9"/>
      <c r="M46" s="9"/>
      <c r="N46" s="22"/>
      <c r="O46" s="22"/>
      <c r="P46" s="146"/>
      <c r="Q46" s="147"/>
      <c r="R46" s="125"/>
      <c r="S46" s="125"/>
      <c r="T46" s="9"/>
      <c r="U46" s="9"/>
      <c r="V46" s="22"/>
      <c r="W46" s="22"/>
      <c r="X46" s="24"/>
      <c r="Y46" s="24"/>
      <c r="Z46" s="149">
        <f t="shared" si="3"/>
        <v>0</v>
      </c>
      <c r="AA46" s="141">
        <f t="shared" si="4"/>
        <v>0</v>
      </c>
      <c r="AB46" s="9">
        <f t="shared" si="5"/>
        <v>0</v>
      </c>
      <c r="AC46" s="25">
        <f t="shared" si="6"/>
        <v>0</v>
      </c>
      <c r="AD46" s="20"/>
    </row>
    <row r="47" spans="1:30" ht="30" customHeight="1" x14ac:dyDescent="0.35">
      <c r="A47" s="7" t="s">
        <v>56</v>
      </c>
      <c r="B47" s="7" t="s">
        <v>125</v>
      </c>
      <c r="C47" s="8">
        <v>46548</v>
      </c>
      <c r="D47" s="9"/>
      <c r="E47" s="10"/>
      <c r="F47" s="125"/>
      <c r="G47" s="145"/>
      <c r="H47" s="9"/>
      <c r="I47" s="9"/>
      <c r="J47" s="22"/>
      <c r="K47" s="21"/>
      <c r="L47" s="9"/>
      <c r="M47" s="9"/>
      <c r="N47" s="22"/>
      <c r="O47" s="22"/>
      <c r="P47" s="147"/>
      <c r="Q47" s="147"/>
      <c r="R47" s="125"/>
      <c r="S47" s="125"/>
      <c r="T47" s="9"/>
      <c r="U47" s="9"/>
      <c r="V47" s="22"/>
      <c r="W47" s="22"/>
      <c r="X47" s="24"/>
      <c r="Y47" s="24"/>
      <c r="Z47" s="149">
        <f t="shared" si="3"/>
        <v>0</v>
      </c>
      <c r="AA47" s="141">
        <f t="shared" si="4"/>
        <v>0</v>
      </c>
      <c r="AB47" s="9">
        <f t="shared" si="5"/>
        <v>0</v>
      </c>
      <c r="AC47" s="25">
        <f t="shared" si="6"/>
        <v>0</v>
      </c>
      <c r="AD47" s="20"/>
    </row>
    <row r="48" spans="1:30" ht="30" customHeight="1" x14ac:dyDescent="0.35">
      <c r="A48" s="7" t="s">
        <v>56</v>
      </c>
      <c r="B48" s="7" t="s">
        <v>126</v>
      </c>
      <c r="C48" s="8">
        <v>46549</v>
      </c>
      <c r="D48" s="10"/>
      <c r="E48" s="10"/>
      <c r="F48" s="125"/>
      <c r="G48" s="145"/>
      <c r="H48" s="9"/>
      <c r="I48" s="9"/>
      <c r="J48" s="22"/>
      <c r="K48" s="21"/>
      <c r="L48" s="9"/>
      <c r="M48" s="9"/>
      <c r="N48" s="22"/>
      <c r="O48" s="22"/>
      <c r="P48" s="147"/>
      <c r="Q48" s="147"/>
      <c r="R48" s="125"/>
      <c r="S48" s="125"/>
      <c r="T48" s="9"/>
      <c r="U48" s="9"/>
      <c r="V48" s="22"/>
      <c r="W48" s="22"/>
      <c r="X48" s="24"/>
      <c r="Y48" s="24"/>
      <c r="Z48" s="149">
        <f t="shared" si="3"/>
        <v>0</v>
      </c>
      <c r="AA48" s="141">
        <f t="shared" si="4"/>
        <v>0</v>
      </c>
      <c r="AB48" s="9">
        <f t="shared" si="5"/>
        <v>0</v>
      </c>
      <c r="AC48" s="25">
        <f t="shared" si="6"/>
        <v>0</v>
      </c>
      <c r="AD48" s="20"/>
    </row>
    <row r="49" spans="1:30" ht="30" customHeight="1" x14ac:dyDescent="0.35">
      <c r="A49" s="7" t="s">
        <v>56</v>
      </c>
      <c r="B49" s="7" t="s">
        <v>127</v>
      </c>
      <c r="C49" s="8">
        <v>46550</v>
      </c>
      <c r="D49" s="10"/>
      <c r="E49" s="10"/>
      <c r="F49" s="125"/>
      <c r="G49" s="145"/>
      <c r="H49" s="9"/>
      <c r="I49" s="9"/>
      <c r="J49" s="22"/>
      <c r="K49" s="21"/>
      <c r="L49" s="9"/>
      <c r="M49" s="9"/>
      <c r="N49" s="22"/>
      <c r="O49" s="22"/>
      <c r="P49" s="147"/>
      <c r="Q49" s="147"/>
      <c r="R49" s="125"/>
      <c r="S49" s="125"/>
      <c r="T49" s="9"/>
      <c r="U49" s="9"/>
      <c r="V49" s="22"/>
      <c r="W49" s="22"/>
      <c r="X49" s="24"/>
      <c r="Y49" s="24"/>
      <c r="Z49" s="149">
        <f t="shared" si="3"/>
        <v>0</v>
      </c>
      <c r="AA49" s="141">
        <f t="shared" si="4"/>
        <v>0</v>
      </c>
      <c r="AB49" s="9">
        <f t="shared" si="5"/>
        <v>0</v>
      </c>
      <c r="AC49" s="25">
        <f t="shared" si="6"/>
        <v>0</v>
      </c>
      <c r="AD49" s="20"/>
    </row>
    <row r="50" spans="1:30" ht="30" customHeight="1" x14ac:dyDescent="0.35">
      <c r="A50" s="7" t="s">
        <v>56</v>
      </c>
      <c r="B50" s="7" t="s">
        <v>128</v>
      </c>
      <c r="C50" s="8">
        <v>46551</v>
      </c>
      <c r="D50" s="10"/>
      <c r="E50" s="10"/>
      <c r="F50" s="125"/>
      <c r="G50" s="145"/>
      <c r="H50" s="9"/>
      <c r="I50" s="9"/>
      <c r="J50" s="22"/>
      <c r="K50" s="21"/>
      <c r="L50" s="9"/>
      <c r="M50" s="9"/>
      <c r="N50" s="22"/>
      <c r="O50" s="22"/>
      <c r="P50" s="147"/>
      <c r="Q50" s="147"/>
      <c r="R50" s="125"/>
      <c r="S50" s="125"/>
      <c r="T50" s="9"/>
      <c r="U50" s="9"/>
      <c r="V50" s="22"/>
      <c r="W50" s="22"/>
      <c r="X50" s="24"/>
      <c r="Y50" s="24"/>
      <c r="Z50" s="149">
        <f t="shared" si="3"/>
        <v>0</v>
      </c>
      <c r="AA50" s="141">
        <f t="shared" si="4"/>
        <v>0</v>
      </c>
      <c r="AB50" s="9">
        <f t="shared" si="5"/>
        <v>0</v>
      </c>
      <c r="AC50" s="25">
        <f t="shared" si="6"/>
        <v>0</v>
      </c>
      <c r="AD50" s="20"/>
    </row>
    <row r="51" spans="1:30" ht="30" customHeight="1" x14ac:dyDescent="0.35">
      <c r="A51" s="7">
        <v>25</v>
      </c>
      <c r="B51" s="7" t="s">
        <v>122</v>
      </c>
      <c r="C51" s="8">
        <v>46552</v>
      </c>
      <c r="D51" s="10"/>
      <c r="E51" s="10"/>
      <c r="F51" s="125"/>
      <c r="G51" s="145"/>
      <c r="H51" s="9"/>
      <c r="I51" s="9"/>
      <c r="J51" s="22"/>
      <c r="K51" s="21"/>
      <c r="L51" s="9"/>
      <c r="M51" s="9"/>
      <c r="N51" s="22"/>
      <c r="O51" s="22"/>
      <c r="P51" s="147"/>
      <c r="Q51" s="147"/>
      <c r="R51" s="125"/>
      <c r="S51" s="125"/>
      <c r="T51" s="9"/>
      <c r="U51" s="9"/>
      <c r="V51" s="22"/>
      <c r="W51" s="22"/>
      <c r="X51" s="24"/>
      <c r="Y51" s="24"/>
      <c r="Z51" s="149">
        <f t="shared" si="3"/>
        <v>0</v>
      </c>
      <c r="AA51" s="141">
        <f t="shared" si="4"/>
        <v>0</v>
      </c>
      <c r="AB51" s="9">
        <f t="shared" si="5"/>
        <v>0</v>
      </c>
      <c r="AC51" s="25">
        <f t="shared" si="6"/>
        <v>0</v>
      </c>
      <c r="AD51" s="20"/>
    </row>
    <row r="52" spans="1:30" ht="30" customHeight="1" x14ac:dyDescent="0.35">
      <c r="A52" s="7"/>
      <c r="B52" s="7" t="s">
        <v>123</v>
      </c>
      <c r="C52" s="8">
        <v>46553</v>
      </c>
      <c r="D52" s="10"/>
      <c r="E52" s="10"/>
      <c r="F52" s="125"/>
      <c r="G52" s="145"/>
      <c r="H52" s="16"/>
      <c r="I52" s="9"/>
      <c r="J52" s="22"/>
      <c r="K52" s="21"/>
      <c r="L52" s="9"/>
      <c r="M52" s="9"/>
      <c r="N52" s="22"/>
      <c r="O52" s="22"/>
      <c r="P52" s="147"/>
      <c r="Q52" s="147"/>
      <c r="R52" s="125"/>
      <c r="S52" s="125"/>
      <c r="T52" s="9"/>
      <c r="U52" s="9"/>
      <c r="V52" s="22"/>
      <c r="W52" s="22"/>
      <c r="X52" s="24"/>
      <c r="Y52" s="24"/>
      <c r="Z52" s="149">
        <f t="shared" si="3"/>
        <v>0</v>
      </c>
      <c r="AA52" s="141">
        <f t="shared" si="4"/>
        <v>0</v>
      </c>
      <c r="AB52" s="9">
        <f t="shared" si="5"/>
        <v>0</v>
      </c>
      <c r="AC52" s="25">
        <f t="shared" si="6"/>
        <v>0</v>
      </c>
      <c r="AD52" s="20"/>
    </row>
    <row r="53" spans="1:30" ht="30" customHeight="1" x14ac:dyDescent="0.35">
      <c r="A53" s="7"/>
      <c r="B53" s="7" t="s">
        <v>124</v>
      </c>
      <c r="C53" s="8">
        <v>46554</v>
      </c>
      <c r="D53" s="10"/>
      <c r="E53" s="10"/>
      <c r="F53" s="125"/>
      <c r="G53" s="145"/>
      <c r="H53" s="16"/>
      <c r="I53" s="9"/>
      <c r="J53" s="22"/>
      <c r="K53" s="21"/>
      <c r="L53" s="9"/>
      <c r="M53" s="9"/>
      <c r="N53" s="22"/>
      <c r="O53" s="22"/>
      <c r="P53" s="147"/>
      <c r="Q53" s="9"/>
      <c r="R53" s="125"/>
      <c r="S53" s="125"/>
      <c r="T53" s="9"/>
      <c r="U53" s="9"/>
      <c r="V53" s="22"/>
      <c r="W53" s="22"/>
      <c r="X53" s="24"/>
      <c r="Y53" s="24"/>
      <c r="Z53" s="149">
        <f t="shared" si="3"/>
        <v>0</v>
      </c>
      <c r="AA53" s="141">
        <f t="shared" si="4"/>
        <v>0</v>
      </c>
      <c r="AB53" s="9">
        <f t="shared" si="5"/>
        <v>0</v>
      </c>
      <c r="AC53" s="25">
        <f t="shared" si="6"/>
        <v>0</v>
      </c>
      <c r="AD53" s="20"/>
    </row>
    <row r="54" spans="1:30" ht="30" customHeight="1" x14ac:dyDescent="0.35">
      <c r="A54" s="7"/>
      <c r="B54" s="7" t="s">
        <v>125</v>
      </c>
      <c r="C54" s="8">
        <v>46555</v>
      </c>
      <c r="D54" s="10"/>
      <c r="E54" s="10"/>
      <c r="F54" s="125"/>
      <c r="G54" s="145"/>
      <c r="H54" s="9"/>
      <c r="I54" s="9"/>
      <c r="J54" s="22"/>
      <c r="K54" s="21"/>
      <c r="L54" s="9"/>
      <c r="M54" s="9"/>
      <c r="N54" s="22"/>
      <c r="O54" s="22"/>
      <c r="P54" s="9"/>
      <c r="Q54" s="9"/>
      <c r="R54" s="125"/>
      <c r="S54" s="125"/>
      <c r="T54" s="9"/>
      <c r="U54" s="9"/>
      <c r="V54" s="22"/>
      <c r="W54" s="22"/>
      <c r="X54" s="24"/>
      <c r="Y54" s="24"/>
      <c r="Z54" s="149">
        <f t="shared" si="3"/>
        <v>0</v>
      </c>
      <c r="AA54" s="141">
        <f t="shared" si="4"/>
        <v>0</v>
      </c>
      <c r="AB54" s="9">
        <f t="shared" si="5"/>
        <v>0</v>
      </c>
      <c r="AC54" s="25">
        <f t="shared" si="6"/>
        <v>0</v>
      </c>
      <c r="AD54" s="20"/>
    </row>
    <row r="55" spans="1:30" ht="30" customHeight="1" x14ac:dyDescent="0.35">
      <c r="A55" s="7"/>
      <c r="B55" s="7" t="s">
        <v>126</v>
      </c>
      <c r="C55" s="8">
        <v>46556</v>
      </c>
      <c r="D55" s="10"/>
      <c r="E55" s="10"/>
      <c r="F55" s="125"/>
      <c r="G55" s="145"/>
      <c r="H55" s="9"/>
      <c r="I55" s="9"/>
      <c r="J55" s="22"/>
      <c r="K55" s="21"/>
      <c r="L55" s="9"/>
      <c r="M55" s="9"/>
      <c r="N55" s="22"/>
      <c r="O55" s="22"/>
      <c r="P55" s="9"/>
      <c r="Q55" s="9"/>
      <c r="R55" s="125"/>
      <c r="S55" s="125"/>
      <c r="T55" s="9"/>
      <c r="U55" s="9"/>
      <c r="V55" s="22"/>
      <c r="W55" s="22"/>
      <c r="X55" s="24"/>
      <c r="Y55" s="24"/>
      <c r="Z55" s="149">
        <f t="shared" si="3"/>
        <v>0</v>
      </c>
      <c r="AA55" s="141">
        <f t="shared" si="4"/>
        <v>0</v>
      </c>
      <c r="AB55" s="9">
        <f t="shared" si="5"/>
        <v>0</v>
      </c>
      <c r="AC55" s="25">
        <f t="shared" si="6"/>
        <v>0</v>
      </c>
      <c r="AD55" s="20"/>
    </row>
    <row r="56" spans="1:30" ht="30" customHeight="1" x14ac:dyDescent="0.35">
      <c r="A56" s="7"/>
      <c r="B56" s="7" t="s">
        <v>127</v>
      </c>
      <c r="C56" s="8">
        <v>46557</v>
      </c>
      <c r="D56" s="10"/>
      <c r="E56" s="10"/>
      <c r="F56" s="125"/>
      <c r="G56" s="145"/>
      <c r="H56" s="9"/>
      <c r="I56" s="9"/>
      <c r="J56" s="22"/>
      <c r="K56" s="21"/>
      <c r="L56" s="9"/>
      <c r="M56" s="9"/>
      <c r="N56" s="22"/>
      <c r="O56" s="22"/>
      <c r="P56" s="9"/>
      <c r="Q56" s="9"/>
      <c r="R56" s="125"/>
      <c r="S56" s="125"/>
      <c r="T56" s="9"/>
      <c r="U56" s="9"/>
      <c r="V56" s="22"/>
      <c r="W56" s="22"/>
      <c r="X56" s="24"/>
      <c r="Y56" s="24"/>
      <c r="Z56" s="149">
        <f t="shared" si="3"/>
        <v>0</v>
      </c>
      <c r="AA56" s="141">
        <f t="shared" si="4"/>
        <v>0</v>
      </c>
      <c r="AB56" s="9">
        <f t="shared" si="5"/>
        <v>0</v>
      </c>
      <c r="AC56" s="25">
        <f t="shared" si="6"/>
        <v>0</v>
      </c>
      <c r="AD56" s="20"/>
    </row>
    <row r="57" spans="1:30" ht="30" customHeight="1" x14ac:dyDescent="0.35">
      <c r="A57" s="7"/>
      <c r="B57" s="7" t="s">
        <v>128</v>
      </c>
      <c r="C57" s="8">
        <v>46558</v>
      </c>
      <c r="D57" s="10"/>
      <c r="E57" s="10"/>
      <c r="F57" s="125"/>
      <c r="G57" s="145"/>
      <c r="H57" s="9"/>
      <c r="I57" s="9"/>
      <c r="J57" s="22"/>
      <c r="K57" s="21"/>
      <c r="L57" s="9"/>
      <c r="M57" s="9"/>
      <c r="N57" s="22"/>
      <c r="O57" s="22"/>
      <c r="P57" s="9"/>
      <c r="Q57" s="9"/>
      <c r="R57" s="125"/>
      <c r="S57" s="125"/>
      <c r="T57" s="9"/>
      <c r="U57" s="9"/>
      <c r="V57" s="22"/>
      <c r="W57" s="22"/>
      <c r="X57" s="24"/>
      <c r="Y57" s="24"/>
      <c r="Z57" s="149">
        <f t="shared" si="3"/>
        <v>0</v>
      </c>
      <c r="AA57" s="141">
        <f t="shared" si="4"/>
        <v>0</v>
      </c>
      <c r="AB57" s="9">
        <f t="shared" si="5"/>
        <v>0</v>
      </c>
      <c r="AC57" s="25">
        <f t="shared" si="6"/>
        <v>0</v>
      </c>
      <c r="AD57" s="20"/>
    </row>
    <row r="58" spans="1:30" ht="30" customHeight="1" x14ac:dyDescent="0.35">
      <c r="A58" s="7">
        <v>26</v>
      </c>
      <c r="B58" s="7" t="s">
        <v>122</v>
      </c>
      <c r="C58" s="8">
        <v>46559</v>
      </c>
      <c r="D58" s="12"/>
      <c r="E58" s="10"/>
      <c r="F58" s="125"/>
      <c r="G58" s="145"/>
      <c r="H58" s="9"/>
      <c r="I58" s="9"/>
      <c r="J58" s="22"/>
      <c r="K58" s="21"/>
      <c r="L58" s="9"/>
      <c r="M58" s="9"/>
      <c r="N58" s="22"/>
      <c r="O58" s="22"/>
      <c r="P58" s="9"/>
      <c r="Q58" s="9"/>
      <c r="R58" s="125"/>
      <c r="S58" s="125"/>
      <c r="T58" s="9"/>
      <c r="U58" s="9"/>
      <c r="V58" s="22"/>
      <c r="W58" s="22"/>
      <c r="X58" s="24"/>
      <c r="Y58" s="24"/>
      <c r="Z58" s="149">
        <f t="shared" si="3"/>
        <v>0</v>
      </c>
      <c r="AA58" s="141">
        <f t="shared" si="4"/>
        <v>0</v>
      </c>
      <c r="AB58" s="9">
        <f t="shared" si="5"/>
        <v>0</v>
      </c>
      <c r="AC58" s="25">
        <f t="shared" si="6"/>
        <v>0</v>
      </c>
      <c r="AD58" s="20"/>
    </row>
    <row r="59" spans="1:30" ht="30" customHeight="1" x14ac:dyDescent="0.35">
      <c r="A59" s="7"/>
      <c r="B59" s="7" t="s">
        <v>123</v>
      </c>
      <c r="C59" s="8">
        <v>46560</v>
      </c>
      <c r="D59" s="12"/>
      <c r="E59" s="10"/>
      <c r="F59" s="125"/>
      <c r="G59" s="145"/>
      <c r="H59" s="16"/>
      <c r="I59" s="9"/>
      <c r="J59" s="22"/>
      <c r="K59" s="21"/>
      <c r="L59" s="9"/>
      <c r="M59" s="9"/>
      <c r="N59" s="22"/>
      <c r="O59" s="22"/>
      <c r="P59" s="9"/>
      <c r="Q59" s="9"/>
      <c r="R59" s="125"/>
      <c r="S59" s="125"/>
      <c r="T59" s="9"/>
      <c r="U59" s="9"/>
      <c r="V59" s="22"/>
      <c r="W59" s="22"/>
      <c r="X59" s="24"/>
      <c r="Y59" s="24"/>
      <c r="Z59" s="149">
        <f t="shared" si="3"/>
        <v>0</v>
      </c>
      <c r="AA59" s="141">
        <f t="shared" si="4"/>
        <v>0</v>
      </c>
      <c r="AB59" s="9">
        <f t="shared" si="5"/>
        <v>0</v>
      </c>
      <c r="AC59" s="25">
        <f t="shared" si="6"/>
        <v>0</v>
      </c>
      <c r="AD59" s="20"/>
    </row>
    <row r="60" spans="1:30" ht="30" customHeight="1" x14ac:dyDescent="0.35">
      <c r="A60" s="7"/>
      <c r="B60" s="7" t="s">
        <v>124</v>
      </c>
      <c r="C60" s="8">
        <v>46561</v>
      </c>
      <c r="D60" s="12"/>
      <c r="E60" s="10"/>
      <c r="F60" s="125"/>
      <c r="G60" s="145"/>
      <c r="H60" s="16"/>
      <c r="I60" s="9"/>
      <c r="J60" s="22"/>
      <c r="K60" s="21"/>
      <c r="L60" s="9"/>
      <c r="M60" s="9"/>
      <c r="N60" s="22"/>
      <c r="O60" s="22"/>
      <c r="P60" s="9"/>
      <c r="Q60" s="9"/>
      <c r="R60" s="125"/>
      <c r="S60" s="125"/>
      <c r="T60" s="9"/>
      <c r="U60" s="9"/>
      <c r="V60" s="22"/>
      <c r="W60" s="22"/>
      <c r="X60" s="24"/>
      <c r="Y60" s="24"/>
      <c r="Z60" s="149">
        <f t="shared" si="3"/>
        <v>0</v>
      </c>
      <c r="AA60" s="141">
        <f t="shared" si="4"/>
        <v>0</v>
      </c>
      <c r="AB60" s="9">
        <f t="shared" si="5"/>
        <v>0</v>
      </c>
      <c r="AC60" s="25">
        <f t="shared" si="6"/>
        <v>0</v>
      </c>
      <c r="AD60" s="20"/>
    </row>
    <row r="61" spans="1:30" ht="30" customHeight="1" x14ac:dyDescent="0.35">
      <c r="A61" s="7"/>
      <c r="B61" s="7" t="s">
        <v>125</v>
      </c>
      <c r="C61" s="8">
        <v>46562</v>
      </c>
      <c r="D61" s="12"/>
      <c r="E61" s="10"/>
      <c r="F61" s="125"/>
      <c r="G61" s="145"/>
      <c r="H61" s="16"/>
      <c r="I61" s="10"/>
      <c r="J61" s="22"/>
      <c r="K61" s="21"/>
      <c r="L61" s="9"/>
      <c r="M61" s="9"/>
      <c r="N61" s="22"/>
      <c r="O61" s="22"/>
      <c r="P61" s="9"/>
      <c r="Q61" s="9"/>
      <c r="R61" s="125"/>
      <c r="S61" s="125"/>
      <c r="T61" s="9"/>
      <c r="U61" s="9"/>
      <c r="V61" s="22"/>
      <c r="W61" s="22"/>
      <c r="X61" s="24"/>
      <c r="Y61" s="24"/>
      <c r="Z61" s="149">
        <f t="shared" si="3"/>
        <v>0</v>
      </c>
      <c r="AA61" s="141">
        <f t="shared" si="4"/>
        <v>0</v>
      </c>
      <c r="AB61" s="9">
        <f t="shared" si="5"/>
        <v>0</v>
      </c>
      <c r="AC61" s="25">
        <f t="shared" si="6"/>
        <v>0</v>
      </c>
      <c r="AD61" s="20"/>
    </row>
    <row r="62" spans="1:30" ht="30" customHeight="1" x14ac:dyDescent="0.35">
      <c r="A62" s="7"/>
      <c r="B62" s="7" t="s">
        <v>126</v>
      </c>
      <c r="C62" s="8">
        <v>46563</v>
      </c>
      <c r="D62" s="10"/>
      <c r="E62" s="10"/>
      <c r="F62" s="125"/>
      <c r="G62" s="145"/>
      <c r="H62" s="10"/>
      <c r="I62" s="10"/>
      <c r="J62" s="22"/>
      <c r="K62" s="21"/>
      <c r="L62" s="9"/>
      <c r="M62" s="9"/>
      <c r="N62" s="22"/>
      <c r="O62" s="22"/>
      <c r="P62" s="9"/>
      <c r="Q62" s="9"/>
      <c r="R62" s="125"/>
      <c r="S62" s="125"/>
      <c r="T62" s="9"/>
      <c r="U62" s="9"/>
      <c r="V62" s="22"/>
      <c r="W62" s="22"/>
      <c r="X62" s="24"/>
      <c r="Y62" s="24"/>
      <c r="Z62" s="149">
        <f t="shared" si="3"/>
        <v>0</v>
      </c>
      <c r="AA62" s="141">
        <f t="shared" si="4"/>
        <v>0</v>
      </c>
      <c r="AB62" s="9">
        <f t="shared" si="5"/>
        <v>0</v>
      </c>
      <c r="AC62" s="25">
        <f t="shared" si="6"/>
        <v>0</v>
      </c>
      <c r="AD62" s="20"/>
    </row>
    <row r="63" spans="1:30" ht="30" customHeight="1" x14ac:dyDescent="0.35">
      <c r="A63" s="7"/>
      <c r="B63" s="7" t="s">
        <v>127</v>
      </c>
      <c r="C63" s="8">
        <v>46564</v>
      </c>
      <c r="D63" s="10"/>
      <c r="E63" s="10"/>
      <c r="F63" s="125"/>
      <c r="G63" s="145"/>
      <c r="H63" s="10"/>
      <c r="I63" s="10"/>
      <c r="J63" s="22"/>
      <c r="K63" s="21"/>
      <c r="L63" s="9"/>
      <c r="M63" s="9"/>
      <c r="N63" s="22"/>
      <c r="O63" s="22"/>
      <c r="P63" s="9"/>
      <c r="Q63" s="9"/>
      <c r="R63" s="125"/>
      <c r="S63" s="125"/>
      <c r="T63" s="9"/>
      <c r="U63" s="9"/>
      <c r="V63" s="22"/>
      <c r="W63" s="22"/>
      <c r="X63" s="24"/>
      <c r="Y63" s="24"/>
      <c r="Z63" s="149">
        <f t="shared" si="3"/>
        <v>0</v>
      </c>
      <c r="AA63" s="141">
        <f t="shared" si="4"/>
        <v>0</v>
      </c>
      <c r="AB63" s="9">
        <f t="shared" si="5"/>
        <v>0</v>
      </c>
      <c r="AC63" s="25">
        <f t="shared" si="6"/>
        <v>0</v>
      </c>
      <c r="AD63" s="20"/>
    </row>
    <row r="64" spans="1:30" ht="30" customHeight="1" x14ac:dyDescent="0.35">
      <c r="A64" s="7"/>
      <c r="B64" s="7" t="s">
        <v>128</v>
      </c>
      <c r="C64" s="8">
        <v>46565</v>
      </c>
      <c r="D64" s="10"/>
      <c r="E64" s="10"/>
      <c r="F64" s="125"/>
      <c r="G64" s="145"/>
      <c r="H64" s="10"/>
      <c r="I64" s="10"/>
      <c r="J64" s="22"/>
      <c r="K64" s="21"/>
      <c r="L64" s="9"/>
      <c r="M64" s="9"/>
      <c r="N64" s="22"/>
      <c r="O64" s="22"/>
      <c r="P64" s="9"/>
      <c r="Q64" s="9"/>
      <c r="R64" s="125"/>
      <c r="S64" s="125"/>
      <c r="T64" s="9"/>
      <c r="U64" s="9"/>
      <c r="V64" s="22"/>
      <c r="W64" s="22"/>
      <c r="X64" s="24"/>
      <c r="Y64" s="24"/>
      <c r="Z64" s="149">
        <f t="shared" si="3"/>
        <v>0</v>
      </c>
      <c r="AA64" s="141">
        <f t="shared" si="4"/>
        <v>0</v>
      </c>
      <c r="AB64" s="9">
        <f t="shared" si="5"/>
        <v>0</v>
      </c>
      <c r="AC64" s="25">
        <f t="shared" si="6"/>
        <v>0</v>
      </c>
      <c r="AD64" s="20"/>
    </row>
    <row r="65" spans="1:30" ht="30" customHeight="1" x14ac:dyDescent="0.35">
      <c r="A65" s="7">
        <v>27</v>
      </c>
      <c r="B65" s="7" t="s">
        <v>122</v>
      </c>
      <c r="C65" s="8">
        <v>46566</v>
      </c>
      <c r="D65" s="10"/>
      <c r="E65" s="10"/>
      <c r="F65" s="125"/>
      <c r="G65" s="145"/>
      <c r="H65" s="10"/>
      <c r="I65" s="9"/>
      <c r="J65" s="22"/>
      <c r="K65" s="21"/>
      <c r="L65" s="9"/>
      <c r="M65" s="9"/>
      <c r="N65" s="22"/>
      <c r="O65" s="22"/>
      <c r="P65" s="9"/>
      <c r="Q65" s="9"/>
      <c r="R65" s="125"/>
      <c r="S65" s="125"/>
      <c r="T65" s="9"/>
      <c r="U65" s="9"/>
      <c r="V65" s="22"/>
      <c r="W65" s="22"/>
      <c r="X65" s="24"/>
      <c r="Y65" s="24"/>
      <c r="Z65" s="149">
        <f t="shared" si="3"/>
        <v>0</v>
      </c>
      <c r="AA65" s="141">
        <f t="shared" si="4"/>
        <v>0</v>
      </c>
      <c r="AB65" s="9">
        <f t="shared" si="5"/>
        <v>0</v>
      </c>
      <c r="AC65" s="25">
        <f t="shared" si="6"/>
        <v>0</v>
      </c>
      <c r="AD65" s="20"/>
    </row>
    <row r="66" spans="1:30" ht="30" customHeight="1" x14ac:dyDescent="0.35">
      <c r="A66" s="7"/>
      <c r="B66" s="7" t="s">
        <v>123</v>
      </c>
      <c r="C66" s="8">
        <v>46567</v>
      </c>
      <c r="D66" s="10"/>
      <c r="E66" s="10"/>
      <c r="F66" s="125"/>
      <c r="G66" s="145"/>
      <c r="H66" s="16"/>
      <c r="I66" s="9"/>
      <c r="J66" s="22"/>
      <c r="K66" s="21"/>
      <c r="L66" s="9"/>
      <c r="M66" s="9"/>
      <c r="N66" s="22"/>
      <c r="O66" s="22"/>
      <c r="P66" s="9"/>
      <c r="Q66" s="9"/>
      <c r="R66" s="125"/>
      <c r="S66" s="125"/>
      <c r="T66" s="9"/>
      <c r="U66" s="9"/>
      <c r="V66" s="22"/>
      <c r="W66" s="22"/>
      <c r="X66" s="24"/>
      <c r="Y66" s="24"/>
      <c r="Z66" s="149">
        <f t="shared" si="3"/>
        <v>0</v>
      </c>
      <c r="AA66" s="141">
        <f t="shared" ref="AA66:AA97" si="7">COUNT(E66,I66,M66,Q66,U66,Y66)</f>
        <v>0</v>
      </c>
      <c r="AB66" s="9">
        <f t="shared" ref="AB66:AB97" si="8">IF(AND(D66&lt;&gt;E66,E66&gt;0),1,0)+IF(AND(H66&lt;&gt;I66,I66&gt;0),1,0)+IF(AND(L66&lt;&gt;M66,M66&gt;0),1,0)+IF(AND(P66&lt;&gt;Q66,Q66&gt;0),1,0)+IF(AND(T66&lt;&gt;U66,U66&gt;0),1,0)</f>
        <v>0</v>
      </c>
      <c r="AC66" s="25">
        <f t="shared" ref="AC66:AC97" si="9">IF(AND(D66&lt;&gt;E66,D66&gt;0),1,0)+IF(AND(H66&lt;&gt;I66,H66&gt;0),1,0)+IF(AND(L66&lt;&gt;M66,L66&gt;0),1,0)+IF(AND(P66&lt;&gt;Q66,P66&gt;0),1,0)+IF(AND(T66&lt;&gt;U66,T66&gt;0),1,0)</f>
        <v>0</v>
      </c>
      <c r="AD66" s="20"/>
    </row>
    <row r="67" spans="1:30" ht="30" customHeight="1" x14ac:dyDescent="0.35">
      <c r="A67" s="7"/>
      <c r="B67" s="7" t="s">
        <v>124</v>
      </c>
      <c r="C67" s="8">
        <v>46568</v>
      </c>
      <c r="D67" s="10"/>
      <c r="E67" s="10"/>
      <c r="F67" s="125"/>
      <c r="G67" s="145"/>
      <c r="H67" s="16"/>
      <c r="I67" s="9"/>
      <c r="J67" s="22"/>
      <c r="K67" s="21"/>
      <c r="L67" s="9"/>
      <c r="M67" s="9"/>
      <c r="N67" s="22"/>
      <c r="O67" s="22"/>
      <c r="P67" s="9"/>
      <c r="Q67" s="9"/>
      <c r="R67" s="125"/>
      <c r="S67" s="125"/>
      <c r="T67" s="9"/>
      <c r="U67" s="9"/>
      <c r="V67" s="22"/>
      <c r="W67" s="22"/>
      <c r="X67" s="24"/>
      <c r="Y67" s="24"/>
      <c r="Z67" s="149">
        <f t="shared" ref="Z67:Z130" si="10">F67+J67+N67+R67+V67</f>
        <v>0</v>
      </c>
      <c r="AA67" s="141">
        <f t="shared" si="7"/>
        <v>0</v>
      </c>
      <c r="AB67" s="9">
        <f t="shared" si="8"/>
        <v>0</v>
      </c>
      <c r="AC67" s="25">
        <f t="shared" si="9"/>
        <v>0</v>
      </c>
      <c r="AD67" s="20"/>
    </row>
    <row r="68" spans="1:30" ht="30" customHeight="1" x14ac:dyDescent="0.35">
      <c r="A68" s="7"/>
      <c r="B68" s="7" t="s">
        <v>125</v>
      </c>
      <c r="C68" s="8">
        <v>46569</v>
      </c>
      <c r="D68" s="10"/>
      <c r="E68" s="10"/>
      <c r="F68" s="125"/>
      <c r="G68" s="145"/>
      <c r="H68" s="16"/>
      <c r="I68" s="9"/>
      <c r="J68" s="22"/>
      <c r="K68" s="21"/>
      <c r="L68" s="9"/>
      <c r="M68" s="9"/>
      <c r="N68" s="22"/>
      <c r="O68" s="22"/>
      <c r="P68" s="12"/>
      <c r="Q68" s="10"/>
      <c r="R68" s="125"/>
      <c r="S68" s="145"/>
      <c r="T68" s="9"/>
      <c r="U68" s="9"/>
      <c r="V68" s="22"/>
      <c r="W68" s="22"/>
      <c r="X68" s="136"/>
      <c r="Y68" s="137"/>
      <c r="Z68" s="149">
        <f t="shared" si="10"/>
        <v>0</v>
      </c>
      <c r="AA68" s="141">
        <f t="shared" si="7"/>
        <v>0</v>
      </c>
      <c r="AB68" s="9">
        <f t="shared" si="8"/>
        <v>0</v>
      </c>
      <c r="AC68" s="25">
        <f t="shared" si="9"/>
        <v>0</v>
      </c>
      <c r="AD68" s="20"/>
    </row>
    <row r="69" spans="1:30" ht="30" customHeight="1" x14ac:dyDescent="0.35">
      <c r="A69" s="7"/>
      <c r="B69" s="7" t="s">
        <v>126</v>
      </c>
      <c r="C69" s="8">
        <v>46570</v>
      </c>
      <c r="D69" s="10"/>
      <c r="E69" s="10"/>
      <c r="F69" s="125"/>
      <c r="G69" s="145"/>
      <c r="H69" s="16"/>
      <c r="I69" s="9"/>
      <c r="J69" s="22"/>
      <c r="K69" s="21"/>
      <c r="L69" s="9"/>
      <c r="M69" s="9"/>
      <c r="N69" s="22"/>
      <c r="O69" s="22"/>
      <c r="P69" s="10"/>
      <c r="Q69" s="10"/>
      <c r="R69" s="125"/>
      <c r="S69" s="145"/>
      <c r="T69" s="9"/>
      <c r="U69" s="9"/>
      <c r="V69" s="22"/>
      <c r="W69" s="22"/>
      <c r="X69" s="137"/>
      <c r="Y69" s="137"/>
      <c r="Z69" s="149">
        <f t="shared" si="10"/>
        <v>0</v>
      </c>
      <c r="AA69" s="141">
        <f t="shared" si="7"/>
        <v>0</v>
      </c>
      <c r="AB69" s="9">
        <f t="shared" si="8"/>
        <v>0</v>
      </c>
      <c r="AC69" s="25">
        <f t="shared" si="9"/>
        <v>0</v>
      </c>
      <c r="AD69" s="20"/>
    </row>
    <row r="70" spans="1:30" ht="30" customHeight="1" x14ac:dyDescent="0.35">
      <c r="A70" s="7"/>
      <c r="B70" s="7" t="s">
        <v>127</v>
      </c>
      <c r="C70" s="8">
        <v>46571</v>
      </c>
      <c r="D70" s="10"/>
      <c r="E70" s="10"/>
      <c r="F70" s="125"/>
      <c r="G70" s="145"/>
      <c r="H70" s="9"/>
      <c r="I70" s="9"/>
      <c r="J70" s="22"/>
      <c r="K70" s="21"/>
      <c r="L70" s="9"/>
      <c r="M70" s="9"/>
      <c r="N70" s="22"/>
      <c r="O70" s="22"/>
      <c r="P70" s="10"/>
      <c r="Q70" s="10"/>
      <c r="R70" s="125"/>
      <c r="S70" s="145"/>
      <c r="T70" s="9"/>
      <c r="U70" s="9"/>
      <c r="V70" s="22"/>
      <c r="W70" s="22"/>
      <c r="X70" s="137"/>
      <c r="Y70" s="137"/>
      <c r="Z70" s="149">
        <f t="shared" si="10"/>
        <v>0</v>
      </c>
      <c r="AA70" s="141">
        <f t="shared" si="7"/>
        <v>0</v>
      </c>
      <c r="AB70" s="9">
        <f t="shared" si="8"/>
        <v>0</v>
      </c>
      <c r="AC70" s="25">
        <f t="shared" si="9"/>
        <v>0</v>
      </c>
      <c r="AD70" s="20"/>
    </row>
    <row r="71" spans="1:30" ht="30" customHeight="1" x14ac:dyDescent="0.35">
      <c r="A71" s="7"/>
      <c r="B71" s="7" t="s">
        <v>128</v>
      </c>
      <c r="C71" s="8">
        <v>46572</v>
      </c>
      <c r="D71" s="9"/>
      <c r="E71" s="9"/>
      <c r="F71" s="125"/>
      <c r="G71" s="145"/>
      <c r="H71" s="9"/>
      <c r="I71" s="9"/>
      <c r="J71" s="22"/>
      <c r="K71" s="21"/>
      <c r="L71" s="9"/>
      <c r="M71" s="9"/>
      <c r="N71" s="22"/>
      <c r="O71" s="22"/>
      <c r="P71" s="10"/>
      <c r="Q71" s="10"/>
      <c r="R71" s="125"/>
      <c r="S71" s="145"/>
      <c r="T71" s="9"/>
      <c r="U71" s="9"/>
      <c r="V71" s="22"/>
      <c r="W71" s="22"/>
      <c r="X71" s="137"/>
      <c r="Y71" s="137"/>
      <c r="Z71" s="149">
        <f t="shared" si="10"/>
        <v>0</v>
      </c>
      <c r="AA71" s="141">
        <f t="shared" si="7"/>
        <v>0</v>
      </c>
      <c r="AB71" s="9">
        <f t="shared" si="8"/>
        <v>0</v>
      </c>
      <c r="AC71" s="25">
        <f t="shared" si="9"/>
        <v>0</v>
      </c>
      <c r="AD71" s="20"/>
    </row>
    <row r="72" spans="1:30" ht="30" customHeight="1" x14ac:dyDescent="0.35">
      <c r="A72" s="7">
        <v>28</v>
      </c>
      <c r="B72" s="7" t="s">
        <v>122</v>
      </c>
      <c r="C72" s="8">
        <v>46573</v>
      </c>
      <c r="D72" s="9"/>
      <c r="E72" s="9"/>
      <c r="F72" s="125"/>
      <c r="G72" s="145"/>
      <c r="H72" s="9"/>
      <c r="I72" s="9"/>
      <c r="J72" s="22"/>
      <c r="K72" s="21"/>
      <c r="L72" s="9"/>
      <c r="M72" s="9"/>
      <c r="N72" s="22"/>
      <c r="O72" s="22"/>
      <c r="P72" s="10"/>
      <c r="Q72" s="10"/>
      <c r="R72" s="125"/>
      <c r="S72" s="145"/>
      <c r="T72" s="9"/>
      <c r="U72" s="9"/>
      <c r="V72" s="22"/>
      <c r="W72" s="22"/>
      <c r="X72" s="137"/>
      <c r="Y72" s="137"/>
      <c r="Z72" s="149">
        <f t="shared" si="10"/>
        <v>0</v>
      </c>
      <c r="AA72" s="141">
        <f t="shared" si="7"/>
        <v>0</v>
      </c>
      <c r="AB72" s="9">
        <f t="shared" si="8"/>
        <v>0</v>
      </c>
      <c r="AC72" s="25">
        <f t="shared" si="9"/>
        <v>0</v>
      </c>
      <c r="AD72" s="20"/>
    </row>
    <row r="73" spans="1:30" ht="30" customHeight="1" x14ac:dyDescent="0.35">
      <c r="A73" s="7"/>
      <c r="B73" s="7" t="s">
        <v>123</v>
      </c>
      <c r="C73" s="8">
        <v>46574</v>
      </c>
      <c r="D73" s="9"/>
      <c r="E73" s="9"/>
      <c r="F73" s="125"/>
      <c r="G73" s="145"/>
      <c r="H73" s="9"/>
      <c r="I73" s="9"/>
      <c r="J73" s="22"/>
      <c r="K73" s="21"/>
      <c r="L73" s="9"/>
      <c r="M73" s="9"/>
      <c r="N73" s="22"/>
      <c r="O73" s="22"/>
      <c r="P73" s="10"/>
      <c r="Q73" s="10"/>
      <c r="R73" s="125"/>
      <c r="S73" s="145"/>
      <c r="T73" s="9"/>
      <c r="U73" s="9"/>
      <c r="V73" s="22"/>
      <c r="W73" s="22"/>
      <c r="X73" s="137"/>
      <c r="Y73" s="137"/>
      <c r="Z73" s="149">
        <f t="shared" si="10"/>
        <v>0</v>
      </c>
      <c r="AA73" s="141">
        <f t="shared" si="7"/>
        <v>0</v>
      </c>
      <c r="AB73" s="9">
        <f t="shared" si="8"/>
        <v>0</v>
      </c>
      <c r="AC73" s="25">
        <f t="shared" si="9"/>
        <v>0</v>
      </c>
      <c r="AD73" s="20"/>
    </row>
    <row r="74" spans="1:30" ht="30" customHeight="1" x14ac:dyDescent="0.35">
      <c r="A74" s="7"/>
      <c r="B74" s="7" t="s">
        <v>124</v>
      </c>
      <c r="C74" s="8">
        <v>46575</v>
      </c>
      <c r="D74" s="9"/>
      <c r="E74" s="9"/>
      <c r="F74" s="125"/>
      <c r="G74" s="145"/>
      <c r="H74" s="9"/>
      <c r="I74" s="9"/>
      <c r="J74" s="22"/>
      <c r="K74" s="21"/>
      <c r="L74" s="9"/>
      <c r="M74" s="9"/>
      <c r="N74" s="22"/>
      <c r="O74" s="22"/>
      <c r="P74" s="10"/>
      <c r="Q74" s="10"/>
      <c r="R74" s="125"/>
      <c r="S74" s="145"/>
      <c r="T74" s="9"/>
      <c r="U74" s="9"/>
      <c r="V74" s="22"/>
      <c r="W74" s="22"/>
      <c r="X74" s="137"/>
      <c r="Y74" s="137"/>
      <c r="Z74" s="149">
        <f t="shared" si="10"/>
        <v>0</v>
      </c>
      <c r="AA74" s="141">
        <f t="shared" si="7"/>
        <v>0</v>
      </c>
      <c r="AB74" s="9">
        <f t="shared" si="8"/>
        <v>0</v>
      </c>
      <c r="AC74" s="25">
        <f t="shared" si="9"/>
        <v>0</v>
      </c>
      <c r="AD74" s="20"/>
    </row>
    <row r="75" spans="1:30" ht="30" customHeight="1" x14ac:dyDescent="0.35">
      <c r="A75" s="7"/>
      <c r="B75" s="7" t="s">
        <v>125</v>
      </c>
      <c r="C75" s="8">
        <v>46576</v>
      </c>
      <c r="D75" s="9"/>
      <c r="E75" s="9"/>
      <c r="F75" s="125"/>
      <c r="G75" s="145"/>
      <c r="H75" s="9"/>
      <c r="I75" s="9"/>
      <c r="J75" s="22"/>
      <c r="K75" s="21"/>
      <c r="L75" s="9"/>
      <c r="M75" s="9"/>
      <c r="N75" s="22"/>
      <c r="O75" s="22"/>
      <c r="P75" s="10"/>
      <c r="Q75" s="10"/>
      <c r="R75" s="125"/>
      <c r="S75" s="145"/>
      <c r="T75" s="9"/>
      <c r="U75" s="9"/>
      <c r="V75" s="22"/>
      <c r="W75" s="22"/>
      <c r="X75" s="137"/>
      <c r="Y75" s="137"/>
      <c r="Z75" s="149">
        <f t="shared" si="10"/>
        <v>0</v>
      </c>
      <c r="AA75" s="141">
        <f t="shared" si="7"/>
        <v>0</v>
      </c>
      <c r="AB75" s="9">
        <f t="shared" si="8"/>
        <v>0</v>
      </c>
      <c r="AC75" s="25">
        <f t="shared" si="9"/>
        <v>0</v>
      </c>
      <c r="AD75" s="20"/>
    </row>
    <row r="76" spans="1:30" ht="30" customHeight="1" x14ac:dyDescent="0.35">
      <c r="A76" s="7"/>
      <c r="B76" s="7" t="s">
        <v>126</v>
      </c>
      <c r="C76" s="8">
        <v>46577</v>
      </c>
      <c r="D76" s="9"/>
      <c r="E76" s="9"/>
      <c r="F76" s="125"/>
      <c r="G76" s="145"/>
      <c r="H76" s="9"/>
      <c r="I76" s="9"/>
      <c r="J76" s="22"/>
      <c r="K76" s="21"/>
      <c r="L76" s="9"/>
      <c r="M76" s="9"/>
      <c r="N76" s="22"/>
      <c r="O76" s="22"/>
      <c r="P76" s="9"/>
      <c r="Q76" s="9"/>
      <c r="R76" s="125"/>
      <c r="S76" s="125"/>
      <c r="T76" s="9"/>
      <c r="U76" s="9"/>
      <c r="V76" s="22"/>
      <c r="W76" s="22"/>
      <c r="X76" s="24"/>
      <c r="Y76" s="24"/>
      <c r="Z76" s="149">
        <f t="shared" si="10"/>
        <v>0</v>
      </c>
      <c r="AA76" s="141">
        <f t="shared" si="7"/>
        <v>0</v>
      </c>
      <c r="AB76" s="9">
        <f t="shared" si="8"/>
        <v>0</v>
      </c>
      <c r="AC76" s="25">
        <f t="shared" si="9"/>
        <v>0</v>
      </c>
      <c r="AD76" s="20"/>
    </row>
    <row r="77" spans="1:30" ht="30" customHeight="1" x14ac:dyDescent="0.35">
      <c r="A77" s="7"/>
      <c r="B77" s="7" t="s">
        <v>127</v>
      </c>
      <c r="C77" s="8">
        <v>46578</v>
      </c>
      <c r="D77" s="9"/>
      <c r="E77" s="9"/>
      <c r="F77" s="22"/>
      <c r="G77" s="21"/>
      <c r="H77" s="9"/>
      <c r="I77" s="9"/>
      <c r="J77" s="22"/>
      <c r="K77" s="21"/>
      <c r="L77" s="9"/>
      <c r="M77" s="9"/>
      <c r="N77" s="22"/>
      <c r="O77" s="22"/>
      <c r="P77" s="9"/>
      <c r="Q77" s="9"/>
      <c r="R77" s="125"/>
      <c r="S77" s="125"/>
      <c r="T77" s="9"/>
      <c r="U77" s="9"/>
      <c r="V77" s="22"/>
      <c r="W77" s="22"/>
      <c r="X77" s="24"/>
      <c r="Y77" s="24"/>
      <c r="Z77" s="149">
        <f t="shared" si="10"/>
        <v>0</v>
      </c>
      <c r="AA77" s="141">
        <f t="shared" si="7"/>
        <v>0</v>
      </c>
      <c r="AB77" s="9">
        <f t="shared" si="8"/>
        <v>0</v>
      </c>
      <c r="AC77" s="25">
        <f t="shared" si="9"/>
        <v>0</v>
      </c>
      <c r="AD77" s="20"/>
    </row>
    <row r="78" spans="1:30" ht="30" customHeight="1" x14ac:dyDescent="0.35">
      <c r="A78" s="7"/>
      <c r="B78" s="7" t="s">
        <v>128</v>
      </c>
      <c r="C78" s="8">
        <v>46579</v>
      </c>
      <c r="D78" s="9"/>
      <c r="E78" s="9"/>
      <c r="F78" s="22"/>
      <c r="G78" s="21"/>
      <c r="H78" s="9"/>
      <c r="I78" s="9"/>
      <c r="J78" s="22"/>
      <c r="K78" s="21"/>
      <c r="L78" s="9"/>
      <c r="M78" s="9"/>
      <c r="N78" s="22"/>
      <c r="O78" s="22"/>
      <c r="P78" s="9"/>
      <c r="Q78" s="9"/>
      <c r="R78" s="125"/>
      <c r="S78" s="125"/>
      <c r="T78" s="9"/>
      <c r="U78" s="9"/>
      <c r="V78" s="22"/>
      <c r="W78" s="22"/>
      <c r="X78" s="24"/>
      <c r="Y78" s="24"/>
      <c r="Z78" s="149">
        <f t="shared" si="10"/>
        <v>0</v>
      </c>
      <c r="AA78" s="141">
        <f t="shared" si="7"/>
        <v>0</v>
      </c>
      <c r="AB78" s="9">
        <f t="shared" si="8"/>
        <v>0</v>
      </c>
      <c r="AC78" s="25">
        <f t="shared" si="9"/>
        <v>0</v>
      </c>
      <c r="AD78" s="20"/>
    </row>
    <row r="79" spans="1:30" ht="30" customHeight="1" x14ac:dyDescent="0.35">
      <c r="A79" s="7">
        <v>29</v>
      </c>
      <c r="B79" s="7" t="s">
        <v>122</v>
      </c>
      <c r="C79" s="8">
        <v>46580</v>
      </c>
      <c r="D79" s="12"/>
      <c r="E79" s="10"/>
      <c r="F79" s="22"/>
      <c r="G79" s="21"/>
      <c r="H79" s="9"/>
      <c r="I79" s="9"/>
      <c r="J79" s="22"/>
      <c r="K79" s="21"/>
      <c r="L79" s="9"/>
      <c r="M79" s="9"/>
      <c r="N79" s="22"/>
      <c r="O79" s="22"/>
      <c r="P79" s="9"/>
      <c r="Q79" s="9"/>
      <c r="R79" s="125"/>
      <c r="S79" s="125"/>
      <c r="T79" s="9"/>
      <c r="U79" s="9"/>
      <c r="V79" s="22"/>
      <c r="W79" s="22"/>
      <c r="X79" s="24"/>
      <c r="Y79" s="24"/>
      <c r="Z79" s="149">
        <f t="shared" si="10"/>
        <v>0</v>
      </c>
      <c r="AA79" s="141">
        <f t="shared" si="7"/>
        <v>0</v>
      </c>
      <c r="AB79" s="9">
        <f t="shared" si="8"/>
        <v>0</v>
      </c>
      <c r="AC79" s="25">
        <f t="shared" si="9"/>
        <v>0</v>
      </c>
      <c r="AD79" s="20"/>
    </row>
    <row r="80" spans="1:30" ht="30" customHeight="1" x14ac:dyDescent="0.35">
      <c r="A80" s="7"/>
      <c r="B80" s="7" t="s">
        <v>123</v>
      </c>
      <c r="C80" s="8">
        <v>46581</v>
      </c>
      <c r="D80" s="10"/>
      <c r="E80" s="10"/>
      <c r="F80" s="22"/>
      <c r="G80" s="21"/>
      <c r="H80" s="9"/>
      <c r="I80" s="9"/>
      <c r="J80" s="22"/>
      <c r="K80" s="21"/>
      <c r="L80" s="9"/>
      <c r="M80" s="9"/>
      <c r="N80" s="22"/>
      <c r="O80" s="22"/>
      <c r="P80" s="9"/>
      <c r="Q80" s="9"/>
      <c r="R80" s="125"/>
      <c r="S80" s="125"/>
      <c r="T80" s="9"/>
      <c r="U80" s="9"/>
      <c r="V80" s="22"/>
      <c r="W80" s="22"/>
      <c r="X80" s="24"/>
      <c r="Y80" s="24"/>
      <c r="Z80" s="149">
        <f t="shared" si="10"/>
        <v>0</v>
      </c>
      <c r="AA80" s="141">
        <f t="shared" si="7"/>
        <v>0</v>
      </c>
      <c r="AB80" s="9">
        <f t="shared" si="8"/>
        <v>0</v>
      </c>
      <c r="AC80" s="25">
        <f t="shared" si="9"/>
        <v>0</v>
      </c>
      <c r="AD80" s="20"/>
    </row>
    <row r="81" spans="1:30" ht="30" customHeight="1" x14ac:dyDescent="0.35">
      <c r="A81" s="7"/>
      <c r="B81" s="7" t="s">
        <v>124</v>
      </c>
      <c r="C81" s="8">
        <v>46582</v>
      </c>
      <c r="D81" s="10"/>
      <c r="E81" s="10"/>
      <c r="F81" s="22"/>
      <c r="G81" s="21"/>
      <c r="H81" s="9"/>
      <c r="I81" s="9"/>
      <c r="J81" s="22"/>
      <c r="K81" s="21"/>
      <c r="L81" s="9"/>
      <c r="M81" s="9"/>
      <c r="N81" s="22"/>
      <c r="O81" s="22"/>
      <c r="P81" s="9"/>
      <c r="Q81" s="9"/>
      <c r="R81" s="125"/>
      <c r="S81" s="125"/>
      <c r="T81" s="9"/>
      <c r="U81" s="9"/>
      <c r="V81" s="22"/>
      <c r="W81" s="22"/>
      <c r="X81" s="24"/>
      <c r="Y81" s="24"/>
      <c r="Z81" s="149">
        <f t="shared" si="10"/>
        <v>0</v>
      </c>
      <c r="AA81" s="141">
        <f t="shared" si="7"/>
        <v>0</v>
      </c>
      <c r="AB81" s="9">
        <f t="shared" si="8"/>
        <v>0</v>
      </c>
      <c r="AC81" s="25">
        <f t="shared" si="9"/>
        <v>0</v>
      </c>
      <c r="AD81" s="20"/>
    </row>
    <row r="82" spans="1:30" ht="30" customHeight="1" x14ac:dyDescent="0.35">
      <c r="A82" s="7"/>
      <c r="B82" s="7" t="s">
        <v>125</v>
      </c>
      <c r="C82" s="8">
        <v>46583</v>
      </c>
      <c r="D82" s="10"/>
      <c r="E82" s="10"/>
      <c r="F82" s="22"/>
      <c r="G82" s="21"/>
      <c r="H82" s="9"/>
      <c r="I82" s="9"/>
      <c r="J82" s="22"/>
      <c r="K82" s="21"/>
      <c r="L82" s="9"/>
      <c r="M82" s="9"/>
      <c r="N82" s="22"/>
      <c r="O82" s="22"/>
      <c r="P82" s="9"/>
      <c r="Q82" s="9"/>
      <c r="R82" s="125"/>
      <c r="S82" s="125"/>
      <c r="T82" s="9"/>
      <c r="U82" s="9"/>
      <c r="V82" s="22"/>
      <c r="W82" s="22"/>
      <c r="X82" s="24"/>
      <c r="Y82" s="24"/>
      <c r="Z82" s="149">
        <f t="shared" si="10"/>
        <v>0</v>
      </c>
      <c r="AA82" s="141">
        <f t="shared" si="7"/>
        <v>0</v>
      </c>
      <c r="AB82" s="9">
        <f t="shared" si="8"/>
        <v>0</v>
      </c>
      <c r="AC82" s="25">
        <f t="shared" si="9"/>
        <v>0</v>
      </c>
      <c r="AD82" s="20"/>
    </row>
    <row r="83" spans="1:30" ht="30" customHeight="1" x14ac:dyDescent="0.35">
      <c r="A83" s="7"/>
      <c r="B83" s="7" t="s">
        <v>126</v>
      </c>
      <c r="C83" s="8">
        <v>46584</v>
      </c>
      <c r="D83" s="10"/>
      <c r="E83" s="10"/>
      <c r="F83" s="22"/>
      <c r="G83" s="21"/>
      <c r="H83" s="9"/>
      <c r="I83" s="9"/>
      <c r="J83" s="22"/>
      <c r="K83" s="21"/>
      <c r="L83" s="9"/>
      <c r="M83" s="9"/>
      <c r="N83" s="22"/>
      <c r="O83" s="22"/>
      <c r="P83" s="9"/>
      <c r="Q83" s="9"/>
      <c r="R83" s="125"/>
      <c r="S83" s="125"/>
      <c r="T83" s="9"/>
      <c r="U83" s="9"/>
      <c r="V83" s="22"/>
      <c r="W83" s="22"/>
      <c r="X83" s="24"/>
      <c r="Y83" s="24"/>
      <c r="Z83" s="149">
        <f t="shared" si="10"/>
        <v>0</v>
      </c>
      <c r="AA83" s="141">
        <f t="shared" si="7"/>
        <v>0</v>
      </c>
      <c r="AB83" s="9">
        <f t="shared" si="8"/>
        <v>0</v>
      </c>
      <c r="AC83" s="25">
        <f t="shared" si="9"/>
        <v>0</v>
      </c>
      <c r="AD83" s="20"/>
    </row>
    <row r="84" spans="1:30" ht="30" customHeight="1" x14ac:dyDescent="0.35">
      <c r="A84" s="7"/>
      <c r="B84" s="7" t="s">
        <v>127</v>
      </c>
      <c r="C84" s="8">
        <v>46585</v>
      </c>
      <c r="D84" s="10"/>
      <c r="E84" s="10"/>
      <c r="F84" s="22"/>
      <c r="G84" s="21"/>
      <c r="H84" s="9"/>
      <c r="I84" s="9"/>
      <c r="J84" s="22"/>
      <c r="K84" s="21"/>
      <c r="L84" s="9"/>
      <c r="M84" s="9"/>
      <c r="N84" s="22"/>
      <c r="O84" s="22"/>
      <c r="P84" s="9"/>
      <c r="Q84" s="9"/>
      <c r="R84" s="125"/>
      <c r="S84" s="125"/>
      <c r="T84" s="9"/>
      <c r="U84" s="9"/>
      <c r="V84" s="22"/>
      <c r="W84" s="22"/>
      <c r="X84" s="24"/>
      <c r="Y84" s="24"/>
      <c r="Z84" s="149">
        <f t="shared" si="10"/>
        <v>0</v>
      </c>
      <c r="AA84" s="141">
        <f t="shared" si="7"/>
        <v>0</v>
      </c>
      <c r="AB84" s="9">
        <f t="shared" si="8"/>
        <v>0</v>
      </c>
      <c r="AC84" s="25">
        <f t="shared" si="9"/>
        <v>0</v>
      </c>
      <c r="AD84" s="20"/>
    </row>
    <row r="85" spans="1:30" ht="30" customHeight="1" x14ac:dyDescent="0.35">
      <c r="A85" s="7"/>
      <c r="B85" s="7" t="s">
        <v>128</v>
      </c>
      <c r="C85" s="8">
        <v>46586</v>
      </c>
      <c r="D85" s="10"/>
      <c r="E85" s="10"/>
      <c r="F85" s="22"/>
      <c r="G85" s="21"/>
      <c r="H85" s="9"/>
      <c r="I85" s="9"/>
      <c r="J85" s="22"/>
      <c r="K85" s="21"/>
      <c r="L85" s="9"/>
      <c r="M85" s="9"/>
      <c r="N85" s="22"/>
      <c r="O85" s="22"/>
      <c r="P85" s="9"/>
      <c r="Q85" s="9"/>
      <c r="R85" s="125"/>
      <c r="S85" s="125"/>
      <c r="T85" s="9"/>
      <c r="U85" s="9"/>
      <c r="V85" s="22"/>
      <c r="W85" s="22"/>
      <c r="X85" s="24"/>
      <c r="Y85" s="24"/>
      <c r="Z85" s="149">
        <f t="shared" si="10"/>
        <v>0</v>
      </c>
      <c r="AA85" s="141">
        <f t="shared" si="7"/>
        <v>0</v>
      </c>
      <c r="AB85" s="9">
        <f t="shared" si="8"/>
        <v>0</v>
      </c>
      <c r="AC85" s="25">
        <f t="shared" si="9"/>
        <v>0</v>
      </c>
      <c r="AD85" s="20"/>
    </row>
    <row r="86" spans="1:30" ht="30" customHeight="1" x14ac:dyDescent="0.35">
      <c r="A86" s="7">
        <v>30</v>
      </c>
      <c r="B86" s="7" t="s">
        <v>122</v>
      </c>
      <c r="C86" s="8">
        <v>46587</v>
      </c>
      <c r="D86" s="10"/>
      <c r="E86" s="10"/>
      <c r="F86" s="22"/>
      <c r="G86" s="21"/>
      <c r="H86" s="9"/>
      <c r="I86" s="9"/>
      <c r="J86" s="22"/>
      <c r="K86" s="21"/>
      <c r="L86" s="9"/>
      <c r="M86" s="9"/>
      <c r="N86" s="22"/>
      <c r="O86" s="22"/>
      <c r="P86" s="9"/>
      <c r="Q86" s="9"/>
      <c r="R86" s="125"/>
      <c r="S86" s="125"/>
      <c r="T86" s="9"/>
      <c r="U86" s="9"/>
      <c r="V86" s="22"/>
      <c r="W86" s="22"/>
      <c r="X86" s="24"/>
      <c r="Y86" s="24"/>
      <c r="Z86" s="149">
        <f t="shared" si="10"/>
        <v>0</v>
      </c>
      <c r="AA86" s="141">
        <f t="shared" si="7"/>
        <v>0</v>
      </c>
      <c r="AB86" s="9">
        <f t="shared" si="8"/>
        <v>0</v>
      </c>
      <c r="AC86" s="25">
        <f t="shared" si="9"/>
        <v>0</v>
      </c>
      <c r="AD86" s="20"/>
    </row>
    <row r="87" spans="1:30" ht="30" customHeight="1" x14ac:dyDescent="0.35">
      <c r="A87" s="7"/>
      <c r="B87" s="7" t="s">
        <v>123</v>
      </c>
      <c r="C87" s="8">
        <v>46588</v>
      </c>
      <c r="D87" s="10"/>
      <c r="E87" s="10"/>
      <c r="F87" s="22"/>
      <c r="G87" s="21"/>
      <c r="H87" s="9"/>
      <c r="I87" s="9"/>
      <c r="J87" s="22"/>
      <c r="K87" s="21"/>
      <c r="L87" s="9"/>
      <c r="M87" s="9"/>
      <c r="N87" s="22"/>
      <c r="O87" s="22"/>
      <c r="P87" s="9"/>
      <c r="Q87" s="9"/>
      <c r="R87" s="125"/>
      <c r="S87" s="125"/>
      <c r="T87" s="9"/>
      <c r="U87" s="9"/>
      <c r="V87" s="22"/>
      <c r="W87" s="22"/>
      <c r="X87" s="24"/>
      <c r="Y87" s="24"/>
      <c r="Z87" s="149">
        <f t="shared" si="10"/>
        <v>0</v>
      </c>
      <c r="AA87" s="141">
        <f t="shared" si="7"/>
        <v>0</v>
      </c>
      <c r="AB87" s="9">
        <f t="shared" si="8"/>
        <v>0</v>
      </c>
      <c r="AC87" s="25">
        <f t="shared" si="9"/>
        <v>0</v>
      </c>
      <c r="AD87" s="20"/>
    </row>
    <row r="88" spans="1:30" ht="30" customHeight="1" x14ac:dyDescent="0.35">
      <c r="A88" s="7"/>
      <c r="B88" s="7" t="s">
        <v>124</v>
      </c>
      <c r="C88" s="8">
        <v>46589</v>
      </c>
      <c r="D88" s="10"/>
      <c r="E88" s="10"/>
      <c r="F88" s="22"/>
      <c r="G88" s="21"/>
      <c r="H88" s="9"/>
      <c r="I88" s="9"/>
      <c r="J88" s="22"/>
      <c r="K88" s="21"/>
      <c r="L88" s="9"/>
      <c r="M88" s="9"/>
      <c r="N88" s="22"/>
      <c r="O88" s="22"/>
      <c r="P88" s="9"/>
      <c r="Q88" s="9"/>
      <c r="R88" s="125"/>
      <c r="S88" s="125"/>
      <c r="T88" s="9"/>
      <c r="U88" s="9"/>
      <c r="V88" s="22"/>
      <c r="W88" s="22"/>
      <c r="X88" s="24"/>
      <c r="Y88" s="24"/>
      <c r="Z88" s="149">
        <f t="shared" si="10"/>
        <v>0</v>
      </c>
      <c r="AA88" s="141">
        <f t="shared" si="7"/>
        <v>0</v>
      </c>
      <c r="AB88" s="9">
        <f t="shared" si="8"/>
        <v>0</v>
      </c>
      <c r="AC88" s="25">
        <f t="shared" si="9"/>
        <v>0</v>
      </c>
      <c r="AD88" s="20"/>
    </row>
    <row r="89" spans="1:30" ht="30" customHeight="1" x14ac:dyDescent="0.35">
      <c r="A89" s="7"/>
      <c r="B89" s="7" t="s">
        <v>125</v>
      </c>
      <c r="C89" s="8">
        <v>46590</v>
      </c>
      <c r="D89" s="10"/>
      <c r="E89" s="10"/>
      <c r="F89" s="22"/>
      <c r="G89" s="21"/>
      <c r="H89" s="16"/>
      <c r="I89" s="9"/>
      <c r="J89" s="22"/>
      <c r="K89" s="21"/>
      <c r="L89" s="9"/>
      <c r="M89" s="9"/>
      <c r="N89" s="22"/>
      <c r="O89" s="22"/>
      <c r="P89" s="9"/>
      <c r="Q89" s="9"/>
      <c r="R89" s="125"/>
      <c r="S89" s="125"/>
      <c r="T89" s="9"/>
      <c r="U89" s="9"/>
      <c r="V89" s="22"/>
      <c r="W89" s="22"/>
      <c r="X89" s="24"/>
      <c r="Y89" s="24"/>
      <c r="Z89" s="149">
        <f t="shared" si="10"/>
        <v>0</v>
      </c>
      <c r="AA89" s="141">
        <f t="shared" si="7"/>
        <v>0</v>
      </c>
      <c r="AB89" s="9">
        <f t="shared" si="8"/>
        <v>0</v>
      </c>
      <c r="AC89" s="25">
        <f t="shared" si="9"/>
        <v>0</v>
      </c>
      <c r="AD89" s="20"/>
    </row>
    <row r="90" spans="1:30" ht="30" customHeight="1" x14ac:dyDescent="0.35">
      <c r="A90" s="7"/>
      <c r="B90" s="7" t="s">
        <v>126</v>
      </c>
      <c r="C90" s="8">
        <v>46591</v>
      </c>
      <c r="D90" s="10"/>
      <c r="E90" s="10"/>
      <c r="F90" s="22"/>
      <c r="G90" s="21"/>
      <c r="H90" s="16"/>
      <c r="I90" s="9"/>
      <c r="J90" s="22"/>
      <c r="K90" s="21"/>
      <c r="L90" s="9"/>
      <c r="M90" s="9"/>
      <c r="N90" s="22"/>
      <c r="O90" s="22"/>
      <c r="P90" s="9"/>
      <c r="Q90" s="9"/>
      <c r="R90" s="125"/>
      <c r="S90" s="125"/>
      <c r="T90" s="9"/>
      <c r="U90" s="9"/>
      <c r="V90" s="22"/>
      <c r="W90" s="22"/>
      <c r="X90" s="24"/>
      <c r="Y90" s="24"/>
      <c r="Z90" s="149">
        <f t="shared" si="10"/>
        <v>0</v>
      </c>
      <c r="AA90" s="141">
        <f t="shared" si="7"/>
        <v>0</v>
      </c>
      <c r="AB90" s="9">
        <f t="shared" si="8"/>
        <v>0</v>
      </c>
      <c r="AC90" s="25">
        <f t="shared" si="9"/>
        <v>0</v>
      </c>
      <c r="AD90" s="20"/>
    </row>
    <row r="91" spans="1:30" ht="30" customHeight="1" x14ac:dyDescent="0.35">
      <c r="A91" s="7"/>
      <c r="B91" s="7" t="s">
        <v>127</v>
      </c>
      <c r="C91" s="8">
        <v>46592</v>
      </c>
      <c r="D91" s="10"/>
      <c r="E91" s="10"/>
      <c r="F91" s="22"/>
      <c r="G91" s="21"/>
      <c r="H91" s="16"/>
      <c r="I91" s="9"/>
      <c r="J91" s="22"/>
      <c r="K91" s="21"/>
      <c r="L91" s="9"/>
      <c r="M91" s="9"/>
      <c r="N91" s="22"/>
      <c r="O91" s="22"/>
      <c r="P91" s="9"/>
      <c r="Q91" s="9"/>
      <c r="R91" s="125"/>
      <c r="S91" s="125"/>
      <c r="T91" s="9"/>
      <c r="U91" s="9"/>
      <c r="V91" s="22"/>
      <c r="W91" s="22"/>
      <c r="X91" s="24"/>
      <c r="Y91" s="24"/>
      <c r="Z91" s="149">
        <f t="shared" si="10"/>
        <v>0</v>
      </c>
      <c r="AA91" s="141">
        <f t="shared" si="7"/>
        <v>0</v>
      </c>
      <c r="AB91" s="9">
        <f t="shared" si="8"/>
        <v>0</v>
      </c>
      <c r="AC91" s="25">
        <f t="shared" si="9"/>
        <v>0</v>
      </c>
      <c r="AD91" s="20"/>
    </row>
    <row r="92" spans="1:30" ht="30" customHeight="1" x14ac:dyDescent="0.35">
      <c r="A92" s="7"/>
      <c r="B92" s="7" t="s">
        <v>128</v>
      </c>
      <c r="C92" s="8">
        <v>46593</v>
      </c>
      <c r="D92" s="10"/>
      <c r="E92" s="10"/>
      <c r="F92" s="22"/>
      <c r="G92" s="21"/>
      <c r="H92" s="9"/>
      <c r="I92" s="9"/>
      <c r="J92" s="22"/>
      <c r="K92" s="21"/>
      <c r="L92" s="9"/>
      <c r="M92" s="9"/>
      <c r="N92" s="22"/>
      <c r="O92" s="22"/>
      <c r="P92" s="9"/>
      <c r="Q92" s="9"/>
      <c r="R92" s="125"/>
      <c r="S92" s="125"/>
      <c r="T92" s="9"/>
      <c r="U92" s="9"/>
      <c r="V92" s="22"/>
      <c r="W92" s="22"/>
      <c r="X92" s="24"/>
      <c r="Y92" s="24"/>
      <c r="Z92" s="149">
        <f t="shared" si="10"/>
        <v>0</v>
      </c>
      <c r="AA92" s="141">
        <f t="shared" si="7"/>
        <v>0</v>
      </c>
      <c r="AB92" s="9">
        <f t="shared" si="8"/>
        <v>0</v>
      </c>
      <c r="AC92" s="25">
        <f t="shared" si="9"/>
        <v>0</v>
      </c>
      <c r="AD92" s="20"/>
    </row>
    <row r="93" spans="1:30" ht="30" customHeight="1" x14ac:dyDescent="0.35">
      <c r="A93" s="7">
        <v>31</v>
      </c>
      <c r="B93" s="7" t="s">
        <v>122</v>
      </c>
      <c r="C93" s="8">
        <v>46594</v>
      </c>
      <c r="D93" s="10"/>
      <c r="E93" s="10"/>
      <c r="F93" s="22"/>
      <c r="G93" s="21"/>
      <c r="H93" s="9"/>
      <c r="I93" s="9"/>
      <c r="J93" s="22"/>
      <c r="K93" s="21"/>
      <c r="L93" s="9"/>
      <c r="M93" s="9"/>
      <c r="N93" s="22"/>
      <c r="O93" s="22"/>
      <c r="P93" s="9"/>
      <c r="Q93" s="9"/>
      <c r="R93" s="125"/>
      <c r="S93" s="125"/>
      <c r="T93" s="9"/>
      <c r="U93" s="9"/>
      <c r="V93" s="22"/>
      <c r="W93" s="22"/>
      <c r="X93" s="24"/>
      <c r="Y93" s="24"/>
      <c r="Z93" s="149">
        <f t="shared" si="10"/>
        <v>0</v>
      </c>
      <c r="AA93" s="141">
        <f t="shared" si="7"/>
        <v>0</v>
      </c>
      <c r="AB93" s="9">
        <f t="shared" si="8"/>
        <v>0</v>
      </c>
      <c r="AC93" s="25">
        <f t="shared" si="9"/>
        <v>0</v>
      </c>
      <c r="AD93" s="20"/>
    </row>
    <row r="94" spans="1:30" ht="30" customHeight="1" x14ac:dyDescent="0.35">
      <c r="A94" s="7"/>
      <c r="B94" s="7" t="s">
        <v>123</v>
      </c>
      <c r="C94" s="8">
        <v>46595</v>
      </c>
      <c r="D94" s="12"/>
      <c r="E94" s="10"/>
      <c r="F94" s="22"/>
      <c r="G94" s="21"/>
      <c r="H94" s="9"/>
      <c r="I94" s="9"/>
      <c r="J94" s="22"/>
      <c r="K94" s="21"/>
      <c r="L94" s="9"/>
      <c r="M94" s="9"/>
      <c r="N94" s="22"/>
      <c r="O94" s="22"/>
      <c r="P94" s="9"/>
      <c r="Q94" s="9"/>
      <c r="R94" s="125"/>
      <c r="S94" s="125"/>
      <c r="T94" s="9"/>
      <c r="U94" s="9"/>
      <c r="V94" s="22"/>
      <c r="W94" s="22"/>
      <c r="X94" s="24"/>
      <c r="Y94" s="24"/>
      <c r="Z94" s="149">
        <f t="shared" si="10"/>
        <v>0</v>
      </c>
      <c r="AA94" s="141">
        <f t="shared" si="7"/>
        <v>0</v>
      </c>
      <c r="AB94" s="9">
        <f t="shared" si="8"/>
        <v>0</v>
      </c>
      <c r="AC94" s="25">
        <f t="shared" si="9"/>
        <v>0</v>
      </c>
      <c r="AD94" s="20"/>
    </row>
    <row r="95" spans="1:30" ht="30" customHeight="1" x14ac:dyDescent="0.35">
      <c r="A95" s="7"/>
      <c r="B95" s="7" t="s">
        <v>124</v>
      </c>
      <c r="C95" s="8">
        <v>46596</v>
      </c>
      <c r="D95" s="10"/>
      <c r="E95" s="10"/>
      <c r="F95" s="22"/>
      <c r="G95" s="21"/>
      <c r="H95" s="9"/>
      <c r="I95" s="9"/>
      <c r="J95" s="22"/>
      <c r="K95" s="21"/>
      <c r="L95" s="9"/>
      <c r="M95" s="9"/>
      <c r="N95" s="22"/>
      <c r="O95" s="22"/>
      <c r="P95" s="9"/>
      <c r="Q95" s="9"/>
      <c r="R95" s="125"/>
      <c r="S95" s="125"/>
      <c r="T95" s="9"/>
      <c r="U95" s="9"/>
      <c r="V95" s="22"/>
      <c r="W95" s="22"/>
      <c r="X95" s="24"/>
      <c r="Y95" s="24"/>
      <c r="Z95" s="149">
        <f t="shared" si="10"/>
        <v>0</v>
      </c>
      <c r="AA95" s="141">
        <f t="shared" si="7"/>
        <v>0</v>
      </c>
      <c r="AB95" s="9">
        <f t="shared" si="8"/>
        <v>0</v>
      </c>
      <c r="AC95" s="25">
        <f t="shared" si="9"/>
        <v>0</v>
      </c>
      <c r="AD95" s="20"/>
    </row>
    <row r="96" spans="1:30" ht="30" customHeight="1" x14ac:dyDescent="0.35">
      <c r="A96" s="7"/>
      <c r="B96" s="7" t="s">
        <v>125</v>
      </c>
      <c r="C96" s="8">
        <v>46597</v>
      </c>
      <c r="D96" s="10"/>
      <c r="E96" s="10"/>
      <c r="F96" s="22"/>
      <c r="G96" s="21"/>
      <c r="H96" s="9"/>
      <c r="I96" s="9"/>
      <c r="J96" s="22"/>
      <c r="K96" s="21"/>
      <c r="L96" s="9"/>
      <c r="M96" s="9"/>
      <c r="N96" s="22"/>
      <c r="O96" s="22"/>
      <c r="P96" s="9"/>
      <c r="Q96" s="9"/>
      <c r="R96" s="125"/>
      <c r="S96" s="125"/>
      <c r="T96" s="9"/>
      <c r="U96" s="9"/>
      <c r="V96" s="22"/>
      <c r="W96" s="22"/>
      <c r="X96" s="24"/>
      <c r="Y96" s="24"/>
      <c r="Z96" s="149">
        <f t="shared" si="10"/>
        <v>0</v>
      </c>
      <c r="AA96" s="141">
        <f t="shared" si="7"/>
        <v>0</v>
      </c>
      <c r="AB96" s="9">
        <f t="shared" si="8"/>
        <v>0</v>
      </c>
      <c r="AC96" s="25">
        <f t="shared" si="9"/>
        <v>0</v>
      </c>
      <c r="AD96" s="20"/>
    </row>
    <row r="97" spans="1:30" ht="30" customHeight="1" x14ac:dyDescent="0.35">
      <c r="A97" s="7"/>
      <c r="B97" s="7" t="s">
        <v>126</v>
      </c>
      <c r="C97" s="8">
        <v>46598</v>
      </c>
      <c r="D97" s="10"/>
      <c r="E97" s="10"/>
      <c r="F97" s="22"/>
      <c r="G97" s="21"/>
      <c r="H97" s="9"/>
      <c r="I97" s="9"/>
      <c r="J97" s="22"/>
      <c r="K97" s="21"/>
      <c r="L97" s="9"/>
      <c r="M97" s="9"/>
      <c r="N97" s="22"/>
      <c r="O97" s="22"/>
      <c r="P97" s="9"/>
      <c r="Q97" s="9"/>
      <c r="R97" s="125"/>
      <c r="S97" s="125"/>
      <c r="T97" s="9"/>
      <c r="U97" s="9"/>
      <c r="V97" s="22"/>
      <c r="W97" s="22"/>
      <c r="X97" s="24"/>
      <c r="Y97" s="24"/>
      <c r="Z97" s="149">
        <f t="shared" si="10"/>
        <v>0</v>
      </c>
      <c r="AA97" s="141">
        <f t="shared" si="7"/>
        <v>0</v>
      </c>
      <c r="AB97" s="9">
        <f t="shared" si="8"/>
        <v>0</v>
      </c>
      <c r="AC97" s="25">
        <f t="shared" si="9"/>
        <v>0</v>
      </c>
      <c r="AD97" s="20"/>
    </row>
    <row r="98" spans="1:30" ht="30" customHeight="1" x14ac:dyDescent="0.35">
      <c r="A98" s="7"/>
      <c r="B98" s="7" t="s">
        <v>127</v>
      </c>
      <c r="C98" s="8">
        <v>46599</v>
      </c>
      <c r="D98" s="10"/>
      <c r="E98" s="10"/>
      <c r="F98" s="22"/>
      <c r="G98" s="21"/>
      <c r="H98" s="16"/>
      <c r="I98" s="9"/>
      <c r="J98" s="22"/>
      <c r="K98" s="21"/>
      <c r="L98" s="9"/>
      <c r="M98" s="9"/>
      <c r="N98" s="22"/>
      <c r="O98" s="22"/>
      <c r="P98" s="9"/>
      <c r="Q98" s="9"/>
      <c r="R98" s="125"/>
      <c r="S98" s="125"/>
      <c r="T98" s="9"/>
      <c r="U98" s="9"/>
      <c r="V98" s="22"/>
      <c r="W98" s="22"/>
      <c r="X98" s="24"/>
      <c r="Y98" s="24"/>
      <c r="Z98" s="149">
        <f t="shared" si="10"/>
        <v>0</v>
      </c>
      <c r="AA98" s="141">
        <f t="shared" ref="AA98:AA131" si="11">COUNT(E98,I98,M98,Q98,U98,Y98)</f>
        <v>0</v>
      </c>
      <c r="AB98" s="9">
        <f t="shared" ref="AB98:AB129" si="12">IF(AND(D98&lt;&gt;E98,E98&gt;0),1,0)+IF(AND(H98&lt;&gt;I98,I98&gt;0),1,0)+IF(AND(L98&lt;&gt;M98,M98&gt;0),1,0)+IF(AND(P98&lt;&gt;Q98,Q98&gt;0),1,0)+IF(AND(T98&lt;&gt;U98,U98&gt;0),1,0)</f>
        <v>0</v>
      </c>
      <c r="AC98" s="25">
        <f t="shared" ref="AC98:AC129" si="13">IF(AND(D98&lt;&gt;E98,D98&gt;0),1,0)+IF(AND(H98&lt;&gt;I98,H98&gt;0),1,0)+IF(AND(L98&lt;&gt;M98,L98&gt;0),1,0)+IF(AND(P98&lt;&gt;Q98,P98&gt;0),1,0)+IF(AND(T98&lt;&gt;U98,T98&gt;0),1,0)</f>
        <v>0</v>
      </c>
      <c r="AD98" s="20"/>
    </row>
    <row r="99" spans="1:30" ht="30" customHeight="1" x14ac:dyDescent="0.35">
      <c r="A99" s="7"/>
      <c r="B99" s="7" t="s">
        <v>128</v>
      </c>
      <c r="C99" s="8">
        <v>46600</v>
      </c>
      <c r="D99" s="10"/>
      <c r="E99" s="10"/>
      <c r="F99" s="22"/>
      <c r="G99" s="21"/>
      <c r="H99" s="16"/>
      <c r="I99" s="9"/>
      <c r="J99" s="22"/>
      <c r="K99" s="21"/>
      <c r="L99" s="9"/>
      <c r="M99" s="9"/>
      <c r="N99" s="22"/>
      <c r="O99" s="22"/>
      <c r="P99" s="9"/>
      <c r="Q99" s="9"/>
      <c r="R99" s="125"/>
      <c r="S99" s="125"/>
      <c r="T99" s="9"/>
      <c r="U99" s="9"/>
      <c r="V99" s="22"/>
      <c r="W99" s="22"/>
      <c r="X99" s="24"/>
      <c r="Y99" s="24"/>
      <c r="Z99" s="149">
        <f t="shared" si="10"/>
        <v>0</v>
      </c>
      <c r="AA99" s="141">
        <f t="shared" si="11"/>
        <v>0</v>
      </c>
      <c r="AB99" s="9">
        <f t="shared" si="12"/>
        <v>0</v>
      </c>
      <c r="AC99" s="25">
        <f t="shared" si="13"/>
        <v>0</v>
      </c>
      <c r="AD99" s="20"/>
    </row>
    <row r="100" spans="1:30" ht="30" customHeight="1" x14ac:dyDescent="0.35">
      <c r="A100" s="7">
        <v>32</v>
      </c>
      <c r="B100" s="7" t="s">
        <v>122</v>
      </c>
      <c r="C100" s="8">
        <v>46601</v>
      </c>
      <c r="D100" s="12"/>
      <c r="E100" s="10"/>
      <c r="F100" s="22"/>
      <c r="G100" s="21"/>
      <c r="H100" s="16"/>
      <c r="I100" s="9"/>
      <c r="J100" s="22"/>
      <c r="K100" s="21"/>
      <c r="L100" s="9"/>
      <c r="M100" s="9"/>
      <c r="N100" s="22"/>
      <c r="O100" s="22"/>
      <c r="P100" s="9"/>
      <c r="Q100" s="9"/>
      <c r="R100" s="125"/>
      <c r="S100" s="125"/>
      <c r="T100" s="9"/>
      <c r="U100" s="9"/>
      <c r="V100" s="22"/>
      <c r="W100" s="22"/>
      <c r="X100" s="24"/>
      <c r="Y100" s="24"/>
      <c r="Z100" s="149">
        <f t="shared" si="10"/>
        <v>0</v>
      </c>
      <c r="AA100" s="141">
        <f t="shared" si="11"/>
        <v>0</v>
      </c>
      <c r="AB100" s="9">
        <f t="shared" si="12"/>
        <v>0</v>
      </c>
      <c r="AC100" s="25">
        <f t="shared" si="13"/>
        <v>0</v>
      </c>
      <c r="AD100" s="20"/>
    </row>
    <row r="101" spans="1:30" ht="30" customHeight="1" x14ac:dyDescent="0.35">
      <c r="A101" s="7"/>
      <c r="B101" s="7" t="s">
        <v>123</v>
      </c>
      <c r="C101" s="8">
        <v>46602</v>
      </c>
      <c r="D101" s="12"/>
      <c r="E101" s="10"/>
      <c r="F101" s="22"/>
      <c r="G101" s="21"/>
      <c r="H101" s="16"/>
      <c r="I101" s="9"/>
      <c r="J101" s="22"/>
      <c r="K101" s="21"/>
      <c r="L101" s="9"/>
      <c r="M101" s="9"/>
      <c r="N101" s="22"/>
      <c r="O101" s="22"/>
      <c r="P101" s="9"/>
      <c r="Q101" s="9"/>
      <c r="R101" s="125"/>
      <c r="S101" s="125"/>
      <c r="T101" s="9"/>
      <c r="U101" s="9"/>
      <c r="V101" s="22"/>
      <c r="W101" s="22"/>
      <c r="X101" s="24"/>
      <c r="Y101" s="24"/>
      <c r="Z101" s="149">
        <f t="shared" si="10"/>
        <v>0</v>
      </c>
      <c r="AA101" s="141">
        <f t="shared" si="11"/>
        <v>0</v>
      </c>
      <c r="AB101" s="9">
        <f t="shared" si="12"/>
        <v>0</v>
      </c>
      <c r="AC101" s="25">
        <f t="shared" si="13"/>
        <v>0</v>
      </c>
      <c r="AD101" s="20"/>
    </row>
    <row r="102" spans="1:30" ht="30" customHeight="1" x14ac:dyDescent="0.35">
      <c r="A102" s="7"/>
      <c r="B102" s="7" t="s">
        <v>124</v>
      </c>
      <c r="C102" s="8">
        <v>46603</v>
      </c>
      <c r="D102" s="12"/>
      <c r="E102" s="10"/>
      <c r="F102" s="22"/>
      <c r="G102" s="21"/>
      <c r="H102" s="9"/>
      <c r="I102" s="9"/>
      <c r="J102" s="22"/>
      <c r="K102" s="21"/>
      <c r="L102" s="9"/>
      <c r="M102" s="9"/>
      <c r="N102" s="22"/>
      <c r="O102" s="22"/>
      <c r="P102" s="9"/>
      <c r="Q102" s="9"/>
      <c r="R102" s="125"/>
      <c r="S102" s="125"/>
      <c r="T102" s="9"/>
      <c r="U102" s="9"/>
      <c r="V102" s="22"/>
      <c r="W102" s="22"/>
      <c r="X102" s="24"/>
      <c r="Y102" s="24"/>
      <c r="Z102" s="149">
        <f t="shared" si="10"/>
        <v>0</v>
      </c>
      <c r="AA102" s="141">
        <f t="shared" si="11"/>
        <v>0</v>
      </c>
      <c r="AB102" s="9">
        <f t="shared" si="12"/>
        <v>0</v>
      </c>
      <c r="AC102" s="25">
        <f t="shared" si="13"/>
        <v>0</v>
      </c>
      <c r="AD102" s="20"/>
    </row>
    <row r="103" spans="1:30" ht="30" customHeight="1" x14ac:dyDescent="0.35">
      <c r="A103" s="7"/>
      <c r="B103" s="7" t="s">
        <v>125</v>
      </c>
      <c r="C103" s="8">
        <v>46604</v>
      </c>
      <c r="D103" s="12"/>
      <c r="E103" s="10"/>
      <c r="F103" s="22"/>
      <c r="G103" s="21"/>
      <c r="H103" s="9"/>
      <c r="I103" s="9"/>
      <c r="J103" s="22"/>
      <c r="K103" s="21"/>
      <c r="L103" s="9"/>
      <c r="M103" s="9"/>
      <c r="N103" s="22"/>
      <c r="O103" s="22"/>
      <c r="P103" s="9"/>
      <c r="Q103" s="9"/>
      <c r="R103" s="125"/>
      <c r="S103" s="125"/>
      <c r="T103" s="9"/>
      <c r="U103" s="9"/>
      <c r="V103" s="22"/>
      <c r="W103" s="22"/>
      <c r="X103" s="24"/>
      <c r="Y103" s="24"/>
      <c r="Z103" s="149">
        <f t="shared" si="10"/>
        <v>0</v>
      </c>
      <c r="AA103" s="141">
        <f t="shared" si="11"/>
        <v>0</v>
      </c>
      <c r="AB103" s="9">
        <f t="shared" si="12"/>
        <v>0</v>
      </c>
      <c r="AC103" s="25">
        <f t="shared" si="13"/>
        <v>0</v>
      </c>
      <c r="AD103" s="20"/>
    </row>
    <row r="104" spans="1:30" ht="30" customHeight="1" x14ac:dyDescent="0.35">
      <c r="A104" s="7"/>
      <c r="B104" s="7" t="s">
        <v>126</v>
      </c>
      <c r="C104" s="8">
        <v>46605</v>
      </c>
      <c r="D104" s="12"/>
      <c r="E104" s="10"/>
      <c r="F104" s="22"/>
      <c r="G104" s="21"/>
      <c r="H104" s="9"/>
      <c r="I104" s="9"/>
      <c r="J104" s="22"/>
      <c r="K104" s="21"/>
      <c r="L104" s="9"/>
      <c r="M104" s="9"/>
      <c r="N104" s="22"/>
      <c r="O104" s="22"/>
      <c r="P104" s="9"/>
      <c r="Q104" s="9"/>
      <c r="R104" s="125"/>
      <c r="S104" s="125"/>
      <c r="T104" s="9"/>
      <c r="U104" s="9"/>
      <c r="V104" s="22"/>
      <c r="W104" s="22"/>
      <c r="X104" s="24"/>
      <c r="Y104" s="24"/>
      <c r="Z104" s="149">
        <f t="shared" si="10"/>
        <v>0</v>
      </c>
      <c r="AA104" s="141">
        <f t="shared" si="11"/>
        <v>0</v>
      </c>
      <c r="AB104" s="9">
        <f t="shared" si="12"/>
        <v>0</v>
      </c>
      <c r="AC104" s="25">
        <f t="shared" si="13"/>
        <v>0</v>
      </c>
      <c r="AD104" s="20"/>
    </row>
    <row r="105" spans="1:30" ht="30" customHeight="1" x14ac:dyDescent="0.35">
      <c r="A105" s="7"/>
      <c r="B105" s="7" t="s">
        <v>127</v>
      </c>
      <c r="C105" s="8">
        <v>46606</v>
      </c>
      <c r="D105" s="12"/>
      <c r="E105" s="10"/>
      <c r="F105" s="22"/>
      <c r="G105" s="21"/>
      <c r="H105" s="9"/>
      <c r="I105" s="9"/>
      <c r="J105" s="22"/>
      <c r="K105" s="21"/>
      <c r="L105" s="9"/>
      <c r="M105" s="9"/>
      <c r="N105" s="22"/>
      <c r="O105" s="22"/>
      <c r="P105" s="9"/>
      <c r="Q105" s="9"/>
      <c r="R105" s="125"/>
      <c r="S105" s="125"/>
      <c r="T105" s="9"/>
      <c r="U105" s="9"/>
      <c r="V105" s="22"/>
      <c r="W105" s="22"/>
      <c r="X105" s="24"/>
      <c r="Y105" s="24"/>
      <c r="Z105" s="149">
        <f t="shared" si="10"/>
        <v>0</v>
      </c>
      <c r="AA105" s="141">
        <f t="shared" si="11"/>
        <v>0</v>
      </c>
      <c r="AB105" s="9">
        <f t="shared" si="12"/>
        <v>0</v>
      </c>
      <c r="AC105" s="25">
        <f t="shared" si="13"/>
        <v>0</v>
      </c>
      <c r="AD105" s="20"/>
    </row>
    <row r="106" spans="1:30" ht="30" customHeight="1" x14ac:dyDescent="0.35">
      <c r="A106" s="7"/>
      <c r="B106" s="7" t="s">
        <v>128</v>
      </c>
      <c r="C106" s="8">
        <v>46607</v>
      </c>
      <c r="D106" s="10"/>
      <c r="E106" s="10"/>
      <c r="F106" s="22"/>
      <c r="G106" s="21"/>
      <c r="H106" s="9"/>
      <c r="I106" s="9"/>
      <c r="J106" s="22"/>
      <c r="K106" s="21"/>
      <c r="L106" s="9"/>
      <c r="M106" s="9"/>
      <c r="N106" s="22"/>
      <c r="O106" s="22"/>
      <c r="P106" s="9"/>
      <c r="Q106" s="9"/>
      <c r="R106" s="125"/>
      <c r="S106" s="125"/>
      <c r="T106" s="9"/>
      <c r="U106" s="9"/>
      <c r="V106" s="22"/>
      <c r="W106" s="22"/>
      <c r="X106" s="24"/>
      <c r="Y106" s="24"/>
      <c r="Z106" s="149">
        <f t="shared" si="10"/>
        <v>0</v>
      </c>
      <c r="AA106" s="141">
        <f t="shared" si="11"/>
        <v>0</v>
      </c>
      <c r="AB106" s="9">
        <f t="shared" si="12"/>
        <v>0</v>
      </c>
      <c r="AC106" s="25">
        <f t="shared" si="13"/>
        <v>0</v>
      </c>
      <c r="AD106" s="20"/>
    </row>
    <row r="107" spans="1:30" ht="30" customHeight="1" x14ac:dyDescent="0.35">
      <c r="A107" s="7">
        <v>33</v>
      </c>
      <c r="B107" s="7" t="s">
        <v>122</v>
      </c>
      <c r="C107" s="8">
        <v>46608</v>
      </c>
      <c r="D107" s="10"/>
      <c r="E107" s="10"/>
      <c r="F107" s="22"/>
      <c r="G107" s="21"/>
      <c r="H107" s="9"/>
      <c r="I107" s="9"/>
      <c r="J107" s="22"/>
      <c r="K107" s="21"/>
      <c r="L107" s="9"/>
      <c r="M107" s="9"/>
      <c r="N107" s="22"/>
      <c r="O107" s="22"/>
      <c r="P107" s="9"/>
      <c r="Q107" s="9"/>
      <c r="R107" s="125"/>
      <c r="S107" s="125"/>
      <c r="T107" s="9"/>
      <c r="U107" s="9"/>
      <c r="V107" s="22"/>
      <c r="W107" s="22"/>
      <c r="X107" s="24"/>
      <c r="Y107" s="24"/>
      <c r="Z107" s="149">
        <f t="shared" si="10"/>
        <v>0</v>
      </c>
      <c r="AA107" s="141">
        <f t="shared" si="11"/>
        <v>0</v>
      </c>
      <c r="AB107" s="9">
        <f t="shared" si="12"/>
        <v>0</v>
      </c>
      <c r="AC107" s="25">
        <f t="shared" si="13"/>
        <v>0</v>
      </c>
      <c r="AD107" s="20"/>
    </row>
    <row r="108" spans="1:30" ht="30" customHeight="1" x14ac:dyDescent="0.35">
      <c r="A108" s="7" t="s">
        <v>131</v>
      </c>
      <c r="B108" s="7" t="s">
        <v>123</v>
      </c>
      <c r="C108" s="8">
        <v>46609</v>
      </c>
      <c r="D108" s="10"/>
      <c r="E108" s="10"/>
      <c r="F108" s="22"/>
      <c r="G108" s="21"/>
      <c r="H108" s="9"/>
      <c r="I108" s="9"/>
      <c r="J108" s="22"/>
      <c r="K108" s="21"/>
      <c r="L108" s="9"/>
      <c r="M108" s="9"/>
      <c r="N108" s="22"/>
      <c r="O108" s="22"/>
      <c r="P108" s="9"/>
      <c r="Q108" s="9"/>
      <c r="R108" s="125"/>
      <c r="S108" s="125"/>
      <c r="T108" s="9"/>
      <c r="U108" s="9"/>
      <c r="V108" s="22"/>
      <c r="W108" s="22"/>
      <c r="X108" s="24"/>
      <c r="Y108" s="24"/>
      <c r="Z108" s="149">
        <f t="shared" si="10"/>
        <v>0</v>
      </c>
      <c r="AA108" s="141">
        <f t="shared" si="11"/>
        <v>0</v>
      </c>
      <c r="AB108" s="9">
        <f t="shared" si="12"/>
        <v>0</v>
      </c>
      <c r="AC108" s="25">
        <f t="shared" si="13"/>
        <v>0</v>
      </c>
      <c r="AD108" s="20"/>
    </row>
    <row r="109" spans="1:30" ht="30" customHeight="1" x14ac:dyDescent="0.35">
      <c r="A109" s="7"/>
      <c r="B109" s="7" t="s">
        <v>124</v>
      </c>
      <c r="C109" s="8">
        <v>46610</v>
      </c>
      <c r="D109" s="10"/>
      <c r="E109" s="10"/>
      <c r="F109" s="22"/>
      <c r="G109" s="21"/>
      <c r="H109" s="16"/>
      <c r="I109" s="10"/>
      <c r="J109" s="22"/>
      <c r="K109" s="21"/>
      <c r="L109" s="9"/>
      <c r="M109" s="9"/>
      <c r="N109" s="22"/>
      <c r="O109" s="22"/>
      <c r="P109" s="9"/>
      <c r="Q109" s="9"/>
      <c r="R109" s="125"/>
      <c r="S109" s="125"/>
      <c r="T109" s="9"/>
      <c r="U109" s="9"/>
      <c r="V109" s="22"/>
      <c r="W109" s="22"/>
      <c r="X109" s="24"/>
      <c r="Y109" s="24"/>
      <c r="Z109" s="149">
        <f t="shared" si="10"/>
        <v>0</v>
      </c>
      <c r="AA109" s="141">
        <f t="shared" si="11"/>
        <v>0</v>
      </c>
      <c r="AB109" s="9">
        <f t="shared" si="12"/>
        <v>0</v>
      </c>
      <c r="AC109" s="25">
        <f t="shared" si="13"/>
        <v>0</v>
      </c>
      <c r="AD109" s="20"/>
    </row>
    <row r="110" spans="1:30" ht="30" customHeight="1" x14ac:dyDescent="0.35">
      <c r="A110" s="7" t="s">
        <v>55</v>
      </c>
      <c r="B110" s="7" t="s">
        <v>125</v>
      </c>
      <c r="C110" s="8">
        <v>46611</v>
      </c>
      <c r="D110" s="10"/>
      <c r="E110" s="10"/>
      <c r="F110" s="22"/>
      <c r="G110" s="21"/>
      <c r="H110" s="10"/>
      <c r="I110" s="10"/>
      <c r="J110" s="22"/>
      <c r="K110" s="21"/>
      <c r="L110" s="9"/>
      <c r="M110" s="9"/>
      <c r="N110" s="22"/>
      <c r="O110" s="22"/>
      <c r="P110" s="9"/>
      <c r="Q110" s="9"/>
      <c r="R110" s="125"/>
      <c r="S110" s="125"/>
      <c r="T110" s="9"/>
      <c r="U110" s="9"/>
      <c r="V110" s="22"/>
      <c r="W110" s="22"/>
      <c r="X110" s="24"/>
      <c r="Y110" s="24"/>
      <c r="Z110" s="149">
        <f t="shared" si="10"/>
        <v>0</v>
      </c>
      <c r="AA110" s="141">
        <f t="shared" si="11"/>
        <v>0</v>
      </c>
      <c r="AB110" s="9">
        <f t="shared" si="12"/>
        <v>0</v>
      </c>
      <c r="AC110" s="25">
        <f t="shared" si="13"/>
        <v>0</v>
      </c>
      <c r="AD110" s="20"/>
    </row>
    <row r="111" spans="1:30" ht="30" customHeight="1" x14ac:dyDescent="0.35">
      <c r="A111" s="7" t="s">
        <v>55</v>
      </c>
      <c r="B111" s="7" t="s">
        <v>126</v>
      </c>
      <c r="C111" s="8">
        <v>46612</v>
      </c>
      <c r="D111" s="10"/>
      <c r="E111" s="10"/>
      <c r="F111" s="22"/>
      <c r="G111" s="21"/>
      <c r="H111" s="10"/>
      <c r="I111" s="10"/>
      <c r="J111" s="22"/>
      <c r="K111" s="21"/>
      <c r="L111" s="9"/>
      <c r="M111" s="9"/>
      <c r="N111" s="22"/>
      <c r="O111" s="22"/>
      <c r="P111" s="9"/>
      <c r="Q111" s="9"/>
      <c r="R111" s="125"/>
      <c r="S111" s="125"/>
      <c r="T111" s="9"/>
      <c r="U111" s="9"/>
      <c r="V111" s="22"/>
      <c r="W111" s="22"/>
      <c r="X111" s="24"/>
      <c r="Y111" s="24"/>
      <c r="Z111" s="149">
        <f t="shared" si="10"/>
        <v>0</v>
      </c>
      <c r="AA111" s="141">
        <f t="shared" si="11"/>
        <v>0</v>
      </c>
      <c r="AB111" s="9">
        <f t="shared" si="12"/>
        <v>0</v>
      </c>
      <c r="AC111" s="25">
        <f t="shared" si="13"/>
        <v>0</v>
      </c>
      <c r="AD111" s="20"/>
    </row>
    <row r="112" spans="1:30" ht="30" customHeight="1" x14ac:dyDescent="0.35">
      <c r="A112" s="7" t="s">
        <v>55</v>
      </c>
      <c r="B112" s="7" t="s">
        <v>127</v>
      </c>
      <c r="C112" s="8">
        <v>46613</v>
      </c>
      <c r="D112" s="10"/>
      <c r="E112" s="10"/>
      <c r="F112" s="22"/>
      <c r="G112" s="21"/>
      <c r="H112" s="10"/>
      <c r="I112" s="10"/>
      <c r="J112" s="22"/>
      <c r="K112" s="21"/>
      <c r="L112" s="9"/>
      <c r="M112" s="9"/>
      <c r="N112" s="22"/>
      <c r="O112" s="22"/>
      <c r="P112" s="9"/>
      <c r="Q112" s="9"/>
      <c r="R112" s="125"/>
      <c r="S112" s="125"/>
      <c r="T112" s="9"/>
      <c r="U112" s="9"/>
      <c r="V112" s="22"/>
      <c r="W112" s="22"/>
      <c r="X112" s="24"/>
      <c r="Y112" s="24"/>
      <c r="Z112" s="149">
        <f t="shared" si="10"/>
        <v>0</v>
      </c>
      <c r="AA112" s="141">
        <f t="shared" si="11"/>
        <v>0</v>
      </c>
      <c r="AB112" s="9">
        <f t="shared" si="12"/>
        <v>0</v>
      </c>
      <c r="AC112" s="25">
        <f t="shared" si="13"/>
        <v>0</v>
      </c>
      <c r="AD112" s="20"/>
    </row>
    <row r="113" spans="1:30" ht="30" customHeight="1" x14ac:dyDescent="0.35">
      <c r="A113" s="7"/>
      <c r="B113" s="7" t="s">
        <v>128</v>
      </c>
      <c r="C113" s="8">
        <v>46614</v>
      </c>
      <c r="D113" s="10"/>
      <c r="E113" s="10"/>
      <c r="F113" s="22"/>
      <c r="G113" s="21"/>
      <c r="H113" s="10"/>
      <c r="I113" s="9"/>
      <c r="J113" s="22"/>
      <c r="K113" s="21"/>
      <c r="L113" s="9"/>
      <c r="M113" s="9"/>
      <c r="N113" s="22"/>
      <c r="O113" s="22"/>
      <c r="P113" s="9"/>
      <c r="Q113" s="9"/>
      <c r="R113" s="125"/>
      <c r="S113" s="125"/>
      <c r="T113" s="9"/>
      <c r="U113" s="9"/>
      <c r="V113" s="22"/>
      <c r="W113" s="22"/>
      <c r="X113" s="24"/>
      <c r="Y113" s="24"/>
      <c r="Z113" s="149">
        <f t="shared" si="10"/>
        <v>0</v>
      </c>
      <c r="AA113" s="141">
        <f t="shared" si="11"/>
        <v>0</v>
      </c>
      <c r="AB113" s="9">
        <f t="shared" si="12"/>
        <v>0</v>
      </c>
      <c r="AC113" s="25">
        <f t="shared" si="13"/>
        <v>0</v>
      </c>
      <c r="AD113" s="20"/>
    </row>
    <row r="114" spans="1:30" ht="30" customHeight="1" x14ac:dyDescent="0.35">
      <c r="A114" s="7">
        <v>34</v>
      </c>
      <c r="B114" s="7" t="s">
        <v>122</v>
      </c>
      <c r="C114" s="8">
        <v>46615</v>
      </c>
      <c r="D114" s="12"/>
      <c r="E114" s="10"/>
      <c r="F114" s="22"/>
      <c r="G114" s="21"/>
      <c r="H114" s="16"/>
      <c r="I114" s="9"/>
      <c r="J114" s="22"/>
      <c r="K114" s="21"/>
      <c r="L114" s="9"/>
      <c r="M114" s="9"/>
      <c r="N114" s="22"/>
      <c r="O114" s="22"/>
      <c r="P114" s="9"/>
      <c r="Q114" s="9"/>
      <c r="R114" s="125"/>
      <c r="S114" s="125"/>
      <c r="T114" s="9"/>
      <c r="U114" s="9"/>
      <c r="V114" s="22"/>
      <c r="W114" s="22"/>
      <c r="X114" s="24"/>
      <c r="Y114" s="24"/>
      <c r="Z114" s="149">
        <f t="shared" si="10"/>
        <v>0</v>
      </c>
      <c r="AA114" s="141">
        <f t="shared" si="11"/>
        <v>0</v>
      </c>
      <c r="AB114" s="9">
        <f t="shared" si="12"/>
        <v>0</v>
      </c>
      <c r="AC114" s="25">
        <f t="shared" si="13"/>
        <v>0</v>
      </c>
      <c r="AD114" s="20"/>
    </row>
    <row r="115" spans="1:30" ht="30" customHeight="1" x14ac:dyDescent="0.35">
      <c r="A115" s="7"/>
      <c r="B115" s="7" t="s">
        <v>123</v>
      </c>
      <c r="C115" s="8">
        <v>46616</v>
      </c>
      <c r="D115" s="12"/>
      <c r="E115" s="10"/>
      <c r="F115" s="22"/>
      <c r="G115" s="21"/>
      <c r="H115" s="16"/>
      <c r="I115" s="9"/>
      <c r="J115" s="22"/>
      <c r="K115" s="21"/>
      <c r="L115" s="9"/>
      <c r="M115" s="9"/>
      <c r="N115" s="22"/>
      <c r="O115" s="22"/>
      <c r="P115" s="9"/>
      <c r="Q115" s="9"/>
      <c r="R115" s="125"/>
      <c r="S115" s="125"/>
      <c r="T115" s="9"/>
      <c r="U115" s="9"/>
      <c r="V115" s="22"/>
      <c r="W115" s="22"/>
      <c r="X115" s="24"/>
      <c r="Y115" s="24"/>
      <c r="Z115" s="149">
        <f t="shared" si="10"/>
        <v>0</v>
      </c>
      <c r="AA115" s="141">
        <f t="shared" si="11"/>
        <v>0</v>
      </c>
      <c r="AB115" s="9">
        <f t="shared" si="12"/>
        <v>0</v>
      </c>
      <c r="AC115" s="25">
        <f t="shared" si="13"/>
        <v>0</v>
      </c>
      <c r="AD115" s="20"/>
    </row>
    <row r="116" spans="1:30" ht="30" customHeight="1" x14ac:dyDescent="0.35">
      <c r="A116" s="7"/>
      <c r="B116" s="7" t="s">
        <v>124</v>
      </c>
      <c r="C116" s="8">
        <v>46617</v>
      </c>
      <c r="D116" s="12"/>
      <c r="E116" s="10"/>
      <c r="F116" s="22"/>
      <c r="G116" s="21"/>
      <c r="H116" s="16"/>
      <c r="I116" s="9"/>
      <c r="J116" s="22"/>
      <c r="K116" s="21"/>
      <c r="L116" s="9"/>
      <c r="M116" s="9"/>
      <c r="N116" s="22"/>
      <c r="O116" s="22"/>
      <c r="P116" s="9"/>
      <c r="Q116" s="9"/>
      <c r="R116" s="125"/>
      <c r="S116" s="125"/>
      <c r="T116" s="9"/>
      <c r="U116" s="9"/>
      <c r="V116" s="22"/>
      <c r="W116" s="22"/>
      <c r="X116" s="24"/>
      <c r="Y116" s="24"/>
      <c r="Z116" s="149">
        <f t="shared" si="10"/>
        <v>0</v>
      </c>
      <c r="AA116" s="141">
        <f t="shared" si="11"/>
        <v>0</v>
      </c>
      <c r="AB116" s="9">
        <f t="shared" si="12"/>
        <v>0</v>
      </c>
      <c r="AC116" s="25">
        <f t="shared" si="13"/>
        <v>0</v>
      </c>
      <c r="AD116" s="20"/>
    </row>
    <row r="117" spans="1:30" ht="30" customHeight="1" x14ac:dyDescent="0.35">
      <c r="A117" s="7"/>
      <c r="B117" s="7" t="s">
        <v>125</v>
      </c>
      <c r="C117" s="8">
        <v>46618</v>
      </c>
      <c r="D117" s="12"/>
      <c r="E117" s="10"/>
      <c r="F117" s="22"/>
      <c r="G117" s="21"/>
      <c r="H117" s="16"/>
      <c r="I117" s="9"/>
      <c r="J117" s="22"/>
      <c r="K117" s="21"/>
      <c r="L117" s="9"/>
      <c r="M117" s="9"/>
      <c r="N117" s="22"/>
      <c r="O117" s="22"/>
      <c r="P117" s="9"/>
      <c r="Q117" s="9"/>
      <c r="R117" s="125"/>
      <c r="S117" s="125"/>
      <c r="T117" s="9"/>
      <c r="U117" s="9"/>
      <c r="V117" s="22"/>
      <c r="W117" s="22"/>
      <c r="X117" s="24"/>
      <c r="Y117" s="24"/>
      <c r="Z117" s="149">
        <f t="shared" si="10"/>
        <v>0</v>
      </c>
      <c r="AA117" s="141">
        <f t="shared" si="11"/>
        <v>0</v>
      </c>
      <c r="AB117" s="9">
        <f t="shared" si="12"/>
        <v>0</v>
      </c>
      <c r="AC117" s="25">
        <f t="shared" si="13"/>
        <v>0</v>
      </c>
      <c r="AD117" s="20"/>
    </row>
    <row r="118" spans="1:30" ht="30" customHeight="1" x14ac:dyDescent="0.35">
      <c r="A118" s="7"/>
      <c r="B118" s="7" t="s">
        <v>126</v>
      </c>
      <c r="C118" s="8">
        <v>46619</v>
      </c>
      <c r="D118" s="12"/>
      <c r="E118" s="10"/>
      <c r="F118" s="22"/>
      <c r="G118" s="21"/>
      <c r="H118" s="16"/>
      <c r="I118" s="9"/>
      <c r="J118" s="22"/>
      <c r="K118" s="21"/>
      <c r="L118" s="9"/>
      <c r="M118" s="9"/>
      <c r="N118" s="22"/>
      <c r="O118" s="22"/>
      <c r="P118" s="9"/>
      <c r="Q118" s="9"/>
      <c r="R118" s="125"/>
      <c r="S118" s="125"/>
      <c r="T118" s="9"/>
      <c r="U118" s="9"/>
      <c r="V118" s="22"/>
      <c r="W118" s="22"/>
      <c r="X118" s="24"/>
      <c r="Y118" s="24"/>
      <c r="Z118" s="149">
        <f t="shared" si="10"/>
        <v>0</v>
      </c>
      <c r="AA118" s="141">
        <f t="shared" si="11"/>
        <v>0</v>
      </c>
      <c r="AB118" s="9">
        <f t="shared" si="12"/>
        <v>0</v>
      </c>
      <c r="AC118" s="25">
        <f t="shared" si="13"/>
        <v>0</v>
      </c>
      <c r="AD118" s="20"/>
    </row>
    <row r="119" spans="1:30" ht="30" customHeight="1" x14ac:dyDescent="0.35">
      <c r="A119" s="7"/>
      <c r="B119" s="7" t="s">
        <v>127</v>
      </c>
      <c r="C119" s="8">
        <v>46620</v>
      </c>
      <c r="D119" s="12"/>
      <c r="E119" s="10"/>
      <c r="F119" s="22"/>
      <c r="G119" s="21"/>
      <c r="H119" s="16"/>
      <c r="I119" s="9"/>
      <c r="J119" s="22"/>
      <c r="K119" s="21"/>
      <c r="L119" s="9"/>
      <c r="M119" s="9"/>
      <c r="N119" s="22"/>
      <c r="O119" s="22"/>
      <c r="P119" s="9"/>
      <c r="Q119" s="9"/>
      <c r="R119" s="125"/>
      <c r="S119" s="125"/>
      <c r="T119" s="9"/>
      <c r="U119" s="9"/>
      <c r="V119" s="125"/>
      <c r="W119" s="125"/>
      <c r="X119" s="24"/>
      <c r="Y119" s="24"/>
      <c r="Z119" s="149">
        <f t="shared" si="10"/>
        <v>0</v>
      </c>
      <c r="AA119" s="141">
        <f t="shared" si="11"/>
        <v>0</v>
      </c>
      <c r="AB119" s="9">
        <f t="shared" si="12"/>
        <v>0</v>
      </c>
      <c r="AC119" s="25">
        <f t="shared" si="13"/>
        <v>0</v>
      </c>
      <c r="AD119" s="20"/>
    </row>
    <row r="120" spans="1:30" ht="30" customHeight="1" x14ac:dyDescent="0.35">
      <c r="A120" s="7"/>
      <c r="B120" s="7" t="s">
        <v>128</v>
      </c>
      <c r="C120" s="8">
        <v>46621</v>
      </c>
      <c r="D120" s="12"/>
      <c r="E120" s="10"/>
      <c r="F120" s="22"/>
      <c r="G120" s="21"/>
      <c r="H120" s="16"/>
      <c r="I120" s="9"/>
      <c r="J120" s="22"/>
      <c r="K120" s="21"/>
      <c r="L120" s="9"/>
      <c r="M120" s="9"/>
      <c r="N120" s="22"/>
      <c r="O120" s="22"/>
      <c r="P120" s="9"/>
      <c r="Q120" s="9"/>
      <c r="R120" s="125"/>
      <c r="S120" s="125"/>
      <c r="T120" s="9"/>
      <c r="U120" s="9"/>
      <c r="V120" s="125"/>
      <c r="W120" s="125"/>
      <c r="X120" s="24"/>
      <c r="Y120" s="24"/>
      <c r="Z120" s="149">
        <f t="shared" si="10"/>
        <v>0</v>
      </c>
      <c r="AA120" s="141">
        <f t="shared" si="11"/>
        <v>0</v>
      </c>
      <c r="AB120" s="9">
        <f t="shared" si="12"/>
        <v>0</v>
      </c>
      <c r="AC120" s="25">
        <f t="shared" si="13"/>
        <v>0</v>
      </c>
      <c r="AD120" s="20"/>
    </row>
    <row r="121" spans="1:30" ht="30" customHeight="1" x14ac:dyDescent="0.35">
      <c r="A121" s="7">
        <v>35</v>
      </c>
      <c r="B121" s="7" t="s">
        <v>122</v>
      </c>
      <c r="C121" s="8">
        <v>46622</v>
      </c>
      <c r="D121" s="12"/>
      <c r="E121" s="10"/>
      <c r="F121" s="22"/>
      <c r="G121" s="21"/>
      <c r="H121" s="16"/>
      <c r="I121" s="9"/>
      <c r="J121" s="22"/>
      <c r="K121" s="21"/>
      <c r="L121" s="9"/>
      <c r="M121" s="9"/>
      <c r="N121" s="22"/>
      <c r="O121" s="22"/>
      <c r="P121" s="9"/>
      <c r="Q121" s="9"/>
      <c r="R121" s="125"/>
      <c r="S121" s="125"/>
      <c r="T121" s="9"/>
      <c r="U121" s="9"/>
      <c r="V121" s="125"/>
      <c r="W121" s="125"/>
      <c r="X121" s="24"/>
      <c r="Y121" s="24"/>
      <c r="Z121" s="149">
        <f t="shared" si="10"/>
        <v>0</v>
      </c>
      <c r="AA121" s="141">
        <f t="shared" si="11"/>
        <v>0</v>
      </c>
      <c r="AB121" s="9">
        <f t="shared" si="12"/>
        <v>0</v>
      </c>
      <c r="AC121" s="25">
        <f t="shared" si="13"/>
        <v>0</v>
      </c>
      <c r="AD121" s="20"/>
    </row>
    <row r="122" spans="1:30" ht="30" customHeight="1" x14ac:dyDescent="0.35">
      <c r="A122" s="7"/>
      <c r="B122" s="7" t="s">
        <v>123</v>
      </c>
      <c r="C122" s="8">
        <v>46623</v>
      </c>
      <c r="D122" s="10"/>
      <c r="E122" s="10"/>
      <c r="F122" s="22"/>
      <c r="G122" s="21"/>
      <c r="H122" s="9"/>
      <c r="I122" s="9"/>
      <c r="J122" s="22"/>
      <c r="K122" s="21"/>
      <c r="L122" s="9"/>
      <c r="M122" s="9"/>
      <c r="N122" s="22"/>
      <c r="O122" s="22"/>
      <c r="P122" s="9"/>
      <c r="Q122" s="9"/>
      <c r="R122" s="125"/>
      <c r="S122" s="125"/>
      <c r="T122" s="9"/>
      <c r="U122" s="9"/>
      <c r="V122" s="125"/>
      <c r="W122" s="125"/>
      <c r="X122" s="24"/>
      <c r="Y122" s="24"/>
      <c r="Z122" s="149">
        <f t="shared" si="10"/>
        <v>0</v>
      </c>
      <c r="AA122" s="141">
        <f t="shared" si="11"/>
        <v>0</v>
      </c>
      <c r="AB122" s="9">
        <f t="shared" si="12"/>
        <v>0</v>
      </c>
      <c r="AC122" s="25">
        <f t="shared" si="13"/>
        <v>0</v>
      </c>
      <c r="AD122" s="20"/>
    </row>
    <row r="123" spans="1:30" ht="30" customHeight="1" x14ac:dyDescent="0.35">
      <c r="A123" s="7"/>
      <c r="B123" s="7" t="s">
        <v>124</v>
      </c>
      <c r="C123" s="8">
        <v>46624</v>
      </c>
      <c r="D123" s="10"/>
      <c r="E123" s="10"/>
      <c r="F123" s="22"/>
      <c r="G123" s="21"/>
      <c r="H123" s="9"/>
      <c r="I123" s="9"/>
      <c r="J123" s="22"/>
      <c r="K123" s="21"/>
      <c r="L123" s="9"/>
      <c r="M123" s="9"/>
      <c r="N123" s="22"/>
      <c r="O123" s="22"/>
      <c r="P123" s="9"/>
      <c r="Q123" s="9"/>
      <c r="R123" s="125"/>
      <c r="S123" s="125"/>
      <c r="T123" s="9"/>
      <c r="U123" s="9"/>
      <c r="V123" s="125"/>
      <c r="W123" s="125"/>
      <c r="X123" s="24"/>
      <c r="Y123" s="24"/>
      <c r="Z123" s="149">
        <f t="shared" si="10"/>
        <v>0</v>
      </c>
      <c r="AA123" s="141">
        <f t="shared" si="11"/>
        <v>0</v>
      </c>
      <c r="AB123" s="9">
        <f t="shared" si="12"/>
        <v>0</v>
      </c>
      <c r="AC123" s="25">
        <f t="shared" si="13"/>
        <v>0</v>
      </c>
      <c r="AD123" s="20"/>
    </row>
    <row r="124" spans="1:30" ht="30" customHeight="1" x14ac:dyDescent="0.35">
      <c r="A124" s="7"/>
      <c r="B124" s="7" t="s">
        <v>125</v>
      </c>
      <c r="C124" s="8">
        <v>46625</v>
      </c>
      <c r="D124" s="10"/>
      <c r="E124" s="10"/>
      <c r="F124" s="125"/>
      <c r="G124" s="145"/>
      <c r="H124" s="9"/>
      <c r="I124" s="9"/>
      <c r="J124" s="22"/>
      <c r="K124" s="21"/>
      <c r="L124" s="9"/>
      <c r="M124" s="9"/>
      <c r="N124" s="22"/>
      <c r="O124" s="22"/>
      <c r="P124" s="9"/>
      <c r="Q124" s="9"/>
      <c r="R124" s="125"/>
      <c r="S124" s="125"/>
      <c r="T124" s="9"/>
      <c r="U124" s="9"/>
      <c r="V124" s="125"/>
      <c r="W124" s="125"/>
      <c r="X124" s="24"/>
      <c r="Y124" s="24"/>
      <c r="Z124" s="149">
        <f t="shared" si="10"/>
        <v>0</v>
      </c>
      <c r="AA124" s="141">
        <f t="shared" si="11"/>
        <v>0</v>
      </c>
      <c r="AB124" s="9">
        <f t="shared" si="12"/>
        <v>0</v>
      </c>
      <c r="AC124" s="25">
        <f t="shared" si="13"/>
        <v>0</v>
      </c>
      <c r="AD124" s="20"/>
    </row>
    <row r="125" spans="1:30" ht="30" customHeight="1" x14ac:dyDescent="0.35">
      <c r="A125" s="7"/>
      <c r="B125" s="7" t="s">
        <v>126</v>
      </c>
      <c r="C125" s="8">
        <v>46626</v>
      </c>
      <c r="D125" s="10"/>
      <c r="E125" s="10"/>
      <c r="F125" s="125"/>
      <c r="G125" s="145"/>
      <c r="H125" s="9"/>
      <c r="I125" s="9"/>
      <c r="J125" s="22"/>
      <c r="K125" s="21"/>
      <c r="L125" s="9"/>
      <c r="M125" s="9"/>
      <c r="N125" s="22"/>
      <c r="O125" s="22"/>
      <c r="P125" s="9"/>
      <c r="Q125" s="9"/>
      <c r="R125" s="125"/>
      <c r="S125" s="125"/>
      <c r="T125" s="9"/>
      <c r="U125" s="9"/>
      <c r="V125" s="125"/>
      <c r="W125" s="125"/>
      <c r="X125" s="24"/>
      <c r="Y125" s="24"/>
      <c r="Z125" s="149">
        <f t="shared" si="10"/>
        <v>0</v>
      </c>
      <c r="AA125" s="141">
        <f t="shared" si="11"/>
        <v>0</v>
      </c>
      <c r="AB125" s="9">
        <f t="shared" si="12"/>
        <v>0</v>
      </c>
      <c r="AC125" s="25">
        <f t="shared" si="13"/>
        <v>0</v>
      </c>
      <c r="AD125" s="20"/>
    </row>
    <row r="126" spans="1:30" ht="30" customHeight="1" x14ac:dyDescent="0.35">
      <c r="A126" s="7"/>
      <c r="B126" s="7" t="s">
        <v>127</v>
      </c>
      <c r="C126" s="8">
        <v>46627</v>
      </c>
      <c r="D126" s="12"/>
      <c r="E126" s="10"/>
      <c r="F126" s="125"/>
      <c r="G126" s="145"/>
      <c r="H126" s="9"/>
      <c r="I126" s="9"/>
      <c r="J126" s="22"/>
      <c r="K126" s="21"/>
      <c r="L126" s="9"/>
      <c r="M126" s="9"/>
      <c r="N126" s="22"/>
      <c r="O126" s="22"/>
      <c r="P126" s="9"/>
      <c r="Q126" s="9"/>
      <c r="R126" s="125"/>
      <c r="S126" s="125"/>
      <c r="T126" s="9"/>
      <c r="U126" s="9"/>
      <c r="V126" s="125"/>
      <c r="W126" s="125"/>
      <c r="X126" s="24"/>
      <c r="Y126" s="24"/>
      <c r="Z126" s="149">
        <f t="shared" si="10"/>
        <v>0</v>
      </c>
      <c r="AA126" s="141">
        <f t="shared" si="11"/>
        <v>0</v>
      </c>
      <c r="AB126" s="9">
        <f t="shared" si="12"/>
        <v>0</v>
      </c>
      <c r="AC126" s="25">
        <f t="shared" si="13"/>
        <v>0</v>
      </c>
      <c r="AD126" s="20"/>
    </row>
    <row r="127" spans="1:30" ht="30" customHeight="1" x14ac:dyDescent="0.35">
      <c r="A127" s="7"/>
      <c r="B127" s="7" t="s">
        <v>128</v>
      </c>
      <c r="C127" s="8">
        <v>46628</v>
      </c>
      <c r="D127" s="12"/>
      <c r="E127" s="10"/>
      <c r="F127" s="125"/>
      <c r="G127" s="145"/>
      <c r="H127" s="9"/>
      <c r="I127" s="9"/>
      <c r="J127" s="22"/>
      <c r="K127" s="21"/>
      <c r="L127" s="9"/>
      <c r="M127" s="9"/>
      <c r="N127" s="22"/>
      <c r="O127" s="22"/>
      <c r="P127" s="9"/>
      <c r="Q127" s="9"/>
      <c r="R127" s="125"/>
      <c r="S127" s="125"/>
      <c r="T127" s="9"/>
      <c r="U127" s="9"/>
      <c r="V127" s="125"/>
      <c r="W127" s="125"/>
      <c r="X127" s="24"/>
      <c r="Y127" s="24"/>
      <c r="Z127" s="149">
        <f t="shared" si="10"/>
        <v>0</v>
      </c>
      <c r="AA127" s="141">
        <f t="shared" si="11"/>
        <v>0</v>
      </c>
      <c r="AB127" s="9">
        <f t="shared" si="12"/>
        <v>0</v>
      </c>
      <c r="AC127" s="25">
        <f t="shared" si="13"/>
        <v>0</v>
      </c>
      <c r="AD127" s="20"/>
    </row>
    <row r="128" spans="1:30" ht="30" customHeight="1" x14ac:dyDescent="0.35">
      <c r="A128" s="7">
        <v>36</v>
      </c>
      <c r="B128" s="7" t="s">
        <v>122</v>
      </c>
      <c r="C128" s="8">
        <v>46629</v>
      </c>
      <c r="D128" s="12"/>
      <c r="E128" s="10"/>
      <c r="F128" s="125"/>
      <c r="G128" s="145"/>
      <c r="H128" s="9"/>
      <c r="I128" s="9"/>
      <c r="J128" s="22"/>
      <c r="K128" s="21"/>
      <c r="L128" s="9"/>
      <c r="M128" s="9"/>
      <c r="N128" s="22"/>
      <c r="O128" s="22"/>
      <c r="P128" s="9"/>
      <c r="Q128" s="9"/>
      <c r="R128" s="125"/>
      <c r="S128" s="125"/>
      <c r="T128" s="9"/>
      <c r="U128" s="9"/>
      <c r="V128" s="125"/>
      <c r="W128" s="125"/>
      <c r="X128" s="24"/>
      <c r="Y128" s="24"/>
      <c r="Z128" s="149">
        <f t="shared" si="10"/>
        <v>0</v>
      </c>
      <c r="AA128" s="141">
        <f t="shared" si="11"/>
        <v>0</v>
      </c>
      <c r="AB128" s="9">
        <f t="shared" si="12"/>
        <v>0</v>
      </c>
      <c r="AC128" s="25">
        <f t="shared" si="13"/>
        <v>0</v>
      </c>
      <c r="AD128" s="20"/>
    </row>
    <row r="129" spans="1:30" ht="30" customHeight="1" x14ac:dyDescent="0.35">
      <c r="A129" s="7"/>
      <c r="B129" s="7" t="s">
        <v>123</v>
      </c>
      <c r="C129" s="8">
        <v>46630</v>
      </c>
      <c r="D129" s="12"/>
      <c r="E129" s="10"/>
      <c r="F129" s="22"/>
      <c r="G129" s="21"/>
      <c r="H129" s="9"/>
      <c r="I129" s="9"/>
      <c r="J129" s="22"/>
      <c r="K129" s="21"/>
      <c r="L129" s="9"/>
      <c r="M129" s="9"/>
      <c r="N129" s="22"/>
      <c r="O129" s="22"/>
      <c r="P129" s="9"/>
      <c r="Q129" s="9"/>
      <c r="R129" s="125"/>
      <c r="S129" s="125"/>
      <c r="T129" s="9"/>
      <c r="U129" s="9"/>
      <c r="V129" s="148"/>
      <c r="W129" s="125"/>
      <c r="X129" s="24"/>
      <c r="Y129" s="24"/>
      <c r="Z129" s="149">
        <f t="shared" si="10"/>
        <v>0</v>
      </c>
      <c r="AA129" s="141">
        <f t="shared" si="11"/>
        <v>0</v>
      </c>
      <c r="AB129" s="9">
        <f t="shared" si="12"/>
        <v>0</v>
      </c>
      <c r="AC129" s="25">
        <f t="shared" si="13"/>
        <v>0</v>
      </c>
      <c r="AD129" s="20"/>
    </row>
    <row r="130" spans="1:30" ht="30" customHeight="1" x14ac:dyDescent="0.35">
      <c r="A130" s="7"/>
      <c r="B130" s="7" t="s">
        <v>124</v>
      </c>
      <c r="C130" s="8">
        <v>46631</v>
      </c>
      <c r="D130" s="12"/>
      <c r="E130" s="10"/>
      <c r="F130" s="22"/>
      <c r="G130" s="21"/>
      <c r="H130" s="9"/>
      <c r="I130" s="9"/>
      <c r="J130" s="22"/>
      <c r="K130" s="21"/>
      <c r="L130" s="9"/>
      <c r="M130" s="9"/>
      <c r="N130" s="22"/>
      <c r="O130" s="22"/>
      <c r="P130" s="9"/>
      <c r="Q130" s="9"/>
      <c r="R130" s="125"/>
      <c r="S130" s="125"/>
      <c r="T130" s="9"/>
      <c r="U130" s="9"/>
      <c r="V130" s="125"/>
      <c r="W130" s="125"/>
      <c r="X130" s="24"/>
      <c r="Y130" s="24"/>
      <c r="Z130" s="149">
        <f t="shared" si="10"/>
        <v>0</v>
      </c>
      <c r="AA130" s="141">
        <f t="shared" si="11"/>
        <v>0</v>
      </c>
      <c r="AB130" s="9">
        <f t="shared" ref="AB130:AB161" si="14">IF(AND(D130&lt;&gt;E130,E130&gt;0),1,0)+IF(AND(H130&lt;&gt;I130,I130&gt;0),1,0)+IF(AND(L130&lt;&gt;M130,M130&gt;0),1,0)+IF(AND(P130&lt;&gt;Q130,Q130&gt;0),1,0)+IF(AND(T130&lt;&gt;U130,U130&gt;0),1,0)</f>
        <v>0</v>
      </c>
      <c r="AC130" s="25">
        <f t="shared" ref="AC130:AC161" si="15">IF(AND(D130&lt;&gt;E130,D130&gt;0),1,0)+IF(AND(H130&lt;&gt;I130,H130&gt;0),1,0)+IF(AND(L130&lt;&gt;M130,L130&gt;0),1,0)+IF(AND(P130&lt;&gt;Q130,P130&gt;0),1,0)+IF(AND(T130&lt;&gt;U130,T130&gt;0),1,0)</f>
        <v>0</v>
      </c>
      <c r="AD130" s="20"/>
    </row>
    <row r="131" spans="1:30" ht="30" customHeight="1" x14ac:dyDescent="0.35">
      <c r="A131" s="7"/>
      <c r="B131" s="7" t="s">
        <v>125</v>
      </c>
      <c r="C131" s="8">
        <v>46632</v>
      </c>
      <c r="D131" s="12"/>
      <c r="E131" s="10"/>
      <c r="F131" s="22"/>
      <c r="G131" s="144"/>
      <c r="H131" s="9"/>
      <c r="I131" s="9"/>
      <c r="J131" s="22"/>
      <c r="K131" s="21"/>
      <c r="L131" s="9"/>
      <c r="M131" s="9"/>
      <c r="N131" s="22"/>
      <c r="O131" s="22"/>
      <c r="P131" s="9"/>
      <c r="Q131" s="9"/>
      <c r="R131" s="125"/>
      <c r="S131" s="125"/>
      <c r="T131" s="9"/>
      <c r="U131" s="9"/>
      <c r="V131" s="125"/>
      <c r="W131" s="125"/>
      <c r="X131" s="24"/>
      <c r="Y131" s="24"/>
      <c r="Z131" s="149">
        <f t="shared" ref="Z131:Z171" si="16">F131+J131+N131+R131+V131</f>
        <v>0</v>
      </c>
      <c r="AA131" s="141">
        <f t="shared" si="11"/>
        <v>0</v>
      </c>
      <c r="AB131" s="9">
        <f t="shared" si="14"/>
        <v>0</v>
      </c>
      <c r="AC131" s="25">
        <f t="shared" si="15"/>
        <v>0</v>
      </c>
      <c r="AD131" s="20"/>
    </row>
    <row r="132" spans="1:30" ht="30" customHeight="1" x14ac:dyDescent="0.35">
      <c r="A132" s="7"/>
      <c r="B132" s="7" t="s">
        <v>126</v>
      </c>
      <c r="C132" s="8">
        <v>46633</v>
      </c>
      <c r="D132" s="12"/>
      <c r="E132" s="10"/>
      <c r="F132" s="22"/>
      <c r="G132" s="144"/>
      <c r="H132" s="9"/>
      <c r="I132" s="9"/>
      <c r="J132" s="22"/>
      <c r="K132" s="21"/>
      <c r="L132" s="9"/>
      <c r="M132" s="9"/>
      <c r="N132" s="22"/>
      <c r="O132" s="22"/>
      <c r="P132" s="9"/>
      <c r="Q132" s="9"/>
      <c r="R132" s="125"/>
      <c r="S132" s="125"/>
      <c r="T132" s="9"/>
      <c r="U132" s="9"/>
      <c r="V132" s="125"/>
      <c r="W132" s="125"/>
      <c r="X132" s="24"/>
      <c r="Y132" s="24"/>
      <c r="Z132" s="149">
        <f t="shared" si="16"/>
        <v>0</v>
      </c>
      <c r="AA132" s="141">
        <f t="shared" ref="AA132:AA171" si="17">COUNT(E132,I132,M132,Q132,U132,Y132)</f>
        <v>0</v>
      </c>
      <c r="AB132" s="9">
        <f t="shared" si="14"/>
        <v>0</v>
      </c>
      <c r="AC132" s="25">
        <f t="shared" si="15"/>
        <v>0</v>
      </c>
      <c r="AD132" s="20"/>
    </row>
    <row r="133" spans="1:30" ht="30" customHeight="1" x14ac:dyDescent="0.35">
      <c r="A133" s="7"/>
      <c r="B133" s="7" t="s">
        <v>127</v>
      </c>
      <c r="C133" s="8">
        <v>46634</v>
      </c>
      <c r="D133" s="12"/>
      <c r="E133" s="10"/>
      <c r="F133" s="22"/>
      <c r="G133" s="144"/>
      <c r="H133" s="16"/>
      <c r="I133" s="9"/>
      <c r="J133" s="22"/>
      <c r="K133" s="21"/>
      <c r="L133" s="9"/>
      <c r="M133" s="9"/>
      <c r="N133" s="22"/>
      <c r="O133" s="22"/>
      <c r="P133" s="9"/>
      <c r="Q133" s="9"/>
      <c r="R133" s="125"/>
      <c r="S133" s="125"/>
      <c r="T133" s="9"/>
      <c r="U133" s="9"/>
      <c r="V133" s="125"/>
      <c r="W133" s="125"/>
      <c r="X133" s="24"/>
      <c r="Y133" s="24"/>
      <c r="Z133" s="149">
        <f t="shared" si="16"/>
        <v>0</v>
      </c>
      <c r="AA133" s="141">
        <f t="shared" si="17"/>
        <v>0</v>
      </c>
      <c r="AB133" s="9">
        <f t="shared" si="14"/>
        <v>0</v>
      </c>
      <c r="AC133" s="25">
        <f t="shared" si="15"/>
        <v>0</v>
      </c>
      <c r="AD133" s="20"/>
    </row>
    <row r="134" spans="1:30" ht="30" customHeight="1" x14ac:dyDescent="0.35">
      <c r="A134" s="7"/>
      <c r="B134" s="7" t="s">
        <v>128</v>
      </c>
      <c r="C134" s="8">
        <v>46635</v>
      </c>
      <c r="D134" s="12"/>
      <c r="E134" s="10"/>
      <c r="F134" s="22"/>
      <c r="G134" s="144"/>
      <c r="H134" s="16"/>
      <c r="I134" s="9"/>
      <c r="J134" s="22"/>
      <c r="K134" s="21"/>
      <c r="L134" s="9"/>
      <c r="M134" s="9"/>
      <c r="N134" s="22"/>
      <c r="O134" s="22"/>
      <c r="P134" s="9"/>
      <c r="Q134" s="9"/>
      <c r="R134" s="125"/>
      <c r="S134" s="125"/>
      <c r="T134" s="9"/>
      <c r="U134" s="9"/>
      <c r="V134" s="125"/>
      <c r="W134" s="125"/>
      <c r="X134" s="24"/>
      <c r="Y134" s="24"/>
      <c r="Z134" s="149">
        <f t="shared" si="16"/>
        <v>0</v>
      </c>
      <c r="AA134" s="141">
        <f t="shared" si="17"/>
        <v>0</v>
      </c>
      <c r="AB134" s="9">
        <f t="shared" si="14"/>
        <v>0</v>
      </c>
      <c r="AC134" s="25">
        <f t="shared" si="15"/>
        <v>0</v>
      </c>
      <c r="AD134" s="20"/>
    </row>
    <row r="135" spans="1:30" ht="30" customHeight="1" x14ac:dyDescent="0.35">
      <c r="A135" s="7">
        <v>37</v>
      </c>
      <c r="B135" s="7" t="s">
        <v>122</v>
      </c>
      <c r="C135" s="8">
        <v>46636</v>
      </c>
      <c r="D135" s="12"/>
      <c r="E135" s="10"/>
      <c r="F135" s="22"/>
      <c r="G135" s="21"/>
      <c r="H135" s="16"/>
      <c r="I135" s="9"/>
      <c r="J135" s="22"/>
      <c r="K135" s="21"/>
      <c r="L135" s="9"/>
      <c r="M135" s="9"/>
      <c r="N135" s="22"/>
      <c r="O135" s="22"/>
      <c r="P135" s="9"/>
      <c r="Q135" s="9"/>
      <c r="R135" s="125"/>
      <c r="S135" s="125"/>
      <c r="T135" s="9"/>
      <c r="U135" s="9"/>
      <c r="V135" s="22"/>
      <c r="W135" s="22"/>
      <c r="X135" s="24"/>
      <c r="Y135" s="24"/>
      <c r="Z135" s="149">
        <f t="shared" si="16"/>
        <v>0</v>
      </c>
      <c r="AA135" s="141">
        <f t="shared" si="17"/>
        <v>0</v>
      </c>
      <c r="AB135" s="9">
        <f t="shared" si="14"/>
        <v>0</v>
      </c>
      <c r="AC135" s="25">
        <f t="shared" si="15"/>
        <v>0</v>
      </c>
      <c r="AD135" s="20"/>
    </row>
    <row r="136" spans="1:30" ht="30" customHeight="1" x14ac:dyDescent="0.35">
      <c r="A136" s="7"/>
      <c r="B136" s="7" t="s">
        <v>123</v>
      </c>
      <c r="C136" s="8">
        <v>46637</v>
      </c>
      <c r="D136" s="12"/>
      <c r="E136" s="10"/>
      <c r="F136" s="22"/>
      <c r="G136" s="21"/>
      <c r="H136" s="16"/>
      <c r="I136" s="9"/>
      <c r="J136" s="22"/>
      <c r="K136" s="21"/>
      <c r="L136" s="9"/>
      <c r="M136" s="9"/>
      <c r="N136" s="22"/>
      <c r="O136" s="22"/>
      <c r="P136" s="9"/>
      <c r="Q136" s="9"/>
      <c r="R136" s="125"/>
      <c r="S136" s="125"/>
      <c r="T136" s="9"/>
      <c r="U136" s="9"/>
      <c r="V136" s="22"/>
      <c r="W136" s="22"/>
      <c r="X136" s="24"/>
      <c r="Y136" s="24"/>
      <c r="Z136" s="149">
        <f t="shared" si="16"/>
        <v>0</v>
      </c>
      <c r="AA136" s="141">
        <f t="shared" si="17"/>
        <v>0</v>
      </c>
      <c r="AB136" s="9">
        <f t="shared" si="14"/>
        <v>0</v>
      </c>
      <c r="AC136" s="25">
        <f t="shared" si="15"/>
        <v>0</v>
      </c>
      <c r="AD136" s="20"/>
    </row>
    <row r="137" spans="1:30" ht="30" customHeight="1" x14ac:dyDescent="0.35">
      <c r="A137" s="7"/>
      <c r="B137" s="7" t="s">
        <v>124</v>
      </c>
      <c r="C137" s="8">
        <v>46638</v>
      </c>
      <c r="D137" s="12"/>
      <c r="E137" s="10"/>
      <c r="F137" s="22"/>
      <c r="G137" s="21"/>
      <c r="H137" s="16"/>
      <c r="I137" s="9"/>
      <c r="J137" s="22"/>
      <c r="K137" s="21"/>
      <c r="L137" s="9"/>
      <c r="M137" s="9"/>
      <c r="N137" s="22"/>
      <c r="O137" s="22"/>
      <c r="P137" s="9"/>
      <c r="Q137" s="9"/>
      <c r="R137" s="125"/>
      <c r="S137" s="125"/>
      <c r="T137" s="9"/>
      <c r="U137" s="9"/>
      <c r="V137" s="22"/>
      <c r="W137" s="22"/>
      <c r="X137" s="24"/>
      <c r="Y137" s="24"/>
      <c r="Z137" s="149">
        <f t="shared" si="16"/>
        <v>0</v>
      </c>
      <c r="AA137" s="141">
        <f t="shared" si="17"/>
        <v>0</v>
      </c>
      <c r="AB137" s="9">
        <f t="shared" si="14"/>
        <v>0</v>
      </c>
      <c r="AC137" s="25">
        <f t="shared" si="15"/>
        <v>0</v>
      </c>
      <c r="AD137" s="20"/>
    </row>
    <row r="138" spans="1:30" ht="30" customHeight="1" x14ac:dyDescent="0.35">
      <c r="A138" s="7"/>
      <c r="B138" s="7" t="s">
        <v>125</v>
      </c>
      <c r="C138" s="8">
        <v>46639</v>
      </c>
      <c r="D138" s="12"/>
      <c r="E138" s="10"/>
      <c r="F138" s="22"/>
      <c r="G138" s="21"/>
      <c r="H138" s="16"/>
      <c r="I138" s="9"/>
      <c r="J138" s="22"/>
      <c r="K138" s="21"/>
      <c r="L138" s="9"/>
      <c r="M138" s="9"/>
      <c r="N138" s="22"/>
      <c r="O138" s="22"/>
      <c r="P138" s="9"/>
      <c r="Q138" s="9"/>
      <c r="R138" s="125"/>
      <c r="S138" s="125"/>
      <c r="T138" s="9"/>
      <c r="U138" s="9"/>
      <c r="V138" s="22"/>
      <c r="W138" s="22"/>
      <c r="X138" s="24"/>
      <c r="Y138" s="24"/>
      <c r="Z138" s="149">
        <f t="shared" si="16"/>
        <v>0</v>
      </c>
      <c r="AA138" s="141">
        <f t="shared" si="17"/>
        <v>0</v>
      </c>
      <c r="AB138" s="9">
        <f t="shared" si="14"/>
        <v>0</v>
      </c>
      <c r="AC138" s="25">
        <f t="shared" si="15"/>
        <v>0</v>
      </c>
      <c r="AD138" s="20"/>
    </row>
    <row r="139" spans="1:30" ht="30" customHeight="1" x14ac:dyDescent="0.35">
      <c r="A139" s="7"/>
      <c r="B139" s="7" t="s">
        <v>126</v>
      </c>
      <c r="C139" s="8">
        <v>46640</v>
      </c>
      <c r="D139" s="12"/>
      <c r="E139" s="10"/>
      <c r="F139" s="22"/>
      <c r="G139" s="21"/>
      <c r="H139" s="16"/>
      <c r="I139" s="9"/>
      <c r="J139" s="22"/>
      <c r="K139" s="21"/>
      <c r="L139" s="9"/>
      <c r="M139" s="9"/>
      <c r="N139" s="22"/>
      <c r="O139" s="22"/>
      <c r="P139" s="9"/>
      <c r="Q139" s="9"/>
      <c r="R139" s="125"/>
      <c r="S139" s="125"/>
      <c r="T139" s="9"/>
      <c r="U139" s="9"/>
      <c r="V139" s="22"/>
      <c r="W139" s="22"/>
      <c r="X139" s="24"/>
      <c r="Y139" s="24"/>
      <c r="Z139" s="149">
        <f t="shared" si="16"/>
        <v>0</v>
      </c>
      <c r="AA139" s="141">
        <f t="shared" si="17"/>
        <v>0</v>
      </c>
      <c r="AB139" s="9">
        <f t="shared" si="14"/>
        <v>0</v>
      </c>
      <c r="AC139" s="25">
        <f t="shared" si="15"/>
        <v>0</v>
      </c>
      <c r="AD139" s="20"/>
    </row>
    <row r="140" spans="1:30" ht="30" customHeight="1" x14ac:dyDescent="0.35">
      <c r="A140" s="7"/>
      <c r="B140" s="7" t="s">
        <v>127</v>
      </c>
      <c r="C140" s="8">
        <v>46641</v>
      </c>
      <c r="D140" s="12"/>
      <c r="E140" s="10"/>
      <c r="F140" s="22"/>
      <c r="G140" s="21"/>
      <c r="H140" s="16"/>
      <c r="I140" s="9"/>
      <c r="J140" s="22"/>
      <c r="K140" s="21"/>
      <c r="L140" s="9"/>
      <c r="M140" s="9"/>
      <c r="N140" s="22"/>
      <c r="O140" s="22"/>
      <c r="P140" s="9"/>
      <c r="Q140" s="9"/>
      <c r="R140" s="125"/>
      <c r="S140" s="125"/>
      <c r="T140" s="9"/>
      <c r="U140" s="9"/>
      <c r="V140" s="22"/>
      <c r="W140" s="22"/>
      <c r="X140" s="24"/>
      <c r="Y140" s="24"/>
      <c r="Z140" s="149">
        <f t="shared" si="16"/>
        <v>0</v>
      </c>
      <c r="AA140" s="141">
        <f t="shared" si="17"/>
        <v>0</v>
      </c>
      <c r="AB140" s="9">
        <f t="shared" si="14"/>
        <v>0</v>
      </c>
      <c r="AC140" s="25">
        <f t="shared" si="15"/>
        <v>0</v>
      </c>
      <c r="AD140" s="20"/>
    </row>
    <row r="141" spans="1:30" ht="30" customHeight="1" x14ac:dyDescent="0.35">
      <c r="A141" s="7"/>
      <c r="B141" s="7" t="s">
        <v>128</v>
      </c>
      <c r="C141" s="8">
        <v>46642</v>
      </c>
      <c r="D141" s="12"/>
      <c r="E141" s="10"/>
      <c r="F141" s="22"/>
      <c r="G141" s="21"/>
      <c r="H141" s="16"/>
      <c r="I141" s="9"/>
      <c r="J141" s="22"/>
      <c r="K141" s="21"/>
      <c r="L141" s="9"/>
      <c r="M141" s="9"/>
      <c r="N141" s="22"/>
      <c r="O141" s="22"/>
      <c r="P141" s="9"/>
      <c r="Q141" s="9"/>
      <c r="R141" s="125"/>
      <c r="S141" s="125"/>
      <c r="T141" s="9"/>
      <c r="U141" s="9"/>
      <c r="V141" s="22"/>
      <c r="W141" s="22"/>
      <c r="X141" s="24"/>
      <c r="Y141" s="24"/>
      <c r="Z141" s="149">
        <f t="shared" si="16"/>
        <v>0</v>
      </c>
      <c r="AA141" s="141">
        <f t="shared" si="17"/>
        <v>0</v>
      </c>
      <c r="AB141" s="9">
        <f t="shared" si="14"/>
        <v>0</v>
      </c>
      <c r="AC141" s="25">
        <f t="shared" si="15"/>
        <v>0</v>
      </c>
      <c r="AD141" s="20"/>
    </row>
    <row r="142" spans="1:30" ht="30" customHeight="1" x14ac:dyDescent="0.35">
      <c r="A142" s="7">
        <v>38</v>
      </c>
      <c r="B142" s="7" t="s">
        <v>122</v>
      </c>
      <c r="C142" s="8">
        <v>46643</v>
      </c>
      <c r="D142" s="12"/>
      <c r="E142" s="10"/>
      <c r="F142" s="22"/>
      <c r="G142" s="21"/>
      <c r="H142" s="16"/>
      <c r="I142" s="9"/>
      <c r="J142" s="22"/>
      <c r="K142" s="21"/>
      <c r="L142" s="9"/>
      <c r="M142" s="9"/>
      <c r="N142" s="22"/>
      <c r="O142" s="22"/>
      <c r="P142" s="9"/>
      <c r="Q142" s="9"/>
      <c r="R142" s="125"/>
      <c r="S142" s="125"/>
      <c r="T142" s="9"/>
      <c r="U142" s="9"/>
      <c r="V142" s="22"/>
      <c r="W142" s="22"/>
      <c r="X142" s="24"/>
      <c r="Y142" s="24"/>
      <c r="Z142" s="149">
        <f t="shared" si="16"/>
        <v>0</v>
      </c>
      <c r="AA142" s="141">
        <f t="shared" si="17"/>
        <v>0</v>
      </c>
      <c r="AB142" s="9">
        <f t="shared" si="14"/>
        <v>0</v>
      </c>
      <c r="AC142" s="25">
        <f t="shared" si="15"/>
        <v>0</v>
      </c>
      <c r="AD142" s="20"/>
    </row>
    <row r="143" spans="1:30" ht="30" customHeight="1" x14ac:dyDescent="0.35">
      <c r="A143" s="7"/>
      <c r="B143" s="7" t="s">
        <v>123</v>
      </c>
      <c r="C143" s="8">
        <v>46644</v>
      </c>
      <c r="D143" s="12"/>
      <c r="E143" s="10"/>
      <c r="F143" s="22"/>
      <c r="G143" s="21"/>
      <c r="H143" s="16"/>
      <c r="I143" s="9"/>
      <c r="J143" s="22"/>
      <c r="K143" s="21"/>
      <c r="L143" s="9"/>
      <c r="M143" s="9"/>
      <c r="N143" s="22"/>
      <c r="O143" s="22"/>
      <c r="P143" s="9"/>
      <c r="Q143" s="9"/>
      <c r="R143" s="125"/>
      <c r="S143" s="125"/>
      <c r="T143" s="9"/>
      <c r="U143" s="9"/>
      <c r="V143" s="22"/>
      <c r="W143" s="22"/>
      <c r="X143" s="24"/>
      <c r="Y143" s="24"/>
      <c r="Z143" s="149">
        <f t="shared" si="16"/>
        <v>0</v>
      </c>
      <c r="AA143" s="141">
        <f t="shared" si="17"/>
        <v>0</v>
      </c>
      <c r="AB143" s="9">
        <f t="shared" si="14"/>
        <v>0</v>
      </c>
      <c r="AC143" s="25">
        <f t="shared" si="15"/>
        <v>0</v>
      </c>
      <c r="AD143" s="20"/>
    </row>
    <row r="144" spans="1:30" ht="30" customHeight="1" x14ac:dyDescent="0.35">
      <c r="A144" s="7"/>
      <c r="B144" s="7" t="s">
        <v>124</v>
      </c>
      <c r="C144" s="8">
        <v>46645</v>
      </c>
      <c r="D144" s="12"/>
      <c r="E144" s="10"/>
      <c r="F144" s="22"/>
      <c r="G144" s="21"/>
      <c r="H144" s="16"/>
      <c r="I144" s="9"/>
      <c r="J144" s="22"/>
      <c r="K144" s="21"/>
      <c r="L144" s="9"/>
      <c r="M144" s="9"/>
      <c r="N144" s="22"/>
      <c r="O144" s="22"/>
      <c r="P144" s="9"/>
      <c r="Q144" s="9"/>
      <c r="R144" s="125"/>
      <c r="S144" s="125"/>
      <c r="T144" s="9"/>
      <c r="U144" s="9"/>
      <c r="V144" s="22"/>
      <c r="W144" s="22"/>
      <c r="X144" s="24"/>
      <c r="Y144" s="24"/>
      <c r="Z144" s="149">
        <f t="shared" si="16"/>
        <v>0</v>
      </c>
      <c r="AA144" s="141">
        <f t="shared" si="17"/>
        <v>0</v>
      </c>
      <c r="AB144" s="9">
        <f t="shared" si="14"/>
        <v>0</v>
      </c>
      <c r="AC144" s="25">
        <f t="shared" si="15"/>
        <v>0</v>
      </c>
      <c r="AD144" s="20"/>
    </row>
    <row r="145" spans="1:30" ht="30" customHeight="1" x14ac:dyDescent="0.35">
      <c r="A145" s="7"/>
      <c r="B145" s="7" t="s">
        <v>125</v>
      </c>
      <c r="C145" s="8">
        <v>46646</v>
      </c>
      <c r="D145" s="12"/>
      <c r="E145" s="10"/>
      <c r="F145" s="22"/>
      <c r="G145" s="21"/>
      <c r="H145" s="16"/>
      <c r="I145" s="9"/>
      <c r="J145" s="22"/>
      <c r="K145" s="21"/>
      <c r="L145" s="9"/>
      <c r="M145" s="9"/>
      <c r="N145" s="22"/>
      <c r="O145" s="22"/>
      <c r="P145" s="9"/>
      <c r="Q145" s="9"/>
      <c r="R145" s="125"/>
      <c r="S145" s="125"/>
      <c r="T145" s="9"/>
      <c r="U145" s="9"/>
      <c r="V145" s="22"/>
      <c r="W145" s="22"/>
      <c r="X145" s="24"/>
      <c r="Y145" s="24"/>
      <c r="Z145" s="149">
        <f t="shared" si="16"/>
        <v>0</v>
      </c>
      <c r="AA145" s="141">
        <f t="shared" si="17"/>
        <v>0</v>
      </c>
      <c r="AB145" s="9">
        <f t="shared" si="14"/>
        <v>0</v>
      </c>
      <c r="AC145" s="25">
        <f t="shared" si="15"/>
        <v>0</v>
      </c>
      <c r="AD145" s="20"/>
    </row>
    <row r="146" spans="1:30" ht="30" customHeight="1" x14ac:dyDescent="0.35">
      <c r="A146" s="7"/>
      <c r="B146" s="7" t="s">
        <v>126</v>
      </c>
      <c r="C146" s="8">
        <v>46647</v>
      </c>
      <c r="D146" s="12"/>
      <c r="E146" s="10"/>
      <c r="F146" s="22"/>
      <c r="G146" s="21"/>
      <c r="H146" s="16"/>
      <c r="I146" s="9"/>
      <c r="J146" s="22"/>
      <c r="K146" s="21"/>
      <c r="L146" s="9"/>
      <c r="M146" s="9"/>
      <c r="N146" s="22"/>
      <c r="O146" s="22"/>
      <c r="P146" s="9"/>
      <c r="Q146" s="9"/>
      <c r="R146" s="125"/>
      <c r="S146" s="125"/>
      <c r="T146" s="9"/>
      <c r="U146" s="9"/>
      <c r="V146" s="22"/>
      <c r="W146" s="22"/>
      <c r="X146" s="24"/>
      <c r="Y146" s="24"/>
      <c r="Z146" s="149">
        <f t="shared" si="16"/>
        <v>0</v>
      </c>
      <c r="AA146" s="141">
        <f t="shared" si="17"/>
        <v>0</v>
      </c>
      <c r="AB146" s="9">
        <f t="shared" si="14"/>
        <v>0</v>
      </c>
      <c r="AC146" s="25">
        <f t="shared" si="15"/>
        <v>0</v>
      </c>
      <c r="AD146" s="20"/>
    </row>
    <row r="147" spans="1:30" ht="30" customHeight="1" x14ac:dyDescent="0.35">
      <c r="A147" s="7"/>
      <c r="B147" s="7" t="s">
        <v>127</v>
      </c>
      <c r="C147" s="8">
        <v>46648</v>
      </c>
      <c r="D147" s="12"/>
      <c r="E147" s="10"/>
      <c r="F147" s="22"/>
      <c r="G147" s="21"/>
      <c r="H147" s="16"/>
      <c r="I147" s="9"/>
      <c r="J147" s="22"/>
      <c r="K147" s="21"/>
      <c r="L147" s="9"/>
      <c r="M147" s="9"/>
      <c r="N147" s="22"/>
      <c r="O147" s="22"/>
      <c r="P147" s="9"/>
      <c r="Q147" s="9"/>
      <c r="R147" s="125"/>
      <c r="S147" s="125"/>
      <c r="T147" s="9"/>
      <c r="U147" s="9"/>
      <c r="V147" s="22"/>
      <c r="W147" s="22"/>
      <c r="X147" s="24"/>
      <c r="Y147" s="24"/>
      <c r="Z147" s="149">
        <f t="shared" si="16"/>
        <v>0</v>
      </c>
      <c r="AA147" s="141">
        <f t="shared" si="17"/>
        <v>0</v>
      </c>
      <c r="AB147" s="9">
        <f t="shared" si="14"/>
        <v>0</v>
      </c>
      <c r="AC147" s="25">
        <f t="shared" si="15"/>
        <v>0</v>
      </c>
      <c r="AD147" s="20"/>
    </row>
    <row r="148" spans="1:30" ht="30" customHeight="1" x14ac:dyDescent="0.35">
      <c r="A148" s="7"/>
      <c r="B148" s="7" t="s">
        <v>128</v>
      </c>
      <c r="C148" s="8">
        <v>46649</v>
      </c>
      <c r="D148" s="12"/>
      <c r="E148" s="10"/>
      <c r="F148" s="22"/>
      <c r="G148" s="21"/>
      <c r="H148" s="16"/>
      <c r="I148" s="9"/>
      <c r="J148" s="22"/>
      <c r="K148" s="21"/>
      <c r="L148" s="9"/>
      <c r="M148" s="9"/>
      <c r="N148" s="22"/>
      <c r="O148" s="22"/>
      <c r="P148" s="9"/>
      <c r="Q148" s="9"/>
      <c r="R148" s="125"/>
      <c r="S148" s="125"/>
      <c r="T148" s="9"/>
      <c r="U148" s="9"/>
      <c r="V148" s="22"/>
      <c r="W148" s="22"/>
      <c r="X148" s="24"/>
      <c r="Y148" s="24"/>
      <c r="Z148" s="149">
        <f t="shared" si="16"/>
        <v>0</v>
      </c>
      <c r="AA148" s="141">
        <f t="shared" si="17"/>
        <v>0</v>
      </c>
      <c r="AB148" s="9">
        <f t="shared" si="14"/>
        <v>0</v>
      </c>
      <c r="AC148" s="25">
        <f t="shared" si="15"/>
        <v>0</v>
      </c>
      <c r="AD148" s="20"/>
    </row>
    <row r="149" spans="1:30" ht="30" customHeight="1" x14ac:dyDescent="0.35">
      <c r="A149" s="7">
        <v>39</v>
      </c>
      <c r="B149" s="7" t="s">
        <v>122</v>
      </c>
      <c r="C149" s="8">
        <v>46650</v>
      </c>
      <c r="D149" s="12"/>
      <c r="E149" s="10"/>
      <c r="F149" s="22"/>
      <c r="G149" s="21"/>
      <c r="H149" s="16"/>
      <c r="I149" s="9"/>
      <c r="J149" s="22"/>
      <c r="K149" s="21"/>
      <c r="L149" s="9"/>
      <c r="M149" s="9"/>
      <c r="N149" s="22"/>
      <c r="O149" s="22"/>
      <c r="P149" s="9"/>
      <c r="Q149" s="9"/>
      <c r="R149" s="125"/>
      <c r="S149" s="125"/>
      <c r="T149" s="9"/>
      <c r="U149" s="9"/>
      <c r="V149" s="22"/>
      <c r="W149" s="22"/>
      <c r="X149" s="24"/>
      <c r="Y149" s="24"/>
      <c r="Z149" s="149">
        <f t="shared" si="16"/>
        <v>0</v>
      </c>
      <c r="AA149" s="141">
        <f t="shared" si="17"/>
        <v>0</v>
      </c>
      <c r="AB149" s="9">
        <f t="shared" si="14"/>
        <v>0</v>
      </c>
      <c r="AC149" s="25">
        <f t="shared" si="15"/>
        <v>0</v>
      </c>
      <c r="AD149" s="20"/>
    </row>
    <row r="150" spans="1:30" ht="30" customHeight="1" x14ac:dyDescent="0.35">
      <c r="A150" s="7"/>
      <c r="B150" s="7" t="s">
        <v>123</v>
      </c>
      <c r="C150" s="8">
        <v>46651</v>
      </c>
      <c r="D150" s="12"/>
      <c r="E150" s="10"/>
      <c r="F150" s="22"/>
      <c r="G150" s="21"/>
      <c r="H150" s="16"/>
      <c r="I150" s="9"/>
      <c r="J150" s="22"/>
      <c r="K150" s="21"/>
      <c r="L150" s="9"/>
      <c r="M150" s="9"/>
      <c r="N150" s="22"/>
      <c r="O150" s="22"/>
      <c r="P150" s="9"/>
      <c r="Q150" s="9"/>
      <c r="R150" s="125"/>
      <c r="S150" s="125"/>
      <c r="T150" s="9"/>
      <c r="U150" s="9"/>
      <c r="V150" s="22"/>
      <c r="W150" s="22"/>
      <c r="X150" s="24"/>
      <c r="Y150" s="24"/>
      <c r="Z150" s="149">
        <f t="shared" si="16"/>
        <v>0</v>
      </c>
      <c r="AA150" s="141">
        <f t="shared" si="17"/>
        <v>0</v>
      </c>
      <c r="AB150" s="9">
        <f t="shared" si="14"/>
        <v>0</v>
      </c>
      <c r="AC150" s="25">
        <f t="shared" si="15"/>
        <v>0</v>
      </c>
      <c r="AD150" s="20"/>
    </row>
    <row r="151" spans="1:30" ht="30" customHeight="1" x14ac:dyDescent="0.35">
      <c r="A151" s="7"/>
      <c r="B151" s="7" t="s">
        <v>124</v>
      </c>
      <c r="C151" s="8">
        <v>46652</v>
      </c>
      <c r="D151" s="12"/>
      <c r="E151" s="10"/>
      <c r="F151" s="22"/>
      <c r="G151" s="21"/>
      <c r="H151" s="16"/>
      <c r="I151" s="9"/>
      <c r="J151" s="22"/>
      <c r="K151" s="21"/>
      <c r="L151" s="9"/>
      <c r="M151" s="9"/>
      <c r="N151" s="22"/>
      <c r="O151" s="22"/>
      <c r="P151" s="9"/>
      <c r="Q151" s="9"/>
      <c r="R151" s="125"/>
      <c r="S151" s="125"/>
      <c r="T151" s="9"/>
      <c r="U151" s="9"/>
      <c r="V151" s="22"/>
      <c r="W151" s="22"/>
      <c r="X151" s="24"/>
      <c r="Y151" s="24"/>
      <c r="Z151" s="149">
        <f t="shared" si="16"/>
        <v>0</v>
      </c>
      <c r="AA151" s="141">
        <f t="shared" si="17"/>
        <v>0</v>
      </c>
      <c r="AB151" s="9">
        <f t="shared" si="14"/>
        <v>0</v>
      </c>
      <c r="AC151" s="25">
        <f t="shared" si="15"/>
        <v>0</v>
      </c>
      <c r="AD151" s="20"/>
    </row>
    <row r="152" spans="1:30" ht="30" customHeight="1" x14ac:dyDescent="0.35">
      <c r="A152" s="7"/>
      <c r="B152" s="7" t="s">
        <v>125</v>
      </c>
      <c r="C152" s="8">
        <v>46653</v>
      </c>
      <c r="D152" s="12"/>
      <c r="E152" s="10"/>
      <c r="F152" s="22"/>
      <c r="G152" s="21"/>
      <c r="H152" s="16"/>
      <c r="I152" s="9"/>
      <c r="J152" s="22"/>
      <c r="K152" s="21"/>
      <c r="L152" s="9"/>
      <c r="M152" s="9"/>
      <c r="N152" s="22"/>
      <c r="O152" s="22"/>
      <c r="P152" s="9"/>
      <c r="Q152" s="9"/>
      <c r="R152" s="125"/>
      <c r="S152" s="125"/>
      <c r="T152" s="9"/>
      <c r="U152" s="9"/>
      <c r="V152" s="22"/>
      <c r="W152" s="22"/>
      <c r="X152" s="24"/>
      <c r="Y152" s="24"/>
      <c r="Z152" s="149">
        <f t="shared" si="16"/>
        <v>0</v>
      </c>
      <c r="AA152" s="141">
        <f t="shared" si="17"/>
        <v>0</v>
      </c>
      <c r="AB152" s="9">
        <f t="shared" si="14"/>
        <v>0</v>
      </c>
      <c r="AC152" s="25">
        <f t="shared" si="15"/>
        <v>0</v>
      </c>
      <c r="AD152" s="20"/>
    </row>
    <row r="153" spans="1:30" ht="30" customHeight="1" x14ac:dyDescent="0.35">
      <c r="A153" s="7"/>
      <c r="B153" s="7" t="s">
        <v>126</v>
      </c>
      <c r="C153" s="8">
        <v>46654</v>
      </c>
      <c r="D153" s="12"/>
      <c r="E153" s="10"/>
      <c r="F153" s="22"/>
      <c r="G153" s="21"/>
      <c r="H153" s="16"/>
      <c r="I153" s="9"/>
      <c r="J153" s="22"/>
      <c r="K153" s="21"/>
      <c r="L153" s="9"/>
      <c r="M153" s="9"/>
      <c r="N153" s="22"/>
      <c r="O153" s="22"/>
      <c r="P153" s="9"/>
      <c r="Q153" s="9"/>
      <c r="R153" s="125"/>
      <c r="S153" s="125"/>
      <c r="T153" s="9"/>
      <c r="U153" s="9"/>
      <c r="V153" s="22"/>
      <c r="W153" s="22"/>
      <c r="X153" s="24"/>
      <c r="Y153" s="24"/>
      <c r="Z153" s="149">
        <f t="shared" si="16"/>
        <v>0</v>
      </c>
      <c r="AA153" s="141">
        <f t="shared" si="17"/>
        <v>0</v>
      </c>
      <c r="AB153" s="9">
        <f t="shared" si="14"/>
        <v>0</v>
      </c>
      <c r="AC153" s="25">
        <f t="shared" si="15"/>
        <v>0</v>
      </c>
      <c r="AD153" s="20"/>
    </row>
    <row r="154" spans="1:30" ht="30" customHeight="1" x14ac:dyDescent="0.35">
      <c r="A154" s="7"/>
      <c r="B154" s="7" t="s">
        <v>127</v>
      </c>
      <c r="C154" s="8">
        <v>46655</v>
      </c>
      <c r="D154" s="12"/>
      <c r="E154" s="10"/>
      <c r="F154" s="22"/>
      <c r="G154" s="21"/>
      <c r="H154" s="16"/>
      <c r="I154" s="9"/>
      <c r="J154" s="22"/>
      <c r="K154" s="21"/>
      <c r="L154" s="9"/>
      <c r="M154" s="9"/>
      <c r="N154" s="22"/>
      <c r="O154" s="22"/>
      <c r="P154" s="9"/>
      <c r="Q154" s="9"/>
      <c r="R154" s="125"/>
      <c r="S154" s="125"/>
      <c r="T154" s="9"/>
      <c r="U154" s="9"/>
      <c r="V154" s="22"/>
      <c r="W154" s="22"/>
      <c r="X154" s="24"/>
      <c r="Y154" s="24"/>
      <c r="Z154" s="149">
        <f t="shared" si="16"/>
        <v>0</v>
      </c>
      <c r="AA154" s="141">
        <f t="shared" si="17"/>
        <v>0</v>
      </c>
      <c r="AB154" s="9">
        <f t="shared" si="14"/>
        <v>0</v>
      </c>
      <c r="AC154" s="25">
        <f t="shared" si="15"/>
        <v>0</v>
      </c>
      <c r="AD154" s="20"/>
    </row>
    <row r="155" spans="1:30" ht="30" customHeight="1" x14ac:dyDescent="0.35">
      <c r="A155" s="7"/>
      <c r="B155" s="7" t="s">
        <v>128</v>
      </c>
      <c r="C155" s="8">
        <v>46656</v>
      </c>
      <c r="D155" s="12"/>
      <c r="E155" s="10"/>
      <c r="F155" s="22"/>
      <c r="G155" s="21"/>
      <c r="H155" s="16"/>
      <c r="I155" s="9"/>
      <c r="J155" s="22"/>
      <c r="K155" s="21"/>
      <c r="L155" s="9"/>
      <c r="M155" s="9"/>
      <c r="N155" s="22"/>
      <c r="O155" s="22"/>
      <c r="P155" s="9"/>
      <c r="Q155" s="9"/>
      <c r="R155" s="125"/>
      <c r="S155" s="125"/>
      <c r="T155" s="9"/>
      <c r="U155" s="9"/>
      <c r="V155" s="22"/>
      <c r="W155" s="22"/>
      <c r="X155" s="24"/>
      <c r="Y155" s="24"/>
      <c r="Z155" s="149">
        <f t="shared" si="16"/>
        <v>0</v>
      </c>
      <c r="AA155" s="141">
        <f t="shared" si="17"/>
        <v>0</v>
      </c>
      <c r="AB155" s="9">
        <f t="shared" si="14"/>
        <v>0</v>
      </c>
      <c r="AC155" s="25">
        <f t="shared" si="15"/>
        <v>0</v>
      </c>
      <c r="AD155" s="20"/>
    </row>
    <row r="156" spans="1:30" ht="30" customHeight="1" x14ac:dyDescent="0.35">
      <c r="A156" s="7">
        <v>40</v>
      </c>
      <c r="B156" s="7" t="s">
        <v>122</v>
      </c>
      <c r="C156" s="8">
        <v>46657</v>
      </c>
      <c r="D156" s="12"/>
      <c r="E156" s="10"/>
      <c r="F156" s="22"/>
      <c r="G156" s="21"/>
      <c r="H156" s="16"/>
      <c r="I156" s="9"/>
      <c r="J156" s="22"/>
      <c r="K156" s="21"/>
      <c r="L156" s="9"/>
      <c r="M156" s="9"/>
      <c r="N156" s="22"/>
      <c r="O156" s="22"/>
      <c r="P156" s="9"/>
      <c r="Q156" s="9"/>
      <c r="R156" s="125"/>
      <c r="S156" s="125"/>
      <c r="T156" s="9"/>
      <c r="U156" s="9"/>
      <c r="V156" s="22"/>
      <c r="W156" s="22"/>
      <c r="X156" s="24"/>
      <c r="Y156" s="24"/>
      <c r="Z156" s="149">
        <f t="shared" si="16"/>
        <v>0</v>
      </c>
      <c r="AA156" s="141">
        <f t="shared" si="17"/>
        <v>0</v>
      </c>
      <c r="AB156" s="9">
        <f t="shared" si="14"/>
        <v>0</v>
      </c>
      <c r="AC156" s="25">
        <f t="shared" si="15"/>
        <v>0</v>
      </c>
      <c r="AD156" s="20"/>
    </row>
    <row r="157" spans="1:30" ht="30" customHeight="1" x14ac:dyDescent="0.35">
      <c r="A157" s="7"/>
      <c r="B157" s="7" t="s">
        <v>123</v>
      </c>
      <c r="C157" s="8">
        <v>46658</v>
      </c>
      <c r="D157" s="12"/>
      <c r="E157" s="10"/>
      <c r="F157" s="22"/>
      <c r="G157" s="21"/>
      <c r="H157" s="16"/>
      <c r="I157" s="9"/>
      <c r="J157" s="22"/>
      <c r="K157" s="21"/>
      <c r="L157" s="9"/>
      <c r="M157" s="9"/>
      <c r="N157" s="22"/>
      <c r="O157" s="22"/>
      <c r="P157" s="9"/>
      <c r="Q157" s="9"/>
      <c r="R157" s="125"/>
      <c r="S157" s="125"/>
      <c r="T157" s="9"/>
      <c r="U157" s="9"/>
      <c r="V157" s="22"/>
      <c r="W157" s="22"/>
      <c r="X157" s="24"/>
      <c r="Y157" s="24"/>
      <c r="Z157" s="149">
        <f t="shared" si="16"/>
        <v>0</v>
      </c>
      <c r="AA157" s="141">
        <f t="shared" si="17"/>
        <v>0</v>
      </c>
      <c r="AB157" s="9">
        <f t="shared" si="14"/>
        <v>0</v>
      </c>
      <c r="AC157" s="25">
        <f t="shared" si="15"/>
        <v>0</v>
      </c>
      <c r="AD157" s="20"/>
    </row>
    <row r="158" spans="1:30" ht="30" customHeight="1" x14ac:dyDescent="0.35">
      <c r="A158" s="7"/>
      <c r="B158" s="7" t="s">
        <v>124</v>
      </c>
      <c r="C158" s="8">
        <v>46659</v>
      </c>
      <c r="D158" s="12"/>
      <c r="E158" s="10"/>
      <c r="F158" s="22"/>
      <c r="G158" s="21"/>
      <c r="H158" s="16"/>
      <c r="I158" s="9"/>
      <c r="J158" s="22"/>
      <c r="K158" s="21"/>
      <c r="L158" s="9"/>
      <c r="M158" s="9"/>
      <c r="N158" s="22"/>
      <c r="O158" s="22"/>
      <c r="P158" s="9"/>
      <c r="Q158" s="9"/>
      <c r="R158" s="125"/>
      <c r="S158" s="125"/>
      <c r="T158" s="9"/>
      <c r="U158" s="9"/>
      <c r="V158" s="22"/>
      <c r="W158" s="22"/>
      <c r="X158" s="24"/>
      <c r="Y158" s="24"/>
      <c r="Z158" s="149">
        <f t="shared" si="16"/>
        <v>0</v>
      </c>
      <c r="AA158" s="141">
        <f t="shared" si="17"/>
        <v>0</v>
      </c>
      <c r="AB158" s="9">
        <f t="shared" si="14"/>
        <v>0</v>
      </c>
      <c r="AC158" s="25">
        <f t="shared" si="15"/>
        <v>0</v>
      </c>
      <c r="AD158" s="20"/>
    </row>
    <row r="159" spans="1:30" ht="30" customHeight="1" x14ac:dyDescent="0.35">
      <c r="A159" s="7"/>
      <c r="B159" s="7" t="s">
        <v>125</v>
      </c>
      <c r="C159" s="8">
        <v>46660</v>
      </c>
      <c r="D159" s="12"/>
      <c r="E159" s="10"/>
      <c r="F159" s="22"/>
      <c r="G159" s="21"/>
      <c r="H159" s="16"/>
      <c r="I159" s="9"/>
      <c r="J159" s="22"/>
      <c r="K159" s="21"/>
      <c r="L159" s="9"/>
      <c r="M159" s="9"/>
      <c r="N159" s="22"/>
      <c r="O159" s="22"/>
      <c r="P159" s="9"/>
      <c r="Q159" s="9"/>
      <c r="R159" s="125"/>
      <c r="S159" s="125"/>
      <c r="T159" s="9"/>
      <c r="U159" s="9"/>
      <c r="V159" s="22"/>
      <c r="W159" s="22"/>
      <c r="X159" s="24"/>
      <c r="Y159" s="24"/>
      <c r="Z159" s="149">
        <f t="shared" si="16"/>
        <v>0</v>
      </c>
      <c r="AA159" s="141">
        <f t="shared" si="17"/>
        <v>0</v>
      </c>
      <c r="AB159" s="9">
        <f t="shared" si="14"/>
        <v>0</v>
      </c>
      <c r="AC159" s="25">
        <f t="shared" si="15"/>
        <v>0</v>
      </c>
      <c r="AD159" s="20"/>
    </row>
    <row r="160" spans="1:30" ht="30" customHeight="1" x14ac:dyDescent="0.35">
      <c r="A160" s="7"/>
      <c r="B160" s="7" t="s">
        <v>126</v>
      </c>
      <c r="C160" s="8">
        <v>46661</v>
      </c>
      <c r="D160" s="12"/>
      <c r="E160" s="10"/>
      <c r="F160" s="22"/>
      <c r="G160" s="21"/>
      <c r="H160" s="16"/>
      <c r="I160" s="9"/>
      <c r="J160" s="22"/>
      <c r="K160" s="21"/>
      <c r="L160" s="9"/>
      <c r="M160" s="9"/>
      <c r="N160" s="22"/>
      <c r="O160" s="22"/>
      <c r="P160" s="9"/>
      <c r="Q160" s="9"/>
      <c r="R160" s="125"/>
      <c r="S160" s="125"/>
      <c r="T160" s="9"/>
      <c r="U160" s="9"/>
      <c r="V160" s="22"/>
      <c r="W160" s="22"/>
      <c r="X160" s="24"/>
      <c r="Y160" s="24"/>
      <c r="Z160" s="149">
        <f t="shared" si="16"/>
        <v>0</v>
      </c>
      <c r="AA160" s="141">
        <f t="shared" si="17"/>
        <v>0</v>
      </c>
      <c r="AB160" s="9">
        <f t="shared" si="14"/>
        <v>0</v>
      </c>
      <c r="AC160" s="25">
        <f t="shared" si="15"/>
        <v>0</v>
      </c>
      <c r="AD160" s="20"/>
    </row>
    <row r="161" spans="1:30" ht="30" customHeight="1" x14ac:dyDescent="0.35">
      <c r="A161" s="7"/>
      <c r="B161" s="7" t="s">
        <v>127</v>
      </c>
      <c r="C161" s="8">
        <v>46662</v>
      </c>
      <c r="D161" s="12"/>
      <c r="E161" s="10"/>
      <c r="F161" s="22"/>
      <c r="G161" s="21"/>
      <c r="H161" s="16"/>
      <c r="I161" s="9"/>
      <c r="J161" s="22"/>
      <c r="K161" s="21"/>
      <c r="L161" s="9"/>
      <c r="M161" s="9"/>
      <c r="N161" s="22"/>
      <c r="O161" s="22"/>
      <c r="P161" s="9"/>
      <c r="Q161" s="9"/>
      <c r="R161" s="125"/>
      <c r="S161" s="125"/>
      <c r="T161" s="9"/>
      <c r="U161" s="9"/>
      <c r="V161" s="22"/>
      <c r="W161" s="22"/>
      <c r="X161" s="24"/>
      <c r="Y161" s="24"/>
      <c r="Z161" s="149">
        <f t="shared" si="16"/>
        <v>0</v>
      </c>
      <c r="AA161" s="141">
        <f t="shared" si="17"/>
        <v>0</v>
      </c>
      <c r="AB161" s="9">
        <f t="shared" si="14"/>
        <v>0</v>
      </c>
      <c r="AC161" s="25">
        <f t="shared" si="15"/>
        <v>0</v>
      </c>
      <c r="AD161" s="20"/>
    </row>
    <row r="162" spans="1:30" ht="30" customHeight="1" x14ac:dyDescent="0.35">
      <c r="A162" s="7"/>
      <c r="B162" s="7" t="s">
        <v>128</v>
      </c>
      <c r="C162" s="8">
        <v>46663</v>
      </c>
      <c r="D162" s="12"/>
      <c r="E162" s="10"/>
      <c r="F162" s="22"/>
      <c r="G162" s="21"/>
      <c r="H162" s="16"/>
      <c r="I162" s="9"/>
      <c r="J162" s="22"/>
      <c r="K162" s="21"/>
      <c r="L162" s="9"/>
      <c r="M162" s="9"/>
      <c r="N162" s="22"/>
      <c r="O162" s="22"/>
      <c r="P162" s="9"/>
      <c r="Q162" s="9"/>
      <c r="R162" s="125"/>
      <c r="S162" s="125"/>
      <c r="T162" s="9"/>
      <c r="U162" s="9"/>
      <c r="V162" s="22"/>
      <c r="W162" s="22"/>
      <c r="X162" s="24"/>
      <c r="Y162" s="24"/>
      <c r="Z162" s="149">
        <f t="shared" si="16"/>
        <v>0</v>
      </c>
      <c r="AA162" s="141">
        <f t="shared" si="17"/>
        <v>0</v>
      </c>
      <c r="AB162" s="9">
        <f t="shared" ref="AB162:AB171" si="18">IF(AND(D162&lt;&gt;E162,E162&gt;0),1,0)+IF(AND(H162&lt;&gt;I162,I162&gt;0),1,0)+IF(AND(L162&lt;&gt;M162,M162&gt;0),1,0)+IF(AND(P162&lt;&gt;Q162,Q162&gt;0),1,0)+IF(AND(T162&lt;&gt;U162,U162&gt;0),1,0)</f>
        <v>0</v>
      </c>
      <c r="AC162" s="25">
        <f t="shared" ref="AC162:AC171" si="19">IF(AND(D162&lt;&gt;E162,D162&gt;0),1,0)+IF(AND(H162&lt;&gt;I162,H162&gt;0),1,0)+IF(AND(L162&lt;&gt;M162,L162&gt;0),1,0)+IF(AND(P162&lt;&gt;Q162,P162&gt;0),1,0)+IF(AND(T162&lt;&gt;U162,T162&gt;0),1,0)</f>
        <v>0</v>
      </c>
      <c r="AD162" s="20"/>
    </row>
    <row r="163" spans="1:30" ht="30" customHeight="1" x14ac:dyDescent="0.35">
      <c r="A163" s="7">
        <v>41</v>
      </c>
      <c r="B163" s="7" t="s">
        <v>122</v>
      </c>
      <c r="C163" s="8">
        <v>46664</v>
      </c>
      <c r="D163" s="12"/>
      <c r="E163" s="10"/>
      <c r="F163" s="22"/>
      <c r="G163" s="21"/>
      <c r="H163" s="16"/>
      <c r="I163" s="9"/>
      <c r="J163" s="22"/>
      <c r="K163" s="21"/>
      <c r="L163" s="9"/>
      <c r="M163" s="9"/>
      <c r="N163" s="22"/>
      <c r="O163" s="22"/>
      <c r="P163" s="9"/>
      <c r="Q163" s="9"/>
      <c r="R163" s="125"/>
      <c r="S163" s="125"/>
      <c r="T163" s="9"/>
      <c r="U163" s="9"/>
      <c r="V163" s="22"/>
      <c r="W163" s="22"/>
      <c r="X163" s="24"/>
      <c r="Y163" s="24"/>
      <c r="Z163" s="149">
        <f t="shared" si="16"/>
        <v>0</v>
      </c>
      <c r="AA163" s="141">
        <f t="shared" si="17"/>
        <v>0</v>
      </c>
      <c r="AB163" s="9">
        <f t="shared" si="18"/>
        <v>0</v>
      </c>
      <c r="AC163" s="25">
        <f t="shared" si="19"/>
        <v>0</v>
      </c>
      <c r="AD163" s="20"/>
    </row>
    <row r="164" spans="1:30" ht="30" customHeight="1" x14ac:dyDescent="0.35">
      <c r="A164" s="7"/>
      <c r="B164" s="7" t="s">
        <v>123</v>
      </c>
      <c r="C164" s="8">
        <v>46665</v>
      </c>
      <c r="D164" s="12"/>
      <c r="E164" s="10"/>
      <c r="F164" s="22"/>
      <c r="G164" s="21"/>
      <c r="H164" s="16"/>
      <c r="I164" s="9"/>
      <c r="J164" s="22"/>
      <c r="K164" s="21"/>
      <c r="L164" s="9"/>
      <c r="M164" s="9"/>
      <c r="N164" s="22"/>
      <c r="O164" s="22"/>
      <c r="P164" s="9"/>
      <c r="Q164" s="9"/>
      <c r="R164" s="125"/>
      <c r="S164" s="125"/>
      <c r="T164" s="9"/>
      <c r="U164" s="9"/>
      <c r="V164" s="22"/>
      <c r="W164" s="22"/>
      <c r="X164" s="24"/>
      <c r="Y164" s="24"/>
      <c r="Z164" s="149">
        <f t="shared" si="16"/>
        <v>0</v>
      </c>
      <c r="AA164" s="141">
        <f t="shared" si="17"/>
        <v>0</v>
      </c>
      <c r="AB164" s="9">
        <f t="shared" si="18"/>
        <v>0</v>
      </c>
      <c r="AC164" s="25">
        <f t="shared" si="19"/>
        <v>0</v>
      </c>
      <c r="AD164" s="20"/>
    </row>
    <row r="165" spans="1:30" ht="30" customHeight="1" thickBot="1" x14ac:dyDescent="0.4">
      <c r="A165" s="7"/>
      <c r="B165" s="7" t="s">
        <v>124</v>
      </c>
      <c r="C165" s="8">
        <v>46666</v>
      </c>
      <c r="D165" s="13"/>
      <c r="E165" s="15"/>
      <c r="F165" s="22"/>
      <c r="G165" s="21"/>
      <c r="H165" s="16"/>
      <c r="I165" s="9"/>
      <c r="J165" s="22"/>
      <c r="K165" s="21"/>
      <c r="L165" s="9"/>
      <c r="M165" s="9"/>
      <c r="N165" s="22"/>
      <c r="O165" s="22"/>
      <c r="P165" s="9"/>
      <c r="Q165" s="9"/>
      <c r="R165" s="125"/>
      <c r="S165" s="125"/>
      <c r="T165" s="9"/>
      <c r="U165" s="9"/>
      <c r="V165" s="22"/>
      <c r="W165" s="22"/>
      <c r="X165" s="24"/>
      <c r="Y165" s="24"/>
      <c r="Z165" s="149">
        <f t="shared" si="16"/>
        <v>0</v>
      </c>
      <c r="AA165" s="141">
        <f t="shared" si="17"/>
        <v>0</v>
      </c>
      <c r="AB165" s="9">
        <f t="shared" si="18"/>
        <v>0</v>
      </c>
      <c r="AC165" s="25">
        <f t="shared" si="19"/>
        <v>0</v>
      </c>
      <c r="AD165" s="20"/>
    </row>
    <row r="166" spans="1:30" ht="30" customHeight="1" thickBot="1" x14ac:dyDescent="0.4">
      <c r="A166" s="7"/>
      <c r="B166" s="7" t="s">
        <v>125</v>
      </c>
      <c r="C166" s="8">
        <v>46667</v>
      </c>
      <c r="D166" s="13"/>
      <c r="E166" s="15"/>
      <c r="F166" s="22"/>
      <c r="G166" s="21"/>
      <c r="H166" s="16"/>
      <c r="I166" s="9"/>
      <c r="J166" s="22"/>
      <c r="K166" s="21"/>
      <c r="L166" s="9"/>
      <c r="M166" s="9"/>
      <c r="N166" s="22"/>
      <c r="O166" s="22"/>
      <c r="P166" s="9"/>
      <c r="Q166" s="9"/>
      <c r="R166" s="125"/>
      <c r="S166" s="125"/>
      <c r="T166" s="9"/>
      <c r="U166" s="9"/>
      <c r="V166" s="22"/>
      <c r="W166" s="22"/>
      <c r="X166" s="24"/>
      <c r="Y166" s="24"/>
      <c r="Z166" s="149">
        <f t="shared" si="16"/>
        <v>0</v>
      </c>
      <c r="AA166" s="141">
        <f t="shared" si="17"/>
        <v>0</v>
      </c>
      <c r="AB166" s="9">
        <f t="shared" si="18"/>
        <v>0</v>
      </c>
      <c r="AC166" s="25">
        <f t="shared" si="19"/>
        <v>0</v>
      </c>
      <c r="AD166" s="20"/>
    </row>
    <row r="167" spans="1:30" ht="30" customHeight="1" thickBot="1" x14ac:dyDescent="0.4">
      <c r="A167" s="7"/>
      <c r="B167" s="7" t="s">
        <v>126</v>
      </c>
      <c r="C167" s="8">
        <v>46668</v>
      </c>
      <c r="D167" s="13"/>
      <c r="E167" s="15"/>
      <c r="F167" s="22"/>
      <c r="G167" s="21"/>
      <c r="H167" s="16"/>
      <c r="I167" s="9"/>
      <c r="J167" s="22"/>
      <c r="K167" s="21"/>
      <c r="L167" s="9"/>
      <c r="M167" s="9"/>
      <c r="N167" s="22"/>
      <c r="O167" s="22"/>
      <c r="P167" s="9"/>
      <c r="Q167" s="9"/>
      <c r="R167" s="125"/>
      <c r="S167" s="125"/>
      <c r="T167" s="9"/>
      <c r="U167" s="9"/>
      <c r="V167" s="22"/>
      <c r="W167" s="22"/>
      <c r="X167" s="24"/>
      <c r="Y167" s="24"/>
      <c r="Z167" s="149">
        <f t="shared" si="16"/>
        <v>0</v>
      </c>
      <c r="AA167" s="141">
        <f t="shared" si="17"/>
        <v>0</v>
      </c>
      <c r="AB167" s="9">
        <f t="shared" si="18"/>
        <v>0</v>
      </c>
      <c r="AC167" s="25">
        <f t="shared" si="19"/>
        <v>0</v>
      </c>
      <c r="AD167" s="20"/>
    </row>
    <row r="168" spans="1:30" ht="30" customHeight="1" thickBot="1" x14ac:dyDescent="0.4">
      <c r="A168" s="7"/>
      <c r="B168" s="7" t="s">
        <v>127</v>
      </c>
      <c r="C168" s="8">
        <v>46669</v>
      </c>
      <c r="D168" s="13"/>
      <c r="E168" s="15"/>
      <c r="F168" s="22"/>
      <c r="G168" s="21"/>
      <c r="H168" s="16"/>
      <c r="I168" s="9"/>
      <c r="J168" s="22"/>
      <c r="K168" s="21"/>
      <c r="L168" s="9"/>
      <c r="M168" s="9"/>
      <c r="N168" s="22"/>
      <c r="O168" s="22"/>
      <c r="P168" s="9"/>
      <c r="Q168" s="9"/>
      <c r="R168" s="125"/>
      <c r="S168" s="125"/>
      <c r="T168" s="9"/>
      <c r="U168" s="9"/>
      <c r="V168" s="22"/>
      <c r="W168" s="22"/>
      <c r="X168" s="24"/>
      <c r="Y168" s="24"/>
      <c r="Z168" s="149">
        <f t="shared" si="16"/>
        <v>0</v>
      </c>
      <c r="AA168" s="141">
        <f t="shared" si="17"/>
        <v>0</v>
      </c>
      <c r="AB168" s="9">
        <f t="shared" si="18"/>
        <v>0</v>
      </c>
      <c r="AC168" s="25">
        <f t="shared" si="19"/>
        <v>0</v>
      </c>
      <c r="AD168" s="20"/>
    </row>
    <row r="169" spans="1:30" ht="30" customHeight="1" thickBot="1" x14ac:dyDescent="0.4">
      <c r="A169" s="7"/>
      <c r="B169" s="7" t="s">
        <v>128</v>
      </c>
      <c r="C169" s="8">
        <v>46670</v>
      </c>
      <c r="D169" s="13"/>
      <c r="E169" s="15"/>
      <c r="F169" s="22"/>
      <c r="G169" s="21"/>
      <c r="H169" s="16"/>
      <c r="I169" s="9"/>
      <c r="J169" s="22"/>
      <c r="K169" s="21"/>
      <c r="L169" s="9"/>
      <c r="M169" s="9"/>
      <c r="N169" s="22"/>
      <c r="O169" s="22"/>
      <c r="P169" s="9"/>
      <c r="Q169" s="9"/>
      <c r="R169" s="125"/>
      <c r="S169" s="125"/>
      <c r="T169" s="9"/>
      <c r="U169" s="9"/>
      <c r="V169" s="22"/>
      <c r="W169" s="22"/>
      <c r="X169" s="24"/>
      <c r="Y169" s="24"/>
      <c r="Z169" s="149">
        <f t="shared" si="16"/>
        <v>0</v>
      </c>
      <c r="AA169" s="141">
        <f t="shared" si="17"/>
        <v>0</v>
      </c>
      <c r="AB169" s="9">
        <f t="shared" si="18"/>
        <v>0</v>
      </c>
      <c r="AC169" s="25">
        <f t="shared" si="19"/>
        <v>0</v>
      </c>
      <c r="AD169" s="20"/>
    </row>
    <row r="170" spans="1:30" ht="30" customHeight="1" thickBot="1" x14ac:dyDescent="0.4">
      <c r="A170" s="7">
        <v>42</v>
      </c>
      <c r="B170" s="7" t="s">
        <v>122</v>
      </c>
      <c r="C170" s="8">
        <v>46671</v>
      </c>
      <c r="D170" s="13"/>
      <c r="E170" s="15"/>
      <c r="F170" s="22"/>
      <c r="G170" s="21"/>
      <c r="H170" s="16"/>
      <c r="I170" s="9"/>
      <c r="J170" s="22"/>
      <c r="K170" s="21"/>
      <c r="L170" s="9"/>
      <c r="M170" s="9"/>
      <c r="N170" s="22"/>
      <c r="O170" s="22"/>
      <c r="P170" s="9"/>
      <c r="Q170" s="9"/>
      <c r="R170" s="125"/>
      <c r="S170" s="125"/>
      <c r="T170" s="9"/>
      <c r="U170" s="9"/>
      <c r="V170" s="22"/>
      <c r="W170" s="22"/>
      <c r="X170" s="24"/>
      <c r="Y170" s="24"/>
      <c r="Z170" s="149">
        <f t="shared" si="16"/>
        <v>0</v>
      </c>
      <c r="AA170" s="141">
        <f t="shared" si="17"/>
        <v>0</v>
      </c>
      <c r="AB170" s="9">
        <f t="shared" si="18"/>
        <v>0</v>
      </c>
      <c r="AC170" s="25">
        <f t="shared" si="19"/>
        <v>0</v>
      </c>
      <c r="AD170" s="20"/>
    </row>
    <row r="171" spans="1:30" ht="30" customHeight="1" thickBot="1" x14ac:dyDescent="0.4">
      <c r="A171" s="7"/>
      <c r="B171" s="7" t="s">
        <v>123</v>
      </c>
      <c r="C171" s="8">
        <v>46672</v>
      </c>
      <c r="D171" s="13"/>
      <c r="E171" s="15"/>
      <c r="F171" s="22"/>
      <c r="G171" s="21"/>
      <c r="H171" s="16"/>
      <c r="I171" s="9"/>
      <c r="J171" s="22"/>
      <c r="K171" s="21"/>
      <c r="L171" s="9"/>
      <c r="M171" s="9"/>
      <c r="N171" s="22"/>
      <c r="O171" s="22"/>
      <c r="P171" s="9"/>
      <c r="Q171" s="9"/>
      <c r="R171" s="125"/>
      <c r="S171" s="125"/>
      <c r="T171" s="9"/>
      <c r="U171" s="9"/>
      <c r="V171" s="22"/>
      <c r="W171" s="22"/>
      <c r="X171" s="24"/>
      <c r="Y171" s="24"/>
      <c r="Z171" s="149">
        <f t="shared" si="16"/>
        <v>0</v>
      </c>
      <c r="AA171" s="141">
        <f t="shared" si="17"/>
        <v>0</v>
      </c>
      <c r="AB171" s="9">
        <f t="shared" si="18"/>
        <v>0</v>
      </c>
      <c r="AC171" s="25">
        <f t="shared" si="19"/>
        <v>0</v>
      </c>
      <c r="AD171" s="20"/>
    </row>
    <row r="172" spans="1:30" ht="22.4" customHeight="1" x14ac:dyDescent="0.35">
      <c r="A172" s="7"/>
      <c r="B172" s="7"/>
      <c r="C172" s="7"/>
      <c r="AA172" s="2"/>
    </row>
    <row r="173" spans="1:30" ht="22.4" customHeight="1" x14ac:dyDescent="0.35">
      <c r="A173" s="7"/>
      <c r="B173" s="7"/>
      <c r="C173" s="7"/>
      <c r="AA173" s="2"/>
    </row>
    <row r="174" spans="1:30" ht="22.4" customHeight="1" x14ac:dyDescent="0.35">
      <c r="A174" s="7"/>
      <c r="B174" s="7"/>
      <c r="C174" s="7"/>
      <c r="AA174" s="2"/>
    </row>
    <row r="175" spans="1:30" ht="22.4" customHeight="1" x14ac:dyDescent="0.35">
      <c r="A175" s="7"/>
      <c r="B175" s="7"/>
      <c r="C175" s="7"/>
      <c r="AA175" s="2"/>
    </row>
    <row r="176" spans="1:30" ht="22.4" customHeight="1" x14ac:dyDescent="0.35">
      <c r="A176" s="7"/>
      <c r="B176" s="7"/>
      <c r="C176" s="7"/>
      <c r="AA176" s="2"/>
    </row>
    <row r="177" spans="1:27" ht="22.4" customHeight="1" x14ac:dyDescent="0.35">
      <c r="A177" s="7"/>
      <c r="B177" s="7"/>
      <c r="C177" s="7"/>
      <c r="AA177" s="2"/>
    </row>
    <row r="178" spans="1:27" ht="22.4" customHeight="1" x14ac:dyDescent="0.35">
      <c r="A178" s="7"/>
      <c r="B178" s="7"/>
      <c r="C178" s="7"/>
      <c r="AA178" s="2"/>
    </row>
    <row r="179" spans="1:27" ht="22.4" customHeight="1" x14ac:dyDescent="0.35">
      <c r="A179" s="7"/>
      <c r="B179" s="7"/>
      <c r="C179" s="7"/>
      <c r="AA179" s="2"/>
    </row>
    <row r="180" spans="1:27" ht="22.4" customHeight="1" x14ac:dyDescent="0.35">
      <c r="A180" s="7"/>
      <c r="B180" s="7"/>
      <c r="C180" s="7"/>
      <c r="AA180" s="2"/>
    </row>
    <row r="181" spans="1:27" ht="22.4" customHeight="1" x14ac:dyDescent="0.35">
      <c r="A181" s="7"/>
      <c r="B181" s="7"/>
      <c r="C181" s="7"/>
      <c r="AA181" s="2"/>
    </row>
    <row r="182" spans="1:27" ht="22.4" customHeight="1" x14ac:dyDescent="0.35">
      <c r="A182" s="7"/>
      <c r="B182" s="7"/>
      <c r="C182" s="7"/>
      <c r="AA182" s="2"/>
    </row>
    <row r="183" spans="1:27" ht="22.4" customHeight="1" x14ac:dyDescent="0.35">
      <c r="A183" s="7"/>
      <c r="B183" s="7"/>
      <c r="C183" s="7"/>
      <c r="AA183" s="2"/>
    </row>
    <row r="184" spans="1:27" ht="22.4" customHeight="1" x14ac:dyDescent="0.35">
      <c r="A184" s="7"/>
      <c r="B184" s="7"/>
      <c r="C184" s="7"/>
      <c r="AA184" s="2"/>
    </row>
    <row r="185" spans="1:27" ht="22.4" customHeight="1" x14ac:dyDescent="0.35">
      <c r="A185" s="7"/>
      <c r="B185" s="7"/>
      <c r="C185" s="7"/>
      <c r="AA185" s="2"/>
    </row>
    <row r="186" spans="1:27" ht="22.4" customHeight="1" x14ac:dyDescent="0.35">
      <c r="A186" s="7"/>
      <c r="B186" s="7"/>
      <c r="C186" s="7"/>
      <c r="AA186" s="2"/>
    </row>
    <row r="187" spans="1:27" ht="22.4" customHeight="1" x14ac:dyDescent="0.35">
      <c r="A187" s="7"/>
      <c r="B187" s="7"/>
      <c r="C187" s="7"/>
      <c r="AA187" s="2"/>
    </row>
    <row r="188" spans="1:27" ht="22.4" customHeight="1" x14ac:dyDescent="0.35">
      <c r="A188" s="7"/>
      <c r="B188" s="7"/>
      <c r="C188" s="7"/>
      <c r="AA188" s="2"/>
    </row>
    <row r="189" spans="1:27" ht="22.4" customHeight="1" x14ac:dyDescent="0.35">
      <c r="A189" s="7"/>
      <c r="B189" s="7"/>
      <c r="C189" s="7"/>
      <c r="AA189" s="2"/>
    </row>
    <row r="190" spans="1:27" ht="22.4" customHeight="1" x14ac:dyDescent="0.35">
      <c r="A190" s="7"/>
      <c r="B190" s="7"/>
      <c r="C190" s="7"/>
      <c r="AA190" s="2"/>
    </row>
    <row r="191" spans="1:27" ht="22.4" customHeight="1" x14ac:dyDescent="0.35">
      <c r="A191" s="7"/>
      <c r="B191" s="7"/>
      <c r="C191" s="7"/>
      <c r="AA191" s="2"/>
    </row>
    <row r="192" spans="1:27" ht="22.4" customHeight="1" x14ac:dyDescent="0.35">
      <c r="A192" s="7"/>
      <c r="B192" s="7"/>
      <c r="C192" s="7"/>
      <c r="AA192" s="2"/>
    </row>
    <row r="193" spans="1:27" ht="22.4" customHeight="1" x14ac:dyDescent="0.35">
      <c r="A193" s="7"/>
      <c r="B193" s="7"/>
      <c r="C193" s="7"/>
      <c r="AA193" s="2"/>
    </row>
    <row r="194" spans="1:27" ht="22.4" customHeight="1" x14ac:dyDescent="0.35">
      <c r="A194" s="7"/>
      <c r="B194" s="7"/>
      <c r="C194" s="7"/>
    </row>
    <row r="195" spans="1:27" ht="22.4" customHeight="1" x14ac:dyDescent="0.35">
      <c r="A195" s="7"/>
      <c r="B195" s="7"/>
      <c r="C195" s="7"/>
    </row>
    <row r="196" spans="1:27" ht="22.4" customHeight="1" x14ac:dyDescent="0.35">
      <c r="A196" s="7"/>
      <c r="B196" s="7"/>
      <c r="C196" s="7"/>
    </row>
    <row r="197" spans="1:27" ht="22.4" customHeight="1" x14ac:dyDescent="0.35">
      <c r="A197" s="7"/>
      <c r="B197" s="7"/>
      <c r="C197" s="7"/>
    </row>
    <row r="198" spans="1:27" ht="22.4" customHeight="1" x14ac:dyDescent="0.35">
      <c r="A198" s="7"/>
      <c r="B198" s="7"/>
      <c r="C198" s="7"/>
    </row>
    <row r="199" spans="1:27" ht="22.4" customHeight="1" x14ac:dyDescent="0.35">
      <c r="A199" s="7"/>
      <c r="B199" s="7"/>
      <c r="C199" s="7"/>
    </row>
    <row r="200" spans="1:27" ht="22.4" customHeight="1" x14ac:dyDescent="0.35">
      <c r="A200" s="7"/>
      <c r="B200" s="7"/>
      <c r="C200" s="7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2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6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6" customFormat="1" ht="19.399999999999999" customHeight="1" thickBot="1" x14ac:dyDescent="0.5">
      <c r="A1" s="56" t="s">
        <v>132</v>
      </c>
      <c r="B1" s="57" t="s">
        <v>116</v>
      </c>
      <c r="C1" s="75" t="s">
        <v>133</v>
      </c>
      <c r="D1" s="76">
        <f ca="1">TODAY()</f>
        <v>46141</v>
      </c>
      <c r="E1" s="58" t="s">
        <v>130</v>
      </c>
      <c r="F1" s="59" t="s">
        <v>134</v>
      </c>
      <c r="G1" s="59" t="s">
        <v>8</v>
      </c>
      <c r="H1" s="58" t="s">
        <v>135</v>
      </c>
      <c r="I1" s="59" t="s">
        <v>134</v>
      </c>
      <c r="J1" s="59" t="s">
        <v>8</v>
      </c>
      <c r="K1" s="58" t="s">
        <v>136</v>
      </c>
      <c r="L1" s="59" t="s">
        <v>134</v>
      </c>
      <c r="M1" s="59" t="s">
        <v>8</v>
      </c>
      <c r="N1" s="58" t="s">
        <v>137</v>
      </c>
      <c r="O1" s="59" t="s">
        <v>134</v>
      </c>
      <c r="P1" s="59" t="s">
        <v>8</v>
      </c>
      <c r="Q1" s="58" t="s">
        <v>138</v>
      </c>
      <c r="R1" s="59" t="s">
        <v>134</v>
      </c>
      <c r="S1" s="59" t="s">
        <v>8</v>
      </c>
    </row>
    <row r="2" spans="1:19" ht="15" customHeight="1" thickBot="1" x14ac:dyDescent="0.4">
      <c r="A2" s="48" t="str">
        <f>booking!B2</f>
        <v>mandag</v>
      </c>
      <c r="B2" s="49">
        <f>booking!C2</f>
        <v>46503</v>
      </c>
      <c r="C2" s="48"/>
      <c r="D2" s="50" t="str">
        <f>IF(booking!AC2&gt;0,"Y","-")</f>
        <v>-</v>
      </c>
      <c r="E2" s="55" t="str">
        <f>IF(AND(booking!D2&lt;&gt;booking!E2,booking!D2&gt;0),"udc","-")</f>
        <v>-</v>
      </c>
      <c r="F2" s="51" t="str">
        <f>IFERROR(IF(AND(booking!AB2&gt;0,booking!D2&lt;&gt;booking!E2),VLOOKUP(booking!E2,Database!$A$1:'Database'!$L$175,6,FALSE),"-"),"-")</f>
        <v>-</v>
      </c>
      <c r="G2" s="51" t="str">
        <f>IFERROR(IF(AND(booking!AB2&gt;0,booking!D2&lt;&gt;booking!E2),VLOOKUP(booking!E2,Database!$A$1:'Database'!$L$175,9,FALSE),"-"),"-")</f>
        <v>-</v>
      </c>
      <c r="H2" s="55" t="str">
        <f>IF(AND(booking!H2&lt;&gt;booking!I2,booking!H2&gt;0),"udc","-")</f>
        <v>-</v>
      </c>
      <c r="I2" s="51" t="str">
        <f>IFERROR(IF(AND(booking!AB2&gt;0,booking!H2&lt;&gt;booking!I2),VLOOKUP(booking!I2,Database!$A$1:'Database'!$L$175,6,FALSE),"-"),"-")</f>
        <v>-</v>
      </c>
      <c r="J2" s="51" t="str">
        <f>IFERROR(IF(AND(booking!AB2&gt;0,booking!H2&lt;&gt;booking!I2),VLOOKUP(booking!I2,Database!$A$1:'Database'!$L$175,9,FALSE),"-"),"-")</f>
        <v>-</v>
      </c>
      <c r="K2" s="55" t="str">
        <f>IF(AND(booking!L2&lt;&gt;booking!M2,booking!L2&gt;0),"udc","-")</f>
        <v>-</v>
      </c>
      <c r="L2" s="51" t="str">
        <f>IFERROR(IF(AND(booking!AB2&gt;0,booking!L2&lt;&gt;booking!M2),VLOOKUP(booking!M2,Database!$A$1:'Database'!$L$175,6,FALSE),"-"),"-")</f>
        <v>-</v>
      </c>
      <c r="M2" s="51" t="str">
        <f>IFERROR(IF(AND(booking!AB2&gt;0,booking!L2&lt;&gt;booking!M2),VLOOKUP(booking!M2,Database!A1:'Database'!L175,9,FALSE),"-"),"-")</f>
        <v>-</v>
      </c>
      <c r="N2" s="55" t="str">
        <f>IF(AND(booking!P2&lt;&gt;booking!Q2,booking!P2&gt;0),"udc","-")</f>
        <v>-</v>
      </c>
      <c r="O2" s="51" t="str">
        <f>IFERROR(IF(AND(booking!AB2&gt;0,booking!P2&lt;&gt;booking!Q2),VLOOKUP(booking!Q2,Database!$A$1:'Database'!$L$175,6,FALSE),"-"),"-")</f>
        <v>-</v>
      </c>
      <c r="P2" s="51" t="str">
        <f>IFERROR(IF(AND(booking!AB2&gt;0,booking!P2&lt;&gt;booking!Q2),VLOOKUP(booking!Q2,Database!$A$1:'Database'!$L$175,9,FALSE),"-"),"-")</f>
        <v>-</v>
      </c>
      <c r="Q2" s="55" t="str">
        <f>IF(AND(booking!T2&lt;&gt;booking!U2,booking!T2&gt;0),"udc","-")</f>
        <v>-</v>
      </c>
      <c r="R2" s="51" t="str">
        <f>IFERROR(IF(AND(booking!AB2&gt;0,booking!T2&lt;&gt;booking!U2),VLOOKUP(booking!U2,Database!$A$1:'Database'!$L$175,6,FALSE),"-"),"-")</f>
        <v>-</v>
      </c>
      <c r="S2" s="51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2" t="str">
        <f>booking!B3</f>
        <v>tirsdag</v>
      </c>
      <c r="B3" s="53">
        <f>booking!C3</f>
        <v>46504</v>
      </c>
      <c r="C3" s="52"/>
      <c r="D3" s="54" t="str">
        <f>IF(booking!AC3&gt;0,"Y","-")</f>
        <v>-</v>
      </c>
      <c r="E3" s="55" t="str">
        <f>IF(AND(booking!D3&lt;&gt;booking!E3,booking!D3&gt;0),"udc","-")</f>
        <v>-</v>
      </c>
      <c r="F3" s="51" t="str">
        <f>IFERROR(IF(AND(booking!AB3&gt;0,booking!D3&lt;&gt;booking!E3),VLOOKUP(booking!E3,Database!$A$1:'Database'!$L$175,6,FALSE),"-"),"-")</f>
        <v>-</v>
      </c>
      <c r="G3" s="51" t="str">
        <f>IFERROR(IF(AND(booking!AB3&gt;0,booking!D3&lt;&gt;booking!E3),VLOOKUP(booking!E3,Database!$A$1:'Database'!$L$175,9,FALSE),"-"),"-")</f>
        <v>-</v>
      </c>
      <c r="H3" s="55" t="str">
        <f>IF(AND(booking!H3&lt;&gt;booking!I3,booking!H3&gt;0),"udc","-")</f>
        <v>-</v>
      </c>
      <c r="I3" s="51" t="str">
        <f>IFERROR(IF(AND(booking!AB3&gt;0,booking!H3&lt;&gt;booking!I3),VLOOKUP(booking!I3,Database!$A$1:'Database'!$L$175,6,FALSE),"-"),"-")</f>
        <v>-</v>
      </c>
      <c r="J3" s="51" t="str">
        <f>IFERROR(IF(AND(booking!AB3&gt;0,booking!H3&lt;&gt;booking!I3),VLOOKUP(booking!I3,Database!$A$1:'Database'!$L$175,9,FALSE),"-"),"-")</f>
        <v>-</v>
      </c>
      <c r="K3" s="55" t="str">
        <f>IF(AND(booking!L3&lt;&gt;booking!M3,booking!L3&gt;0),"udc","-")</f>
        <v>-</v>
      </c>
      <c r="L3" s="51" t="str">
        <f>IFERROR(IF(AND(booking!AB3&gt;0,booking!L3&lt;&gt;booking!M3),VLOOKUP(booking!M3,Database!$A$1:'Database'!$L$175,6,FALSE),"-"),"-")</f>
        <v>-</v>
      </c>
      <c r="M3" s="51" t="str">
        <f>IFERROR(IF(AND(booking!AB3&gt;0,booking!L3&lt;&gt;booking!M3),VLOOKUP(booking!M3,Database!A2:'Database'!L176,9,FALSE),"-"),"-")</f>
        <v>-</v>
      </c>
      <c r="N3" s="55" t="str">
        <f>IF(AND(booking!P3&lt;&gt;booking!Q3,booking!P3&gt;0),"udc","-")</f>
        <v>-</v>
      </c>
      <c r="O3" s="51" t="str">
        <f>IFERROR(IF(AND(booking!AB3&gt;0,booking!P3&lt;&gt;booking!Q3),VLOOKUP(booking!Q3,Database!$A$1:'Database'!$L$175,6,FALSE),"-"),"-")</f>
        <v>-</v>
      </c>
      <c r="P3" s="51" t="str">
        <f>IFERROR(IF(AND(booking!AB3&gt;0,booking!P3&lt;&gt;booking!Q3),VLOOKUP(booking!Q3,Database!$A$1:'Database'!$L$175,9,FALSE),"-"),"-")</f>
        <v>-</v>
      </c>
      <c r="Q3" s="55" t="str">
        <f>IF(AND(booking!T3&lt;&gt;booking!U3,booking!T3&gt;0),"udc","-")</f>
        <v>-</v>
      </c>
      <c r="R3" s="51" t="str">
        <f>IFERROR(IF(AND(booking!AB3&gt;0,booking!T3&lt;&gt;booking!U3),VLOOKUP(booking!U3,Database!$A$1:'Database'!$L$175,6,FALSE),"-"),"-")</f>
        <v>-</v>
      </c>
      <c r="S3" s="51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6">
        <f>booking!C4</f>
        <v>46505</v>
      </c>
      <c r="D4" s="2" t="str">
        <f>IF(booking!AC4&gt;0,"Y","-")</f>
        <v>-</v>
      </c>
      <c r="E4" s="55" t="str">
        <f>IF(AND(booking!D4&lt;&gt;booking!E4,booking!D4&gt;0),"udc","-")</f>
        <v>-</v>
      </c>
      <c r="F4" s="51" t="str">
        <f>IFERROR(IF(AND(booking!AB4&gt;0,booking!D4&lt;&gt;booking!E4),VLOOKUP(booking!E4,Database!$A$1:'Database'!$L$175,6,FALSE),"-"),"-")</f>
        <v>-</v>
      </c>
      <c r="G4" s="51" t="str">
        <f>IFERROR(IF(AND(booking!AB4&gt;0,booking!D4&lt;&gt;booking!E4),VLOOKUP(booking!E4,Database!$A$1:'Database'!$L$175,9,FALSE),"-"),"-")</f>
        <v>-</v>
      </c>
      <c r="H4" s="55" t="str">
        <f>IF(AND(booking!H4&lt;&gt;booking!I4,booking!H4&gt;0),"udc","-")</f>
        <v>-</v>
      </c>
      <c r="I4" s="51" t="str">
        <f>IFERROR(IF(AND(booking!AB4&gt;0,booking!H4&lt;&gt;booking!I4),VLOOKUP(booking!I4,Database!$A$1:'Database'!$L$175,6,FALSE),"-"),"-")</f>
        <v>-</v>
      </c>
      <c r="J4" s="51" t="str">
        <f>IFERROR(IF(AND(booking!AB4&gt;0,booking!H4&lt;&gt;booking!I4),VLOOKUP(booking!I4,Database!$A$1:'Database'!$L$175,9,FALSE),"-"),"-")</f>
        <v>-</v>
      </c>
      <c r="K4" s="55" t="str">
        <f>IF(AND(booking!L4&lt;&gt;booking!M4,booking!L4&gt;0),"udc","-")</f>
        <v>-</v>
      </c>
      <c r="L4" s="51" t="str">
        <f>IFERROR(IF(AND(booking!AB4&gt;0,booking!L4&lt;&gt;booking!M4),VLOOKUP(booking!M4,Database!$A$1:'Database'!$L$175,6,FALSE),"-"),"-")</f>
        <v>-</v>
      </c>
      <c r="M4" s="51" t="str">
        <f>IFERROR(IF(AND(booking!AB4&gt;0,booking!L4&lt;&gt;booking!M4),VLOOKUP(booking!M4,Database!A3:'Database'!L177,9,FALSE),"-"),"-")</f>
        <v>-</v>
      </c>
      <c r="N4" s="55" t="str">
        <f>IF(AND(booking!P4&lt;&gt;booking!Q4,booking!P4&gt;0),"udc","-")</f>
        <v>-</v>
      </c>
      <c r="O4" s="51" t="str">
        <f>IFERROR(IF(AND(booking!AB4&gt;0,booking!P4&lt;&gt;booking!Q4),VLOOKUP(booking!Q4,Database!$A$1:'Database'!$L$175,6,FALSE),"-"),"-")</f>
        <v>-</v>
      </c>
      <c r="P4" s="51" t="str">
        <f>IFERROR(IF(AND(booking!AB4&gt;0,booking!P4&lt;&gt;booking!Q4),VLOOKUP(booking!Q4,Database!$A$1:'Database'!$L$175,9,FALSE),"-"),"-")</f>
        <v>-</v>
      </c>
      <c r="Q4" s="55" t="str">
        <f>IF(AND(booking!T4&lt;&gt;booking!U4,booking!T4&gt;0),"udc","-")</f>
        <v>-</v>
      </c>
      <c r="R4" s="51" t="str">
        <f>IFERROR(IF(AND(booking!AB4&gt;0,booking!T4&lt;&gt;booking!U4),VLOOKUP(booking!U4,Database!$A$1:'Database'!$L$175,6,FALSE),"-"),"-")</f>
        <v>-</v>
      </c>
      <c r="S4" s="51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6">
        <f>booking!C5</f>
        <v>46506</v>
      </c>
      <c r="D5" s="2" t="str">
        <f>IF(booking!AC5&gt;0,"Y","-")</f>
        <v>-</v>
      </c>
      <c r="E5" s="55" t="str">
        <f>IF(AND(booking!D5&lt;&gt;booking!E5,booking!D5&gt;0),"udc","-")</f>
        <v>-</v>
      </c>
      <c r="F5" s="51" t="str">
        <f>IFERROR(IF(AND(booking!AB5&gt;0,booking!D5&lt;&gt;booking!E5),VLOOKUP(booking!E5,Database!$A$1:'Database'!$L$175,6,FALSE),"-"),"-")</f>
        <v>-</v>
      </c>
      <c r="G5" s="51" t="str">
        <f>IFERROR(IF(AND(booking!AB5&gt;0,booking!D5&lt;&gt;booking!E5),VLOOKUP(booking!E5,Database!$A$1:'Database'!$L$175,9,FALSE),"-"),"-")</f>
        <v>-</v>
      </c>
      <c r="H5" s="55" t="str">
        <f>IF(AND(booking!H5&lt;&gt;booking!I5,booking!H5&gt;0),"udc","-")</f>
        <v>-</v>
      </c>
      <c r="I5" s="51" t="str">
        <f>IFERROR(IF(AND(booking!AB5&gt;0,booking!H5&lt;&gt;booking!I5),VLOOKUP(booking!I5,Database!$A$1:'Database'!$L$175,6,FALSE),"-"),"-")</f>
        <v>-</v>
      </c>
      <c r="J5" s="51" t="str">
        <f>IFERROR(IF(AND(booking!AB5&gt;0,booking!H5&lt;&gt;booking!I5),VLOOKUP(booking!I5,Database!$A$1:'Database'!$L$175,9,FALSE),"-"),"-")</f>
        <v>-</v>
      </c>
      <c r="K5" s="55" t="str">
        <f>IF(AND(booking!L5&lt;&gt;booking!M5,booking!L5&gt;0),"udc","-")</f>
        <v>-</v>
      </c>
      <c r="L5" s="51" t="str">
        <f>IFERROR(IF(AND(booking!AB5&gt;0,booking!L5&lt;&gt;booking!M5),VLOOKUP(booking!M5,Database!$A$1:'Database'!$L$175,6,FALSE),"-"),"-")</f>
        <v>-</v>
      </c>
      <c r="M5" s="51" t="str">
        <f>IFERROR(IF(AND(booking!AB5&gt;0,booking!L5&lt;&gt;booking!M5),VLOOKUP(booking!M5,Database!A4:'Database'!L178,9,FALSE),"-"),"-")</f>
        <v>-</v>
      </c>
      <c r="N5" s="55" t="str">
        <f>IF(AND(booking!P5&lt;&gt;booking!Q5,booking!P5&gt;0),"udc","-")</f>
        <v>-</v>
      </c>
      <c r="O5" s="51" t="str">
        <f>IFERROR(IF(AND(booking!AB5&gt;0,booking!P5&lt;&gt;booking!Q5),VLOOKUP(booking!Q5,Database!$A$1:'Database'!$L$175,6,FALSE),"-"),"-")</f>
        <v>-</v>
      </c>
      <c r="P5" s="51" t="str">
        <f>IFERROR(IF(AND(booking!AB5&gt;0,booking!P5&lt;&gt;booking!Q5),VLOOKUP(booking!Q5,Database!$A$1:'Database'!$L$175,9,FALSE),"-"),"-")</f>
        <v>-</v>
      </c>
      <c r="Q5" s="55" t="str">
        <f>IF(AND(booking!T5&lt;&gt;booking!U5,booking!T5&gt;0),"udc","-")</f>
        <v>-</v>
      </c>
      <c r="R5" s="51" t="str">
        <f>IFERROR(IF(AND(booking!AB5&gt;0,booking!T5&lt;&gt;booking!U5),VLOOKUP(booking!U5,Database!$A$1:'Database'!$L$175,6,FALSE),"-"),"-")</f>
        <v>-</v>
      </c>
      <c r="S5" s="51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6">
        <f>booking!C6</f>
        <v>46507</v>
      </c>
      <c r="D6" s="2" t="str">
        <f>IF(booking!AC6&gt;0,"Y","-")</f>
        <v>-</v>
      </c>
      <c r="E6" s="55" t="str">
        <f>IF(AND(booking!D6&lt;&gt;booking!E6,booking!D6&gt;0),"udc","-")</f>
        <v>-</v>
      </c>
      <c r="F6" s="51" t="str">
        <f>IFERROR(IF(AND(booking!AB6&gt;0,booking!D6&lt;&gt;booking!E6),VLOOKUP(booking!E6,Database!$A$1:'Database'!$L$175,6,FALSE),"-"),"-")</f>
        <v>-</v>
      </c>
      <c r="G6" s="51" t="str">
        <f>IFERROR(IF(AND(booking!AB6&gt;0,booking!D6&lt;&gt;booking!E6),VLOOKUP(booking!E6,Database!$A$1:'Database'!$L$175,9,FALSE),"-"),"-")</f>
        <v>-</v>
      </c>
      <c r="H6" s="55" t="str">
        <f>IF(AND(booking!H6&lt;&gt;booking!I6,booking!H6&gt;0),"udc","-")</f>
        <v>-</v>
      </c>
      <c r="I6" s="51" t="str">
        <f>IFERROR(IF(AND(booking!AB6&gt;0,booking!H6&lt;&gt;booking!I6),VLOOKUP(booking!I6,Database!$A$1:'Database'!$L$175,6,FALSE),"-"),"-")</f>
        <v>-</v>
      </c>
      <c r="J6" s="51" t="str">
        <f>IFERROR(IF(AND(booking!AB6&gt;0,booking!H6&lt;&gt;booking!I6),VLOOKUP(booking!I6,Database!$A$1:'Database'!$L$175,9,FALSE),"-"),"-")</f>
        <v>-</v>
      </c>
      <c r="K6" s="55" t="str">
        <f>IF(AND(booking!L6&lt;&gt;booking!M6,booking!L6&gt;0),"udc","-")</f>
        <v>-</v>
      </c>
      <c r="L6" s="51" t="str">
        <f>IFERROR(IF(AND(booking!AB6&gt;0,booking!L6&lt;&gt;booking!M6),VLOOKUP(booking!M6,Database!$A$1:'Database'!$L$175,6,FALSE),"-"),"-")</f>
        <v>-</v>
      </c>
      <c r="M6" s="51" t="str">
        <f>IFERROR(IF(AND(booking!AB6&gt;0,booking!L6&lt;&gt;booking!M6),VLOOKUP(booking!M6,Database!A5:'Database'!L179,9,FALSE),"-"),"-")</f>
        <v>-</v>
      </c>
      <c r="N6" s="55" t="str">
        <f>IF(AND(booking!P6&lt;&gt;booking!Q6,booking!P6&gt;0),"udc","-")</f>
        <v>-</v>
      </c>
      <c r="O6" s="51" t="str">
        <f>IFERROR(IF(AND(booking!AB6&gt;0,booking!P6&lt;&gt;booking!Q6),VLOOKUP(booking!Q6,Database!$A$1:'Database'!$L$175,6,FALSE),"-"),"-")</f>
        <v>-</v>
      </c>
      <c r="P6" s="51" t="str">
        <f>IFERROR(IF(AND(booking!AB6&gt;0,booking!P6&lt;&gt;booking!Q6),VLOOKUP(booking!Q6,Database!$A$1:'Database'!$L$175,9,FALSE),"-"),"-")</f>
        <v>-</v>
      </c>
      <c r="Q6" s="55" t="str">
        <f>IF(AND(booking!T6&lt;&gt;booking!U6,booking!T6&gt;0),"udc","-")</f>
        <v>-</v>
      </c>
      <c r="R6" s="51" t="str">
        <f>IFERROR(IF(AND(booking!AB6&gt;0,booking!T6&lt;&gt;booking!U6),VLOOKUP(booking!U6,Database!$A$1:'Database'!$L$175,6,FALSE),"-"),"-")</f>
        <v>-</v>
      </c>
      <c r="S6" s="51" t="str">
        <f>IFERROR(IF(AND(booking!AB6&gt;0,booking!T6&lt;&gt;booking!U6),VLOOKUP(booking!U6,Database!$A$1:'Database'!$L$175,9,FALSE),"-"),"-")</f>
        <v>-</v>
      </c>
    </row>
    <row r="7" spans="1:19" ht="15" customHeight="1" thickBot="1" x14ac:dyDescent="0.4">
      <c r="A7" t="str">
        <f>booking!B7</f>
        <v>lørdag</v>
      </c>
      <c r="B7" s="26">
        <f>booking!C7</f>
        <v>46508</v>
      </c>
      <c r="D7" s="2" t="str">
        <f>IF(booking!AC7&gt;0,"Y","-")</f>
        <v>-</v>
      </c>
      <c r="E7" s="55" t="str">
        <f>IF(AND(booking!D7&lt;&gt;booking!E7,booking!D7&gt;0),"udc","-")</f>
        <v>-</v>
      </c>
      <c r="F7" s="51" t="str">
        <f>IFERROR(IF(AND(booking!AB7&gt;0,booking!D7&lt;&gt;booking!E7),VLOOKUP(booking!E7,Database!$A$1:'Database'!$L$175,6,FALSE),"-"),"-")</f>
        <v>-</v>
      </c>
      <c r="G7" s="51" t="str">
        <f>IFERROR(IF(AND(booking!AB7&gt;0,booking!D7&lt;&gt;booking!E7),VLOOKUP(booking!E7,Database!$A$1:'Database'!$L$175,9,FALSE),"-"),"-")</f>
        <v>-</v>
      </c>
      <c r="H7" s="55" t="str">
        <f>IF(AND(booking!H7&lt;&gt;booking!I7,booking!H7&gt;0),"udc","-")</f>
        <v>-</v>
      </c>
      <c r="I7" s="51" t="str">
        <f>IFERROR(IF(AND(booking!AB7&gt;0,booking!H7&lt;&gt;booking!I7),VLOOKUP(booking!I7,Database!$A$1:'Database'!$L$175,6,FALSE),"-"),"-")</f>
        <v>-</v>
      </c>
      <c r="J7" s="51" t="str">
        <f>IFERROR(IF(AND(booking!AB7&gt;0,booking!H7&lt;&gt;booking!I7),VLOOKUP(booking!I7,Database!$A$1:'Database'!$L$175,9,FALSE),"-"),"-")</f>
        <v>-</v>
      </c>
      <c r="K7" s="55" t="str">
        <f>IF(AND(booking!L7&lt;&gt;booking!M7,booking!L7&gt;0),"udc","-")</f>
        <v>-</v>
      </c>
      <c r="L7" s="51" t="str">
        <f>IFERROR(IF(AND(booking!AB7&gt;0,booking!L7&lt;&gt;booking!M7),VLOOKUP(booking!M7,Database!$A$1:'Database'!$L$175,6,FALSE),"-"),"-")</f>
        <v>-</v>
      </c>
      <c r="M7" s="51" t="str">
        <f>IFERROR(IF(AND(booking!AB7&gt;0,booking!L7&lt;&gt;booking!M7),VLOOKUP(booking!M7,Database!A6:'Database'!L180,9,FALSE),"-"),"-")</f>
        <v>-</v>
      </c>
      <c r="N7" s="55" t="str">
        <f>IF(AND(booking!P7&lt;&gt;booking!Q7,booking!P7&gt;0),"udc","-")</f>
        <v>-</v>
      </c>
      <c r="O7" s="51" t="str">
        <f>IFERROR(IF(AND(booking!AB7&gt;0,booking!P7&lt;&gt;booking!Q7),VLOOKUP(booking!Q7,Database!$A$1:'Database'!$L$175,6,FALSE),"-"),"-")</f>
        <v>-</v>
      </c>
      <c r="P7" s="51" t="str">
        <f>IFERROR(IF(AND(booking!AB7&gt;0,booking!P7&lt;&gt;booking!Q7),VLOOKUP(booking!Q7,Database!$A$1:'Database'!$L$175,9,FALSE),"-"),"-")</f>
        <v>-</v>
      </c>
      <c r="Q7" s="55" t="str">
        <f>IF(AND(booking!T7&lt;&gt;booking!U7,booking!T7&gt;0),"udc","-")</f>
        <v>-</v>
      </c>
      <c r="R7" s="51" t="str">
        <f>IFERROR(IF(AND(booking!AB7&gt;0,booking!T7&lt;&gt;booking!U7),VLOOKUP(booking!U7,Database!$A$1:'Database'!$L$175,6,FALSE),"-"),"-")</f>
        <v>-</v>
      </c>
      <c r="S7" s="51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8" t="str">
        <f>booking!B8</f>
        <v>søndag</v>
      </c>
      <c r="B8" s="49">
        <f>booking!C8</f>
        <v>46509</v>
      </c>
      <c r="C8" s="48"/>
      <c r="D8" s="50" t="str">
        <f>IF(booking!AC8&gt;0,"Y","-")</f>
        <v>-</v>
      </c>
      <c r="E8" s="55" t="str">
        <f>IF(AND(booking!D8&lt;&gt;booking!E8,booking!D8&gt;0),"udc","-")</f>
        <v>-</v>
      </c>
      <c r="F8" s="51" t="str">
        <f>IFERROR(IF(AND(booking!AB8&gt;0,booking!D8&lt;&gt;booking!E8),VLOOKUP(booking!E8,Database!$A$1:'Database'!$L$175,6,FALSE),"-"),"-")</f>
        <v>-</v>
      </c>
      <c r="G8" s="51" t="str">
        <f>IFERROR(IF(AND(booking!AB8&gt;0,booking!D8&lt;&gt;booking!E8),VLOOKUP(booking!E8,Database!$A$1:'Database'!$L$175,9,FALSE),"-"),"-")</f>
        <v>-</v>
      </c>
      <c r="H8" s="55" t="str">
        <f>IF(AND(booking!H8&lt;&gt;booking!I8,booking!H8&gt;0),"udc","-")</f>
        <v>-</v>
      </c>
      <c r="I8" s="51" t="str">
        <f>IFERROR(IF(AND(booking!AB8&gt;0,booking!H8&lt;&gt;booking!I8),VLOOKUP(booking!I8,Database!$A$1:'Database'!$L$175,6,FALSE),"-"),"-")</f>
        <v>-</v>
      </c>
      <c r="J8" s="51" t="str">
        <f>IFERROR(IF(AND(booking!AB8&gt;0,booking!H8&lt;&gt;booking!I8),VLOOKUP(booking!I8,Database!$A$1:'Database'!$L$175,9,FALSE),"-"),"-")</f>
        <v>-</v>
      </c>
      <c r="K8" s="55" t="str">
        <f>IF(AND(booking!L8&lt;&gt;booking!M8,booking!L8&gt;0),"udc","-")</f>
        <v>-</v>
      </c>
      <c r="L8" s="51" t="str">
        <f>IFERROR(IF(AND(booking!AB8&gt;0,booking!L8&lt;&gt;booking!M8),VLOOKUP(booking!M8,Database!$A$1:'Database'!$L$175,6,FALSE),"-"),"-")</f>
        <v>-</v>
      </c>
      <c r="M8" s="51" t="str">
        <f>IFERROR(IF(AND(booking!AB8&gt;0,booking!L8&lt;&gt;booking!M8),VLOOKUP(booking!M8,Database!A7:'Database'!L181,9,FALSE),"-"),"-")</f>
        <v>-</v>
      </c>
      <c r="N8" s="55" t="str">
        <f>IF(AND(booking!P8&lt;&gt;booking!Q8,booking!P8&gt;0),"udc","-")</f>
        <v>-</v>
      </c>
      <c r="O8" s="51" t="str">
        <f>IFERROR(IF(AND(booking!AB8&gt;0,booking!P8&lt;&gt;booking!Q8),VLOOKUP(booking!Q8,Database!$A$1:'Database'!$L$175,6,FALSE),"-"),"-")</f>
        <v>-</v>
      </c>
      <c r="P8" s="51" t="str">
        <f>IFERROR(IF(AND(booking!AB8&gt;0,booking!P8&lt;&gt;booking!Q8),VLOOKUP(booking!Q8,Database!$A$1:'Database'!$L$175,9,FALSE),"-"),"-")</f>
        <v>-</v>
      </c>
      <c r="Q8" s="55" t="str">
        <f>IF(AND(booking!T8&lt;&gt;booking!U8,booking!T8&gt;0),"udc","-")</f>
        <v>-</v>
      </c>
      <c r="R8" s="51" t="str">
        <f>IFERROR(IF(AND(booking!AB8&gt;0,booking!T8&lt;&gt;booking!U8),VLOOKUP(booking!U8,Database!$A$1:'Database'!$L$175,6,FALSE),"-"),"-")</f>
        <v>-</v>
      </c>
      <c r="S8" s="51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6">
        <f>booking!C9</f>
        <v>46510</v>
      </c>
      <c r="D9" s="2" t="str">
        <f>IF(booking!AC9&gt;0,"Y","-")</f>
        <v>-</v>
      </c>
      <c r="E9" s="55" t="str">
        <f>IF(AND(booking!D9&lt;&gt;booking!E9,booking!D9&gt;0),"udc","-")</f>
        <v>-</v>
      </c>
      <c r="F9" s="51" t="str">
        <f>IFERROR(IF(AND(booking!AB9&gt;0,booking!D9&lt;&gt;booking!E9),VLOOKUP(booking!E9,Database!$A$1:'Database'!$L$175,6,FALSE),"-"),"-")</f>
        <v>-</v>
      </c>
      <c r="G9" s="51" t="str">
        <f>IFERROR(IF(AND(booking!AB9&gt;0,booking!D9&lt;&gt;booking!E9),VLOOKUP(booking!E9,Database!$A$1:'Database'!$L$175,9,FALSE),"-"),"-")</f>
        <v>-</v>
      </c>
      <c r="H9" s="55" t="str">
        <f>IF(AND(booking!H9&lt;&gt;booking!I9,booking!H9&gt;0),"udc","-")</f>
        <v>-</v>
      </c>
      <c r="I9" s="51" t="str">
        <f>IFERROR(IF(AND(booking!AB9&gt;0,booking!H9&lt;&gt;booking!I9),VLOOKUP(booking!I9,Database!$A$1:'Database'!$L$175,6,FALSE),"-"),"-")</f>
        <v>-</v>
      </c>
      <c r="J9" s="51" t="str">
        <f>IFERROR(IF(AND(booking!AB9&gt;0,booking!H9&lt;&gt;booking!I9),VLOOKUP(booking!I9,Database!$A$1:'Database'!$L$175,9,FALSE),"-"),"-")</f>
        <v>-</v>
      </c>
      <c r="K9" s="55" t="str">
        <f>IF(AND(booking!L9&lt;&gt;booking!M9,booking!L9&gt;0),"udc","-")</f>
        <v>-</v>
      </c>
      <c r="L9" s="51" t="str">
        <f>IFERROR(IF(AND(booking!AB9&gt;0,booking!L9&lt;&gt;booking!M9),VLOOKUP(booking!M9,Database!$A$1:'Database'!$L$175,6,FALSE),"-"),"-")</f>
        <v>-</v>
      </c>
      <c r="M9" s="51" t="str">
        <f>IFERROR(IF(AND(booking!AB9&gt;0,booking!L9&lt;&gt;booking!M9),VLOOKUP(booking!M9,Database!A8:'Database'!L182,9,FALSE),"-"),"-")</f>
        <v>-</v>
      </c>
      <c r="N9" s="55" t="str">
        <f>IF(AND(booking!P9&lt;&gt;booking!Q9,booking!P9&gt;0),"udc","-")</f>
        <v>-</v>
      </c>
      <c r="O9" s="51" t="str">
        <f>IFERROR(IF(AND(booking!AB9&gt;0,booking!P9&lt;&gt;booking!Q9),VLOOKUP(booking!Q9,Database!$A$1:'Database'!$L$175,6,FALSE),"-"),"-")</f>
        <v>-</v>
      </c>
      <c r="P9" s="51" t="str">
        <f>IFERROR(IF(AND(booking!AB9&gt;0,booking!P9&lt;&gt;booking!Q9),VLOOKUP(booking!Q9,Database!$A$1:'Database'!$L$175,9,FALSE),"-"),"-")</f>
        <v>-</v>
      </c>
      <c r="Q9" s="55" t="str">
        <f>IF(AND(booking!T9&lt;&gt;booking!U9,booking!T9&gt;0),"udc","-")</f>
        <v>-</v>
      </c>
      <c r="R9" s="51" t="str">
        <f>IFERROR(IF(AND(booking!AB9&gt;0,booking!T9&lt;&gt;booking!U9),VLOOKUP(booking!U9,Database!$A$1:'Database'!$L$175,6,FALSE),"-"),"-")</f>
        <v>-</v>
      </c>
      <c r="S9" s="51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6">
        <f>booking!C10</f>
        <v>46511</v>
      </c>
      <c r="D10" s="2" t="str">
        <f>IF(booking!AC10&gt;0,"Y","-")</f>
        <v>-</v>
      </c>
      <c r="E10" s="55" t="str">
        <f>IF(AND(booking!D10&lt;&gt;booking!E10,booking!D10&gt;0),"udc","-")</f>
        <v>-</v>
      </c>
      <c r="F10" s="51" t="str">
        <f>IFERROR(IF(AND(booking!AB10&gt;0,booking!D10&lt;&gt;booking!E10),VLOOKUP(booking!E10,Database!$A$1:'Database'!$L$175,6,FALSE),"-"),"-")</f>
        <v>-</v>
      </c>
      <c r="G10" s="51" t="str">
        <f>IFERROR(IF(AND(booking!AB10&gt;0,booking!D10&lt;&gt;booking!E10),VLOOKUP(booking!E10,Database!$A$1:'Database'!$L$175,9,FALSE),"-"),"-")</f>
        <v>-</v>
      </c>
      <c r="H10" s="55" t="str">
        <f>IF(AND(booking!H10&lt;&gt;booking!I10,booking!H10&gt;0),"udc","-")</f>
        <v>-</v>
      </c>
      <c r="I10" s="51" t="str">
        <f>IFERROR(IF(AND(booking!AB10&gt;0,booking!H10&lt;&gt;booking!I10),VLOOKUP(booking!I10,Database!$A$1:'Database'!$L$175,6,FALSE),"-"),"-")</f>
        <v>-</v>
      </c>
      <c r="J10" s="51" t="str">
        <f>IFERROR(IF(AND(booking!AB10&gt;0,booking!H10&lt;&gt;booking!I10),VLOOKUP(booking!I10,Database!$A$1:'Database'!$L$175,9,FALSE),"-"),"-")</f>
        <v>-</v>
      </c>
      <c r="K10" s="55" t="str">
        <f>IF(AND(booking!L10&lt;&gt;booking!M10,booking!L10&gt;0),"udc","-")</f>
        <v>-</v>
      </c>
      <c r="L10" s="51" t="str">
        <f>IFERROR(IF(AND(booking!AB10&gt;0,booking!L10&lt;&gt;booking!M10),VLOOKUP(booking!M10,Database!$A$1:'Database'!$L$175,6,FALSE),"-"),"-")</f>
        <v>-</v>
      </c>
      <c r="M10" s="51" t="str">
        <f>IFERROR(IF(AND(booking!AB10&gt;0,booking!L10&lt;&gt;booking!M10),VLOOKUP(booking!M10,Database!A9:'Database'!L183,9,FALSE),"-"),"-")</f>
        <v>-</v>
      </c>
      <c r="N10" s="55" t="str">
        <f>IF(AND(booking!P10&lt;&gt;booking!Q10,booking!P10&gt;0),"udc","-")</f>
        <v>-</v>
      </c>
      <c r="O10" s="51" t="str">
        <f>IFERROR(IF(AND(booking!AB10&gt;0,booking!P10&lt;&gt;booking!Q10),VLOOKUP(booking!Q10,Database!$A$1:'Database'!$L$175,6,FALSE),"-"),"-")</f>
        <v>-</v>
      </c>
      <c r="P10" s="51" t="str">
        <f>IFERROR(IF(AND(booking!AB10&gt;0,booking!P10&lt;&gt;booking!Q10),VLOOKUP(booking!Q10,Database!$A$1:'Database'!$L$175,9,FALSE),"-"),"-")</f>
        <v>-</v>
      </c>
      <c r="Q10" s="55" t="str">
        <f>IF(AND(booking!T10&lt;&gt;booking!U10,booking!T10&gt;0),"udc","-")</f>
        <v>-</v>
      </c>
      <c r="R10" s="51" t="str">
        <f>IFERROR(IF(AND(booking!AB10&gt;0,booking!T10&lt;&gt;booking!U10),VLOOKUP(booking!U10,Database!$A$1:'Database'!$L$175,6,FALSE),"-"),"-")</f>
        <v>-</v>
      </c>
      <c r="S10" s="51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6">
        <f>booking!C11</f>
        <v>46512</v>
      </c>
      <c r="D11" s="2" t="str">
        <f>IF(booking!AC11&gt;0,"Y","-")</f>
        <v>-</v>
      </c>
      <c r="E11" s="55" t="str">
        <f>IF(AND(booking!D11&lt;&gt;booking!E11,booking!D11&gt;0),"udc","-")</f>
        <v>-</v>
      </c>
      <c r="F11" s="51" t="str">
        <f>IFERROR(IF(AND(booking!AB11&gt;0,booking!D11&lt;&gt;booking!E11),VLOOKUP(booking!E11,Database!$A$1:'Database'!$L$175,6,FALSE),"-"),"-")</f>
        <v>-</v>
      </c>
      <c r="G11" s="51" t="str">
        <f>IFERROR(IF(AND(booking!AB11&gt;0,booking!D11&lt;&gt;booking!E11),VLOOKUP(booking!E11,Database!$A$1:'Database'!$L$175,9,FALSE),"-"),"-")</f>
        <v>-</v>
      </c>
      <c r="H11" s="55" t="str">
        <f>IF(AND(booking!H11&lt;&gt;booking!I11,booking!H11&gt;0),"udc","-")</f>
        <v>-</v>
      </c>
      <c r="I11" s="51" t="str">
        <f>IFERROR(IF(AND(booking!AB11&gt;0,booking!H11&lt;&gt;booking!I11),VLOOKUP(booking!I11,Database!$A$1:'Database'!$L$175,6,FALSE),"-"),"-")</f>
        <v>-</v>
      </c>
      <c r="J11" s="51" t="str">
        <f>IFERROR(IF(AND(booking!AB11&gt;0,booking!H11&lt;&gt;booking!I11),VLOOKUP(booking!I11,Database!$A$1:'Database'!$L$175,9,FALSE),"-"),"-")</f>
        <v>-</v>
      </c>
      <c r="K11" s="55" t="str">
        <f>IF(AND(booking!L11&lt;&gt;booking!M11,booking!L11&gt;0),"udc","-")</f>
        <v>-</v>
      </c>
      <c r="L11" s="51" t="str">
        <f>IFERROR(IF(AND(booking!AB11&gt;0,booking!L11&lt;&gt;booking!M11),VLOOKUP(booking!M11,Database!$A$1:'Database'!$L$175,6,FALSE),"-"),"-")</f>
        <v>-</v>
      </c>
      <c r="M11" s="51" t="str">
        <f>IFERROR(IF(AND(booking!AB11&gt;0,booking!L11&lt;&gt;booking!M11),VLOOKUP(booking!M11,Database!A10:'Database'!L184,9,FALSE),"-"),"-")</f>
        <v>-</v>
      </c>
      <c r="N11" s="55" t="str">
        <f>IF(AND(booking!P11&lt;&gt;booking!Q11,booking!P11&gt;0),"udc","-")</f>
        <v>-</v>
      </c>
      <c r="O11" s="51" t="str">
        <f>IFERROR(IF(AND(booking!AB11&gt;0,booking!P11&lt;&gt;booking!Q11),VLOOKUP(booking!Q11,Database!$A$1:'Database'!$L$175,6,FALSE),"-"),"-")</f>
        <v>-</v>
      </c>
      <c r="P11" s="51" t="str">
        <f>IFERROR(IF(AND(booking!AB11&gt;0,booking!P11&lt;&gt;booking!Q11),VLOOKUP(booking!Q11,Database!$A$1:'Database'!$L$175,9,FALSE),"-"),"-")</f>
        <v>-</v>
      </c>
      <c r="Q11" s="55" t="str">
        <f>IF(AND(booking!T11&lt;&gt;booking!U11,booking!T11&gt;0),"udc","-")</f>
        <v>-</v>
      </c>
      <c r="R11" s="51" t="str">
        <f>IFERROR(IF(AND(booking!AB11&gt;0,booking!T11&lt;&gt;booking!U11),VLOOKUP(booking!U11,Database!$A$1:'Database'!$L$175,6,FALSE),"-"),"-")</f>
        <v>-</v>
      </c>
      <c r="S11" s="51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6">
        <f>booking!C12</f>
        <v>46513</v>
      </c>
      <c r="D12" s="2" t="str">
        <f>IF(booking!AC12&gt;0,"Y","-")</f>
        <v>-</v>
      </c>
      <c r="E12" s="55" t="str">
        <f>IF(AND(booking!D12&lt;&gt;booking!E12,booking!D12&gt;0),"udc","-")</f>
        <v>-</v>
      </c>
      <c r="F12" s="51" t="str">
        <f>IFERROR(IF(AND(booking!AB12&gt;0,booking!D12&lt;&gt;booking!E12),VLOOKUP(booking!E12,Database!$A$1:'Database'!$L$175,6,FALSE),"-"),"-")</f>
        <v>-</v>
      </c>
      <c r="G12" s="51" t="str">
        <f>IFERROR(IF(AND(booking!AB12&gt;0,booking!D12&lt;&gt;booking!E12),VLOOKUP(booking!E12,Database!$A$1:'Database'!$L$175,9,FALSE),"-"),"-")</f>
        <v>-</v>
      </c>
      <c r="H12" s="55" t="str">
        <f>IF(AND(booking!H12&lt;&gt;booking!I12,booking!H12&gt;0),"udc","-")</f>
        <v>-</v>
      </c>
      <c r="I12" s="51" t="str">
        <f>IFERROR(IF(AND(booking!AB12&gt;0,booking!H12&lt;&gt;booking!I12),VLOOKUP(booking!I12,Database!$A$1:'Database'!$L$175,6,FALSE),"-"),"-")</f>
        <v>-</v>
      </c>
      <c r="J12" s="51" t="str">
        <f>IFERROR(IF(AND(booking!AB12&gt;0,booking!H12&lt;&gt;booking!I12),VLOOKUP(booking!I12,Database!$A$1:'Database'!$L$175,9,FALSE),"-"),"-")</f>
        <v>-</v>
      </c>
      <c r="K12" s="55" t="str">
        <f>IF(AND(booking!L12&lt;&gt;booking!M12,booking!L12&gt;0),"udc","-")</f>
        <v>-</v>
      </c>
      <c r="L12" s="51" t="str">
        <f>IFERROR(IF(AND(booking!AB12&gt;0,booking!L12&lt;&gt;booking!M12),VLOOKUP(booking!M12,Database!$A$1:'Database'!$L$175,6,FALSE),"-"),"-")</f>
        <v>-</v>
      </c>
      <c r="M12" s="51" t="str">
        <f>IFERROR(IF(AND(booking!AB12&gt;0,booking!L12&lt;&gt;booking!M12),VLOOKUP(booking!M12,Database!A11:'Database'!L185,9,FALSE),"-"),"-")</f>
        <v>-</v>
      </c>
      <c r="N12" s="55" t="str">
        <f>IF(AND(booking!P12&lt;&gt;booking!Q12,booking!P12&gt;0),"udc","-")</f>
        <v>-</v>
      </c>
      <c r="O12" s="51" t="str">
        <f>IFERROR(IF(AND(booking!AB12&gt;0,booking!P12&lt;&gt;booking!Q12),VLOOKUP(booking!Q12,Database!$A$1:'Database'!$L$175,6,FALSE),"-"),"-")</f>
        <v>-</v>
      </c>
      <c r="P12" s="51" t="str">
        <f>IFERROR(IF(AND(booking!AB12&gt;0,booking!P12&lt;&gt;booking!Q12),VLOOKUP(booking!Q12,Database!$A$1:'Database'!$L$175,9,FALSE),"-"),"-")</f>
        <v>-</v>
      </c>
      <c r="Q12" s="55" t="str">
        <f>IF(AND(booking!T12&lt;&gt;booking!U12,booking!T12&gt;0),"udc","-")</f>
        <v>-</v>
      </c>
      <c r="R12" s="51" t="str">
        <f>IFERROR(IF(AND(booking!AB12&gt;0,booking!T12&lt;&gt;booking!U12),VLOOKUP(booking!U12,Database!$A$1:'Database'!$L$175,6,FALSE),"-"),"-")</f>
        <v>-</v>
      </c>
      <c r="S12" s="51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6">
        <f>booking!C13</f>
        <v>46514</v>
      </c>
      <c r="D13" s="2" t="str">
        <f>IF(booking!AC13&gt;0,"Y","-")</f>
        <v>-</v>
      </c>
      <c r="E13" s="55" t="str">
        <f>IF(AND(booking!D13&lt;&gt;booking!E13,booking!D13&gt;0),"udc","-")</f>
        <v>-</v>
      </c>
      <c r="F13" s="51" t="str">
        <f>IFERROR(IF(AND(booking!AB13&gt;0,booking!D13&lt;&gt;booking!E13),VLOOKUP(booking!E13,Database!$A$1:'Database'!$L$175,6,FALSE),"-"),"-")</f>
        <v>-</v>
      </c>
      <c r="G13" s="51" t="str">
        <f>IFERROR(IF(AND(booking!AB13&gt;0,booking!D13&lt;&gt;booking!E13),VLOOKUP(booking!E13,Database!$A$1:'Database'!$L$175,9,FALSE),"-"),"-")</f>
        <v>-</v>
      </c>
      <c r="H13" s="55" t="str">
        <f>IF(AND(booking!H13&lt;&gt;booking!I13,booking!H13&gt;0),"udc","-")</f>
        <v>-</v>
      </c>
      <c r="I13" s="51" t="str">
        <f>IFERROR(IF(AND(booking!AB13&gt;0,booking!H13&lt;&gt;booking!I13),VLOOKUP(booking!I13,Database!$A$1:'Database'!$L$175,6,FALSE),"-"),"-")</f>
        <v>-</v>
      </c>
      <c r="J13" s="51" t="str">
        <f>IFERROR(IF(AND(booking!AB13&gt;0,booking!H13&lt;&gt;booking!I13),VLOOKUP(booking!I13,Database!$A$1:'Database'!$L$175,9,FALSE),"-"),"-")</f>
        <v>-</v>
      </c>
      <c r="K13" s="55" t="str">
        <f>IF(AND(booking!L13&lt;&gt;booking!M13,booking!L13&gt;0),"udc","-")</f>
        <v>-</v>
      </c>
      <c r="L13" s="51" t="str">
        <f>IFERROR(IF(AND(booking!AB13&gt;0,booking!L13&lt;&gt;booking!M13),VLOOKUP(booking!M13,Database!$A$1:'Database'!$L$175,6,FALSE),"-"),"-")</f>
        <v>-</v>
      </c>
      <c r="M13" s="51" t="str">
        <f>IFERROR(IF(AND(booking!AB13&gt;0,booking!L13&lt;&gt;booking!M13),VLOOKUP(booking!M13,Database!A12:'Database'!L186,9,FALSE),"-"),"-")</f>
        <v>-</v>
      </c>
      <c r="N13" s="55" t="str">
        <f>IF(AND(booking!P13&lt;&gt;booking!Q13,booking!P13&gt;0),"udc","-")</f>
        <v>-</v>
      </c>
      <c r="O13" s="51" t="str">
        <f>IFERROR(IF(AND(booking!AB13&gt;0,booking!P13&lt;&gt;booking!Q13),VLOOKUP(booking!Q13,Database!$A$1:'Database'!$L$175,6,FALSE),"-"),"-")</f>
        <v>-</v>
      </c>
      <c r="P13" s="51" t="str">
        <f>IFERROR(IF(AND(booking!AB13&gt;0,booking!P13&lt;&gt;booking!Q13),VLOOKUP(booking!Q13,Database!$A$1:'Database'!$L$175,9,FALSE),"-"),"-")</f>
        <v>-</v>
      </c>
      <c r="Q13" s="55" t="str">
        <f>IF(AND(booking!T13&lt;&gt;booking!U13,booking!T13&gt;0),"udc","-")</f>
        <v>-</v>
      </c>
      <c r="R13" s="51" t="str">
        <f>IFERROR(IF(AND(booking!AB13&gt;0,booking!T13&lt;&gt;booking!U13),VLOOKUP(booking!U13,Database!$A$1:'Database'!$L$175,6,FALSE),"-"),"-")</f>
        <v>-</v>
      </c>
      <c r="S13" s="51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6">
        <f>booking!C14</f>
        <v>46515</v>
      </c>
      <c r="D14" s="2" t="str">
        <f>IF(booking!AC14&gt;0,"Y","-")</f>
        <v>-</v>
      </c>
      <c r="E14" s="55" t="str">
        <f>IF(AND(booking!D14&lt;&gt;booking!E14,booking!D14&gt;0),"udc","-")</f>
        <v>-</v>
      </c>
      <c r="F14" s="51" t="str">
        <f>IFERROR(IF(AND(booking!AB14&gt;0,booking!D14&lt;&gt;booking!E14),VLOOKUP(booking!E14,Database!$A$1:'Database'!$L$175,6,FALSE),"-"),"-")</f>
        <v>-</v>
      </c>
      <c r="G14" s="51" t="str">
        <f>IFERROR(IF(AND(booking!AB14&gt;0,booking!D14&lt;&gt;booking!E14),VLOOKUP(booking!E14,Database!$A$1:'Database'!$L$175,9,FALSE),"-"),"-")</f>
        <v>-</v>
      </c>
      <c r="H14" s="55" t="str">
        <f>IF(AND(booking!H14&lt;&gt;booking!I14,booking!H14&gt;0),"udc","-")</f>
        <v>-</v>
      </c>
      <c r="I14" s="51" t="str">
        <f>IFERROR(IF(AND(booking!AB14&gt;0,booking!H14&lt;&gt;booking!I14),VLOOKUP(booking!I14,Database!$A$1:'Database'!$L$175,6,FALSE),"-"),"-")</f>
        <v>-</v>
      </c>
      <c r="J14" s="51" t="str">
        <f>IFERROR(IF(AND(booking!AB14&gt;0,booking!H14&lt;&gt;booking!I14),VLOOKUP(booking!I14,Database!$A$1:'Database'!$L$175,9,FALSE),"-"),"-")</f>
        <v>-</v>
      </c>
      <c r="K14" s="55" t="str">
        <f>IF(AND(booking!L14&lt;&gt;booking!M14,booking!L14&gt;0),"udc","-")</f>
        <v>-</v>
      </c>
      <c r="L14" s="51" t="str">
        <f>IFERROR(IF(AND(booking!AB14&gt;0,booking!L14&lt;&gt;booking!M14),VLOOKUP(booking!M14,Database!$A$1:'Database'!$L$175,6,FALSE),"-"),"-")</f>
        <v>-</v>
      </c>
      <c r="M14" s="51" t="str">
        <f>IFERROR(IF(AND(booking!AB14&gt;0,booking!L14&lt;&gt;booking!M14),VLOOKUP(booking!M14,Database!A13:'Database'!L187,9,FALSE),"-"),"-")</f>
        <v>-</v>
      </c>
      <c r="N14" s="55" t="str">
        <f>IF(AND(booking!P14&lt;&gt;booking!Q14,booking!P14&gt;0),"udc","-")</f>
        <v>-</v>
      </c>
      <c r="O14" s="51" t="str">
        <f>IFERROR(IF(AND(booking!AB14&gt;0,booking!P14&lt;&gt;booking!Q14),VLOOKUP(booking!Q14,Database!$A$1:'Database'!$L$175,6,FALSE),"-"),"-")</f>
        <v>-</v>
      </c>
      <c r="P14" s="51" t="str">
        <f>IFERROR(IF(AND(booking!AB14&gt;0,booking!P14&lt;&gt;booking!Q14),VLOOKUP(booking!Q14,Database!$A$1:'Database'!$L$175,9,FALSE),"-"),"-")</f>
        <v>-</v>
      </c>
      <c r="Q14" s="55" t="str">
        <f>IF(AND(booking!T14&lt;&gt;booking!U14,booking!T14&gt;0),"udc","-")</f>
        <v>-</v>
      </c>
      <c r="R14" s="51" t="str">
        <f>IFERROR(IF(AND(booking!AB14&gt;0,booking!T14&lt;&gt;booking!U14),VLOOKUP(booking!U14,Database!$A$1:'Database'!$L$175,6,FALSE),"-"),"-")</f>
        <v>-</v>
      </c>
      <c r="S14" s="51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8" t="str">
        <f>booking!B15</f>
        <v>søndag</v>
      </c>
      <c r="B15" s="49">
        <f>booking!C15</f>
        <v>46516</v>
      </c>
      <c r="C15" s="48"/>
      <c r="D15" s="50" t="str">
        <f>IF(booking!AC15&gt;0,"Y","-")</f>
        <v>-</v>
      </c>
      <c r="E15" s="55" t="str">
        <f>IF(AND(booking!D15&lt;&gt;booking!E15,booking!D15&gt;0),"udc","-")</f>
        <v>-</v>
      </c>
      <c r="F15" s="51" t="str">
        <f>IFERROR(IF(AND(booking!AB15&gt;0,booking!D15&lt;&gt;booking!E15),VLOOKUP(booking!E15,Database!$A$1:'Database'!$L$175,6,FALSE),"-"),"-")</f>
        <v>-</v>
      </c>
      <c r="G15" s="51" t="str">
        <f>IFERROR(IF(AND(booking!AB15&gt;0,booking!D15&lt;&gt;booking!E15),VLOOKUP(booking!E15,Database!$A$1:'Database'!$L$175,9,FALSE),"-"),"-")</f>
        <v>-</v>
      </c>
      <c r="H15" s="55" t="str">
        <f>IF(AND(booking!H15&lt;&gt;booking!I15,booking!H15&gt;0),"udc","-")</f>
        <v>-</v>
      </c>
      <c r="I15" s="51" t="str">
        <f>IFERROR(IF(AND(booking!AB15&gt;0,booking!H15&lt;&gt;booking!I15),VLOOKUP(booking!I15,Database!$A$1:'Database'!$L$175,6,FALSE),"-"),"-")</f>
        <v>-</v>
      </c>
      <c r="J15" s="51" t="str">
        <f>IFERROR(IF(AND(booking!AB15&gt;0,booking!H15&lt;&gt;booking!I15),VLOOKUP(booking!I15,Database!$A$1:'Database'!$L$175,9,FALSE),"-"),"-")</f>
        <v>-</v>
      </c>
      <c r="K15" s="55" t="str">
        <f>IF(AND(booking!L15&lt;&gt;booking!M15,booking!L15&gt;0),"udc","-")</f>
        <v>-</v>
      </c>
      <c r="L15" s="51" t="str">
        <f>IFERROR(IF(AND(booking!AB15&gt;0,booking!L15&lt;&gt;booking!M15),VLOOKUP(booking!M15,Database!$A$1:'Database'!$L$175,6,FALSE),"-"),"-")</f>
        <v>-</v>
      </c>
      <c r="M15" s="51" t="str">
        <f>IFERROR(IF(AND(booking!AB15&gt;0,booking!L15&lt;&gt;booking!M15),VLOOKUP(booking!M15,Database!A14:'Database'!L188,9,FALSE),"-"),"-")</f>
        <v>-</v>
      </c>
      <c r="N15" s="55" t="str">
        <f>IF(AND(booking!P15&lt;&gt;booking!Q15,booking!P15&gt;0),"udc","-")</f>
        <v>-</v>
      </c>
      <c r="O15" s="51" t="str">
        <f>IFERROR(IF(AND(booking!AB15&gt;0,booking!P15&lt;&gt;booking!Q15),VLOOKUP(booking!Q15,Database!$A$1:'Database'!$L$175,6,FALSE),"-"),"-")</f>
        <v>-</v>
      </c>
      <c r="P15" s="51" t="str">
        <f>IFERROR(IF(AND(booking!AB15&gt;0,booking!P15&lt;&gt;booking!Q15),VLOOKUP(booking!Q15,Database!$A$1:'Database'!$L$175,9,FALSE),"-"),"-")</f>
        <v>-</v>
      </c>
      <c r="Q15" s="55" t="str">
        <f>IF(AND(booking!T15&lt;&gt;booking!U15,booking!T15&gt;0),"udc","-")</f>
        <v>-</v>
      </c>
      <c r="R15" s="51" t="str">
        <f>IFERROR(IF(AND(booking!AB15&gt;0,booking!T15&lt;&gt;booking!U15),VLOOKUP(booking!U15,Database!$A$1:'Database'!$L$175,6,FALSE),"-"),"-")</f>
        <v>-</v>
      </c>
      <c r="S15" s="51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6">
        <f>booking!C16</f>
        <v>46517</v>
      </c>
      <c r="D16" s="2" t="str">
        <f>IF(booking!AC16&gt;0,"Y","-")</f>
        <v>-</v>
      </c>
      <c r="E16" s="55" t="str">
        <f>IF(AND(booking!D16&lt;&gt;booking!E16,booking!D16&gt;0),"udc","-")</f>
        <v>-</v>
      </c>
      <c r="F16" s="51" t="str">
        <f>IFERROR(IF(AND(booking!AB16&gt;0,booking!D16&lt;&gt;booking!E16),VLOOKUP(booking!E16,Database!$A$1:'Database'!$L$175,6,FALSE),"-"),"-")</f>
        <v>-</v>
      </c>
      <c r="G16" s="51" t="str">
        <f>IFERROR(IF(AND(booking!AB16&gt;0,booking!D16&lt;&gt;booking!E16),VLOOKUP(booking!E16,Database!$A$1:'Database'!$L$175,9,FALSE),"-"),"-")</f>
        <v>-</v>
      </c>
      <c r="H16" s="55" t="str">
        <f>IF(AND(booking!H16&lt;&gt;booking!I16,booking!H16&gt;0),"udc","-")</f>
        <v>-</v>
      </c>
      <c r="I16" s="51" t="str">
        <f>IFERROR(IF(AND(booking!AB16&gt;0,booking!H16&lt;&gt;booking!I16),VLOOKUP(booking!I16,Database!$A$1:'Database'!$L$175,6,FALSE),"-"),"-")</f>
        <v>-</v>
      </c>
      <c r="J16" s="51" t="str">
        <f>IFERROR(IF(AND(booking!AB16&gt;0,booking!H16&lt;&gt;booking!I16),VLOOKUP(booking!I16,Database!$A$1:'Database'!$L$175,9,FALSE),"-"),"-")</f>
        <v>-</v>
      </c>
      <c r="K16" s="55" t="str">
        <f>IF(AND(booking!L16&lt;&gt;booking!M16,booking!L16&gt;0),"udc","-")</f>
        <v>-</v>
      </c>
      <c r="L16" s="51" t="str">
        <f>IFERROR(IF(AND(booking!AB16&gt;0,booking!L16&lt;&gt;booking!M16),VLOOKUP(booking!M16,Database!$A$1:'Database'!$L$175,6,FALSE),"-"),"-")</f>
        <v>-</v>
      </c>
      <c r="M16" s="51" t="str">
        <f>IFERROR(IF(AND(booking!AB16&gt;0,booking!L16&lt;&gt;booking!M16),VLOOKUP(booking!M16,Database!A15:'Database'!L189,9,FALSE),"-"),"-")</f>
        <v>-</v>
      </c>
      <c r="N16" s="55" t="str">
        <f>IF(AND(booking!P16&lt;&gt;booking!Q16,booking!P16&gt;0),"udc","-")</f>
        <v>-</v>
      </c>
      <c r="O16" s="51" t="str">
        <f>IFERROR(IF(AND(booking!AB16&gt;0,booking!P16&lt;&gt;booking!Q16),VLOOKUP(booking!Q16,Database!$A$1:'Database'!$L$175,6,FALSE),"-"),"-")</f>
        <v>-</v>
      </c>
      <c r="P16" s="51" t="str">
        <f>IFERROR(IF(AND(booking!AB16&gt;0,booking!P16&lt;&gt;booking!Q16),VLOOKUP(booking!Q16,Database!$A$1:'Database'!$L$175,9,FALSE),"-"),"-")</f>
        <v>-</v>
      </c>
      <c r="Q16" s="55" t="str">
        <f>IF(AND(booking!T16&lt;&gt;booking!U16,booking!T16&gt;0),"udc","-")</f>
        <v>-</v>
      </c>
      <c r="R16" s="51" t="str">
        <f>IFERROR(IF(AND(booking!AB16&gt;0,booking!T16&lt;&gt;booking!U16),VLOOKUP(booking!U16,Database!$A$1:'Database'!$L$175,6,FALSE),"-"),"-")</f>
        <v>-</v>
      </c>
      <c r="S16" s="51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6">
        <f>booking!C17</f>
        <v>46518</v>
      </c>
      <c r="D17" s="2" t="str">
        <f>IF(booking!AC17&gt;0,"Y","-")</f>
        <v>-</v>
      </c>
      <c r="E17" s="55" t="str">
        <f>IF(AND(booking!D17&lt;&gt;booking!E17,booking!D17&gt;0),"udc","-")</f>
        <v>-</v>
      </c>
      <c r="F17" s="51" t="str">
        <f>IFERROR(IF(AND(booking!AB17&gt;0,booking!D17&lt;&gt;booking!E17),VLOOKUP(booking!E17,Database!$A$1:'Database'!$L$175,6,FALSE),"-"),"-")</f>
        <v>-</v>
      </c>
      <c r="G17" s="51" t="str">
        <f>IFERROR(IF(AND(booking!AB17&gt;0,booking!D17&lt;&gt;booking!E17),VLOOKUP(booking!E17,Database!$A$1:'Database'!$L$175,9,FALSE),"-"),"-")</f>
        <v>-</v>
      </c>
      <c r="H17" s="55" t="str">
        <f>IF(AND(booking!H17&lt;&gt;booking!I17,booking!H17&gt;0),"udc","-")</f>
        <v>-</v>
      </c>
      <c r="I17" s="51" t="str">
        <f>IFERROR(IF(AND(booking!AB17&gt;0,booking!H17&lt;&gt;booking!I17),VLOOKUP(booking!I17,Database!$A$1:'Database'!$L$175,6,FALSE),"-"),"-")</f>
        <v>-</v>
      </c>
      <c r="J17" s="51" t="str">
        <f>IFERROR(IF(AND(booking!AB17&gt;0,booking!H17&lt;&gt;booking!I17),VLOOKUP(booking!I17,Database!$A$1:'Database'!$L$175,9,FALSE),"-"),"-")</f>
        <v>-</v>
      </c>
      <c r="K17" s="55" t="str">
        <f>IF(AND(booking!L17&lt;&gt;booking!M17,booking!L17&gt;0),"udc","-")</f>
        <v>-</v>
      </c>
      <c r="L17" s="51" t="str">
        <f>IFERROR(IF(AND(booking!AB17&gt;0,booking!L17&lt;&gt;booking!M17),VLOOKUP(booking!M17,Database!$A$1:'Database'!$L$175,6,FALSE),"-"),"-")</f>
        <v>-</v>
      </c>
      <c r="M17" s="51" t="str">
        <f>IFERROR(IF(AND(booking!AB17&gt;0,booking!L17&lt;&gt;booking!M17),VLOOKUP(booking!M17,Database!A16:'Database'!L190,9,FALSE),"-"),"-")</f>
        <v>-</v>
      </c>
      <c r="N17" s="55" t="str">
        <f>IF(AND(booking!P17&lt;&gt;booking!Q17,booking!P17&gt;0),"udc","-")</f>
        <v>-</v>
      </c>
      <c r="O17" s="51" t="str">
        <f>IFERROR(IF(AND(booking!AB17&gt;0,booking!P17&lt;&gt;booking!Q17),VLOOKUP(booking!Q17,Database!$A$1:'Database'!$L$175,6,FALSE),"-"),"-")</f>
        <v>-</v>
      </c>
      <c r="P17" s="51" t="str">
        <f>IFERROR(IF(AND(booking!AB17&gt;0,booking!P17&lt;&gt;booking!Q17),VLOOKUP(booking!Q17,Database!$A$1:'Database'!$L$175,9,FALSE),"-"),"-")</f>
        <v>-</v>
      </c>
      <c r="Q17" s="55" t="str">
        <f>IF(AND(booking!T17&lt;&gt;booking!U17,booking!T17&gt;0),"udc","-")</f>
        <v>-</v>
      </c>
      <c r="R17" s="51" t="str">
        <f>IFERROR(IF(AND(booking!AB17&gt;0,booking!T17&lt;&gt;booking!U17),VLOOKUP(booking!U17,Database!$A$1:'Database'!$L$175,6,FALSE),"-"),"-")</f>
        <v>-</v>
      </c>
      <c r="S17" s="51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6">
        <f>booking!C18</f>
        <v>46519</v>
      </c>
      <c r="D18" s="2" t="str">
        <f>IF(booking!AC18&gt;0,"Y","-")</f>
        <v>-</v>
      </c>
      <c r="E18" s="55" t="str">
        <f>IF(AND(booking!D18&lt;&gt;booking!E18,booking!D18&gt;0),"udc","-")</f>
        <v>-</v>
      </c>
      <c r="F18" s="51" t="str">
        <f>IFERROR(IF(AND(booking!AB18&gt;0,booking!D18&lt;&gt;booking!E18),VLOOKUP(booking!E18,Database!$A$1:'Database'!$L$175,6,FALSE),"-"),"-")</f>
        <v>-</v>
      </c>
      <c r="G18" s="51" t="str">
        <f>IFERROR(IF(AND(booking!AB18&gt;0,booking!D18&lt;&gt;booking!E18),VLOOKUP(booking!E18,Database!$A$1:'Database'!$L$175,9,FALSE),"-"),"-")</f>
        <v>-</v>
      </c>
      <c r="H18" s="55" t="str">
        <f>IF(AND(booking!H18&lt;&gt;booking!I18,booking!H18&gt;0),"udc","-")</f>
        <v>-</v>
      </c>
      <c r="I18" s="51" t="str">
        <f>IFERROR(IF(AND(booking!AB18&gt;0,booking!H18&lt;&gt;booking!I18),VLOOKUP(booking!I18,Database!$A$1:'Database'!$L$175,6,FALSE),"-"),"-")</f>
        <v>-</v>
      </c>
      <c r="J18" s="51" t="str">
        <f>IFERROR(IF(AND(booking!AB18&gt;0,booking!H18&lt;&gt;booking!I18),VLOOKUP(booking!I18,Database!$A$1:'Database'!$L$175,9,FALSE),"-"),"-")</f>
        <v>-</v>
      </c>
      <c r="K18" s="55" t="str">
        <f>IF(AND(booking!L18&lt;&gt;booking!M18,booking!L18&gt;0),"udc","-")</f>
        <v>-</v>
      </c>
      <c r="L18" s="51" t="str">
        <f>IFERROR(IF(AND(booking!AB18&gt;0,booking!L18&lt;&gt;booking!M18),VLOOKUP(booking!M18,Database!$A$1:'Database'!$L$175,6,FALSE),"-"),"-")</f>
        <v>-</v>
      </c>
      <c r="M18" s="51" t="str">
        <f>IFERROR(IF(AND(booking!AB18&gt;0,booking!L18&lt;&gt;booking!M18),VLOOKUP(booking!M18,Database!A17:'Database'!L191,9,FALSE),"-"),"-")</f>
        <v>-</v>
      </c>
      <c r="N18" s="55" t="str">
        <f>IF(AND(booking!P18&lt;&gt;booking!Q18,booking!P18&gt;0),"udc","-")</f>
        <v>-</v>
      </c>
      <c r="O18" s="51" t="str">
        <f>IFERROR(IF(AND(booking!AB18&gt;0,booking!P18&lt;&gt;booking!Q18),VLOOKUP(booking!Q18,Database!$A$1:'Database'!$L$175,6,FALSE),"-"),"-")</f>
        <v>-</v>
      </c>
      <c r="P18" s="51" t="str">
        <f>IFERROR(IF(AND(booking!AB18&gt;0,booking!P18&lt;&gt;booking!Q18),VLOOKUP(booking!Q18,Database!$A$1:'Database'!$L$175,9,FALSE),"-"),"-")</f>
        <v>-</v>
      </c>
      <c r="Q18" s="55" t="str">
        <f>IF(AND(booking!T18&lt;&gt;booking!U18,booking!T18&gt;0),"udc","-")</f>
        <v>-</v>
      </c>
      <c r="R18" s="51" t="str">
        <f>IFERROR(IF(AND(booking!AB18&gt;0,booking!T18&lt;&gt;booking!U18),VLOOKUP(booking!U18,Database!$A$1:'Database'!$L$175,6,FALSE),"-"),"-")</f>
        <v>-</v>
      </c>
      <c r="S18" s="51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6">
        <f>booking!C19</f>
        <v>46520</v>
      </c>
      <c r="D19" s="2" t="str">
        <f>IF(booking!AC19&gt;0,"Y","-")</f>
        <v>-</v>
      </c>
      <c r="E19" s="55" t="str">
        <f>IF(AND(booking!D19&lt;&gt;booking!E19,booking!D19&gt;0),"udc","-")</f>
        <v>-</v>
      </c>
      <c r="F19" s="51" t="str">
        <f>IFERROR(IF(AND(booking!AB19&gt;0,booking!D19&lt;&gt;booking!E19),VLOOKUP(booking!E19,Database!$A$1:'Database'!$L$175,6,FALSE),"-"),"-")</f>
        <v>-</v>
      </c>
      <c r="G19" s="51" t="str">
        <f>IFERROR(IF(AND(booking!AB19&gt;0,booking!D19&lt;&gt;booking!E19),VLOOKUP(booking!E19,Database!$A$1:'Database'!$L$175,9,FALSE),"-"),"-")</f>
        <v>-</v>
      </c>
      <c r="H19" s="55" t="str">
        <f>IF(AND(booking!H19&lt;&gt;booking!I19,booking!H19&gt;0),"udc","-")</f>
        <v>-</v>
      </c>
      <c r="I19" s="51" t="str">
        <f>IFERROR(IF(AND(booking!AB19&gt;0,booking!H19&lt;&gt;booking!I19),VLOOKUP(booking!I19,Database!$A$1:'Database'!$L$175,6,FALSE),"-"),"-")</f>
        <v>-</v>
      </c>
      <c r="J19" s="51" t="str">
        <f>IFERROR(IF(AND(booking!AB19&gt;0,booking!H19&lt;&gt;booking!I19),VLOOKUP(booking!I19,Database!$A$1:'Database'!$L$175,9,FALSE),"-"),"-")</f>
        <v>-</v>
      </c>
      <c r="K19" s="55" t="str">
        <f>IF(AND(booking!L19&lt;&gt;booking!M19,booking!L19&gt;0),"udc","-")</f>
        <v>-</v>
      </c>
      <c r="L19" s="51" t="str">
        <f>IFERROR(IF(AND(booking!AB19&gt;0,booking!L19&lt;&gt;booking!M19),VLOOKUP(booking!M19,Database!$A$1:'Database'!$L$175,6,FALSE),"-"),"-")</f>
        <v>-</v>
      </c>
      <c r="M19" s="51" t="str">
        <f>IFERROR(IF(AND(booking!AB19&gt;0,booking!L19&lt;&gt;booking!M19),VLOOKUP(booking!M19,Database!A18:'Database'!L192,9,FALSE),"-"),"-")</f>
        <v>-</v>
      </c>
      <c r="N19" s="55" t="str">
        <f>IF(AND(booking!P19&lt;&gt;booking!Q19,booking!P19&gt;0),"udc","-")</f>
        <v>-</v>
      </c>
      <c r="O19" s="51" t="str">
        <f>IFERROR(IF(AND(booking!AB19&gt;0,booking!P19&lt;&gt;booking!Q19),VLOOKUP(booking!Q19,Database!$A$1:'Database'!$L$175,6,FALSE),"-"),"-")</f>
        <v>-</v>
      </c>
      <c r="P19" s="51" t="str">
        <f>IFERROR(IF(AND(booking!AB19&gt;0,booking!P19&lt;&gt;booking!Q19),VLOOKUP(booking!Q19,Database!$A$1:'Database'!$L$175,9,FALSE),"-"),"-")</f>
        <v>-</v>
      </c>
      <c r="Q19" s="55" t="str">
        <f>IF(AND(booking!T19&lt;&gt;booking!U19,booking!T19&gt;0),"udc","-")</f>
        <v>-</v>
      </c>
      <c r="R19" s="51" t="str">
        <f>IFERROR(IF(AND(booking!AB19&gt;0,booking!T19&lt;&gt;booking!U19),VLOOKUP(booking!U19,Database!$A$1:'Database'!$L$175,6,FALSE),"-"),"-")</f>
        <v>-</v>
      </c>
      <c r="S19" s="51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4">
      <c r="A20" t="str">
        <f>booking!B20</f>
        <v>fredag</v>
      </c>
      <c r="B20" s="26">
        <f>booking!C20</f>
        <v>46521</v>
      </c>
      <c r="D20" s="2" t="str">
        <f>IF(booking!AC20&gt;0,"Y","-")</f>
        <v>-</v>
      </c>
      <c r="E20" s="55" t="str">
        <f>IF(AND(booking!D20&lt;&gt;booking!E20,booking!D20&gt;0),"udc","-")</f>
        <v>-</v>
      </c>
      <c r="F20" s="51" t="str">
        <f>IFERROR(IF(AND(booking!AB20&gt;0,booking!D20&lt;&gt;booking!E20),VLOOKUP(booking!E20,Database!$A$1:'Database'!$L$175,6,FALSE),"-"),"-")</f>
        <v>-</v>
      </c>
      <c r="G20" s="51" t="str">
        <f>IFERROR(IF(AND(booking!AB20&gt;0,booking!D20&lt;&gt;booking!E20),VLOOKUP(booking!E20,Database!$A$1:'Database'!$L$175,9,FALSE),"-"),"-")</f>
        <v>-</v>
      </c>
      <c r="H20" s="55" t="str">
        <f>IF(AND(booking!H20&lt;&gt;booking!I20,booking!H20&gt;0),"udc","-")</f>
        <v>-</v>
      </c>
      <c r="I20" s="51" t="str">
        <f>IFERROR(IF(AND(booking!AB20&gt;0,booking!H20&lt;&gt;booking!I20),VLOOKUP(booking!I20,Database!$A$1:'Database'!$L$175,6,FALSE),"-"),"-")</f>
        <v>-</v>
      </c>
      <c r="J20" s="51" t="str">
        <f>IFERROR(IF(AND(booking!AB20&gt;0,booking!H20&lt;&gt;booking!I20),VLOOKUP(booking!I20,Database!$A$1:'Database'!$L$175,9,FALSE),"-"),"-")</f>
        <v>-</v>
      </c>
      <c r="K20" s="55" t="str">
        <f>IF(AND(booking!L20&lt;&gt;booking!M20,booking!L20&gt;0),"udc","-")</f>
        <v>-</v>
      </c>
      <c r="L20" s="51" t="str">
        <f>IFERROR(IF(AND(booking!AB20&gt;0,booking!L20&lt;&gt;booking!M20),VLOOKUP(booking!M20,Database!$A$1:'Database'!$L$175,6,FALSE),"-"),"-")</f>
        <v>-</v>
      </c>
      <c r="M20" s="51" t="str">
        <f>IFERROR(IF(AND(booking!AB20&gt;0,booking!L20&lt;&gt;booking!M20),VLOOKUP(booking!M20,Database!A19:'Database'!L193,9,FALSE),"-"),"-")</f>
        <v>-</v>
      </c>
      <c r="N20" s="55" t="str">
        <f>IF(AND(booking!P20&lt;&gt;booking!Q20,booking!P20&gt;0),"udc","-")</f>
        <v>-</v>
      </c>
      <c r="O20" s="51" t="str">
        <f>IFERROR(IF(AND(booking!AB20&gt;0,booking!P20&lt;&gt;booking!Q20),VLOOKUP(booking!Q20,Database!$A$1:'Database'!$L$175,6,FALSE),"-"),"-")</f>
        <v>-</v>
      </c>
      <c r="P20" s="51" t="str">
        <f>IFERROR(IF(AND(booking!AB20&gt;0,booking!P20&lt;&gt;booking!Q20),VLOOKUP(booking!Q20,Database!$A$1:'Database'!$L$175,9,FALSE),"-"),"-")</f>
        <v>-</v>
      </c>
      <c r="Q20" s="55" t="str">
        <f>IF(AND(booking!T20&lt;&gt;booking!U20,booking!T20&gt;0),"udc","-")</f>
        <v>-</v>
      </c>
      <c r="R20" s="51" t="str">
        <f>IFERROR(IF(AND(booking!AB20&gt;0,booking!T20&lt;&gt;booking!U20),VLOOKUP(booking!U20,Database!$A$1:'Database'!$L$175,6,FALSE),"-"),"-")</f>
        <v>-</v>
      </c>
      <c r="S20" s="51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6">
        <f>booking!C21</f>
        <v>46522</v>
      </c>
      <c r="D21" s="2" t="str">
        <f>IF(booking!AC21&gt;0,"Y","-")</f>
        <v>-</v>
      </c>
      <c r="E21" s="55" t="str">
        <f>IF(AND(booking!D21&lt;&gt;booking!E21,booking!D21&gt;0),"udc","-")</f>
        <v>-</v>
      </c>
      <c r="F21" s="51" t="str">
        <f>IFERROR(IF(AND(booking!AB21&gt;0,booking!D21&lt;&gt;booking!E21),VLOOKUP(booking!E21,Database!$A$1:'Database'!$L$175,6,FALSE),"-"),"-")</f>
        <v>-</v>
      </c>
      <c r="G21" s="51" t="str">
        <f>IFERROR(IF(AND(booking!AB21&gt;0,booking!D21&lt;&gt;booking!E21),VLOOKUP(booking!E21,Database!$A$1:'Database'!$L$175,9,FALSE),"-"),"-")</f>
        <v>-</v>
      </c>
      <c r="H21" s="55" t="str">
        <f>IF(AND(booking!H21&lt;&gt;booking!I21,booking!H21&gt;0),"udc","-")</f>
        <v>-</v>
      </c>
      <c r="I21" s="51" t="str">
        <f>IFERROR(IF(AND(booking!AB21&gt;0,booking!H21&lt;&gt;booking!I21),VLOOKUP(booking!I21,Database!$A$1:'Database'!$L$175,6,FALSE),"-"),"-")</f>
        <v>-</v>
      </c>
      <c r="J21" s="51" t="str">
        <f>IFERROR(IF(AND(booking!AB21&gt;0,booking!H21&lt;&gt;booking!I21),VLOOKUP(booking!I21,Database!$A$1:'Database'!$L$175,9,FALSE),"-"),"-")</f>
        <v>-</v>
      </c>
      <c r="K21" s="55" t="str">
        <f>IF(AND(booking!L21&lt;&gt;booking!M21,booking!L21&gt;0),"udc","-")</f>
        <v>-</v>
      </c>
      <c r="L21" s="51" t="str">
        <f>IFERROR(IF(AND(booking!AB21&gt;0,booking!L21&lt;&gt;booking!M21),VLOOKUP(booking!M21,Database!$A$1:'Database'!$L$175,6,FALSE),"-"),"-")</f>
        <v>-</v>
      </c>
      <c r="M21" s="51" t="str">
        <f>IFERROR(IF(AND(booking!AB21&gt;0,booking!L21&lt;&gt;booking!M21),VLOOKUP(booking!M21,Database!A20:'Database'!L194,9,FALSE),"-"),"-")</f>
        <v>-</v>
      </c>
      <c r="N21" s="55" t="str">
        <f>IF(AND(booking!P21&lt;&gt;booking!Q21,booking!P21&gt;0),"udc","-")</f>
        <v>-</v>
      </c>
      <c r="O21" s="51" t="str">
        <f>IFERROR(IF(AND(booking!AB21&gt;0,booking!P21&lt;&gt;booking!Q21),VLOOKUP(booking!Q21,Database!$A$1:'Database'!$L$175,6,FALSE),"-"),"-")</f>
        <v>-</v>
      </c>
      <c r="P21" s="51" t="str">
        <f>IFERROR(IF(AND(booking!AB21&gt;0,booking!P21&lt;&gt;booking!Q21),VLOOKUP(booking!Q21,Database!$A$1:'Database'!$L$175,9,FALSE),"-"),"-")</f>
        <v>-</v>
      </c>
      <c r="Q21" s="55" t="str">
        <f>IF(AND(booking!T21&lt;&gt;booking!U21,booking!T21&gt;0),"udc","-")</f>
        <v>-</v>
      </c>
      <c r="R21" s="51" t="str">
        <f>IFERROR(IF(AND(booking!AB21&gt;0,booking!T21&lt;&gt;booking!U21),VLOOKUP(booking!U21,Database!$A$1:'Database'!$L$175,6,FALSE),"-"),"-")</f>
        <v>-</v>
      </c>
      <c r="S21" s="51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8" t="str">
        <f>booking!B22</f>
        <v>søndag</v>
      </c>
      <c r="B22" s="49">
        <f>booking!C22</f>
        <v>46523</v>
      </c>
      <c r="C22" s="48"/>
      <c r="D22" s="50" t="str">
        <f>IF(booking!AC22&gt;0,"Y","-")</f>
        <v>-</v>
      </c>
      <c r="E22" s="55" t="str">
        <f>IF(AND(booking!D22&lt;&gt;booking!E22,booking!D22&gt;0),"udc","-")</f>
        <v>-</v>
      </c>
      <c r="F22" s="51" t="str">
        <f>IFERROR(IF(AND(booking!AB22&gt;0,booking!D22&lt;&gt;booking!E22),VLOOKUP(booking!E22,Database!$A$1:'Database'!$L$175,6,FALSE),"-"),"-")</f>
        <v>-</v>
      </c>
      <c r="G22" s="51" t="str">
        <f>IFERROR(IF(AND(booking!AB22&gt;0,booking!D22&lt;&gt;booking!E22),VLOOKUP(booking!E22,Database!$A$1:'Database'!$L$175,9,FALSE),"-"),"-")</f>
        <v>-</v>
      </c>
      <c r="H22" s="55" t="str">
        <f>IF(AND(booking!H22&lt;&gt;booking!I22,booking!H22&gt;0),"udc","-")</f>
        <v>-</v>
      </c>
      <c r="I22" s="51" t="str">
        <f>IFERROR(IF(AND(booking!AB22&gt;0,booking!H22&lt;&gt;booking!I22),VLOOKUP(booking!I22,Database!$A$1:'Database'!$L$175,6,FALSE),"-"),"-")</f>
        <v>-</v>
      </c>
      <c r="J22" s="51" t="str">
        <f>IFERROR(IF(AND(booking!AB22&gt;0,booking!H22&lt;&gt;booking!I22),VLOOKUP(booking!I22,Database!$A$1:'Database'!$L$175,9,FALSE),"-"),"-")</f>
        <v>-</v>
      </c>
      <c r="K22" s="55" t="str">
        <f>IF(AND(booking!L22&lt;&gt;booking!M22,booking!L22&gt;0),"udc","-")</f>
        <v>-</v>
      </c>
      <c r="L22" s="51" t="str">
        <f>IFERROR(IF(AND(booking!AB22&gt;0,booking!L22&lt;&gt;booking!M22),VLOOKUP(booking!M22,Database!$A$1:'Database'!$L$175,6,FALSE),"-"),"-")</f>
        <v>-</v>
      </c>
      <c r="M22" s="51" t="str">
        <f>IFERROR(IF(AND(booking!AB22&gt;0,booking!L22&lt;&gt;booking!M22),VLOOKUP(booking!M22,Database!A21:'Database'!L195,9,FALSE),"-"),"-")</f>
        <v>-</v>
      </c>
      <c r="N22" s="55" t="str">
        <f>IF(AND(booking!P22&lt;&gt;booking!Q22,booking!P22&gt;0),"udc","-")</f>
        <v>-</v>
      </c>
      <c r="O22" s="51" t="str">
        <f>IFERROR(IF(AND(booking!AB22&gt;0,booking!P22&lt;&gt;booking!Q22),VLOOKUP(booking!Q22,Database!$A$1:'Database'!$L$175,6,FALSE),"-"),"-")</f>
        <v>-</v>
      </c>
      <c r="P22" s="51" t="str">
        <f>IFERROR(IF(AND(booking!AB22&gt;0,booking!P22&lt;&gt;booking!Q22),VLOOKUP(booking!Q22,Database!$A$1:'Database'!$L$175,9,FALSE),"-"),"-")</f>
        <v>-</v>
      </c>
      <c r="Q22" s="55" t="str">
        <f>IF(AND(booking!T22&lt;&gt;booking!U22,booking!T22&gt;0),"udc","-")</f>
        <v>-</v>
      </c>
      <c r="R22" s="51" t="str">
        <f>IFERROR(IF(AND(booking!AB22&gt;0,booking!T22&lt;&gt;booking!U22),VLOOKUP(booking!U22,Database!$A$1:'Database'!$L$175,6,FALSE),"-"),"-")</f>
        <v>-</v>
      </c>
      <c r="S22" s="51" t="str">
        <f>IFERROR(IF(AND(booking!AB22&gt;0,booking!T22&lt;&gt;booking!U22),VLOOKUP(booking!U22,Database!$A$1:'Database'!$L$175,9,FALSE),"-"),"-")</f>
        <v>-</v>
      </c>
    </row>
    <row r="23" spans="1:19" ht="15" hidden="1" customHeight="1" thickBot="1" x14ac:dyDescent="0.4">
      <c r="A23" t="str">
        <f>booking!B23</f>
        <v>mandag</v>
      </c>
      <c r="B23" s="26">
        <f>booking!C23</f>
        <v>46524</v>
      </c>
      <c r="D23" s="2" t="str">
        <f>IF(booking!AC23&gt;0,"Y","-")</f>
        <v>-</v>
      </c>
      <c r="E23" s="55" t="str">
        <f>IF(AND(booking!D23&lt;&gt;booking!E23,booking!D23&gt;0),"udc","-")</f>
        <v>-</v>
      </c>
      <c r="F23" s="51" t="str">
        <f>IFERROR(IF(AND(booking!AB23&gt;0,booking!D23&lt;&gt;booking!E23),VLOOKUP(booking!E23,Database!$A$1:'Database'!$L$175,6,FALSE),"-"),"-")</f>
        <v>-</v>
      </c>
      <c r="G23" s="51" t="str">
        <f>IFERROR(IF(AND(booking!AB23&gt;0,booking!D23&lt;&gt;booking!E23),VLOOKUP(booking!E23,Database!$A$1:'Database'!$L$175,9,FALSE),"-"),"-")</f>
        <v>-</v>
      </c>
      <c r="H23" s="55" t="str">
        <f>IF(AND(booking!H23&lt;&gt;booking!I23,booking!H23&gt;0),"udc","-")</f>
        <v>-</v>
      </c>
      <c r="I23" s="51" t="str">
        <f>IFERROR(IF(AND(booking!AB23&gt;0,booking!H23&lt;&gt;booking!I23),VLOOKUP(booking!I23,Database!$A$1:'Database'!$L$175,6,FALSE),"-"),"-")</f>
        <v>-</v>
      </c>
      <c r="J23" s="51" t="str">
        <f>IFERROR(IF(AND(booking!AB23&gt;0,booking!H23&lt;&gt;booking!I23),VLOOKUP(booking!I23,Database!$A$1:'Database'!$L$175,9,FALSE),"-"),"-")</f>
        <v>-</v>
      </c>
      <c r="K23" s="55" t="str">
        <f>IF(AND(booking!L23&lt;&gt;booking!M23,booking!L23&gt;0),"udc","-")</f>
        <v>-</v>
      </c>
      <c r="L23" s="51" t="str">
        <f>IFERROR(IF(AND(booking!AB23&gt;0,booking!L23&lt;&gt;booking!M23),VLOOKUP(booking!M23,Database!$A$1:'Database'!$L$175,6,FALSE),"-"),"-")</f>
        <v>-</v>
      </c>
      <c r="M23" s="51" t="str">
        <f>IFERROR(IF(AND(booking!AB23&gt;0,booking!L23&lt;&gt;booking!M23),VLOOKUP(booking!M23,Database!A22:'Database'!L196,9,FALSE),"-"),"-")</f>
        <v>-</v>
      </c>
      <c r="N23" s="55" t="str">
        <f>IF(AND(booking!P23&lt;&gt;booking!Q23,booking!P23&gt;0),"udc","-")</f>
        <v>-</v>
      </c>
      <c r="O23" s="51" t="str">
        <f>IFERROR(IF(AND(booking!AB23&gt;0,booking!P23&lt;&gt;booking!Q23),VLOOKUP(booking!Q23,Database!$A$1:'Database'!$L$175,6,FALSE),"-"),"-")</f>
        <v>-</v>
      </c>
      <c r="P23" s="51" t="str">
        <f>IFERROR(IF(AND(booking!AB23&gt;0,booking!P23&lt;&gt;booking!Q23),VLOOKUP(booking!Q23,Database!$A$1:'Database'!$L$175,9,FALSE),"-"),"-")</f>
        <v>-</v>
      </c>
      <c r="Q23" s="55" t="str">
        <f>IF(AND(booking!T23&lt;&gt;booking!U23,booking!T23&gt;0),"udc","-")</f>
        <v>-</v>
      </c>
      <c r="R23" s="51" t="str">
        <f>IFERROR(IF(AND(booking!AB23&gt;0,booking!T23&lt;&gt;booking!U23),VLOOKUP(booking!U23,Database!$A$1:'Database'!$L$175,6,FALSE),"-"),"-")</f>
        <v>-</v>
      </c>
      <c r="S23" s="51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6">
        <f>booking!C24</f>
        <v>46525</v>
      </c>
      <c r="D24" s="2" t="str">
        <f>IF(booking!AC24&gt;0,"Y","-")</f>
        <v>-</v>
      </c>
      <c r="E24" s="55" t="str">
        <f>IF(AND(booking!D24&lt;&gt;booking!E24,booking!D24&gt;0),"udc","-")</f>
        <v>-</v>
      </c>
      <c r="F24" s="51" t="str">
        <f>IFERROR(IF(AND(booking!AB24&gt;0,booking!D24&lt;&gt;booking!E24),VLOOKUP(booking!E24,Database!$A$1:'Database'!$L$175,6,FALSE),"-"),"-")</f>
        <v>-</v>
      </c>
      <c r="G24" s="51" t="str">
        <f>IFERROR(IF(AND(booking!AB24&gt;0,booking!D24&lt;&gt;booking!E24),VLOOKUP(booking!E24,Database!$A$1:'Database'!$L$175,9,FALSE),"-"),"-")</f>
        <v>-</v>
      </c>
      <c r="H24" s="55" t="str">
        <f>IF(AND(booking!H24&lt;&gt;booking!I24,booking!H24&gt;0),"udc","-")</f>
        <v>-</v>
      </c>
      <c r="I24" s="51" t="str">
        <f>IFERROR(IF(AND(booking!AB24&gt;0,booking!H24&lt;&gt;booking!I24),VLOOKUP(booking!I24,Database!$A$1:'Database'!$L$175,6,FALSE),"-"),"-")</f>
        <v>-</v>
      </c>
      <c r="J24" s="51" t="str">
        <f>IFERROR(IF(AND(booking!AB24&gt;0,booking!H24&lt;&gt;booking!I24),VLOOKUP(booking!I24,Database!$A$1:'Database'!$L$175,9,FALSE),"-"),"-")</f>
        <v>-</v>
      </c>
      <c r="K24" s="55" t="str">
        <f>IF(AND(booking!L24&lt;&gt;booking!M24,booking!L24&gt;0),"udc","-")</f>
        <v>-</v>
      </c>
      <c r="L24" s="51" t="str">
        <f>IFERROR(IF(AND(booking!AB24&gt;0,booking!L24&lt;&gt;booking!M24),VLOOKUP(booking!M24,Database!$A$1:'Database'!$L$175,6,FALSE),"-"),"-")</f>
        <v>-</v>
      </c>
      <c r="M24" s="51" t="str">
        <f>IFERROR(IF(AND(booking!AB24&gt;0,booking!L24&lt;&gt;booking!M24),VLOOKUP(booking!M24,Database!A23:'Database'!L197,9,FALSE),"-"),"-")</f>
        <v>-</v>
      </c>
      <c r="N24" s="55" t="str">
        <f>IF(AND(booking!P24&lt;&gt;booking!Q24,booking!P24&gt;0),"udc","-")</f>
        <v>-</v>
      </c>
      <c r="O24" s="51" t="str">
        <f>IFERROR(IF(AND(booking!AB24&gt;0,booking!P24&lt;&gt;booking!Q24),VLOOKUP(booking!Q24,Database!$A$1:'Database'!$L$175,6,FALSE),"-"),"-")</f>
        <v>-</v>
      </c>
      <c r="P24" s="51" t="str">
        <f>IFERROR(IF(AND(booking!AB24&gt;0,booking!P24&lt;&gt;booking!Q24),VLOOKUP(booking!Q24,Database!$A$1:'Database'!$L$175,9,FALSE),"-"),"-")</f>
        <v>-</v>
      </c>
      <c r="Q24" s="55" t="str">
        <f>IF(AND(booking!T24&lt;&gt;booking!U24,booking!T24&gt;0),"udc","-")</f>
        <v>-</v>
      </c>
      <c r="R24" s="51" t="str">
        <f>IFERROR(IF(AND(booking!AB24&gt;0,booking!T24&lt;&gt;booking!U24),VLOOKUP(booking!U24,Database!$A$1:'Database'!$L$175,6,FALSE),"-"),"-")</f>
        <v>-</v>
      </c>
      <c r="S24" s="51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6">
        <f>booking!C25</f>
        <v>46526</v>
      </c>
      <c r="D25" s="2" t="str">
        <f>IF(booking!AC25&gt;0,"Y","-")</f>
        <v>-</v>
      </c>
      <c r="E25" s="55" t="str">
        <f>IF(AND(booking!D25&lt;&gt;booking!E25,booking!D25&gt;0),"udc","-")</f>
        <v>-</v>
      </c>
      <c r="F25" s="51" t="str">
        <f>IFERROR(IF(AND(booking!AB25&gt;0,booking!D25&lt;&gt;booking!E25),VLOOKUP(booking!E25,Database!$A$1:'Database'!$L$175,6,FALSE),"-"),"-")</f>
        <v>-</v>
      </c>
      <c r="G25" s="51" t="str">
        <f>IFERROR(IF(AND(booking!AB25&gt;0,booking!D25&lt;&gt;booking!E25),VLOOKUP(booking!E25,Database!$A$1:'Database'!$L$175,9,FALSE),"-"),"-")</f>
        <v>-</v>
      </c>
      <c r="H25" s="55" t="str">
        <f>IF(AND(booking!H25&lt;&gt;booking!I25,booking!H25&gt;0),"udc","-")</f>
        <v>-</v>
      </c>
      <c r="I25" s="51" t="str">
        <f>IFERROR(IF(AND(booking!AB25&gt;0,booking!H25&lt;&gt;booking!I25),VLOOKUP(booking!I25,Database!$A$1:'Database'!$L$175,6,FALSE),"-"),"-")</f>
        <v>-</v>
      </c>
      <c r="J25" s="51" t="str">
        <f>IFERROR(IF(AND(booking!AB25&gt;0,booking!H25&lt;&gt;booking!I25),VLOOKUP(booking!I25,Database!$A$1:'Database'!$L$175,9,FALSE),"-"),"-")</f>
        <v>-</v>
      </c>
      <c r="K25" s="55" t="str">
        <f>IF(AND(booking!L25&lt;&gt;booking!M25,booking!L25&gt;0),"udc","-")</f>
        <v>-</v>
      </c>
      <c r="L25" s="51" t="str">
        <f>IFERROR(IF(AND(booking!AB25&gt;0,booking!L25&lt;&gt;booking!M25),VLOOKUP(booking!M25,Database!$A$1:'Database'!$L$175,6,FALSE),"-"),"-")</f>
        <v>-</v>
      </c>
      <c r="M25" s="51" t="str">
        <f>IFERROR(IF(AND(booking!AB25&gt;0,booking!L25&lt;&gt;booking!M25),VLOOKUP(booking!M25,Database!A24:'Database'!L198,9,FALSE),"-"),"-")</f>
        <v>-</v>
      </c>
      <c r="N25" s="55" t="str">
        <f>IF(AND(booking!P25&lt;&gt;booking!Q25,booking!P25&gt;0),"udc","-")</f>
        <v>-</v>
      </c>
      <c r="O25" s="51" t="str">
        <f>IFERROR(IF(AND(booking!AB25&gt;0,booking!P25&lt;&gt;booking!Q25),VLOOKUP(booking!Q25,Database!$A$1:'Database'!$L$175,6,FALSE),"-"),"-")</f>
        <v>-</v>
      </c>
      <c r="P25" s="51" t="str">
        <f>IFERROR(IF(AND(booking!AB25&gt;0,booking!P25&lt;&gt;booking!Q25),VLOOKUP(booking!Q25,Database!$A$1:'Database'!$L$175,9,FALSE),"-"),"-")</f>
        <v>-</v>
      </c>
      <c r="Q25" s="55" t="str">
        <f>IF(AND(booking!T25&lt;&gt;booking!U25,booking!T25&gt;0),"udc","-")</f>
        <v>-</v>
      </c>
      <c r="R25" s="51" t="str">
        <f>IFERROR(IF(AND(booking!AB25&gt;0,booking!T25&lt;&gt;booking!U25),VLOOKUP(booking!U25,Database!$A$1:'Database'!$L$175,6,FALSE),"-"),"-")</f>
        <v>-</v>
      </c>
      <c r="S25" s="51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6">
        <f>booking!C26</f>
        <v>46527</v>
      </c>
      <c r="D26" s="2" t="str">
        <f>IF(booking!AC26&gt;0,"Y","-")</f>
        <v>-</v>
      </c>
      <c r="E26" s="55" t="str">
        <f>IF(AND(booking!D26&lt;&gt;booking!E26,booking!D26&gt;0),"udc","-")</f>
        <v>-</v>
      </c>
      <c r="F26" s="51" t="str">
        <f>IFERROR(IF(AND(booking!AB26&gt;0,booking!D26&lt;&gt;booking!E26),VLOOKUP(booking!E26,Database!$A$1:'Database'!$L$175,6,FALSE),"-"),"-")</f>
        <v>-</v>
      </c>
      <c r="G26" s="51" t="str">
        <f>IFERROR(IF(AND(booking!AB26&gt;0,booking!D26&lt;&gt;booking!E26),VLOOKUP(booking!E26,Database!$A$1:'Database'!$L$175,9,FALSE),"-"),"-")</f>
        <v>-</v>
      </c>
      <c r="H26" s="55" t="str">
        <f>IF(AND(booking!H26&lt;&gt;booking!I26,booking!H26&gt;0),"udc","-")</f>
        <v>-</v>
      </c>
      <c r="I26" s="51" t="str">
        <f>IFERROR(IF(AND(booking!AB26&gt;0,booking!H26&lt;&gt;booking!I26),VLOOKUP(booking!I26,Database!$A$1:'Database'!$L$175,6,FALSE),"-"),"-")</f>
        <v>-</v>
      </c>
      <c r="J26" s="51" t="str">
        <f>IFERROR(IF(AND(booking!AB26&gt;0,booking!H26&lt;&gt;booking!I26),VLOOKUP(booking!I26,Database!$A$1:'Database'!$L$175,9,FALSE),"-"),"-")</f>
        <v>-</v>
      </c>
      <c r="K26" s="55" t="str">
        <f>IF(AND(booking!L26&lt;&gt;booking!M26,booking!L26&gt;0),"udc","-")</f>
        <v>-</v>
      </c>
      <c r="L26" s="51" t="str">
        <f>IFERROR(IF(AND(booking!AB26&gt;0,booking!L26&lt;&gt;booking!M26),VLOOKUP(booking!M26,Database!$A$1:'Database'!$L$175,6,FALSE),"-"),"-")</f>
        <v>-</v>
      </c>
      <c r="M26" s="51" t="str">
        <f>IFERROR(IF(AND(booking!AB26&gt;0,booking!L26&lt;&gt;booking!M26),VLOOKUP(booking!M26,Database!A25:'Database'!L199,9,FALSE),"-"),"-")</f>
        <v>-</v>
      </c>
      <c r="N26" s="55" t="str">
        <f>IF(AND(booking!P26&lt;&gt;booking!Q26,booking!P26&gt;0),"udc","-")</f>
        <v>-</v>
      </c>
      <c r="O26" s="51" t="str">
        <f>IFERROR(IF(AND(booking!AB26&gt;0,booking!P26&lt;&gt;booking!Q26),VLOOKUP(booking!Q26,Database!$A$1:'Database'!$L$175,6,FALSE),"-"),"-")</f>
        <v>-</v>
      </c>
      <c r="P26" s="51" t="str">
        <f>IFERROR(IF(AND(booking!AB26&gt;0,booking!P26&lt;&gt;booking!Q26),VLOOKUP(booking!Q26,Database!$A$1:'Database'!$L$175,9,FALSE),"-"),"-")</f>
        <v>-</v>
      </c>
      <c r="Q26" s="55" t="str">
        <f>IF(AND(booking!T26&lt;&gt;booking!U26,booking!T26&gt;0),"udc","-")</f>
        <v>-</v>
      </c>
      <c r="R26" s="51" t="str">
        <f>IFERROR(IF(AND(booking!AB26&gt;0,booking!T26&lt;&gt;booking!U26),VLOOKUP(booking!U26,Database!$A$1:'Database'!$L$175,6,FALSE),"-"),"-")</f>
        <v>-</v>
      </c>
      <c r="S26" s="51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6">
        <f>booking!C27</f>
        <v>46528</v>
      </c>
      <c r="D27" s="2" t="str">
        <f>IF(booking!AC27&gt;0,"Y","-")</f>
        <v>-</v>
      </c>
      <c r="E27" s="55" t="str">
        <f>IF(AND(booking!D27&lt;&gt;booking!E27,booking!D27&gt;0),"udc","-")</f>
        <v>-</v>
      </c>
      <c r="F27" s="51" t="str">
        <f>IFERROR(IF(AND(booking!AB27&gt;0,booking!D27&lt;&gt;booking!E27),VLOOKUP(booking!E27,Database!$A$1:'Database'!$L$175,6,FALSE),"-"),"-")</f>
        <v>-</v>
      </c>
      <c r="G27" s="51" t="str">
        <f>IFERROR(IF(AND(booking!AB27&gt;0,booking!D27&lt;&gt;booking!E27),VLOOKUP(booking!E27,Database!$A$1:'Database'!$L$175,9,FALSE),"-"),"-")</f>
        <v>-</v>
      </c>
      <c r="H27" s="55" t="str">
        <f>IF(AND(booking!H27&lt;&gt;booking!I27,booking!H27&gt;0),"udc","-")</f>
        <v>-</v>
      </c>
      <c r="I27" s="51" t="str">
        <f>IFERROR(IF(AND(booking!AB27&gt;0,booking!H27&lt;&gt;booking!I27),VLOOKUP(booking!I27,Database!$A$1:'Database'!$L$175,6,FALSE),"-"),"-")</f>
        <v>-</v>
      </c>
      <c r="J27" s="51" t="str">
        <f>IFERROR(IF(AND(booking!AB27&gt;0,booking!H27&lt;&gt;booking!I27),VLOOKUP(booking!I27,Database!$A$1:'Database'!$L$175,9,FALSE),"-"),"-")</f>
        <v>-</v>
      </c>
      <c r="K27" s="55" t="str">
        <f>IF(AND(booking!L27&lt;&gt;booking!M27,booking!L27&gt;0),"udc","-")</f>
        <v>-</v>
      </c>
      <c r="L27" s="51" t="str">
        <f>IFERROR(IF(AND(booking!AB27&gt;0,booking!L27&lt;&gt;booking!M27),VLOOKUP(booking!M27,Database!$A$1:'Database'!$L$175,6,FALSE),"-"),"-")</f>
        <v>-</v>
      </c>
      <c r="M27" s="51" t="str">
        <f>IFERROR(IF(AND(booking!AB27&gt;0,booking!L27&lt;&gt;booking!M27),VLOOKUP(booking!M27,Database!A26:'Database'!L200,9,FALSE),"-"),"-")</f>
        <v>-</v>
      </c>
      <c r="N27" s="55" t="str">
        <f>IF(AND(booking!P27&lt;&gt;booking!Q27,booking!P27&gt;0),"udc","-")</f>
        <v>-</v>
      </c>
      <c r="O27" s="51" t="str">
        <f>IFERROR(IF(AND(booking!AB27&gt;0,booking!P27&lt;&gt;booking!Q27),VLOOKUP(booking!Q27,Database!$A$1:'Database'!$L$175,6,FALSE),"-"),"-")</f>
        <v>-</v>
      </c>
      <c r="P27" s="51" t="str">
        <f>IFERROR(IF(AND(booking!AB27&gt;0,booking!P27&lt;&gt;booking!Q27),VLOOKUP(booking!Q27,Database!$A$1:'Database'!$L$175,9,FALSE),"-"),"-")</f>
        <v>-</v>
      </c>
      <c r="Q27" s="55" t="str">
        <f>IF(AND(booking!T27&lt;&gt;booking!U27,booking!T27&gt;0),"udc","-")</f>
        <v>-</v>
      </c>
      <c r="R27" s="51" t="str">
        <f>IFERROR(IF(AND(booking!AB27&gt;0,booking!T27&lt;&gt;booking!U27),VLOOKUP(booking!U27,Database!$A$1:'Database'!$L$175,6,FALSE),"-"),"-")</f>
        <v>-</v>
      </c>
      <c r="S27" s="51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6">
        <f>booking!C28</f>
        <v>46529</v>
      </c>
      <c r="D28" s="2" t="str">
        <f>IF(booking!AC28&gt;0,"Y","-")</f>
        <v>-</v>
      </c>
      <c r="E28" s="55" t="str">
        <f>IF(AND(booking!D28&lt;&gt;booking!E28,booking!D28&gt;0),"udc","-")</f>
        <v>-</v>
      </c>
      <c r="F28" s="51" t="str">
        <f>IFERROR(IF(AND(booking!AB28&gt;0,booking!D28&lt;&gt;booking!E28),VLOOKUP(booking!E28,Database!$A$1:'Database'!$L$175,6,FALSE),"-"),"-")</f>
        <v>-</v>
      </c>
      <c r="G28" s="51" t="str">
        <f>IFERROR(IF(AND(booking!AB28&gt;0,booking!D28&lt;&gt;booking!E28),VLOOKUP(booking!E28,Database!$A$1:'Database'!$L$175,9,FALSE),"-"),"-")</f>
        <v>-</v>
      </c>
      <c r="H28" s="55" t="str">
        <f>IF(AND(booking!H28&lt;&gt;booking!I28,booking!H28&gt;0),"udc","-")</f>
        <v>-</v>
      </c>
      <c r="I28" s="51" t="str">
        <f>IFERROR(IF(AND(booking!AB28&gt;0,booking!H28&lt;&gt;booking!I28),VLOOKUP(booking!I28,Database!$A$1:'Database'!$L$175,6,FALSE),"-"),"-")</f>
        <v>-</v>
      </c>
      <c r="J28" s="51" t="str">
        <f>IFERROR(IF(AND(booking!AB28&gt;0,booking!H28&lt;&gt;booking!I28),VLOOKUP(booking!I28,Database!$A$1:'Database'!$L$175,9,FALSE),"-"),"-")</f>
        <v>-</v>
      </c>
      <c r="K28" s="55" t="str">
        <f>IF(AND(booking!L28&lt;&gt;booking!M28,booking!L28&gt;0),"udc","-")</f>
        <v>-</v>
      </c>
      <c r="L28" s="51" t="str">
        <f>IFERROR(IF(AND(booking!AB28&gt;0,booking!L28&lt;&gt;booking!M28),VLOOKUP(booking!M28,Database!$A$1:'Database'!$L$175,6,FALSE),"-"),"-")</f>
        <v>-</v>
      </c>
      <c r="M28" s="51" t="str">
        <f>IFERROR(IF(AND(booking!AB28&gt;0,booking!L28&lt;&gt;booking!M28),VLOOKUP(booking!M28,Database!A27:'Database'!L201,9,FALSE),"-"),"-")</f>
        <v>-</v>
      </c>
      <c r="N28" s="55" t="str">
        <f>IF(AND(booking!P28&lt;&gt;booking!Q28,booking!P28&gt;0),"udc","-")</f>
        <v>-</v>
      </c>
      <c r="O28" s="51" t="str">
        <f>IFERROR(IF(AND(booking!AB28&gt;0,booking!P28&lt;&gt;booking!Q28),VLOOKUP(booking!Q28,Database!$A$1:'Database'!$L$175,6,FALSE),"-"),"-")</f>
        <v>-</v>
      </c>
      <c r="P28" s="51" t="str">
        <f>IFERROR(IF(AND(booking!AB28&gt;0,booking!P28&lt;&gt;booking!Q28),VLOOKUP(booking!Q28,Database!$A$1:'Database'!$L$175,9,FALSE),"-"),"-")</f>
        <v>-</v>
      </c>
      <c r="Q28" s="55" t="str">
        <f>IF(AND(booking!T28&lt;&gt;booking!U28,booking!T28&gt;0),"udc","-")</f>
        <v>-</v>
      </c>
      <c r="R28" s="51" t="str">
        <f>IFERROR(IF(AND(booking!AB28&gt;0,booking!T28&lt;&gt;booking!U28),VLOOKUP(booking!U28,Database!$A$1:'Database'!$L$175,6,FALSE),"-"),"-")</f>
        <v>-</v>
      </c>
      <c r="S28" s="51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8" t="str">
        <f>booking!B29</f>
        <v>søndag</v>
      </c>
      <c r="B29" s="49">
        <f>booking!C29</f>
        <v>46530</v>
      </c>
      <c r="C29" s="48"/>
      <c r="D29" s="50" t="str">
        <f>IF(booking!AC29&gt;0,"Y","-")</f>
        <v>-</v>
      </c>
      <c r="E29" s="55" t="str">
        <f>IF(AND(booking!D29&lt;&gt;booking!E29,booking!D29&gt;0),"udc","-")</f>
        <v>-</v>
      </c>
      <c r="F29" s="51" t="str">
        <f>IFERROR(IF(AND(booking!AB29&gt;0,booking!D29&lt;&gt;booking!E29),VLOOKUP(booking!E29,Database!$A$1:'Database'!$L$175,6,FALSE),"-"),"-")</f>
        <v>-</v>
      </c>
      <c r="G29" s="51" t="str">
        <f>IFERROR(IF(AND(booking!AB29&gt;0,booking!D29&lt;&gt;booking!E29),VLOOKUP(booking!E29,Database!$A$1:'Database'!$L$175,9,FALSE),"-"),"-")</f>
        <v>-</v>
      </c>
      <c r="H29" s="55" t="str">
        <f>IF(AND(booking!H29&lt;&gt;booking!I29,booking!H29&gt;0),"udc","-")</f>
        <v>-</v>
      </c>
      <c r="I29" s="51" t="str">
        <f>IFERROR(IF(AND(booking!AB29&gt;0,booking!H29&lt;&gt;booking!I29),VLOOKUP(booking!I29,Database!$A$1:'Database'!$L$175,6,FALSE),"-"),"-")</f>
        <v>-</v>
      </c>
      <c r="J29" s="51" t="str">
        <f>IFERROR(IF(AND(booking!AB29&gt;0,booking!H29&lt;&gt;booking!I29),VLOOKUP(booking!I29,Database!$A$1:'Database'!$L$175,9,FALSE),"-"),"-")</f>
        <v>-</v>
      </c>
      <c r="K29" s="55" t="str">
        <f>IF(AND(booking!L29&lt;&gt;booking!M29,booking!L29&gt;0),"udc","-")</f>
        <v>-</v>
      </c>
      <c r="L29" s="51" t="str">
        <f>IFERROR(IF(AND(booking!AB29&gt;0,booking!L29&lt;&gt;booking!M29),VLOOKUP(booking!M29,Database!$A$1:'Database'!$L$175,6,FALSE),"-"),"-")</f>
        <v>-</v>
      </c>
      <c r="M29" s="51" t="str">
        <f>IFERROR(IF(AND(booking!AB29&gt;0,booking!L29&lt;&gt;booking!M29),VLOOKUP(booking!M29,Database!A28:'Database'!L202,9,FALSE),"-"),"-")</f>
        <v>-</v>
      </c>
      <c r="N29" s="55" t="str">
        <f>IF(AND(booking!P29&lt;&gt;booking!Q29,booking!P29&gt;0),"udc","-")</f>
        <v>-</v>
      </c>
      <c r="O29" s="51" t="str">
        <f>IFERROR(IF(AND(booking!AB29&gt;0,booking!P29&lt;&gt;booking!Q29),VLOOKUP(booking!Q29,Database!$A$1:'Database'!$L$175,6,FALSE),"-"),"-")</f>
        <v>-</v>
      </c>
      <c r="P29" s="51" t="str">
        <f>IFERROR(IF(AND(booking!AB29&gt;0,booking!P29&lt;&gt;booking!Q29),VLOOKUP(booking!Q29,Database!$A$1:'Database'!$L$175,9,FALSE),"-"),"-")</f>
        <v>-</v>
      </c>
      <c r="Q29" s="55" t="str">
        <f>IF(AND(booking!T29&lt;&gt;booking!U29,booking!T29&gt;0),"udc","-")</f>
        <v>-</v>
      </c>
      <c r="R29" s="51" t="str">
        <f>IFERROR(IF(AND(booking!AB29&gt;0,booking!T29&lt;&gt;booking!U29),VLOOKUP(booking!U29,Database!$A$1:'Database'!$L$175,6,FALSE),"-"),"-")</f>
        <v>-</v>
      </c>
      <c r="S29" s="51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6">
        <f>booking!C30</f>
        <v>46531</v>
      </c>
      <c r="D30" s="2" t="str">
        <f>IF(booking!AC30&gt;0,"Y","-")</f>
        <v>-</v>
      </c>
      <c r="E30" s="55" t="str">
        <f>IF(AND(booking!D30&lt;&gt;booking!E30,booking!D30&gt;0),"udc","-")</f>
        <v>-</v>
      </c>
      <c r="F30" s="51" t="str">
        <f>IFERROR(IF(AND(booking!AB30&gt;0,booking!D30&lt;&gt;booking!E30),VLOOKUP(booking!E30,Database!$A$1:'Database'!$L$175,6,FALSE),"-"),"-")</f>
        <v>-</v>
      </c>
      <c r="G30" s="51" t="str">
        <f>IFERROR(IF(AND(booking!AB30&gt;0,booking!D30&lt;&gt;booking!E30),VLOOKUP(booking!E30,Database!$A$1:'Database'!$L$175,9,FALSE),"-"),"-")</f>
        <v>-</v>
      </c>
      <c r="H30" s="55" t="str">
        <f>IF(AND(booking!H30&lt;&gt;booking!I30,booking!H30&gt;0),"udc","-")</f>
        <v>-</v>
      </c>
      <c r="I30" s="51" t="str">
        <f>IFERROR(IF(AND(booking!AB30&gt;0,booking!H30&lt;&gt;booking!I30),VLOOKUP(booking!I30,Database!$A$1:'Database'!$L$175,6,FALSE),"-"),"-")</f>
        <v>-</v>
      </c>
      <c r="J30" s="51" t="str">
        <f>IFERROR(IF(AND(booking!AB30&gt;0,booking!H30&lt;&gt;booking!I30),VLOOKUP(booking!I30,Database!$A$1:'Database'!$L$175,9,FALSE),"-"),"-")</f>
        <v>-</v>
      </c>
      <c r="K30" s="55" t="str">
        <f>IF(AND(booking!L30&lt;&gt;booking!M30,booking!L30&gt;0),"udc","-")</f>
        <v>-</v>
      </c>
      <c r="L30" s="51" t="str">
        <f>IFERROR(IF(AND(booking!AB30&gt;0,booking!L30&lt;&gt;booking!M30),VLOOKUP(booking!M30,Database!$A$1:'Database'!$L$175,6,FALSE),"-"),"-")</f>
        <v>-</v>
      </c>
      <c r="M30" s="51" t="str">
        <f>IFERROR(IF(AND(booking!AB30&gt;0,booking!L30&lt;&gt;booking!M30),VLOOKUP(booking!M30,Database!A29:'Database'!L203,9,FALSE),"-"),"-")</f>
        <v>-</v>
      </c>
      <c r="N30" s="55" t="str">
        <f>IF(AND(booking!P30&lt;&gt;booking!Q30,booking!P30&gt;0),"udc","-")</f>
        <v>-</v>
      </c>
      <c r="O30" s="51" t="str">
        <f>IFERROR(IF(AND(booking!AB30&gt;0,booking!P30&lt;&gt;booking!Q30),VLOOKUP(booking!Q30,Database!$A$1:'Database'!$L$175,6,FALSE),"-"),"-")</f>
        <v>-</v>
      </c>
      <c r="P30" s="51" t="str">
        <f>IFERROR(IF(AND(booking!AB30&gt;0,booking!P30&lt;&gt;booking!Q30),VLOOKUP(booking!Q30,Database!$A$1:'Database'!$L$175,9,FALSE),"-"),"-")</f>
        <v>-</v>
      </c>
      <c r="Q30" s="55" t="str">
        <f>IF(AND(booking!T30&lt;&gt;booking!U30,booking!T30&gt;0),"udc","-")</f>
        <v>-</v>
      </c>
      <c r="R30" s="51" t="str">
        <f>IFERROR(IF(AND(booking!AB30&gt;0,booking!T30&lt;&gt;booking!U30),VLOOKUP(booking!U30,Database!$A$1:'Database'!$L$175,6,FALSE),"-"),"-")</f>
        <v>-</v>
      </c>
      <c r="S30" s="51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6">
        <f>booking!C31</f>
        <v>46532</v>
      </c>
      <c r="D31" s="2" t="str">
        <f>IF(booking!AC31&gt;0,"Y","-")</f>
        <v>-</v>
      </c>
      <c r="E31" s="55" t="str">
        <f>IF(AND(booking!D31&lt;&gt;booking!E31,booking!D31&gt;0),"udc","-")</f>
        <v>-</v>
      </c>
      <c r="F31" s="51" t="str">
        <f>IFERROR(IF(AND(booking!AB31&gt;0,booking!D31&lt;&gt;booking!E31),VLOOKUP(booking!E31,Database!$A$1:'Database'!$L$175,6,FALSE),"-"),"-")</f>
        <v>-</v>
      </c>
      <c r="G31" s="51" t="str">
        <f>IFERROR(IF(AND(booking!AB31&gt;0,booking!D31&lt;&gt;booking!E31),VLOOKUP(booking!E31,Database!$A$1:'Database'!$L$175,9,FALSE),"-"),"-")</f>
        <v>-</v>
      </c>
      <c r="H31" s="55" t="str">
        <f>IF(AND(booking!H31&lt;&gt;booking!I31,booking!H31&gt;0),"udc","-")</f>
        <v>-</v>
      </c>
      <c r="I31" s="51" t="str">
        <f>IFERROR(IF(AND(booking!AB31&gt;0,booking!H31&lt;&gt;booking!I31),VLOOKUP(booking!I31,Database!$A$1:'Database'!$L$175,6,FALSE),"-"),"-")</f>
        <v>-</v>
      </c>
      <c r="J31" s="51" t="str">
        <f>IFERROR(IF(AND(booking!AB31&gt;0,booking!H31&lt;&gt;booking!I31),VLOOKUP(booking!I31,Database!$A$1:'Database'!$L$175,9,FALSE),"-"),"-")</f>
        <v>-</v>
      </c>
      <c r="K31" s="55" t="str">
        <f>IF(AND(booking!L31&lt;&gt;booking!M31,booking!L31&gt;0),"udc","-")</f>
        <v>-</v>
      </c>
      <c r="L31" s="51" t="str">
        <f>IFERROR(IF(AND(booking!AB31&gt;0,booking!L31&lt;&gt;booking!M31),VLOOKUP(booking!M31,Database!$A$1:'Database'!$L$175,6,FALSE),"-"),"-")</f>
        <v>-</v>
      </c>
      <c r="M31" s="51" t="str">
        <f>IFERROR(IF(AND(booking!AB31&gt;0,booking!L31&lt;&gt;booking!M31),VLOOKUP(booking!M31,Database!A30:'Database'!L204,9,FALSE),"-"),"-")</f>
        <v>-</v>
      </c>
      <c r="N31" s="55" t="str">
        <f>IF(AND(booking!P31&lt;&gt;booking!Q31,booking!P31&gt;0),"udc","-")</f>
        <v>-</v>
      </c>
      <c r="O31" s="51" t="str">
        <f>IFERROR(IF(AND(booking!AB31&gt;0,booking!P31&lt;&gt;booking!Q31),VLOOKUP(booking!Q31,Database!$A$1:'Database'!$L$175,6,FALSE),"-"),"-")</f>
        <v>-</v>
      </c>
      <c r="P31" s="51" t="str">
        <f>IFERROR(IF(AND(booking!AB31&gt;0,booking!P31&lt;&gt;booking!Q31),VLOOKUP(booking!Q31,Database!$A$1:'Database'!$L$175,9,FALSE),"-"),"-")</f>
        <v>-</v>
      </c>
      <c r="Q31" s="55" t="str">
        <f>IF(AND(booking!T31&lt;&gt;booking!U31,booking!T31&gt;0),"udc","-")</f>
        <v>-</v>
      </c>
      <c r="R31" s="51" t="str">
        <f>IFERROR(IF(AND(booking!AB31&gt;0,booking!T31&lt;&gt;booking!U31),VLOOKUP(booking!U31,Database!$A$1:'Database'!$L$175,6,FALSE),"-"),"-")</f>
        <v>-</v>
      </c>
      <c r="S31" s="51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6">
        <f>booking!C32</f>
        <v>46533</v>
      </c>
      <c r="D32" s="2" t="str">
        <f>IF(booking!AC32&gt;0,"Y","-")</f>
        <v>-</v>
      </c>
      <c r="E32" s="55" t="str">
        <f>IF(AND(booking!D32&lt;&gt;booking!E32,booking!D32&gt;0),"udc","-")</f>
        <v>-</v>
      </c>
      <c r="F32" s="51" t="str">
        <f>IFERROR(IF(AND(booking!AB32&gt;0,booking!D32&lt;&gt;booking!E32),VLOOKUP(booking!E32,Database!$A$1:'Database'!$L$175,6,FALSE),"-"),"-")</f>
        <v>-</v>
      </c>
      <c r="G32" s="51" t="str">
        <f>IFERROR(IF(AND(booking!AB32&gt;0,booking!D32&lt;&gt;booking!E32),VLOOKUP(booking!E32,Database!$A$1:'Database'!$L$175,9,FALSE),"-"),"-")</f>
        <v>-</v>
      </c>
      <c r="H32" s="55" t="str">
        <f>IF(AND(booking!H32&lt;&gt;booking!I32,booking!H32&gt;0),"udc","-")</f>
        <v>-</v>
      </c>
      <c r="I32" s="51" t="str">
        <f>IFERROR(IF(AND(booking!AB32&gt;0,booking!H32&lt;&gt;booking!I32),VLOOKUP(booking!I32,Database!$A$1:'Database'!$L$175,6,FALSE),"-"),"-")</f>
        <v>-</v>
      </c>
      <c r="J32" s="51" t="str">
        <f>IFERROR(IF(AND(booking!AB32&gt;0,booking!H32&lt;&gt;booking!I32),VLOOKUP(booking!I32,Database!$A$1:'Database'!$L$175,9,FALSE),"-"),"-")</f>
        <v>-</v>
      </c>
      <c r="K32" s="55" t="str">
        <f>IF(AND(booking!L32&lt;&gt;booking!M32,booking!L32&gt;0),"udc","-")</f>
        <v>-</v>
      </c>
      <c r="L32" s="51" t="str">
        <f>IFERROR(IF(AND(booking!AB32&gt;0,booking!L32&lt;&gt;booking!M32),VLOOKUP(booking!M32,Database!$A$1:'Database'!$L$175,6,FALSE),"-"),"-")</f>
        <v>-</v>
      </c>
      <c r="M32" s="51" t="str">
        <f>IFERROR(IF(AND(booking!AB32&gt;0,booking!L32&lt;&gt;booking!M32),VLOOKUP(booking!M32,Database!A31:'Database'!L205,9,FALSE),"-"),"-")</f>
        <v>-</v>
      </c>
      <c r="N32" s="55" t="str">
        <f>IF(AND(booking!P32&lt;&gt;booking!Q32,booking!P32&gt;0),"udc","-")</f>
        <v>-</v>
      </c>
      <c r="O32" s="51" t="str">
        <f>IFERROR(IF(AND(booking!AB32&gt;0,booking!P32&lt;&gt;booking!Q32),VLOOKUP(booking!Q32,Database!$A$1:'Database'!$L$175,6,FALSE),"-"),"-")</f>
        <v>-</v>
      </c>
      <c r="P32" s="51" t="str">
        <f>IFERROR(IF(AND(booking!AB32&gt;0,booking!P32&lt;&gt;booking!Q32),VLOOKUP(booking!Q32,Database!$A$1:'Database'!$L$175,9,FALSE),"-"),"-")</f>
        <v>-</v>
      </c>
      <c r="Q32" s="55" t="str">
        <f>IF(AND(booking!T32&lt;&gt;booking!U32,booking!T32&gt;0),"udc","-")</f>
        <v>-</v>
      </c>
      <c r="R32" s="51" t="str">
        <f>IFERROR(IF(AND(booking!AB32&gt;0,booking!T32&lt;&gt;booking!U32),VLOOKUP(booking!U32,Database!$A$1:'Database'!$L$175,6,FALSE),"-"),"-")</f>
        <v>-</v>
      </c>
      <c r="S32" s="51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6">
        <f>booking!C33</f>
        <v>46534</v>
      </c>
      <c r="D33" s="2" t="str">
        <f>IF(booking!AC33&gt;0,"Y","-")</f>
        <v>-</v>
      </c>
      <c r="E33" s="55" t="str">
        <f>IF(AND(booking!D33&lt;&gt;booking!E33,booking!D33&gt;0),"udc","-")</f>
        <v>-</v>
      </c>
      <c r="F33" s="51" t="str">
        <f>IFERROR(IF(AND(booking!AB33&gt;0,booking!D33&lt;&gt;booking!E33),VLOOKUP(booking!E33,Database!$A$1:'Database'!$L$175,6,FALSE),"-"),"-")</f>
        <v>-</v>
      </c>
      <c r="G33" s="51" t="str">
        <f>IFERROR(IF(AND(booking!AB33&gt;0,booking!D33&lt;&gt;booking!E33),VLOOKUP(booking!E33,Database!$A$1:'Database'!$L$175,9,FALSE),"-"),"-")</f>
        <v>-</v>
      </c>
      <c r="H33" s="55" t="str">
        <f>IF(AND(booking!H33&lt;&gt;booking!I33,booking!H33&gt;0),"udc","-")</f>
        <v>-</v>
      </c>
      <c r="I33" s="51" t="str">
        <f>IFERROR(IF(AND(booking!AB33&gt;0,booking!H33&lt;&gt;booking!I33),VLOOKUP(booking!I33,Database!$A$1:'Database'!$L$175,6,FALSE),"-"),"-")</f>
        <v>-</v>
      </c>
      <c r="J33" s="51" t="str">
        <f>IFERROR(IF(AND(booking!AB33&gt;0,booking!H33&lt;&gt;booking!I33),VLOOKUP(booking!I33,Database!$A$1:'Database'!$L$175,9,FALSE),"-"),"-")</f>
        <v>-</v>
      </c>
      <c r="K33" s="55" t="str">
        <f>IF(AND(booking!L33&lt;&gt;booking!M33,booking!L33&gt;0),"udc","-")</f>
        <v>-</v>
      </c>
      <c r="L33" s="51" t="str">
        <f>IFERROR(IF(AND(booking!AB33&gt;0,booking!L33&lt;&gt;booking!M33),VLOOKUP(booking!M33,Database!$A$1:'Database'!$L$175,6,FALSE),"-"),"-")</f>
        <v>-</v>
      </c>
      <c r="M33" s="51" t="str">
        <f>IFERROR(IF(AND(booking!AB33&gt;0,booking!L33&lt;&gt;booking!M33),VLOOKUP(booking!M33,Database!A32:'Database'!L206,9,FALSE),"-"),"-")</f>
        <v>-</v>
      </c>
      <c r="N33" s="55" t="str">
        <f>IF(AND(booking!P33&lt;&gt;booking!Q33,booking!P33&gt;0),"udc","-")</f>
        <v>-</v>
      </c>
      <c r="O33" s="51" t="str">
        <f>IFERROR(IF(AND(booking!AB33&gt;0,booking!P33&lt;&gt;booking!Q33),VLOOKUP(booking!Q33,Database!$A$1:'Database'!$L$175,6,FALSE),"-"),"-")</f>
        <v>-</v>
      </c>
      <c r="P33" s="51" t="str">
        <f>IFERROR(IF(AND(booking!AB33&gt;0,booking!P33&lt;&gt;booking!Q33),VLOOKUP(booking!Q33,Database!$A$1:'Database'!$L$175,9,FALSE),"-"),"-")</f>
        <v>-</v>
      </c>
      <c r="Q33" s="55" t="str">
        <f>IF(AND(booking!T33&lt;&gt;booking!U33,booking!T33&gt;0),"udc","-")</f>
        <v>-</v>
      </c>
      <c r="R33" s="51" t="str">
        <f>IFERROR(IF(AND(booking!AB33&gt;0,booking!T33&lt;&gt;booking!U33),VLOOKUP(booking!U33,Database!$A$1:'Database'!$L$175,6,FALSE),"-"),"-")</f>
        <v>-</v>
      </c>
      <c r="S33" s="51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6">
        <f>booking!C34</f>
        <v>46535</v>
      </c>
      <c r="D34" s="2" t="str">
        <f>IF(booking!AC34&gt;0,"Y","-")</f>
        <v>-</v>
      </c>
      <c r="E34" s="55" t="str">
        <f>IF(AND(booking!D34&lt;&gt;booking!E34,booking!D34&gt;0),"udc","-")</f>
        <v>-</v>
      </c>
      <c r="F34" s="51" t="str">
        <f>IFERROR(IF(AND(booking!AB34&gt;0,booking!D34&lt;&gt;booking!E34),VLOOKUP(booking!E34,Database!$A$1:'Database'!$L$175,6,FALSE),"-"),"-")</f>
        <v>-</v>
      </c>
      <c r="G34" s="51" t="str">
        <f>IFERROR(IF(AND(booking!AB34&gt;0,booking!D34&lt;&gt;booking!E34),VLOOKUP(booking!E34,Database!$A$1:'Database'!$L$175,9,FALSE),"-"),"-")</f>
        <v>-</v>
      </c>
      <c r="H34" s="55" t="str">
        <f>IF(AND(booking!H34&lt;&gt;booking!I34,booking!H34&gt;0),"udc","-")</f>
        <v>-</v>
      </c>
      <c r="I34" s="51" t="str">
        <f>IFERROR(IF(AND(booking!AB34&gt;0,booking!H34&lt;&gt;booking!I34),VLOOKUP(booking!I34,Database!$A$1:'Database'!$L$175,6,FALSE),"-"),"-")</f>
        <v>-</v>
      </c>
      <c r="J34" s="51" t="str">
        <f>IFERROR(IF(AND(booking!AB34&gt;0,booking!H34&lt;&gt;booking!I34),VLOOKUP(booking!I34,Database!$A$1:'Database'!$L$175,9,FALSE),"-"),"-")</f>
        <v>-</v>
      </c>
      <c r="K34" s="55" t="str">
        <f>IF(AND(booking!L34&lt;&gt;booking!M34,booking!L34&gt;0),"udc","-")</f>
        <v>-</v>
      </c>
      <c r="L34" s="51" t="str">
        <f>IFERROR(IF(AND(booking!AB34&gt;0,booking!L34&lt;&gt;booking!M34),VLOOKUP(booking!M34,Database!$A$1:'Database'!$L$175,6,FALSE),"-"),"-")</f>
        <v>-</v>
      </c>
      <c r="M34" s="51" t="str">
        <f>IFERROR(IF(AND(booking!AB34&gt;0,booking!L34&lt;&gt;booking!M34),VLOOKUP(booking!M34,Database!A33:'Database'!L207,9,FALSE),"-"),"-")</f>
        <v>-</v>
      </c>
      <c r="N34" s="55" t="str">
        <f>IF(AND(booking!P34&lt;&gt;booking!Q34,booking!P34&gt;0),"udc","-")</f>
        <v>-</v>
      </c>
      <c r="O34" s="51" t="str">
        <f>IFERROR(IF(AND(booking!AB34&gt;0,booking!P34&lt;&gt;booking!Q34),VLOOKUP(booking!Q34,Database!$A$1:'Database'!$L$175,6,FALSE),"-"),"-")</f>
        <v>-</v>
      </c>
      <c r="P34" s="51" t="str">
        <f>IFERROR(IF(AND(booking!AB34&gt;0,booking!P34&lt;&gt;booking!Q34),VLOOKUP(booking!Q34,Database!$A$1:'Database'!$L$175,9,FALSE),"-"),"-")</f>
        <v>-</v>
      </c>
      <c r="Q34" s="55" t="str">
        <f>IF(AND(booking!T34&lt;&gt;booking!U34,booking!T34&gt;0),"udc","-")</f>
        <v>-</v>
      </c>
      <c r="R34" s="51" t="str">
        <f>IFERROR(IF(AND(booking!AB34&gt;0,booking!T34&lt;&gt;booking!U34),VLOOKUP(booking!U34,Database!$A$1:'Database'!$L$175,6,FALSE),"-"),"-")</f>
        <v>-</v>
      </c>
      <c r="S34" s="51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6">
        <f>booking!C35</f>
        <v>46536</v>
      </c>
      <c r="D35" s="2" t="str">
        <f>IF(booking!AC35&gt;0,"Y","-")</f>
        <v>-</v>
      </c>
      <c r="E35" s="55" t="str">
        <f>IF(AND(booking!D35&lt;&gt;booking!E35,booking!D35&gt;0),"udc","-")</f>
        <v>-</v>
      </c>
      <c r="F35" s="51" t="str">
        <f>IFERROR(IF(AND(booking!AB35&gt;0,booking!D35&lt;&gt;booking!E35),VLOOKUP(booking!E35,Database!$A$1:'Database'!$L$175,6,FALSE),"-"),"-")</f>
        <v>-</v>
      </c>
      <c r="G35" s="51" t="str">
        <f>IFERROR(IF(AND(booking!AB35&gt;0,booking!D35&lt;&gt;booking!E35),VLOOKUP(booking!E35,Database!$A$1:'Database'!$L$175,9,FALSE),"-"),"-")</f>
        <v>-</v>
      </c>
      <c r="H35" s="55" t="str">
        <f>IF(AND(booking!H35&lt;&gt;booking!I35,booking!H35&gt;0),"udc","-")</f>
        <v>-</v>
      </c>
      <c r="I35" s="51" t="str">
        <f>IFERROR(IF(AND(booking!AB35&gt;0,booking!H35&lt;&gt;booking!I35),VLOOKUP(booking!I35,Database!$A$1:'Database'!$L$175,6,FALSE),"-"),"-")</f>
        <v>-</v>
      </c>
      <c r="J35" s="51" t="str">
        <f>IFERROR(IF(AND(booking!AB35&gt;0,booking!H35&lt;&gt;booking!I35),VLOOKUP(booking!I35,Database!$A$1:'Database'!$L$175,9,FALSE),"-"),"-")</f>
        <v>-</v>
      </c>
      <c r="K35" s="55" t="str">
        <f>IF(AND(booking!L35&lt;&gt;booking!M35,booking!L35&gt;0),"udc","-")</f>
        <v>-</v>
      </c>
      <c r="L35" s="51" t="str">
        <f>IFERROR(IF(AND(booking!AB35&gt;0,booking!L35&lt;&gt;booking!M35),VLOOKUP(booking!M35,Database!$A$1:'Database'!$L$175,6,FALSE),"-"),"-")</f>
        <v>-</v>
      </c>
      <c r="M35" s="51" t="str">
        <f>IFERROR(IF(AND(booking!AB35&gt;0,booking!L35&lt;&gt;booking!M35),VLOOKUP(booking!M35,Database!A34:'Database'!L208,9,FALSE),"-"),"-")</f>
        <v>-</v>
      </c>
      <c r="N35" s="55" t="str">
        <f>IF(AND(booking!P35&lt;&gt;booking!Q35,booking!P35&gt;0),"udc","-")</f>
        <v>-</v>
      </c>
      <c r="O35" s="51" t="str">
        <f>IFERROR(IF(AND(booking!AB35&gt;0,booking!P35&lt;&gt;booking!Q35),VLOOKUP(booking!Q35,Database!$A$1:'Database'!$L$175,6,FALSE),"-"),"-")</f>
        <v>-</v>
      </c>
      <c r="P35" s="51" t="str">
        <f>IFERROR(IF(AND(booking!AB35&gt;0,booking!P35&lt;&gt;booking!Q35),VLOOKUP(booking!Q35,Database!$A$1:'Database'!$L$175,9,FALSE),"-"),"-")</f>
        <v>-</v>
      </c>
      <c r="Q35" s="55" t="str">
        <f>IF(AND(booking!T35&lt;&gt;booking!U35,booking!T35&gt;0),"udc","-")</f>
        <v>-</v>
      </c>
      <c r="R35" s="51" t="str">
        <f>IFERROR(IF(AND(booking!AB35&gt;0,booking!T35&lt;&gt;booking!U35),VLOOKUP(booking!U35,Database!$A$1:'Database'!$L$175,6,FALSE),"-"),"-")</f>
        <v>-</v>
      </c>
      <c r="S35" s="51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8" t="str">
        <f>booking!B36</f>
        <v>søndag</v>
      </c>
      <c r="B36" s="49">
        <f>booking!C36</f>
        <v>46537</v>
      </c>
      <c r="C36" s="48"/>
      <c r="D36" s="50" t="str">
        <f>IF(booking!AC36&gt;0,"Y","-")</f>
        <v>-</v>
      </c>
      <c r="E36" s="55" t="str">
        <f>IF(AND(booking!D36&lt;&gt;booking!E36,booking!D36&gt;0),"udc","-")</f>
        <v>-</v>
      </c>
      <c r="F36" s="51" t="str">
        <f>IFERROR(IF(AND(booking!AB36&gt;0,booking!D36&lt;&gt;booking!E36),VLOOKUP(booking!E36,Database!$A$1:'Database'!$L$175,6,FALSE),"-"),"-")</f>
        <v>-</v>
      </c>
      <c r="G36" s="51" t="str">
        <f>IFERROR(IF(AND(booking!AB36&gt;0,booking!D36&lt;&gt;booking!E36),VLOOKUP(booking!E36,Database!$A$1:'Database'!$L$175,9,FALSE),"-"),"-")</f>
        <v>-</v>
      </c>
      <c r="H36" s="55" t="str">
        <f>IF(AND(booking!H36&lt;&gt;booking!I36,booking!H36&gt;0),"udc","-")</f>
        <v>-</v>
      </c>
      <c r="I36" s="51" t="str">
        <f>IFERROR(IF(AND(booking!AB36&gt;0,booking!H36&lt;&gt;booking!I36),VLOOKUP(booking!I36,Database!$A$1:'Database'!$L$175,6,FALSE),"-"),"-")</f>
        <v>-</v>
      </c>
      <c r="J36" s="51" t="str">
        <f>IFERROR(IF(AND(booking!AB36&gt;0,booking!H36&lt;&gt;booking!I36),VLOOKUP(booking!I36,Database!$A$1:'Database'!$L$175,9,FALSE),"-"),"-")</f>
        <v>-</v>
      </c>
      <c r="K36" s="55" t="str">
        <f>IF(AND(booking!L36&lt;&gt;booking!M36,booking!L36&gt;0),"udc","-")</f>
        <v>-</v>
      </c>
      <c r="L36" s="51" t="str">
        <f>IFERROR(IF(AND(booking!AB36&gt;0,booking!L36&lt;&gt;booking!M36),VLOOKUP(booking!M36,Database!$A$1:'Database'!$L$175,6,FALSE),"-"),"-")</f>
        <v>-</v>
      </c>
      <c r="M36" s="51" t="str">
        <f>IFERROR(IF(AND(booking!AB36&gt;0,booking!L36&lt;&gt;booking!M36),VLOOKUP(booking!M36,Database!A35:'Database'!L209,9,FALSE),"-"),"-")</f>
        <v>-</v>
      </c>
      <c r="N36" s="55" t="str">
        <f>IF(AND(booking!P36&lt;&gt;booking!Q36,booking!P36&gt;0),"udc","-")</f>
        <v>-</v>
      </c>
      <c r="O36" s="51" t="str">
        <f>IFERROR(IF(AND(booking!AB36&gt;0,booking!P36&lt;&gt;booking!Q36),VLOOKUP(booking!Q36,Database!$A$1:'Database'!$L$175,6,FALSE),"-"),"-")</f>
        <v>-</v>
      </c>
      <c r="P36" s="51" t="str">
        <f>IFERROR(IF(AND(booking!AB36&gt;0,booking!P36&lt;&gt;booking!Q36),VLOOKUP(booking!Q36,Database!$A$1:'Database'!$L$175,9,FALSE),"-"),"-")</f>
        <v>-</v>
      </c>
      <c r="Q36" s="55" t="str">
        <f>IF(AND(booking!T36&lt;&gt;booking!U36,booking!T36&gt;0),"udc","-")</f>
        <v>-</v>
      </c>
      <c r="R36" s="51" t="str">
        <f>IFERROR(IF(AND(booking!AB36&gt;0,booking!T36&lt;&gt;booking!U36),VLOOKUP(booking!U36,Database!$A$1:'Database'!$L$175,6,FALSE),"-"),"-")</f>
        <v>-</v>
      </c>
      <c r="S36" s="51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6">
        <f>booking!C37</f>
        <v>46538</v>
      </c>
      <c r="D37" s="2" t="str">
        <f>IF(booking!AC37&gt;0,"Y","-")</f>
        <v>-</v>
      </c>
      <c r="E37" s="55" t="str">
        <f>IF(AND(booking!D37&lt;&gt;booking!E37,booking!D37&gt;0),"udc","-")</f>
        <v>-</v>
      </c>
      <c r="F37" s="51" t="str">
        <f>IFERROR(IF(AND(booking!AB37&gt;0,booking!D37&lt;&gt;booking!E37),VLOOKUP(booking!E37,Database!$A$1:'Database'!$L$175,6,FALSE),"-"),"-")</f>
        <v>-</v>
      </c>
      <c r="G37" s="51" t="str">
        <f>IFERROR(IF(AND(booking!AB37&gt;0,booking!D37&lt;&gt;booking!E37),VLOOKUP(booking!E37,Database!$A$1:'Database'!$L$175,9,FALSE),"-"),"-")</f>
        <v>-</v>
      </c>
      <c r="H37" s="55" t="str">
        <f>IF(AND(booking!H37&lt;&gt;booking!I37,booking!H37&gt;0),"udc","-")</f>
        <v>-</v>
      </c>
      <c r="I37" s="51" t="str">
        <f>IFERROR(IF(AND(booking!AB37&gt;0,booking!H37&lt;&gt;booking!I37),VLOOKUP(booking!I37,Database!$A$1:'Database'!$L$175,6,FALSE),"-"),"-")</f>
        <v>-</v>
      </c>
      <c r="J37" s="51" t="str">
        <f>IFERROR(IF(AND(booking!AB37&gt;0,booking!H37&lt;&gt;booking!I37),VLOOKUP(booking!I37,Database!$A$1:'Database'!$L$175,9,FALSE),"-"),"-")</f>
        <v>-</v>
      </c>
      <c r="K37" s="55" t="str">
        <f>IF(AND(booking!L37&lt;&gt;booking!M37,booking!L37&gt;0),"udc","-")</f>
        <v>-</v>
      </c>
      <c r="L37" s="51" t="str">
        <f>IFERROR(IF(AND(booking!AB37&gt;0,booking!L37&lt;&gt;booking!M37),VLOOKUP(booking!M37,Database!$A$1:'Database'!$L$175,6,FALSE),"-"),"-")</f>
        <v>-</v>
      </c>
      <c r="M37" s="51" t="str">
        <f>IFERROR(IF(AND(booking!AB37&gt;0,booking!L37&lt;&gt;booking!M37),VLOOKUP(booking!M37,Database!A36:'Database'!L210,9,FALSE),"-"),"-")</f>
        <v>-</v>
      </c>
      <c r="N37" s="55" t="str">
        <f>IF(AND(booking!P37&lt;&gt;booking!Q37,booking!P37&gt;0),"udc","-")</f>
        <v>-</v>
      </c>
      <c r="O37" s="51" t="str">
        <f>IFERROR(IF(AND(booking!AB37&gt;0,booking!P37&lt;&gt;booking!Q37),VLOOKUP(booking!Q37,Database!$A$1:'Database'!$L$175,6,FALSE),"-"),"-")</f>
        <v>-</v>
      </c>
      <c r="P37" s="51" t="str">
        <f>IFERROR(IF(AND(booking!AB37&gt;0,booking!P37&lt;&gt;booking!Q37),VLOOKUP(booking!Q37,Database!$A$1:'Database'!$L$175,9,FALSE),"-"),"-")</f>
        <v>-</v>
      </c>
      <c r="Q37" s="55" t="str">
        <f>IF(AND(booking!T37&lt;&gt;booking!U37,booking!T37&gt;0),"udc","-")</f>
        <v>-</v>
      </c>
      <c r="R37" s="51" t="str">
        <f>IFERROR(IF(AND(booking!AB37&gt;0,booking!T37&lt;&gt;booking!U37),VLOOKUP(booking!U37,Database!$A$1:'Database'!$L$175,6,FALSE),"-"),"-")</f>
        <v>-</v>
      </c>
      <c r="S37" s="51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6">
        <f>booking!C38</f>
        <v>46539</v>
      </c>
      <c r="D38" s="2" t="str">
        <f>IF(booking!AC38&gt;0,"Y","-")</f>
        <v>-</v>
      </c>
      <c r="E38" s="55" t="str">
        <f>IF(AND(booking!D38&lt;&gt;booking!E38,booking!D38&gt;0),"udc","-")</f>
        <v>-</v>
      </c>
      <c r="F38" s="51" t="str">
        <f>IFERROR(IF(AND(booking!AB38&gt;0,booking!D38&lt;&gt;booking!E38),VLOOKUP(booking!E38,Database!$A$1:'Database'!$L$175,6,FALSE),"-"),"-")</f>
        <v>-</v>
      </c>
      <c r="G38" s="51" t="str">
        <f>IFERROR(IF(AND(booking!AB38&gt;0,booking!D38&lt;&gt;booking!E38),VLOOKUP(booking!E38,Database!$A$1:'Database'!$L$175,9,FALSE),"-"),"-")</f>
        <v>-</v>
      </c>
      <c r="H38" s="55" t="str">
        <f>IF(AND(booking!H38&lt;&gt;booking!I38,booking!H38&gt;0),"udc","-")</f>
        <v>-</v>
      </c>
      <c r="I38" s="51" t="str">
        <f>IFERROR(IF(AND(booking!AB38&gt;0,booking!H38&lt;&gt;booking!I38),VLOOKUP(booking!I38,Database!$A$1:'Database'!$L$175,6,FALSE),"-"),"-")</f>
        <v>-</v>
      </c>
      <c r="J38" s="51" t="str">
        <f>IFERROR(IF(AND(booking!AB38&gt;0,booking!H38&lt;&gt;booking!I38),VLOOKUP(booking!I38,Database!$A$1:'Database'!$L$175,9,FALSE),"-"),"-")</f>
        <v>-</v>
      </c>
      <c r="K38" s="55" t="str">
        <f>IF(AND(booking!L38&lt;&gt;booking!M38,booking!L38&gt;0),"udc","-")</f>
        <v>-</v>
      </c>
      <c r="L38" s="51" t="str">
        <f>IFERROR(IF(AND(booking!AB38&gt;0,booking!L38&lt;&gt;booking!M38),VLOOKUP(booking!M38,Database!$A$1:'Database'!$L$175,6,FALSE),"-"),"-")</f>
        <v>-</v>
      </c>
      <c r="M38" s="51" t="str">
        <f>IFERROR(IF(AND(booking!AB38&gt;0,booking!L38&lt;&gt;booking!M38),VLOOKUP(booking!M38,Database!A37:'Database'!L211,9,FALSE),"-"),"-")</f>
        <v>-</v>
      </c>
      <c r="N38" s="55" t="str">
        <f>IF(AND(booking!P38&lt;&gt;booking!Q38,booking!P38&gt;0),"udc","-")</f>
        <v>-</v>
      </c>
      <c r="O38" s="51" t="str">
        <f>IFERROR(IF(AND(booking!AB38&gt;0,booking!P38&lt;&gt;booking!Q38),VLOOKUP(booking!Q38,Database!$A$1:'Database'!$L$175,6,FALSE),"-"),"-")</f>
        <v>-</v>
      </c>
      <c r="P38" s="51" t="str">
        <f>IFERROR(IF(AND(booking!AB38&gt;0,booking!P38&lt;&gt;booking!Q38),VLOOKUP(booking!Q38,Database!$A$1:'Database'!$L$175,9,FALSE),"-"),"-")</f>
        <v>-</v>
      </c>
      <c r="Q38" s="55" t="str">
        <f>IF(AND(booking!T38&lt;&gt;booking!U38,booking!T38&gt;0),"udc","-")</f>
        <v>-</v>
      </c>
      <c r="R38" s="51" t="str">
        <f>IFERROR(IF(AND(booking!AB38&gt;0,booking!T38&lt;&gt;booking!U38),VLOOKUP(booking!U38,Database!$A$1:'Database'!$L$175,6,FALSE),"-"),"-")</f>
        <v>-</v>
      </c>
      <c r="S38" s="51" t="str">
        <f>IFERROR(IF(AND(booking!AB38&gt;0,booking!T38&lt;&gt;booking!U38),VLOOKUP(booking!U38,Database!$A$1:'Database'!$L$175,9,FALSE),"-"),"-")</f>
        <v>-</v>
      </c>
    </row>
    <row r="39" spans="1:19" ht="15" customHeight="1" thickBot="1" x14ac:dyDescent="0.4">
      <c r="A39" t="str">
        <f>booking!B39</f>
        <v>onsdag</v>
      </c>
      <c r="B39" s="26">
        <f>booking!C39</f>
        <v>46540</v>
      </c>
      <c r="D39" s="2" t="str">
        <f>IF(booking!AC39&gt;0,"Y","-")</f>
        <v>-</v>
      </c>
      <c r="E39" s="55" t="str">
        <f>IF(AND(booking!D39&lt;&gt;booking!E39,booking!D39&gt;0),"udc","-")</f>
        <v>-</v>
      </c>
      <c r="F39" s="51" t="str">
        <f>IFERROR(IF(AND(booking!AB39&gt;0,booking!D39&lt;&gt;booking!E39),VLOOKUP(booking!E39,Database!$A$1:'Database'!$L$175,6,FALSE),"-"),"-")</f>
        <v>-</v>
      </c>
      <c r="G39" s="51" t="str">
        <f>IFERROR(IF(AND(booking!AB39&gt;0,booking!D39&lt;&gt;booking!E39),VLOOKUP(booking!E39,Database!$A$1:'Database'!$L$175,9,FALSE),"-"),"-")</f>
        <v>-</v>
      </c>
      <c r="H39" s="55" t="str">
        <f>IF(AND(booking!H39&lt;&gt;booking!I39,booking!H39&gt;0),"udc","-")</f>
        <v>-</v>
      </c>
      <c r="I39" s="51" t="str">
        <f>IFERROR(IF(AND(booking!AB39&gt;0,booking!H39&lt;&gt;booking!I39),VLOOKUP(booking!I39,Database!$A$1:'Database'!$L$175,6,FALSE),"-"),"-")</f>
        <v>-</v>
      </c>
      <c r="J39" s="51" t="str">
        <f>IFERROR(IF(AND(booking!AB39&gt;0,booking!H39&lt;&gt;booking!I39),VLOOKUP(booking!I39,Database!$A$1:'Database'!$L$175,9,FALSE),"-"),"-")</f>
        <v>-</v>
      </c>
      <c r="K39" s="55" t="str">
        <f>IF(AND(booking!L39&lt;&gt;booking!M39,booking!L39&gt;0),"udc","-")</f>
        <v>-</v>
      </c>
      <c r="L39" s="51" t="str">
        <f>IFERROR(IF(AND(booking!AB39&gt;0,booking!L39&lt;&gt;booking!M39),VLOOKUP(booking!M39,Database!$A$1:'Database'!$L$175,6,FALSE),"-"),"-")</f>
        <v>-</v>
      </c>
      <c r="M39" s="51" t="str">
        <f>IFERROR(IF(AND(booking!AB39&gt;0,booking!L39&lt;&gt;booking!M39),VLOOKUP(booking!M39,Database!A38:'Database'!L212,9,FALSE),"-"),"-")</f>
        <v>-</v>
      </c>
      <c r="N39" s="55" t="str">
        <f>IF(AND(booking!P39&lt;&gt;booking!Q39,booking!P39&gt;0),"udc","-")</f>
        <v>-</v>
      </c>
      <c r="O39" s="51" t="str">
        <f>IFERROR(IF(AND(booking!AB39&gt;0,booking!P39&lt;&gt;booking!Q39),VLOOKUP(booking!Q39,Database!$A$1:'Database'!$L$175,6,FALSE),"-"),"-")</f>
        <v>-</v>
      </c>
      <c r="P39" s="51" t="str">
        <f>IFERROR(IF(AND(booking!AB39&gt;0,booking!P39&lt;&gt;booking!Q39),VLOOKUP(booking!Q39,Database!$A$1:'Database'!$L$175,9,FALSE),"-"),"-")</f>
        <v>-</v>
      </c>
      <c r="Q39" s="55" t="str">
        <f>IF(AND(booking!T39&lt;&gt;booking!U39,booking!T39&gt;0),"udc","-")</f>
        <v>-</v>
      </c>
      <c r="R39" s="51" t="str">
        <f>IFERROR(IF(AND(booking!AB39&gt;0,booking!T39&lt;&gt;booking!U39),VLOOKUP(booking!U39,Database!$A$1:'Database'!$L$175,6,FALSE),"-"),"-")</f>
        <v>-</v>
      </c>
      <c r="S39" s="51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6">
        <f>booking!C40</f>
        <v>46541</v>
      </c>
      <c r="D40" s="2" t="str">
        <f>IF(booking!AC40&gt;0,"Y","-")</f>
        <v>-</v>
      </c>
      <c r="E40" s="55" t="str">
        <f>IF(AND(booking!D40&lt;&gt;booking!E40,booking!D40&gt;0),"udc","-")</f>
        <v>-</v>
      </c>
      <c r="F40" s="51" t="str">
        <f>IFERROR(IF(AND(booking!AB40&gt;0,booking!D40&lt;&gt;booking!E40),VLOOKUP(booking!E40,Database!$A$1:'Database'!$L$175,6,FALSE),"-"),"-")</f>
        <v>-</v>
      </c>
      <c r="G40" s="51" t="str">
        <f>IFERROR(IF(AND(booking!AB40&gt;0,booking!D40&lt;&gt;booking!E40),VLOOKUP(booking!E40,Database!$A$1:'Database'!$L$175,9,FALSE),"-"),"-")</f>
        <v>-</v>
      </c>
      <c r="H40" s="55" t="str">
        <f>IF(AND(booking!H40&lt;&gt;booking!I40,booking!H40&gt;0),"udc","-")</f>
        <v>-</v>
      </c>
      <c r="I40" s="51" t="str">
        <f>IFERROR(IF(AND(booking!AB40&gt;0,booking!H40&lt;&gt;booking!I40),VLOOKUP(booking!I40,Database!$A$1:'Database'!$L$175,6,FALSE),"-"),"-")</f>
        <v>-</v>
      </c>
      <c r="J40" s="51" t="str">
        <f>IFERROR(IF(AND(booking!AB40&gt;0,booking!H40&lt;&gt;booking!I40),VLOOKUP(booking!I40,Database!$A$1:'Database'!$L$175,9,FALSE),"-"),"-")</f>
        <v>-</v>
      </c>
      <c r="K40" s="55" t="str">
        <f>IF(AND(booking!L40&lt;&gt;booking!M40,booking!L40&gt;0),"udc","-")</f>
        <v>-</v>
      </c>
      <c r="L40" s="51" t="str">
        <f>IFERROR(IF(AND(booking!AB40&gt;0,booking!L40&lt;&gt;booking!M40),VLOOKUP(booking!M40,Database!$A$1:'Database'!$L$175,6,FALSE),"-"),"-")</f>
        <v>-</v>
      </c>
      <c r="M40" s="51" t="str">
        <f>IFERROR(IF(AND(booking!AB40&gt;0,booking!L40&lt;&gt;booking!M40),VLOOKUP(booking!M40,Database!A39:'Database'!L213,9,FALSE),"-"),"-")</f>
        <v>-</v>
      </c>
      <c r="N40" s="55" t="str">
        <f>IF(AND(booking!P40&lt;&gt;booking!Q40,booking!P40&gt;0),"udc","-")</f>
        <v>-</v>
      </c>
      <c r="O40" s="51" t="str">
        <f>IFERROR(IF(AND(booking!AB40&gt;0,booking!P40&lt;&gt;booking!Q40),VLOOKUP(booking!Q40,Database!$A$1:'Database'!$L$175,6,FALSE),"-"),"-")</f>
        <v>-</v>
      </c>
      <c r="P40" s="51" t="str">
        <f>IFERROR(IF(AND(booking!AB40&gt;0,booking!P40&lt;&gt;booking!Q40),VLOOKUP(booking!Q40,Database!$A$1:'Database'!$L$175,9,FALSE),"-"),"-")</f>
        <v>-</v>
      </c>
      <c r="Q40" s="55" t="str">
        <f>IF(AND(booking!T40&lt;&gt;booking!U40,booking!T40&gt;0),"udc","-")</f>
        <v>-</v>
      </c>
      <c r="R40" s="51" t="str">
        <f>IFERROR(IF(AND(booking!AB40&gt;0,booking!T40&lt;&gt;booking!U40),VLOOKUP(booking!U40,Database!$A$1:'Database'!$L$175,6,FALSE),"-"),"-")</f>
        <v>-</v>
      </c>
      <c r="S40" s="51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6">
        <f>booking!C41</f>
        <v>46542</v>
      </c>
      <c r="D41" s="2" t="str">
        <f>IF(booking!AC41&gt;0,"Y","-")</f>
        <v>-</v>
      </c>
      <c r="E41" s="55" t="str">
        <f>IF(AND(booking!D41&lt;&gt;booking!E41,booking!D41&gt;0),"udc","-")</f>
        <v>-</v>
      </c>
      <c r="F41" s="51" t="str">
        <f>IFERROR(IF(AND(booking!AB41&gt;0,booking!D41&lt;&gt;booking!E41),VLOOKUP(booking!E41,Database!$A$1:'Database'!$L$175,6,FALSE),"-"),"-")</f>
        <v>-</v>
      </c>
      <c r="G41" s="51" t="str">
        <f>IFERROR(IF(AND(booking!AB41&gt;0,booking!D41&lt;&gt;booking!E41),VLOOKUP(booking!E41,Database!$A$1:'Database'!$L$175,9,FALSE),"-"),"-")</f>
        <v>-</v>
      </c>
      <c r="H41" s="55" t="str">
        <f>IF(AND(booking!H41&lt;&gt;booking!I41,booking!H41&gt;0),"udc","-")</f>
        <v>-</v>
      </c>
      <c r="I41" s="51" t="str">
        <f>IFERROR(IF(AND(booking!AB41&gt;0,booking!H41&lt;&gt;booking!I41),VLOOKUP(booking!I41,Database!$A$1:'Database'!$L$175,6,FALSE),"-"),"-")</f>
        <v>-</v>
      </c>
      <c r="J41" s="51" t="str">
        <f>IFERROR(IF(AND(booking!AB41&gt;0,booking!H41&lt;&gt;booking!I41),VLOOKUP(booking!I41,Database!$A$1:'Database'!$L$175,9,FALSE),"-"),"-")</f>
        <v>-</v>
      </c>
      <c r="K41" s="55" t="str">
        <f>IF(AND(booking!L41&lt;&gt;booking!M41,booking!L41&gt;0),"udc","-")</f>
        <v>-</v>
      </c>
      <c r="L41" s="51" t="str">
        <f>IFERROR(IF(AND(booking!AB41&gt;0,booking!L41&lt;&gt;booking!M41),VLOOKUP(booking!M41,Database!$A$1:'Database'!$L$175,6,FALSE),"-"),"-")</f>
        <v>-</v>
      </c>
      <c r="M41" s="51" t="str">
        <f>IFERROR(IF(AND(booking!AB41&gt;0,booking!L41&lt;&gt;booking!M41),VLOOKUP(booking!M41,Database!A40:'Database'!L214,9,FALSE),"-"),"-")</f>
        <v>-</v>
      </c>
      <c r="N41" s="55" t="str">
        <f>IF(AND(booking!P41&lt;&gt;booking!Q41,booking!P41&gt;0),"udc","-")</f>
        <v>-</v>
      </c>
      <c r="O41" s="51" t="str">
        <f>IFERROR(IF(AND(booking!AB41&gt;0,booking!P41&lt;&gt;booking!Q41),VLOOKUP(booking!Q41,Database!$A$1:'Database'!$L$175,6,FALSE),"-"),"-")</f>
        <v>-</v>
      </c>
      <c r="P41" s="51" t="str">
        <f>IFERROR(IF(AND(booking!AB41&gt;0,booking!P41&lt;&gt;booking!Q41),VLOOKUP(booking!Q41,Database!$A$1:'Database'!$L$175,9,FALSE),"-"),"-")</f>
        <v>-</v>
      </c>
      <c r="Q41" s="55" t="str">
        <f>IF(AND(booking!T41&lt;&gt;booking!U41,booking!T41&gt;0),"udc","-")</f>
        <v>-</v>
      </c>
      <c r="R41" s="51" t="str">
        <f>IFERROR(IF(AND(booking!AB41&gt;0,booking!T41&lt;&gt;booking!U41),VLOOKUP(booking!U41,Database!$A$1:'Database'!$L$175,6,FALSE),"-"),"-")</f>
        <v>-</v>
      </c>
      <c r="S41" s="51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6">
        <f>booking!C42</f>
        <v>46543</v>
      </c>
      <c r="D42" s="2" t="str">
        <f>IF(booking!AC42&gt;0,"Y","-")</f>
        <v>-</v>
      </c>
      <c r="E42" s="55" t="str">
        <f>IF(AND(booking!D42&lt;&gt;booking!E42,booking!D42&gt;0),"udc","-")</f>
        <v>-</v>
      </c>
      <c r="F42" s="51" t="str">
        <f>IFERROR(IF(AND(booking!AB42&gt;0,booking!D42&lt;&gt;booking!E42),VLOOKUP(booking!E42,Database!$A$1:'Database'!$L$175,6,FALSE),"-"),"-")</f>
        <v>-</v>
      </c>
      <c r="G42" s="51" t="str">
        <f>IFERROR(IF(AND(booking!AB42&gt;0,booking!D42&lt;&gt;booking!E42),VLOOKUP(booking!E42,Database!$A$1:'Database'!$L$175,9,FALSE),"-"),"-")</f>
        <v>-</v>
      </c>
      <c r="H42" s="55" t="str">
        <f>IF(AND(booking!H42&lt;&gt;booking!I42,booking!H42&gt;0),"udc","-")</f>
        <v>-</v>
      </c>
      <c r="I42" s="51" t="str">
        <f>IFERROR(IF(AND(booking!AB42&gt;0,booking!H42&lt;&gt;booking!I42),VLOOKUP(booking!I42,Database!$A$1:'Database'!$L$175,6,FALSE),"-"),"-")</f>
        <v>-</v>
      </c>
      <c r="J42" s="51" t="str">
        <f>IFERROR(IF(AND(booking!AB42&gt;0,booking!H42&lt;&gt;booking!I42),VLOOKUP(booking!I42,Database!$A$1:'Database'!$L$175,9,FALSE),"-"),"-")</f>
        <v>-</v>
      </c>
      <c r="K42" s="55" t="str">
        <f>IF(AND(booking!L42&lt;&gt;booking!M42,booking!L42&gt;0),"udc","-")</f>
        <v>-</v>
      </c>
      <c r="L42" s="51" t="str">
        <f>IFERROR(IF(AND(booking!AB42&gt;0,booking!L42&lt;&gt;booking!M42),VLOOKUP(booking!M42,Database!$A$1:'Database'!$L$175,6,FALSE),"-"),"-")</f>
        <v>-</v>
      </c>
      <c r="M42" s="51" t="str">
        <f>IFERROR(IF(AND(booking!AB42&gt;0,booking!L42&lt;&gt;booking!M42),VLOOKUP(booking!M42,Database!A41:'Database'!L215,9,FALSE),"-"),"-")</f>
        <v>-</v>
      </c>
      <c r="N42" s="55" t="str">
        <f>IF(AND(booking!P42&lt;&gt;booking!Q42,booking!P42&gt;0),"udc","-")</f>
        <v>-</v>
      </c>
      <c r="O42" s="51" t="str">
        <f>IFERROR(IF(AND(booking!AB42&gt;0,booking!P42&lt;&gt;booking!Q42),VLOOKUP(booking!Q42,Database!$A$1:'Database'!$L$175,6,FALSE),"-"),"-")</f>
        <v>-</v>
      </c>
      <c r="P42" s="51" t="str">
        <f>IFERROR(IF(AND(booking!AB42&gt;0,booking!P42&lt;&gt;booking!Q42),VLOOKUP(booking!Q42,Database!$A$1:'Database'!$L$175,9,FALSE),"-"),"-")</f>
        <v>-</v>
      </c>
      <c r="Q42" s="55" t="str">
        <f>IF(AND(booking!T42&lt;&gt;booking!U42,booking!T42&gt;0),"udc","-")</f>
        <v>-</v>
      </c>
      <c r="R42" s="51" t="str">
        <f>IFERROR(IF(AND(booking!AB42&gt;0,booking!T42&lt;&gt;booking!U42),VLOOKUP(booking!U42,Database!$A$1:'Database'!$L$175,6,FALSE),"-"),"-")</f>
        <v>-</v>
      </c>
      <c r="S42" s="51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8" t="str">
        <f>booking!B43</f>
        <v>søndag</v>
      </c>
      <c r="B43" s="49">
        <f>booking!C43</f>
        <v>46544</v>
      </c>
      <c r="C43" s="48"/>
      <c r="D43" s="50" t="str">
        <f>IF(booking!AC43&gt;0,"Y","-")</f>
        <v>-</v>
      </c>
      <c r="E43" s="55" t="str">
        <f>IF(AND(booking!D43&lt;&gt;booking!E43,booking!D43&gt;0),"udc","-")</f>
        <v>-</v>
      </c>
      <c r="F43" s="51" t="str">
        <f>IFERROR(IF(AND(booking!AB43&gt;0,booking!D43&lt;&gt;booking!E43),VLOOKUP(booking!E43,Database!$A$1:'Database'!$L$175,6,FALSE),"-"),"-")</f>
        <v>-</v>
      </c>
      <c r="G43" s="51" t="str">
        <f>IFERROR(IF(AND(booking!AB43&gt;0,booking!D43&lt;&gt;booking!E43),VLOOKUP(booking!E43,Database!$A$1:'Database'!$L$175,9,FALSE),"-"),"-")</f>
        <v>-</v>
      </c>
      <c r="H43" s="55" t="str">
        <f>IF(AND(booking!H43&lt;&gt;booking!I43,booking!H43&gt;0),"udc","-")</f>
        <v>-</v>
      </c>
      <c r="I43" s="51" t="str">
        <f>IFERROR(IF(AND(booking!AB43&gt;0,booking!H43&lt;&gt;booking!I43),VLOOKUP(booking!I43,Database!$A$1:'Database'!$L$175,6,FALSE),"-"),"-")</f>
        <v>-</v>
      </c>
      <c r="J43" s="51" t="str">
        <f>IFERROR(IF(AND(booking!AB43&gt;0,booking!H43&lt;&gt;booking!I43),VLOOKUP(booking!I43,Database!$A$1:'Database'!$L$175,9,FALSE),"-"),"-")</f>
        <v>-</v>
      </c>
      <c r="K43" s="55" t="str">
        <f>IF(AND(booking!L43&lt;&gt;booking!M43,booking!L43&gt;0),"udc","-")</f>
        <v>-</v>
      </c>
      <c r="L43" s="51" t="str">
        <f>IFERROR(IF(AND(booking!AB43&gt;0,booking!L43&lt;&gt;booking!M43),VLOOKUP(booking!M43,Database!$A$1:'Database'!$L$175,6,FALSE),"-"),"-")</f>
        <v>-</v>
      </c>
      <c r="M43" s="51" t="str">
        <f>IFERROR(IF(AND(booking!AB43&gt;0,booking!L43&lt;&gt;booking!M43),VLOOKUP(booking!M43,Database!A42:'Database'!L216,9,FALSE),"-"),"-")</f>
        <v>-</v>
      </c>
      <c r="N43" s="55" t="str">
        <f>IF(AND(booking!P43&lt;&gt;booking!Q43,booking!P43&gt;0),"udc","-")</f>
        <v>-</v>
      </c>
      <c r="O43" s="51" t="str">
        <f>IFERROR(IF(AND(booking!AB43&gt;0,booking!P43&lt;&gt;booking!Q43),VLOOKUP(booking!Q43,Database!$A$1:'Database'!$L$175,6,FALSE),"-"),"-")</f>
        <v>-</v>
      </c>
      <c r="P43" s="51" t="str">
        <f>IFERROR(IF(AND(booking!AB43&gt;0,booking!P43&lt;&gt;booking!Q43),VLOOKUP(booking!Q43,Database!$A$1:'Database'!$L$175,9,FALSE),"-"),"-")</f>
        <v>-</v>
      </c>
      <c r="Q43" s="55" t="str">
        <f>IF(AND(booking!T43&lt;&gt;booking!U43,booking!T43&gt;0),"udc","-")</f>
        <v>-</v>
      </c>
      <c r="R43" s="51" t="str">
        <f>IFERROR(IF(AND(booking!AB43&gt;0,booking!T43&lt;&gt;booking!U43),VLOOKUP(booking!U43,Database!$A$1:'Database'!$L$175,6,FALSE),"-"),"-")</f>
        <v>-</v>
      </c>
      <c r="S43" s="51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6">
        <f>booking!C44</f>
        <v>46545</v>
      </c>
      <c r="D44" s="2" t="str">
        <f>IF(booking!AC44&gt;0,"Y","-")</f>
        <v>-</v>
      </c>
      <c r="E44" s="55" t="str">
        <f>IF(AND(booking!D44&lt;&gt;booking!E44,booking!D44&gt;0),"udc","-")</f>
        <v>-</v>
      </c>
      <c r="F44" s="51" t="str">
        <f>IFERROR(IF(AND(booking!AB44&gt;0,booking!D44&lt;&gt;booking!E44),VLOOKUP(booking!E44,Database!$A$1:'Database'!$L$175,6,FALSE),"-"),"-")</f>
        <v>-</v>
      </c>
      <c r="G44" s="51" t="str">
        <f>IFERROR(IF(AND(booking!AB44&gt;0,booking!D44&lt;&gt;booking!E44),VLOOKUP(booking!E44,Database!$A$1:'Database'!$L$175,9,FALSE),"-"),"-")</f>
        <v>-</v>
      </c>
      <c r="H44" s="55" t="str">
        <f>IF(AND(booking!H44&lt;&gt;booking!I44,booking!H44&gt;0),"udc","-")</f>
        <v>-</v>
      </c>
      <c r="I44" s="51" t="str">
        <f>IFERROR(IF(AND(booking!AB44&gt;0,booking!H44&lt;&gt;booking!I44),VLOOKUP(booking!I44,Database!$A$1:'Database'!$L$175,6,FALSE),"-"),"-")</f>
        <v>-</v>
      </c>
      <c r="J44" s="51" t="str">
        <f>IFERROR(IF(AND(booking!AB44&gt;0,booking!H44&lt;&gt;booking!I44),VLOOKUP(booking!I44,Database!$A$1:'Database'!$L$175,9,FALSE),"-"),"-")</f>
        <v>-</v>
      </c>
      <c r="K44" s="55" t="str">
        <f>IF(AND(booking!L44&lt;&gt;booking!M44,booking!L44&gt;0),"udc","-")</f>
        <v>-</v>
      </c>
      <c r="L44" s="51" t="str">
        <f>IFERROR(IF(AND(booking!AB44&gt;0,booking!L44&lt;&gt;booking!M44),VLOOKUP(booking!M44,Database!$A$1:'Database'!$L$175,6,FALSE),"-"),"-")</f>
        <v>-</v>
      </c>
      <c r="M44" s="51" t="str">
        <f>IFERROR(IF(AND(booking!AB44&gt;0,booking!L44&lt;&gt;booking!M44),VLOOKUP(booking!M44,Database!A43:'Database'!L217,9,FALSE),"-"),"-")</f>
        <v>-</v>
      </c>
      <c r="N44" s="55" t="str">
        <f>IF(AND(booking!P44&lt;&gt;booking!Q44,booking!P44&gt;0),"udc","-")</f>
        <v>-</v>
      </c>
      <c r="O44" s="51" t="str">
        <f>IFERROR(IF(AND(booking!AB44&gt;0,booking!P44&lt;&gt;booking!Q44),VLOOKUP(booking!Q44,Database!$A$1:'Database'!$L$175,6,FALSE),"-"),"-")</f>
        <v>-</v>
      </c>
      <c r="P44" s="51" t="str">
        <f>IFERROR(IF(AND(booking!AB44&gt;0,booking!P44&lt;&gt;booking!Q44),VLOOKUP(booking!Q44,Database!$A$1:'Database'!$L$175,9,FALSE),"-"),"-")</f>
        <v>-</v>
      </c>
      <c r="Q44" s="55" t="str">
        <f>IF(AND(booking!T44&lt;&gt;booking!U44,booking!T44&gt;0),"udc","-")</f>
        <v>-</v>
      </c>
      <c r="R44" s="51" t="str">
        <f>IFERROR(IF(AND(booking!AB44&gt;0,booking!T44&lt;&gt;booking!U44),VLOOKUP(booking!U44,Database!$A$1:'Database'!$L$175,6,FALSE),"-"),"-")</f>
        <v>-</v>
      </c>
      <c r="S44" s="51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6">
        <f>booking!C45</f>
        <v>46546</v>
      </c>
      <c r="D45" s="2" t="str">
        <f>IF(booking!AC45&gt;0,"Y","-")</f>
        <v>-</v>
      </c>
      <c r="E45" s="55" t="str">
        <f>IF(AND(booking!D45&lt;&gt;booking!E45,booking!D45&gt;0),"udc","-")</f>
        <v>-</v>
      </c>
      <c r="F45" s="51" t="str">
        <f>IFERROR(IF(AND(booking!AB45&gt;0,booking!D45&lt;&gt;booking!E45),VLOOKUP(booking!E45,Database!$A$1:'Database'!$L$175,6,FALSE),"-"),"-")</f>
        <v>-</v>
      </c>
      <c r="G45" s="51" t="str">
        <f>IFERROR(IF(AND(booking!AB45&gt;0,booking!D45&lt;&gt;booking!E45),VLOOKUP(booking!E45,Database!$A$1:'Database'!$L$175,9,FALSE),"-"),"-")</f>
        <v>-</v>
      </c>
      <c r="H45" s="55" t="str">
        <f>IF(AND(booking!H45&lt;&gt;booking!I45,booking!H45&gt;0),"udc","-")</f>
        <v>-</v>
      </c>
      <c r="I45" s="51" t="str">
        <f>IFERROR(IF(AND(booking!AB45&gt;0,booking!H45&lt;&gt;booking!I45),VLOOKUP(booking!I45,Database!$A$1:'Database'!$L$175,6,FALSE),"-"),"-")</f>
        <v>-</v>
      </c>
      <c r="J45" s="51" t="str">
        <f>IFERROR(IF(AND(booking!AB45&gt;0,booking!H45&lt;&gt;booking!I45),VLOOKUP(booking!I45,Database!$A$1:'Database'!$L$175,9,FALSE),"-"),"-")</f>
        <v>-</v>
      </c>
      <c r="K45" s="55" t="str">
        <f>IF(AND(booking!L45&lt;&gt;booking!M45,booking!L45&gt;0),"udc","-")</f>
        <v>-</v>
      </c>
      <c r="L45" s="51" t="str">
        <f>IFERROR(IF(AND(booking!AB45&gt;0,booking!L45&lt;&gt;booking!M45),VLOOKUP(booking!M45,Database!$A$1:'Database'!$L$175,6,FALSE),"-"),"-")</f>
        <v>-</v>
      </c>
      <c r="M45" s="51" t="str">
        <f>IFERROR(IF(AND(booking!AB45&gt;0,booking!L45&lt;&gt;booking!M45),VLOOKUP(booking!M45,Database!A44:'Database'!L218,9,FALSE),"-"),"-")</f>
        <v>-</v>
      </c>
      <c r="N45" s="55" t="str">
        <f>IF(AND(booking!P45&lt;&gt;booking!Q45,booking!P45&gt;0),"udc","-")</f>
        <v>-</v>
      </c>
      <c r="O45" s="51" t="str">
        <f>IFERROR(IF(AND(booking!AB45&gt;0,booking!P45&lt;&gt;booking!Q45),VLOOKUP(booking!Q45,Database!$A$1:'Database'!$L$175,6,FALSE),"-"),"-")</f>
        <v>-</v>
      </c>
      <c r="P45" s="51" t="str">
        <f>IFERROR(IF(AND(booking!AB45&gt;0,booking!P45&lt;&gt;booking!Q45),VLOOKUP(booking!Q45,Database!$A$1:'Database'!$L$175,9,FALSE),"-"),"-")</f>
        <v>-</v>
      </c>
      <c r="Q45" s="55" t="str">
        <f>IF(AND(booking!T45&lt;&gt;booking!U45,booking!T45&gt;0),"udc","-")</f>
        <v>-</v>
      </c>
      <c r="R45" s="51" t="str">
        <f>IFERROR(IF(AND(booking!AB45&gt;0,booking!T45&lt;&gt;booking!U45),VLOOKUP(booking!U45,Database!$A$1:'Database'!$L$175,6,FALSE),"-"),"-")</f>
        <v>-</v>
      </c>
      <c r="S45" s="51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6">
        <f>booking!C46</f>
        <v>46547</v>
      </c>
      <c r="D46" s="2" t="str">
        <f>IF(booking!AC46&gt;0,"Y","-")</f>
        <v>-</v>
      </c>
      <c r="E46" s="55" t="str">
        <f>IF(AND(booking!D46&lt;&gt;booking!E46,booking!D46&gt;0),"udc","-")</f>
        <v>-</v>
      </c>
      <c r="F46" s="51" t="str">
        <f>IFERROR(IF(AND(booking!AB46&gt;0,booking!D46&lt;&gt;booking!E46),VLOOKUP(booking!E46,Database!$A$1:'Database'!$L$175,6,FALSE),"-"),"-")</f>
        <v>-</v>
      </c>
      <c r="G46" s="51" t="str">
        <f>IFERROR(IF(AND(booking!AB46&gt;0,booking!D46&lt;&gt;booking!E46),VLOOKUP(booking!E46,Database!$A$1:'Database'!$L$175,9,FALSE),"-"),"-")</f>
        <v>-</v>
      </c>
      <c r="H46" s="55" t="str">
        <f>IF(AND(booking!H46&lt;&gt;booking!I46,booking!H46&gt;0),"udc","-")</f>
        <v>-</v>
      </c>
      <c r="I46" s="51" t="str">
        <f>IFERROR(IF(AND(booking!AB46&gt;0,booking!H46&lt;&gt;booking!I46),VLOOKUP(booking!I46,Database!$A$1:'Database'!$L$175,6,FALSE),"-"),"-")</f>
        <v>-</v>
      </c>
      <c r="J46" s="51" t="str">
        <f>IFERROR(IF(AND(booking!AB46&gt;0,booking!H46&lt;&gt;booking!I46),VLOOKUP(booking!I46,Database!$A$1:'Database'!$L$175,9,FALSE),"-"),"-")</f>
        <v>-</v>
      </c>
      <c r="K46" s="55" t="str">
        <f>IF(AND(booking!L46&lt;&gt;booking!M46,booking!L46&gt;0),"udc","-")</f>
        <v>-</v>
      </c>
      <c r="L46" s="51" t="str">
        <f>IFERROR(IF(AND(booking!AB46&gt;0,booking!L46&lt;&gt;booking!M46),VLOOKUP(booking!M46,Database!$A$1:'Database'!$L$175,6,FALSE),"-"),"-")</f>
        <v>-</v>
      </c>
      <c r="M46" s="51" t="str">
        <f>IFERROR(IF(AND(booking!AB46&gt;0,booking!L46&lt;&gt;booking!M46),VLOOKUP(booking!M46,Database!A45:'Database'!L219,9,FALSE),"-"),"-")</f>
        <v>-</v>
      </c>
      <c r="N46" s="55" t="str">
        <f>IF(AND(booking!P46&lt;&gt;booking!Q46,booking!P46&gt;0),"udc","-")</f>
        <v>-</v>
      </c>
      <c r="O46" s="51" t="str">
        <f>IFERROR(IF(AND(booking!AB46&gt;0,booking!P46&lt;&gt;booking!Q46),VLOOKUP(booking!Q46,Database!$A$1:'Database'!$L$175,6,FALSE),"-"),"-")</f>
        <v>-</v>
      </c>
      <c r="P46" s="51" t="str">
        <f>IFERROR(IF(AND(booking!AB46&gt;0,booking!P46&lt;&gt;booking!Q46),VLOOKUP(booking!Q46,Database!$A$1:'Database'!$L$175,9,FALSE),"-"),"-")</f>
        <v>-</v>
      </c>
      <c r="Q46" s="55" t="str">
        <f>IF(AND(booking!T46&lt;&gt;booking!U46,booking!T46&gt;0),"udc","-")</f>
        <v>-</v>
      </c>
      <c r="R46" s="51" t="str">
        <f>IFERROR(IF(AND(booking!AB46&gt;0,booking!T46&lt;&gt;booking!U46),VLOOKUP(booking!U46,Database!$A$1:'Database'!$L$175,6,FALSE),"-"),"-")</f>
        <v>-</v>
      </c>
      <c r="S46" s="51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6">
        <f>booking!C47</f>
        <v>46548</v>
      </c>
      <c r="D47" s="2" t="str">
        <f>IF(booking!AC47&gt;0,"Y","-")</f>
        <v>-</v>
      </c>
      <c r="E47" s="55" t="str">
        <f>IF(AND(booking!D47&lt;&gt;booking!E47,booking!D47&gt;0),"udc","-")</f>
        <v>-</v>
      </c>
      <c r="F47" s="51" t="str">
        <f>IFERROR(IF(AND(booking!AB47&gt;0,booking!D47&lt;&gt;booking!E47),VLOOKUP(booking!E47,Database!$A$1:'Database'!$L$175,6,FALSE),"-"),"-")</f>
        <v>-</v>
      </c>
      <c r="G47" s="51" t="str">
        <f>IFERROR(IF(AND(booking!AB47&gt;0,booking!D47&lt;&gt;booking!E47),VLOOKUP(booking!E47,Database!$A$1:'Database'!$L$175,9,FALSE),"-"),"-")</f>
        <v>-</v>
      </c>
      <c r="H47" s="55" t="str">
        <f>IF(AND(booking!H47&lt;&gt;booking!I47,booking!H47&gt;0),"udc","-")</f>
        <v>-</v>
      </c>
      <c r="I47" s="51" t="str">
        <f>IFERROR(IF(AND(booking!AB47&gt;0,booking!H47&lt;&gt;booking!I47),VLOOKUP(booking!I47,Database!$A$1:'Database'!$L$175,6,FALSE),"-"),"-")</f>
        <v>-</v>
      </c>
      <c r="J47" s="51" t="str">
        <f>IFERROR(IF(AND(booking!AB47&gt;0,booking!H47&lt;&gt;booking!I47),VLOOKUP(booking!I47,Database!$A$1:'Database'!$L$175,9,FALSE),"-"),"-")</f>
        <v>-</v>
      </c>
      <c r="K47" s="55" t="str">
        <f>IF(AND(booking!L47&lt;&gt;booking!M47,booking!L47&gt;0),"udc","-")</f>
        <v>-</v>
      </c>
      <c r="L47" s="51" t="str">
        <f>IFERROR(IF(AND(booking!AB47&gt;0,booking!L47&lt;&gt;booking!M47),VLOOKUP(booking!M47,Database!$A$1:'Database'!$L$175,6,FALSE),"-"),"-")</f>
        <v>-</v>
      </c>
      <c r="M47" s="51" t="str">
        <f>IFERROR(IF(AND(booking!AB47&gt;0,booking!L47&lt;&gt;booking!M47),VLOOKUP(booking!M47,Database!A46:'Database'!L220,9,FALSE),"-"),"-")</f>
        <v>-</v>
      </c>
      <c r="N47" s="55" t="str">
        <f>IF(AND(booking!P47&lt;&gt;booking!Q47,booking!P47&gt;0),"udc","-")</f>
        <v>-</v>
      </c>
      <c r="O47" s="51" t="str">
        <f>IFERROR(IF(AND(booking!AB47&gt;0,booking!P47&lt;&gt;booking!Q47),VLOOKUP(booking!Q47,Database!$A$1:'Database'!$L$175,6,FALSE),"-"),"-")</f>
        <v>-</v>
      </c>
      <c r="P47" s="51" t="str">
        <f>IFERROR(IF(AND(booking!AB47&gt;0,booking!P47&lt;&gt;booking!Q47),VLOOKUP(booking!Q47,Database!$A$1:'Database'!$L$175,9,FALSE),"-"),"-")</f>
        <v>-</v>
      </c>
      <c r="Q47" s="55" t="str">
        <f>IF(AND(booking!T47&lt;&gt;booking!U47,booking!T47&gt;0),"udc","-")</f>
        <v>-</v>
      </c>
      <c r="R47" s="51" t="str">
        <f>IFERROR(IF(AND(booking!AB47&gt;0,booking!T47&lt;&gt;booking!U47),VLOOKUP(booking!U47,Database!$A$1:'Database'!$L$175,6,FALSE),"-"),"-")</f>
        <v>-</v>
      </c>
      <c r="S47" s="51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6">
        <f>booking!C48</f>
        <v>46549</v>
      </c>
      <c r="D48" s="2" t="str">
        <f>IF(booking!AC48&gt;0,"Y","-")</f>
        <v>-</v>
      </c>
      <c r="E48" s="55" t="str">
        <f>IF(AND(booking!D48&lt;&gt;booking!E48,booking!D48&gt;0),"udc","-")</f>
        <v>-</v>
      </c>
      <c r="F48" s="51" t="str">
        <f>IFERROR(IF(AND(booking!AB48&gt;0,booking!D48&lt;&gt;booking!E48),VLOOKUP(booking!E48,Database!$A$1:'Database'!$L$175,6,FALSE),"-"),"-")</f>
        <v>-</v>
      </c>
      <c r="G48" s="51" t="str">
        <f>IFERROR(IF(AND(booking!AB48&gt;0,booking!D48&lt;&gt;booking!E48),VLOOKUP(booking!E48,Database!$A$1:'Database'!$L$175,9,FALSE),"-"),"-")</f>
        <v>-</v>
      </c>
      <c r="H48" s="55" t="str">
        <f>IF(AND(booking!H48&lt;&gt;booking!I48,booking!H48&gt;0),"udc","-")</f>
        <v>-</v>
      </c>
      <c r="I48" s="51" t="str">
        <f>IFERROR(IF(AND(booking!AB48&gt;0,booking!H48&lt;&gt;booking!I48),VLOOKUP(booking!I48,Database!$A$1:'Database'!$L$175,6,FALSE),"-"),"-")</f>
        <v>-</v>
      </c>
      <c r="J48" s="51" t="str">
        <f>IFERROR(IF(AND(booking!AB48&gt;0,booking!H48&lt;&gt;booking!I48),VLOOKUP(booking!I48,Database!$A$1:'Database'!$L$175,9,FALSE),"-"),"-")</f>
        <v>-</v>
      </c>
      <c r="K48" s="55" t="str">
        <f>IF(AND(booking!L48&lt;&gt;booking!M48,booking!L48&gt;0),"udc","-")</f>
        <v>-</v>
      </c>
      <c r="L48" s="51" t="str">
        <f>IFERROR(IF(AND(booking!AB48&gt;0,booking!L48&lt;&gt;booking!M48),VLOOKUP(booking!M48,Database!$A$1:'Database'!$L$175,6,FALSE),"-"),"-")</f>
        <v>-</v>
      </c>
      <c r="M48" s="51" t="str">
        <f>IFERROR(IF(AND(booking!AB48&gt;0,booking!L48&lt;&gt;booking!M48),VLOOKUP(booking!M48,Database!A47:'Database'!L221,9,FALSE),"-"),"-")</f>
        <v>-</v>
      </c>
      <c r="N48" s="55" t="str">
        <f>IF(AND(booking!P48&lt;&gt;booking!Q48,booking!P48&gt;0),"udc","-")</f>
        <v>-</v>
      </c>
      <c r="O48" s="51" t="str">
        <f>IFERROR(IF(AND(booking!AB48&gt;0,booking!P48&lt;&gt;booking!Q48),VLOOKUP(booking!Q48,Database!$A$1:'Database'!$L$175,6,FALSE),"-"),"-")</f>
        <v>-</v>
      </c>
      <c r="P48" s="51" t="str">
        <f>IFERROR(IF(AND(booking!AB48&gt;0,booking!P48&lt;&gt;booking!Q48),VLOOKUP(booking!Q48,Database!$A$1:'Database'!$L$175,9,FALSE),"-"),"-")</f>
        <v>-</v>
      </c>
      <c r="Q48" s="55" t="str">
        <f>IF(AND(booking!T48&lt;&gt;booking!U48,booking!T48&gt;0),"udc","-")</f>
        <v>-</v>
      </c>
      <c r="R48" s="51" t="str">
        <f>IFERROR(IF(AND(booking!AB48&gt;0,booking!T48&lt;&gt;booking!U48),VLOOKUP(booking!U48,Database!$A$1:'Database'!$L$175,6,FALSE),"-"),"-")</f>
        <v>-</v>
      </c>
      <c r="S48" s="51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6">
        <f>booking!C49</f>
        <v>46550</v>
      </c>
      <c r="D49" s="2" t="str">
        <f>IF(booking!AC49&gt;0,"Y","-")</f>
        <v>-</v>
      </c>
      <c r="E49" s="55" t="str">
        <f>IF(AND(booking!D49&lt;&gt;booking!E49,booking!D49&gt;0),"udc","-")</f>
        <v>-</v>
      </c>
      <c r="F49" s="51" t="str">
        <f>IFERROR(IF(AND(booking!AB49&gt;0,booking!D49&lt;&gt;booking!E49),VLOOKUP(booking!E49,Database!$A$1:'Database'!$L$175,6,FALSE),"-"),"-")</f>
        <v>-</v>
      </c>
      <c r="G49" s="51" t="str">
        <f>IFERROR(IF(AND(booking!AB49&gt;0,booking!D49&lt;&gt;booking!E49),VLOOKUP(booking!E49,Database!$A$1:'Database'!$L$175,9,FALSE),"-"),"-")</f>
        <v>-</v>
      </c>
      <c r="H49" s="55" t="str">
        <f>IF(AND(booking!H49&lt;&gt;booking!I49,booking!H49&gt;0),"udc","-")</f>
        <v>-</v>
      </c>
      <c r="I49" s="51" t="str">
        <f>IFERROR(IF(AND(booking!AB49&gt;0,booking!H49&lt;&gt;booking!I49),VLOOKUP(booking!I49,Database!$A$1:'Database'!$L$175,6,FALSE),"-"),"-")</f>
        <v>-</v>
      </c>
      <c r="J49" s="51" t="str">
        <f>IFERROR(IF(AND(booking!AB49&gt;0,booking!H49&lt;&gt;booking!I49),VLOOKUP(booking!I49,Database!$A$1:'Database'!$L$175,9,FALSE),"-"),"-")</f>
        <v>-</v>
      </c>
      <c r="K49" s="55" t="str">
        <f>IF(AND(booking!L49&lt;&gt;booking!M49,booking!L49&gt;0),"udc","-")</f>
        <v>-</v>
      </c>
      <c r="L49" s="51" t="str">
        <f>IFERROR(IF(AND(booking!AB49&gt;0,booking!L49&lt;&gt;booking!M49),VLOOKUP(booking!M49,Database!$A$1:'Database'!$L$175,6,FALSE),"-"),"-")</f>
        <v>-</v>
      </c>
      <c r="M49" s="51" t="str">
        <f>IFERROR(IF(AND(booking!AB49&gt;0,booking!L49&lt;&gt;booking!M49),VLOOKUP(booking!M49,Database!A48:'Database'!L222,9,FALSE),"-"),"-")</f>
        <v>-</v>
      </c>
      <c r="N49" s="55" t="str">
        <f>IF(AND(booking!P49&lt;&gt;booking!Q49,booking!P49&gt;0),"udc","-")</f>
        <v>-</v>
      </c>
      <c r="O49" s="51" t="str">
        <f>IFERROR(IF(AND(booking!AB49&gt;0,booking!P49&lt;&gt;booking!Q49),VLOOKUP(booking!Q49,Database!$A$1:'Database'!$L$175,6,FALSE),"-"),"-")</f>
        <v>-</v>
      </c>
      <c r="P49" s="51" t="str">
        <f>IFERROR(IF(AND(booking!AB49&gt;0,booking!P49&lt;&gt;booking!Q49),VLOOKUP(booking!Q49,Database!$A$1:'Database'!$L$175,9,FALSE),"-"),"-")</f>
        <v>-</v>
      </c>
      <c r="Q49" s="55" t="str">
        <f>IF(AND(booking!T49&lt;&gt;booking!U49,booking!T49&gt;0),"udc","-")</f>
        <v>-</v>
      </c>
      <c r="R49" s="51" t="str">
        <f>IFERROR(IF(AND(booking!AB49&gt;0,booking!T49&lt;&gt;booking!U49),VLOOKUP(booking!U49,Database!$A$1:'Database'!$L$175,6,FALSE),"-"),"-")</f>
        <v>-</v>
      </c>
      <c r="S49" s="51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8" t="str">
        <f>booking!B50</f>
        <v>søndag</v>
      </c>
      <c r="B50" s="49">
        <f>booking!C50</f>
        <v>46551</v>
      </c>
      <c r="C50" s="48"/>
      <c r="D50" s="50" t="str">
        <f>IF(booking!AC50&gt;0,"Y","-")</f>
        <v>-</v>
      </c>
      <c r="E50" s="55" t="str">
        <f>IF(AND(booking!D50&lt;&gt;booking!E50,booking!D50&gt;0),"udc","-")</f>
        <v>-</v>
      </c>
      <c r="F50" s="51" t="str">
        <f>IFERROR(IF(AND(booking!AB50&gt;0,booking!D50&lt;&gt;booking!E50),VLOOKUP(booking!E50,Database!$A$1:'Database'!$L$175,6,FALSE),"-"),"-")</f>
        <v>-</v>
      </c>
      <c r="G50" s="51" t="str">
        <f>IFERROR(IF(AND(booking!AB50&gt;0,booking!D50&lt;&gt;booking!E50),VLOOKUP(booking!E50,Database!$A$1:'Database'!$L$175,9,FALSE),"-"),"-")</f>
        <v>-</v>
      </c>
      <c r="H50" s="55" t="str">
        <f>IF(AND(booking!H50&lt;&gt;booking!I50,booking!H50&gt;0),"udc","-")</f>
        <v>-</v>
      </c>
      <c r="I50" s="51" t="str">
        <f>IFERROR(IF(AND(booking!AB50&gt;0,booking!H50&lt;&gt;booking!I50),VLOOKUP(booking!I50,Database!$A$1:'Database'!$L$175,6,FALSE),"-"),"-")</f>
        <v>-</v>
      </c>
      <c r="J50" s="51" t="str">
        <f>IFERROR(IF(AND(booking!AB50&gt;0,booking!H50&lt;&gt;booking!I50),VLOOKUP(booking!I50,Database!$A$1:'Database'!$L$175,9,FALSE),"-"),"-")</f>
        <v>-</v>
      </c>
      <c r="K50" s="55" t="str">
        <f>IF(AND(booking!L50&lt;&gt;booking!M50,booking!L50&gt;0),"udc","-")</f>
        <v>-</v>
      </c>
      <c r="L50" s="51" t="str">
        <f>IFERROR(IF(AND(booking!AB50&gt;0,booking!L50&lt;&gt;booking!M50),VLOOKUP(booking!M50,Database!$A$1:'Database'!$L$175,6,FALSE),"-"),"-")</f>
        <v>-</v>
      </c>
      <c r="M50" s="51" t="str">
        <f>IFERROR(IF(AND(booking!AB50&gt;0,booking!L50&lt;&gt;booking!M50),VLOOKUP(booking!M50,Database!A49:'Database'!L223,9,FALSE),"-"),"-")</f>
        <v>-</v>
      </c>
      <c r="N50" s="55" t="str">
        <f>IF(AND(booking!P50&lt;&gt;booking!Q50,booking!P50&gt;0),"udc","-")</f>
        <v>-</v>
      </c>
      <c r="O50" s="51" t="str">
        <f>IFERROR(IF(AND(booking!AB50&gt;0,booking!P50&lt;&gt;booking!Q50),VLOOKUP(booking!Q50,Database!$A$1:'Database'!$L$175,6,FALSE),"-"),"-")</f>
        <v>-</v>
      </c>
      <c r="P50" s="51" t="str">
        <f>IFERROR(IF(AND(booking!AB50&gt;0,booking!P50&lt;&gt;booking!Q50),VLOOKUP(booking!Q50,Database!$A$1:'Database'!$L$175,9,FALSE),"-"),"-")</f>
        <v>-</v>
      </c>
      <c r="Q50" s="55" t="str">
        <f>IF(AND(booking!T50&lt;&gt;booking!U50,booking!T50&gt;0),"udc","-")</f>
        <v>-</v>
      </c>
      <c r="R50" s="51" t="str">
        <f>IFERROR(IF(AND(booking!AB50&gt;0,booking!T50&lt;&gt;booking!U50),VLOOKUP(booking!U50,Database!$A$1:'Database'!$L$175,6,FALSE),"-"),"-")</f>
        <v>-</v>
      </c>
      <c r="S50" s="51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6">
        <f>booking!C51</f>
        <v>46552</v>
      </c>
      <c r="D51" s="2" t="str">
        <f>IF(booking!AC51&gt;0,"Y","-")</f>
        <v>-</v>
      </c>
      <c r="E51" s="55" t="str">
        <f>IF(AND(booking!D51&lt;&gt;booking!E51,booking!D51&gt;0),"udc","-")</f>
        <v>-</v>
      </c>
      <c r="F51" s="51" t="str">
        <f>IFERROR(IF(AND(booking!AB51&gt;0,booking!D51&lt;&gt;booking!E51),VLOOKUP(booking!E51,Database!$A$1:'Database'!$L$175,6,FALSE),"-"),"-")</f>
        <v>-</v>
      </c>
      <c r="G51" s="51" t="str">
        <f>IFERROR(IF(AND(booking!AB51&gt;0,booking!D51&lt;&gt;booking!E51),VLOOKUP(booking!E51,Database!$A$1:'Database'!$L$175,9,FALSE),"-"),"-")</f>
        <v>-</v>
      </c>
      <c r="H51" s="55" t="str">
        <f>IF(AND(booking!H51&lt;&gt;booking!I51,booking!H51&gt;0),"udc","-")</f>
        <v>-</v>
      </c>
      <c r="I51" s="51" t="str">
        <f>IFERROR(IF(AND(booking!AB51&gt;0,booking!H51&lt;&gt;booking!I51),VLOOKUP(booking!I51,Database!$A$1:'Database'!$L$175,6,FALSE),"-"),"-")</f>
        <v>-</v>
      </c>
      <c r="J51" s="51" t="str">
        <f>IFERROR(IF(AND(booking!AB51&gt;0,booking!H51&lt;&gt;booking!I51),VLOOKUP(booking!I51,Database!$A$1:'Database'!$L$175,9,FALSE),"-"),"-")</f>
        <v>-</v>
      </c>
      <c r="K51" s="55" t="str">
        <f>IF(AND(booking!L51&lt;&gt;booking!M51,booking!L51&gt;0),"udc","-")</f>
        <v>-</v>
      </c>
      <c r="L51" s="51" t="str">
        <f>IFERROR(IF(AND(booking!AB51&gt;0,booking!L51&lt;&gt;booking!M51),VLOOKUP(booking!M51,Database!$A$1:'Database'!$L$175,6,FALSE),"-"),"-")</f>
        <v>-</v>
      </c>
      <c r="M51" s="51" t="str">
        <f>IFERROR(IF(AND(booking!AB51&gt;0,booking!L51&lt;&gt;booking!M51),VLOOKUP(booking!M51,Database!A50:'Database'!L224,9,FALSE),"-"),"-")</f>
        <v>-</v>
      </c>
      <c r="N51" s="55" t="str">
        <f>IF(AND(booking!P51&lt;&gt;booking!Q51,booking!P51&gt;0),"udc","-")</f>
        <v>-</v>
      </c>
      <c r="O51" s="51" t="str">
        <f>IFERROR(IF(AND(booking!AB51&gt;0,booking!P51&lt;&gt;booking!Q51),VLOOKUP(booking!Q51,Database!$A$1:'Database'!$L$175,6,FALSE),"-"),"-")</f>
        <v>-</v>
      </c>
      <c r="P51" s="51" t="str">
        <f>IFERROR(IF(AND(booking!AB51&gt;0,booking!P51&lt;&gt;booking!Q51),VLOOKUP(booking!Q51,Database!$A$1:'Database'!$L$175,9,FALSE),"-"),"-")</f>
        <v>-</v>
      </c>
      <c r="Q51" s="55" t="str">
        <f>IF(AND(booking!T51&lt;&gt;booking!U51,booking!T51&gt;0),"udc","-")</f>
        <v>-</v>
      </c>
      <c r="R51" s="51" t="str">
        <f>IFERROR(IF(AND(booking!AB51&gt;0,booking!T51&lt;&gt;booking!U51),VLOOKUP(booking!U51,Database!$A$1:'Database'!$L$175,6,FALSE),"-"),"-")</f>
        <v>-</v>
      </c>
      <c r="S51" s="51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6">
        <f>booking!C52</f>
        <v>46553</v>
      </c>
      <c r="D52" s="2" t="str">
        <f>IF(booking!AC52&gt;0,"Y","-")</f>
        <v>-</v>
      </c>
      <c r="E52" s="55" t="str">
        <f>IF(AND(booking!D52&lt;&gt;booking!E52,booking!D52&gt;0),"udc","-")</f>
        <v>-</v>
      </c>
      <c r="F52" s="51" t="str">
        <f>IFERROR(IF(AND(booking!AB52&gt;0,booking!D52&lt;&gt;booking!E52),VLOOKUP(booking!E52,Database!$A$1:'Database'!$L$175,6,FALSE),"-"),"-")</f>
        <v>-</v>
      </c>
      <c r="G52" s="51" t="str">
        <f>IFERROR(IF(AND(booking!AB52&gt;0,booking!D52&lt;&gt;booking!E52),VLOOKUP(booking!E52,Database!$A$1:'Database'!$L$175,9,FALSE),"-"),"-")</f>
        <v>-</v>
      </c>
      <c r="H52" s="55" t="str">
        <f>IF(AND(booking!H52&lt;&gt;booking!I52,booking!H52&gt;0),"udc","-")</f>
        <v>-</v>
      </c>
      <c r="I52" s="51" t="str">
        <f>IFERROR(IF(AND(booking!AB52&gt;0,booking!H52&lt;&gt;booking!I52),VLOOKUP(booking!I52,Database!$A$1:'Database'!$L$175,6,FALSE),"-"),"-")</f>
        <v>-</v>
      </c>
      <c r="J52" s="51" t="str">
        <f>IFERROR(IF(AND(booking!AB52&gt;0,booking!H52&lt;&gt;booking!I52),VLOOKUP(booking!I52,Database!$A$1:'Database'!$L$175,9,FALSE),"-"),"-")</f>
        <v>-</v>
      </c>
      <c r="K52" s="55" t="str">
        <f>IF(AND(booking!L52&lt;&gt;booking!M52,booking!L52&gt;0),"udc","-")</f>
        <v>-</v>
      </c>
      <c r="L52" s="51" t="str">
        <f>IFERROR(IF(AND(booking!AB52&gt;0,booking!L52&lt;&gt;booking!M52),VLOOKUP(booking!M52,Database!$A$1:'Database'!$L$175,6,FALSE),"-"),"-")</f>
        <v>-</v>
      </c>
      <c r="M52" s="51" t="str">
        <f>IFERROR(IF(AND(booking!AB52&gt;0,booking!L52&lt;&gt;booking!M52),VLOOKUP(booking!M52,Database!A51:'Database'!L225,9,FALSE),"-"),"-")</f>
        <v>-</v>
      </c>
      <c r="N52" s="55" t="str">
        <f>IF(AND(booking!P52&lt;&gt;booking!Q52,booking!P52&gt;0),"udc","-")</f>
        <v>-</v>
      </c>
      <c r="O52" s="51" t="str">
        <f>IFERROR(IF(AND(booking!AB52&gt;0,booking!P52&lt;&gt;booking!Q52),VLOOKUP(booking!Q52,Database!$A$1:'Database'!$L$175,6,FALSE),"-"),"-")</f>
        <v>-</v>
      </c>
      <c r="P52" s="51" t="str">
        <f>IFERROR(IF(AND(booking!AB52&gt;0,booking!P52&lt;&gt;booking!Q52),VLOOKUP(booking!Q52,Database!$A$1:'Database'!$L$175,9,FALSE),"-"),"-")</f>
        <v>-</v>
      </c>
      <c r="Q52" s="55" t="str">
        <f>IF(AND(booking!T52&lt;&gt;booking!U52,booking!T52&gt;0),"udc","-")</f>
        <v>-</v>
      </c>
      <c r="R52" s="51" t="str">
        <f>IFERROR(IF(AND(booking!AB52&gt;0,booking!T52&lt;&gt;booking!U52),VLOOKUP(booking!U52,Database!$A$1:'Database'!$L$175,6,FALSE),"-"),"-")</f>
        <v>-</v>
      </c>
      <c r="S52" s="51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6">
        <f>booking!C53</f>
        <v>46554</v>
      </c>
      <c r="D53" s="2" t="str">
        <f>IF(booking!AC53&gt;0,"Y","-")</f>
        <v>-</v>
      </c>
      <c r="E53" s="55" t="str">
        <f>IF(AND(booking!D53&lt;&gt;booking!E53,booking!D53&gt;0),"udc","-")</f>
        <v>-</v>
      </c>
      <c r="F53" s="51" t="str">
        <f>IFERROR(IF(AND(booking!AB53&gt;0,booking!D53&lt;&gt;booking!E53),VLOOKUP(booking!E53,Database!$A$1:'Database'!$L$175,6,FALSE),"-"),"-")</f>
        <v>-</v>
      </c>
      <c r="G53" s="51" t="str">
        <f>IFERROR(IF(AND(booking!AB53&gt;0,booking!D53&lt;&gt;booking!E53),VLOOKUP(booking!E53,Database!$A$1:'Database'!$L$175,9,FALSE),"-"),"-")</f>
        <v>-</v>
      </c>
      <c r="H53" s="55" t="str">
        <f>IF(AND(booking!H53&lt;&gt;booking!I53,booking!H53&gt;0),"udc","-")</f>
        <v>-</v>
      </c>
      <c r="I53" s="51" t="str">
        <f>IFERROR(IF(AND(booking!AB53&gt;0,booking!H53&lt;&gt;booking!I53),VLOOKUP(booking!I53,Database!$A$1:'Database'!$L$175,6,FALSE),"-"),"-")</f>
        <v>-</v>
      </c>
      <c r="J53" s="51" t="str">
        <f>IFERROR(IF(AND(booking!AB53&gt;0,booking!H53&lt;&gt;booking!I53),VLOOKUP(booking!I53,Database!$A$1:'Database'!$L$175,9,FALSE),"-"),"-")</f>
        <v>-</v>
      </c>
      <c r="K53" s="55" t="str">
        <f>IF(AND(booking!L53&lt;&gt;booking!M53,booking!L53&gt;0),"udc","-")</f>
        <v>-</v>
      </c>
      <c r="L53" s="51" t="str">
        <f>IFERROR(IF(AND(booking!AB53&gt;0,booking!L53&lt;&gt;booking!M53),VLOOKUP(booking!M53,Database!$A$1:'Database'!$L$175,6,FALSE),"-"),"-")</f>
        <v>-</v>
      </c>
      <c r="M53" s="51" t="str">
        <f>IFERROR(IF(AND(booking!AB53&gt;0,booking!L53&lt;&gt;booking!M53),VLOOKUP(booking!M53,Database!A52:'Database'!L226,9,FALSE),"-"),"-")</f>
        <v>-</v>
      </c>
      <c r="N53" s="55" t="str">
        <f>IF(AND(booking!P53&lt;&gt;booking!Q53,booking!P53&gt;0),"udc","-")</f>
        <v>-</v>
      </c>
      <c r="O53" s="51" t="str">
        <f>IFERROR(IF(AND(booking!AB53&gt;0,booking!P53&lt;&gt;booking!Q53),VLOOKUP(booking!Q53,Database!$A$1:'Database'!$L$175,6,FALSE),"-"),"-")</f>
        <v>-</v>
      </c>
      <c r="P53" s="51" t="str">
        <f>IFERROR(IF(AND(booking!AB53&gt;0,booking!P53&lt;&gt;booking!Q53),VLOOKUP(booking!Q53,Database!$A$1:'Database'!$L$175,9,FALSE),"-"),"-")</f>
        <v>-</v>
      </c>
      <c r="Q53" s="55" t="str">
        <f>IF(AND(booking!T53&lt;&gt;booking!U53,booking!T53&gt;0),"udc","-")</f>
        <v>-</v>
      </c>
      <c r="R53" s="51" t="str">
        <f>IFERROR(IF(AND(booking!AB53&gt;0,booking!T53&lt;&gt;booking!U53),VLOOKUP(booking!U53,Database!$A$1:'Database'!$L$175,6,FALSE),"-"),"-")</f>
        <v>-</v>
      </c>
      <c r="S53" s="51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6">
        <f>booking!C54</f>
        <v>46555</v>
      </c>
      <c r="D54" s="2" t="str">
        <f>IF(booking!AC54&gt;0,"Y","-")</f>
        <v>-</v>
      </c>
      <c r="E54" s="55" t="str">
        <f>IF(AND(booking!D54&lt;&gt;booking!E54,booking!D54&gt;0),"udc","-")</f>
        <v>-</v>
      </c>
      <c r="F54" s="51" t="str">
        <f>IFERROR(IF(AND(booking!AB54&gt;0,booking!D54&lt;&gt;booking!E54),VLOOKUP(booking!E54,Database!$A$1:'Database'!$L$175,6,FALSE),"-"),"-")</f>
        <v>-</v>
      </c>
      <c r="G54" s="51" t="str">
        <f>IFERROR(IF(AND(booking!AB54&gt;0,booking!D54&lt;&gt;booking!E54),VLOOKUP(booking!E54,Database!$A$1:'Database'!$L$175,9,FALSE),"-"),"-")</f>
        <v>-</v>
      </c>
      <c r="H54" s="55" t="str">
        <f>IF(AND(booking!H54&lt;&gt;booking!I54,booking!H54&gt;0),"udc","-")</f>
        <v>-</v>
      </c>
      <c r="I54" s="51" t="str">
        <f>IFERROR(IF(AND(booking!AB54&gt;0,booking!H54&lt;&gt;booking!I54),VLOOKUP(booking!I54,Database!$A$1:'Database'!$L$175,6,FALSE),"-"),"-")</f>
        <v>-</v>
      </c>
      <c r="J54" s="51" t="str">
        <f>IFERROR(IF(AND(booking!AB54&gt;0,booking!H54&lt;&gt;booking!I54),VLOOKUP(booking!I54,Database!$A$1:'Database'!$L$175,9,FALSE),"-"),"-")</f>
        <v>-</v>
      </c>
      <c r="K54" s="55" t="str">
        <f>IF(AND(booking!L54&lt;&gt;booking!M54,booking!L54&gt;0),"udc","-")</f>
        <v>-</v>
      </c>
      <c r="L54" s="51" t="str">
        <f>IFERROR(IF(AND(booking!AB54&gt;0,booking!L54&lt;&gt;booking!M54),VLOOKUP(booking!M54,Database!$A$1:'Database'!$L$175,6,FALSE),"-"),"-")</f>
        <v>-</v>
      </c>
      <c r="M54" s="51" t="str">
        <f>IFERROR(IF(AND(booking!AB54&gt;0,booking!L54&lt;&gt;booking!M54),VLOOKUP(booking!M54,Database!A53:'Database'!L227,9,FALSE),"-"),"-")</f>
        <v>-</v>
      </c>
      <c r="N54" s="55" t="str">
        <f>IF(AND(booking!P54&lt;&gt;booking!Q54,booking!P54&gt;0),"udc","-")</f>
        <v>-</v>
      </c>
      <c r="O54" s="51" t="str">
        <f>IFERROR(IF(AND(booking!AB54&gt;0,booking!P54&lt;&gt;booking!Q54),VLOOKUP(booking!Q54,Database!$A$1:'Database'!$L$175,6,FALSE),"-"),"-")</f>
        <v>-</v>
      </c>
      <c r="P54" s="51" t="str">
        <f>IFERROR(IF(AND(booking!AB54&gt;0,booking!P54&lt;&gt;booking!Q54),VLOOKUP(booking!Q54,Database!$A$1:'Database'!$L$175,9,FALSE),"-"),"-")</f>
        <v>-</v>
      </c>
      <c r="Q54" s="55" t="str">
        <f>IF(AND(booking!T54&lt;&gt;booking!U54,booking!T54&gt;0),"udc","-")</f>
        <v>-</v>
      </c>
      <c r="R54" s="51" t="str">
        <f>IFERROR(IF(AND(booking!AB54&gt;0,booking!T54&lt;&gt;booking!U54),VLOOKUP(booking!U54,Database!$A$1:'Database'!$L$175,6,FALSE),"-"),"-")</f>
        <v>-</v>
      </c>
      <c r="S54" s="51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6">
        <f>booking!C55</f>
        <v>46556</v>
      </c>
      <c r="D55" s="2" t="str">
        <f>IF(booking!AC55&gt;0,"Y","-")</f>
        <v>-</v>
      </c>
      <c r="E55" s="55" t="str">
        <f>IF(AND(booking!D55&lt;&gt;booking!E55,booking!D55&gt;0),"udc","-")</f>
        <v>-</v>
      </c>
      <c r="F55" s="51" t="str">
        <f>IFERROR(IF(AND(booking!AB55&gt;0,booking!D55&lt;&gt;booking!E55),VLOOKUP(booking!E55,Database!$A$1:'Database'!$L$175,6,FALSE),"-"),"-")</f>
        <v>-</v>
      </c>
      <c r="G55" s="51" t="str">
        <f>IFERROR(IF(AND(booking!AB55&gt;0,booking!D55&lt;&gt;booking!E55),VLOOKUP(booking!E55,Database!$A$1:'Database'!$L$175,9,FALSE),"-"),"-")</f>
        <v>-</v>
      </c>
      <c r="H55" s="55" t="str">
        <f>IF(AND(booking!H55&lt;&gt;booking!I55,booking!H55&gt;0),"udc","-")</f>
        <v>-</v>
      </c>
      <c r="I55" s="51" t="str">
        <f>IFERROR(IF(AND(booking!AB55&gt;0,booking!H55&lt;&gt;booking!I55),VLOOKUP(booking!I55,Database!$A$1:'Database'!$L$175,6,FALSE),"-"),"-")</f>
        <v>-</v>
      </c>
      <c r="J55" s="51" t="str">
        <f>IFERROR(IF(AND(booking!AB55&gt;0,booking!H55&lt;&gt;booking!I55),VLOOKUP(booking!I55,Database!$A$1:'Database'!$L$175,9,FALSE),"-"),"-")</f>
        <v>-</v>
      </c>
      <c r="K55" s="55" t="str">
        <f>IF(AND(booking!L55&lt;&gt;booking!M55,booking!L55&gt;0),"udc","-")</f>
        <v>-</v>
      </c>
      <c r="L55" s="51" t="str">
        <f>IFERROR(IF(AND(booking!AB55&gt;0,booking!L55&lt;&gt;booking!M55),VLOOKUP(booking!M55,Database!$A$1:'Database'!$L$175,6,FALSE),"-"),"-")</f>
        <v>-</v>
      </c>
      <c r="M55" s="51" t="str">
        <f>IFERROR(IF(AND(booking!AB55&gt;0,booking!L55&lt;&gt;booking!M55),VLOOKUP(booking!M55,Database!A54:'Database'!L228,9,FALSE),"-"),"-")</f>
        <v>-</v>
      </c>
      <c r="N55" s="55" t="str">
        <f>IF(AND(booking!P55&lt;&gt;booking!Q55,booking!P55&gt;0),"udc","-")</f>
        <v>-</v>
      </c>
      <c r="O55" s="51" t="str">
        <f>IFERROR(IF(AND(booking!AB55&gt;0,booking!P55&lt;&gt;booking!Q55),VLOOKUP(booking!Q55,Database!$A$1:'Database'!$L$175,6,FALSE),"-"),"-")</f>
        <v>-</v>
      </c>
      <c r="P55" s="51" t="str">
        <f>IFERROR(IF(AND(booking!AB55&gt;0,booking!P55&lt;&gt;booking!Q55),VLOOKUP(booking!Q55,Database!$A$1:'Database'!$L$175,9,FALSE),"-"),"-")</f>
        <v>-</v>
      </c>
      <c r="Q55" s="55" t="str">
        <f>IF(AND(booking!T55&lt;&gt;booking!U55,booking!T55&gt;0),"udc","-")</f>
        <v>-</v>
      </c>
      <c r="R55" s="51" t="str">
        <f>IFERROR(IF(AND(booking!AB55&gt;0,booking!T55&lt;&gt;booking!U55),VLOOKUP(booking!U55,Database!$A$1:'Database'!$L$175,6,FALSE),"-"),"-")</f>
        <v>-</v>
      </c>
      <c r="S55" s="51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6">
        <f>booking!C56</f>
        <v>46557</v>
      </c>
      <c r="D56" s="2" t="str">
        <f>IF(booking!AC56&gt;0,"Y","-")</f>
        <v>-</v>
      </c>
      <c r="E56" s="55" t="str">
        <f>IF(AND(booking!D56&lt;&gt;booking!E56,booking!D56&gt;0),"udc","-")</f>
        <v>-</v>
      </c>
      <c r="F56" s="51" t="str">
        <f>IFERROR(IF(AND(booking!AB56&gt;0,booking!D56&lt;&gt;booking!E56),VLOOKUP(booking!E56,Database!$A$1:'Database'!$L$175,6,FALSE),"-"),"-")</f>
        <v>-</v>
      </c>
      <c r="G56" s="51" t="str">
        <f>IFERROR(IF(AND(booking!AB56&gt;0,booking!D56&lt;&gt;booking!E56),VLOOKUP(booking!E56,Database!$A$1:'Database'!$L$175,9,FALSE),"-"),"-")</f>
        <v>-</v>
      </c>
      <c r="H56" s="55" t="str">
        <f>IF(AND(booking!H56&lt;&gt;booking!I56,booking!H56&gt;0),"udc","-")</f>
        <v>-</v>
      </c>
      <c r="I56" s="51" t="str">
        <f>IFERROR(IF(AND(booking!AB56&gt;0,booking!H56&lt;&gt;booking!I56),VLOOKUP(booking!I56,Database!$A$1:'Database'!$L$175,6,FALSE),"-"),"-")</f>
        <v>-</v>
      </c>
      <c r="J56" s="51" t="str">
        <f>IFERROR(IF(AND(booking!AB56&gt;0,booking!H56&lt;&gt;booking!I56),VLOOKUP(booking!I56,Database!$A$1:'Database'!$L$175,9,FALSE),"-"),"-")</f>
        <v>-</v>
      </c>
      <c r="K56" s="55" t="str">
        <f>IF(AND(booking!L56&lt;&gt;booking!M56,booking!L56&gt;0),"udc","-")</f>
        <v>-</v>
      </c>
      <c r="L56" s="51" t="str">
        <f>IFERROR(IF(AND(booking!AB56&gt;0,booking!L56&lt;&gt;booking!M56),VLOOKUP(booking!M56,Database!$A$1:'Database'!$L$175,6,FALSE),"-"),"-")</f>
        <v>-</v>
      </c>
      <c r="M56" s="51" t="str">
        <f>IFERROR(IF(AND(booking!AB56&gt;0,booking!L56&lt;&gt;booking!M56),VLOOKUP(booking!M56,Database!A55:'Database'!L229,9,FALSE),"-"),"-")</f>
        <v>-</v>
      </c>
      <c r="N56" s="55" t="str">
        <f>IF(AND(booking!P56&lt;&gt;booking!Q56,booking!P56&gt;0),"udc","-")</f>
        <v>-</v>
      </c>
      <c r="O56" s="51" t="str">
        <f>IFERROR(IF(AND(booking!AB56&gt;0,booking!P56&lt;&gt;booking!Q56),VLOOKUP(booking!Q56,Database!$A$1:'Database'!$L$175,6,FALSE),"-"),"-")</f>
        <v>-</v>
      </c>
      <c r="P56" s="51" t="str">
        <f>IFERROR(IF(AND(booking!AB56&gt;0,booking!P56&lt;&gt;booking!Q56),VLOOKUP(booking!Q56,Database!$A$1:'Database'!$L$175,9,FALSE),"-"),"-")</f>
        <v>-</v>
      </c>
      <c r="Q56" s="55" t="str">
        <f>IF(AND(booking!T56&lt;&gt;booking!U56,booking!T56&gt;0),"udc","-")</f>
        <v>-</v>
      </c>
      <c r="R56" s="51" t="str">
        <f>IFERROR(IF(AND(booking!AB56&gt;0,booking!T56&lt;&gt;booking!U56),VLOOKUP(booking!U56,Database!$A$1:'Database'!$L$175,6,FALSE),"-"),"-")</f>
        <v>-</v>
      </c>
      <c r="S56" s="51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8" t="str">
        <f>booking!B57</f>
        <v>søndag</v>
      </c>
      <c r="B57" s="49">
        <f>booking!C57</f>
        <v>46558</v>
      </c>
      <c r="C57" s="48"/>
      <c r="D57" s="50" t="str">
        <f>IF(booking!AC57&gt;0,"Y","-")</f>
        <v>-</v>
      </c>
      <c r="E57" s="55" t="str">
        <f>IF(AND(booking!D57&lt;&gt;booking!E57,booking!D57&gt;0),"udc","-")</f>
        <v>-</v>
      </c>
      <c r="F57" s="51" t="str">
        <f>IFERROR(IF(AND(booking!AB57&gt;0,booking!D57&lt;&gt;booking!E57),VLOOKUP(booking!E57,Database!$A$1:'Database'!$L$175,6,FALSE),"-"),"-")</f>
        <v>-</v>
      </c>
      <c r="G57" s="51" t="str">
        <f>IFERROR(IF(AND(booking!AB57&gt;0,booking!D57&lt;&gt;booking!E57),VLOOKUP(booking!E57,Database!$A$1:'Database'!$L$175,9,FALSE),"-"),"-")</f>
        <v>-</v>
      </c>
      <c r="H57" s="55" t="str">
        <f>IF(AND(booking!H57&lt;&gt;booking!I57,booking!H57&gt;0),"udc","-")</f>
        <v>-</v>
      </c>
      <c r="I57" s="51" t="str">
        <f>IFERROR(IF(AND(booking!AB57&gt;0,booking!H57&lt;&gt;booking!I57),VLOOKUP(booking!I57,Database!$A$1:'Database'!$L$175,6,FALSE),"-"),"-")</f>
        <v>-</v>
      </c>
      <c r="J57" s="51" t="str">
        <f>IFERROR(IF(AND(booking!AB57&gt;0,booking!H57&lt;&gt;booking!I57),VLOOKUP(booking!I57,Database!$A$1:'Database'!$L$175,9,FALSE),"-"),"-")</f>
        <v>-</v>
      </c>
      <c r="K57" s="55" t="str">
        <f>IF(AND(booking!L57&lt;&gt;booking!M57,booking!L57&gt;0),"udc","-")</f>
        <v>-</v>
      </c>
      <c r="L57" s="51" t="str">
        <f>IFERROR(IF(AND(booking!AB57&gt;0,booking!L57&lt;&gt;booking!M57),VLOOKUP(booking!M57,Database!$A$1:'Database'!$L$175,6,FALSE),"-"),"-")</f>
        <v>-</v>
      </c>
      <c r="M57" s="51" t="str">
        <f>IFERROR(IF(AND(booking!AB57&gt;0,booking!L57&lt;&gt;booking!M57),VLOOKUP(booking!M57,Database!A56:'Database'!L230,9,FALSE),"-"),"-")</f>
        <v>-</v>
      </c>
      <c r="N57" s="55" t="str">
        <f>IF(AND(booking!P57&lt;&gt;booking!Q57,booking!P57&gt;0),"udc","-")</f>
        <v>-</v>
      </c>
      <c r="O57" s="51" t="str">
        <f>IFERROR(IF(AND(booking!AB57&gt;0,booking!P57&lt;&gt;booking!Q57),VLOOKUP(booking!Q57,Database!$A$1:'Database'!$L$175,6,FALSE),"-"),"-")</f>
        <v>-</v>
      </c>
      <c r="P57" s="51" t="str">
        <f>IFERROR(IF(AND(booking!AB57&gt;0,booking!P57&lt;&gt;booking!Q57),VLOOKUP(booking!Q57,Database!$A$1:'Database'!$L$175,9,FALSE),"-"),"-")</f>
        <v>-</v>
      </c>
      <c r="Q57" s="55" t="str">
        <f>IF(AND(booking!T57&lt;&gt;booking!U57,booking!T57&gt;0),"udc","-")</f>
        <v>-</v>
      </c>
      <c r="R57" s="51" t="str">
        <f>IFERROR(IF(AND(booking!AB57&gt;0,booking!T57&lt;&gt;booking!U57),VLOOKUP(booking!U57,Database!$A$1:'Database'!$L$175,6,FALSE),"-"),"-")</f>
        <v>-</v>
      </c>
      <c r="S57" s="51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6">
        <f>booking!C58</f>
        <v>46559</v>
      </c>
      <c r="D58" s="2" t="str">
        <f>IF(booking!AC58&gt;0,"Y","-")</f>
        <v>-</v>
      </c>
      <c r="E58" s="55" t="str">
        <f>IF(AND(booking!D58&lt;&gt;booking!E58,booking!D58&gt;0),"udc","-")</f>
        <v>-</v>
      </c>
      <c r="F58" s="51" t="str">
        <f>IFERROR(IF(AND(booking!AB58&gt;0,booking!D58&lt;&gt;booking!E58),VLOOKUP(booking!E58,Database!$A$1:'Database'!$L$175,6,FALSE),"-"),"-")</f>
        <v>-</v>
      </c>
      <c r="G58" s="51" t="str">
        <f>IFERROR(IF(AND(booking!AB58&gt;0,booking!D58&lt;&gt;booking!E58),VLOOKUP(booking!E58,Database!$A$1:'Database'!$L$175,9,FALSE),"-"),"-")</f>
        <v>-</v>
      </c>
      <c r="H58" s="55" t="str">
        <f>IF(AND(booking!H58&lt;&gt;booking!I58,booking!H58&gt;0),"udc","-")</f>
        <v>-</v>
      </c>
      <c r="I58" s="51" t="str">
        <f>IFERROR(IF(AND(booking!AB58&gt;0,booking!H58&lt;&gt;booking!I58),VLOOKUP(booking!I58,Database!$A$1:'Database'!$L$175,6,FALSE),"-"),"-")</f>
        <v>-</v>
      </c>
      <c r="J58" s="51" t="str">
        <f>IFERROR(IF(AND(booking!AB58&gt;0,booking!H58&lt;&gt;booking!I58),VLOOKUP(booking!I58,Database!$A$1:'Database'!$L$175,9,FALSE),"-"),"-")</f>
        <v>-</v>
      </c>
      <c r="K58" s="55" t="str">
        <f>IF(AND(booking!L58&lt;&gt;booking!M58,booking!L58&gt;0),"udc","-")</f>
        <v>-</v>
      </c>
      <c r="L58" s="51" t="str">
        <f>IFERROR(IF(AND(booking!AB58&gt;0,booking!L58&lt;&gt;booking!M58),VLOOKUP(booking!M58,Database!$A$1:'Database'!$L$175,6,FALSE),"-"),"-")</f>
        <v>-</v>
      </c>
      <c r="M58" s="51" t="str">
        <f>IFERROR(IF(AND(booking!AB58&gt;0,booking!L58&lt;&gt;booking!M58),VLOOKUP(booking!M58,Database!A57:'Database'!L231,9,FALSE),"-"),"-")</f>
        <v>-</v>
      </c>
      <c r="N58" s="55" t="str">
        <f>IF(AND(booking!P58&lt;&gt;booking!Q58,booking!P58&gt;0),"udc","-")</f>
        <v>-</v>
      </c>
      <c r="O58" s="51" t="str">
        <f>IFERROR(IF(AND(booking!AB58&gt;0,booking!P58&lt;&gt;booking!Q58),VLOOKUP(booking!Q58,Database!$A$1:'Database'!$L$175,6,FALSE),"-"),"-")</f>
        <v>-</v>
      </c>
      <c r="P58" s="51" t="str">
        <f>IFERROR(IF(AND(booking!AB58&gt;0,booking!P58&lt;&gt;booking!Q58),VLOOKUP(booking!Q58,Database!$A$1:'Database'!$L$175,9,FALSE),"-"),"-")</f>
        <v>-</v>
      </c>
      <c r="Q58" s="55" t="str">
        <f>IF(AND(booking!T58&lt;&gt;booking!U58,booking!T58&gt;0),"udc","-")</f>
        <v>-</v>
      </c>
      <c r="R58" s="51" t="str">
        <f>IFERROR(IF(AND(booking!AB58&gt;0,booking!T58&lt;&gt;booking!U58),VLOOKUP(booking!U58,Database!$A$1:'Database'!$L$175,6,FALSE),"-"),"-")</f>
        <v>-</v>
      </c>
      <c r="S58" s="51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6">
        <f>booking!C59</f>
        <v>46560</v>
      </c>
      <c r="D59" s="2" t="str">
        <f>IF(booking!AC59&gt;0,"Y","-")</f>
        <v>-</v>
      </c>
      <c r="E59" s="55" t="str">
        <f>IF(AND(booking!D59&lt;&gt;booking!E59,booking!D59&gt;0),"udc","-")</f>
        <v>-</v>
      </c>
      <c r="F59" s="51" t="str">
        <f>IFERROR(IF(AND(booking!AB59&gt;0,booking!D59&lt;&gt;booking!E59),VLOOKUP(booking!E59,Database!$A$1:'Database'!$L$175,6,FALSE),"-"),"-")</f>
        <v>-</v>
      </c>
      <c r="G59" s="51" t="str">
        <f>IFERROR(IF(AND(booking!AB59&gt;0,booking!D59&lt;&gt;booking!E59),VLOOKUP(booking!E59,Database!$A$1:'Database'!$L$175,9,FALSE),"-"),"-")</f>
        <v>-</v>
      </c>
      <c r="H59" s="55" t="str">
        <f>IF(AND(booking!H59&lt;&gt;booking!I59,booking!H59&gt;0),"udc","-")</f>
        <v>-</v>
      </c>
      <c r="I59" s="51" t="str">
        <f>IFERROR(IF(AND(booking!AB59&gt;0,booking!H59&lt;&gt;booking!I59),VLOOKUP(booking!I59,Database!$A$1:'Database'!$L$175,6,FALSE),"-"),"-")</f>
        <v>-</v>
      </c>
      <c r="J59" s="51" t="str">
        <f>IFERROR(IF(AND(booking!AB59&gt;0,booking!H59&lt;&gt;booking!I59),VLOOKUP(booking!I59,Database!$A$1:'Database'!$L$175,9,FALSE),"-"),"-")</f>
        <v>-</v>
      </c>
      <c r="K59" s="55" t="str">
        <f>IF(AND(booking!L59&lt;&gt;booking!M59,booking!L59&gt;0),"udc","-")</f>
        <v>-</v>
      </c>
      <c r="L59" s="51" t="str">
        <f>IFERROR(IF(AND(booking!AB59&gt;0,booking!L59&lt;&gt;booking!M59),VLOOKUP(booking!M59,Database!$A$1:'Database'!$L$175,6,FALSE),"-"),"-")</f>
        <v>-</v>
      </c>
      <c r="M59" s="51" t="str">
        <f>IFERROR(IF(AND(booking!AB59&gt;0,booking!L59&lt;&gt;booking!M59),VLOOKUP(booking!M59,Database!A58:'Database'!L232,9,FALSE),"-"),"-")</f>
        <v>-</v>
      </c>
      <c r="N59" s="55" t="str">
        <f>IF(AND(booking!P59&lt;&gt;booking!Q59,booking!P59&gt;0),"udc","-")</f>
        <v>-</v>
      </c>
      <c r="O59" s="51" t="str">
        <f>IFERROR(IF(AND(booking!AB59&gt;0,booking!P59&lt;&gt;booking!Q59),VLOOKUP(booking!Q59,Database!$A$1:'Database'!$L$175,6,FALSE),"-"),"-")</f>
        <v>-</v>
      </c>
      <c r="P59" s="51" t="str">
        <f>IFERROR(IF(AND(booking!AB59&gt;0,booking!P59&lt;&gt;booking!Q59),VLOOKUP(booking!Q59,Database!$A$1:'Database'!$L$175,9,FALSE),"-"),"-")</f>
        <v>-</v>
      </c>
      <c r="Q59" s="55" t="str">
        <f>IF(AND(booking!T59&lt;&gt;booking!U59,booking!T59&gt;0),"udc","-")</f>
        <v>-</v>
      </c>
      <c r="R59" s="51" t="str">
        <f>IFERROR(IF(AND(booking!AB59&gt;0,booking!T59&lt;&gt;booking!U59),VLOOKUP(booking!U59,Database!$A$1:'Database'!$L$175,6,FALSE),"-"),"-")</f>
        <v>-</v>
      </c>
      <c r="S59" s="51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6">
        <f>booking!C60</f>
        <v>46561</v>
      </c>
      <c r="D60" s="2" t="str">
        <f>IF(booking!AC60&gt;0,"Y","-")</f>
        <v>-</v>
      </c>
      <c r="E60" s="55" t="str">
        <f>IF(AND(booking!D60&lt;&gt;booking!E60,booking!D60&gt;0),"udc","-")</f>
        <v>-</v>
      </c>
      <c r="F60" s="51" t="str">
        <f>IFERROR(IF(AND(booking!AB60&gt;0,booking!D60&lt;&gt;booking!E60),VLOOKUP(booking!E60,Database!$A$1:'Database'!$L$175,6,FALSE),"-"),"-")</f>
        <v>-</v>
      </c>
      <c r="G60" s="51" t="str">
        <f>IFERROR(IF(AND(booking!AB60&gt;0,booking!D60&lt;&gt;booking!E60),VLOOKUP(booking!E60,Database!$A$1:'Database'!$L$175,9,FALSE),"-"),"-")</f>
        <v>-</v>
      </c>
      <c r="H60" s="55" t="str">
        <f>IF(AND(booking!H60&lt;&gt;booking!I60,booking!H60&gt;0),"udc","-")</f>
        <v>-</v>
      </c>
      <c r="I60" s="51" t="str">
        <f>IFERROR(IF(AND(booking!AB60&gt;0,booking!H60&lt;&gt;booking!I60),VLOOKUP(booking!I60,Database!$A$1:'Database'!$L$175,6,FALSE),"-"),"-")</f>
        <v>-</v>
      </c>
      <c r="J60" s="51" t="str">
        <f>IFERROR(IF(AND(booking!AB60&gt;0,booking!H60&lt;&gt;booking!I60),VLOOKUP(booking!I60,Database!$A$1:'Database'!$L$175,9,FALSE),"-"),"-")</f>
        <v>-</v>
      </c>
      <c r="K60" s="55" t="str">
        <f>IF(AND(booking!L60&lt;&gt;booking!M60,booking!L60&gt;0),"udc","-")</f>
        <v>-</v>
      </c>
      <c r="L60" s="51" t="str">
        <f>IFERROR(IF(AND(booking!AB60&gt;0,booking!L60&lt;&gt;booking!M60),VLOOKUP(booking!M60,Database!$A$1:'Database'!$L$175,6,FALSE),"-"),"-")</f>
        <v>-</v>
      </c>
      <c r="M60" s="51" t="str">
        <f>IFERROR(IF(AND(booking!AB60&gt;0,booking!L60&lt;&gt;booking!M60),VLOOKUP(booking!M60,Database!A59:'Database'!L233,9,FALSE),"-"),"-")</f>
        <v>-</v>
      </c>
      <c r="N60" s="55" t="str">
        <f>IF(AND(booking!P60&lt;&gt;booking!Q60,booking!P60&gt;0),"udc","-")</f>
        <v>-</v>
      </c>
      <c r="O60" s="51" t="str">
        <f>IFERROR(IF(AND(booking!AB60&gt;0,booking!P60&lt;&gt;booking!Q60),VLOOKUP(booking!Q60,Database!$A$1:'Database'!$L$175,6,FALSE),"-"),"-")</f>
        <v>-</v>
      </c>
      <c r="P60" s="51" t="str">
        <f>IFERROR(IF(AND(booking!AB60&gt;0,booking!P60&lt;&gt;booking!Q60),VLOOKUP(booking!Q60,Database!$A$1:'Database'!$L$175,9,FALSE),"-"),"-")</f>
        <v>-</v>
      </c>
      <c r="Q60" s="55" t="str">
        <f>IF(AND(booking!T60&lt;&gt;booking!U60,booking!T60&gt;0),"udc","-")</f>
        <v>-</v>
      </c>
      <c r="R60" s="51" t="str">
        <f>IFERROR(IF(AND(booking!AB60&gt;0,booking!T60&lt;&gt;booking!U60),VLOOKUP(booking!U60,Database!$A$1:'Database'!$L$175,6,FALSE),"-"),"-")</f>
        <v>-</v>
      </c>
      <c r="S60" s="51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6">
        <f>booking!C61</f>
        <v>46562</v>
      </c>
      <c r="D61" s="2" t="str">
        <f>IF(booking!AC61&gt;0,"Y","-")</f>
        <v>-</v>
      </c>
      <c r="E61" s="55" t="str">
        <f>IF(AND(booking!D61&lt;&gt;booking!E61,booking!D61&gt;0),"udc","-")</f>
        <v>-</v>
      </c>
      <c r="F61" s="51" t="str">
        <f>IFERROR(IF(AND(booking!AB61&gt;0,booking!D61&lt;&gt;booking!E61),VLOOKUP(booking!E61,Database!$A$1:'Database'!$L$175,6,FALSE),"-"),"-")</f>
        <v>-</v>
      </c>
      <c r="G61" s="51" t="str">
        <f>IFERROR(IF(AND(booking!AB61&gt;0,booking!D61&lt;&gt;booking!E61),VLOOKUP(booking!E61,Database!$A$1:'Database'!$L$175,9,FALSE),"-"),"-")</f>
        <v>-</v>
      </c>
      <c r="H61" s="55" t="str">
        <f>IF(AND(booking!H61&lt;&gt;booking!I61,booking!H61&gt;0),"udc","-")</f>
        <v>-</v>
      </c>
      <c r="I61" s="51" t="str">
        <f>IFERROR(IF(AND(booking!AB61&gt;0,booking!H61&lt;&gt;booking!I61),VLOOKUP(booking!I61,Database!$A$1:'Database'!$L$175,6,FALSE),"-"),"-")</f>
        <v>-</v>
      </c>
      <c r="J61" s="51" t="str">
        <f>IFERROR(IF(AND(booking!AB61&gt;0,booking!H61&lt;&gt;booking!I61),VLOOKUP(booking!I61,Database!$A$1:'Database'!$L$175,9,FALSE),"-"),"-")</f>
        <v>-</v>
      </c>
      <c r="K61" s="55" t="str">
        <f>IF(AND(booking!L61&lt;&gt;booking!M61,booking!L61&gt;0),"udc","-")</f>
        <v>-</v>
      </c>
      <c r="L61" s="51" t="str">
        <f>IFERROR(IF(AND(booking!AB61&gt;0,booking!L61&lt;&gt;booking!M61),VLOOKUP(booking!M61,Database!$A$1:'Database'!$L$175,6,FALSE),"-"),"-")</f>
        <v>-</v>
      </c>
      <c r="M61" s="51" t="str">
        <f>IFERROR(IF(AND(booking!AB61&gt;0,booking!L61&lt;&gt;booking!M61),VLOOKUP(booking!M61,Database!A60:'Database'!L234,9,FALSE),"-"),"-")</f>
        <v>-</v>
      </c>
      <c r="N61" s="55" t="str">
        <f>IF(AND(booking!P61&lt;&gt;booking!Q61,booking!P61&gt;0),"udc","-")</f>
        <v>-</v>
      </c>
      <c r="O61" s="51" t="str">
        <f>IFERROR(IF(AND(booking!AB61&gt;0,booking!P61&lt;&gt;booking!Q61),VLOOKUP(booking!Q61,Database!$A$1:'Database'!$L$175,6,FALSE),"-"),"-")</f>
        <v>-</v>
      </c>
      <c r="P61" s="51" t="str">
        <f>IFERROR(IF(AND(booking!AB61&gt;0,booking!P61&lt;&gt;booking!Q61),VLOOKUP(booking!Q61,Database!$A$1:'Database'!$L$175,9,FALSE),"-"),"-")</f>
        <v>-</v>
      </c>
      <c r="Q61" s="55" t="str">
        <f>IF(AND(booking!T61&lt;&gt;booking!U61,booking!T61&gt;0),"udc","-")</f>
        <v>-</v>
      </c>
      <c r="R61" s="51" t="str">
        <f>IFERROR(IF(AND(booking!AB61&gt;0,booking!T61&lt;&gt;booking!U61),VLOOKUP(booking!U61,Database!$A$1:'Database'!$L$175,6,FALSE),"-"),"-")</f>
        <v>-</v>
      </c>
      <c r="S61" s="51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6">
        <f>booking!C62</f>
        <v>46563</v>
      </c>
      <c r="D62" s="2" t="str">
        <f>IF(booking!AC62&gt;0,"Y","-")</f>
        <v>-</v>
      </c>
      <c r="E62" s="55" t="str">
        <f>IF(AND(booking!D62&lt;&gt;booking!E62,booking!D62&gt;0),"udc","-")</f>
        <v>-</v>
      </c>
      <c r="F62" s="51" t="str">
        <f>IFERROR(IF(AND(booking!AB62&gt;0,booking!D62&lt;&gt;booking!E62),VLOOKUP(booking!E62,Database!$A$1:'Database'!$L$175,6,FALSE),"-"),"-")</f>
        <v>-</v>
      </c>
      <c r="G62" s="51" t="str">
        <f>IFERROR(IF(AND(booking!AB62&gt;0,booking!D62&lt;&gt;booking!E62),VLOOKUP(booking!E62,Database!$A$1:'Database'!$L$175,9,FALSE),"-"),"-")</f>
        <v>-</v>
      </c>
      <c r="H62" s="55" t="str">
        <f>IF(AND(booking!H62&lt;&gt;booking!I62,booking!H62&gt;0),"udc","-")</f>
        <v>-</v>
      </c>
      <c r="I62" s="51" t="str">
        <f>IFERROR(IF(AND(booking!AB62&gt;0,booking!H62&lt;&gt;booking!I62),VLOOKUP(booking!I62,Database!$A$1:'Database'!$L$175,6,FALSE),"-"),"-")</f>
        <v>-</v>
      </c>
      <c r="J62" s="51" t="str">
        <f>IFERROR(IF(AND(booking!AB62&gt;0,booking!H62&lt;&gt;booking!I62),VLOOKUP(booking!I62,Database!$A$1:'Database'!$L$175,9,FALSE),"-"),"-")</f>
        <v>-</v>
      </c>
      <c r="K62" s="55" t="str">
        <f>IF(AND(booking!L62&lt;&gt;booking!M62,booking!L62&gt;0),"udc","-")</f>
        <v>-</v>
      </c>
      <c r="L62" s="51" t="str">
        <f>IFERROR(IF(AND(booking!AB62&gt;0,booking!L62&lt;&gt;booking!M62),VLOOKUP(booking!M62,Database!$A$1:'Database'!$L$175,6,FALSE),"-"),"-")</f>
        <v>-</v>
      </c>
      <c r="M62" s="51" t="str">
        <f>IFERROR(IF(AND(booking!AB62&gt;0,booking!L62&lt;&gt;booking!M62),VLOOKUP(booking!M62,Database!A61:'Database'!L235,9,FALSE),"-"),"-")</f>
        <v>-</v>
      </c>
      <c r="N62" s="55" t="str">
        <f>IF(AND(booking!P62&lt;&gt;booking!Q62,booking!P62&gt;0),"udc","-")</f>
        <v>-</v>
      </c>
      <c r="O62" s="51" t="str">
        <f>IFERROR(IF(AND(booking!AB62&gt;0,booking!P62&lt;&gt;booking!Q62),VLOOKUP(booking!Q62,Database!$A$1:'Database'!$L$175,6,FALSE),"-"),"-")</f>
        <v>-</v>
      </c>
      <c r="P62" s="51" t="str">
        <f>IFERROR(IF(AND(booking!AB62&gt;0,booking!P62&lt;&gt;booking!Q62),VLOOKUP(booking!Q62,Database!$A$1:'Database'!$L$175,9,FALSE),"-"),"-")</f>
        <v>-</v>
      </c>
      <c r="Q62" s="55" t="str">
        <f>IF(AND(booking!T62&lt;&gt;booking!U62,booking!T62&gt;0),"udc","-")</f>
        <v>-</v>
      </c>
      <c r="R62" s="51" t="str">
        <f>IFERROR(IF(AND(booking!AB62&gt;0,booking!T62&lt;&gt;booking!U62),VLOOKUP(booking!U62,Database!$A$1:'Database'!$L$175,6,FALSE),"-"),"-")</f>
        <v>-</v>
      </c>
      <c r="S62" s="51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6">
        <f>booking!C63</f>
        <v>46564</v>
      </c>
      <c r="D63" s="2" t="str">
        <f>IF(booking!AC63&gt;0,"Y","-")</f>
        <v>-</v>
      </c>
      <c r="E63" s="55" t="str">
        <f>IF(AND(booking!D63&lt;&gt;booking!E63,booking!D63&gt;0),"udc","-")</f>
        <v>-</v>
      </c>
      <c r="F63" s="51" t="str">
        <f>IFERROR(IF(AND(booking!AB63&gt;0,booking!D63&lt;&gt;booking!E63),VLOOKUP(booking!E63,Database!$A$1:'Database'!$L$175,6,FALSE),"-"),"-")</f>
        <v>-</v>
      </c>
      <c r="G63" s="51" t="str">
        <f>IFERROR(IF(AND(booking!AB63&gt;0,booking!D63&lt;&gt;booking!E63),VLOOKUP(booking!E63,Database!$A$1:'Database'!$L$175,9,FALSE),"-"),"-")</f>
        <v>-</v>
      </c>
      <c r="H63" s="55" t="str">
        <f>IF(AND(booking!H63&lt;&gt;booking!I63,booking!H63&gt;0),"udc","-")</f>
        <v>-</v>
      </c>
      <c r="I63" s="51" t="str">
        <f>IFERROR(IF(AND(booking!AB63&gt;0,booking!H63&lt;&gt;booking!I63),VLOOKUP(booking!I63,Database!$A$1:'Database'!$L$175,6,FALSE),"-"),"-")</f>
        <v>-</v>
      </c>
      <c r="J63" s="51" t="str">
        <f>IFERROR(IF(AND(booking!AB63&gt;0,booking!H63&lt;&gt;booking!I63),VLOOKUP(booking!I63,Database!$A$1:'Database'!$L$175,9,FALSE),"-"),"-")</f>
        <v>-</v>
      </c>
      <c r="K63" s="55" t="str">
        <f>IF(AND(booking!L63&lt;&gt;booking!M63,booking!L63&gt;0),"udc","-")</f>
        <v>-</v>
      </c>
      <c r="L63" s="51" t="str">
        <f>IFERROR(IF(AND(booking!AB63&gt;0,booking!L63&lt;&gt;booking!M63),VLOOKUP(booking!M63,Database!$A$1:'Database'!$L$175,6,FALSE),"-"),"-")</f>
        <v>-</v>
      </c>
      <c r="M63" s="51" t="str">
        <f>IFERROR(IF(AND(booking!AB63&gt;0,booking!L63&lt;&gt;booking!M63),VLOOKUP(booking!M63,Database!A62:'Database'!L236,9,FALSE),"-"),"-")</f>
        <v>-</v>
      </c>
      <c r="N63" s="55" t="str">
        <f>IF(AND(booking!P63&lt;&gt;booking!Q63,booking!P63&gt;0),"udc","-")</f>
        <v>-</v>
      </c>
      <c r="O63" s="51" t="str">
        <f>IFERROR(IF(AND(booking!AB63&gt;0,booking!P63&lt;&gt;booking!Q63),VLOOKUP(booking!Q63,Database!$A$1:'Database'!$L$175,6,FALSE),"-"),"-")</f>
        <v>-</v>
      </c>
      <c r="P63" s="51" t="str">
        <f>IFERROR(IF(AND(booking!AB63&gt;0,booking!P63&lt;&gt;booking!Q63),VLOOKUP(booking!Q63,Database!$A$1:'Database'!$L$175,9,FALSE),"-"),"-")</f>
        <v>-</v>
      </c>
      <c r="Q63" s="55" t="str">
        <f>IF(AND(booking!T63&lt;&gt;booking!U63,booking!T63&gt;0),"udc","-")</f>
        <v>-</v>
      </c>
      <c r="R63" s="51" t="str">
        <f>IFERROR(IF(AND(booking!AB63&gt;0,booking!T63&lt;&gt;booking!U63),VLOOKUP(booking!U63,Database!$A$1:'Database'!$L$175,6,FALSE),"-"),"-")</f>
        <v>-</v>
      </c>
      <c r="S63" s="51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8" t="str">
        <f>booking!B64</f>
        <v>søndag</v>
      </c>
      <c r="B64" s="49">
        <f>booking!C64</f>
        <v>46565</v>
      </c>
      <c r="C64" s="48"/>
      <c r="D64" s="50" t="str">
        <f>IF(booking!AC64&gt;0,"Y","-")</f>
        <v>-</v>
      </c>
      <c r="E64" s="55" t="str">
        <f>IF(AND(booking!D64&lt;&gt;booking!E64,booking!D64&gt;0),"udc","-")</f>
        <v>-</v>
      </c>
      <c r="F64" s="51" t="str">
        <f>IFERROR(IF(AND(booking!AB64&gt;0,booking!D64&lt;&gt;booking!E64),VLOOKUP(booking!E64,Database!$A$1:'Database'!$L$175,6,FALSE),"-"),"-")</f>
        <v>-</v>
      </c>
      <c r="G64" s="51" t="str">
        <f>IFERROR(IF(AND(booking!AB64&gt;0,booking!D64&lt;&gt;booking!E64),VLOOKUP(booking!E64,Database!$A$1:'Database'!$L$175,9,FALSE),"-"),"-")</f>
        <v>-</v>
      </c>
      <c r="H64" s="55" t="str">
        <f>IF(AND(booking!H64&lt;&gt;booking!I64,booking!H64&gt;0),"udc","-")</f>
        <v>-</v>
      </c>
      <c r="I64" s="51" t="str">
        <f>IFERROR(IF(AND(booking!AB64&gt;0,booking!H64&lt;&gt;booking!I64),VLOOKUP(booking!I64,Database!$A$1:'Database'!$L$175,6,FALSE),"-"),"-")</f>
        <v>-</v>
      </c>
      <c r="J64" s="51" t="str">
        <f>IFERROR(IF(AND(booking!AB64&gt;0,booking!H64&lt;&gt;booking!I64),VLOOKUP(booking!I64,Database!$A$1:'Database'!$L$175,9,FALSE),"-"),"-")</f>
        <v>-</v>
      </c>
      <c r="K64" s="55" t="str">
        <f>IF(AND(booking!L64&lt;&gt;booking!M64,booking!L64&gt;0),"udc","-")</f>
        <v>-</v>
      </c>
      <c r="L64" s="51" t="str">
        <f>IFERROR(IF(AND(booking!AB64&gt;0,booking!L64&lt;&gt;booking!M64),VLOOKUP(booking!M64,Database!$A$1:'Database'!$L$175,6,FALSE),"-"),"-")</f>
        <v>-</v>
      </c>
      <c r="M64" s="51" t="str">
        <f>IFERROR(IF(AND(booking!AB64&gt;0,booking!L64&lt;&gt;booking!M64),VLOOKUP(booking!M64,Database!A63:'Database'!L237,9,FALSE),"-"),"-")</f>
        <v>-</v>
      </c>
      <c r="N64" s="55" t="str">
        <f>IF(AND(booking!P64&lt;&gt;booking!Q64,booking!P64&gt;0),"udc","-")</f>
        <v>-</v>
      </c>
      <c r="O64" s="51" t="str">
        <f>IFERROR(IF(AND(booking!AB64&gt;0,booking!P64&lt;&gt;booking!Q64),VLOOKUP(booking!Q64,Database!$A$1:'Database'!$L$175,6,FALSE),"-"),"-")</f>
        <v>-</v>
      </c>
      <c r="P64" s="51" t="str">
        <f>IFERROR(IF(AND(booking!AB64&gt;0,booking!P64&lt;&gt;booking!Q64),VLOOKUP(booking!Q64,Database!$A$1:'Database'!$L$175,9,FALSE),"-"),"-")</f>
        <v>-</v>
      </c>
      <c r="Q64" s="55" t="str">
        <f>IF(AND(booking!T64&lt;&gt;booking!U64,booking!T64&gt;0),"udc","-")</f>
        <v>-</v>
      </c>
      <c r="R64" s="51" t="str">
        <f>IFERROR(IF(AND(booking!AB64&gt;0,booking!T64&lt;&gt;booking!U64),VLOOKUP(booking!U64,Database!$A$1:'Database'!$L$175,6,FALSE),"-"),"-")</f>
        <v>-</v>
      </c>
      <c r="S64" s="51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6">
        <f>booking!C65</f>
        <v>46566</v>
      </c>
      <c r="D65" s="2" t="str">
        <f>IF(booking!AC65&gt;0,"Y","-")</f>
        <v>-</v>
      </c>
      <c r="E65" s="55" t="str">
        <f>IF(AND(booking!D65&lt;&gt;booking!E65,booking!D65&gt;0),"udc","-")</f>
        <v>-</v>
      </c>
      <c r="F65" s="51" t="str">
        <f>IFERROR(IF(AND(booking!AB65&gt;0,booking!D65&lt;&gt;booking!E65),VLOOKUP(booking!E65,Database!$A$1:'Database'!$L$175,6,FALSE),"-"),"-")</f>
        <v>-</v>
      </c>
      <c r="G65" s="51" t="str">
        <f>IFERROR(IF(AND(booking!AB65&gt;0,booking!D65&lt;&gt;booking!E65),VLOOKUP(booking!E65,Database!$A$1:'Database'!$L$175,9,FALSE),"-"),"-")</f>
        <v>-</v>
      </c>
      <c r="H65" s="55" t="str">
        <f>IF(AND(booking!H65&lt;&gt;booking!I65,booking!H65&gt;0),"udc","-")</f>
        <v>-</v>
      </c>
      <c r="I65" s="51" t="str">
        <f>IFERROR(IF(AND(booking!AB65&gt;0,booking!H65&lt;&gt;booking!I65),VLOOKUP(booking!I65,Database!$A$1:'Database'!$L$175,6,FALSE),"-"),"-")</f>
        <v>-</v>
      </c>
      <c r="J65" s="51" t="str">
        <f>IFERROR(IF(AND(booking!AB65&gt;0,booking!H65&lt;&gt;booking!I65),VLOOKUP(booking!I65,Database!$A$1:'Database'!$L$175,9,FALSE),"-"),"-")</f>
        <v>-</v>
      </c>
      <c r="K65" s="55" t="str">
        <f>IF(AND(booking!L65&lt;&gt;booking!M65,booking!L65&gt;0),"udc","-")</f>
        <v>-</v>
      </c>
      <c r="L65" s="51" t="str">
        <f>IFERROR(IF(AND(booking!AB65&gt;0,booking!L65&lt;&gt;booking!M65),VLOOKUP(booking!M65,Database!$A$1:'Database'!$L$175,6,FALSE),"-"),"-")</f>
        <v>-</v>
      </c>
      <c r="M65" s="51" t="str">
        <f>IFERROR(IF(AND(booking!AB65&gt;0,booking!L65&lt;&gt;booking!M65),VLOOKUP(booking!M65,Database!A64:'Database'!L238,9,FALSE),"-"),"-")</f>
        <v>-</v>
      </c>
      <c r="N65" s="55" t="str">
        <f>IF(AND(booking!P65&lt;&gt;booking!Q65,booking!P65&gt;0),"udc","-")</f>
        <v>-</v>
      </c>
      <c r="O65" s="51" t="str">
        <f>IFERROR(IF(AND(booking!AB65&gt;0,booking!P65&lt;&gt;booking!Q65),VLOOKUP(booking!Q65,Database!$A$1:'Database'!$L$175,6,FALSE),"-"),"-")</f>
        <v>-</v>
      </c>
      <c r="P65" s="51" t="str">
        <f>IFERROR(IF(AND(booking!AB65&gt;0,booking!P65&lt;&gt;booking!Q65),VLOOKUP(booking!Q65,Database!$A$1:'Database'!$L$175,9,FALSE),"-"),"-")</f>
        <v>-</v>
      </c>
      <c r="Q65" s="55" t="str">
        <f>IF(AND(booking!T65&lt;&gt;booking!U65,booking!T65&gt;0),"udc","-")</f>
        <v>-</v>
      </c>
      <c r="R65" s="51" t="str">
        <f>IFERROR(IF(AND(booking!AB65&gt;0,booking!T65&lt;&gt;booking!U65),VLOOKUP(booking!U65,Database!$A$1:'Database'!$L$175,6,FALSE),"-"),"-")</f>
        <v>-</v>
      </c>
      <c r="S65" s="51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6">
        <f>booking!C66</f>
        <v>46567</v>
      </c>
      <c r="D66" s="2" t="str">
        <f>IF(booking!AC66&gt;0,"Y","-")</f>
        <v>-</v>
      </c>
      <c r="E66" s="55" t="str">
        <f>IF(AND(booking!D66&lt;&gt;booking!E66,booking!D66&gt;0),"udc","-")</f>
        <v>-</v>
      </c>
      <c r="F66" s="51" t="str">
        <f>IFERROR(IF(AND(booking!AB66&gt;0,booking!D66&lt;&gt;booking!E66),VLOOKUP(booking!E66,Database!$A$1:'Database'!$L$175,6,FALSE),"-"),"-")</f>
        <v>-</v>
      </c>
      <c r="G66" s="51" t="str">
        <f>IFERROR(IF(AND(booking!AB66&gt;0,booking!D66&lt;&gt;booking!E66),VLOOKUP(booking!E66,Database!$A$1:'Database'!$L$175,9,FALSE),"-"),"-")</f>
        <v>-</v>
      </c>
      <c r="H66" s="55" t="str">
        <f>IF(AND(booking!H66&lt;&gt;booking!I66,booking!H66&gt;0),"udc","-")</f>
        <v>-</v>
      </c>
      <c r="I66" s="51" t="str">
        <f>IFERROR(IF(AND(booking!AB66&gt;0,booking!H66&lt;&gt;booking!I66),VLOOKUP(booking!I66,Database!$A$1:'Database'!$L$175,6,FALSE),"-"),"-")</f>
        <v>-</v>
      </c>
      <c r="J66" s="51" t="str">
        <f>IFERROR(IF(AND(booking!AB66&gt;0,booking!H66&lt;&gt;booking!I66),VLOOKUP(booking!I66,Database!$A$1:'Database'!$L$175,9,FALSE),"-"),"-")</f>
        <v>-</v>
      </c>
      <c r="K66" s="55" t="str">
        <f>IF(AND(booking!L66&lt;&gt;booking!M66,booking!L66&gt;0),"udc","-")</f>
        <v>-</v>
      </c>
      <c r="L66" s="51" t="str">
        <f>IFERROR(IF(AND(booking!AB66&gt;0,booking!L66&lt;&gt;booking!M66),VLOOKUP(booking!M66,Database!$A$1:'Database'!$L$175,6,FALSE),"-"),"-")</f>
        <v>-</v>
      </c>
      <c r="M66" s="51" t="str">
        <f>IFERROR(IF(AND(booking!AB66&gt;0,booking!L66&lt;&gt;booking!M66),VLOOKUP(booking!M66,Database!A65:'Database'!L239,9,FALSE),"-"),"-")</f>
        <v>-</v>
      </c>
      <c r="N66" s="55" t="str">
        <f>IF(AND(booking!P66&lt;&gt;booking!Q66,booking!P66&gt;0),"udc","-")</f>
        <v>-</v>
      </c>
      <c r="O66" s="51" t="str">
        <f>IFERROR(IF(AND(booking!AB66&gt;0,booking!P66&lt;&gt;booking!Q66),VLOOKUP(booking!Q66,Database!$A$1:'Database'!$L$175,6,FALSE),"-"),"-")</f>
        <v>-</v>
      </c>
      <c r="P66" s="51" t="str">
        <f>IFERROR(IF(AND(booking!AB66&gt;0,booking!P66&lt;&gt;booking!Q66),VLOOKUP(booking!Q66,Database!$A$1:'Database'!$L$175,9,FALSE),"-"),"-")</f>
        <v>-</v>
      </c>
      <c r="Q66" s="55" t="str">
        <f>IF(AND(booking!T66&lt;&gt;booking!U66,booking!T66&gt;0),"udc","-")</f>
        <v>-</v>
      </c>
      <c r="R66" s="51" t="str">
        <f>IFERROR(IF(AND(booking!AB66&gt;0,booking!T66&lt;&gt;booking!U66),VLOOKUP(booking!U66,Database!$A$1:'Database'!$L$175,6,FALSE),"-"),"-")</f>
        <v>-</v>
      </c>
      <c r="S66" s="51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6">
        <f>booking!C67</f>
        <v>46568</v>
      </c>
      <c r="D67" s="2" t="str">
        <f>IF(booking!AC67&gt;0,"Y","-")</f>
        <v>-</v>
      </c>
      <c r="E67" s="55" t="str">
        <f>IF(AND(booking!D67&lt;&gt;booking!E67,booking!D67&gt;0),"udc","-")</f>
        <v>-</v>
      </c>
      <c r="F67" s="51" t="str">
        <f>IFERROR(IF(AND(booking!AB67&gt;0,booking!D67&lt;&gt;booking!E67),VLOOKUP(booking!E67,Database!$A$1:'Database'!$L$175,6,FALSE),"-"),"-")</f>
        <v>-</v>
      </c>
      <c r="G67" s="51" t="str">
        <f>IFERROR(IF(AND(booking!AB67&gt;0,booking!D67&lt;&gt;booking!E67),VLOOKUP(booking!E67,Database!$A$1:'Database'!$L$175,9,FALSE),"-"),"-")</f>
        <v>-</v>
      </c>
      <c r="H67" s="55" t="str">
        <f>IF(AND(booking!H67&lt;&gt;booking!I67,booking!H67&gt;0),"udc","-")</f>
        <v>-</v>
      </c>
      <c r="I67" s="51" t="str">
        <f>IFERROR(IF(AND(booking!AB67&gt;0,booking!H67&lt;&gt;booking!I67),VLOOKUP(booking!I67,Database!$A$1:'Database'!$L$175,6,FALSE),"-"),"-")</f>
        <v>-</v>
      </c>
      <c r="J67" s="51" t="str">
        <f>IFERROR(IF(AND(booking!AB67&gt;0,booking!H67&lt;&gt;booking!I67),VLOOKUP(booking!I67,Database!$A$1:'Database'!$L$175,9,FALSE),"-"),"-")</f>
        <v>-</v>
      </c>
      <c r="K67" s="55" t="str">
        <f>IF(AND(booking!L67&lt;&gt;booking!M67,booking!L67&gt;0),"udc","-")</f>
        <v>-</v>
      </c>
      <c r="L67" s="51" t="str">
        <f>IFERROR(IF(AND(booking!AB67&gt;0,booking!L67&lt;&gt;booking!M67),VLOOKUP(booking!M67,Database!$A$1:'Database'!$L$175,6,FALSE),"-"),"-")</f>
        <v>-</v>
      </c>
      <c r="M67" s="51" t="str">
        <f>IFERROR(IF(AND(booking!AB67&gt;0,booking!L67&lt;&gt;booking!M67),VLOOKUP(booking!M67,Database!A66:'Database'!L240,9,FALSE),"-"),"-")</f>
        <v>-</v>
      </c>
      <c r="N67" s="55" t="str">
        <f>IF(AND(booking!P67&lt;&gt;booking!Q67,booking!P67&gt;0),"udc","-")</f>
        <v>-</v>
      </c>
      <c r="O67" s="51" t="str">
        <f>IFERROR(IF(AND(booking!AB67&gt;0,booking!P67&lt;&gt;booking!Q67),VLOOKUP(booking!Q67,Database!$A$1:'Database'!$L$175,6,FALSE),"-"),"-")</f>
        <v>-</v>
      </c>
      <c r="P67" s="51" t="str">
        <f>IFERROR(IF(AND(booking!AB67&gt;0,booking!P67&lt;&gt;booking!Q67),VLOOKUP(booking!Q67,Database!$A$1:'Database'!$L$175,9,FALSE),"-"),"-")</f>
        <v>-</v>
      </c>
      <c r="Q67" s="55" t="str">
        <f>IF(AND(booking!T67&lt;&gt;booking!U67,booking!T67&gt;0),"udc","-")</f>
        <v>-</v>
      </c>
      <c r="R67" s="51" t="str">
        <f>IFERROR(IF(AND(booking!AB67&gt;0,booking!T67&lt;&gt;booking!U67),VLOOKUP(booking!U67,Database!$A$1:'Database'!$L$175,6,FALSE),"-"),"-")</f>
        <v>-</v>
      </c>
      <c r="S67" s="51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6">
        <f>booking!C68</f>
        <v>46569</v>
      </c>
      <c r="D68" s="2" t="str">
        <f>IF(booking!AC68&gt;0,"Y","-")</f>
        <v>-</v>
      </c>
      <c r="E68" s="55" t="str">
        <f>IF(AND(booking!D68&lt;&gt;booking!E68,booking!D68&gt;0),"udc","-")</f>
        <v>-</v>
      </c>
      <c r="F68" s="51" t="str">
        <f>IFERROR(IF(AND(booking!AB68&gt;0,booking!D68&lt;&gt;booking!E68),VLOOKUP(booking!E68,Database!$A$1:'Database'!$L$175,6,FALSE),"-"),"-")</f>
        <v>-</v>
      </c>
      <c r="G68" s="51" t="str">
        <f>IFERROR(IF(AND(booking!AB68&gt;0,booking!D68&lt;&gt;booking!E68),VLOOKUP(booking!E68,Database!$A$1:'Database'!$L$175,9,FALSE),"-"),"-")</f>
        <v>-</v>
      </c>
      <c r="H68" s="55" t="str">
        <f>IF(AND(booking!H68&lt;&gt;booking!I68,booking!H68&gt;0),"udc","-")</f>
        <v>-</v>
      </c>
      <c r="I68" s="51" t="str">
        <f>IFERROR(IF(AND(booking!AB68&gt;0,booking!H68&lt;&gt;booking!I68),VLOOKUP(booking!I68,Database!$A$1:'Database'!$L$175,6,FALSE),"-"),"-")</f>
        <v>-</v>
      </c>
      <c r="J68" s="51" t="str">
        <f>IFERROR(IF(AND(booking!AB68&gt;0,booking!H68&lt;&gt;booking!I68),VLOOKUP(booking!I68,Database!$A$1:'Database'!$L$175,9,FALSE),"-"),"-")</f>
        <v>-</v>
      </c>
      <c r="K68" s="55" t="str">
        <f>IF(AND(booking!L68&lt;&gt;booking!M68,booking!L68&gt;0),"udc","-")</f>
        <v>-</v>
      </c>
      <c r="L68" s="51" t="str">
        <f>IFERROR(IF(AND(booking!AB68&gt;0,booking!L68&lt;&gt;booking!M68),VLOOKUP(booking!M68,Database!$A$1:'Database'!$L$175,6,FALSE),"-"),"-")</f>
        <v>-</v>
      </c>
      <c r="M68" s="51" t="str">
        <f>IFERROR(IF(AND(booking!AB68&gt;0,booking!L68&lt;&gt;booking!M68),VLOOKUP(booking!M68,Database!A67:'Database'!L241,9,FALSE),"-"),"-")</f>
        <v>-</v>
      </c>
      <c r="N68" s="55" t="str">
        <f>IF(AND(booking!P68&lt;&gt;booking!Q68,booking!P68&gt;0),"udc","-")</f>
        <v>-</v>
      </c>
      <c r="O68" s="51" t="str">
        <f>IFERROR(IF(AND(booking!AB68&gt;0,booking!P68&lt;&gt;booking!Q68),VLOOKUP(booking!Q68,Database!$A$1:'Database'!$L$175,6,FALSE),"-"),"-")</f>
        <v>-</v>
      </c>
      <c r="P68" s="51" t="str">
        <f>IFERROR(IF(AND(booking!AB68&gt;0,booking!P68&lt;&gt;booking!Q68),VLOOKUP(booking!Q68,Database!$A$1:'Database'!$L$175,9,FALSE),"-"),"-")</f>
        <v>-</v>
      </c>
      <c r="Q68" s="55" t="str">
        <f>IF(AND(booking!T68&lt;&gt;booking!U68,booking!T68&gt;0),"udc","-")</f>
        <v>-</v>
      </c>
      <c r="R68" s="51" t="str">
        <f>IFERROR(IF(AND(booking!AB68&gt;0,booking!T68&lt;&gt;booking!U68),VLOOKUP(booking!U68,Database!$A$1:'Database'!$L$175,6,FALSE),"-"),"-")</f>
        <v>-</v>
      </c>
      <c r="S68" s="51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6">
        <f>booking!C69</f>
        <v>46570</v>
      </c>
      <c r="D69" s="2" t="str">
        <f>IF(booking!AC69&gt;0,"Y","-")</f>
        <v>-</v>
      </c>
      <c r="E69" s="55" t="str">
        <f>IF(AND(booking!D69&lt;&gt;booking!E69,booking!D69&gt;0),"udc","-")</f>
        <v>-</v>
      </c>
      <c r="F69" s="51" t="str">
        <f>IFERROR(IF(AND(booking!AB69&gt;0,booking!D69&lt;&gt;booking!E69),VLOOKUP(booking!E69,Database!$A$1:'Database'!$L$175,6,FALSE),"-"),"-")</f>
        <v>-</v>
      </c>
      <c r="G69" s="51" t="str">
        <f>IFERROR(IF(AND(booking!AB69&gt;0,booking!D69&lt;&gt;booking!E69),VLOOKUP(booking!E69,Database!$A$1:'Database'!$L$175,9,FALSE),"-"),"-")</f>
        <v>-</v>
      </c>
      <c r="H69" s="55" t="str">
        <f>IF(AND(booking!H69&lt;&gt;booking!I69,booking!H69&gt;0),"udc","-")</f>
        <v>-</v>
      </c>
      <c r="I69" s="51" t="str">
        <f>IFERROR(IF(AND(booking!AB69&gt;0,booking!H69&lt;&gt;booking!I69),VLOOKUP(booking!I69,Database!$A$1:'Database'!$L$175,6,FALSE),"-"),"-")</f>
        <v>-</v>
      </c>
      <c r="J69" s="51" t="str">
        <f>IFERROR(IF(AND(booking!AB69&gt;0,booking!H69&lt;&gt;booking!I69),VLOOKUP(booking!I69,Database!$A$1:'Database'!$L$175,9,FALSE),"-"),"-")</f>
        <v>-</v>
      </c>
      <c r="K69" s="55" t="str">
        <f>IF(AND(booking!L69&lt;&gt;booking!M69,booking!L69&gt;0),"udc","-")</f>
        <v>-</v>
      </c>
      <c r="L69" s="51" t="str">
        <f>IFERROR(IF(AND(booking!AB69&gt;0,booking!L69&lt;&gt;booking!M69),VLOOKUP(booking!M69,Database!$A$1:'Database'!$L$175,6,FALSE),"-"),"-")</f>
        <v>-</v>
      </c>
      <c r="M69" s="51" t="str">
        <f>IFERROR(IF(AND(booking!AB69&gt;0,booking!L69&lt;&gt;booking!M69),VLOOKUP(booking!M69,Database!A68:'Database'!L242,9,FALSE),"-"),"-")</f>
        <v>-</v>
      </c>
      <c r="N69" s="55" t="str">
        <f>IF(AND(booking!P69&lt;&gt;booking!Q69,booking!P69&gt;0),"udc","-")</f>
        <v>-</v>
      </c>
      <c r="O69" s="51" t="str">
        <f>IFERROR(IF(AND(booking!AB69&gt;0,booking!P69&lt;&gt;booking!Q69),VLOOKUP(booking!Q69,Database!$A$1:'Database'!$L$175,6,FALSE),"-"),"-")</f>
        <v>-</v>
      </c>
      <c r="P69" s="51" t="str">
        <f>IFERROR(IF(AND(booking!AB69&gt;0,booking!P69&lt;&gt;booking!Q69),VLOOKUP(booking!Q69,Database!$A$1:'Database'!$L$175,9,FALSE),"-"),"-")</f>
        <v>-</v>
      </c>
      <c r="Q69" s="55" t="str">
        <f>IF(AND(booking!T69&lt;&gt;booking!U69,booking!T69&gt;0),"udc","-")</f>
        <v>-</v>
      </c>
      <c r="R69" s="51" t="str">
        <f>IFERROR(IF(AND(booking!AB69&gt;0,booking!T69&lt;&gt;booking!U69),VLOOKUP(booking!U69,Database!$A$1:'Database'!$L$175,6,FALSE),"-"),"-")</f>
        <v>-</v>
      </c>
      <c r="S69" s="51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6">
        <f>booking!C70</f>
        <v>46571</v>
      </c>
      <c r="D70" s="2" t="str">
        <f>IF(booking!AC70&gt;0,"Y","-")</f>
        <v>-</v>
      </c>
      <c r="E70" s="55" t="str">
        <f>IF(AND(booking!D70&lt;&gt;booking!E70,booking!D70&gt;0),"udc","-")</f>
        <v>-</v>
      </c>
      <c r="F70" s="51" t="str">
        <f>IFERROR(IF(AND(booking!AB70&gt;0,booking!D70&lt;&gt;booking!E70),VLOOKUP(booking!E70,Database!$A$1:'Database'!$L$175,6,FALSE),"-"),"-")</f>
        <v>-</v>
      </c>
      <c r="G70" s="51" t="str">
        <f>IFERROR(IF(AND(booking!AB70&gt;0,booking!D70&lt;&gt;booking!E70),VLOOKUP(booking!E70,Database!$A$1:'Database'!$L$175,9,FALSE),"-"),"-")</f>
        <v>-</v>
      </c>
      <c r="H70" s="55" t="str">
        <f>IF(AND(booking!H70&lt;&gt;booking!I70,booking!H70&gt;0),"udc","-")</f>
        <v>-</v>
      </c>
      <c r="I70" s="51" t="str">
        <f>IFERROR(IF(AND(booking!AB70&gt;0,booking!H70&lt;&gt;booking!I70),VLOOKUP(booking!I70,Database!$A$1:'Database'!$L$175,6,FALSE),"-"),"-")</f>
        <v>-</v>
      </c>
      <c r="J70" s="51" t="str">
        <f>IFERROR(IF(AND(booking!AB70&gt;0,booking!H70&lt;&gt;booking!I70),VLOOKUP(booking!I70,Database!$A$1:'Database'!$L$175,9,FALSE),"-"),"-")</f>
        <v>-</v>
      </c>
      <c r="K70" s="55" t="str">
        <f>IF(AND(booking!L70&lt;&gt;booking!M70,booking!L70&gt;0),"udc","-")</f>
        <v>-</v>
      </c>
      <c r="L70" s="51" t="str">
        <f>IFERROR(IF(AND(booking!AB70&gt;0,booking!L70&lt;&gt;booking!M70),VLOOKUP(booking!M70,Database!$A$1:'Database'!$L$175,6,FALSE),"-"),"-")</f>
        <v>-</v>
      </c>
      <c r="M70" s="51" t="str">
        <f>IFERROR(IF(AND(booking!AB70&gt;0,booking!L70&lt;&gt;booking!M70),VLOOKUP(booking!M70,Database!A69:'Database'!L243,9,FALSE),"-"),"-")</f>
        <v>-</v>
      </c>
      <c r="N70" s="55" t="str">
        <f>IF(AND(booking!P70&lt;&gt;booking!Q70,booking!P70&gt;0),"udc","-")</f>
        <v>-</v>
      </c>
      <c r="O70" s="51" t="str">
        <f>IFERROR(IF(AND(booking!AB70&gt;0,booking!P70&lt;&gt;booking!Q70),VLOOKUP(booking!Q70,Database!$A$1:'Database'!$L$175,6,FALSE),"-"),"-")</f>
        <v>-</v>
      </c>
      <c r="P70" s="51" t="str">
        <f>IFERROR(IF(AND(booking!AB70&gt;0,booking!P70&lt;&gt;booking!Q70),VLOOKUP(booking!Q70,Database!$A$1:'Database'!$L$175,9,FALSE),"-"),"-")</f>
        <v>-</v>
      </c>
      <c r="Q70" s="55" t="str">
        <f>IF(AND(booking!T70&lt;&gt;booking!U70,booking!T70&gt;0),"udc","-")</f>
        <v>-</v>
      </c>
      <c r="R70" s="51" t="str">
        <f>IFERROR(IF(AND(booking!AB70&gt;0,booking!T70&lt;&gt;booking!U70),VLOOKUP(booking!U70,Database!$A$1:'Database'!$L$175,6,FALSE),"-"),"-")</f>
        <v>-</v>
      </c>
      <c r="S70" s="51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4">
      <c r="A71" s="48" t="str">
        <f>booking!B71</f>
        <v>søndag</v>
      </c>
      <c r="B71" s="49">
        <f>booking!C71</f>
        <v>46572</v>
      </c>
      <c r="C71" s="48"/>
      <c r="D71" s="50" t="str">
        <f>IF(booking!AC71&gt;0,"Y","-")</f>
        <v>-</v>
      </c>
      <c r="E71" s="55" t="str">
        <f>IF(AND(booking!D71&lt;&gt;booking!E71,booking!D71&gt;0),"udc","-")</f>
        <v>-</v>
      </c>
      <c r="F71" s="51" t="str">
        <f>IFERROR(IF(AND(booking!AB71&gt;0,booking!D71&lt;&gt;booking!E71),VLOOKUP(booking!E71,Database!$A$1:'Database'!$L$175,6,FALSE),"-"),"-")</f>
        <v>-</v>
      </c>
      <c r="G71" s="51" t="str">
        <f>IFERROR(IF(AND(booking!AB71&gt;0,booking!D71&lt;&gt;booking!E71),VLOOKUP(booking!E71,Database!$A$1:'Database'!$L$175,9,FALSE),"-"),"-")</f>
        <v>-</v>
      </c>
      <c r="H71" s="55" t="str">
        <f>IF(AND(booking!H71&lt;&gt;booking!I71,booking!H71&gt;0),"udc","-")</f>
        <v>-</v>
      </c>
      <c r="I71" s="51" t="str">
        <f>IFERROR(IF(AND(booking!AB71&gt;0,booking!H71&lt;&gt;booking!I71),VLOOKUP(booking!I71,Database!$A$1:'Database'!$L$175,6,FALSE),"-"),"-")</f>
        <v>-</v>
      </c>
      <c r="J71" s="51" t="str">
        <f>IFERROR(IF(AND(booking!AB71&gt;0,booking!H71&lt;&gt;booking!I71),VLOOKUP(booking!I71,Database!$A$1:'Database'!$L$175,9,FALSE),"-"),"-")</f>
        <v>-</v>
      </c>
      <c r="K71" s="55" t="str">
        <f>IF(AND(booking!L71&lt;&gt;booking!M71,booking!L71&gt;0),"udc","-")</f>
        <v>-</v>
      </c>
      <c r="L71" s="51" t="str">
        <f>IFERROR(IF(AND(booking!AB71&gt;0,booking!L71&lt;&gt;booking!M71),VLOOKUP(booking!M71,Database!$A$1:'Database'!$L$175,6,FALSE),"-"),"-")</f>
        <v>-</v>
      </c>
      <c r="M71" s="51" t="str">
        <f>IFERROR(IF(AND(booking!AB71&gt;0,booking!L71&lt;&gt;booking!M71),VLOOKUP(booking!M71,Database!A70:'Database'!L244,9,FALSE),"-"),"-")</f>
        <v>-</v>
      </c>
      <c r="N71" s="55" t="str">
        <f>IF(AND(booking!P71&lt;&gt;booking!Q71,booking!P71&gt;0),"udc","-")</f>
        <v>-</v>
      </c>
      <c r="O71" s="51" t="str">
        <f>IFERROR(IF(AND(booking!AB71&gt;0,booking!P71&lt;&gt;booking!Q71),VLOOKUP(booking!Q71,Database!$A$1:'Database'!$L$175,6,FALSE),"-"),"-")</f>
        <v>-</v>
      </c>
      <c r="P71" s="51" t="str">
        <f>IFERROR(IF(AND(booking!AB71&gt;0,booking!P71&lt;&gt;booking!Q71),VLOOKUP(booking!Q71,Database!$A$1:'Database'!$L$175,9,FALSE),"-"),"-")</f>
        <v>-</v>
      </c>
      <c r="Q71" s="55" t="str">
        <f>IF(AND(booking!T71&lt;&gt;booking!U71,booking!T71&gt;0),"udc","-")</f>
        <v>-</v>
      </c>
      <c r="R71" s="51" t="str">
        <f>IFERROR(IF(AND(booking!AB71&gt;0,booking!T71&lt;&gt;booking!U71),VLOOKUP(booking!U71,Database!$A$1:'Database'!$L$175,6,FALSE),"-"),"-")</f>
        <v>-</v>
      </c>
      <c r="S71" s="51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6">
        <f>booking!C72</f>
        <v>46573</v>
      </c>
      <c r="D72" s="2" t="str">
        <f>IF(booking!AC72&gt;0,"Y","-")</f>
        <v>-</v>
      </c>
      <c r="E72" s="55" t="str">
        <f>IF(AND(booking!D72&lt;&gt;booking!E72,booking!D72&gt;0),"udc","-")</f>
        <v>-</v>
      </c>
      <c r="F72" s="51" t="str">
        <f>IFERROR(IF(AND(booking!AB72&gt;0,booking!D72&lt;&gt;booking!E72),VLOOKUP(booking!E72,Database!$A$1:'Database'!$L$175,6,FALSE),"-"),"-")</f>
        <v>-</v>
      </c>
      <c r="G72" s="51" t="str">
        <f>IFERROR(IF(AND(booking!AB72&gt;0,booking!D72&lt;&gt;booking!E72),VLOOKUP(booking!E72,Database!$A$1:'Database'!$L$175,9,FALSE),"-"),"-")</f>
        <v>-</v>
      </c>
      <c r="H72" s="55" t="str">
        <f>IF(AND(booking!H72&lt;&gt;booking!I72,booking!H72&gt;0),"udc","-")</f>
        <v>-</v>
      </c>
      <c r="I72" s="51" t="str">
        <f>IFERROR(IF(AND(booking!AB72&gt;0,booking!H72&lt;&gt;booking!I72),VLOOKUP(booking!I72,Database!$A$1:'Database'!$L$175,6,FALSE),"-"),"-")</f>
        <v>-</v>
      </c>
      <c r="J72" s="51" t="str">
        <f>IFERROR(IF(AND(booking!AB72&gt;0,booking!H72&lt;&gt;booking!I72),VLOOKUP(booking!I72,Database!$A$1:'Database'!$L$175,9,FALSE),"-"),"-")</f>
        <v>-</v>
      </c>
      <c r="K72" s="55" t="str">
        <f>IF(AND(booking!L72&lt;&gt;booking!M72,booking!L72&gt;0),"udc","-")</f>
        <v>-</v>
      </c>
      <c r="L72" s="51" t="str">
        <f>IFERROR(IF(AND(booking!AB72&gt;0,booking!L72&lt;&gt;booking!M72),VLOOKUP(booking!M72,Database!$A$1:'Database'!$L$175,6,FALSE),"-"),"-")</f>
        <v>-</v>
      </c>
      <c r="M72" s="51" t="str">
        <f>IFERROR(IF(AND(booking!AB72&gt;0,booking!L72&lt;&gt;booking!M72),VLOOKUP(booking!M72,Database!A71:'Database'!L245,9,FALSE),"-"),"-")</f>
        <v>-</v>
      </c>
      <c r="N72" s="55" t="str">
        <f>IF(AND(booking!P72&lt;&gt;booking!Q72,booking!P72&gt;0),"udc","-")</f>
        <v>-</v>
      </c>
      <c r="O72" s="51" t="str">
        <f>IFERROR(IF(AND(booking!AB72&gt;0,booking!P72&lt;&gt;booking!Q72),VLOOKUP(booking!Q72,Database!$A$1:'Database'!$L$175,6,FALSE),"-"),"-")</f>
        <v>-</v>
      </c>
      <c r="P72" s="51" t="str">
        <f>IFERROR(IF(AND(booking!AB72&gt;0,booking!P72&lt;&gt;booking!Q72),VLOOKUP(booking!Q72,Database!$A$1:'Database'!$L$175,9,FALSE),"-"),"-")</f>
        <v>-</v>
      </c>
      <c r="Q72" s="55" t="str">
        <f>IF(AND(booking!T72&lt;&gt;booking!U72,booking!T72&gt;0),"udc","-")</f>
        <v>-</v>
      </c>
      <c r="R72" s="51" t="str">
        <f>IFERROR(IF(AND(booking!AB72&gt;0,booking!T72&lt;&gt;booking!U72),VLOOKUP(booking!U72,Database!$A$1:'Database'!$L$175,6,FALSE),"-"),"-")</f>
        <v>-</v>
      </c>
      <c r="S72" s="51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6">
        <f>booking!C73</f>
        <v>46574</v>
      </c>
      <c r="D73" s="2" t="str">
        <f>IF(booking!AC73&gt;0,"Y","-")</f>
        <v>-</v>
      </c>
      <c r="E73" s="55" t="str">
        <f>IF(AND(booking!D73&lt;&gt;booking!E73,booking!D73&gt;0),"udc","-")</f>
        <v>-</v>
      </c>
      <c r="F73" s="51" t="str">
        <f>IFERROR(IF(AND(booking!AB73&gt;0,booking!D73&lt;&gt;booking!E73),VLOOKUP(booking!E73,Database!$A$1:'Database'!$L$175,6,FALSE),"-"),"-")</f>
        <v>-</v>
      </c>
      <c r="G73" s="51" t="str">
        <f>IFERROR(IF(AND(booking!AB73&gt;0,booking!D73&lt;&gt;booking!E73),VLOOKUP(booking!E73,Database!$A$1:'Database'!$L$175,9,FALSE),"-"),"-")</f>
        <v>-</v>
      </c>
      <c r="H73" s="55" t="str">
        <f>IF(AND(booking!H73&lt;&gt;booking!I73,booking!H73&gt;0),"udc","-")</f>
        <v>-</v>
      </c>
      <c r="I73" s="51" t="str">
        <f>IFERROR(IF(AND(booking!AB73&gt;0,booking!H73&lt;&gt;booking!I73),VLOOKUP(booking!I73,Database!$A$1:'Database'!$L$175,6,FALSE),"-"),"-")</f>
        <v>-</v>
      </c>
      <c r="J73" s="51" t="str">
        <f>IFERROR(IF(AND(booking!AB73&gt;0,booking!H73&lt;&gt;booking!I73),VLOOKUP(booking!I73,Database!$A$1:'Database'!$L$175,9,FALSE),"-"),"-")</f>
        <v>-</v>
      </c>
      <c r="K73" s="55" t="str">
        <f>IF(AND(booking!L73&lt;&gt;booking!M73,booking!L73&gt;0),"udc","-")</f>
        <v>-</v>
      </c>
      <c r="L73" s="51" t="str">
        <f>IFERROR(IF(AND(booking!AB73&gt;0,booking!L73&lt;&gt;booking!M73),VLOOKUP(booking!M73,Database!$A$1:'Database'!$L$175,6,FALSE),"-"),"-")</f>
        <v>-</v>
      </c>
      <c r="M73" s="51" t="str">
        <f>IFERROR(IF(AND(booking!AB73&gt;0,booking!L73&lt;&gt;booking!M73),VLOOKUP(booking!M73,Database!A72:'Database'!L246,9,FALSE),"-"),"-")</f>
        <v>-</v>
      </c>
      <c r="N73" s="55" t="str">
        <f>IF(AND(booking!P73&lt;&gt;booking!Q73,booking!P73&gt;0),"udc","-")</f>
        <v>-</v>
      </c>
      <c r="O73" s="51" t="str">
        <f>IFERROR(IF(AND(booking!AB73&gt;0,booking!P73&lt;&gt;booking!Q73),VLOOKUP(booking!Q73,Database!$A$1:'Database'!$L$175,6,FALSE),"-"),"-")</f>
        <v>-</v>
      </c>
      <c r="P73" s="51" t="str">
        <f>IFERROR(IF(AND(booking!AB73&gt;0,booking!P73&lt;&gt;booking!Q73),VLOOKUP(booking!Q73,Database!$A$1:'Database'!$L$175,9,FALSE),"-"),"-")</f>
        <v>-</v>
      </c>
      <c r="Q73" s="55" t="str">
        <f>IF(AND(booking!T73&lt;&gt;booking!U73,booking!T73&gt;0),"udc","-")</f>
        <v>-</v>
      </c>
      <c r="R73" s="51" t="str">
        <f>IFERROR(IF(AND(booking!AB73&gt;0,booking!T73&lt;&gt;booking!U73),VLOOKUP(booking!U73,Database!$A$1:'Database'!$L$175,6,FALSE),"-"),"-")</f>
        <v>-</v>
      </c>
      <c r="S73" s="51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6">
        <f>booking!C74</f>
        <v>46575</v>
      </c>
      <c r="D74" s="2" t="str">
        <f>IF(booking!AC74&gt;0,"Y","-")</f>
        <v>-</v>
      </c>
      <c r="E74" s="55" t="str">
        <f>IF(AND(booking!D74&lt;&gt;booking!E74,booking!D74&gt;0),"udc","-")</f>
        <v>-</v>
      </c>
      <c r="F74" s="51" t="str">
        <f>IFERROR(IF(AND(booking!AB74&gt;0,booking!D74&lt;&gt;booking!E74),VLOOKUP(booking!E74,Database!$A$1:'Database'!$L$175,6,FALSE),"-"),"-")</f>
        <v>-</v>
      </c>
      <c r="G74" s="51" t="str">
        <f>IFERROR(IF(AND(booking!AB74&gt;0,booking!D74&lt;&gt;booking!E74),VLOOKUP(booking!E74,Database!$A$1:'Database'!$L$175,9,FALSE),"-"),"-")</f>
        <v>-</v>
      </c>
      <c r="H74" s="55" t="str">
        <f>IF(AND(booking!H74&lt;&gt;booking!I74,booking!H74&gt;0),"udc","-")</f>
        <v>-</v>
      </c>
      <c r="I74" s="51" t="str">
        <f>IFERROR(IF(AND(booking!AB74&gt;0,booking!H74&lt;&gt;booking!I74),VLOOKUP(booking!I74,Database!$A$1:'Database'!$L$175,6,FALSE),"-"),"-")</f>
        <v>-</v>
      </c>
      <c r="J74" s="51" t="str">
        <f>IFERROR(IF(AND(booking!AB74&gt;0,booking!H74&lt;&gt;booking!I74),VLOOKUP(booking!I74,Database!$A$1:'Database'!$L$175,9,FALSE),"-"),"-")</f>
        <v>-</v>
      </c>
      <c r="K74" s="55" t="str">
        <f>IF(AND(booking!L74&lt;&gt;booking!M74,booking!L74&gt;0),"udc","-")</f>
        <v>-</v>
      </c>
      <c r="L74" s="51" t="str">
        <f>IFERROR(IF(AND(booking!AB74&gt;0,booking!L74&lt;&gt;booking!M74),VLOOKUP(booking!M74,Database!$A$1:'Database'!$L$175,6,FALSE),"-"),"-")</f>
        <v>-</v>
      </c>
      <c r="M74" s="51" t="str">
        <f>IFERROR(IF(AND(booking!AB74&gt;0,booking!L74&lt;&gt;booking!M74),VLOOKUP(booking!M74,Database!A73:'Database'!L247,9,FALSE),"-"),"-")</f>
        <v>-</v>
      </c>
      <c r="N74" s="55" t="str">
        <f>IF(AND(booking!P74&lt;&gt;booking!Q74,booking!P74&gt;0),"udc","-")</f>
        <v>-</v>
      </c>
      <c r="O74" s="51" t="str">
        <f>IFERROR(IF(AND(booking!AB74&gt;0,booking!P74&lt;&gt;booking!Q74),VLOOKUP(booking!Q74,Database!$A$1:'Database'!$L$175,6,FALSE),"-"),"-")</f>
        <v>-</v>
      </c>
      <c r="P74" s="51" t="str">
        <f>IFERROR(IF(AND(booking!AB74&gt;0,booking!P74&lt;&gt;booking!Q74),VLOOKUP(booking!Q74,Database!$A$1:'Database'!$L$175,9,FALSE),"-"),"-")</f>
        <v>-</v>
      </c>
      <c r="Q74" s="55" t="str">
        <f>IF(AND(booking!T74&lt;&gt;booking!U74,booking!T74&gt;0),"udc","-")</f>
        <v>-</v>
      </c>
      <c r="R74" s="51" t="str">
        <f>IFERROR(IF(AND(booking!AB74&gt;0,booking!T74&lt;&gt;booking!U74),VLOOKUP(booking!U74,Database!$A$1:'Database'!$L$175,6,FALSE),"-"),"-")</f>
        <v>-</v>
      </c>
      <c r="S74" s="51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6">
        <f>booking!C75</f>
        <v>46576</v>
      </c>
      <c r="D75" s="2" t="str">
        <f>IF(booking!AC75&gt;0,"Y","-")</f>
        <v>-</v>
      </c>
      <c r="E75" s="55" t="str">
        <f>IF(AND(booking!D75&lt;&gt;booking!E75,booking!D75&gt;0),"udc","-")</f>
        <v>-</v>
      </c>
      <c r="F75" s="51" t="str">
        <f>IFERROR(IF(AND(booking!AB75&gt;0,booking!D75&lt;&gt;booking!E75),VLOOKUP(booking!E75,Database!$A$1:'Database'!$L$175,6,FALSE),"-"),"-")</f>
        <v>-</v>
      </c>
      <c r="G75" s="51" t="str">
        <f>IFERROR(IF(AND(booking!AB75&gt;0,booking!D75&lt;&gt;booking!E75),VLOOKUP(booking!E75,Database!$A$1:'Database'!$L$175,9,FALSE),"-"),"-")</f>
        <v>-</v>
      </c>
      <c r="H75" s="55" t="str">
        <f>IF(AND(booking!H75&lt;&gt;booking!I75,booking!H75&gt;0),"udc","-")</f>
        <v>-</v>
      </c>
      <c r="I75" s="51" t="str">
        <f>IFERROR(IF(AND(booking!AB75&gt;0,booking!H75&lt;&gt;booking!I75),VLOOKUP(booking!I75,Database!$A$1:'Database'!$L$175,6,FALSE),"-"),"-")</f>
        <v>-</v>
      </c>
      <c r="J75" s="51" t="str">
        <f>IFERROR(IF(AND(booking!AB75&gt;0,booking!H75&lt;&gt;booking!I75),VLOOKUP(booking!I75,Database!$A$1:'Database'!$L$175,9,FALSE),"-"),"-")</f>
        <v>-</v>
      </c>
      <c r="K75" s="55" t="str">
        <f>IF(AND(booking!L75&lt;&gt;booking!M75,booking!L75&gt;0),"udc","-")</f>
        <v>-</v>
      </c>
      <c r="L75" s="51" t="str">
        <f>IFERROR(IF(AND(booking!AB75&gt;0,booking!L75&lt;&gt;booking!M75),VLOOKUP(booking!M75,Database!$A$1:'Database'!$L$175,6,FALSE),"-"),"-")</f>
        <v>-</v>
      </c>
      <c r="M75" s="51" t="str">
        <f>IFERROR(IF(AND(booking!AB75&gt;0,booking!L75&lt;&gt;booking!M75),VLOOKUP(booking!M75,Database!A74:'Database'!L248,9,FALSE),"-"),"-")</f>
        <v>-</v>
      </c>
      <c r="N75" s="55" t="str">
        <f>IF(AND(booking!P75&lt;&gt;booking!Q75,booking!P75&gt;0),"udc","-")</f>
        <v>-</v>
      </c>
      <c r="O75" s="51" t="str">
        <f>IFERROR(IF(AND(booking!AB75&gt;0,booking!P75&lt;&gt;booking!Q75),VLOOKUP(booking!Q75,Database!$A$1:'Database'!$L$175,6,FALSE),"-"),"-")</f>
        <v>-</v>
      </c>
      <c r="P75" s="51" t="str">
        <f>IFERROR(IF(AND(booking!AB75&gt;0,booking!P75&lt;&gt;booking!Q75),VLOOKUP(booking!Q75,Database!$A$1:'Database'!$L$175,9,FALSE),"-"),"-")</f>
        <v>-</v>
      </c>
      <c r="Q75" s="55" t="str">
        <f>IF(AND(booking!T75&lt;&gt;booking!U75,booking!T75&gt;0),"udc","-")</f>
        <v>-</v>
      </c>
      <c r="R75" s="51" t="str">
        <f>IFERROR(IF(AND(booking!AB75&gt;0,booking!T75&lt;&gt;booking!U75),VLOOKUP(booking!U75,Database!$A$1:'Database'!$L$175,6,FALSE),"-"),"-")</f>
        <v>-</v>
      </c>
      <c r="S75" s="51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6">
        <f>booking!C76</f>
        <v>46577</v>
      </c>
      <c r="D76" s="2" t="str">
        <f>IF(booking!AC76&gt;0,"Y","-")</f>
        <v>-</v>
      </c>
      <c r="E76" s="55" t="str">
        <f>IF(AND(booking!D76&lt;&gt;booking!E76,booking!D76&gt;0),"udc","-")</f>
        <v>-</v>
      </c>
      <c r="F76" s="51" t="str">
        <f>IFERROR(IF(AND(booking!AB76&gt;0,booking!D76&lt;&gt;booking!E76),VLOOKUP(booking!E76,Database!$A$1:'Database'!$L$175,6,FALSE),"-"),"-")</f>
        <v>-</v>
      </c>
      <c r="G76" s="51" t="str">
        <f>IFERROR(IF(AND(booking!AB76&gt;0,booking!D76&lt;&gt;booking!E76),VLOOKUP(booking!E76,Database!$A$1:'Database'!$L$175,9,FALSE),"-"),"-")</f>
        <v>-</v>
      </c>
      <c r="H76" s="55" t="str">
        <f>IF(AND(booking!H76&lt;&gt;booking!I76,booking!H76&gt;0),"udc","-")</f>
        <v>-</v>
      </c>
      <c r="I76" s="51" t="str">
        <f>IFERROR(IF(AND(booking!AB76&gt;0,booking!H76&lt;&gt;booking!I76),VLOOKUP(booking!I76,Database!$A$1:'Database'!$L$175,6,FALSE),"-"),"-")</f>
        <v>-</v>
      </c>
      <c r="J76" s="51" t="str">
        <f>IFERROR(IF(AND(booking!AB76&gt;0,booking!H76&lt;&gt;booking!I76),VLOOKUP(booking!I76,Database!$A$1:'Database'!$L$175,9,FALSE),"-"),"-")</f>
        <v>-</v>
      </c>
      <c r="K76" s="55" t="str">
        <f>IF(AND(booking!L76&lt;&gt;booking!M76,booking!L76&gt;0),"udc","-")</f>
        <v>-</v>
      </c>
      <c r="L76" s="51" t="str">
        <f>IFERROR(IF(AND(booking!AB76&gt;0,booking!L76&lt;&gt;booking!M76),VLOOKUP(booking!M76,Database!$A$1:'Database'!$L$175,6,FALSE),"-"),"-")</f>
        <v>-</v>
      </c>
      <c r="M76" s="51" t="str">
        <f>IFERROR(IF(AND(booking!AB76&gt;0,booking!L76&lt;&gt;booking!M76),VLOOKUP(booking!M76,Database!A75:'Database'!L249,9,FALSE),"-"),"-")</f>
        <v>-</v>
      </c>
      <c r="N76" s="55" t="str">
        <f>IF(AND(booking!P76&lt;&gt;booking!Q76,booking!P76&gt;0),"udc","-")</f>
        <v>-</v>
      </c>
      <c r="O76" s="51" t="str">
        <f>IFERROR(IF(AND(booking!AB76&gt;0,booking!P76&lt;&gt;booking!Q76),VLOOKUP(booking!Q76,Database!$A$1:'Database'!$L$175,6,FALSE),"-"),"-")</f>
        <v>-</v>
      </c>
      <c r="P76" s="51" t="str">
        <f>IFERROR(IF(AND(booking!AB76&gt;0,booking!P76&lt;&gt;booking!Q76),VLOOKUP(booking!Q76,Database!$A$1:'Database'!$L$175,9,FALSE),"-"),"-")</f>
        <v>-</v>
      </c>
      <c r="Q76" s="55" t="str">
        <f>IF(AND(booking!T76&lt;&gt;booking!U76,booking!T76&gt;0),"udc","-")</f>
        <v>-</v>
      </c>
      <c r="R76" s="51" t="str">
        <f>IFERROR(IF(AND(booking!AB76&gt;0,booking!T76&lt;&gt;booking!U76),VLOOKUP(booking!U76,Database!$A$1:'Database'!$L$175,6,FALSE),"-"),"-")</f>
        <v>-</v>
      </c>
      <c r="S76" s="51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6">
        <f>booking!C77</f>
        <v>46578</v>
      </c>
      <c r="D77" s="2" t="str">
        <f>IF(booking!AC77&gt;0,"Y","-")</f>
        <v>-</v>
      </c>
      <c r="E77" s="55" t="str">
        <f>IF(AND(booking!D77&lt;&gt;booking!E77,booking!D77&gt;0),"udc","-")</f>
        <v>-</v>
      </c>
      <c r="F77" s="51" t="str">
        <f>IFERROR(IF(AND(booking!AB77&gt;0,booking!D77&lt;&gt;booking!E77),VLOOKUP(booking!E77,Database!$A$1:'Database'!$L$175,6,FALSE),"-"),"-")</f>
        <v>-</v>
      </c>
      <c r="G77" s="51" t="str">
        <f>IFERROR(IF(AND(booking!AB77&gt;0,booking!D77&lt;&gt;booking!E77),VLOOKUP(booking!E77,Database!$A$1:'Database'!$L$175,9,FALSE),"-"),"-")</f>
        <v>-</v>
      </c>
      <c r="H77" s="55" t="str">
        <f>IF(AND(booking!H77&lt;&gt;booking!I77,booking!H77&gt;0),"udc","-")</f>
        <v>-</v>
      </c>
      <c r="I77" s="51" t="str">
        <f>IFERROR(IF(AND(booking!AB77&gt;0,booking!H77&lt;&gt;booking!I77),VLOOKUP(booking!I77,Database!$A$1:'Database'!$L$175,6,FALSE),"-"),"-")</f>
        <v>-</v>
      </c>
      <c r="J77" s="51" t="str">
        <f>IFERROR(IF(AND(booking!AB77&gt;0,booking!H77&lt;&gt;booking!I77),VLOOKUP(booking!I77,Database!$A$1:'Database'!$L$175,9,FALSE),"-"),"-")</f>
        <v>-</v>
      </c>
      <c r="K77" s="55" t="str">
        <f>IF(AND(booking!L77&lt;&gt;booking!M77,booking!L77&gt;0),"udc","-")</f>
        <v>-</v>
      </c>
      <c r="L77" s="51" t="str">
        <f>IFERROR(IF(AND(booking!AB77&gt;0,booking!L77&lt;&gt;booking!M77),VLOOKUP(booking!M77,Database!$A$1:'Database'!$L$175,6,FALSE),"-"),"-")</f>
        <v>-</v>
      </c>
      <c r="M77" s="51" t="str">
        <f>IFERROR(IF(AND(booking!AB77&gt;0,booking!L77&lt;&gt;booking!M77),VLOOKUP(booking!M77,Database!A76:'Database'!L250,9,FALSE),"-"),"-")</f>
        <v>-</v>
      </c>
      <c r="N77" s="55" t="str">
        <f>IF(AND(booking!P77&lt;&gt;booking!Q77,booking!P77&gt;0),"udc","-")</f>
        <v>-</v>
      </c>
      <c r="O77" s="51" t="str">
        <f>IFERROR(IF(AND(booking!AB77&gt;0,booking!P77&lt;&gt;booking!Q77),VLOOKUP(booking!Q77,Database!$A$1:'Database'!$L$175,6,FALSE),"-"),"-")</f>
        <v>-</v>
      </c>
      <c r="P77" s="51" t="str">
        <f>IFERROR(IF(AND(booking!AB77&gt;0,booking!P77&lt;&gt;booking!Q77),VLOOKUP(booking!Q77,Database!$A$1:'Database'!$L$175,9,FALSE),"-"),"-")</f>
        <v>-</v>
      </c>
      <c r="Q77" s="55" t="str">
        <f>IF(AND(booking!T77&lt;&gt;booking!U77,booking!T77&gt;0),"udc","-")</f>
        <v>-</v>
      </c>
      <c r="R77" s="51" t="str">
        <f>IFERROR(IF(AND(booking!AB77&gt;0,booking!T77&lt;&gt;booking!U77),VLOOKUP(booking!U77,Database!$A$1:'Database'!$L$175,6,FALSE),"-"),"-")</f>
        <v>-</v>
      </c>
      <c r="S77" s="51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6">
        <f>booking!C78</f>
        <v>46579</v>
      </c>
      <c r="D78" s="2" t="str">
        <f>IF(booking!AC78&gt;0,"Y","-")</f>
        <v>-</v>
      </c>
      <c r="E78" s="55" t="str">
        <f>IF(AND(booking!D78&lt;&gt;booking!E78,booking!D78&gt;0),"udc","-")</f>
        <v>-</v>
      </c>
      <c r="F78" s="51" t="str">
        <f>IFERROR(IF(AND(booking!AB78&gt;0,booking!D78&lt;&gt;booking!E78),VLOOKUP(booking!E78,Database!$A$1:'Database'!$L$175,6,FALSE),"-"),"-")</f>
        <v>-</v>
      </c>
      <c r="G78" s="51" t="str">
        <f>IFERROR(IF(AND(booking!AB78&gt;0,booking!D78&lt;&gt;booking!E78),VLOOKUP(booking!E78,Database!$A$1:'Database'!$L$175,9,FALSE),"-"),"-")</f>
        <v>-</v>
      </c>
      <c r="H78" s="55" t="str">
        <f>IF(AND(booking!H78&lt;&gt;booking!I78,booking!H78&gt;0),"udc","-")</f>
        <v>-</v>
      </c>
      <c r="I78" s="51" t="str">
        <f>IFERROR(IF(AND(booking!AB78&gt;0,booking!H78&lt;&gt;booking!I78),VLOOKUP(booking!I78,Database!$A$1:'Database'!$L$175,6,FALSE),"-"),"-")</f>
        <v>-</v>
      </c>
      <c r="J78" s="51" t="str">
        <f>IFERROR(IF(AND(booking!AB78&gt;0,booking!H78&lt;&gt;booking!I78),VLOOKUP(booking!I78,Database!$A$1:'Database'!$L$175,9,FALSE),"-"),"-")</f>
        <v>-</v>
      </c>
      <c r="K78" s="55" t="str">
        <f>IF(AND(booking!L78&lt;&gt;booking!M78,booking!L78&gt;0),"udc","-")</f>
        <v>-</v>
      </c>
      <c r="L78" s="51" t="str">
        <f>IFERROR(IF(AND(booking!AB78&gt;0,booking!L78&lt;&gt;booking!M78),VLOOKUP(booking!M78,Database!$A$1:'Database'!$L$175,6,FALSE),"-"),"-")</f>
        <v>-</v>
      </c>
      <c r="M78" s="51" t="str">
        <f>IFERROR(IF(AND(booking!AB78&gt;0,booking!L78&lt;&gt;booking!M78),VLOOKUP(booking!M78,Database!A77:'Database'!L251,9,FALSE),"-"),"-")</f>
        <v>-</v>
      </c>
      <c r="N78" s="55" t="str">
        <f>IF(AND(booking!P78&lt;&gt;booking!Q78,booking!P78&gt;0),"udc","-")</f>
        <v>-</v>
      </c>
      <c r="O78" s="51" t="str">
        <f>IFERROR(IF(AND(booking!AB78&gt;0,booking!P78&lt;&gt;booking!Q78),VLOOKUP(booking!Q78,Database!$A$1:'Database'!$L$175,6,FALSE),"-"),"-")</f>
        <v>-</v>
      </c>
      <c r="P78" s="51" t="str">
        <f>IFERROR(IF(AND(booking!AB78&gt;0,booking!P78&lt;&gt;booking!Q78),VLOOKUP(booking!Q78,Database!$A$1:'Database'!$L$175,9,FALSE),"-"),"-")</f>
        <v>-</v>
      </c>
      <c r="Q78" s="55" t="str">
        <f>IF(AND(booking!T78&lt;&gt;booking!U78,booking!T78&gt;0),"udc","-")</f>
        <v>-</v>
      </c>
      <c r="R78" s="51" t="str">
        <f>IFERROR(IF(AND(booking!AB78&gt;0,booking!T78&lt;&gt;booking!U78),VLOOKUP(booking!U78,Database!$A$1:'Database'!$L$175,6,FALSE),"-"),"-")</f>
        <v>-</v>
      </c>
      <c r="S78" s="51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6">
        <f>booking!C79</f>
        <v>46580</v>
      </c>
      <c r="D79" s="2" t="str">
        <f>IF(booking!AC79&gt;0,"Y","-")</f>
        <v>-</v>
      </c>
      <c r="E79" s="55" t="str">
        <f>IF(AND(booking!D79&lt;&gt;booking!E79,booking!D79&gt;0),"udc","-")</f>
        <v>-</v>
      </c>
      <c r="F79" s="51" t="str">
        <f>IFERROR(IF(AND(booking!AB79&gt;0,booking!D79&lt;&gt;booking!E79),VLOOKUP(booking!E79,Database!$A$1:'Database'!$L$175,6,FALSE),"-"),"-")</f>
        <v>-</v>
      </c>
      <c r="G79" s="51" t="str">
        <f>IFERROR(IF(AND(booking!AB79&gt;0,booking!D79&lt;&gt;booking!E79),VLOOKUP(booking!E79,Database!$A$1:'Database'!$L$175,9,FALSE),"-"),"-")</f>
        <v>-</v>
      </c>
      <c r="H79" s="55" t="str">
        <f>IF(AND(booking!H79&lt;&gt;booking!I79,booking!H79&gt;0),"udc","-")</f>
        <v>-</v>
      </c>
      <c r="I79" s="51" t="str">
        <f>IFERROR(IF(AND(booking!AB79&gt;0,booking!H79&lt;&gt;booking!I79),VLOOKUP(booking!I79,Database!$A$1:'Database'!$L$175,6,FALSE),"-"),"-")</f>
        <v>-</v>
      </c>
      <c r="J79" s="51" t="str">
        <f>IFERROR(IF(AND(booking!AB79&gt;0,booking!H79&lt;&gt;booking!I79),VLOOKUP(booking!I79,Database!$A$1:'Database'!$L$175,9,FALSE),"-"),"-")</f>
        <v>-</v>
      </c>
      <c r="K79" s="55" t="str">
        <f>IF(AND(booking!L79&lt;&gt;booking!M79,booking!L79&gt;0),"udc","-")</f>
        <v>-</v>
      </c>
      <c r="L79" s="51" t="str">
        <f>IFERROR(IF(AND(booking!AB79&gt;0,booking!L79&lt;&gt;booking!M79),VLOOKUP(booking!M79,Database!$A$1:'Database'!$L$175,6,FALSE),"-"),"-")</f>
        <v>-</v>
      </c>
      <c r="M79" s="51" t="str">
        <f>IFERROR(IF(AND(booking!AB79&gt;0,booking!L79&lt;&gt;booking!M79),VLOOKUP(booking!M79,Database!A78:'Database'!L252,9,FALSE),"-"),"-")</f>
        <v>-</v>
      </c>
      <c r="N79" s="55" t="str">
        <f>IF(AND(booking!P79&lt;&gt;booking!Q79,booking!P79&gt;0),"udc","-")</f>
        <v>-</v>
      </c>
      <c r="O79" s="51" t="str">
        <f>IFERROR(IF(AND(booking!AB79&gt;0,booking!P79&lt;&gt;booking!Q79),VLOOKUP(booking!Q79,Database!$A$1:'Database'!$L$175,6,FALSE),"-"),"-")</f>
        <v>-</v>
      </c>
      <c r="P79" s="51" t="str">
        <f>IFERROR(IF(AND(booking!AB79&gt;0,booking!P79&lt;&gt;booking!Q79),VLOOKUP(booking!Q79,Database!$A$1:'Database'!$L$175,9,FALSE),"-"),"-")</f>
        <v>-</v>
      </c>
      <c r="Q79" s="55" t="str">
        <f>IF(AND(booking!T79&lt;&gt;booking!U79,booking!T79&gt;0),"udc","-")</f>
        <v>-</v>
      </c>
      <c r="R79" s="51" t="str">
        <f>IFERROR(IF(AND(booking!AB79&gt;0,booking!T79&lt;&gt;booking!U79),VLOOKUP(booking!U79,Database!$A$1:'Database'!$L$175,6,FALSE),"-"),"-")</f>
        <v>-</v>
      </c>
      <c r="S79" s="51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6">
        <f>booking!C80</f>
        <v>46581</v>
      </c>
      <c r="D80" s="2" t="str">
        <f>IF(booking!AC80&gt;0,"Y","-")</f>
        <v>-</v>
      </c>
      <c r="E80" s="55" t="str">
        <f>IF(AND(booking!D80&lt;&gt;booking!E80,booking!D80&gt;0),"udc","-")</f>
        <v>-</v>
      </c>
      <c r="F80" s="51" t="str">
        <f>IFERROR(IF(AND(booking!AB80&gt;0,booking!D80&lt;&gt;booking!E80),VLOOKUP(booking!E80,Database!$A$1:'Database'!$L$175,6,FALSE),"-"),"-")</f>
        <v>-</v>
      </c>
      <c r="G80" s="51" t="str">
        <f>IFERROR(IF(AND(booking!AB80&gt;0,booking!D80&lt;&gt;booking!E80),VLOOKUP(booking!E80,Database!$A$1:'Database'!$L$175,9,FALSE),"-"),"-")</f>
        <v>-</v>
      </c>
      <c r="H80" s="55" t="str">
        <f>IF(AND(booking!H80&lt;&gt;booking!I80,booking!H80&gt;0),"udc","-")</f>
        <v>-</v>
      </c>
      <c r="I80" s="51" t="str">
        <f>IFERROR(IF(AND(booking!AB80&gt;0,booking!H80&lt;&gt;booking!I80),VLOOKUP(booking!I80,Database!$A$1:'Database'!$L$175,6,FALSE),"-"),"-")</f>
        <v>-</v>
      </c>
      <c r="J80" s="51" t="str">
        <f>IFERROR(IF(AND(booking!AB80&gt;0,booking!H80&lt;&gt;booking!I80),VLOOKUP(booking!I80,Database!$A$1:'Database'!$L$175,9,FALSE),"-"),"-")</f>
        <v>-</v>
      </c>
      <c r="K80" s="55" t="str">
        <f>IF(AND(booking!L80&lt;&gt;booking!M80,booking!L80&gt;0),"udc","-")</f>
        <v>-</v>
      </c>
      <c r="L80" s="51" t="str">
        <f>IFERROR(IF(AND(booking!AB80&gt;0,booking!L80&lt;&gt;booking!M80),VLOOKUP(booking!M80,Database!$A$1:'Database'!$L$175,6,FALSE),"-"),"-")</f>
        <v>-</v>
      </c>
      <c r="M80" s="51" t="str">
        <f>IFERROR(IF(AND(booking!AB80&gt;0,booking!L80&lt;&gt;booking!M80),VLOOKUP(booking!M80,Database!A79:'Database'!L253,9,FALSE),"-"),"-")</f>
        <v>-</v>
      </c>
      <c r="N80" s="55" t="str">
        <f>IF(AND(booking!P80&lt;&gt;booking!Q80,booking!P80&gt;0),"udc","-")</f>
        <v>-</v>
      </c>
      <c r="O80" s="51" t="str">
        <f>IFERROR(IF(AND(booking!AB80&gt;0,booking!P80&lt;&gt;booking!Q80),VLOOKUP(booking!Q80,Database!$A$1:'Database'!$L$175,6,FALSE),"-"),"-")</f>
        <v>-</v>
      </c>
      <c r="P80" s="51" t="str">
        <f>IFERROR(IF(AND(booking!AB80&gt;0,booking!P80&lt;&gt;booking!Q80),VLOOKUP(booking!Q80,Database!$A$1:'Database'!$L$175,9,FALSE),"-"),"-")</f>
        <v>-</v>
      </c>
      <c r="Q80" s="55" t="str">
        <f>IF(AND(booking!T80&lt;&gt;booking!U80,booking!T80&gt;0),"udc","-")</f>
        <v>-</v>
      </c>
      <c r="R80" s="51" t="str">
        <f>IFERROR(IF(AND(booking!AB80&gt;0,booking!T80&lt;&gt;booking!U80),VLOOKUP(booking!U80,Database!$A$1:'Database'!$L$175,6,FALSE),"-"),"-")</f>
        <v>-</v>
      </c>
      <c r="S80" s="51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6">
        <f>booking!C81</f>
        <v>46582</v>
      </c>
      <c r="D81" s="2" t="str">
        <f>IF(booking!AC81&gt;0,"Y","-")</f>
        <v>-</v>
      </c>
      <c r="E81" s="55" t="str">
        <f>IF(AND(booking!D81&lt;&gt;booking!E81,booking!D81&gt;0),"udc","-")</f>
        <v>-</v>
      </c>
      <c r="F81" s="51" t="str">
        <f>IFERROR(IF(AND(booking!AB81&gt;0,booking!D81&lt;&gt;booking!E81),VLOOKUP(booking!E81,Database!$A$1:'Database'!$L$175,6,FALSE),"-"),"-")</f>
        <v>-</v>
      </c>
      <c r="G81" s="51" t="str">
        <f>IFERROR(IF(AND(booking!AB81&gt;0,booking!D81&lt;&gt;booking!E81),VLOOKUP(booking!E81,Database!$A$1:'Database'!$L$175,9,FALSE),"-"),"-")</f>
        <v>-</v>
      </c>
      <c r="H81" s="55" t="str">
        <f>IF(AND(booking!H81&lt;&gt;booking!I81,booking!H81&gt;0),"udc","-")</f>
        <v>-</v>
      </c>
      <c r="I81" s="51" t="str">
        <f>IFERROR(IF(AND(booking!AB81&gt;0,booking!H81&lt;&gt;booking!I81),VLOOKUP(booking!I81,Database!$A$1:'Database'!$L$175,6,FALSE),"-"),"-")</f>
        <v>-</v>
      </c>
      <c r="J81" s="51" t="str">
        <f>IFERROR(IF(AND(booking!AB81&gt;0,booking!H81&lt;&gt;booking!I81),VLOOKUP(booking!I81,Database!$A$1:'Database'!$L$175,9,FALSE),"-"),"-")</f>
        <v>-</v>
      </c>
      <c r="K81" s="55" t="str">
        <f>IF(AND(booking!L81&lt;&gt;booking!M81,booking!L81&gt;0),"udc","-")</f>
        <v>-</v>
      </c>
      <c r="L81" s="51" t="str">
        <f>IFERROR(IF(AND(booking!AB81&gt;0,booking!L81&lt;&gt;booking!M81),VLOOKUP(booking!M81,Database!$A$1:'Database'!$L$175,6,FALSE),"-"),"-")</f>
        <v>-</v>
      </c>
      <c r="M81" s="51" t="str">
        <f>IFERROR(IF(AND(booking!AB81&gt;0,booking!L81&lt;&gt;booking!M81),VLOOKUP(booking!M81,Database!A80:'Database'!L254,9,FALSE),"-"),"-")</f>
        <v>-</v>
      </c>
      <c r="N81" s="55" t="str">
        <f>IF(AND(booking!P81&lt;&gt;booking!Q81,booking!P81&gt;0),"udc","-")</f>
        <v>-</v>
      </c>
      <c r="O81" s="51" t="str">
        <f>IFERROR(IF(AND(booking!AB81&gt;0,booking!P81&lt;&gt;booking!Q81),VLOOKUP(booking!Q81,Database!$A$1:'Database'!$L$175,6,FALSE),"-"),"-")</f>
        <v>-</v>
      </c>
      <c r="P81" s="51" t="str">
        <f>IFERROR(IF(AND(booking!AB81&gt;0,booking!P81&lt;&gt;booking!Q81),VLOOKUP(booking!Q81,Database!$A$1:'Database'!$L$175,9,FALSE),"-"),"-")</f>
        <v>-</v>
      </c>
      <c r="Q81" s="55" t="str">
        <f>IF(AND(booking!T81&lt;&gt;booking!U81,booking!T81&gt;0),"udc","-")</f>
        <v>-</v>
      </c>
      <c r="R81" s="51" t="str">
        <f>IFERROR(IF(AND(booking!AB81&gt;0,booking!T81&lt;&gt;booking!U81),VLOOKUP(booking!U81,Database!$A$1:'Database'!$L$175,6,FALSE),"-"),"-")</f>
        <v>-</v>
      </c>
      <c r="S81" s="51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6">
        <f>booking!C82</f>
        <v>46583</v>
      </c>
      <c r="D82" s="2" t="str">
        <f>IF(booking!AC82&gt;0,"Y","-")</f>
        <v>-</v>
      </c>
      <c r="E82" s="55" t="str">
        <f>IF(AND(booking!D82&lt;&gt;booking!E82,booking!D82&gt;0),"udc","-")</f>
        <v>-</v>
      </c>
      <c r="F82" s="51" t="str">
        <f>IFERROR(IF(AND(booking!AB82&gt;0,booking!D82&lt;&gt;booking!E82),VLOOKUP(booking!E82,Database!$A$1:'Database'!$L$175,6,FALSE),"-"),"-")</f>
        <v>-</v>
      </c>
      <c r="G82" s="51" t="str">
        <f>IFERROR(IF(AND(booking!AB82&gt;0,booking!D82&lt;&gt;booking!E82),VLOOKUP(booking!E82,Database!$A$1:'Database'!$L$175,9,FALSE),"-"),"-")</f>
        <v>-</v>
      </c>
      <c r="H82" s="55" t="str">
        <f>IF(AND(booking!H82&lt;&gt;booking!I82,booking!H82&gt;0),"udc","-")</f>
        <v>-</v>
      </c>
      <c r="I82" s="51" t="str">
        <f>IFERROR(IF(AND(booking!AB82&gt;0,booking!H82&lt;&gt;booking!I82),VLOOKUP(booking!I82,Database!$A$1:'Database'!$L$175,6,FALSE),"-"),"-")</f>
        <v>-</v>
      </c>
      <c r="J82" s="51" t="str">
        <f>IFERROR(IF(AND(booking!AB82&gt;0,booking!H82&lt;&gt;booking!I82),VLOOKUP(booking!I82,Database!$A$1:'Database'!$L$175,9,FALSE),"-"),"-")</f>
        <v>-</v>
      </c>
      <c r="K82" s="55" t="str">
        <f>IF(AND(booking!L82&lt;&gt;booking!M82,booking!L82&gt;0),"udc","-")</f>
        <v>-</v>
      </c>
      <c r="L82" s="51" t="str">
        <f>IFERROR(IF(AND(booking!AB82&gt;0,booking!L82&lt;&gt;booking!M82),VLOOKUP(booking!M82,Database!$A$1:'Database'!$L$175,6,FALSE),"-"),"-")</f>
        <v>-</v>
      </c>
      <c r="M82" s="51" t="str">
        <f>IFERROR(IF(AND(booking!AB82&gt;0,booking!L82&lt;&gt;booking!M82),VLOOKUP(booking!M82,Database!A81:'Database'!L255,9,FALSE),"-"),"-")</f>
        <v>-</v>
      </c>
      <c r="N82" s="55" t="str">
        <f>IF(AND(booking!P82&lt;&gt;booking!Q82,booking!P82&gt;0),"udc","-")</f>
        <v>-</v>
      </c>
      <c r="O82" s="51" t="str">
        <f>IFERROR(IF(AND(booking!AB82&gt;0,booking!P82&lt;&gt;booking!Q82),VLOOKUP(booking!Q82,Database!$A$1:'Database'!$L$175,6,FALSE),"-"),"-")</f>
        <v>-</v>
      </c>
      <c r="P82" s="51" t="str">
        <f>IFERROR(IF(AND(booking!AB82&gt;0,booking!P82&lt;&gt;booking!Q82),VLOOKUP(booking!Q82,Database!$A$1:'Database'!$L$175,9,FALSE),"-"),"-")</f>
        <v>-</v>
      </c>
      <c r="Q82" s="55" t="str">
        <f>IF(AND(booking!T82&lt;&gt;booking!U82,booking!T82&gt;0),"udc","-")</f>
        <v>-</v>
      </c>
      <c r="R82" s="51" t="str">
        <f>IFERROR(IF(AND(booking!AB82&gt;0,booking!T82&lt;&gt;booking!U82),VLOOKUP(booking!U82,Database!$A$1:'Database'!$L$175,6,FALSE),"-"),"-")</f>
        <v>-</v>
      </c>
      <c r="S82" s="51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6">
        <f>booking!C83</f>
        <v>46584</v>
      </c>
      <c r="D83" s="2" t="str">
        <f>IF(booking!AC83&gt;0,"Y","-")</f>
        <v>-</v>
      </c>
      <c r="E83" s="55" t="str">
        <f>IF(AND(booking!D83&lt;&gt;booking!E83,booking!D83&gt;0),"udc","-")</f>
        <v>-</v>
      </c>
      <c r="F83" s="51" t="str">
        <f>IFERROR(IF(AND(booking!AB83&gt;0,booking!D83&lt;&gt;booking!E83),VLOOKUP(booking!E83,Database!$A$1:'Database'!$L$175,6,FALSE),"-"),"-")</f>
        <v>-</v>
      </c>
      <c r="G83" s="51" t="str">
        <f>IFERROR(IF(AND(booking!AB83&gt;0,booking!D83&lt;&gt;booking!E83),VLOOKUP(booking!E83,Database!$A$1:'Database'!$L$175,9,FALSE),"-"),"-")</f>
        <v>-</v>
      </c>
      <c r="H83" s="55" t="str">
        <f>IF(AND(booking!H83&lt;&gt;booking!I83,booking!H83&gt;0),"udc","-")</f>
        <v>-</v>
      </c>
      <c r="I83" s="51" t="str">
        <f>IFERROR(IF(AND(booking!AB83&gt;0,booking!H83&lt;&gt;booking!I83),VLOOKUP(booking!I83,Database!$A$1:'Database'!$L$175,6,FALSE),"-"),"-")</f>
        <v>-</v>
      </c>
      <c r="J83" s="51" t="str">
        <f>IFERROR(IF(AND(booking!AB83&gt;0,booking!H83&lt;&gt;booking!I83),VLOOKUP(booking!I83,Database!$A$1:'Database'!$L$175,9,FALSE),"-"),"-")</f>
        <v>-</v>
      </c>
      <c r="K83" s="55" t="str">
        <f>IF(AND(booking!L83&lt;&gt;booking!M83,booking!L83&gt;0),"udc","-")</f>
        <v>-</v>
      </c>
      <c r="L83" s="51" t="str">
        <f>IFERROR(IF(AND(booking!AB83&gt;0,booking!L83&lt;&gt;booking!M83),VLOOKUP(booking!M83,Database!$A$1:'Database'!$L$175,6,FALSE),"-"),"-")</f>
        <v>-</v>
      </c>
      <c r="M83" s="51" t="str">
        <f>IFERROR(IF(AND(booking!AB83&gt;0,booking!L83&lt;&gt;booking!M83),VLOOKUP(booking!M83,Database!A82:'Database'!L256,9,FALSE),"-"),"-")</f>
        <v>-</v>
      </c>
      <c r="N83" s="55" t="str">
        <f>IF(AND(booking!P83&lt;&gt;booking!Q83,booking!P83&gt;0),"udc","-")</f>
        <v>-</v>
      </c>
      <c r="O83" s="51" t="str">
        <f>IFERROR(IF(AND(booking!AB83&gt;0,booking!P83&lt;&gt;booking!Q83),VLOOKUP(booking!Q83,Database!$A$1:'Database'!$L$175,6,FALSE),"-"),"-")</f>
        <v>-</v>
      </c>
      <c r="P83" s="51" t="str">
        <f>IFERROR(IF(AND(booking!AB83&gt;0,booking!P83&lt;&gt;booking!Q83),VLOOKUP(booking!Q83,Database!$A$1:'Database'!$L$175,9,FALSE),"-"),"-")</f>
        <v>-</v>
      </c>
      <c r="Q83" s="55" t="str">
        <f>IF(AND(booking!T83&lt;&gt;booking!U83,booking!T83&gt;0),"udc","-")</f>
        <v>-</v>
      </c>
      <c r="R83" s="51" t="str">
        <f>IFERROR(IF(AND(booking!AB83&gt;0,booking!T83&lt;&gt;booking!U83),VLOOKUP(booking!U83,Database!$A$1:'Database'!$L$175,6,FALSE),"-"),"-")</f>
        <v>-</v>
      </c>
      <c r="S83" s="51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6">
        <f>booking!C84</f>
        <v>46585</v>
      </c>
      <c r="D84" s="2" t="str">
        <f>IF(booking!AC84&gt;0,"Y","-")</f>
        <v>-</v>
      </c>
      <c r="E84" s="55" t="str">
        <f>IF(AND(booking!D84&lt;&gt;booking!E84,booking!D84&gt;0),"udc","-")</f>
        <v>-</v>
      </c>
      <c r="F84" s="51" t="str">
        <f>IFERROR(IF(AND(booking!AB84&gt;0,booking!D84&lt;&gt;booking!E84),VLOOKUP(booking!E84,Database!$A$1:'Database'!$L$175,6,FALSE),"-"),"-")</f>
        <v>-</v>
      </c>
      <c r="G84" s="51" t="str">
        <f>IFERROR(IF(AND(booking!AB84&gt;0,booking!D84&lt;&gt;booking!E84),VLOOKUP(booking!E84,Database!$A$1:'Database'!$L$175,9,FALSE),"-"),"-")</f>
        <v>-</v>
      </c>
      <c r="H84" s="55" t="str">
        <f>IF(AND(booking!H84&lt;&gt;booking!I84,booking!H84&gt;0),"udc","-")</f>
        <v>-</v>
      </c>
      <c r="I84" s="51" t="str">
        <f>IFERROR(IF(AND(booking!AB84&gt;0,booking!H84&lt;&gt;booking!I84),VLOOKUP(booking!I84,Database!$A$1:'Database'!$L$175,6,FALSE),"-"),"-")</f>
        <v>-</v>
      </c>
      <c r="J84" s="51" t="str">
        <f>IFERROR(IF(AND(booking!AB84&gt;0,booking!H84&lt;&gt;booking!I84),VLOOKUP(booking!I84,Database!$A$1:'Database'!$L$175,9,FALSE),"-"),"-")</f>
        <v>-</v>
      </c>
      <c r="K84" s="55" t="str">
        <f>IF(AND(booking!L84&lt;&gt;booking!M84,booking!L84&gt;0),"udc","-")</f>
        <v>-</v>
      </c>
      <c r="L84" s="51" t="str">
        <f>IFERROR(IF(AND(booking!AB84&gt;0,booking!L84&lt;&gt;booking!M84),VLOOKUP(booking!M84,Database!$A$1:'Database'!$L$175,6,FALSE),"-"),"-")</f>
        <v>-</v>
      </c>
      <c r="M84" s="51" t="str">
        <f>IFERROR(IF(AND(booking!AB84&gt;0,booking!L84&lt;&gt;booking!M84),VLOOKUP(booking!M84,Database!A83:'Database'!L257,9,FALSE),"-"),"-")</f>
        <v>-</v>
      </c>
      <c r="N84" s="55" t="str">
        <f>IF(AND(booking!P84&lt;&gt;booking!Q84,booking!P84&gt;0),"udc","-")</f>
        <v>-</v>
      </c>
      <c r="O84" s="51" t="str">
        <f>IFERROR(IF(AND(booking!AB84&gt;0,booking!P84&lt;&gt;booking!Q84),VLOOKUP(booking!Q84,Database!$A$1:'Database'!$L$175,6,FALSE),"-"),"-")</f>
        <v>-</v>
      </c>
      <c r="P84" s="51" t="str">
        <f>IFERROR(IF(AND(booking!AB84&gt;0,booking!P84&lt;&gt;booking!Q84),VLOOKUP(booking!Q84,Database!$A$1:'Database'!$L$175,9,FALSE),"-"),"-")</f>
        <v>-</v>
      </c>
      <c r="Q84" s="55" t="str">
        <f>IF(AND(booking!T84&lt;&gt;booking!U84,booking!T84&gt;0),"udc","-")</f>
        <v>-</v>
      </c>
      <c r="R84" s="51" t="str">
        <f>IFERROR(IF(AND(booking!AB84&gt;0,booking!T84&lt;&gt;booking!U84),VLOOKUP(booking!U84,Database!$A$1:'Database'!$L$175,6,FALSE),"-"),"-")</f>
        <v>-</v>
      </c>
      <c r="S84" s="51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6">
        <f>booking!C85</f>
        <v>46586</v>
      </c>
      <c r="D85" s="2" t="str">
        <f>IF(booking!AC85&gt;0,"Y","-")</f>
        <v>-</v>
      </c>
      <c r="E85" s="55" t="str">
        <f>IF(AND(booking!D85&lt;&gt;booking!E85,booking!D85&gt;0),"udc","-")</f>
        <v>-</v>
      </c>
      <c r="F85" s="51" t="str">
        <f>IFERROR(IF(AND(booking!AB85&gt;0,booking!D85&lt;&gt;booking!E85),VLOOKUP(booking!E85,Database!$A$1:'Database'!$L$175,6,FALSE),"-"),"-")</f>
        <v>-</v>
      </c>
      <c r="G85" s="51" t="str">
        <f>IFERROR(IF(AND(booking!AB85&gt;0,booking!D85&lt;&gt;booking!E85),VLOOKUP(booking!E85,Database!$A$1:'Database'!$L$175,9,FALSE),"-"),"-")</f>
        <v>-</v>
      </c>
      <c r="H85" s="55" t="str">
        <f>IF(AND(booking!H85&lt;&gt;booking!I85,booking!H85&gt;0),"udc","-")</f>
        <v>-</v>
      </c>
      <c r="I85" s="51" t="str">
        <f>IFERROR(IF(AND(booking!AB85&gt;0,booking!H85&lt;&gt;booking!I85),VLOOKUP(booking!I85,Database!$A$1:'Database'!$L$175,6,FALSE),"-"),"-")</f>
        <v>-</v>
      </c>
      <c r="J85" s="51" t="str">
        <f>IFERROR(IF(AND(booking!AB85&gt;0,booking!H85&lt;&gt;booking!I85),VLOOKUP(booking!I85,Database!$A$1:'Database'!$L$175,9,FALSE),"-"),"-")</f>
        <v>-</v>
      </c>
      <c r="K85" s="55" t="str">
        <f>IF(AND(booking!L85&lt;&gt;booking!M85,booking!L85&gt;0),"udc","-")</f>
        <v>-</v>
      </c>
      <c r="L85" s="51" t="str">
        <f>IFERROR(IF(AND(booking!AB85&gt;0,booking!L85&lt;&gt;booking!M85),VLOOKUP(booking!M85,Database!$A$1:'Database'!$L$175,6,FALSE),"-"),"-")</f>
        <v>-</v>
      </c>
      <c r="M85" s="51" t="str">
        <f>IFERROR(IF(AND(booking!AB85&gt;0,booking!L85&lt;&gt;booking!M85),VLOOKUP(booking!M85,Database!A84:'Database'!L258,9,FALSE),"-"),"-")</f>
        <v>-</v>
      </c>
      <c r="N85" s="55" t="str">
        <f>IF(AND(booking!P85&lt;&gt;booking!Q85,booking!P85&gt;0),"udc","-")</f>
        <v>-</v>
      </c>
      <c r="O85" s="51" t="str">
        <f>IFERROR(IF(AND(booking!AB85&gt;0,booking!P85&lt;&gt;booking!Q85),VLOOKUP(booking!Q85,Database!$A$1:'Database'!$L$175,6,FALSE),"-"),"-")</f>
        <v>-</v>
      </c>
      <c r="P85" s="51" t="str">
        <f>IFERROR(IF(AND(booking!AB85&gt;0,booking!P85&lt;&gt;booking!Q85),VLOOKUP(booking!Q85,Database!$A$1:'Database'!$L$175,9,FALSE),"-"),"-")</f>
        <v>-</v>
      </c>
      <c r="Q85" s="55" t="str">
        <f>IF(AND(booking!T85&lt;&gt;booking!U85,booking!T85&gt;0),"udc","-")</f>
        <v>-</v>
      </c>
      <c r="R85" s="51" t="str">
        <f>IFERROR(IF(AND(booking!AB85&gt;0,booking!T85&lt;&gt;booking!U85),VLOOKUP(booking!U85,Database!$A$1:'Database'!$L$175,6,FALSE),"-"),"-")</f>
        <v>-</v>
      </c>
      <c r="S85" s="51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6">
        <f>booking!C86</f>
        <v>46587</v>
      </c>
      <c r="D86" s="2" t="str">
        <f>IF(booking!AC86&gt;0,"Y","-")</f>
        <v>-</v>
      </c>
      <c r="E86" s="55" t="str">
        <f>IF(AND(booking!D86&lt;&gt;booking!E86,booking!D86&gt;0),"udc","-")</f>
        <v>-</v>
      </c>
      <c r="F86" s="51" t="str">
        <f>IFERROR(IF(AND(booking!AB86&gt;0,booking!D86&lt;&gt;booking!E86),VLOOKUP(booking!E86,Database!$A$1:'Database'!$L$175,6,FALSE),"-"),"-")</f>
        <v>-</v>
      </c>
      <c r="G86" s="51" t="str">
        <f>IFERROR(IF(AND(booking!AB86&gt;0,booking!D86&lt;&gt;booking!E86),VLOOKUP(booking!E86,Database!$A$1:'Database'!$L$175,9,FALSE),"-"),"-")</f>
        <v>-</v>
      </c>
      <c r="H86" s="55" t="str">
        <f>IF(AND(booking!H86&lt;&gt;booking!I86,booking!H86&gt;0),"udc","-")</f>
        <v>-</v>
      </c>
      <c r="I86" s="51" t="str">
        <f>IFERROR(IF(AND(booking!AB86&gt;0,booking!H86&lt;&gt;booking!I86),VLOOKUP(booking!I86,Database!$A$1:'Database'!$L$175,6,FALSE),"-"),"-")</f>
        <v>-</v>
      </c>
      <c r="J86" s="51" t="str">
        <f>IFERROR(IF(AND(booking!AB86&gt;0,booking!H86&lt;&gt;booking!I86),VLOOKUP(booking!I86,Database!$A$1:'Database'!$L$175,9,FALSE),"-"),"-")</f>
        <v>-</v>
      </c>
      <c r="K86" s="55" t="str">
        <f>IF(AND(booking!L86&lt;&gt;booking!M86,booking!L86&gt;0),"udc","-")</f>
        <v>-</v>
      </c>
      <c r="L86" s="51" t="str">
        <f>IFERROR(IF(AND(booking!AB86&gt;0,booking!L86&lt;&gt;booking!M86),VLOOKUP(booking!M86,Database!$A$1:'Database'!$L$175,6,FALSE),"-"),"-")</f>
        <v>-</v>
      </c>
      <c r="M86" s="51" t="str">
        <f>IFERROR(IF(AND(booking!AB86&gt;0,booking!L86&lt;&gt;booking!M86),VLOOKUP(booking!M86,Database!A85:'Database'!L259,9,FALSE),"-"),"-")</f>
        <v>-</v>
      </c>
      <c r="N86" s="55" t="str">
        <f>IF(AND(booking!P86&lt;&gt;booking!Q86,booking!P86&gt;0),"udc","-")</f>
        <v>-</v>
      </c>
      <c r="O86" s="51" t="str">
        <f>IFERROR(IF(AND(booking!AB86&gt;0,booking!P86&lt;&gt;booking!Q86),VLOOKUP(booking!Q86,Database!$A$1:'Database'!$L$175,6,FALSE),"-"),"-")</f>
        <v>-</v>
      </c>
      <c r="P86" s="51" t="str">
        <f>IFERROR(IF(AND(booking!AB86&gt;0,booking!P86&lt;&gt;booking!Q86),VLOOKUP(booking!Q86,Database!$A$1:'Database'!$L$175,9,FALSE),"-"),"-")</f>
        <v>-</v>
      </c>
      <c r="Q86" s="55" t="str">
        <f>IF(AND(booking!T86&lt;&gt;booking!U86,booking!T86&gt;0),"udc","-")</f>
        <v>-</v>
      </c>
      <c r="R86" s="51" t="str">
        <f>IFERROR(IF(AND(booking!AB86&gt;0,booking!T86&lt;&gt;booking!U86),VLOOKUP(booking!U86,Database!$A$1:'Database'!$L$175,6,FALSE),"-"),"-")</f>
        <v>-</v>
      </c>
      <c r="S86" s="51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6">
        <f>booking!C87</f>
        <v>46588</v>
      </c>
      <c r="D87" s="2" t="str">
        <f>IF(booking!AC87&gt;0,"Y","-")</f>
        <v>-</v>
      </c>
      <c r="E87" s="55" t="str">
        <f>IF(AND(booking!D87&lt;&gt;booking!E87,booking!D87&gt;0),"udc","-")</f>
        <v>-</v>
      </c>
      <c r="F87" s="51" t="str">
        <f>IFERROR(IF(AND(booking!AB87&gt;0,booking!D87&lt;&gt;booking!E87),VLOOKUP(booking!E87,Database!$A$1:'Database'!$L$175,6,FALSE),"-"),"-")</f>
        <v>-</v>
      </c>
      <c r="G87" s="51" t="str">
        <f>IFERROR(IF(AND(booking!AB87&gt;0,booking!D87&lt;&gt;booking!E87),VLOOKUP(booking!E87,Database!$A$1:'Database'!$L$175,9,FALSE),"-"),"-")</f>
        <v>-</v>
      </c>
      <c r="H87" s="55" t="str">
        <f>IF(AND(booking!H87&lt;&gt;booking!I87,booking!H87&gt;0),"udc","-")</f>
        <v>-</v>
      </c>
      <c r="I87" s="51" t="str">
        <f>IFERROR(IF(AND(booking!AB87&gt;0,booking!H87&lt;&gt;booking!I87),VLOOKUP(booking!I87,Database!$A$1:'Database'!$L$175,6,FALSE),"-"),"-")</f>
        <v>-</v>
      </c>
      <c r="J87" s="51" t="str">
        <f>IFERROR(IF(AND(booking!AB87&gt;0,booking!H87&lt;&gt;booking!I87),VLOOKUP(booking!I87,Database!$A$1:'Database'!$L$175,9,FALSE),"-"),"-")</f>
        <v>-</v>
      </c>
      <c r="K87" s="55" t="str">
        <f>IF(AND(booking!L87&lt;&gt;booking!M87,booking!L87&gt;0),"udc","-")</f>
        <v>-</v>
      </c>
      <c r="L87" s="51" t="str">
        <f>IFERROR(IF(AND(booking!AB87&gt;0,booking!L87&lt;&gt;booking!M87),VLOOKUP(booking!M87,Database!$A$1:'Database'!$L$175,6,FALSE),"-"),"-")</f>
        <v>-</v>
      </c>
      <c r="M87" s="51" t="str">
        <f>IFERROR(IF(AND(booking!AB87&gt;0,booking!L87&lt;&gt;booking!M87),VLOOKUP(booking!M87,Database!A86:'Database'!L260,9,FALSE),"-"),"-")</f>
        <v>-</v>
      </c>
      <c r="N87" s="55" t="str">
        <f>IF(AND(booking!P87&lt;&gt;booking!Q87,booking!P87&gt;0),"udc","-")</f>
        <v>-</v>
      </c>
      <c r="O87" s="51" t="str">
        <f>IFERROR(IF(AND(booking!AB87&gt;0,booking!P87&lt;&gt;booking!Q87),VLOOKUP(booking!Q87,Database!$A$1:'Database'!$L$175,6,FALSE),"-"),"-")</f>
        <v>-</v>
      </c>
      <c r="P87" s="51" t="str">
        <f>IFERROR(IF(AND(booking!AB87&gt;0,booking!P87&lt;&gt;booking!Q87),VLOOKUP(booking!Q87,Database!$A$1:'Database'!$L$175,9,FALSE),"-"),"-")</f>
        <v>-</v>
      </c>
      <c r="Q87" s="55" t="str">
        <f>IF(AND(booking!T87&lt;&gt;booking!U87,booking!T87&gt;0),"udc","-")</f>
        <v>-</v>
      </c>
      <c r="R87" s="51" t="str">
        <f>IFERROR(IF(AND(booking!AB87&gt;0,booking!T87&lt;&gt;booking!U87),VLOOKUP(booking!U87,Database!$A$1:'Database'!$L$175,6,FALSE),"-"),"-")</f>
        <v>-</v>
      </c>
      <c r="S87" s="51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6">
        <f>booking!C88</f>
        <v>46589</v>
      </c>
      <c r="D88" s="2" t="str">
        <f>IF(booking!AC88&gt;0,"Y","-")</f>
        <v>-</v>
      </c>
      <c r="E88" s="55" t="str">
        <f>IF(AND(booking!D88&lt;&gt;booking!E88,booking!D88&gt;0),"udc","-")</f>
        <v>-</v>
      </c>
      <c r="F88" s="51" t="str">
        <f>IFERROR(IF(AND(booking!AB88&gt;0,booking!D88&lt;&gt;booking!E88),VLOOKUP(booking!E88,Database!$A$1:'Database'!$L$175,6,FALSE),"-"),"-")</f>
        <v>-</v>
      </c>
      <c r="G88" s="51" t="str">
        <f>IFERROR(IF(AND(booking!AB88&gt;0,booking!D88&lt;&gt;booking!E88),VLOOKUP(booking!E88,Database!$A$1:'Database'!$L$175,9,FALSE),"-"),"-")</f>
        <v>-</v>
      </c>
      <c r="H88" s="55" t="str">
        <f>IF(AND(booking!H88&lt;&gt;booking!I88,booking!H88&gt;0),"udc","-")</f>
        <v>-</v>
      </c>
      <c r="I88" s="51" t="str">
        <f>IFERROR(IF(AND(booking!AB88&gt;0,booking!H88&lt;&gt;booking!I88),VLOOKUP(booking!I88,Database!$A$1:'Database'!$L$175,6,FALSE),"-"),"-")</f>
        <v>-</v>
      </c>
      <c r="J88" s="51" t="str">
        <f>IFERROR(IF(AND(booking!AB88&gt;0,booking!H88&lt;&gt;booking!I88),VLOOKUP(booking!I88,Database!$A$1:'Database'!$L$175,9,FALSE),"-"),"-")</f>
        <v>-</v>
      </c>
      <c r="K88" s="55" t="str">
        <f>IF(AND(booking!L88&lt;&gt;booking!M88,booking!L88&gt;0),"udc","-")</f>
        <v>-</v>
      </c>
      <c r="L88" s="51" t="str">
        <f>IFERROR(IF(AND(booking!AB88&gt;0,booking!L88&lt;&gt;booking!M88),VLOOKUP(booking!M88,Database!$A$1:'Database'!$L$175,6,FALSE),"-"),"-")</f>
        <v>-</v>
      </c>
      <c r="M88" s="51" t="str">
        <f>IFERROR(IF(AND(booking!AB88&gt;0,booking!L88&lt;&gt;booking!M88),VLOOKUP(booking!M88,Database!A87:'Database'!L261,9,FALSE),"-"),"-")</f>
        <v>-</v>
      </c>
      <c r="N88" s="55" t="str">
        <f>IF(AND(booking!P88&lt;&gt;booking!Q88,booking!P88&gt;0),"udc","-")</f>
        <v>-</v>
      </c>
      <c r="O88" s="51" t="str">
        <f>IFERROR(IF(AND(booking!AB88&gt;0,booking!P88&lt;&gt;booking!Q88),VLOOKUP(booking!Q88,Database!$A$1:'Database'!$L$175,6,FALSE),"-"),"-")</f>
        <v>-</v>
      </c>
      <c r="P88" s="51" t="str">
        <f>IFERROR(IF(AND(booking!AB88&gt;0,booking!P88&lt;&gt;booking!Q88),VLOOKUP(booking!Q88,Database!$A$1:'Database'!$L$175,9,FALSE),"-"),"-")</f>
        <v>-</v>
      </c>
      <c r="Q88" s="55" t="str">
        <f>IF(AND(booking!T88&lt;&gt;booking!U88,booking!T88&gt;0),"udc","-")</f>
        <v>-</v>
      </c>
      <c r="R88" s="51" t="str">
        <f>IFERROR(IF(AND(booking!AB88&gt;0,booking!T88&lt;&gt;booking!U88),VLOOKUP(booking!U88,Database!$A$1:'Database'!$L$175,6,FALSE),"-"),"-")</f>
        <v>-</v>
      </c>
      <c r="S88" s="51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6">
        <f>booking!C89</f>
        <v>46590</v>
      </c>
      <c r="D89" s="2" t="str">
        <f>IF(booking!AC89&gt;0,"Y","-")</f>
        <v>-</v>
      </c>
      <c r="E89" s="55" t="str">
        <f>IF(AND(booking!D89&lt;&gt;booking!E89,booking!D89&gt;0),"udc","-")</f>
        <v>-</v>
      </c>
      <c r="F89" s="51" t="str">
        <f>IFERROR(IF(AND(booking!AB89&gt;0,booking!D89&lt;&gt;booking!E89),VLOOKUP(booking!E89,Database!$A$1:'Database'!$L$175,6,FALSE),"-"),"-")</f>
        <v>-</v>
      </c>
      <c r="G89" s="51" t="str">
        <f>IFERROR(IF(AND(booking!AB89&gt;0,booking!D89&lt;&gt;booking!E89),VLOOKUP(booking!E89,Database!$A$1:'Database'!$L$175,9,FALSE),"-"),"-")</f>
        <v>-</v>
      </c>
      <c r="H89" s="55" t="str">
        <f>IF(AND(booking!H89&lt;&gt;booking!I89,booking!H89&gt;0),"udc","-")</f>
        <v>-</v>
      </c>
      <c r="I89" s="51" t="str">
        <f>IFERROR(IF(AND(booking!AB89&gt;0,booking!H89&lt;&gt;booking!I89),VLOOKUP(booking!I89,Database!$A$1:'Database'!$L$175,6,FALSE),"-"),"-")</f>
        <v>-</v>
      </c>
      <c r="J89" s="51" t="str">
        <f>IFERROR(IF(AND(booking!AB89&gt;0,booking!H89&lt;&gt;booking!I89),VLOOKUP(booking!I89,Database!$A$1:'Database'!$L$175,9,FALSE),"-"),"-")</f>
        <v>-</v>
      </c>
      <c r="K89" s="55" t="str">
        <f>IF(AND(booking!L89&lt;&gt;booking!M89,booking!L89&gt;0),"udc","-")</f>
        <v>-</v>
      </c>
      <c r="L89" s="51" t="str">
        <f>IFERROR(IF(AND(booking!AB89&gt;0,booking!L89&lt;&gt;booking!M89),VLOOKUP(booking!M89,Database!$A$1:'Database'!$L$175,6,FALSE),"-"),"-")</f>
        <v>-</v>
      </c>
      <c r="M89" s="51" t="str">
        <f>IFERROR(IF(AND(booking!AB89&gt;0,booking!L89&lt;&gt;booking!M89),VLOOKUP(booking!M89,Database!A88:'Database'!L262,9,FALSE),"-"),"-")</f>
        <v>-</v>
      </c>
      <c r="N89" s="55" t="str">
        <f>IF(AND(booking!P89&lt;&gt;booking!Q89,booking!P89&gt;0),"udc","-")</f>
        <v>-</v>
      </c>
      <c r="O89" s="51" t="str">
        <f>IFERROR(IF(AND(booking!AB89&gt;0,booking!P89&lt;&gt;booking!Q89),VLOOKUP(booking!Q89,Database!$A$1:'Database'!$L$175,6,FALSE),"-"),"-")</f>
        <v>-</v>
      </c>
      <c r="P89" s="51" t="str">
        <f>IFERROR(IF(AND(booking!AB89&gt;0,booking!P89&lt;&gt;booking!Q89),VLOOKUP(booking!Q89,Database!$A$1:'Database'!$L$175,9,FALSE),"-"),"-")</f>
        <v>-</v>
      </c>
      <c r="Q89" s="55" t="str">
        <f>IF(AND(booking!T89&lt;&gt;booking!U89,booking!T89&gt;0),"udc","-")</f>
        <v>-</v>
      </c>
      <c r="R89" s="51" t="str">
        <f>IFERROR(IF(AND(booking!AB89&gt;0,booking!T89&lt;&gt;booking!U89),VLOOKUP(booking!U89,Database!$A$1:'Database'!$L$175,6,FALSE),"-"),"-")</f>
        <v>-</v>
      </c>
      <c r="S89" s="51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6">
        <f>booking!C90</f>
        <v>46591</v>
      </c>
      <c r="D90" s="2" t="str">
        <f>IF(booking!AC90&gt;0,"Y","-")</f>
        <v>-</v>
      </c>
      <c r="E90" s="55" t="str">
        <f>IF(AND(booking!D90&lt;&gt;booking!E90,booking!D90&gt;0),"udc","-")</f>
        <v>-</v>
      </c>
      <c r="F90" s="51" t="str">
        <f>IFERROR(IF(AND(booking!AB90&gt;0,booking!D90&lt;&gt;booking!E90),VLOOKUP(booking!E90,Database!$A$1:'Database'!$L$175,6,FALSE),"-"),"-")</f>
        <v>-</v>
      </c>
      <c r="G90" s="51" t="str">
        <f>IFERROR(IF(AND(booking!AB90&gt;0,booking!D90&lt;&gt;booking!E90),VLOOKUP(booking!E90,Database!$A$1:'Database'!$L$175,9,FALSE),"-"),"-")</f>
        <v>-</v>
      </c>
      <c r="H90" s="55" t="str">
        <f>IF(AND(booking!H90&lt;&gt;booking!I90,booking!H90&gt;0),"udc","-")</f>
        <v>-</v>
      </c>
      <c r="I90" s="51" t="str">
        <f>IFERROR(IF(AND(booking!AB90&gt;0,booking!H90&lt;&gt;booking!I90),VLOOKUP(booking!I90,Database!$A$1:'Database'!$L$175,6,FALSE),"-"),"-")</f>
        <v>-</v>
      </c>
      <c r="J90" s="51" t="str">
        <f>IFERROR(IF(AND(booking!AB90&gt;0,booking!H90&lt;&gt;booking!I90),VLOOKUP(booking!I90,Database!$A$1:'Database'!$L$175,9,FALSE),"-"),"-")</f>
        <v>-</v>
      </c>
      <c r="K90" s="55" t="str">
        <f>IF(AND(booking!L90&lt;&gt;booking!M90,booking!L90&gt;0),"udc","-")</f>
        <v>-</v>
      </c>
      <c r="L90" s="51" t="str">
        <f>IFERROR(IF(AND(booking!AB90&gt;0,booking!L90&lt;&gt;booking!M90),VLOOKUP(booking!M90,Database!$A$1:'Database'!$L$175,6,FALSE),"-"),"-")</f>
        <v>-</v>
      </c>
      <c r="M90" s="51" t="str">
        <f>IFERROR(IF(AND(booking!AB90&gt;0,booking!L90&lt;&gt;booking!M90),VLOOKUP(booking!M90,Database!A89:'Database'!L263,9,FALSE),"-"),"-")</f>
        <v>-</v>
      </c>
      <c r="N90" s="55" t="str">
        <f>IF(AND(booking!P90&lt;&gt;booking!Q90,booking!P90&gt;0),"udc","-")</f>
        <v>-</v>
      </c>
      <c r="O90" s="51" t="str">
        <f>IFERROR(IF(AND(booking!AB90&gt;0,booking!P90&lt;&gt;booking!Q90),VLOOKUP(booking!Q90,Database!$A$1:'Database'!$L$175,6,FALSE),"-"),"-")</f>
        <v>-</v>
      </c>
      <c r="P90" s="51" t="str">
        <f>IFERROR(IF(AND(booking!AB90&gt;0,booking!P90&lt;&gt;booking!Q90),VLOOKUP(booking!Q90,Database!$A$1:'Database'!$L$175,9,FALSE),"-"),"-")</f>
        <v>-</v>
      </c>
      <c r="Q90" s="55" t="str">
        <f>IF(AND(booking!T90&lt;&gt;booking!U90,booking!T90&gt;0),"udc","-")</f>
        <v>-</v>
      </c>
      <c r="R90" s="51" t="str">
        <f>IFERROR(IF(AND(booking!AB90&gt;0,booking!T90&lt;&gt;booking!U90),VLOOKUP(booking!U90,Database!$A$1:'Database'!$L$175,6,FALSE),"-"),"-")</f>
        <v>-</v>
      </c>
      <c r="S90" s="51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6">
        <f>booking!C91</f>
        <v>46592</v>
      </c>
      <c r="D91" s="2" t="str">
        <f>IF(booking!AC91&gt;0,"Y","-")</f>
        <v>-</v>
      </c>
      <c r="E91" s="55" t="str">
        <f>IF(AND(booking!D91&lt;&gt;booking!E91,booking!D91&gt;0),"udc","-")</f>
        <v>-</v>
      </c>
      <c r="F91" s="51" t="str">
        <f>IFERROR(IF(AND(booking!AB91&gt;0,booking!D91&lt;&gt;booking!E91),VLOOKUP(booking!E91,Database!$A$1:'Database'!$L$175,6,FALSE),"-"),"-")</f>
        <v>-</v>
      </c>
      <c r="G91" s="51" t="str">
        <f>IFERROR(IF(AND(booking!AB91&gt;0,booking!D91&lt;&gt;booking!E91),VLOOKUP(booking!E91,Database!$A$1:'Database'!$L$175,9,FALSE),"-"),"-")</f>
        <v>-</v>
      </c>
      <c r="H91" s="55" t="str">
        <f>IF(AND(booking!H91&lt;&gt;booking!I91,booking!H91&gt;0),"udc","-")</f>
        <v>-</v>
      </c>
      <c r="I91" s="51" t="str">
        <f>IFERROR(IF(AND(booking!AB91&gt;0,booking!H91&lt;&gt;booking!I91),VLOOKUP(booking!I91,Database!$A$1:'Database'!$L$175,6,FALSE),"-"),"-")</f>
        <v>-</v>
      </c>
      <c r="J91" s="51" t="str">
        <f>IFERROR(IF(AND(booking!AB91&gt;0,booking!H91&lt;&gt;booking!I91),VLOOKUP(booking!I91,Database!$A$1:'Database'!$L$175,9,FALSE),"-"),"-")</f>
        <v>-</v>
      </c>
      <c r="K91" s="55" t="str">
        <f>IF(AND(booking!L91&lt;&gt;booking!M91,booking!L91&gt;0),"udc","-")</f>
        <v>-</v>
      </c>
      <c r="L91" s="51" t="str">
        <f>IFERROR(IF(AND(booking!AB91&gt;0,booking!L91&lt;&gt;booking!M91),VLOOKUP(booking!M91,Database!$A$1:'Database'!$L$175,6,FALSE),"-"),"-")</f>
        <v>-</v>
      </c>
      <c r="M91" s="51" t="str">
        <f>IFERROR(IF(AND(booking!AB91&gt;0,booking!L91&lt;&gt;booking!M91),VLOOKUP(booking!M91,Database!A90:'Database'!L264,9,FALSE),"-"),"-")</f>
        <v>-</v>
      </c>
      <c r="N91" s="55" t="str">
        <f>IF(AND(booking!P91&lt;&gt;booking!Q91,booking!P91&gt;0),"udc","-")</f>
        <v>-</v>
      </c>
      <c r="O91" s="51" t="str">
        <f>IFERROR(IF(AND(booking!AB91&gt;0,booking!P91&lt;&gt;booking!Q91),VLOOKUP(booking!Q91,Database!$A$1:'Database'!$L$175,6,FALSE),"-"),"-")</f>
        <v>-</v>
      </c>
      <c r="P91" s="51" t="str">
        <f>IFERROR(IF(AND(booking!AB91&gt;0,booking!P91&lt;&gt;booking!Q91),VLOOKUP(booking!Q91,Database!$A$1:'Database'!$L$175,9,FALSE),"-"),"-")</f>
        <v>-</v>
      </c>
      <c r="Q91" s="55" t="str">
        <f>IF(AND(booking!T91&lt;&gt;booking!U91,booking!T91&gt;0),"udc","-")</f>
        <v>-</v>
      </c>
      <c r="R91" s="51" t="str">
        <f>IFERROR(IF(AND(booking!AB91&gt;0,booking!T91&lt;&gt;booking!U91),VLOOKUP(booking!U91,Database!$A$1:'Database'!$L$175,6,FALSE),"-"),"-")</f>
        <v>-</v>
      </c>
      <c r="S91" s="51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4">
      <c r="A92" t="str">
        <f>booking!B92</f>
        <v>søndag</v>
      </c>
      <c r="B92" s="26">
        <f>booking!C92</f>
        <v>46593</v>
      </c>
      <c r="D92" s="2" t="str">
        <f>IF(booking!AC92&gt;0,"Y","-")</f>
        <v>-</v>
      </c>
      <c r="E92" s="55" t="str">
        <f>IF(AND(booking!D92&lt;&gt;booking!E92,booking!D92&gt;0),"udc","-")</f>
        <v>-</v>
      </c>
      <c r="F92" s="51" t="str">
        <f>IFERROR(IF(AND(booking!AB92&gt;0,booking!D92&lt;&gt;booking!E92),VLOOKUP(booking!E92,Database!$A$1:'Database'!$L$175,6,FALSE),"-"),"-")</f>
        <v>-</v>
      </c>
      <c r="G92" s="51" t="str">
        <f>IFERROR(IF(AND(booking!AB92&gt;0,booking!D92&lt;&gt;booking!E92),VLOOKUP(booking!E92,Database!$A$1:'Database'!$L$175,9,FALSE),"-"),"-")</f>
        <v>-</v>
      </c>
      <c r="H92" s="55" t="str">
        <f>IF(AND(booking!H92&lt;&gt;booking!I92,booking!H92&gt;0),"udc","-")</f>
        <v>-</v>
      </c>
      <c r="I92" s="51" t="str">
        <f>IFERROR(IF(AND(booking!AB92&gt;0,booking!H92&lt;&gt;booking!I92),VLOOKUP(booking!I92,Database!$A$1:'Database'!$L$175,6,FALSE),"-"),"-")</f>
        <v>-</v>
      </c>
      <c r="J92" s="51" t="str">
        <f>IFERROR(IF(AND(booking!AB92&gt;0,booking!H92&lt;&gt;booking!I92),VLOOKUP(booking!I92,Database!$A$1:'Database'!$L$175,9,FALSE),"-"),"-")</f>
        <v>-</v>
      </c>
      <c r="K92" s="55" t="str">
        <f>IF(AND(booking!L92&lt;&gt;booking!M92,booking!L92&gt;0),"udc","-")</f>
        <v>-</v>
      </c>
      <c r="L92" s="51" t="str">
        <f>IFERROR(IF(AND(booking!AB92&gt;0,booking!L92&lt;&gt;booking!M92),VLOOKUP(booking!M92,Database!$A$1:'Database'!$L$175,6,FALSE),"-"),"-")</f>
        <v>-</v>
      </c>
      <c r="M92" s="51" t="str">
        <f>IFERROR(IF(AND(booking!AB92&gt;0,booking!L92&lt;&gt;booking!M92),VLOOKUP(booking!M92,Database!A91:'Database'!L265,9,FALSE),"-"),"-")</f>
        <v>-</v>
      </c>
      <c r="N92" s="55" t="str">
        <f>IF(AND(booking!P92&lt;&gt;booking!Q92,booking!P92&gt;0),"udc","-")</f>
        <v>-</v>
      </c>
      <c r="O92" s="51" t="str">
        <f>IFERROR(IF(AND(booking!AB92&gt;0,booking!P92&lt;&gt;booking!Q92),VLOOKUP(booking!Q92,Database!$A$1:'Database'!$L$175,6,FALSE),"-"),"-")</f>
        <v>-</v>
      </c>
      <c r="P92" s="51" t="str">
        <f>IFERROR(IF(AND(booking!AB92&gt;0,booking!P92&lt;&gt;booking!Q92),VLOOKUP(booking!Q92,Database!$A$1:'Database'!$L$175,9,FALSE),"-"),"-")</f>
        <v>-</v>
      </c>
      <c r="Q92" s="55" t="str">
        <f>IF(AND(booking!T92&lt;&gt;booking!U92,booking!T92&gt;0),"udc","-")</f>
        <v>-</v>
      </c>
      <c r="R92" s="51" t="str">
        <f>IFERROR(IF(AND(booking!AB92&gt;0,booking!T92&lt;&gt;booking!U92),VLOOKUP(booking!U92,Database!$A$1:'Database'!$L$175,6,FALSE),"-"),"-")</f>
        <v>-</v>
      </c>
      <c r="S92" s="51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6">
        <f>booking!C93</f>
        <v>46594</v>
      </c>
      <c r="D93" s="2" t="str">
        <f>IF(booking!AC93&gt;0,"Y","-")</f>
        <v>-</v>
      </c>
      <c r="E93" s="55" t="str">
        <f>IF(AND(booking!D93&lt;&gt;booking!E93,booking!D93&gt;0),"udc","-")</f>
        <v>-</v>
      </c>
      <c r="F93" s="51" t="str">
        <f>IFERROR(IF(AND(booking!AB93&gt;0,booking!D93&lt;&gt;booking!E93),VLOOKUP(booking!E93,Database!$A$1:'Database'!$L$175,6,FALSE),"-"),"-")</f>
        <v>-</v>
      </c>
      <c r="G93" s="51" t="str">
        <f>IFERROR(IF(AND(booking!AB93&gt;0,booking!D93&lt;&gt;booking!E93),VLOOKUP(booking!E93,Database!$A$1:'Database'!$L$175,9,FALSE),"-"),"-")</f>
        <v>-</v>
      </c>
      <c r="H93" s="55" t="str">
        <f>IF(AND(booking!H93&lt;&gt;booking!I93,booking!H93&gt;0),"udc","-")</f>
        <v>-</v>
      </c>
      <c r="I93" s="51" t="str">
        <f>IFERROR(IF(AND(booking!AB93&gt;0,booking!H93&lt;&gt;booking!I93),VLOOKUP(booking!I93,Database!$A$1:'Database'!$L$175,6,FALSE),"-"),"-")</f>
        <v>-</v>
      </c>
      <c r="J93" s="51" t="str">
        <f>IFERROR(IF(AND(booking!AB93&gt;0,booking!H93&lt;&gt;booking!I93),VLOOKUP(booking!I93,Database!$A$1:'Database'!$L$175,9,FALSE),"-"),"-")</f>
        <v>-</v>
      </c>
      <c r="K93" s="55" t="str">
        <f>IF(AND(booking!L93&lt;&gt;booking!M93,booking!L93&gt;0),"udc","-")</f>
        <v>-</v>
      </c>
      <c r="L93" s="51" t="str">
        <f>IFERROR(IF(AND(booking!AB93&gt;0,booking!L93&lt;&gt;booking!M93),VLOOKUP(booking!M93,Database!$A$1:'Database'!$L$175,6,FALSE),"-"),"-")</f>
        <v>-</v>
      </c>
      <c r="M93" s="51" t="str">
        <f>IFERROR(IF(AND(booking!AB93&gt;0,booking!L93&lt;&gt;booking!M93),VLOOKUP(booking!M93,Database!A92:'Database'!L266,9,FALSE),"-"),"-")</f>
        <v>-</v>
      </c>
      <c r="N93" s="55" t="str">
        <f>IF(AND(booking!P93&lt;&gt;booking!Q93,booking!P93&gt;0),"udc","-")</f>
        <v>-</v>
      </c>
      <c r="O93" s="51" t="str">
        <f>IFERROR(IF(AND(booking!AB93&gt;0,booking!P93&lt;&gt;booking!Q93),VLOOKUP(booking!Q93,Database!$A$1:'Database'!$L$175,6,FALSE),"-"),"-")</f>
        <v>-</v>
      </c>
      <c r="P93" s="51" t="str">
        <f>IFERROR(IF(AND(booking!AB93&gt;0,booking!P93&lt;&gt;booking!Q93),VLOOKUP(booking!Q93,Database!$A$1:'Database'!$L$175,9,FALSE),"-"),"-")</f>
        <v>-</v>
      </c>
      <c r="Q93" s="55" t="str">
        <f>IF(AND(booking!T93&lt;&gt;booking!U93,booking!T93&gt;0),"udc","-")</f>
        <v>-</v>
      </c>
      <c r="R93" s="51" t="str">
        <f>IFERROR(IF(AND(booking!AB93&gt;0,booking!T93&lt;&gt;booking!U93),VLOOKUP(booking!U93,Database!$A$1:'Database'!$L$175,6,FALSE),"-"),"-")</f>
        <v>-</v>
      </c>
      <c r="S93" s="51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6">
        <f>booking!C94</f>
        <v>46595</v>
      </c>
      <c r="D94" s="2" t="str">
        <f>IF(booking!AC94&gt;0,"Y","-")</f>
        <v>-</v>
      </c>
      <c r="E94" s="55" t="str">
        <f>IF(AND(booking!D94&lt;&gt;booking!E94,booking!D94&gt;0),"udc","-")</f>
        <v>-</v>
      </c>
      <c r="F94" s="51" t="str">
        <f>IFERROR(IF(AND(booking!AB94&gt;0,booking!D94&lt;&gt;booking!E94),VLOOKUP(booking!E94,Database!$A$1:'Database'!$L$175,6,FALSE),"-"),"-")</f>
        <v>-</v>
      </c>
      <c r="G94" s="51" t="str">
        <f>IFERROR(IF(AND(booking!AB94&gt;0,booking!D94&lt;&gt;booking!E94),VLOOKUP(booking!E94,Database!$A$1:'Database'!$L$175,9,FALSE),"-"),"-")</f>
        <v>-</v>
      </c>
      <c r="H94" s="55" t="str">
        <f>IF(AND(booking!H94&lt;&gt;booking!I94,booking!H94&gt;0),"udc","-")</f>
        <v>-</v>
      </c>
      <c r="I94" s="51" t="str">
        <f>IFERROR(IF(AND(booking!AB94&gt;0,booking!H94&lt;&gt;booking!I94),VLOOKUP(booking!I94,Database!$A$1:'Database'!$L$175,6,FALSE),"-"),"-")</f>
        <v>-</v>
      </c>
      <c r="J94" s="51" t="str">
        <f>IFERROR(IF(AND(booking!AB94&gt;0,booking!H94&lt;&gt;booking!I94),VLOOKUP(booking!I94,Database!$A$1:'Database'!$L$175,9,FALSE),"-"),"-")</f>
        <v>-</v>
      </c>
      <c r="K94" s="55" t="str">
        <f>IF(AND(booking!L94&lt;&gt;booking!M94,booking!L94&gt;0),"udc","-")</f>
        <v>-</v>
      </c>
      <c r="L94" s="51" t="str">
        <f>IFERROR(IF(AND(booking!AB94&gt;0,booking!L94&lt;&gt;booking!M94),VLOOKUP(booking!M94,Database!$A$1:'Database'!$L$175,6,FALSE),"-"),"-")</f>
        <v>-</v>
      </c>
      <c r="M94" s="51" t="str">
        <f>IFERROR(IF(AND(booking!AB94&gt;0,booking!L94&lt;&gt;booking!M94),VLOOKUP(booking!M94,Database!A93:'Database'!L267,9,FALSE),"-"),"-")</f>
        <v>-</v>
      </c>
      <c r="N94" s="55" t="str">
        <f>IF(AND(booking!P94&lt;&gt;booking!Q94,booking!P94&gt;0),"udc","-")</f>
        <v>-</v>
      </c>
      <c r="O94" s="51" t="str">
        <f>IFERROR(IF(AND(booking!AB94&gt;0,booking!P94&lt;&gt;booking!Q94),VLOOKUP(booking!Q94,Database!$A$1:'Database'!$L$175,6,FALSE),"-"),"-")</f>
        <v>-</v>
      </c>
      <c r="P94" s="51" t="str">
        <f>IFERROR(IF(AND(booking!AB94&gt;0,booking!P94&lt;&gt;booking!Q94),VLOOKUP(booking!Q94,Database!$A$1:'Database'!$L$175,9,FALSE),"-"),"-")</f>
        <v>-</v>
      </c>
      <c r="Q94" s="55" t="str">
        <f>IF(AND(booking!T94&lt;&gt;booking!U94,booking!T94&gt;0),"udc","-")</f>
        <v>-</v>
      </c>
      <c r="R94" s="51" t="str">
        <f>IFERROR(IF(AND(booking!AB94&gt;0,booking!T94&lt;&gt;booking!U94),VLOOKUP(booking!U94,Database!$A$1:'Database'!$L$175,6,FALSE),"-"),"-")</f>
        <v>-</v>
      </c>
      <c r="S94" s="51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6">
        <f>booking!C95</f>
        <v>46596</v>
      </c>
      <c r="D95" s="2" t="str">
        <f>IF(booking!AC95&gt;0,"Y","-")</f>
        <v>-</v>
      </c>
      <c r="E95" s="55" t="str">
        <f>IF(AND(booking!D95&lt;&gt;booking!E95,booking!D95&gt;0),"udc","-")</f>
        <v>-</v>
      </c>
      <c r="F95" s="51" t="str">
        <f>IFERROR(IF(AND(booking!AB95&gt;0,booking!D95&lt;&gt;booking!E95),VLOOKUP(booking!E95,Database!$A$1:'Database'!$L$175,6,FALSE),"-"),"-")</f>
        <v>-</v>
      </c>
      <c r="G95" s="51" t="str">
        <f>IFERROR(IF(AND(booking!AB95&gt;0,booking!D95&lt;&gt;booking!E95),VLOOKUP(booking!E95,Database!$A$1:'Database'!$L$175,9,FALSE),"-"),"-")</f>
        <v>-</v>
      </c>
      <c r="H95" s="55" t="str">
        <f>IF(AND(booking!H95&lt;&gt;booking!I95,booking!H95&gt;0),"udc","-")</f>
        <v>-</v>
      </c>
      <c r="I95" s="51" t="str">
        <f>IFERROR(IF(AND(booking!AB95&gt;0,booking!H95&lt;&gt;booking!I95),VLOOKUP(booking!I95,Database!$A$1:'Database'!$L$175,6,FALSE),"-"),"-")</f>
        <v>-</v>
      </c>
      <c r="J95" s="51" t="str">
        <f>IFERROR(IF(AND(booking!AB95&gt;0,booking!H95&lt;&gt;booking!I95),VLOOKUP(booking!I95,Database!$A$1:'Database'!$L$175,9,FALSE),"-"),"-")</f>
        <v>-</v>
      </c>
      <c r="K95" s="55" t="str">
        <f>IF(AND(booking!L95&lt;&gt;booking!M95,booking!L95&gt;0),"udc","-")</f>
        <v>-</v>
      </c>
      <c r="L95" s="51" t="str">
        <f>IFERROR(IF(AND(booking!AB95&gt;0,booking!L95&lt;&gt;booking!M95),VLOOKUP(booking!M95,Database!$A$1:'Database'!$L$175,6,FALSE),"-"),"-")</f>
        <v>-</v>
      </c>
      <c r="M95" s="51" t="str">
        <f>IFERROR(IF(AND(booking!AB95&gt;0,booking!L95&lt;&gt;booking!M95),VLOOKUP(booking!M95,Database!A94:'Database'!L268,9,FALSE),"-"),"-")</f>
        <v>-</v>
      </c>
      <c r="N95" s="55" t="str">
        <f>IF(AND(booking!P95&lt;&gt;booking!Q95,booking!P95&gt;0),"udc","-")</f>
        <v>-</v>
      </c>
      <c r="O95" s="51" t="str">
        <f>IFERROR(IF(AND(booking!AB95&gt;0,booking!P95&lt;&gt;booking!Q95),VLOOKUP(booking!Q95,Database!$A$1:'Database'!$L$175,6,FALSE),"-"),"-")</f>
        <v>-</v>
      </c>
      <c r="P95" s="51" t="str">
        <f>IFERROR(IF(AND(booking!AB95&gt;0,booking!P95&lt;&gt;booking!Q95),VLOOKUP(booking!Q95,Database!$A$1:'Database'!$L$175,9,FALSE),"-"),"-")</f>
        <v>-</v>
      </c>
      <c r="Q95" s="55" t="str">
        <f>IF(AND(booking!T95&lt;&gt;booking!U95,booking!T95&gt;0),"udc","-")</f>
        <v>-</v>
      </c>
      <c r="R95" s="51" t="str">
        <f>IFERROR(IF(AND(booking!AB95&gt;0,booking!T95&lt;&gt;booking!U95),VLOOKUP(booking!U95,Database!$A$1:'Database'!$L$175,6,FALSE),"-"),"-")</f>
        <v>-</v>
      </c>
      <c r="S95" s="51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6">
        <f>booking!C96</f>
        <v>46597</v>
      </c>
      <c r="D96" s="2" t="str">
        <f>IF(booking!AC96&gt;0,"Y","-")</f>
        <v>-</v>
      </c>
      <c r="E96" s="55" t="str">
        <f>IF(AND(booking!D96&lt;&gt;booking!E96,booking!D96&gt;0),"udc","-")</f>
        <v>-</v>
      </c>
      <c r="F96" s="51" t="str">
        <f>IFERROR(IF(AND(booking!AB96&gt;0,booking!D96&lt;&gt;booking!E96),VLOOKUP(booking!E96,Database!$A$1:'Database'!$L$175,6,FALSE),"-"),"-")</f>
        <v>-</v>
      </c>
      <c r="G96" s="51" t="str">
        <f>IFERROR(IF(AND(booking!AB96&gt;0,booking!D96&lt;&gt;booking!E96),VLOOKUP(booking!E96,Database!$A$1:'Database'!$L$175,9,FALSE),"-"),"-")</f>
        <v>-</v>
      </c>
      <c r="H96" s="55" t="str">
        <f>IF(AND(booking!H96&lt;&gt;booking!I96,booking!H96&gt;0),"udc","-")</f>
        <v>-</v>
      </c>
      <c r="I96" s="51" t="str">
        <f>IFERROR(IF(AND(booking!AB96&gt;0,booking!H96&lt;&gt;booking!I96),VLOOKUP(booking!I96,Database!$A$1:'Database'!$L$175,6,FALSE),"-"),"-")</f>
        <v>-</v>
      </c>
      <c r="J96" s="51" t="str">
        <f>IFERROR(IF(AND(booking!AB96&gt;0,booking!H96&lt;&gt;booking!I96),VLOOKUP(booking!I96,Database!$A$1:'Database'!$L$175,9,FALSE),"-"),"-")</f>
        <v>-</v>
      </c>
      <c r="K96" s="55" t="str">
        <f>IF(AND(booking!L96&lt;&gt;booking!M96,booking!L96&gt;0),"udc","-")</f>
        <v>-</v>
      </c>
      <c r="L96" s="51" t="str">
        <f>IFERROR(IF(AND(booking!AB96&gt;0,booking!L96&lt;&gt;booking!M96),VLOOKUP(booking!M96,Database!$A$1:'Database'!$L$175,6,FALSE),"-"),"-")</f>
        <v>-</v>
      </c>
      <c r="M96" s="51" t="str">
        <f>IFERROR(IF(AND(booking!AB96&gt;0,booking!L96&lt;&gt;booking!M96),VLOOKUP(booking!M96,Database!A95:'Database'!L269,9,FALSE),"-"),"-")</f>
        <v>-</v>
      </c>
      <c r="N96" s="55" t="str">
        <f>IF(AND(booking!P96&lt;&gt;booking!Q96,booking!P96&gt;0),"udc","-")</f>
        <v>-</v>
      </c>
      <c r="O96" s="51" t="str">
        <f>IFERROR(IF(AND(booking!AB96&gt;0,booking!P96&lt;&gt;booking!Q96),VLOOKUP(booking!Q96,Database!$A$1:'Database'!$L$175,6,FALSE),"-"),"-")</f>
        <v>-</v>
      </c>
      <c r="P96" s="51" t="str">
        <f>IFERROR(IF(AND(booking!AB96&gt;0,booking!P96&lt;&gt;booking!Q96),VLOOKUP(booking!Q96,Database!$A$1:'Database'!$L$175,9,FALSE),"-"),"-")</f>
        <v>-</v>
      </c>
      <c r="Q96" s="55" t="str">
        <f>IF(AND(booking!T96&lt;&gt;booking!U96,booking!T96&gt;0),"udc","-")</f>
        <v>-</v>
      </c>
      <c r="R96" s="51" t="str">
        <f>IFERROR(IF(AND(booking!AB96&gt;0,booking!T96&lt;&gt;booking!U96),VLOOKUP(booking!U96,Database!$A$1:'Database'!$L$175,6,FALSE),"-"),"-")</f>
        <v>-</v>
      </c>
      <c r="S96" s="51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6">
        <f>booking!C97</f>
        <v>46598</v>
      </c>
      <c r="D97" s="2" t="str">
        <f>IF(booking!AC97&gt;0,"Y","-")</f>
        <v>-</v>
      </c>
      <c r="E97" s="55" t="str">
        <f>IF(AND(booking!D97&lt;&gt;booking!E97,booking!D97&gt;0),"udc","-")</f>
        <v>-</v>
      </c>
      <c r="F97" s="51" t="str">
        <f>IFERROR(IF(AND(booking!AB97&gt;0,booking!D97&lt;&gt;booking!E97),VLOOKUP(booking!E97,Database!$A$1:'Database'!$L$175,6,FALSE),"-"),"-")</f>
        <v>-</v>
      </c>
      <c r="G97" s="51" t="str">
        <f>IFERROR(IF(AND(booking!AB97&gt;0,booking!D97&lt;&gt;booking!E97),VLOOKUP(booking!E97,Database!$A$1:'Database'!$L$175,9,FALSE),"-"),"-")</f>
        <v>-</v>
      </c>
      <c r="H97" s="55" t="str">
        <f>IF(AND(booking!H97&lt;&gt;booking!I97,booking!H97&gt;0),"udc","-")</f>
        <v>-</v>
      </c>
      <c r="I97" s="51" t="str">
        <f>IFERROR(IF(AND(booking!AB97&gt;0,booking!H97&lt;&gt;booking!I97),VLOOKUP(booking!I97,Database!$A$1:'Database'!$L$175,6,FALSE),"-"),"-")</f>
        <v>-</v>
      </c>
      <c r="J97" s="51" t="str">
        <f>IFERROR(IF(AND(booking!AB97&gt;0,booking!H97&lt;&gt;booking!I97),VLOOKUP(booking!I97,Database!$A$1:'Database'!$L$175,9,FALSE),"-"),"-")</f>
        <v>-</v>
      </c>
      <c r="K97" s="55" t="str">
        <f>IF(AND(booking!L97&lt;&gt;booking!M97,booking!L97&gt;0),"udc","-")</f>
        <v>-</v>
      </c>
      <c r="L97" s="51" t="str">
        <f>IFERROR(IF(AND(booking!AB97&gt;0,booking!L97&lt;&gt;booking!M97),VLOOKUP(booking!M97,Database!$A$1:'Database'!$L$175,6,FALSE),"-"),"-")</f>
        <v>-</v>
      </c>
      <c r="M97" s="51" t="str">
        <f>IFERROR(IF(AND(booking!AB97&gt;0,booking!L97&lt;&gt;booking!M97),VLOOKUP(booking!M97,Database!A96:'Database'!L270,9,FALSE),"-"),"-")</f>
        <v>-</v>
      </c>
      <c r="N97" s="55" t="str">
        <f>IF(AND(booking!P97&lt;&gt;booking!Q97,booking!P97&gt;0),"udc","-")</f>
        <v>-</v>
      </c>
      <c r="O97" s="51" t="str">
        <f>IFERROR(IF(AND(booking!AB97&gt;0,booking!P97&lt;&gt;booking!Q97),VLOOKUP(booking!Q97,Database!$A$1:'Database'!$L$175,6,FALSE),"-"),"-")</f>
        <v>-</v>
      </c>
      <c r="P97" s="51" t="str">
        <f>IFERROR(IF(AND(booking!AB97&gt;0,booking!P97&lt;&gt;booking!Q97),VLOOKUP(booking!Q97,Database!$A$1:'Database'!$L$175,9,FALSE),"-"),"-")</f>
        <v>-</v>
      </c>
      <c r="Q97" s="55" t="str">
        <f>IF(AND(booking!T97&lt;&gt;booking!U97,booking!T97&gt;0),"udc","-")</f>
        <v>-</v>
      </c>
      <c r="R97" s="51" t="str">
        <f>IFERROR(IF(AND(booking!AB97&gt;0,booking!T97&lt;&gt;booking!U97),VLOOKUP(booking!U97,Database!$A$1:'Database'!$L$175,6,FALSE),"-"),"-")</f>
        <v>-</v>
      </c>
      <c r="S97" s="51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6">
        <f>booking!C98</f>
        <v>46599</v>
      </c>
      <c r="D98" s="2" t="str">
        <f>IF(booking!AC98&gt;0,"Y","-")</f>
        <v>-</v>
      </c>
      <c r="E98" s="55" t="str">
        <f>IF(AND(booking!D98&lt;&gt;booking!E98,booking!D98&gt;0),"udc","-")</f>
        <v>-</v>
      </c>
      <c r="F98" s="51" t="str">
        <f>IFERROR(IF(AND(booking!AB98&gt;0,booking!D98&lt;&gt;booking!E98),VLOOKUP(booking!E98,Database!$A$1:'Database'!$L$175,6,FALSE),"-"),"-")</f>
        <v>-</v>
      </c>
      <c r="G98" s="51" t="str">
        <f>IFERROR(IF(AND(booking!AB98&gt;0,booking!D98&lt;&gt;booking!E98),VLOOKUP(booking!E98,Database!$A$1:'Database'!$L$175,9,FALSE),"-"),"-")</f>
        <v>-</v>
      </c>
      <c r="H98" s="55" t="str">
        <f>IF(AND(booking!H98&lt;&gt;booking!I98,booking!H98&gt;0),"udc","-")</f>
        <v>-</v>
      </c>
      <c r="I98" s="51" t="str">
        <f>IFERROR(IF(AND(booking!AB98&gt;0,booking!H98&lt;&gt;booking!I98),VLOOKUP(booking!I98,Database!$A$1:'Database'!$L$175,6,FALSE),"-"),"-")</f>
        <v>-</v>
      </c>
      <c r="J98" s="51" t="str">
        <f>IFERROR(IF(AND(booking!AB98&gt;0,booking!H98&lt;&gt;booking!I98),VLOOKUP(booking!I98,Database!$A$1:'Database'!$L$175,9,FALSE),"-"),"-")</f>
        <v>-</v>
      </c>
      <c r="K98" s="55" t="str">
        <f>IF(AND(booking!L98&lt;&gt;booking!M98,booking!L98&gt;0),"udc","-")</f>
        <v>-</v>
      </c>
      <c r="L98" s="51" t="str">
        <f>IFERROR(IF(AND(booking!AB98&gt;0,booking!L98&lt;&gt;booking!M98),VLOOKUP(booking!M98,Database!$A$1:'Database'!$L$175,6,FALSE),"-"),"-")</f>
        <v>-</v>
      </c>
      <c r="M98" s="51" t="str">
        <f>IFERROR(IF(AND(booking!AB98&gt;0,booking!L98&lt;&gt;booking!M98),VLOOKUP(booking!M98,Database!A97:'Database'!L271,9,FALSE),"-"),"-")</f>
        <v>-</v>
      </c>
      <c r="N98" s="55" t="str">
        <f>IF(AND(booking!P98&lt;&gt;booking!Q98,booking!P98&gt;0),"udc","-")</f>
        <v>-</v>
      </c>
      <c r="O98" s="51" t="str">
        <f>IFERROR(IF(AND(booking!AB98&gt;0,booking!P98&lt;&gt;booking!Q98),VLOOKUP(booking!Q98,Database!$A$1:'Database'!$L$175,6,FALSE),"-"),"-")</f>
        <v>-</v>
      </c>
      <c r="P98" s="51" t="str">
        <f>IFERROR(IF(AND(booking!AB98&gt;0,booking!P98&lt;&gt;booking!Q98),VLOOKUP(booking!Q98,Database!$A$1:'Database'!$L$175,9,FALSE),"-"),"-")</f>
        <v>-</v>
      </c>
      <c r="Q98" s="55" t="str">
        <f>IF(AND(booking!T98&lt;&gt;booking!U98,booking!T98&gt;0),"udc","-")</f>
        <v>-</v>
      </c>
      <c r="R98" s="51" t="str">
        <f>IFERROR(IF(AND(booking!AB98&gt;0,booking!T98&lt;&gt;booking!U98),VLOOKUP(booking!U98,Database!$A$1:'Database'!$L$175,6,FALSE),"-"),"-")</f>
        <v>-</v>
      </c>
      <c r="S98" s="51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6">
        <f>booking!C99</f>
        <v>46600</v>
      </c>
      <c r="D99" s="2" t="str">
        <f>IF(booking!AC99&gt;0,"Y","-")</f>
        <v>-</v>
      </c>
      <c r="E99" s="55" t="str">
        <f>IF(AND(booking!D99&lt;&gt;booking!E99,booking!D99&gt;0),"udc","-")</f>
        <v>-</v>
      </c>
      <c r="F99" s="51" t="str">
        <f>IFERROR(IF(AND(booking!AB99&gt;0,booking!D99&lt;&gt;booking!E99),VLOOKUP(booking!E99,Database!$A$1:'Database'!$L$175,6,FALSE),"-"),"-")</f>
        <v>-</v>
      </c>
      <c r="G99" s="51" t="str">
        <f>IFERROR(IF(AND(booking!AB99&gt;0,booking!D99&lt;&gt;booking!E99),VLOOKUP(booking!E99,Database!$A$1:'Database'!$L$175,9,FALSE),"-"),"-")</f>
        <v>-</v>
      </c>
      <c r="H99" s="55" t="str">
        <f>IF(AND(booking!H99&lt;&gt;booking!I99,booking!H99&gt;0),"udc","-")</f>
        <v>-</v>
      </c>
      <c r="I99" s="51" t="str">
        <f>IFERROR(IF(AND(booking!AB99&gt;0,booking!H99&lt;&gt;booking!I99),VLOOKUP(booking!I99,Database!$A$1:'Database'!$L$175,6,FALSE),"-"),"-")</f>
        <v>-</v>
      </c>
      <c r="J99" s="51" t="str">
        <f>IFERROR(IF(AND(booking!AB99&gt;0,booking!H99&lt;&gt;booking!I99),VLOOKUP(booking!I99,Database!$A$1:'Database'!$L$175,9,FALSE),"-"),"-")</f>
        <v>-</v>
      </c>
      <c r="K99" s="55" t="str">
        <f>IF(AND(booking!L99&lt;&gt;booking!M99,booking!L99&gt;0),"udc","-")</f>
        <v>-</v>
      </c>
      <c r="L99" s="51" t="str">
        <f>IFERROR(IF(AND(booking!AB99&gt;0,booking!L99&lt;&gt;booking!M99),VLOOKUP(booking!M99,Database!$A$1:'Database'!$L$175,6,FALSE),"-"),"-")</f>
        <v>-</v>
      </c>
      <c r="M99" s="51" t="str">
        <f>IFERROR(IF(AND(booking!AB99&gt;0,booking!L99&lt;&gt;booking!M99),VLOOKUP(booking!M99,Database!A98:'Database'!L272,9,FALSE),"-"),"-")</f>
        <v>-</v>
      </c>
      <c r="N99" s="55" t="str">
        <f>IF(AND(booking!P99&lt;&gt;booking!Q99,booking!P99&gt;0),"udc","-")</f>
        <v>-</v>
      </c>
      <c r="O99" s="51" t="str">
        <f>IFERROR(IF(AND(booking!AB99&gt;0,booking!P99&lt;&gt;booking!Q99),VLOOKUP(booking!Q99,Database!$A$1:'Database'!$L$175,6,FALSE),"-"),"-")</f>
        <v>-</v>
      </c>
      <c r="P99" s="51" t="str">
        <f>IFERROR(IF(AND(booking!AB99&gt;0,booking!P99&lt;&gt;booking!Q99),VLOOKUP(booking!Q99,Database!$A$1:'Database'!$L$175,9,FALSE),"-"),"-")</f>
        <v>-</v>
      </c>
      <c r="Q99" s="55" t="str">
        <f>IF(AND(booking!T99&lt;&gt;booking!U99,booking!T99&gt;0),"udc","-")</f>
        <v>-</v>
      </c>
      <c r="R99" s="51" t="str">
        <f>IFERROR(IF(AND(booking!AB99&gt;0,booking!T99&lt;&gt;booking!U99),VLOOKUP(booking!U99,Database!$A$1:'Database'!$L$175,6,FALSE),"-"),"-")</f>
        <v>-</v>
      </c>
      <c r="S99" s="51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6">
        <f>booking!C100</f>
        <v>46601</v>
      </c>
      <c r="D100" s="2" t="str">
        <f>IF(booking!AC100&gt;0,"Y","-")</f>
        <v>-</v>
      </c>
      <c r="E100" s="55" t="str">
        <f>IF(AND(booking!D100&lt;&gt;booking!E100,booking!D100&gt;0),"udc","-")</f>
        <v>-</v>
      </c>
      <c r="F100" s="51" t="str">
        <f>IFERROR(IF(AND(booking!AB100&gt;0,booking!D100&lt;&gt;booking!E100),VLOOKUP(booking!E100,Database!$A$1:'Database'!$L$175,6,FALSE),"-"),"-")</f>
        <v>-</v>
      </c>
      <c r="G100" s="51" t="str">
        <f>IFERROR(IF(AND(booking!AB100&gt;0,booking!D100&lt;&gt;booking!E100),VLOOKUP(booking!E100,Database!$A$1:'Database'!$L$175,9,FALSE),"-"),"-")</f>
        <v>-</v>
      </c>
      <c r="H100" s="55" t="str">
        <f>IF(AND(booking!H100&lt;&gt;booking!I100,booking!H100&gt;0),"udc","-")</f>
        <v>-</v>
      </c>
      <c r="I100" s="51" t="str">
        <f>IFERROR(IF(AND(booking!AB100&gt;0,booking!H100&lt;&gt;booking!I100),VLOOKUP(booking!I100,Database!$A$1:'Database'!$L$175,6,FALSE),"-"),"-")</f>
        <v>-</v>
      </c>
      <c r="J100" s="51" t="str">
        <f>IFERROR(IF(AND(booking!AB100&gt;0,booking!H100&lt;&gt;booking!I100),VLOOKUP(booking!I100,Database!$A$1:'Database'!$L$175,9,FALSE),"-"),"-")</f>
        <v>-</v>
      </c>
      <c r="K100" s="55" t="str">
        <f>IF(AND(booking!L100&lt;&gt;booking!M100,booking!L100&gt;0),"udc","-")</f>
        <v>-</v>
      </c>
      <c r="L100" s="51" t="str">
        <f>IFERROR(IF(AND(booking!AB100&gt;0,booking!L100&lt;&gt;booking!M100),VLOOKUP(booking!M100,Database!$A$1:'Database'!$L$175,6,FALSE),"-"),"-")</f>
        <v>-</v>
      </c>
      <c r="M100" s="51" t="str">
        <f>IFERROR(IF(AND(booking!AB100&gt;0,booking!L100&lt;&gt;booking!M100),VLOOKUP(booking!M100,Database!A99:'Database'!L273,9,FALSE),"-"),"-")</f>
        <v>-</v>
      </c>
      <c r="N100" s="55" t="str">
        <f>IF(AND(booking!P100&lt;&gt;booking!Q100,booking!P100&gt;0),"udc","-")</f>
        <v>-</v>
      </c>
      <c r="O100" s="51" t="str">
        <f>IFERROR(IF(AND(booking!AB100&gt;0,booking!P100&lt;&gt;booking!Q100),VLOOKUP(booking!Q100,Database!$A$1:'Database'!$L$175,6,FALSE),"-"),"-")</f>
        <v>-</v>
      </c>
      <c r="P100" s="51" t="str">
        <f>IFERROR(IF(AND(booking!AB100&gt;0,booking!P100&lt;&gt;booking!Q100),VLOOKUP(booking!Q100,Database!$A$1:'Database'!$L$175,9,FALSE),"-"),"-")</f>
        <v>-</v>
      </c>
      <c r="Q100" s="55" t="str">
        <f>IF(AND(booking!T100&lt;&gt;booking!U100,booking!T100&gt;0),"udc","-")</f>
        <v>-</v>
      </c>
      <c r="R100" s="51" t="str">
        <f>IFERROR(IF(AND(booking!AB100&gt;0,booking!T100&lt;&gt;booking!U100),VLOOKUP(booking!U100,Database!$A$1:'Database'!$L$175,6,FALSE),"-"),"-")</f>
        <v>-</v>
      </c>
      <c r="S100" s="51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4">
      <c r="A101" t="str">
        <f>booking!B101</f>
        <v>tirsdag</v>
      </c>
      <c r="B101" s="26">
        <f>booking!C101</f>
        <v>46602</v>
      </c>
      <c r="D101" s="2" t="str">
        <f>IF(booking!AC101&gt;0,"Y","-")</f>
        <v>-</v>
      </c>
      <c r="E101" s="55" t="str">
        <f>IF(AND(booking!D101&lt;&gt;booking!E101,booking!D101&gt;0),"udc","-")</f>
        <v>-</v>
      </c>
      <c r="F101" s="51" t="str">
        <f>IFERROR(IF(AND(booking!AB101&gt;0,booking!D101&lt;&gt;booking!E101),VLOOKUP(booking!E101,Database!$A$1:'Database'!$L$175,6,FALSE),"-"),"-")</f>
        <v>-</v>
      </c>
      <c r="G101" s="51" t="str">
        <f>IFERROR(IF(AND(booking!AB101&gt;0,booking!D101&lt;&gt;booking!E101),VLOOKUP(booking!E101,Database!$A$1:'Database'!$L$175,9,FALSE),"-"),"-")</f>
        <v>-</v>
      </c>
      <c r="H101" s="55" t="str">
        <f>IF(AND(booking!H101&lt;&gt;booking!I101,booking!H101&gt;0),"udc","-")</f>
        <v>-</v>
      </c>
      <c r="I101" s="51" t="str">
        <f>IFERROR(IF(AND(booking!AB101&gt;0,booking!H101&lt;&gt;booking!I101),VLOOKUP(booking!I101,Database!$A$1:'Database'!$L$175,6,FALSE),"-"),"-")</f>
        <v>-</v>
      </c>
      <c r="J101" s="51" t="str">
        <f>IFERROR(IF(AND(booking!AB101&gt;0,booking!H101&lt;&gt;booking!I101),VLOOKUP(booking!I101,Database!$A$1:'Database'!$L$175,9,FALSE),"-"),"-")</f>
        <v>-</v>
      </c>
      <c r="K101" s="55" t="str">
        <f>IF(AND(booking!L101&lt;&gt;booking!M101,booking!L101&gt;0),"udc","-")</f>
        <v>-</v>
      </c>
      <c r="L101" s="51" t="str">
        <f>IFERROR(IF(AND(booking!AB101&gt;0,booking!L101&lt;&gt;booking!M101),VLOOKUP(booking!M101,Database!$A$1:'Database'!$L$175,6,FALSE),"-"),"-")</f>
        <v>-</v>
      </c>
      <c r="M101" s="51" t="str">
        <f>IFERROR(IF(AND(booking!AB101&gt;0,booking!L101&lt;&gt;booking!M101),VLOOKUP(booking!M101,Database!A100:'Database'!L274,9,FALSE),"-"),"-")</f>
        <v>-</v>
      </c>
      <c r="N101" s="55" t="str">
        <f>IF(AND(booking!P101&lt;&gt;booking!Q101,booking!P101&gt;0),"udc","-")</f>
        <v>-</v>
      </c>
      <c r="O101" s="51" t="str">
        <f>IFERROR(IF(AND(booking!AB101&gt;0,booking!P101&lt;&gt;booking!Q101),VLOOKUP(booking!Q101,Database!$A$1:'Database'!$L$175,6,FALSE),"-"),"-")</f>
        <v>-</v>
      </c>
      <c r="P101" s="51" t="str">
        <f>IFERROR(IF(AND(booking!AB101&gt;0,booking!P101&lt;&gt;booking!Q101),VLOOKUP(booking!Q101,Database!$A$1:'Database'!$L$175,9,FALSE),"-"),"-")</f>
        <v>-</v>
      </c>
      <c r="Q101" s="55" t="str">
        <f>IF(AND(booking!T101&lt;&gt;booking!U101,booking!T101&gt;0),"udc","-")</f>
        <v>-</v>
      </c>
      <c r="R101" s="51" t="str">
        <f>IFERROR(IF(AND(booking!AB101&gt;0,booking!T101&lt;&gt;booking!U101),VLOOKUP(booking!U101,Database!$A$1:'Database'!$L$175,6,FALSE),"-"),"-")</f>
        <v>-</v>
      </c>
      <c r="S101" s="51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6">
        <f>booking!C102</f>
        <v>46603</v>
      </c>
      <c r="D102" s="2" t="str">
        <f>IF(booking!AC102&gt;0,"Y","-")</f>
        <v>-</v>
      </c>
      <c r="E102" s="55" t="str">
        <f>IF(AND(booking!D102&lt;&gt;booking!E102,booking!D102&gt;0),"udc","-")</f>
        <v>-</v>
      </c>
      <c r="F102" s="51" t="str">
        <f>IFERROR(IF(AND(booking!AB102&gt;0,booking!D102&lt;&gt;booking!E102),VLOOKUP(booking!E102,Database!$A$1:'Database'!$L$175,6,FALSE),"-"),"-")</f>
        <v>-</v>
      </c>
      <c r="G102" s="51" t="str">
        <f>IFERROR(IF(AND(booking!AB102&gt;0,booking!D102&lt;&gt;booking!E102),VLOOKUP(booking!E102,Database!$A$1:'Database'!$L$175,9,FALSE),"-"),"-")</f>
        <v>-</v>
      </c>
      <c r="H102" s="55" t="str">
        <f>IF(AND(booking!H102&lt;&gt;booking!I102,booking!H102&gt;0),"udc","-")</f>
        <v>-</v>
      </c>
      <c r="I102" s="51" t="str">
        <f>IFERROR(IF(AND(booking!AB102&gt;0,booking!H102&lt;&gt;booking!I102),VLOOKUP(booking!I102,Database!$A$1:'Database'!$L$175,6,FALSE),"-"),"-")</f>
        <v>-</v>
      </c>
      <c r="J102" s="51" t="str">
        <f>IFERROR(IF(AND(booking!AB102&gt;0,booking!H102&lt;&gt;booking!I102),VLOOKUP(booking!I102,Database!$A$1:'Database'!$L$175,9,FALSE),"-"),"-")</f>
        <v>-</v>
      </c>
      <c r="K102" s="55" t="str">
        <f>IF(AND(booking!L102&lt;&gt;booking!M102,booking!L102&gt;0),"udc","-")</f>
        <v>-</v>
      </c>
      <c r="L102" s="51" t="str">
        <f>IFERROR(IF(AND(booking!AB102&gt;0,booking!L102&lt;&gt;booking!M102),VLOOKUP(booking!M102,Database!$A$1:'Database'!$L$175,6,FALSE),"-"),"-")</f>
        <v>-</v>
      </c>
      <c r="M102" s="51" t="str">
        <f>IFERROR(IF(AND(booking!AB102&gt;0,booking!L102&lt;&gt;booking!M102),VLOOKUP(booking!M102,Database!A101:'Database'!L275,9,FALSE),"-"),"-")</f>
        <v>-</v>
      </c>
      <c r="N102" s="55" t="str">
        <f>IF(AND(booking!P102&lt;&gt;booking!Q102,booking!P102&gt;0),"udc","-")</f>
        <v>-</v>
      </c>
      <c r="O102" s="51" t="str">
        <f>IFERROR(IF(AND(booking!AB102&gt;0,booking!P102&lt;&gt;booking!Q102),VLOOKUP(booking!Q102,Database!$A$1:'Database'!$L$175,6,FALSE),"-"),"-")</f>
        <v>-</v>
      </c>
      <c r="P102" s="51" t="str">
        <f>IFERROR(IF(AND(booking!AB102&gt;0,booking!P102&lt;&gt;booking!Q102),VLOOKUP(booking!Q102,Database!$A$1:'Database'!$L$175,9,FALSE),"-"),"-")</f>
        <v>-</v>
      </c>
      <c r="Q102" s="55" t="str">
        <f>IF(AND(booking!T102&lt;&gt;booking!U102,booking!T102&gt;0),"udc","-")</f>
        <v>-</v>
      </c>
      <c r="R102" s="51" t="str">
        <f>IFERROR(IF(AND(booking!AB102&gt;0,booking!T102&lt;&gt;booking!U102),VLOOKUP(booking!U102,Database!$A$1:'Database'!$L$175,6,FALSE),"-"),"-")</f>
        <v>-</v>
      </c>
      <c r="S102" s="51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6">
        <f>booking!C103</f>
        <v>46604</v>
      </c>
      <c r="D103" s="2" t="str">
        <f>IF(booking!AC103&gt;0,"Y","-")</f>
        <v>-</v>
      </c>
      <c r="E103" s="55" t="str">
        <f>IF(AND(booking!D103&lt;&gt;booking!E103,booking!D103&gt;0),"udc","-")</f>
        <v>-</v>
      </c>
      <c r="F103" s="51" t="str">
        <f>IFERROR(IF(AND(booking!AB103&gt;0,booking!D103&lt;&gt;booking!E103),VLOOKUP(booking!E103,Database!$A$1:'Database'!$L$175,6,FALSE),"-"),"-")</f>
        <v>-</v>
      </c>
      <c r="G103" s="51" t="str">
        <f>IFERROR(IF(AND(booking!AB103&gt;0,booking!D103&lt;&gt;booking!E103),VLOOKUP(booking!E103,Database!$A$1:'Database'!$L$175,9,FALSE),"-"),"-")</f>
        <v>-</v>
      </c>
      <c r="H103" s="55" t="str">
        <f>IF(AND(booking!H103&lt;&gt;booking!I103,booking!H103&gt;0),"udc","-")</f>
        <v>-</v>
      </c>
      <c r="I103" s="51" t="str">
        <f>IFERROR(IF(AND(booking!AB103&gt;0,booking!H103&lt;&gt;booking!I103),VLOOKUP(booking!I103,Database!$A$1:'Database'!$L$175,6,FALSE),"-"),"-")</f>
        <v>-</v>
      </c>
      <c r="J103" s="51" t="str">
        <f>IFERROR(IF(AND(booking!AB103&gt;0,booking!H103&lt;&gt;booking!I103),VLOOKUP(booking!I103,Database!$A$1:'Database'!$L$175,9,FALSE),"-"),"-")</f>
        <v>-</v>
      </c>
      <c r="K103" s="55" t="str">
        <f>IF(AND(booking!L103&lt;&gt;booking!M103,booking!L103&gt;0),"udc","-")</f>
        <v>-</v>
      </c>
      <c r="L103" s="51" t="str">
        <f>IFERROR(IF(AND(booking!AB103&gt;0,booking!L103&lt;&gt;booking!M103),VLOOKUP(booking!M103,Database!$A$1:'Database'!$L$175,6,FALSE),"-"),"-")</f>
        <v>-</v>
      </c>
      <c r="M103" s="51" t="str">
        <f>IFERROR(IF(AND(booking!AB103&gt;0,booking!L103&lt;&gt;booking!M103),VLOOKUP(booking!M103,Database!A102:'Database'!L276,9,FALSE),"-"),"-")</f>
        <v>-</v>
      </c>
      <c r="N103" s="55" t="str">
        <f>IF(AND(booking!P103&lt;&gt;booking!Q103,booking!P103&gt;0),"udc","-")</f>
        <v>-</v>
      </c>
      <c r="O103" s="51" t="str">
        <f>IFERROR(IF(AND(booking!AB103&gt;0,booking!P103&lt;&gt;booking!Q103),VLOOKUP(booking!Q103,Database!$A$1:'Database'!$L$175,6,FALSE),"-"),"-")</f>
        <v>-</v>
      </c>
      <c r="P103" s="51" t="str">
        <f>IFERROR(IF(AND(booking!AB103&gt;0,booking!P103&lt;&gt;booking!Q103),VLOOKUP(booking!Q103,Database!$A$1:'Database'!$L$175,9,FALSE),"-"),"-")</f>
        <v>-</v>
      </c>
      <c r="Q103" s="55" t="str">
        <f>IF(AND(booking!T103&lt;&gt;booking!U103,booking!T103&gt;0),"udc","-")</f>
        <v>-</v>
      </c>
      <c r="R103" s="51" t="str">
        <f>IFERROR(IF(AND(booking!AB103&gt;0,booking!T103&lt;&gt;booking!U103),VLOOKUP(booking!U103,Database!$A$1:'Database'!$L$175,6,FALSE),"-"),"-")</f>
        <v>-</v>
      </c>
      <c r="S103" s="51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6">
        <f>booking!C104</f>
        <v>46605</v>
      </c>
      <c r="D104" s="2" t="str">
        <f>IF(booking!AC104&gt;0,"Y","-")</f>
        <v>-</v>
      </c>
      <c r="E104" s="55" t="str">
        <f>IF(AND(booking!D104&lt;&gt;booking!E104,booking!D104&gt;0),"udc","-")</f>
        <v>-</v>
      </c>
      <c r="F104" s="51" t="str">
        <f>IFERROR(IF(AND(booking!AB104&gt;0,booking!D104&lt;&gt;booking!E104),VLOOKUP(booking!E104,Database!$A$1:'Database'!$L$175,6,FALSE),"-"),"-")</f>
        <v>-</v>
      </c>
      <c r="G104" s="51" t="str">
        <f>IFERROR(IF(AND(booking!AB104&gt;0,booking!D104&lt;&gt;booking!E104),VLOOKUP(booking!E104,Database!$A$1:'Database'!$L$175,9,FALSE),"-"),"-")</f>
        <v>-</v>
      </c>
      <c r="H104" s="55" t="str">
        <f>IF(AND(booking!H104&lt;&gt;booking!I104,booking!H104&gt;0),"udc","-")</f>
        <v>-</v>
      </c>
      <c r="I104" s="51" t="str">
        <f>IFERROR(IF(AND(booking!AB104&gt;0,booking!H104&lt;&gt;booking!I104),VLOOKUP(booking!I104,Database!$A$1:'Database'!$L$175,6,FALSE),"-"),"-")</f>
        <v>-</v>
      </c>
      <c r="J104" s="51" t="str">
        <f>IFERROR(IF(AND(booking!AB104&gt;0,booking!H104&lt;&gt;booking!I104),VLOOKUP(booking!I104,Database!$A$1:'Database'!$L$175,9,FALSE),"-"),"-")</f>
        <v>-</v>
      </c>
      <c r="K104" s="55" t="str">
        <f>IF(AND(booking!L104&lt;&gt;booking!M104,booking!L104&gt;0),"udc","-")</f>
        <v>-</v>
      </c>
      <c r="L104" s="51" t="str">
        <f>IFERROR(IF(AND(booking!AB104&gt;0,booking!L104&lt;&gt;booking!M104),VLOOKUP(booking!M104,Database!$A$1:'Database'!$L$175,6,FALSE),"-"),"-")</f>
        <v>-</v>
      </c>
      <c r="M104" s="51" t="str">
        <f>IFERROR(IF(AND(booking!AB104&gt;0,booking!L104&lt;&gt;booking!M104),VLOOKUP(booking!M104,Database!A103:'Database'!L277,9,FALSE),"-"),"-")</f>
        <v>-</v>
      </c>
      <c r="N104" s="55" t="str">
        <f>IF(AND(booking!P104&lt;&gt;booking!Q104,booking!P104&gt;0),"udc","-")</f>
        <v>-</v>
      </c>
      <c r="O104" s="51" t="str">
        <f>IFERROR(IF(AND(booking!AB104&gt;0,booking!P104&lt;&gt;booking!Q104),VLOOKUP(booking!Q104,Database!$A$1:'Database'!$L$175,6,FALSE),"-"),"-")</f>
        <v>-</v>
      </c>
      <c r="P104" s="51" t="str">
        <f>IFERROR(IF(AND(booking!AB104&gt;0,booking!P104&lt;&gt;booking!Q104),VLOOKUP(booking!Q104,Database!$A$1:'Database'!$L$175,9,FALSE),"-"),"-")</f>
        <v>-</v>
      </c>
      <c r="Q104" s="55" t="str">
        <f>IF(AND(booking!T104&lt;&gt;booking!U104,booking!T104&gt;0),"udc","-")</f>
        <v>-</v>
      </c>
      <c r="R104" s="51" t="str">
        <f>IFERROR(IF(AND(booking!AB104&gt;0,booking!T104&lt;&gt;booking!U104),VLOOKUP(booking!U104,Database!$A$1:'Database'!$L$175,6,FALSE),"-"),"-")</f>
        <v>-</v>
      </c>
      <c r="S104" s="51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6">
        <f>booking!C105</f>
        <v>46606</v>
      </c>
      <c r="D105" s="2" t="str">
        <f>IF(booking!AC105&gt;0,"Y","-")</f>
        <v>-</v>
      </c>
      <c r="E105" s="55" t="str">
        <f>IF(AND(booking!D105&lt;&gt;booking!E105,booking!D105&gt;0),"udc","-")</f>
        <v>-</v>
      </c>
      <c r="F105" s="51" t="str">
        <f>IFERROR(IF(AND(booking!AB105&gt;0,booking!D105&lt;&gt;booking!E105),VLOOKUP(booking!E105,Database!$A$1:'Database'!$L$175,6,FALSE),"-"),"-")</f>
        <v>-</v>
      </c>
      <c r="G105" s="51" t="str">
        <f>IFERROR(IF(AND(booking!AB105&gt;0,booking!D105&lt;&gt;booking!E105),VLOOKUP(booking!E105,Database!$A$1:'Database'!$L$175,9,FALSE),"-"),"-")</f>
        <v>-</v>
      </c>
      <c r="H105" s="55" t="str">
        <f>IF(AND(booking!H105&lt;&gt;booking!I105,booking!H105&gt;0),"udc","-")</f>
        <v>-</v>
      </c>
      <c r="I105" s="51" t="str">
        <f>IFERROR(IF(AND(booking!AB105&gt;0,booking!H105&lt;&gt;booking!I105),VLOOKUP(booking!I105,Database!$A$1:'Database'!$L$175,6,FALSE),"-"),"-")</f>
        <v>-</v>
      </c>
      <c r="J105" s="51" t="str">
        <f>IFERROR(IF(AND(booking!AB105&gt;0,booking!H105&lt;&gt;booking!I105),VLOOKUP(booking!I105,Database!$A$1:'Database'!$L$175,9,FALSE),"-"),"-")</f>
        <v>-</v>
      </c>
      <c r="K105" s="55" t="str">
        <f>IF(AND(booking!L105&lt;&gt;booking!M105,booking!L105&gt;0),"udc","-")</f>
        <v>-</v>
      </c>
      <c r="L105" s="51" t="str">
        <f>IFERROR(IF(AND(booking!AB105&gt;0,booking!L105&lt;&gt;booking!M105),VLOOKUP(booking!M105,Database!$A$1:'Database'!$L$175,6,FALSE),"-"),"-")</f>
        <v>-</v>
      </c>
      <c r="M105" s="51" t="str">
        <f>IFERROR(IF(AND(booking!AB105&gt;0,booking!L105&lt;&gt;booking!M105),VLOOKUP(booking!M105,Database!A104:'Database'!L278,9,FALSE),"-"),"-")</f>
        <v>-</v>
      </c>
      <c r="N105" s="55" t="str">
        <f>IF(AND(booking!P105&lt;&gt;booking!Q105,booking!P105&gt;0),"udc","-")</f>
        <v>-</v>
      </c>
      <c r="O105" s="51" t="str">
        <f>IFERROR(IF(AND(booking!AB105&gt;0,booking!P105&lt;&gt;booking!Q105),VLOOKUP(booking!Q105,Database!$A$1:'Database'!$L$175,6,FALSE),"-"),"-")</f>
        <v>-</v>
      </c>
      <c r="P105" s="51" t="str">
        <f>IFERROR(IF(AND(booking!AB105&gt;0,booking!P105&lt;&gt;booking!Q105),VLOOKUP(booking!Q105,Database!$A$1:'Database'!$L$175,9,FALSE),"-"),"-")</f>
        <v>-</v>
      </c>
      <c r="Q105" s="55" t="str">
        <f>IF(AND(booking!T105&lt;&gt;booking!U105,booking!T105&gt;0),"udc","-")</f>
        <v>-</v>
      </c>
      <c r="R105" s="51" t="str">
        <f>IFERROR(IF(AND(booking!AB105&gt;0,booking!T105&lt;&gt;booking!U105),VLOOKUP(booking!U105,Database!$A$1:'Database'!$L$175,6,FALSE),"-"),"-")</f>
        <v>-</v>
      </c>
      <c r="S105" s="51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6">
        <f>booking!C106</f>
        <v>46607</v>
      </c>
      <c r="D106" s="2" t="str">
        <f>IF(booking!AC106&gt;0,"Y","-")</f>
        <v>-</v>
      </c>
      <c r="E106" s="55" t="str">
        <f>IF(AND(booking!D106&lt;&gt;booking!E106,booking!D106&gt;0),"udc","-")</f>
        <v>-</v>
      </c>
      <c r="F106" s="51" t="str">
        <f>IFERROR(IF(AND(booking!AB106&gt;0,booking!D106&lt;&gt;booking!E106),VLOOKUP(booking!E106,Database!$A$1:'Database'!$L$175,6,FALSE),"-"),"-")</f>
        <v>-</v>
      </c>
      <c r="G106" s="51" t="str">
        <f>IFERROR(IF(AND(booking!AB106&gt;0,booking!D106&lt;&gt;booking!E106),VLOOKUP(booking!E106,Database!$A$1:'Database'!$L$175,9,FALSE),"-"),"-")</f>
        <v>-</v>
      </c>
      <c r="H106" s="55" t="str">
        <f>IF(AND(booking!H106&lt;&gt;booking!I106,booking!H106&gt;0),"udc","-")</f>
        <v>-</v>
      </c>
      <c r="I106" s="51" t="str">
        <f>IFERROR(IF(AND(booking!AB106&gt;0,booking!H106&lt;&gt;booking!I106),VLOOKUP(booking!I106,Database!$A$1:'Database'!$L$175,6,FALSE),"-"),"-")</f>
        <v>-</v>
      </c>
      <c r="J106" s="51" t="str">
        <f>IFERROR(IF(AND(booking!AB106&gt;0,booking!H106&lt;&gt;booking!I106),VLOOKUP(booking!I106,Database!$A$1:'Database'!$L$175,9,FALSE),"-"),"-")</f>
        <v>-</v>
      </c>
      <c r="K106" s="55" t="str">
        <f>IF(AND(booking!L106&lt;&gt;booking!M106,booking!L106&gt;0),"udc","-")</f>
        <v>-</v>
      </c>
      <c r="L106" s="51" t="str">
        <f>IFERROR(IF(AND(booking!AB106&gt;0,booking!L106&lt;&gt;booking!M106),VLOOKUP(booking!M106,Database!$A$1:'Database'!$L$175,6,FALSE),"-"),"-")</f>
        <v>-</v>
      </c>
      <c r="M106" s="51" t="str">
        <f>IFERROR(IF(AND(booking!AB106&gt;0,booking!L106&lt;&gt;booking!M106),VLOOKUP(booking!M106,Database!A105:'Database'!L279,9,FALSE),"-"),"-")</f>
        <v>-</v>
      </c>
      <c r="N106" s="55" t="str">
        <f>IF(AND(booking!P106&lt;&gt;booking!Q106,booking!P106&gt;0),"udc","-")</f>
        <v>-</v>
      </c>
      <c r="O106" s="51" t="str">
        <f>IFERROR(IF(AND(booking!AB106&gt;0,booking!P106&lt;&gt;booking!Q106),VLOOKUP(booking!Q106,Database!$A$1:'Database'!$L$175,6,FALSE),"-"),"-")</f>
        <v>-</v>
      </c>
      <c r="P106" s="51" t="str">
        <f>IFERROR(IF(AND(booking!AB106&gt;0,booking!P106&lt;&gt;booking!Q106),VLOOKUP(booking!Q106,Database!$A$1:'Database'!$L$175,9,FALSE),"-"),"-")</f>
        <v>-</v>
      </c>
      <c r="Q106" s="55" t="str">
        <f>IF(AND(booking!T106&lt;&gt;booking!U106,booking!T106&gt;0),"udc","-")</f>
        <v>-</v>
      </c>
      <c r="R106" s="51" t="str">
        <f>IFERROR(IF(AND(booking!AB106&gt;0,booking!T106&lt;&gt;booking!U106),VLOOKUP(booking!U106,Database!$A$1:'Database'!$L$175,6,FALSE),"-"),"-")</f>
        <v>-</v>
      </c>
      <c r="S106" s="51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6">
        <f>booking!C107</f>
        <v>46608</v>
      </c>
      <c r="D107" s="2" t="str">
        <f>IF(booking!AC107&gt;0,"Y","-")</f>
        <v>-</v>
      </c>
      <c r="E107" s="55" t="str">
        <f>IF(AND(booking!D107&lt;&gt;booking!E107,booking!D107&gt;0),"udc","-")</f>
        <v>-</v>
      </c>
      <c r="F107" s="51" t="str">
        <f>IFERROR(IF(AND(booking!AB107&gt;0,booking!D107&lt;&gt;booking!E107),VLOOKUP(booking!E107,Database!$A$1:'Database'!$L$175,6,FALSE),"-"),"-")</f>
        <v>-</v>
      </c>
      <c r="G107" s="51" t="str">
        <f>IFERROR(IF(AND(booking!AB107&gt;0,booking!D107&lt;&gt;booking!E107),VLOOKUP(booking!E107,Database!$A$1:'Database'!$L$175,9,FALSE),"-"),"-")</f>
        <v>-</v>
      </c>
      <c r="H107" s="55" t="str">
        <f>IF(AND(booking!H107&lt;&gt;booking!I107,booking!H107&gt;0),"udc","-")</f>
        <v>-</v>
      </c>
      <c r="I107" s="51" t="str">
        <f>IFERROR(IF(AND(booking!AB107&gt;0,booking!H107&lt;&gt;booking!I107),VLOOKUP(booking!I107,Database!$A$1:'Database'!$L$175,6,FALSE),"-"),"-")</f>
        <v>-</v>
      </c>
      <c r="J107" s="51" t="str">
        <f>IFERROR(IF(AND(booking!AB107&gt;0,booking!H107&lt;&gt;booking!I107),VLOOKUP(booking!I107,Database!$A$1:'Database'!$L$175,9,FALSE),"-"),"-")</f>
        <v>-</v>
      </c>
      <c r="K107" s="55" t="str">
        <f>IF(AND(booking!L107&lt;&gt;booking!M107,booking!L107&gt;0),"udc","-")</f>
        <v>-</v>
      </c>
      <c r="L107" s="51" t="str">
        <f>IFERROR(IF(AND(booking!AB107&gt;0,booking!L107&lt;&gt;booking!M107),VLOOKUP(booking!M107,Database!$A$1:'Database'!$L$175,6,FALSE),"-"),"-")</f>
        <v>-</v>
      </c>
      <c r="M107" s="51" t="str">
        <f>IFERROR(IF(AND(booking!AB107&gt;0,booking!L107&lt;&gt;booking!M107),VLOOKUP(booking!M107,Database!A106:'Database'!L280,9,FALSE),"-"),"-")</f>
        <v>-</v>
      </c>
      <c r="N107" s="55" t="str">
        <f>IF(AND(booking!P107&lt;&gt;booking!Q107,booking!P107&gt;0),"udc","-")</f>
        <v>-</v>
      </c>
      <c r="O107" s="51" t="str">
        <f>IFERROR(IF(AND(booking!AB107&gt;0,booking!P107&lt;&gt;booking!Q107),VLOOKUP(booking!Q107,Database!$A$1:'Database'!$L$175,6,FALSE),"-"),"-")</f>
        <v>-</v>
      </c>
      <c r="P107" s="51" t="str">
        <f>IFERROR(IF(AND(booking!AB107&gt;0,booking!P107&lt;&gt;booking!Q107),VLOOKUP(booking!Q107,Database!$A$1:'Database'!$L$175,9,FALSE),"-"),"-")</f>
        <v>-</v>
      </c>
      <c r="Q107" s="55" t="str">
        <f>IF(AND(booking!T107&lt;&gt;booking!U107,booking!T107&gt;0),"udc","-")</f>
        <v>-</v>
      </c>
      <c r="R107" s="51" t="str">
        <f>IFERROR(IF(AND(booking!AB107&gt;0,booking!T107&lt;&gt;booking!U107),VLOOKUP(booking!U107,Database!$A$1:'Database'!$L$175,6,FALSE),"-"),"-")</f>
        <v>-</v>
      </c>
      <c r="S107" s="51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6">
        <f>booking!C108</f>
        <v>46609</v>
      </c>
      <c r="D108" s="2" t="str">
        <f>IF(booking!AC108&gt;0,"Y","-")</f>
        <v>-</v>
      </c>
      <c r="E108" s="55" t="str">
        <f>IF(AND(booking!D108&lt;&gt;booking!E108,booking!D108&gt;0),"udc","-")</f>
        <v>-</v>
      </c>
      <c r="F108" s="51" t="str">
        <f>IFERROR(IF(AND(booking!AB108&gt;0,booking!D108&lt;&gt;booking!E108),VLOOKUP(booking!E108,Database!$A$1:'Database'!$L$175,6,FALSE),"-"),"-")</f>
        <v>-</v>
      </c>
      <c r="G108" s="51" t="str">
        <f>IFERROR(IF(AND(booking!AB108&gt;0,booking!D108&lt;&gt;booking!E108),VLOOKUP(booking!E108,Database!$A$1:'Database'!$L$175,9,FALSE),"-"),"-")</f>
        <v>-</v>
      </c>
      <c r="H108" s="55" t="str">
        <f>IF(AND(booking!H108&lt;&gt;booking!I108,booking!H108&gt;0),"udc","-")</f>
        <v>-</v>
      </c>
      <c r="I108" s="51" t="str">
        <f>IFERROR(IF(AND(booking!AB108&gt;0,booking!H108&lt;&gt;booking!I108),VLOOKUP(booking!I108,Database!$A$1:'Database'!$L$175,6,FALSE),"-"),"-")</f>
        <v>-</v>
      </c>
      <c r="J108" s="51" t="str">
        <f>IFERROR(IF(AND(booking!AB108&gt;0,booking!H108&lt;&gt;booking!I108),VLOOKUP(booking!I108,Database!$A$1:'Database'!$L$175,9,FALSE),"-"),"-")</f>
        <v>-</v>
      </c>
      <c r="K108" s="55" t="str">
        <f>IF(AND(booking!L108&lt;&gt;booking!M108,booking!L108&gt;0),"udc","-")</f>
        <v>-</v>
      </c>
      <c r="L108" s="51" t="str">
        <f>IFERROR(IF(AND(booking!AB108&gt;0,booking!L108&lt;&gt;booking!M108),VLOOKUP(booking!M108,Database!$A$1:'Database'!$L$175,6,FALSE),"-"),"-")</f>
        <v>-</v>
      </c>
      <c r="M108" s="51" t="str">
        <f>IFERROR(IF(AND(booking!AB108&gt;0,booking!L108&lt;&gt;booking!M108),VLOOKUP(booking!M108,Database!A107:'Database'!L281,9,FALSE),"-"),"-")</f>
        <v>-</v>
      </c>
      <c r="N108" s="55" t="str">
        <f>IF(AND(booking!P108&lt;&gt;booking!Q108,booking!P108&gt;0),"udc","-")</f>
        <v>-</v>
      </c>
      <c r="O108" s="51" t="str">
        <f>IFERROR(IF(AND(booking!AB108&gt;0,booking!P108&lt;&gt;booking!Q108),VLOOKUP(booking!Q108,Database!$A$1:'Database'!$L$175,6,FALSE),"-"),"-")</f>
        <v>-</v>
      </c>
      <c r="P108" s="51" t="str">
        <f>IFERROR(IF(AND(booking!AB108&gt;0,booking!P108&lt;&gt;booking!Q108),VLOOKUP(booking!Q108,Database!$A$1:'Database'!$L$175,9,FALSE),"-"),"-")</f>
        <v>-</v>
      </c>
      <c r="Q108" s="55" t="str">
        <f>IF(AND(booking!T108&lt;&gt;booking!U108,booking!T108&gt;0),"udc","-")</f>
        <v>-</v>
      </c>
      <c r="R108" s="51" t="str">
        <f>IFERROR(IF(AND(booking!AB108&gt;0,booking!T108&lt;&gt;booking!U108),VLOOKUP(booking!U108,Database!$A$1:'Database'!$L$175,6,FALSE),"-"),"-")</f>
        <v>-</v>
      </c>
      <c r="S108" s="51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6">
        <f>booking!C109</f>
        <v>46610</v>
      </c>
      <c r="D109" s="2" t="str">
        <f>IF(booking!AC109&gt;0,"Y","-")</f>
        <v>-</v>
      </c>
      <c r="E109" s="55" t="str">
        <f>IF(AND(booking!D109&lt;&gt;booking!E109,booking!D109&gt;0),"udc","-")</f>
        <v>-</v>
      </c>
      <c r="F109" s="51" t="str">
        <f>IFERROR(IF(AND(booking!AB109&gt;0,booking!D109&lt;&gt;booking!E109),VLOOKUP(booking!E109,Database!$A$1:'Database'!$L$175,6,FALSE),"-"),"-")</f>
        <v>-</v>
      </c>
      <c r="G109" s="51" t="str">
        <f>IFERROR(IF(AND(booking!AB109&gt;0,booking!D109&lt;&gt;booking!E109),VLOOKUP(booking!E109,Database!$A$1:'Database'!$L$175,9,FALSE),"-"),"-")</f>
        <v>-</v>
      </c>
      <c r="H109" s="55" t="str">
        <f>IF(AND(booking!H109&lt;&gt;booking!I109,booking!H109&gt;0),"udc","-")</f>
        <v>-</v>
      </c>
      <c r="I109" s="51" t="str">
        <f>IFERROR(IF(AND(booking!AB109&gt;0,booking!H109&lt;&gt;booking!I109),VLOOKUP(booking!I109,Database!$A$1:'Database'!$L$175,6,FALSE),"-"),"-")</f>
        <v>-</v>
      </c>
      <c r="J109" s="51" t="str">
        <f>IFERROR(IF(AND(booking!AB109&gt;0,booking!H109&lt;&gt;booking!I109),VLOOKUP(booking!I109,Database!$A$1:'Database'!$L$175,9,FALSE),"-"),"-")</f>
        <v>-</v>
      </c>
      <c r="K109" s="55" t="str">
        <f>IF(AND(booking!L109&lt;&gt;booking!M109,booking!L109&gt;0),"udc","-")</f>
        <v>-</v>
      </c>
      <c r="L109" s="51" t="str">
        <f>IFERROR(IF(AND(booking!AB109&gt;0,booking!L109&lt;&gt;booking!M109),VLOOKUP(booking!M109,Database!$A$1:'Database'!$L$175,6,FALSE),"-"),"-")</f>
        <v>-</v>
      </c>
      <c r="M109" s="51" t="str">
        <f>IFERROR(IF(AND(booking!AB109&gt;0,booking!L109&lt;&gt;booking!M109),VLOOKUP(booking!M109,Database!A108:'Database'!L282,9,FALSE),"-"),"-")</f>
        <v>-</v>
      </c>
      <c r="N109" s="55" t="str">
        <f>IF(AND(booking!P109&lt;&gt;booking!Q109,booking!P109&gt;0),"udc","-")</f>
        <v>-</v>
      </c>
      <c r="O109" s="51" t="str">
        <f>IFERROR(IF(AND(booking!AB109&gt;0,booking!P109&lt;&gt;booking!Q109),VLOOKUP(booking!Q109,Database!$A$1:'Database'!$L$175,6,FALSE),"-"),"-")</f>
        <v>-</v>
      </c>
      <c r="P109" s="51" t="str">
        <f>IFERROR(IF(AND(booking!AB109&gt;0,booking!P109&lt;&gt;booking!Q109),VLOOKUP(booking!Q109,Database!$A$1:'Database'!$L$175,9,FALSE),"-"),"-")</f>
        <v>-</v>
      </c>
      <c r="Q109" s="55" t="str">
        <f>IF(AND(booking!T109&lt;&gt;booking!U109,booking!T109&gt;0),"udc","-")</f>
        <v>-</v>
      </c>
      <c r="R109" s="51" t="str">
        <f>IFERROR(IF(AND(booking!AB109&gt;0,booking!T109&lt;&gt;booking!U109),VLOOKUP(booking!U109,Database!$A$1:'Database'!$L$175,6,FALSE),"-"),"-")</f>
        <v>-</v>
      </c>
      <c r="S109" s="51" t="str">
        <f>IFERROR(IF(AND(booking!AB109&gt;0,booking!T109&lt;&gt;booking!U109),VLOOKUP(booking!U109,Database!$A$1:'Database'!$L$175,9,FALSE),"-"),"-")</f>
        <v>-</v>
      </c>
    </row>
    <row r="110" spans="1:19" ht="15" customHeight="1" thickBot="1" x14ac:dyDescent="0.4">
      <c r="A110" t="str">
        <f>booking!B110</f>
        <v>torsdag</v>
      </c>
      <c r="B110" s="26">
        <f>booking!C110</f>
        <v>46611</v>
      </c>
      <c r="D110" s="2" t="str">
        <f>IF(booking!AC110&gt;0,"Y","-")</f>
        <v>-</v>
      </c>
      <c r="E110" s="55" t="str">
        <f>IF(AND(booking!D110&lt;&gt;booking!E110,booking!D110&gt;0),"udc","-")</f>
        <v>-</v>
      </c>
      <c r="F110" s="51" t="str">
        <f>IFERROR(IF(AND(booking!AB110&gt;0,booking!D110&lt;&gt;booking!E110),VLOOKUP(booking!E110,Database!$A$1:'Database'!$L$175,6,FALSE),"-"),"-")</f>
        <v>-</v>
      </c>
      <c r="G110" s="51" t="str">
        <f>IFERROR(IF(AND(booking!AB110&gt;0,booking!D110&lt;&gt;booking!E110),VLOOKUP(booking!E110,Database!$A$1:'Database'!$L$175,9,FALSE),"-"),"-")</f>
        <v>-</v>
      </c>
      <c r="H110" s="55" t="str">
        <f>IF(AND(booking!H110&lt;&gt;booking!I110,booking!H110&gt;0),"udc","-")</f>
        <v>-</v>
      </c>
      <c r="I110" s="51" t="str">
        <f>IFERROR(IF(AND(booking!AB110&gt;0,booking!H110&lt;&gt;booking!I110),VLOOKUP(booking!I110,Database!$A$1:'Database'!$L$175,6,FALSE),"-"),"-")</f>
        <v>-</v>
      </c>
      <c r="J110" s="51" t="str">
        <f>IFERROR(IF(AND(booking!AB110&gt;0,booking!H110&lt;&gt;booking!I110),VLOOKUP(booking!I110,Database!$A$1:'Database'!$L$175,9,FALSE),"-"),"-")</f>
        <v>-</v>
      </c>
      <c r="K110" s="55" t="str">
        <f>IF(AND(booking!L110&lt;&gt;booking!M110,booking!L110&gt;0),"udc","-")</f>
        <v>-</v>
      </c>
      <c r="L110" s="51" t="str">
        <f>IFERROR(IF(AND(booking!AB110&gt;0,booking!L110&lt;&gt;booking!M110),VLOOKUP(booking!M110,Database!$A$1:'Database'!$L$175,6,FALSE),"-"),"-")</f>
        <v>-</v>
      </c>
      <c r="M110" s="51" t="str">
        <f>IFERROR(IF(AND(booking!AB110&gt;0,booking!L110&lt;&gt;booking!M110),VLOOKUP(booking!M110,Database!A109:'Database'!L283,9,FALSE),"-"),"-")</f>
        <v>-</v>
      </c>
      <c r="N110" s="55" t="str">
        <f>IF(AND(booking!P110&lt;&gt;booking!Q110,booking!P110&gt;0),"udc","-")</f>
        <v>-</v>
      </c>
      <c r="O110" s="51" t="str">
        <f>IFERROR(IF(AND(booking!AB110&gt;0,booking!P110&lt;&gt;booking!Q110),VLOOKUP(booking!Q110,Database!$A$1:'Database'!$L$175,6,FALSE),"-"),"-")</f>
        <v>-</v>
      </c>
      <c r="P110" s="51" t="str">
        <f>IFERROR(IF(AND(booking!AB110&gt;0,booking!P110&lt;&gt;booking!Q110),VLOOKUP(booking!Q110,Database!$A$1:'Database'!$L$175,9,FALSE),"-"),"-")</f>
        <v>-</v>
      </c>
      <c r="Q110" s="55" t="str">
        <f>IF(AND(booking!T110&lt;&gt;booking!U110,booking!T110&gt;0),"udc","-")</f>
        <v>-</v>
      </c>
      <c r="R110" s="51" t="str">
        <f>IFERROR(IF(AND(booking!AB110&gt;0,booking!T110&lt;&gt;booking!U110),VLOOKUP(booking!U110,Database!$A$1:'Database'!$L$175,6,FALSE),"-"),"-")</f>
        <v>-</v>
      </c>
      <c r="S110" s="51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6">
        <f>booking!C111</f>
        <v>46612</v>
      </c>
      <c r="D111" s="2" t="str">
        <f>IF(booking!AC111&gt;0,"Y","-")</f>
        <v>-</v>
      </c>
      <c r="E111" s="55" t="str">
        <f>IF(AND(booking!D111&lt;&gt;booking!E111,booking!D111&gt;0),"udc","-")</f>
        <v>-</v>
      </c>
      <c r="F111" s="51" t="str">
        <f>IFERROR(IF(AND(booking!AB111&gt;0,booking!D111&lt;&gt;booking!E111),VLOOKUP(booking!E111,Database!$A$1:'Database'!$L$175,6,FALSE),"-"),"-")</f>
        <v>-</v>
      </c>
      <c r="G111" s="51" t="str">
        <f>IFERROR(IF(AND(booking!AB111&gt;0,booking!D111&lt;&gt;booking!E111),VLOOKUP(booking!E111,Database!$A$1:'Database'!$L$175,9,FALSE),"-"),"-")</f>
        <v>-</v>
      </c>
      <c r="H111" s="55" t="str">
        <f>IF(AND(booking!H111&lt;&gt;booking!I111,booking!H111&gt;0),"udc","-")</f>
        <v>-</v>
      </c>
      <c r="I111" s="51" t="str">
        <f>IFERROR(IF(AND(booking!AB111&gt;0,booking!H111&lt;&gt;booking!I111),VLOOKUP(booking!I111,Database!$A$1:'Database'!$L$175,6,FALSE),"-"),"-")</f>
        <v>-</v>
      </c>
      <c r="J111" s="51" t="str">
        <f>IFERROR(IF(AND(booking!AB111&gt;0,booking!H111&lt;&gt;booking!I111),VLOOKUP(booking!I111,Database!$A$1:'Database'!$L$175,9,FALSE),"-"),"-")</f>
        <v>-</v>
      </c>
      <c r="K111" s="55" t="str">
        <f>IF(AND(booking!L111&lt;&gt;booking!M111,booking!L111&gt;0),"udc","-")</f>
        <v>-</v>
      </c>
      <c r="L111" s="51" t="str">
        <f>IFERROR(IF(AND(booking!AB111&gt;0,booking!L111&lt;&gt;booking!M111),VLOOKUP(booking!M111,Database!$A$1:'Database'!$L$175,6,FALSE),"-"),"-")</f>
        <v>-</v>
      </c>
      <c r="M111" s="51" t="str">
        <f>IFERROR(IF(AND(booking!AB111&gt;0,booking!L111&lt;&gt;booking!M111),VLOOKUP(booking!M111,Database!A110:'Database'!L284,9,FALSE),"-"),"-")</f>
        <v>-</v>
      </c>
      <c r="N111" s="55" t="str">
        <f>IF(AND(booking!P111&lt;&gt;booking!Q111,booking!P111&gt;0),"udc","-")</f>
        <v>-</v>
      </c>
      <c r="O111" s="51" t="str">
        <f>IFERROR(IF(AND(booking!AB111&gt;0,booking!P111&lt;&gt;booking!Q111),VLOOKUP(booking!Q111,Database!$A$1:'Database'!$L$175,6,FALSE),"-"),"-")</f>
        <v>-</v>
      </c>
      <c r="P111" s="51" t="str">
        <f>IFERROR(IF(AND(booking!AB111&gt;0,booking!P111&lt;&gt;booking!Q111),VLOOKUP(booking!Q111,Database!$A$1:'Database'!$L$175,9,FALSE),"-"),"-")</f>
        <v>-</v>
      </c>
      <c r="Q111" s="55" t="str">
        <f>IF(AND(booking!T111&lt;&gt;booking!U111,booking!T111&gt;0),"udc","-")</f>
        <v>-</v>
      </c>
      <c r="R111" s="51" t="str">
        <f>IFERROR(IF(AND(booking!AB111&gt;0,booking!T111&lt;&gt;booking!U111),VLOOKUP(booking!U111,Database!$A$1:'Database'!$L$175,6,FALSE),"-"),"-")</f>
        <v>-</v>
      </c>
      <c r="S111" s="51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6">
        <f>booking!C112</f>
        <v>46613</v>
      </c>
      <c r="D112" s="2" t="str">
        <f>IF(booking!AC112&gt;0,"Y","-")</f>
        <v>-</v>
      </c>
      <c r="E112" s="55" t="str">
        <f>IF(AND(booking!D112&lt;&gt;booking!E112,booking!D112&gt;0),"udc","-")</f>
        <v>-</v>
      </c>
      <c r="F112" s="51" t="str">
        <f>IFERROR(IF(AND(booking!AB112&gt;0,booking!D112&lt;&gt;booking!E112),VLOOKUP(booking!E112,Database!$A$1:'Database'!$L$175,6,FALSE),"-"),"-")</f>
        <v>-</v>
      </c>
      <c r="G112" s="51" t="str">
        <f>IFERROR(IF(AND(booking!AB112&gt;0,booking!D112&lt;&gt;booking!E112),VLOOKUP(booking!E112,Database!$A$1:'Database'!$L$175,9,FALSE),"-"),"-")</f>
        <v>-</v>
      </c>
      <c r="H112" s="55" t="str">
        <f>IF(AND(booking!H112&lt;&gt;booking!I112,booking!H112&gt;0),"udc","-")</f>
        <v>-</v>
      </c>
      <c r="I112" s="51" t="str">
        <f>IFERROR(IF(AND(booking!AB112&gt;0,booking!H112&lt;&gt;booking!I112),VLOOKUP(booking!I112,Database!$A$1:'Database'!$L$175,6,FALSE),"-"),"-")</f>
        <v>-</v>
      </c>
      <c r="J112" s="51" t="str">
        <f>IFERROR(IF(AND(booking!AB112&gt;0,booking!H112&lt;&gt;booking!I112),VLOOKUP(booking!I112,Database!$A$1:'Database'!$L$175,9,FALSE),"-"),"-")</f>
        <v>-</v>
      </c>
      <c r="K112" s="55" t="str">
        <f>IF(AND(booking!L112&lt;&gt;booking!M112,booking!L112&gt;0),"udc","-")</f>
        <v>-</v>
      </c>
      <c r="L112" s="51" t="str">
        <f>IFERROR(IF(AND(booking!AB112&gt;0,booking!L112&lt;&gt;booking!M112),VLOOKUP(booking!M112,Database!$A$1:'Database'!$L$175,6,FALSE),"-"),"-")</f>
        <v>-</v>
      </c>
      <c r="M112" s="51" t="str">
        <f>IFERROR(IF(AND(booking!AB112&gt;0,booking!L112&lt;&gt;booking!M112),VLOOKUP(booking!M112,Database!A111:'Database'!L285,9,FALSE),"-"),"-")</f>
        <v>-</v>
      </c>
      <c r="N112" s="55" t="str">
        <f>IF(AND(booking!P112&lt;&gt;booking!Q112,booking!P112&gt;0),"udc","-")</f>
        <v>-</v>
      </c>
      <c r="O112" s="51" t="str">
        <f>IFERROR(IF(AND(booking!AB112&gt;0,booking!P112&lt;&gt;booking!Q112),VLOOKUP(booking!Q112,Database!$A$1:'Database'!$L$175,6,FALSE),"-"),"-")</f>
        <v>-</v>
      </c>
      <c r="P112" s="51" t="str">
        <f>IFERROR(IF(AND(booking!AB112&gt;0,booking!P112&lt;&gt;booking!Q112),VLOOKUP(booking!Q112,Database!$A$1:'Database'!$L$175,9,FALSE),"-"),"-")</f>
        <v>-</v>
      </c>
      <c r="Q112" s="55" t="str">
        <f>IF(AND(booking!T112&lt;&gt;booking!U112,booking!T112&gt;0),"udc","-")</f>
        <v>-</v>
      </c>
      <c r="R112" s="51" t="str">
        <f>IFERROR(IF(AND(booking!AB112&gt;0,booking!T112&lt;&gt;booking!U112),VLOOKUP(booking!U112,Database!$A$1:'Database'!$L$175,6,FALSE),"-"),"-")</f>
        <v>-</v>
      </c>
      <c r="S112" s="51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6">
        <f>booking!C113</f>
        <v>46614</v>
      </c>
      <c r="D113" s="2" t="str">
        <f>IF(booking!AC113&gt;0,"Y","-")</f>
        <v>-</v>
      </c>
      <c r="E113" s="55" t="str">
        <f>IF(AND(booking!D113&lt;&gt;booking!E113,booking!D113&gt;0),"udc","-")</f>
        <v>-</v>
      </c>
      <c r="F113" s="51" t="str">
        <f>IFERROR(IF(AND(booking!AB113&gt;0,booking!D113&lt;&gt;booking!E113),VLOOKUP(booking!E113,Database!$A$1:'Database'!$L$175,6,FALSE),"-"),"-")</f>
        <v>-</v>
      </c>
      <c r="G113" s="51" t="str">
        <f>IFERROR(IF(AND(booking!AB113&gt;0,booking!D113&lt;&gt;booking!E113),VLOOKUP(booking!E113,Database!$A$1:'Database'!$L$175,9,FALSE),"-"),"-")</f>
        <v>-</v>
      </c>
      <c r="H113" s="55" t="str">
        <f>IF(AND(booking!H113&lt;&gt;booking!I113,booking!H113&gt;0),"udc","-")</f>
        <v>-</v>
      </c>
      <c r="I113" s="51" t="str">
        <f>IFERROR(IF(AND(booking!AB113&gt;0,booking!H113&lt;&gt;booking!I113),VLOOKUP(booking!I113,Database!$A$1:'Database'!$L$175,6,FALSE),"-"),"-")</f>
        <v>-</v>
      </c>
      <c r="J113" s="51" t="str">
        <f>IFERROR(IF(AND(booking!AB113&gt;0,booking!H113&lt;&gt;booking!I113),VLOOKUP(booking!I113,Database!$A$1:'Database'!$L$175,9,FALSE),"-"),"-")</f>
        <v>-</v>
      </c>
      <c r="K113" s="55" t="str">
        <f>IF(AND(booking!L113&lt;&gt;booking!M113,booking!L113&gt;0),"udc","-")</f>
        <v>-</v>
      </c>
      <c r="L113" s="51" t="str">
        <f>IFERROR(IF(AND(booking!AB113&gt;0,booking!L113&lt;&gt;booking!M113),VLOOKUP(booking!M113,Database!$A$1:'Database'!$L$175,6,FALSE),"-"),"-")</f>
        <v>-</v>
      </c>
      <c r="M113" s="51" t="str">
        <f>IFERROR(IF(AND(booking!AB113&gt;0,booking!L113&lt;&gt;booking!M113),VLOOKUP(booking!M113,Database!A112:'Database'!L286,9,FALSE),"-"),"-")</f>
        <v>-</v>
      </c>
      <c r="N113" s="55" t="str">
        <f>IF(AND(booking!P113&lt;&gt;booking!Q113,booking!P113&gt;0),"udc","-")</f>
        <v>-</v>
      </c>
      <c r="O113" s="51" t="str">
        <f>IFERROR(IF(AND(booking!AB113&gt;0,booking!P113&lt;&gt;booking!Q113),VLOOKUP(booking!Q113,Database!$A$1:'Database'!$L$175,6,FALSE),"-"),"-")</f>
        <v>-</v>
      </c>
      <c r="P113" s="51" t="str">
        <f>IFERROR(IF(AND(booking!AB113&gt;0,booking!P113&lt;&gt;booking!Q113),VLOOKUP(booking!Q113,Database!$A$1:'Database'!$L$175,9,FALSE),"-"),"-")</f>
        <v>-</v>
      </c>
      <c r="Q113" s="55" t="str">
        <f>IF(AND(booking!T113&lt;&gt;booking!U113,booking!T113&gt;0),"udc","-")</f>
        <v>-</v>
      </c>
      <c r="R113" s="51" t="str">
        <f>IFERROR(IF(AND(booking!AB113&gt;0,booking!T113&lt;&gt;booking!U113),VLOOKUP(booking!U113,Database!$A$1:'Database'!$L$175,6,FALSE),"-"),"-")</f>
        <v>-</v>
      </c>
      <c r="S113" s="51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6">
        <f>booking!C114</f>
        <v>46615</v>
      </c>
      <c r="D114" s="2" t="str">
        <f>IF(booking!AC114&gt;0,"Y","-")</f>
        <v>-</v>
      </c>
      <c r="E114" s="55" t="str">
        <f>IF(AND(booking!D114&lt;&gt;booking!E114,booking!D114&gt;0),"udc","-")</f>
        <v>-</v>
      </c>
      <c r="F114" s="51" t="str">
        <f>IFERROR(IF(AND(booking!AB114&gt;0,booking!D114&lt;&gt;booking!E114),VLOOKUP(booking!E114,Database!$A$1:'Database'!$L$175,6,FALSE),"-"),"-")</f>
        <v>-</v>
      </c>
      <c r="G114" s="51" t="str">
        <f>IFERROR(IF(AND(booking!AB114&gt;0,booking!D114&lt;&gt;booking!E114),VLOOKUP(booking!E114,Database!$A$1:'Database'!$L$175,9,FALSE),"-"),"-")</f>
        <v>-</v>
      </c>
      <c r="H114" s="55" t="str">
        <f>IF(AND(booking!H114&lt;&gt;booking!I114,booking!H114&gt;0),"udc","-")</f>
        <v>-</v>
      </c>
      <c r="I114" s="51" t="str">
        <f>IFERROR(IF(AND(booking!AB114&gt;0,booking!H114&lt;&gt;booking!I114),VLOOKUP(booking!I114,Database!$A$1:'Database'!$L$175,6,FALSE),"-"),"-")</f>
        <v>-</v>
      </c>
      <c r="J114" s="51" t="str">
        <f>IFERROR(IF(AND(booking!AB114&gt;0,booking!H114&lt;&gt;booking!I114),VLOOKUP(booking!I114,Database!$A$1:'Database'!$L$175,9,FALSE),"-"),"-")</f>
        <v>-</v>
      </c>
      <c r="K114" s="55" t="str">
        <f>IF(AND(booking!L114&lt;&gt;booking!M114,booking!L114&gt;0),"udc","-")</f>
        <v>-</v>
      </c>
      <c r="L114" s="51" t="str">
        <f>IFERROR(IF(AND(booking!AB114&gt;0,booking!L114&lt;&gt;booking!M114),VLOOKUP(booking!M114,Database!$A$1:'Database'!$L$175,6,FALSE),"-"),"-")</f>
        <v>-</v>
      </c>
      <c r="M114" s="51" t="str">
        <f>IFERROR(IF(AND(booking!AB114&gt;0,booking!L114&lt;&gt;booking!M114),VLOOKUP(booking!M114,Database!A113:'Database'!L287,9,FALSE),"-"),"-")</f>
        <v>-</v>
      </c>
      <c r="N114" s="55" t="str">
        <f>IF(AND(booking!P114&lt;&gt;booking!Q114,booking!P114&gt;0),"udc","-")</f>
        <v>-</v>
      </c>
      <c r="O114" s="51" t="str">
        <f>IFERROR(IF(AND(booking!AB114&gt;0,booking!P114&lt;&gt;booking!Q114),VLOOKUP(booking!Q114,Database!$A$1:'Database'!$L$175,6,FALSE),"-"),"-")</f>
        <v>-</v>
      </c>
      <c r="P114" s="51" t="str">
        <f>IFERROR(IF(AND(booking!AB114&gt;0,booking!P114&lt;&gt;booking!Q114),VLOOKUP(booking!Q114,Database!$A$1:'Database'!$L$175,9,FALSE),"-"),"-")</f>
        <v>-</v>
      </c>
      <c r="Q114" s="55" t="str">
        <f>IF(AND(booking!T114&lt;&gt;booking!U114,booking!T114&gt;0),"udc","-")</f>
        <v>-</v>
      </c>
      <c r="R114" s="51" t="str">
        <f>IFERROR(IF(AND(booking!AB114&gt;0,booking!T114&lt;&gt;booking!U114),VLOOKUP(booking!U114,Database!$A$1:'Database'!$L$175,6,FALSE),"-"),"-")</f>
        <v>-</v>
      </c>
      <c r="S114" s="51" t="str">
        <f>IFERROR(IF(AND(booking!AB114&gt;0,booking!T114&lt;&gt;booking!U114),VLOOKUP(booking!U114,Database!$A$1:'Database'!$L$175,9,FALSE),"-"),"-")</f>
        <v>-</v>
      </c>
    </row>
    <row r="115" spans="1:19" ht="15" customHeight="1" thickBot="1" x14ac:dyDescent="0.4">
      <c r="A115" t="str">
        <f>booking!B115</f>
        <v>tirsdag</v>
      </c>
      <c r="B115" s="26">
        <f>booking!C115</f>
        <v>46616</v>
      </c>
      <c r="D115" s="2" t="str">
        <f>IF(booking!AC115&gt;0,"Y","-")</f>
        <v>-</v>
      </c>
      <c r="E115" s="55" t="str">
        <f>IF(AND(booking!D115&lt;&gt;booking!E115,booking!D115&gt;0),"udc","-")</f>
        <v>-</v>
      </c>
      <c r="F115" s="51" t="str">
        <f>IFERROR(IF(AND(booking!AB115&gt;0,booking!D115&lt;&gt;booking!E115),VLOOKUP(booking!E115,Database!$A$1:'Database'!$L$175,6,FALSE),"-"),"-")</f>
        <v>-</v>
      </c>
      <c r="G115" s="51" t="str">
        <f>IFERROR(IF(AND(booking!AB115&gt;0,booking!D115&lt;&gt;booking!E115),VLOOKUP(booking!E115,Database!$A$1:'Database'!$L$175,9,FALSE),"-"),"-")</f>
        <v>-</v>
      </c>
      <c r="H115" s="55" t="str">
        <f>IF(AND(booking!H115&lt;&gt;booking!I115,booking!H115&gt;0),"udc","-")</f>
        <v>-</v>
      </c>
      <c r="I115" s="51" t="str">
        <f>IFERROR(IF(AND(booking!AB115&gt;0,booking!H115&lt;&gt;booking!I115),VLOOKUP(booking!I115,Database!$A$1:'Database'!$L$175,6,FALSE),"-"),"-")</f>
        <v>-</v>
      </c>
      <c r="J115" s="51" t="str">
        <f>IFERROR(IF(AND(booking!AB115&gt;0,booking!H115&lt;&gt;booking!I115),VLOOKUP(booking!I115,Database!$A$1:'Database'!$L$175,9,FALSE),"-"),"-")</f>
        <v>-</v>
      </c>
      <c r="K115" s="55" t="str">
        <f>IF(AND(booking!L115&lt;&gt;booking!M115,booking!L115&gt;0),"udc","-")</f>
        <v>-</v>
      </c>
      <c r="L115" s="51" t="str">
        <f>IFERROR(IF(AND(booking!AB115&gt;0,booking!L115&lt;&gt;booking!M115),VLOOKUP(booking!M115,Database!$A$1:'Database'!$L$175,6,FALSE),"-"),"-")</f>
        <v>-</v>
      </c>
      <c r="M115" s="51" t="str">
        <f>IFERROR(IF(AND(booking!AB115&gt;0,booking!L115&lt;&gt;booking!M115),VLOOKUP(booking!M115,Database!A114:'Database'!L288,9,FALSE),"-"),"-")</f>
        <v>-</v>
      </c>
      <c r="N115" s="55" t="str">
        <f>IF(AND(booking!P115&lt;&gt;booking!Q115,booking!P115&gt;0),"udc","-")</f>
        <v>-</v>
      </c>
      <c r="O115" s="51" t="str">
        <f>IFERROR(IF(AND(booking!AB115&gt;0,booking!P115&lt;&gt;booking!Q115),VLOOKUP(booking!Q115,Database!$A$1:'Database'!$L$175,6,FALSE),"-"),"-")</f>
        <v>-</v>
      </c>
      <c r="P115" s="51" t="str">
        <f>IFERROR(IF(AND(booking!AB115&gt;0,booking!P115&lt;&gt;booking!Q115),VLOOKUP(booking!Q115,Database!$A$1:'Database'!$L$175,9,FALSE),"-"),"-")</f>
        <v>-</v>
      </c>
      <c r="Q115" s="55" t="str">
        <f>IF(AND(booking!T115&lt;&gt;booking!U115,booking!T115&gt;0),"udc","-")</f>
        <v>-</v>
      </c>
      <c r="R115" s="51" t="str">
        <f>IFERROR(IF(AND(booking!AB115&gt;0,booking!T115&lt;&gt;booking!U115),VLOOKUP(booking!U115,Database!$A$1:'Database'!$L$175,6,FALSE),"-"),"-")</f>
        <v>-</v>
      </c>
      <c r="S115" s="51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6">
        <f>booking!C116</f>
        <v>46617</v>
      </c>
      <c r="D116" s="2" t="str">
        <f>IF(booking!AC116&gt;0,"Y","-")</f>
        <v>-</v>
      </c>
      <c r="E116" s="55" t="str">
        <f>IF(AND(booking!D116&lt;&gt;booking!E116,booking!D116&gt;0),"udc","-")</f>
        <v>-</v>
      </c>
      <c r="F116" s="51" t="str">
        <f>IFERROR(IF(AND(booking!AB116&gt;0,booking!D116&lt;&gt;booking!E116),VLOOKUP(booking!E116,Database!$A$1:'Database'!$L$175,6,FALSE),"-"),"-")</f>
        <v>-</v>
      </c>
      <c r="G116" s="51" t="str">
        <f>IFERROR(IF(AND(booking!AB116&gt;0,booking!D116&lt;&gt;booking!E116),VLOOKUP(booking!E116,Database!$A$1:'Database'!$L$175,9,FALSE),"-"),"-")</f>
        <v>-</v>
      </c>
      <c r="H116" s="55" t="str">
        <f>IF(AND(booking!H116&lt;&gt;booking!I116,booking!H116&gt;0),"udc","-")</f>
        <v>-</v>
      </c>
      <c r="I116" s="51" t="str">
        <f>IFERROR(IF(AND(booking!AB116&gt;0,booking!H116&lt;&gt;booking!I116),VLOOKUP(booking!I116,Database!$A$1:'Database'!$L$175,6,FALSE),"-"),"-")</f>
        <v>-</v>
      </c>
      <c r="J116" s="51" t="str">
        <f>IFERROR(IF(AND(booking!AB116&gt;0,booking!H116&lt;&gt;booking!I116),VLOOKUP(booking!I116,Database!$A$1:'Database'!$L$175,9,FALSE),"-"),"-")</f>
        <v>-</v>
      </c>
      <c r="K116" s="55" t="str">
        <f>IF(AND(booking!L116&lt;&gt;booking!M116,booking!L116&gt;0),"udc","-")</f>
        <v>-</v>
      </c>
      <c r="L116" s="51" t="str">
        <f>IFERROR(IF(AND(booking!AB116&gt;0,booking!L116&lt;&gt;booking!M116),VLOOKUP(booking!M116,Database!$A$1:'Database'!$L$175,6,FALSE),"-"),"-")</f>
        <v>-</v>
      </c>
      <c r="M116" s="51" t="str">
        <f>IFERROR(IF(AND(booking!AB116&gt;0,booking!L116&lt;&gt;booking!M116),VLOOKUP(booking!M116,Database!A115:'Database'!L289,9,FALSE),"-"),"-")</f>
        <v>-</v>
      </c>
      <c r="N116" s="55" t="str">
        <f>IF(AND(booking!P116&lt;&gt;booking!Q116,booking!P116&gt;0),"udc","-")</f>
        <v>-</v>
      </c>
      <c r="O116" s="51" t="str">
        <f>IFERROR(IF(AND(booking!AB116&gt;0,booking!P116&lt;&gt;booking!Q116),VLOOKUP(booking!Q116,Database!$A$1:'Database'!$L$175,6,FALSE),"-"),"-")</f>
        <v>-</v>
      </c>
      <c r="P116" s="51" t="str">
        <f>IFERROR(IF(AND(booking!AB116&gt;0,booking!P116&lt;&gt;booking!Q116),VLOOKUP(booking!Q116,Database!$A$1:'Database'!$L$175,9,FALSE),"-"),"-")</f>
        <v>-</v>
      </c>
      <c r="Q116" s="55" t="str">
        <f>IF(AND(booking!T116&lt;&gt;booking!U116,booking!T116&gt;0),"udc","-")</f>
        <v>-</v>
      </c>
      <c r="R116" s="51" t="str">
        <f>IFERROR(IF(AND(booking!AB116&gt;0,booking!T116&lt;&gt;booking!U116),VLOOKUP(booking!U116,Database!$A$1:'Database'!$L$175,6,FALSE),"-"),"-")</f>
        <v>-</v>
      </c>
      <c r="S116" s="51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6">
        <f>booking!C117</f>
        <v>46618</v>
      </c>
      <c r="D117" s="2" t="str">
        <f>IF(booking!AC117&gt;0,"Y","-")</f>
        <v>-</v>
      </c>
      <c r="E117" s="55" t="str">
        <f>IF(AND(booking!D117&lt;&gt;booking!E117,booking!D117&gt;0),"udc","-")</f>
        <v>-</v>
      </c>
      <c r="F117" s="51" t="str">
        <f>IFERROR(IF(AND(booking!AB117&gt;0,booking!D117&lt;&gt;booking!E117),VLOOKUP(booking!E117,Database!$A$1:'Database'!$L$175,6,FALSE),"-"),"-")</f>
        <v>-</v>
      </c>
      <c r="G117" s="51" t="str">
        <f>IFERROR(IF(AND(booking!AB117&gt;0,booking!D117&lt;&gt;booking!E117),VLOOKUP(booking!E117,Database!$A$1:'Database'!$L$175,9,FALSE),"-"),"-")</f>
        <v>-</v>
      </c>
      <c r="H117" s="55" t="str">
        <f>IF(AND(booking!H117&lt;&gt;booking!I117,booking!H117&gt;0),"udc","-")</f>
        <v>-</v>
      </c>
      <c r="I117" s="51" t="str">
        <f>IFERROR(IF(AND(booking!AB117&gt;0,booking!H117&lt;&gt;booking!I117),VLOOKUP(booking!I117,Database!$A$1:'Database'!$L$175,6,FALSE),"-"),"-")</f>
        <v>-</v>
      </c>
      <c r="J117" s="51" t="str">
        <f>IFERROR(IF(AND(booking!AB117&gt;0,booking!H117&lt;&gt;booking!I117),VLOOKUP(booking!I117,Database!$A$1:'Database'!$L$175,9,FALSE),"-"),"-")</f>
        <v>-</v>
      </c>
      <c r="K117" s="55" t="str">
        <f>IF(AND(booking!L117&lt;&gt;booking!M117,booking!L117&gt;0),"udc","-")</f>
        <v>-</v>
      </c>
      <c r="L117" s="51" t="str">
        <f>IFERROR(IF(AND(booking!AB117&gt;0,booking!L117&lt;&gt;booking!M117),VLOOKUP(booking!M117,Database!$A$1:'Database'!$L$175,6,FALSE),"-"),"-")</f>
        <v>-</v>
      </c>
      <c r="M117" s="51" t="str">
        <f>IFERROR(IF(AND(booking!AB117&gt;0,booking!L117&lt;&gt;booking!M117),VLOOKUP(booking!M117,Database!A116:'Database'!L290,9,FALSE),"-"),"-")</f>
        <v>-</v>
      </c>
      <c r="N117" s="55" t="str">
        <f>IF(AND(booking!P117&lt;&gt;booking!Q117,booking!P117&gt;0),"udc","-")</f>
        <v>-</v>
      </c>
      <c r="O117" s="51" t="str">
        <f>IFERROR(IF(AND(booking!AB117&gt;0,booking!P117&lt;&gt;booking!Q117),VLOOKUP(booking!Q117,Database!$A$1:'Database'!$L$175,6,FALSE),"-"),"-")</f>
        <v>-</v>
      </c>
      <c r="P117" s="51" t="str">
        <f>IFERROR(IF(AND(booking!AB117&gt;0,booking!P117&lt;&gt;booking!Q117),VLOOKUP(booking!Q117,Database!$A$1:'Database'!$L$175,9,FALSE),"-"),"-")</f>
        <v>-</v>
      </c>
      <c r="Q117" s="55" t="str">
        <f>IF(AND(booking!T117&lt;&gt;booking!U117,booking!T117&gt;0),"udc","-")</f>
        <v>-</v>
      </c>
      <c r="R117" s="51" t="str">
        <f>IFERROR(IF(AND(booking!AB117&gt;0,booking!T117&lt;&gt;booking!U117),VLOOKUP(booking!U117,Database!$A$1:'Database'!$L$175,6,FALSE),"-"),"-")</f>
        <v>-</v>
      </c>
      <c r="S117" s="51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6">
        <f>booking!C118</f>
        <v>46619</v>
      </c>
      <c r="D118" s="2" t="str">
        <f>IF(booking!AC118&gt;0,"Y","-")</f>
        <v>-</v>
      </c>
      <c r="E118" s="55" t="str">
        <f>IF(AND(booking!D118&lt;&gt;booking!E118,booking!D118&gt;0),"udc","-")</f>
        <v>-</v>
      </c>
      <c r="F118" s="51" t="str">
        <f>IFERROR(IF(AND(booking!AB118&gt;0,booking!D118&lt;&gt;booking!E118),VLOOKUP(booking!E118,Database!$A$1:'Database'!$L$175,6,FALSE),"-"),"-")</f>
        <v>-</v>
      </c>
      <c r="G118" s="51" t="str">
        <f>IFERROR(IF(AND(booking!AB118&gt;0,booking!D118&lt;&gt;booking!E118),VLOOKUP(booking!E118,Database!$A$1:'Database'!$L$175,9,FALSE),"-"),"-")</f>
        <v>-</v>
      </c>
      <c r="H118" s="55" t="str">
        <f>IF(AND(booking!H118&lt;&gt;booking!I118,booking!H118&gt;0),"udc","-")</f>
        <v>-</v>
      </c>
      <c r="I118" s="51" t="str">
        <f>IFERROR(IF(AND(booking!AB118&gt;0,booking!H118&lt;&gt;booking!I118),VLOOKUP(booking!I118,Database!$A$1:'Database'!$L$175,6,FALSE),"-"),"-")</f>
        <v>-</v>
      </c>
      <c r="J118" s="51" t="str">
        <f>IFERROR(IF(AND(booking!AB118&gt;0,booking!H118&lt;&gt;booking!I118),VLOOKUP(booking!I118,Database!$A$1:'Database'!$L$175,9,FALSE),"-"),"-")</f>
        <v>-</v>
      </c>
      <c r="K118" s="55" t="str">
        <f>IF(AND(booking!L118&lt;&gt;booking!M118,booking!L118&gt;0),"udc","-")</f>
        <v>-</v>
      </c>
      <c r="L118" s="51" t="str">
        <f>IFERROR(IF(AND(booking!AB118&gt;0,booking!L118&lt;&gt;booking!M118),VLOOKUP(booking!M118,Database!$A$1:'Database'!$L$175,6,FALSE),"-"),"-")</f>
        <v>-</v>
      </c>
      <c r="M118" s="51" t="str">
        <f>IFERROR(IF(AND(booking!AB118&gt;0,booking!L118&lt;&gt;booking!M118),VLOOKUP(booking!M118,Database!A117:'Database'!L291,9,FALSE),"-"),"-")</f>
        <v>-</v>
      </c>
      <c r="N118" s="55" t="str">
        <f>IF(AND(booking!P118&lt;&gt;booking!Q118,booking!P118&gt;0),"udc","-")</f>
        <v>-</v>
      </c>
      <c r="O118" s="51" t="str">
        <f>IFERROR(IF(AND(booking!AB118&gt;0,booking!P118&lt;&gt;booking!Q118),VLOOKUP(booking!Q118,Database!$A$1:'Database'!$L$175,6,FALSE),"-"),"-")</f>
        <v>-</v>
      </c>
      <c r="P118" s="51" t="str">
        <f>IFERROR(IF(AND(booking!AB118&gt;0,booking!P118&lt;&gt;booking!Q118),VLOOKUP(booking!Q118,Database!$A$1:'Database'!$L$175,9,FALSE),"-"),"-")</f>
        <v>-</v>
      </c>
      <c r="Q118" s="55" t="str">
        <f>IF(AND(booking!T118&lt;&gt;booking!U118,booking!T118&gt;0),"udc","-")</f>
        <v>-</v>
      </c>
      <c r="R118" s="51" t="str">
        <f>IFERROR(IF(AND(booking!AB118&gt;0,booking!T118&lt;&gt;booking!U118),VLOOKUP(booking!U118,Database!$A$1:'Database'!$L$175,6,FALSE),"-"),"-")</f>
        <v>-</v>
      </c>
      <c r="S118" s="51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6">
        <f>booking!C119</f>
        <v>46620</v>
      </c>
      <c r="D119" s="2" t="str">
        <f>IF(booking!AC119&gt;0,"Y","-")</f>
        <v>-</v>
      </c>
      <c r="E119" s="55" t="str">
        <f>IF(AND(booking!D119&lt;&gt;booking!E119,booking!D119&gt;0),"udc","-")</f>
        <v>-</v>
      </c>
      <c r="F119" s="51" t="str">
        <f>IFERROR(IF(AND(booking!AB119&gt;0,booking!D119&lt;&gt;booking!E119),VLOOKUP(booking!E119,Database!$A$1:'Database'!$L$175,6,FALSE),"-"),"-")</f>
        <v>-</v>
      </c>
      <c r="G119" s="51" t="str">
        <f>IFERROR(IF(AND(booking!AB119&gt;0,booking!D119&lt;&gt;booking!E119),VLOOKUP(booking!E119,Database!$A$1:'Database'!$L$175,9,FALSE),"-"),"-")</f>
        <v>-</v>
      </c>
      <c r="H119" s="55" t="str">
        <f>IF(AND(booking!H119&lt;&gt;booking!I119,booking!H119&gt;0),"udc","-")</f>
        <v>-</v>
      </c>
      <c r="I119" s="51" t="str">
        <f>IFERROR(IF(AND(booking!AB119&gt;0,booking!H119&lt;&gt;booking!I119),VLOOKUP(booking!I119,Database!$A$1:'Database'!$L$175,6,FALSE),"-"),"-")</f>
        <v>-</v>
      </c>
      <c r="J119" s="51" t="str">
        <f>IFERROR(IF(AND(booking!AB119&gt;0,booking!H119&lt;&gt;booking!I119),VLOOKUP(booking!I119,Database!$A$1:'Database'!$L$175,9,FALSE),"-"),"-")</f>
        <v>-</v>
      </c>
      <c r="K119" s="55" t="str">
        <f>IF(AND(booking!L119&lt;&gt;booking!M119,booking!L119&gt;0),"udc","-")</f>
        <v>-</v>
      </c>
      <c r="L119" s="51" t="str">
        <f>IFERROR(IF(AND(booking!AB119&gt;0,booking!L119&lt;&gt;booking!M119),VLOOKUP(booking!M119,Database!$A$1:'Database'!$L$175,6,FALSE),"-"),"-")</f>
        <v>-</v>
      </c>
      <c r="M119" s="51" t="str">
        <f>IFERROR(IF(AND(booking!AB119&gt;0,booking!L119&lt;&gt;booking!M119),VLOOKUP(booking!M119,Database!A118:'Database'!L292,9,FALSE),"-"),"-")</f>
        <v>-</v>
      </c>
      <c r="N119" s="55" t="str">
        <f>IF(AND(booking!P119&lt;&gt;booking!Q119,booking!P119&gt;0),"udc","-")</f>
        <v>-</v>
      </c>
      <c r="O119" s="51" t="str">
        <f>IFERROR(IF(AND(booking!AB119&gt;0,booking!P119&lt;&gt;booking!Q119),VLOOKUP(booking!Q119,Database!$A$1:'Database'!$L$175,6,FALSE),"-"),"-")</f>
        <v>-</v>
      </c>
      <c r="P119" s="51" t="str">
        <f>IFERROR(IF(AND(booking!AB119&gt;0,booking!P119&lt;&gt;booking!Q119),VLOOKUP(booking!Q119,Database!$A$1:'Database'!$L$175,9,FALSE),"-"),"-")</f>
        <v>-</v>
      </c>
      <c r="Q119" s="55" t="str">
        <f>IF(AND(booking!T119&lt;&gt;booking!U119,booking!T119&gt;0),"udc","-")</f>
        <v>-</v>
      </c>
      <c r="R119" s="51" t="str">
        <f>IFERROR(IF(AND(booking!AB119&gt;0,booking!T119&lt;&gt;booking!U119),VLOOKUP(booking!U119,Database!$A$1:'Database'!$L$175,6,FALSE),"-"),"-")</f>
        <v>-</v>
      </c>
      <c r="S119" s="51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6">
        <f>booking!C120</f>
        <v>46621</v>
      </c>
      <c r="D120" s="2" t="str">
        <f>IF(booking!AC120&gt;0,"Y","-")</f>
        <v>-</v>
      </c>
      <c r="E120" s="55" t="str">
        <f>IF(AND(booking!D120&lt;&gt;booking!E120,booking!D120&gt;0),"udc","-")</f>
        <v>-</v>
      </c>
      <c r="F120" s="51" t="str">
        <f>IFERROR(IF(AND(booking!AB120&gt;0,booking!D120&lt;&gt;booking!E120),VLOOKUP(booking!E120,Database!$A$1:'Database'!$L$175,6,FALSE),"-"),"-")</f>
        <v>-</v>
      </c>
      <c r="G120" s="51" t="str">
        <f>IFERROR(IF(AND(booking!AB120&gt;0,booking!D120&lt;&gt;booking!E120),VLOOKUP(booking!E120,Database!$A$1:'Database'!$L$175,9,FALSE),"-"),"-")</f>
        <v>-</v>
      </c>
      <c r="H120" s="55" t="str">
        <f>IF(AND(booking!H120&lt;&gt;booking!I120,booking!H120&gt;0),"udc","-")</f>
        <v>-</v>
      </c>
      <c r="I120" s="51" t="str">
        <f>IFERROR(IF(AND(booking!AB120&gt;0,booking!H120&lt;&gt;booking!I120),VLOOKUP(booking!I120,Database!$A$1:'Database'!$L$175,6,FALSE),"-"),"-")</f>
        <v>-</v>
      </c>
      <c r="J120" s="51" t="str">
        <f>IFERROR(IF(AND(booking!AB120&gt;0,booking!H120&lt;&gt;booking!I120),VLOOKUP(booking!I120,Database!$A$1:'Database'!$L$175,9,FALSE),"-"),"-")</f>
        <v>-</v>
      </c>
      <c r="K120" s="55" t="str">
        <f>IF(AND(booking!L120&lt;&gt;booking!M120,booking!L120&gt;0),"udc","-")</f>
        <v>-</v>
      </c>
      <c r="L120" s="51" t="str">
        <f>IFERROR(IF(AND(booking!AB120&gt;0,booking!L120&lt;&gt;booking!M120),VLOOKUP(booking!M120,Database!$A$1:'Database'!$L$175,6,FALSE),"-"),"-")</f>
        <v>-</v>
      </c>
      <c r="M120" s="51" t="str">
        <f>IFERROR(IF(AND(booking!AB120&gt;0,booking!L120&lt;&gt;booking!M120),VLOOKUP(booking!M120,Database!A119:'Database'!L293,9,FALSE),"-"),"-")</f>
        <v>-</v>
      </c>
      <c r="N120" s="55" t="str">
        <f>IF(AND(booking!P120&lt;&gt;booking!Q120,booking!P120&gt;0),"udc","-")</f>
        <v>-</v>
      </c>
      <c r="O120" s="51" t="str">
        <f>IFERROR(IF(AND(booking!AB120&gt;0,booking!P120&lt;&gt;booking!Q120),VLOOKUP(booking!Q120,Database!$A$1:'Database'!$L$175,6,FALSE),"-"),"-")</f>
        <v>-</v>
      </c>
      <c r="P120" s="51" t="str">
        <f>IFERROR(IF(AND(booking!AB120&gt;0,booking!P120&lt;&gt;booking!Q120),VLOOKUP(booking!Q120,Database!$A$1:'Database'!$L$175,9,FALSE),"-"),"-")</f>
        <v>-</v>
      </c>
      <c r="Q120" s="55" t="str">
        <f>IF(AND(booking!T120&lt;&gt;booking!U120,booking!T120&gt;0),"udc","-")</f>
        <v>-</v>
      </c>
      <c r="R120" s="51" t="str">
        <f>IFERROR(IF(AND(booking!AB120&gt;0,booking!T120&lt;&gt;booking!U120),VLOOKUP(booking!U120,Database!$A$1:'Database'!$L$175,6,FALSE),"-"),"-")</f>
        <v>-</v>
      </c>
      <c r="S120" s="51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6">
        <f>booking!C121</f>
        <v>46622</v>
      </c>
      <c r="D121" s="2" t="str">
        <f>IF(booking!AC121&gt;0,"Y","-")</f>
        <v>-</v>
      </c>
      <c r="E121" s="55" t="str">
        <f>IF(AND(booking!D121&lt;&gt;booking!E121,booking!D121&gt;0),"udc","-")</f>
        <v>-</v>
      </c>
      <c r="F121" s="51" t="str">
        <f>IFERROR(IF(AND(booking!AB121&gt;0,booking!D121&lt;&gt;booking!E121),VLOOKUP(booking!E121,Database!$A$1:'Database'!$L$175,6,FALSE),"-"),"-")</f>
        <v>-</v>
      </c>
      <c r="G121" s="51" t="str">
        <f>IFERROR(IF(AND(booking!AB121&gt;0,booking!D121&lt;&gt;booking!E121),VLOOKUP(booking!E121,Database!$A$1:'Database'!$L$175,9,FALSE),"-"),"-")</f>
        <v>-</v>
      </c>
      <c r="H121" s="55" t="str">
        <f>IF(AND(booking!H121&lt;&gt;booking!I121,booking!H121&gt;0),"udc","-")</f>
        <v>-</v>
      </c>
      <c r="I121" s="51" t="str">
        <f>IFERROR(IF(AND(booking!AB121&gt;0,booking!H121&lt;&gt;booking!I121),VLOOKUP(booking!I121,Database!$A$1:'Database'!$L$175,6,FALSE),"-"),"-")</f>
        <v>-</v>
      </c>
      <c r="J121" s="51" t="str">
        <f>IFERROR(IF(AND(booking!AB121&gt;0,booking!H121&lt;&gt;booking!I121),VLOOKUP(booking!I121,Database!$A$1:'Database'!$L$175,9,FALSE),"-"),"-")</f>
        <v>-</v>
      </c>
      <c r="K121" s="55" t="str">
        <f>IF(AND(booking!L121&lt;&gt;booking!M121,booking!L121&gt;0),"udc","-")</f>
        <v>-</v>
      </c>
      <c r="L121" s="51" t="str">
        <f>IFERROR(IF(AND(booking!AB121&gt;0,booking!L121&lt;&gt;booking!M121),VLOOKUP(booking!M121,Database!$A$1:'Database'!$L$175,6,FALSE),"-"),"-")</f>
        <v>-</v>
      </c>
      <c r="M121" s="51" t="str">
        <f>IFERROR(IF(AND(booking!AB121&gt;0,booking!L121&lt;&gt;booking!M121),VLOOKUP(booking!M121,Database!A120:'Database'!L294,9,FALSE),"-"),"-")</f>
        <v>-</v>
      </c>
      <c r="N121" s="55" t="str">
        <f>IF(AND(booking!P121&lt;&gt;booking!Q121,booking!P121&gt;0),"udc","-")</f>
        <v>-</v>
      </c>
      <c r="O121" s="51" t="str">
        <f>IFERROR(IF(AND(booking!AB121&gt;0,booking!P121&lt;&gt;booking!Q121),VLOOKUP(booking!Q121,Database!$A$1:'Database'!$L$175,6,FALSE),"-"),"-")</f>
        <v>-</v>
      </c>
      <c r="P121" s="51" t="str">
        <f>IFERROR(IF(AND(booking!AB121&gt;0,booking!P121&lt;&gt;booking!Q121),VLOOKUP(booking!Q121,Database!$A$1:'Database'!$L$175,9,FALSE),"-"),"-")</f>
        <v>-</v>
      </c>
      <c r="Q121" s="55" t="str">
        <f>IF(AND(booking!T121&lt;&gt;booking!U121,booking!T121&gt;0),"udc","-")</f>
        <v>-</v>
      </c>
      <c r="R121" s="51" t="str">
        <f>IFERROR(IF(AND(booking!AB121&gt;0,booking!T121&lt;&gt;booking!U121),VLOOKUP(booking!U121,Database!$A$1:'Database'!$L$175,6,FALSE),"-"),"-")</f>
        <v>-</v>
      </c>
      <c r="S121" s="51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6">
        <f>booking!C122</f>
        <v>46623</v>
      </c>
      <c r="D122" s="2" t="str">
        <f>IF(booking!AC122&gt;0,"Y","-")</f>
        <v>-</v>
      </c>
      <c r="E122" s="55" t="str">
        <f>IF(AND(booking!D122&lt;&gt;booking!E122,booking!D122&gt;0),"udc","-")</f>
        <v>-</v>
      </c>
      <c r="F122" s="51" t="str">
        <f>IFERROR(IF(AND(booking!AB122&gt;0,booking!D122&lt;&gt;booking!E122),VLOOKUP(booking!E122,Database!$A$1:'Database'!$L$175,6,FALSE),"-"),"-")</f>
        <v>-</v>
      </c>
      <c r="G122" s="51" t="str">
        <f>IFERROR(IF(AND(booking!AB122&gt;0,booking!D122&lt;&gt;booking!E122),VLOOKUP(booking!E122,Database!$A$1:'Database'!$L$175,9,FALSE),"-"),"-")</f>
        <v>-</v>
      </c>
      <c r="H122" s="55" t="str">
        <f>IF(AND(booking!H122&lt;&gt;booking!I122,booking!H122&gt;0),"udc","-")</f>
        <v>-</v>
      </c>
      <c r="I122" s="51" t="str">
        <f>IFERROR(IF(AND(booking!AB122&gt;0,booking!H122&lt;&gt;booking!I122),VLOOKUP(booking!I122,Database!$A$1:'Database'!$L$175,6,FALSE),"-"),"-")</f>
        <v>-</v>
      </c>
      <c r="J122" s="51" t="str">
        <f>IFERROR(IF(AND(booking!AB122&gt;0,booking!H122&lt;&gt;booking!I122),VLOOKUP(booking!I122,Database!$A$1:'Database'!$L$175,9,FALSE),"-"),"-")</f>
        <v>-</v>
      </c>
      <c r="K122" s="55" t="str">
        <f>IF(AND(booking!L122&lt;&gt;booking!M122,booking!L122&gt;0),"udc","-")</f>
        <v>-</v>
      </c>
      <c r="L122" s="51" t="str">
        <f>IFERROR(IF(AND(booking!AB122&gt;0,booking!L122&lt;&gt;booking!M122),VLOOKUP(booking!M122,Database!$A$1:'Database'!$L$175,6,FALSE),"-"),"-")</f>
        <v>-</v>
      </c>
      <c r="M122" s="51" t="str">
        <f>IFERROR(IF(AND(booking!AB122&gt;0,booking!L122&lt;&gt;booking!M122),VLOOKUP(booking!M122,Database!A121:'Database'!L295,9,FALSE),"-"),"-")</f>
        <v>-</v>
      </c>
      <c r="N122" s="55" t="str">
        <f>IF(AND(booking!P122&lt;&gt;booking!Q122,booking!P122&gt;0),"udc","-")</f>
        <v>-</v>
      </c>
      <c r="O122" s="51" t="str">
        <f>IFERROR(IF(AND(booking!AB122&gt;0,booking!P122&lt;&gt;booking!Q122),VLOOKUP(booking!Q122,Database!$A$1:'Database'!$L$175,6,FALSE),"-"),"-")</f>
        <v>-</v>
      </c>
      <c r="P122" s="51" t="str">
        <f>IFERROR(IF(AND(booking!AB122&gt;0,booking!P122&lt;&gt;booking!Q122),VLOOKUP(booking!Q122,Database!$A$1:'Database'!$L$175,9,FALSE),"-"),"-")</f>
        <v>-</v>
      </c>
      <c r="Q122" s="55" t="str">
        <f>IF(AND(booking!T122&lt;&gt;booking!U122,booking!T122&gt;0),"udc","-")</f>
        <v>-</v>
      </c>
      <c r="R122" s="51" t="str">
        <f>IFERROR(IF(AND(booking!AB122&gt;0,booking!T122&lt;&gt;booking!U122),VLOOKUP(booking!U122,Database!$A$1:'Database'!$L$175,6,FALSE),"-"),"-")</f>
        <v>-</v>
      </c>
      <c r="S122" s="51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6">
        <f>booking!C123</f>
        <v>46624</v>
      </c>
      <c r="D123" s="2" t="str">
        <f>IF(booking!AC123&gt;0,"Y","-")</f>
        <v>-</v>
      </c>
      <c r="E123" s="55" t="str">
        <f>IF(AND(booking!D123&lt;&gt;booking!E123,booking!D123&gt;0),"udc","-")</f>
        <v>-</v>
      </c>
      <c r="F123" s="51" t="str">
        <f>IFERROR(IF(AND(booking!AB123&gt;0,booking!D123&lt;&gt;booking!E123),VLOOKUP(booking!E123,Database!$A$1:'Database'!$L$175,6,FALSE),"-"),"-")</f>
        <v>-</v>
      </c>
      <c r="G123" s="51" t="str">
        <f>IFERROR(IF(AND(booking!AB123&gt;0,booking!D123&lt;&gt;booking!E123),VLOOKUP(booking!E123,Database!$A$1:'Database'!$L$175,9,FALSE),"-"),"-")</f>
        <v>-</v>
      </c>
      <c r="H123" s="55" t="str">
        <f>IF(AND(booking!H123&lt;&gt;booking!I123,booking!H123&gt;0),"udc","-")</f>
        <v>-</v>
      </c>
      <c r="I123" s="51" t="str">
        <f>IFERROR(IF(AND(booking!AB123&gt;0,booking!H123&lt;&gt;booking!I123),VLOOKUP(booking!I123,Database!$A$1:'Database'!$L$175,6,FALSE),"-"),"-")</f>
        <v>-</v>
      </c>
      <c r="J123" s="51" t="str">
        <f>IFERROR(IF(AND(booking!AB123&gt;0,booking!H123&lt;&gt;booking!I123),VLOOKUP(booking!I123,Database!$A$1:'Database'!$L$175,9,FALSE),"-"),"-")</f>
        <v>-</v>
      </c>
      <c r="K123" s="55" t="str">
        <f>IF(AND(booking!L123&lt;&gt;booking!M123,booking!L123&gt;0),"udc","-")</f>
        <v>-</v>
      </c>
      <c r="L123" s="51" t="str">
        <f>IFERROR(IF(AND(booking!AB123&gt;0,booking!L123&lt;&gt;booking!M123),VLOOKUP(booking!M123,Database!$A$1:'Database'!$L$175,6,FALSE),"-"),"-")</f>
        <v>-</v>
      </c>
      <c r="M123" s="51" t="str">
        <f>IFERROR(IF(AND(booking!AB123&gt;0,booking!L123&lt;&gt;booking!M123),VLOOKUP(booking!M123,Database!A122:'Database'!L296,9,FALSE),"-"),"-")</f>
        <v>-</v>
      </c>
      <c r="N123" s="55" t="str">
        <f>IF(AND(booking!P123&lt;&gt;booking!Q123,booking!P123&gt;0),"udc","-")</f>
        <v>-</v>
      </c>
      <c r="O123" s="51" t="str">
        <f>IFERROR(IF(AND(booking!AB123&gt;0,booking!P123&lt;&gt;booking!Q123),VLOOKUP(booking!Q123,Database!$A$1:'Database'!$L$175,6,FALSE),"-"),"-")</f>
        <v>-</v>
      </c>
      <c r="P123" s="51" t="str">
        <f>IFERROR(IF(AND(booking!AB123&gt;0,booking!P123&lt;&gt;booking!Q123),VLOOKUP(booking!Q123,Database!$A$1:'Database'!$L$175,9,FALSE),"-"),"-")</f>
        <v>-</v>
      </c>
      <c r="Q123" s="55" t="str">
        <f>IF(AND(booking!T123&lt;&gt;booking!U123,booking!T123&gt;0),"udc","-")</f>
        <v>-</v>
      </c>
      <c r="R123" s="51" t="str">
        <f>IFERROR(IF(AND(booking!AB123&gt;0,booking!T123&lt;&gt;booking!U123),VLOOKUP(booking!U123,Database!$A$1:'Database'!$L$175,6,FALSE),"-"),"-")</f>
        <v>-</v>
      </c>
      <c r="S123" s="51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6">
        <f>booking!C124</f>
        <v>46625</v>
      </c>
      <c r="D124" s="2" t="str">
        <f>IF(booking!AC124&gt;0,"Y","-")</f>
        <v>-</v>
      </c>
      <c r="E124" s="55" t="str">
        <f>IF(AND(booking!D124&lt;&gt;booking!E124,booking!D124&gt;0),"udc","-")</f>
        <v>-</v>
      </c>
      <c r="F124" s="51" t="str">
        <f>IFERROR(IF(AND(booking!AB124&gt;0,booking!D124&lt;&gt;booking!E124),VLOOKUP(booking!E124,Database!$A$1:'Database'!$L$175,6,FALSE),"-"),"-")</f>
        <v>-</v>
      </c>
      <c r="G124" s="51" t="str">
        <f>IFERROR(IF(AND(booking!AB124&gt;0,booking!D124&lt;&gt;booking!E124),VLOOKUP(booking!E124,Database!$A$1:'Database'!$L$175,9,FALSE),"-"),"-")</f>
        <v>-</v>
      </c>
      <c r="H124" s="55" t="str">
        <f>IF(AND(booking!H124&lt;&gt;booking!I124,booking!H124&gt;0),"udc","-")</f>
        <v>-</v>
      </c>
      <c r="I124" s="51" t="str">
        <f>IFERROR(IF(AND(booking!AB124&gt;0,booking!H124&lt;&gt;booking!I124),VLOOKUP(booking!I124,Database!$A$1:'Database'!$L$175,6,FALSE),"-"),"-")</f>
        <v>-</v>
      </c>
      <c r="J124" s="51" t="str">
        <f>IFERROR(IF(AND(booking!AB124&gt;0,booking!H124&lt;&gt;booking!I124),VLOOKUP(booking!I124,Database!$A$1:'Database'!$L$175,9,FALSE),"-"),"-")</f>
        <v>-</v>
      </c>
      <c r="K124" s="55" t="str">
        <f>IF(AND(booking!L124&lt;&gt;booking!M124,booking!L124&gt;0),"udc","-")</f>
        <v>-</v>
      </c>
      <c r="L124" s="51" t="str">
        <f>IFERROR(IF(AND(booking!AB124&gt;0,booking!L124&lt;&gt;booking!M124),VLOOKUP(booking!M124,Database!$A$1:'Database'!$L$175,6,FALSE),"-"),"-")</f>
        <v>-</v>
      </c>
      <c r="M124" s="51" t="str">
        <f>IFERROR(IF(AND(booking!AB124&gt;0,booking!L124&lt;&gt;booking!M124),VLOOKUP(booking!M124,Database!A123:'Database'!L297,9,FALSE),"-"),"-")</f>
        <v>-</v>
      </c>
      <c r="N124" s="55" t="str">
        <f>IF(AND(booking!P124&lt;&gt;booking!Q124,booking!P124&gt;0),"udc","-")</f>
        <v>-</v>
      </c>
      <c r="O124" s="51" t="str">
        <f>IFERROR(IF(AND(booking!AB124&gt;0,booking!P124&lt;&gt;booking!Q124),VLOOKUP(booking!Q124,Database!$A$1:'Database'!$L$175,6,FALSE),"-"),"-")</f>
        <v>-</v>
      </c>
      <c r="P124" s="51" t="str">
        <f>IFERROR(IF(AND(booking!AB124&gt;0,booking!P124&lt;&gt;booking!Q124),VLOOKUP(booking!Q124,Database!$A$1:'Database'!$L$175,9,FALSE),"-"),"-")</f>
        <v>-</v>
      </c>
      <c r="Q124" s="55" t="str">
        <f>IF(AND(booking!T124&lt;&gt;booking!U124,booking!T124&gt;0),"udc","-")</f>
        <v>-</v>
      </c>
      <c r="R124" s="51" t="str">
        <f>IFERROR(IF(AND(booking!AB124&gt;0,booking!T124&lt;&gt;booking!U124),VLOOKUP(booking!U124,Database!$A$1:'Database'!$L$175,6,FALSE),"-"),"-")</f>
        <v>-</v>
      </c>
      <c r="S124" s="51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6">
        <f>booking!C125</f>
        <v>46626</v>
      </c>
      <c r="D125" s="2" t="str">
        <f>IF(booking!AC125&gt;0,"Y","-")</f>
        <v>-</v>
      </c>
      <c r="E125" s="55" t="str">
        <f>IF(AND(booking!D125&lt;&gt;booking!E125,booking!D125&gt;0),"udc","-")</f>
        <v>-</v>
      </c>
      <c r="F125" s="51" t="str">
        <f>IFERROR(IF(AND(booking!AB125&gt;0,booking!D125&lt;&gt;booking!E125),VLOOKUP(booking!E125,Database!$A$1:'Database'!$L$175,6,FALSE),"-"),"-")</f>
        <v>-</v>
      </c>
      <c r="G125" s="51" t="str">
        <f>IFERROR(IF(AND(booking!AB125&gt;0,booking!D125&lt;&gt;booking!E125),VLOOKUP(booking!E125,Database!$A$1:'Database'!$L$175,9,FALSE),"-"),"-")</f>
        <v>-</v>
      </c>
      <c r="H125" s="55" t="str">
        <f>IF(AND(booking!H125&lt;&gt;booking!I125,booking!H125&gt;0),"udc","-")</f>
        <v>-</v>
      </c>
      <c r="I125" s="51" t="str">
        <f>IFERROR(IF(AND(booking!AB125&gt;0,booking!H125&lt;&gt;booking!I125),VLOOKUP(booking!I125,Database!$A$1:'Database'!$L$175,6,FALSE),"-"),"-")</f>
        <v>-</v>
      </c>
      <c r="J125" s="51" t="str">
        <f>IFERROR(IF(AND(booking!AB125&gt;0,booking!H125&lt;&gt;booking!I125),VLOOKUP(booking!I125,Database!$A$1:'Database'!$L$175,9,FALSE),"-"),"-")</f>
        <v>-</v>
      </c>
      <c r="K125" s="55" t="str">
        <f>IF(AND(booking!L125&lt;&gt;booking!M125,booking!L125&gt;0),"udc","-")</f>
        <v>-</v>
      </c>
      <c r="L125" s="51" t="str">
        <f>IFERROR(IF(AND(booking!AB125&gt;0,booking!L125&lt;&gt;booking!M125),VLOOKUP(booking!M125,Database!$A$1:'Database'!$L$175,6,FALSE),"-"),"-")</f>
        <v>-</v>
      </c>
      <c r="M125" s="51" t="str">
        <f>IFERROR(IF(AND(booking!AB125&gt;0,booking!L125&lt;&gt;booking!M125),VLOOKUP(booking!M125,Database!A124:'Database'!L298,9,FALSE),"-"),"-")</f>
        <v>-</v>
      </c>
      <c r="N125" s="55" t="str">
        <f>IF(AND(booking!P125&lt;&gt;booking!Q125,booking!P125&gt;0),"udc","-")</f>
        <v>-</v>
      </c>
      <c r="O125" s="51" t="str">
        <f>IFERROR(IF(AND(booking!AB125&gt;0,booking!P125&lt;&gt;booking!Q125),VLOOKUP(booking!Q125,Database!$A$1:'Database'!$L$175,6,FALSE),"-"),"-")</f>
        <v>-</v>
      </c>
      <c r="P125" s="51" t="str">
        <f>IFERROR(IF(AND(booking!AB125&gt;0,booking!P125&lt;&gt;booking!Q125),VLOOKUP(booking!Q125,Database!$A$1:'Database'!$L$175,9,FALSE),"-"),"-")</f>
        <v>-</v>
      </c>
      <c r="Q125" s="55" t="str">
        <f>IF(AND(booking!T125&lt;&gt;booking!U125,booking!T125&gt;0),"udc","-")</f>
        <v>-</v>
      </c>
      <c r="R125" s="51" t="str">
        <f>IFERROR(IF(AND(booking!AB125&gt;0,booking!T125&lt;&gt;booking!U125),VLOOKUP(booking!U125,Database!$A$1:'Database'!$L$175,6,FALSE),"-"),"-")</f>
        <v>-</v>
      </c>
      <c r="S125" s="51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6">
        <f>booking!C126</f>
        <v>46627</v>
      </c>
      <c r="D126" s="2" t="str">
        <f>IF(booking!AC126&gt;0,"Y","-")</f>
        <v>-</v>
      </c>
      <c r="E126" s="55" t="str">
        <f>IF(AND(booking!D126&lt;&gt;booking!E126,booking!D126&gt;0),"udc","-")</f>
        <v>-</v>
      </c>
      <c r="F126" s="51" t="str">
        <f>IFERROR(IF(AND(booking!AB126&gt;0,booking!D126&lt;&gt;booking!E126),VLOOKUP(booking!E126,Database!$A$1:'Database'!$L$175,6,FALSE),"-"),"-")</f>
        <v>-</v>
      </c>
      <c r="G126" s="51" t="str">
        <f>IFERROR(IF(AND(booking!AB126&gt;0,booking!D126&lt;&gt;booking!E126),VLOOKUP(booking!E126,Database!$A$1:'Database'!$L$175,9,FALSE),"-"),"-")</f>
        <v>-</v>
      </c>
      <c r="H126" s="55" t="str">
        <f>IF(AND(booking!H126&lt;&gt;booking!I126,booking!H126&gt;0),"udc","-")</f>
        <v>-</v>
      </c>
      <c r="I126" s="51" t="str">
        <f>IFERROR(IF(AND(booking!AB126&gt;0,booking!H126&lt;&gt;booking!I126),VLOOKUP(booking!I126,Database!$A$1:'Database'!$L$175,6,FALSE),"-"),"-")</f>
        <v>-</v>
      </c>
      <c r="J126" s="51" t="str">
        <f>IFERROR(IF(AND(booking!AB126&gt;0,booking!H126&lt;&gt;booking!I126),VLOOKUP(booking!I126,Database!$A$1:'Database'!$L$175,9,FALSE),"-"),"-")</f>
        <v>-</v>
      </c>
      <c r="K126" s="55" t="str">
        <f>IF(AND(booking!L126&lt;&gt;booking!M126,booking!L126&gt;0),"udc","-")</f>
        <v>-</v>
      </c>
      <c r="L126" s="51" t="str">
        <f>IFERROR(IF(AND(booking!AB126&gt;0,booking!L126&lt;&gt;booking!M126),VLOOKUP(booking!M126,Database!$A$1:'Database'!$L$175,6,FALSE),"-"),"-")</f>
        <v>-</v>
      </c>
      <c r="M126" s="51" t="str">
        <f>IFERROR(IF(AND(booking!AB126&gt;0,booking!L126&lt;&gt;booking!M126),VLOOKUP(booking!M126,Database!A125:'Database'!L299,9,FALSE),"-"),"-")</f>
        <v>-</v>
      </c>
      <c r="N126" s="55" t="str">
        <f>IF(AND(booking!P126&lt;&gt;booking!Q126,booking!P126&gt;0),"udc","-")</f>
        <v>-</v>
      </c>
      <c r="O126" s="51" t="str">
        <f>IFERROR(IF(AND(booking!AB126&gt;0,booking!P126&lt;&gt;booking!Q126),VLOOKUP(booking!Q126,Database!$A$1:'Database'!$L$175,6,FALSE),"-"),"-")</f>
        <v>-</v>
      </c>
      <c r="P126" s="51" t="str">
        <f>IFERROR(IF(AND(booking!AB126&gt;0,booking!P126&lt;&gt;booking!Q126),VLOOKUP(booking!Q126,Database!$A$1:'Database'!$L$175,9,FALSE),"-"),"-")</f>
        <v>-</v>
      </c>
      <c r="Q126" s="55" t="str">
        <f>IF(AND(booking!T126&lt;&gt;booking!U126,booking!T126&gt;0),"udc","-")</f>
        <v>-</v>
      </c>
      <c r="R126" s="51" t="str">
        <f>IFERROR(IF(AND(booking!AB126&gt;0,booking!T126&lt;&gt;booking!U126),VLOOKUP(booking!U126,Database!$A$1:'Database'!$L$175,6,FALSE),"-"),"-")</f>
        <v>-</v>
      </c>
      <c r="S126" s="51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6">
        <f>booking!C127</f>
        <v>46628</v>
      </c>
      <c r="D127" s="2" t="str">
        <f>IF(booking!AC127&gt;0,"Y","-")</f>
        <v>-</v>
      </c>
      <c r="E127" s="55" t="str">
        <f>IF(AND(booking!D127&lt;&gt;booking!E127,booking!D127&gt;0),"udc","-")</f>
        <v>-</v>
      </c>
      <c r="F127" s="51" t="str">
        <f>IFERROR(IF(AND(booking!AB127&gt;0,booking!D127&lt;&gt;booking!E127),VLOOKUP(booking!E127,Database!$A$1:'Database'!$L$175,6,FALSE),"-"),"-")</f>
        <v>-</v>
      </c>
      <c r="G127" s="51" t="str">
        <f>IFERROR(IF(AND(booking!AB127&gt;0,booking!D127&lt;&gt;booking!E127),VLOOKUP(booking!E127,Database!$A$1:'Database'!$L$175,9,FALSE),"-"),"-")</f>
        <v>-</v>
      </c>
      <c r="H127" s="55" t="str">
        <f>IF(AND(booking!H127&lt;&gt;booking!I127,booking!H127&gt;0),"udc","-")</f>
        <v>-</v>
      </c>
      <c r="I127" s="51" t="str">
        <f>IFERROR(IF(AND(booking!AB127&gt;0,booking!H127&lt;&gt;booking!I127),VLOOKUP(booking!I127,Database!$A$1:'Database'!$L$175,6,FALSE),"-"),"-")</f>
        <v>-</v>
      </c>
      <c r="J127" s="51" t="str">
        <f>IFERROR(IF(AND(booking!AB127&gt;0,booking!H127&lt;&gt;booking!I127),VLOOKUP(booking!I127,Database!$A$1:'Database'!$L$175,9,FALSE),"-"),"-")</f>
        <v>-</v>
      </c>
      <c r="K127" s="55" t="str">
        <f>IF(AND(booking!L127&lt;&gt;booking!M127,booking!L127&gt;0),"udc","-")</f>
        <v>-</v>
      </c>
      <c r="L127" s="51" t="str">
        <f>IFERROR(IF(AND(booking!AB127&gt;0,booking!L127&lt;&gt;booking!M127),VLOOKUP(booking!M127,Database!$A$1:'Database'!$L$175,6,FALSE),"-"),"-")</f>
        <v>-</v>
      </c>
      <c r="M127" s="51" t="str">
        <f>IFERROR(IF(AND(booking!AB127&gt;0,booking!L127&lt;&gt;booking!M127),VLOOKUP(booking!M127,Database!A126:'Database'!L300,9,FALSE),"-"),"-")</f>
        <v>-</v>
      </c>
      <c r="N127" s="55" t="str">
        <f>IF(AND(booking!P127&lt;&gt;booking!Q127,booking!P127&gt;0),"udc","-")</f>
        <v>-</v>
      </c>
      <c r="O127" s="51" t="str">
        <f>IFERROR(IF(AND(booking!AB127&gt;0,booking!P127&lt;&gt;booking!Q127),VLOOKUP(booking!Q127,Database!$A$1:'Database'!$L$175,6,FALSE),"-"),"-")</f>
        <v>-</v>
      </c>
      <c r="P127" s="51" t="str">
        <f>IFERROR(IF(AND(booking!AB127&gt;0,booking!P127&lt;&gt;booking!Q127),VLOOKUP(booking!Q127,Database!$A$1:'Database'!$L$175,9,FALSE),"-"),"-")</f>
        <v>-</v>
      </c>
      <c r="Q127" s="55" t="str">
        <f>IF(AND(booking!T127&lt;&gt;booking!U127,booking!T127&gt;0),"udc","-")</f>
        <v>-</v>
      </c>
      <c r="R127" s="51" t="str">
        <f>IFERROR(IF(AND(booking!AB127&gt;0,booking!T127&lt;&gt;booking!U127),VLOOKUP(booking!U127,Database!$A$1:'Database'!$L$175,6,FALSE),"-"),"-")</f>
        <v>-</v>
      </c>
      <c r="S127" s="51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6">
        <f>booking!C128</f>
        <v>46629</v>
      </c>
      <c r="D128" s="2" t="str">
        <f>IF(booking!AC128&gt;0,"Y","-")</f>
        <v>-</v>
      </c>
      <c r="E128" s="55" t="str">
        <f>IF(AND(booking!D128&lt;&gt;booking!E128,booking!D128&gt;0),"udc","-")</f>
        <v>-</v>
      </c>
      <c r="F128" s="51" t="str">
        <f>IFERROR(IF(AND(booking!AB128&gt;0,booking!D128&lt;&gt;booking!E128),VLOOKUP(booking!E128,Database!$A$1:'Database'!$L$175,6,FALSE),"-"),"-")</f>
        <v>-</v>
      </c>
      <c r="G128" s="51" t="str">
        <f>IFERROR(IF(AND(booking!AB128&gt;0,booking!D128&lt;&gt;booking!E128),VLOOKUP(booking!E128,Database!$A$1:'Database'!$L$175,9,FALSE),"-"),"-")</f>
        <v>-</v>
      </c>
      <c r="H128" s="55" t="str">
        <f>IF(AND(booking!H128&lt;&gt;booking!I128,booking!H128&gt;0),"udc","-")</f>
        <v>-</v>
      </c>
      <c r="I128" s="51" t="str">
        <f>IFERROR(IF(AND(booking!AB128&gt;0,booking!H128&lt;&gt;booking!I128),VLOOKUP(booking!I128,Database!$A$1:'Database'!$L$175,6,FALSE),"-"),"-")</f>
        <v>-</v>
      </c>
      <c r="J128" s="51" t="str">
        <f>IFERROR(IF(AND(booking!AB128&gt;0,booking!H128&lt;&gt;booking!I128),VLOOKUP(booking!I128,Database!$A$1:'Database'!$L$175,9,FALSE),"-"),"-")</f>
        <v>-</v>
      </c>
      <c r="K128" s="55" t="str">
        <f>IF(AND(booking!L128&lt;&gt;booking!M128,booking!L128&gt;0),"udc","-")</f>
        <v>-</v>
      </c>
      <c r="L128" s="51" t="str">
        <f>IFERROR(IF(AND(booking!AB128&gt;0,booking!L128&lt;&gt;booking!M128),VLOOKUP(booking!M128,Database!$A$1:'Database'!$L$175,6,FALSE),"-"),"-")</f>
        <v>-</v>
      </c>
      <c r="M128" s="51" t="str">
        <f>IFERROR(IF(AND(booking!AB128&gt;0,booking!L128&lt;&gt;booking!M128),VLOOKUP(booking!M128,Database!A127:'Database'!L301,9,FALSE),"-"),"-")</f>
        <v>-</v>
      </c>
      <c r="N128" s="55" t="str">
        <f>IF(AND(booking!P128&lt;&gt;booking!Q128,booking!P128&gt;0),"udc","-")</f>
        <v>-</v>
      </c>
      <c r="O128" s="51" t="str">
        <f>IFERROR(IF(AND(booking!AB128&gt;0,booking!P128&lt;&gt;booking!Q128),VLOOKUP(booking!Q128,Database!$A$1:'Database'!$L$175,6,FALSE),"-"),"-")</f>
        <v>-</v>
      </c>
      <c r="P128" s="51" t="str">
        <f>IFERROR(IF(AND(booking!AB128&gt;0,booking!P128&lt;&gt;booking!Q128),VLOOKUP(booking!Q128,Database!$A$1:'Database'!$L$175,9,FALSE),"-"),"-")</f>
        <v>-</v>
      </c>
      <c r="Q128" s="55" t="str">
        <f>IF(AND(booking!T128&lt;&gt;booking!U128,booking!T128&gt;0),"udc","-")</f>
        <v>-</v>
      </c>
      <c r="R128" s="51" t="str">
        <f>IFERROR(IF(AND(booking!AB128&gt;0,booking!T128&lt;&gt;booking!U128),VLOOKUP(booking!U128,Database!$A$1:'Database'!$L$175,6,FALSE),"-"),"-")</f>
        <v>-</v>
      </c>
      <c r="S128" s="51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6">
        <f>booking!C129</f>
        <v>46630</v>
      </c>
      <c r="D129" s="2" t="str">
        <f>IF(booking!AC129&gt;0,"Y","-")</f>
        <v>-</v>
      </c>
      <c r="E129" s="55" t="str">
        <f>IF(AND(booking!D129&lt;&gt;booking!E129,booking!D129&gt;0),"udc","-")</f>
        <v>-</v>
      </c>
      <c r="F129" s="51" t="str">
        <f>IFERROR(IF(AND(booking!AB129&gt;0,booking!D129&lt;&gt;booking!E129),VLOOKUP(booking!E129,Database!$A$1:'Database'!$L$175,6,FALSE),"-"),"-")</f>
        <v>-</v>
      </c>
      <c r="G129" s="51" t="str">
        <f>IFERROR(IF(AND(booking!AB129&gt;0,booking!D129&lt;&gt;booking!E129),VLOOKUP(booking!E129,Database!$A$1:'Database'!$L$175,9,FALSE),"-"),"-")</f>
        <v>-</v>
      </c>
      <c r="H129" s="55" t="str">
        <f>IF(AND(booking!H129&lt;&gt;booking!I129,booking!H129&gt;0),"udc","-")</f>
        <v>-</v>
      </c>
      <c r="I129" s="51" t="str">
        <f>IFERROR(IF(AND(booking!AB129&gt;0,booking!H129&lt;&gt;booking!I129),VLOOKUP(booking!I129,Database!$A$1:'Database'!$L$175,6,FALSE),"-"),"-")</f>
        <v>-</v>
      </c>
      <c r="J129" s="51" t="str">
        <f>IFERROR(IF(AND(booking!AB129&gt;0,booking!H129&lt;&gt;booking!I129),VLOOKUP(booking!I129,Database!$A$1:'Database'!$L$175,9,FALSE),"-"),"-")</f>
        <v>-</v>
      </c>
      <c r="K129" s="55" t="str">
        <f>IF(AND(booking!L129&lt;&gt;booking!M129,booking!L129&gt;0),"udc","-")</f>
        <v>-</v>
      </c>
      <c r="L129" s="51" t="str">
        <f>IFERROR(IF(AND(booking!AB129&gt;0,booking!L129&lt;&gt;booking!M129),VLOOKUP(booking!M129,Database!$A$1:'Database'!$L$175,6,FALSE),"-"),"-")</f>
        <v>-</v>
      </c>
      <c r="M129" s="51" t="str">
        <f>IFERROR(IF(AND(booking!AB129&gt;0,booking!L129&lt;&gt;booking!M129),VLOOKUP(booking!M129,Database!A128:'Database'!L302,9,FALSE),"-"),"-")</f>
        <v>-</v>
      </c>
      <c r="N129" s="55" t="str">
        <f>IF(AND(booking!P129&lt;&gt;booking!Q129,booking!P129&gt;0),"udc","-")</f>
        <v>-</v>
      </c>
      <c r="O129" s="51" t="str">
        <f>IFERROR(IF(AND(booking!AB129&gt;0,booking!P129&lt;&gt;booking!Q129),VLOOKUP(booking!Q129,Database!$A$1:'Database'!$L$175,6,FALSE),"-"),"-")</f>
        <v>-</v>
      </c>
      <c r="P129" s="51" t="str">
        <f>IFERROR(IF(AND(booking!AB129&gt;0,booking!P129&lt;&gt;booking!Q129),VLOOKUP(booking!Q129,Database!$A$1:'Database'!$L$175,9,FALSE),"-"),"-")</f>
        <v>-</v>
      </c>
      <c r="Q129" s="55" t="str">
        <f>IF(AND(booking!T129&lt;&gt;booking!U129,booking!T129&gt;0),"udc","-")</f>
        <v>-</v>
      </c>
      <c r="R129" s="51" t="str">
        <f>IFERROR(IF(AND(booking!AB129&gt;0,booking!T129&lt;&gt;booking!U129),VLOOKUP(booking!U129,Database!$A$1:'Database'!$L$175,6,FALSE),"-"),"-")</f>
        <v>-</v>
      </c>
      <c r="S129" s="51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6">
        <f>booking!C130</f>
        <v>46631</v>
      </c>
      <c r="D130" s="2" t="str">
        <f>IF(booking!AC130&gt;0,"Y","-")</f>
        <v>-</v>
      </c>
      <c r="E130" s="55" t="str">
        <f>IF(AND(booking!D130&lt;&gt;booking!E130,booking!D130&gt;0),"udc","-")</f>
        <v>-</v>
      </c>
      <c r="F130" s="51" t="str">
        <f>IFERROR(IF(AND(booking!AB130&gt;0,booking!D130&lt;&gt;booking!E130),VLOOKUP(booking!E130,Database!$A$1:'Database'!$L$175,6,FALSE),"-"),"-")</f>
        <v>-</v>
      </c>
      <c r="G130" s="51" t="str">
        <f>IFERROR(IF(AND(booking!AB130&gt;0,booking!D130&lt;&gt;booking!E130),VLOOKUP(booking!E130,Database!$A$1:'Database'!$L$175,9,FALSE),"-"),"-")</f>
        <v>-</v>
      </c>
      <c r="H130" s="55" t="str">
        <f>IF(AND(booking!H130&lt;&gt;booking!I130,booking!H130&gt;0),"udc","-")</f>
        <v>-</v>
      </c>
      <c r="I130" s="51" t="str">
        <f>IFERROR(IF(AND(booking!AB130&gt;0,booking!H130&lt;&gt;booking!I130),VLOOKUP(booking!I130,Database!$A$1:'Database'!$L$175,6,FALSE),"-"),"-")</f>
        <v>-</v>
      </c>
      <c r="J130" s="51" t="str">
        <f>IFERROR(IF(AND(booking!AB130&gt;0,booking!H130&lt;&gt;booking!I130),VLOOKUP(booking!I130,Database!$A$1:'Database'!$L$175,9,FALSE),"-"),"-")</f>
        <v>-</v>
      </c>
      <c r="K130" s="55" t="str">
        <f>IF(AND(booking!L130&lt;&gt;booking!M130,booking!L130&gt;0),"udc","-")</f>
        <v>-</v>
      </c>
      <c r="L130" s="51" t="str">
        <f>IFERROR(IF(AND(booking!AB130&gt;0,booking!L130&lt;&gt;booking!M130),VLOOKUP(booking!M130,Database!$A$1:'Database'!$L$175,6,FALSE),"-"),"-")</f>
        <v>-</v>
      </c>
      <c r="M130" s="51" t="str">
        <f>IFERROR(IF(AND(booking!AB130&gt;0,booking!L130&lt;&gt;booking!M130),VLOOKUP(booking!M130,Database!A129:'Database'!L303,9,FALSE),"-"),"-")</f>
        <v>-</v>
      </c>
      <c r="N130" s="55" t="str">
        <f>IF(AND(booking!P130&lt;&gt;booking!Q130,booking!P130&gt;0),"udc","-")</f>
        <v>-</v>
      </c>
      <c r="O130" s="51" t="str">
        <f>IFERROR(IF(AND(booking!AB130&gt;0,booking!P130&lt;&gt;booking!Q130),VLOOKUP(booking!Q130,Database!$A$1:'Database'!$L$175,6,FALSE),"-"),"-")</f>
        <v>-</v>
      </c>
      <c r="P130" s="51" t="str">
        <f>IFERROR(IF(AND(booking!AB130&gt;0,booking!P130&lt;&gt;booking!Q130),VLOOKUP(booking!Q130,Database!$A$1:'Database'!$L$175,9,FALSE),"-"),"-")</f>
        <v>-</v>
      </c>
      <c r="Q130" s="55" t="str">
        <f>IF(AND(booking!T130&lt;&gt;booking!U130,booking!T130&gt;0),"udc","-")</f>
        <v>-</v>
      </c>
      <c r="R130" s="51" t="str">
        <f>IFERROR(IF(AND(booking!AB130&gt;0,booking!T130&lt;&gt;booking!U130),VLOOKUP(booking!U130,Database!$A$1:'Database'!$L$175,6,FALSE),"-"),"-")</f>
        <v>-</v>
      </c>
      <c r="S130" s="51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6">
        <f>booking!C131</f>
        <v>46632</v>
      </c>
      <c r="D131" s="2" t="str">
        <f>IF(booking!AC131&gt;0,"Y","-")</f>
        <v>-</v>
      </c>
      <c r="E131" s="55" t="str">
        <f>IF(AND(booking!D131&lt;&gt;booking!E131,booking!D131&gt;0),"udc","-")</f>
        <v>-</v>
      </c>
      <c r="F131" s="51" t="str">
        <f>IFERROR(IF(AND(booking!AB131&gt;0,booking!D131&lt;&gt;booking!E131),VLOOKUP(booking!E131,Database!$A$1:'Database'!$L$175,6,FALSE),"-"),"-")</f>
        <v>-</v>
      </c>
      <c r="G131" s="51" t="str">
        <f>IFERROR(IF(AND(booking!AB131&gt;0,booking!D131&lt;&gt;booking!E131),VLOOKUP(booking!E131,Database!$A$1:'Database'!$L$175,9,FALSE),"-"),"-")</f>
        <v>-</v>
      </c>
      <c r="H131" s="55" t="str">
        <f>IF(AND(booking!H131&lt;&gt;booking!I131,booking!H131&gt;0),"udc","-")</f>
        <v>-</v>
      </c>
      <c r="I131" s="51" t="str">
        <f>IFERROR(IF(AND(booking!AB131&gt;0,booking!H131&lt;&gt;booking!I131),VLOOKUP(booking!I131,Database!$A$1:'Database'!$L$175,6,FALSE),"-"),"-")</f>
        <v>-</v>
      </c>
      <c r="J131" s="51" t="str">
        <f>IFERROR(IF(AND(booking!AB131&gt;0,booking!H131&lt;&gt;booking!I131),VLOOKUP(booking!I131,Database!$A$1:'Database'!$L$175,9,FALSE),"-"),"-")</f>
        <v>-</v>
      </c>
      <c r="K131" s="55" t="str">
        <f>IF(AND(booking!L131&lt;&gt;booking!M131,booking!L131&gt;0),"udc","-")</f>
        <v>-</v>
      </c>
      <c r="L131" s="51" t="str">
        <f>IFERROR(IF(AND(booking!AB131&gt;0,booking!L131&lt;&gt;booking!M131),VLOOKUP(booking!M131,Database!$A$1:'Database'!$L$175,6,FALSE),"-"),"-")</f>
        <v>-</v>
      </c>
      <c r="M131" s="51" t="str">
        <f>IFERROR(IF(AND(booking!AB131&gt;0,booking!L131&lt;&gt;booking!M131),VLOOKUP(booking!M131,Database!A130:'Database'!L304,9,FALSE),"-"),"-")</f>
        <v>-</v>
      </c>
      <c r="N131" s="55" t="str">
        <f>IF(AND(booking!P131&lt;&gt;booking!Q131,booking!P131&gt;0),"udc","-")</f>
        <v>-</v>
      </c>
      <c r="O131" s="51" t="str">
        <f>IFERROR(IF(AND(booking!AB131&gt;0,booking!P131&lt;&gt;booking!Q131),VLOOKUP(booking!Q131,Database!$A$1:'Database'!$L$175,6,FALSE),"-"),"-")</f>
        <v>-</v>
      </c>
      <c r="P131" s="51" t="str">
        <f>IFERROR(IF(AND(booking!AB131&gt;0,booking!P131&lt;&gt;booking!Q131),VLOOKUP(booking!Q131,Database!$A$1:'Database'!$L$175,9,FALSE),"-"),"-")</f>
        <v>-</v>
      </c>
      <c r="Q131" s="55" t="str">
        <f>IF(AND(booking!T131&lt;&gt;booking!U131,booking!T131&gt;0),"udc","-")</f>
        <v>-</v>
      </c>
      <c r="R131" s="51" t="str">
        <f>IFERROR(IF(AND(booking!AB131&gt;0,booking!T131&lt;&gt;booking!U131),VLOOKUP(booking!U131,Database!$A$1:'Database'!$L$175,6,FALSE),"-"),"-")</f>
        <v>-</v>
      </c>
      <c r="S131" s="51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6">
        <f>booking!C132</f>
        <v>46633</v>
      </c>
      <c r="D132" s="2" t="str">
        <f>IF(booking!AC132&gt;0,"Y","-")</f>
        <v>-</v>
      </c>
      <c r="E132" s="55" t="str">
        <f>IF(AND(booking!D132&lt;&gt;booking!E132,booking!D132&gt;0),"udc","-")</f>
        <v>-</v>
      </c>
      <c r="F132" s="51" t="str">
        <f>IFERROR(IF(AND(booking!AB132&gt;0,booking!D132&lt;&gt;booking!E132),VLOOKUP(booking!E132,Database!$A$1:'Database'!$L$175,6,FALSE),"-"),"-")</f>
        <v>-</v>
      </c>
      <c r="G132" s="51" t="str">
        <f>IFERROR(IF(AND(booking!AB132&gt;0,booking!D132&lt;&gt;booking!E132),VLOOKUP(booking!E132,Database!$A$1:'Database'!$L$175,9,FALSE),"-"),"-")</f>
        <v>-</v>
      </c>
      <c r="H132" s="55" t="str">
        <f>IF(AND(booking!H132&lt;&gt;booking!I132,booking!H132&gt;0),"udc","-")</f>
        <v>-</v>
      </c>
      <c r="I132" s="51" t="str">
        <f>IFERROR(IF(AND(booking!AB132&gt;0,booking!H132&lt;&gt;booking!I132),VLOOKUP(booking!I132,Database!$A$1:'Database'!$L$175,6,FALSE),"-"),"-")</f>
        <v>-</v>
      </c>
      <c r="J132" s="51" t="str">
        <f>IFERROR(IF(AND(booking!AB132&gt;0,booking!H132&lt;&gt;booking!I132),VLOOKUP(booking!I132,Database!$A$1:'Database'!$L$175,9,FALSE),"-"),"-")</f>
        <v>-</v>
      </c>
      <c r="K132" s="55" t="str">
        <f>IF(AND(booking!L132&lt;&gt;booking!M132,booking!L132&gt;0),"udc","-")</f>
        <v>-</v>
      </c>
      <c r="L132" s="51" t="str">
        <f>IFERROR(IF(AND(booking!AB132&gt;0,booking!L132&lt;&gt;booking!M132),VLOOKUP(booking!M132,Database!$A$1:'Database'!$L$175,6,FALSE),"-"),"-")</f>
        <v>-</v>
      </c>
      <c r="M132" s="51" t="str">
        <f>IFERROR(IF(AND(booking!AB132&gt;0,booking!L132&lt;&gt;booking!M132),VLOOKUP(booking!M132,Database!A131:'Database'!L305,9,FALSE),"-"),"-")</f>
        <v>-</v>
      </c>
      <c r="N132" s="55" t="str">
        <f>IF(AND(booking!P132&lt;&gt;booking!Q132,booking!P132&gt;0),"udc","-")</f>
        <v>-</v>
      </c>
      <c r="O132" s="51" t="str">
        <f>IFERROR(IF(AND(booking!AB132&gt;0,booking!P132&lt;&gt;booking!Q132),VLOOKUP(booking!Q132,Database!$A$1:'Database'!$L$175,6,FALSE),"-"),"-")</f>
        <v>-</v>
      </c>
      <c r="P132" s="51" t="str">
        <f>IFERROR(IF(AND(booking!AB132&gt;0,booking!P132&lt;&gt;booking!Q132),VLOOKUP(booking!Q132,Database!$A$1:'Database'!$L$175,9,FALSE),"-"),"-")</f>
        <v>-</v>
      </c>
      <c r="Q132" s="55" t="str">
        <f>IF(AND(booking!T132&lt;&gt;booking!U132,booking!T132&gt;0),"udc","-")</f>
        <v>-</v>
      </c>
      <c r="R132" s="51" t="str">
        <f>IFERROR(IF(AND(booking!AB132&gt;0,booking!T132&lt;&gt;booking!U132),VLOOKUP(booking!U132,Database!$A$1:'Database'!$L$175,6,FALSE),"-"),"-")</f>
        <v>-</v>
      </c>
      <c r="S132" s="51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6">
        <f>booking!C133</f>
        <v>46634</v>
      </c>
      <c r="D133" s="2" t="str">
        <f>IF(booking!AC133&gt;0,"Y","-")</f>
        <v>-</v>
      </c>
      <c r="E133" s="55" t="str">
        <f>IF(AND(booking!D133&lt;&gt;booking!E133,booking!D133&gt;0),"udc","-")</f>
        <v>-</v>
      </c>
      <c r="F133" s="51" t="str">
        <f>IFERROR(IF(AND(booking!AB133&gt;0,booking!D133&lt;&gt;booking!E133),VLOOKUP(booking!E133,Database!$A$1:'Database'!$L$175,6,FALSE),"-"),"-")</f>
        <v>-</v>
      </c>
      <c r="G133" s="51" t="str">
        <f>IFERROR(IF(AND(booking!AB133&gt;0,booking!D133&lt;&gt;booking!E133),VLOOKUP(booking!E133,Database!$A$1:'Database'!$L$175,9,FALSE),"-"),"-")</f>
        <v>-</v>
      </c>
      <c r="H133" s="55" t="str">
        <f>IF(AND(booking!H133&lt;&gt;booking!I133,booking!H133&gt;0),"udc","-")</f>
        <v>-</v>
      </c>
      <c r="I133" s="51" t="str">
        <f>IFERROR(IF(AND(booking!AB133&gt;0,booking!H133&lt;&gt;booking!I133),VLOOKUP(booking!I133,Database!$A$1:'Database'!$L$175,6,FALSE),"-"),"-")</f>
        <v>-</v>
      </c>
      <c r="J133" s="51" t="str">
        <f>IFERROR(IF(AND(booking!AB133&gt;0,booking!H133&lt;&gt;booking!I133),VLOOKUP(booking!I133,Database!$A$1:'Database'!$L$175,9,FALSE),"-"),"-")</f>
        <v>-</v>
      </c>
      <c r="K133" s="55" t="str">
        <f>IF(AND(booking!L133&lt;&gt;booking!M133,booking!L133&gt;0),"udc","-")</f>
        <v>-</v>
      </c>
      <c r="L133" s="51" t="str">
        <f>IFERROR(IF(AND(booking!AB133&gt;0,booking!L133&lt;&gt;booking!M133),VLOOKUP(booking!M133,Database!$A$1:'Database'!$L$175,6,FALSE),"-"),"-")</f>
        <v>-</v>
      </c>
      <c r="M133" s="51" t="str">
        <f>IFERROR(IF(AND(booking!AB133&gt;0,booking!L133&lt;&gt;booking!M133),VLOOKUP(booking!M133,Database!A132:'Database'!L306,9,FALSE),"-"),"-")</f>
        <v>-</v>
      </c>
      <c r="N133" s="55" t="str">
        <f>IF(AND(booking!P133&lt;&gt;booking!Q133,booking!P133&gt;0),"udc","-")</f>
        <v>-</v>
      </c>
      <c r="O133" s="51" t="str">
        <f>IFERROR(IF(AND(booking!AB133&gt;0,booking!P133&lt;&gt;booking!Q133),VLOOKUP(booking!Q133,Database!$A$1:'Database'!$L$175,6,FALSE),"-"),"-")</f>
        <v>-</v>
      </c>
      <c r="P133" s="51" t="str">
        <f>IFERROR(IF(AND(booking!AB133&gt;0,booking!P133&lt;&gt;booking!Q133),VLOOKUP(booking!Q133,Database!$A$1:'Database'!$L$175,9,FALSE),"-"),"-")</f>
        <v>-</v>
      </c>
      <c r="Q133" s="55" t="str">
        <f>IF(AND(booking!T133&lt;&gt;booking!U133,booking!T133&gt;0),"udc","-")</f>
        <v>-</v>
      </c>
      <c r="R133" s="51" t="str">
        <f>IFERROR(IF(AND(booking!AB133&gt;0,booking!T133&lt;&gt;booking!U133),VLOOKUP(booking!U133,Database!$A$1:'Database'!$L$175,6,FALSE),"-"),"-")</f>
        <v>-</v>
      </c>
      <c r="S133" s="51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6">
        <f>booking!C134</f>
        <v>46635</v>
      </c>
      <c r="D134" s="2" t="str">
        <f>IF(booking!AC134&gt;0,"Y","-")</f>
        <v>-</v>
      </c>
      <c r="E134" s="55" t="str">
        <f>IF(AND(booking!D134&lt;&gt;booking!E134,booking!D134&gt;0),"udc","-")</f>
        <v>-</v>
      </c>
      <c r="F134" s="51" t="str">
        <f>IFERROR(IF(AND(booking!AB134&gt;0,booking!D134&lt;&gt;booking!E134),VLOOKUP(booking!E134,Database!$A$1:'Database'!$L$175,6,FALSE),"-"),"-")</f>
        <v>-</v>
      </c>
      <c r="G134" s="51" t="str">
        <f>IFERROR(IF(AND(booking!AB134&gt;0,booking!D134&lt;&gt;booking!E134),VLOOKUP(booking!E134,Database!$A$1:'Database'!$L$175,9,FALSE),"-"),"-")</f>
        <v>-</v>
      </c>
      <c r="H134" s="55" t="str">
        <f>IF(AND(booking!H134&lt;&gt;booking!I134,booking!H134&gt;0),"udc","-")</f>
        <v>-</v>
      </c>
      <c r="I134" s="51" t="str">
        <f>IFERROR(IF(AND(booking!AB134&gt;0,booking!H134&lt;&gt;booking!I134),VLOOKUP(booking!I134,Database!$A$1:'Database'!$L$175,6,FALSE),"-"),"-")</f>
        <v>-</v>
      </c>
      <c r="J134" s="51" t="str">
        <f>IFERROR(IF(AND(booking!AB134&gt;0,booking!H134&lt;&gt;booking!I134),VLOOKUP(booking!I134,Database!$A$1:'Database'!$L$175,9,FALSE),"-"),"-")</f>
        <v>-</v>
      </c>
      <c r="K134" s="55" t="str">
        <f>IF(AND(booking!L134&lt;&gt;booking!M134,booking!L134&gt;0),"udc","-")</f>
        <v>-</v>
      </c>
      <c r="L134" s="51" t="str">
        <f>IFERROR(IF(AND(booking!AB134&gt;0,booking!L134&lt;&gt;booking!M134),VLOOKUP(booking!M134,Database!$A$1:'Database'!$L$175,6,FALSE),"-"),"-")</f>
        <v>-</v>
      </c>
      <c r="M134" s="51" t="str">
        <f>IFERROR(IF(AND(booking!AB134&gt;0,booking!L134&lt;&gt;booking!M134),VLOOKUP(booking!M134,Database!A133:'Database'!L307,9,FALSE),"-"),"-")</f>
        <v>-</v>
      </c>
      <c r="N134" s="55" t="str">
        <f>IF(AND(booking!P134&lt;&gt;booking!Q134,booking!P134&gt;0),"udc","-")</f>
        <v>-</v>
      </c>
      <c r="O134" s="51" t="str">
        <f>IFERROR(IF(AND(booking!AB134&gt;0,booking!P134&lt;&gt;booking!Q134),VLOOKUP(booking!Q134,Database!$A$1:'Database'!$L$175,6,FALSE),"-"),"-")</f>
        <v>-</v>
      </c>
      <c r="P134" s="51" t="str">
        <f>IFERROR(IF(AND(booking!AB134&gt;0,booking!P134&lt;&gt;booking!Q134),VLOOKUP(booking!Q134,Database!$A$1:'Database'!$L$175,9,FALSE),"-"),"-")</f>
        <v>-</v>
      </c>
      <c r="Q134" s="55" t="str">
        <f>IF(AND(booking!T134&lt;&gt;booking!U134,booking!T134&gt;0),"udc","-")</f>
        <v>-</v>
      </c>
      <c r="R134" s="51" t="str">
        <f>IFERROR(IF(AND(booking!AB134&gt;0,booking!T134&lt;&gt;booking!U134),VLOOKUP(booking!U134,Database!$A$1:'Database'!$L$175,6,FALSE),"-"),"-")</f>
        <v>-</v>
      </c>
      <c r="S134" s="51" t="str">
        <f>IFERROR(IF(AND(booking!AB134&gt;0,booking!T134&lt;&gt;booking!U134),VLOOKUP(booking!U134,Database!$A$1:'Database'!$L$175,9,FALSE),"-"),"-")</f>
        <v>-</v>
      </c>
    </row>
    <row r="135" spans="1:19" ht="15" customHeight="1" thickBot="1" x14ac:dyDescent="0.4">
      <c r="A135" t="str">
        <f>booking!B135</f>
        <v>mandag</v>
      </c>
      <c r="B135" s="26">
        <f>booking!C135</f>
        <v>46636</v>
      </c>
      <c r="D135" s="2" t="str">
        <f>IF(booking!AC135&gt;0,"Y","-")</f>
        <v>-</v>
      </c>
      <c r="E135" s="55" t="str">
        <f>IF(AND(booking!D135&lt;&gt;booking!E135,booking!D135&gt;0),"udc","-")</f>
        <v>-</v>
      </c>
      <c r="F135" s="51" t="str">
        <f>IFERROR(IF(AND(booking!AB135&gt;0,booking!D135&lt;&gt;booking!E135),VLOOKUP(booking!E135,Database!$A$1:'Database'!$L$175,6,FALSE),"-"),"-")</f>
        <v>-</v>
      </c>
      <c r="G135" s="51" t="str">
        <f>IFERROR(IF(AND(booking!AB135&gt;0,booking!D135&lt;&gt;booking!E135),VLOOKUP(booking!E135,Database!$A$1:'Database'!$L$175,9,FALSE),"-"),"-")</f>
        <v>-</v>
      </c>
      <c r="H135" s="55" t="str">
        <f>IF(AND(booking!H135&lt;&gt;booking!I135,booking!H135&gt;0),"udc","-")</f>
        <v>-</v>
      </c>
      <c r="I135" s="51" t="str">
        <f>IFERROR(IF(AND(booking!AB135&gt;0,booking!H135&lt;&gt;booking!I135),VLOOKUP(booking!I135,Database!$A$1:'Database'!$L$175,6,FALSE),"-"),"-")</f>
        <v>-</v>
      </c>
      <c r="J135" s="51" t="str">
        <f>IFERROR(IF(AND(booking!AB135&gt;0,booking!H135&lt;&gt;booking!I135),VLOOKUP(booking!I135,Database!$A$1:'Database'!$L$175,9,FALSE),"-"),"-")</f>
        <v>-</v>
      </c>
      <c r="K135" s="55" t="str">
        <f>IF(AND(booking!L135&lt;&gt;booking!M135,booking!L135&gt;0),"udc","-")</f>
        <v>-</v>
      </c>
      <c r="L135" s="51" t="str">
        <f>IFERROR(IF(AND(booking!AB135&gt;0,booking!L135&lt;&gt;booking!M135),VLOOKUP(booking!M135,Database!$A$1:'Database'!$L$175,6,FALSE),"-"),"-")</f>
        <v>-</v>
      </c>
      <c r="M135" s="51" t="str">
        <f>IFERROR(IF(AND(booking!AB135&gt;0,booking!L135&lt;&gt;booking!M135),VLOOKUP(booking!M135,Database!A134:'Database'!L308,9,FALSE),"-"),"-")</f>
        <v>-</v>
      </c>
      <c r="N135" s="55" t="str">
        <f>IF(AND(booking!P135&lt;&gt;booking!Q135,booking!P135&gt;0),"udc","-")</f>
        <v>-</v>
      </c>
      <c r="O135" s="51" t="str">
        <f>IFERROR(IF(AND(booking!AB135&gt;0,booking!P135&lt;&gt;booking!Q135),VLOOKUP(booking!Q135,Database!$A$1:'Database'!$L$175,6,FALSE),"-"),"-")</f>
        <v>-</v>
      </c>
      <c r="P135" s="51" t="str">
        <f>IFERROR(IF(AND(booking!AB135&gt;0,booking!P135&lt;&gt;booking!Q135),VLOOKUP(booking!Q135,Database!$A$1:'Database'!$L$175,9,FALSE),"-"),"-")</f>
        <v>-</v>
      </c>
      <c r="Q135" s="55" t="str">
        <f>IF(AND(booking!T135&lt;&gt;booking!U135,booking!T135&gt;0),"udc","-")</f>
        <v>-</v>
      </c>
      <c r="R135" s="51" t="str">
        <f>IFERROR(IF(AND(booking!AB135&gt;0,booking!T135&lt;&gt;booking!U135),VLOOKUP(booking!U135,Database!$A$1:'Database'!$L$175,6,FALSE),"-"),"-")</f>
        <v>-</v>
      </c>
      <c r="S135" s="51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6">
        <f>booking!C136</f>
        <v>46637</v>
      </c>
      <c r="D136" s="2" t="str">
        <f>IF(booking!AC136&gt;0,"Y","-")</f>
        <v>-</v>
      </c>
      <c r="E136" s="55" t="str">
        <f>IF(AND(booking!D136&lt;&gt;booking!E136,booking!D136&gt;0),"udc","-")</f>
        <v>-</v>
      </c>
      <c r="F136" s="51" t="str">
        <f>IFERROR(IF(AND(booking!AB136&gt;0,booking!D136&lt;&gt;booking!E136),VLOOKUP(booking!E136,Database!$A$1:'Database'!$L$175,6,FALSE),"-"),"-")</f>
        <v>-</v>
      </c>
      <c r="G136" s="51" t="str">
        <f>IFERROR(IF(AND(booking!AB136&gt;0,booking!D136&lt;&gt;booking!E136),VLOOKUP(booking!E136,Database!$A$1:'Database'!$L$175,9,FALSE),"-"),"-")</f>
        <v>-</v>
      </c>
      <c r="H136" s="55" t="str">
        <f>IF(AND(booking!H136&lt;&gt;booking!I136,booking!H136&gt;0),"udc","-")</f>
        <v>-</v>
      </c>
      <c r="I136" s="51" t="str">
        <f>IFERROR(IF(AND(booking!AB136&gt;0,booking!H136&lt;&gt;booking!I136),VLOOKUP(booking!I136,Database!$A$1:'Database'!$L$175,6,FALSE),"-"),"-")</f>
        <v>-</v>
      </c>
      <c r="J136" s="51" t="str">
        <f>IFERROR(IF(AND(booking!AB136&gt;0,booking!H136&lt;&gt;booking!I136),VLOOKUP(booking!I136,Database!$A$1:'Database'!$L$175,9,FALSE),"-"),"-")</f>
        <v>-</v>
      </c>
      <c r="K136" s="55" t="str">
        <f>IF(AND(booking!L136&lt;&gt;booking!M136,booking!L136&gt;0),"udc","-")</f>
        <v>-</v>
      </c>
      <c r="L136" s="51" t="str">
        <f>IFERROR(IF(AND(booking!AB136&gt;0,booking!L136&lt;&gt;booking!M136),VLOOKUP(booking!M136,Database!$A$1:'Database'!$L$175,6,FALSE),"-"),"-")</f>
        <v>-</v>
      </c>
      <c r="M136" s="51" t="str">
        <f>IFERROR(IF(AND(booking!AB136&gt;0,booking!L136&lt;&gt;booking!M136),VLOOKUP(booking!M136,Database!A135:'Database'!L309,9,FALSE),"-"),"-")</f>
        <v>-</v>
      </c>
      <c r="N136" s="55" t="str">
        <f>IF(AND(booking!P136&lt;&gt;booking!Q136,booking!P136&gt;0),"udc","-")</f>
        <v>-</v>
      </c>
      <c r="O136" s="51" t="str">
        <f>IFERROR(IF(AND(booking!AB136&gt;0,booking!P136&lt;&gt;booking!Q136),VLOOKUP(booking!Q136,Database!$A$1:'Database'!$L$175,6,FALSE),"-"),"-")</f>
        <v>-</v>
      </c>
      <c r="P136" s="51" t="str">
        <f>IFERROR(IF(AND(booking!AB136&gt;0,booking!P136&lt;&gt;booking!Q136),VLOOKUP(booking!Q136,Database!$A$1:'Database'!$L$175,9,FALSE),"-"),"-")</f>
        <v>-</v>
      </c>
      <c r="Q136" s="55" t="str">
        <f>IF(AND(booking!T136&lt;&gt;booking!U136,booking!T136&gt;0),"udc","-")</f>
        <v>-</v>
      </c>
      <c r="R136" s="51" t="str">
        <f>IFERROR(IF(AND(booking!AB136&gt;0,booking!T136&lt;&gt;booking!U136),VLOOKUP(booking!U136,Database!$A$1:'Database'!$L$175,6,FALSE),"-"),"-")</f>
        <v>-</v>
      </c>
      <c r="S136" s="51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6">
        <f>booking!C137</f>
        <v>46638</v>
      </c>
      <c r="D137" s="2" t="str">
        <f>IF(booking!AC137&gt;0,"Y","-")</f>
        <v>-</v>
      </c>
      <c r="E137" s="55" t="str">
        <f>IF(AND(booking!D137&lt;&gt;booking!E137,booking!D137&gt;0),"udc","-")</f>
        <v>-</v>
      </c>
      <c r="F137" s="51" t="str">
        <f>IFERROR(IF(AND(booking!AB137&gt;0,booking!D137&lt;&gt;booking!E137),VLOOKUP(booking!E137,Database!$A$1:'Database'!$L$175,6,FALSE),"-"),"-")</f>
        <v>-</v>
      </c>
      <c r="G137" s="51" t="str">
        <f>IFERROR(IF(AND(booking!AB137&gt;0,booking!D137&lt;&gt;booking!E137),VLOOKUP(booking!E137,Database!$A$1:'Database'!$L$175,9,FALSE),"-"),"-")</f>
        <v>-</v>
      </c>
      <c r="H137" s="55" t="str">
        <f>IF(AND(booking!H137&lt;&gt;booking!I137,booking!H137&gt;0),"udc","-")</f>
        <v>-</v>
      </c>
      <c r="I137" s="51" t="str">
        <f>IFERROR(IF(AND(booking!AB137&gt;0,booking!H137&lt;&gt;booking!I137),VLOOKUP(booking!I137,Database!$A$1:'Database'!$L$175,6,FALSE),"-"),"-")</f>
        <v>-</v>
      </c>
      <c r="J137" s="51" t="str">
        <f>IFERROR(IF(AND(booking!AB137&gt;0,booking!H137&lt;&gt;booking!I137),VLOOKUP(booking!I137,Database!$A$1:'Database'!$L$175,9,FALSE),"-"),"-")</f>
        <v>-</v>
      </c>
      <c r="K137" s="55" t="str">
        <f>IF(AND(booking!L137&lt;&gt;booking!M137,booking!L137&gt;0),"udc","-")</f>
        <v>-</v>
      </c>
      <c r="L137" s="51" t="str">
        <f>IFERROR(IF(AND(booking!AB137&gt;0,booking!L137&lt;&gt;booking!M137),VLOOKUP(booking!M137,Database!$A$1:'Database'!$L$175,6,FALSE),"-"),"-")</f>
        <v>-</v>
      </c>
      <c r="M137" s="51" t="str">
        <f>IFERROR(IF(AND(booking!AB137&gt;0,booking!L137&lt;&gt;booking!M137),VLOOKUP(booking!M137,Database!A136:'Database'!L310,9,FALSE),"-"),"-")</f>
        <v>-</v>
      </c>
      <c r="N137" s="55" t="str">
        <f>IF(AND(booking!P137&lt;&gt;booking!Q137,booking!P137&gt;0),"udc","-")</f>
        <v>-</v>
      </c>
      <c r="O137" s="51" t="str">
        <f>IFERROR(IF(AND(booking!AB137&gt;0,booking!P137&lt;&gt;booking!Q137),VLOOKUP(booking!Q137,Database!$A$1:'Database'!$L$175,6,FALSE),"-"),"-")</f>
        <v>-</v>
      </c>
      <c r="P137" s="51" t="str">
        <f>IFERROR(IF(AND(booking!AB137&gt;0,booking!P137&lt;&gt;booking!Q137),VLOOKUP(booking!Q137,Database!$A$1:'Database'!$L$175,9,FALSE),"-"),"-")</f>
        <v>-</v>
      </c>
      <c r="Q137" s="55" t="str">
        <f>IF(AND(booking!T137&lt;&gt;booking!U137,booking!T137&gt;0),"udc","-")</f>
        <v>-</v>
      </c>
      <c r="R137" s="51" t="str">
        <f>IFERROR(IF(AND(booking!AB137&gt;0,booking!T137&lt;&gt;booking!U137),VLOOKUP(booking!U137,Database!$A$1:'Database'!$L$175,6,FALSE),"-"),"-")</f>
        <v>-</v>
      </c>
      <c r="S137" s="51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6">
        <f>booking!C138</f>
        <v>46639</v>
      </c>
      <c r="D138" s="2" t="str">
        <f>IF(booking!AC138&gt;0,"Y","-")</f>
        <v>-</v>
      </c>
      <c r="E138" s="55" t="str">
        <f>IF(AND(booking!D138&lt;&gt;booking!E138,booking!D138&gt;0),"udc","-")</f>
        <v>-</v>
      </c>
      <c r="F138" s="51" t="str">
        <f>IFERROR(IF(AND(booking!AB138&gt;0,booking!D138&lt;&gt;booking!E138),VLOOKUP(booking!E138,Database!$A$1:'Database'!$L$175,6,FALSE),"-"),"-")</f>
        <v>-</v>
      </c>
      <c r="G138" s="51" t="str">
        <f>IFERROR(IF(AND(booking!AB138&gt;0,booking!D138&lt;&gt;booking!E138),VLOOKUP(booking!E138,Database!$A$1:'Database'!$L$175,9,FALSE),"-"),"-")</f>
        <v>-</v>
      </c>
      <c r="H138" s="55" t="str">
        <f>IF(AND(booking!H138&lt;&gt;booking!I138,booking!H138&gt;0),"udc","-")</f>
        <v>-</v>
      </c>
      <c r="I138" s="51" t="str">
        <f>IFERROR(IF(AND(booking!AB138&gt;0,booking!H138&lt;&gt;booking!I138),VLOOKUP(booking!I138,Database!$A$1:'Database'!$L$175,6,FALSE),"-"),"-")</f>
        <v>-</v>
      </c>
      <c r="J138" s="51" t="str">
        <f>IFERROR(IF(AND(booking!AB138&gt;0,booking!H138&lt;&gt;booking!I138),VLOOKUP(booking!I138,Database!$A$1:'Database'!$L$175,9,FALSE),"-"),"-")</f>
        <v>-</v>
      </c>
      <c r="K138" s="55" t="str">
        <f>IF(AND(booking!L138&lt;&gt;booking!M138,booking!L138&gt;0),"udc","-")</f>
        <v>-</v>
      </c>
      <c r="L138" s="51" t="str">
        <f>IFERROR(IF(AND(booking!AB138&gt;0,booking!L138&lt;&gt;booking!M138),VLOOKUP(booking!M138,Database!$A$1:'Database'!$L$175,6,FALSE),"-"),"-")</f>
        <v>-</v>
      </c>
      <c r="M138" s="51" t="str">
        <f>IFERROR(IF(AND(booking!AB138&gt;0,booking!L138&lt;&gt;booking!M138),VLOOKUP(booking!M138,Database!A137:'Database'!L311,9,FALSE),"-"),"-")</f>
        <v>-</v>
      </c>
      <c r="N138" s="55" t="str">
        <f>IF(AND(booking!P138&lt;&gt;booking!Q138,booking!P138&gt;0),"udc","-")</f>
        <v>-</v>
      </c>
      <c r="O138" s="51" t="str">
        <f>IFERROR(IF(AND(booking!AB138&gt;0,booking!P138&lt;&gt;booking!Q138),VLOOKUP(booking!Q138,Database!$A$1:'Database'!$L$175,6,FALSE),"-"),"-")</f>
        <v>-</v>
      </c>
      <c r="P138" s="51" t="str">
        <f>IFERROR(IF(AND(booking!AB138&gt;0,booking!P138&lt;&gt;booking!Q138),VLOOKUP(booking!Q138,Database!$A$1:'Database'!$L$175,9,FALSE),"-"),"-")</f>
        <v>-</v>
      </c>
      <c r="Q138" s="55" t="str">
        <f>IF(AND(booking!T138&lt;&gt;booking!U138,booking!T138&gt;0),"udc","-")</f>
        <v>-</v>
      </c>
      <c r="R138" s="51" t="str">
        <f>IFERROR(IF(AND(booking!AB138&gt;0,booking!T138&lt;&gt;booking!U138),VLOOKUP(booking!U138,Database!$A$1:'Database'!$L$175,6,FALSE),"-"),"-")</f>
        <v>-</v>
      </c>
      <c r="S138" s="51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6">
        <f>booking!C139</f>
        <v>46640</v>
      </c>
      <c r="D139" s="2" t="str">
        <f>IF(booking!AC139&gt;0,"Y","-")</f>
        <v>-</v>
      </c>
      <c r="E139" s="55" t="str">
        <f>IF(AND(booking!D139&lt;&gt;booking!E139,booking!D139&gt;0),"udc","-")</f>
        <v>-</v>
      </c>
      <c r="F139" s="51" t="str">
        <f>IFERROR(IF(AND(booking!AB139&gt;0,booking!D139&lt;&gt;booking!E139),VLOOKUP(booking!E139,Database!$A$1:'Database'!$L$175,6,FALSE),"-"),"-")</f>
        <v>-</v>
      </c>
      <c r="G139" s="51" t="str">
        <f>IFERROR(IF(AND(booking!AB139&gt;0,booking!D139&lt;&gt;booking!E139),VLOOKUP(booking!E139,Database!$A$1:'Database'!$L$175,9,FALSE),"-"),"-")</f>
        <v>-</v>
      </c>
      <c r="H139" s="55" t="str">
        <f>IF(AND(booking!H139&lt;&gt;booking!I139,booking!H139&gt;0),"udc","-")</f>
        <v>-</v>
      </c>
      <c r="I139" s="51" t="str">
        <f>IFERROR(IF(AND(booking!AB139&gt;0,booking!H139&lt;&gt;booking!I139),VLOOKUP(booking!I139,Database!$A$1:'Database'!$L$175,6,FALSE),"-"),"-")</f>
        <v>-</v>
      </c>
      <c r="J139" s="51" t="str">
        <f>IFERROR(IF(AND(booking!AB139&gt;0,booking!H139&lt;&gt;booking!I139),VLOOKUP(booking!I139,Database!$A$1:'Database'!$L$175,9,FALSE),"-"),"-")</f>
        <v>-</v>
      </c>
      <c r="K139" s="55" t="str">
        <f>IF(AND(booking!L139&lt;&gt;booking!M139,booking!L139&gt;0),"udc","-")</f>
        <v>-</v>
      </c>
      <c r="L139" s="51" t="str">
        <f>IFERROR(IF(AND(booking!AB139&gt;0,booking!L139&lt;&gt;booking!M139),VLOOKUP(booking!M139,Database!$A$1:'Database'!$L$175,6,FALSE),"-"),"-")</f>
        <v>-</v>
      </c>
      <c r="M139" s="51" t="str">
        <f>IFERROR(IF(AND(booking!AB139&gt;0,booking!L139&lt;&gt;booking!M139),VLOOKUP(booking!M139,Database!A138:'Database'!L312,9,FALSE),"-"),"-")</f>
        <v>-</v>
      </c>
      <c r="N139" s="55" t="str">
        <f>IF(AND(booking!P139&lt;&gt;booking!Q139,booking!P139&gt;0),"udc","-")</f>
        <v>-</v>
      </c>
      <c r="O139" s="51" t="str">
        <f>IFERROR(IF(AND(booking!AB139&gt;0,booking!P139&lt;&gt;booking!Q139),VLOOKUP(booking!Q139,Database!$A$1:'Database'!$L$175,6,FALSE),"-"),"-")</f>
        <v>-</v>
      </c>
      <c r="P139" s="51" t="str">
        <f>IFERROR(IF(AND(booking!AB139&gt;0,booking!P139&lt;&gt;booking!Q139),VLOOKUP(booking!Q139,Database!$A$1:'Database'!$L$175,9,FALSE),"-"),"-")</f>
        <v>-</v>
      </c>
      <c r="Q139" s="55" t="str">
        <f>IF(AND(booking!T139&lt;&gt;booking!U139,booking!T139&gt;0),"udc","-")</f>
        <v>-</v>
      </c>
      <c r="R139" s="51" t="str">
        <f>IFERROR(IF(AND(booking!AB139&gt;0,booking!T139&lt;&gt;booking!U139),VLOOKUP(booking!U139,Database!$A$1:'Database'!$L$175,6,FALSE),"-"),"-")</f>
        <v>-</v>
      </c>
      <c r="S139" s="51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6">
        <f>booking!C140</f>
        <v>46641</v>
      </c>
      <c r="D140" s="2" t="str">
        <f>IF(booking!AC140&gt;0,"Y","-")</f>
        <v>-</v>
      </c>
      <c r="E140" s="55" t="str">
        <f>IF(AND(booking!D140&lt;&gt;booking!E140,booking!D140&gt;0),"udc","-")</f>
        <v>-</v>
      </c>
      <c r="F140" s="51" t="str">
        <f>IFERROR(IF(AND(booking!AB140&gt;0,booking!D140&lt;&gt;booking!E140),VLOOKUP(booking!E140,Database!$A$1:'Database'!$L$175,6,FALSE),"-"),"-")</f>
        <v>-</v>
      </c>
      <c r="G140" s="51" t="str">
        <f>IFERROR(IF(AND(booking!AB140&gt;0,booking!D140&lt;&gt;booking!E140),VLOOKUP(booking!E140,Database!$A$1:'Database'!$L$175,9,FALSE),"-"),"-")</f>
        <v>-</v>
      </c>
      <c r="H140" s="55" t="str">
        <f>IF(AND(booking!H140&lt;&gt;booking!I140,booking!H140&gt;0),"udc","-")</f>
        <v>-</v>
      </c>
      <c r="I140" s="51" t="str">
        <f>IFERROR(IF(AND(booking!AB140&gt;0,booking!H140&lt;&gt;booking!I140),VLOOKUP(booking!I140,Database!$A$1:'Database'!$L$175,6,FALSE),"-"),"-")</f>
        <v>-</v>
      </c>
      <c r="J140" s="51" t="str">
        <f>IFERROR(IF(AND(booking!AB140&gt;0,booking!H140&lt;&gt;booking!I140),VLOOKUP(booking!I140,Database!$A$1:'Database'!$L$175,9,FALSE),"-"),"-")</f>
        <v>-</v>
      </c>
      <c r="K140" s="55" t="str">
        <f>IF(AND(booking!L140&lt;&gt;booking!M140,booking!L140&gt;0),"udc","-")</f>
        <v>-</v>
      </c>
      <c r="L140" s="51" t="str">
        <f>IFERROR(IF(AND(booking!AB140&gt;0,booking!L140&lt;&gt;booking!M140),VLOOKUP(booking!M140,Database!$A$1:'Database'!$L$175,6,FALSE),"-"),"-")</f>
        <v>-</v>
      </c>
      <c r="M140" s="51" t="str">
        <f>IFERROR(IF(AND(booking!AB140&gt;0,booking!L140&lt;&gt;booking!M140),VLOOKUP(booking!M140,Database!A139:'Database'!L313,9,FALSE),"-"),"-")</f>
        <v>-</v>
      </c>
      <c r="N140" s="55" t="str">
        <f>IF(AND(booking!P140&lt;&gt;booking!Q140,booking!P140&gt;0),"udc","-")</f>
        <v>-</v>
      </c>
      <c r="O140" s="51" t="str">
        <f>IFERROR(IF(AND(booking!AB140&gt;0,booking!P140&lt;&gt;booking!Q140),VLOOKUP(booking!Q140,Database!$A$1:'Database'!$L$175,6,FALSE),"-"),"-")</f>
        <v>-</v>
      </c>
      <c r="P140" s="51" t="str">
        <f>IFERROR(IF(AND(booking!AB140&gt;0,booking!P140&lt;&gt;booking!Q140),VLOOKUP(booking!Q140,Database!$A$1:'Database'!$L$175,9,FALSE),"-"),"-")</f>
        <v>-</v>
      </c>
      <c r="Q140" s="55" t="str">
        <f>IF(AND(booking!T140&lt;&gt;booking!U140,booking!T140&gt;0),"udc","-")</f>
        <v>-</v>
      </c>
      <c r="R140" s="51" t="str">
        <f>IFERROR(IF(AND(booking!AB140&gt;0,booking!T140&lt;&gt;booking!U140),VLOOKUP(booking!U140,Database!$A$1:'Database'!$L$175,6,FALSE),"-"),"-")</f>
        <v>-</v>
      </c>
      <c r="S140" s="51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6">
        <f>booking!C141</f>
        <v>46642</v>
      </c>
      <c r="D141" s="2" t="str">
        <f>IF(booking!AC141&gt;0,"Y","-")</f>
        <v>-</v>
      </c>
      <c r="E141" s="55" t="str">
        <f>IF(AND(booking!D141&lt;&gt;booking!E141,booking!D141&gt;0),"udc","-")</f>
        <v>-</v>
      </c>
      <c r="F141" s="51" t="str">
        <f>IFERROR(IF(AND(booking!AB141&gt;0,booking!D141&lt;&gt;booking!E141),VLOOKUP(booking!E141,Database!$A$1:'Database'!$L$175,6,FALSE),"-"),"-")</f>
        <v>-</v>
      </c>
      <c r="G141" s="51" t="str">
        <f>IFERROR(IF(AND(booking!AB141&gt;0,booking!D141&lt;&gt;booking!E141),VLOOKUP(booking!E141,Database!$A$1:'Database'!$L$175,9,FALSE),"-"),"-")</f>
        <v>-</v>
      </c>
      <c r="H141" s="55" t="str">
        <f>IF(AND(booking!H141&lt;&gt;booking!I141,booking!H141&gt;0),"udc","-")</f>
        <v>-</v>
      </c>
      <c r="I141" s="51" t="str">
        <f>IFERROR(IF(AND(booking!AB141&gt;0,booking!H141&lt;&gt;booking!I141),VLOOKUP(booking!I141,Database!$A$1:'Database'!$L$175,6,FALSE),"-"),"-")</f>
        <v>-</v>
      </c>
      <c r="J141" s="51" t="str">
        <f>IFERROR(IF(AND(booking!AB141&gt;0,booking!H141&lt;&gt;booking!I141),VLOOKUP(booking!I141,Database!$A$1:'Database'!$L$175,9,FALSE),"-"),"-")</f>
        <v>-</v>
      </c>
      <c r="K141" s="55" t="str">
        <f>IF(AND(booking!L141&lt;&gt;booking!M141,booking!L141&gt;0),"udc","-")</f>
        <v>-</v>
      </c>
      <c r="L141" s="51" t="str">
        <f>IFERROR(IF(AND(booking!AB141&gt;0,booking!L141&lt;&gt;booking!M141),VLOOKUP(booking!M141,Database!$A$1:'Database'!$L$175,6,FALSE),"-"),"-")</f>
        <v>-</v>
      </c>
      <c r="M141" s="51" t="str">
        <f>IFERROR(IF(AND(booking!AB141&gt;0,booking!L141&lt;&gt;booking!M141),VLOOKUP(booking!M141,Database!A140:'Database'!L314,9,FALSE),"-"),"-")</f>
        <v>-</v>
      </c>
      <c r="N141" s="55" t="str">
        <f>IF(AND(booking!P141&lt;&gt;booking!Q141,booking!P141&gt;0),"udc","-")</f>
        <v>-</v>
      </c>
      <c r="O141" s="51" t="str">
        <f>IFERROR(IF(AND(booking!AB141&gt;0,booking!P141&lt;&gt;booking!Q141),VLOOKUP(booking!Q141,Database!$A$1:'Database'!$L$175,6,FALSE),"-"),"-")</f>
        <v>-</v>
      </c>
      <c r="P141" s="51" t="str">
        <f>IFERROR(IF(AND(booking!AB141&gt;0,booking!P141&lt;&gt;booking!Q141),VLOOKUP(booking!Q141,Database!$A$1:'Database'!$L$175,9,FALSE),"-"),"-")</f>
        <v>-</v>
      </c>
      <c r="Q141" s="55" t="str">
        <f>IF(AND(booking!T141&lt;&gt;booking!U141,booking!T141&gt;0),"udc","-")</f>
        <v>-</v>
      </c>
      <c r="R141" s="51" t="str">
        <f>IFERROR(IF(AND(booking!AB141&gt;0,booking!T141&lt;&gt;booking!U141),VLOOKUP(booking!U141,Database!$A$1:'Database'!$L$175,6,FALSE),"-"),"-")</f>
        <v>-</v>
      </c>
      <c r="S141" s="51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6">
        <f>booking!C142</f>
        <v>46643</v>
      </c>
      <c r="D142" s="2" t="str">
        <f>IF(booking!AC142&gt;0,"Y","-")</f>
        <v>-</v>
      </c>
      <c r="E142" s="55" t="str">
        <f>IF(AND(booking!D142&lt;&gt;booking!E142,booking!D142&gt;0),"udc","-")</f>
        <v>-</v>
      </c>
      <c r="F142" s="51" t="str">
        <f>IFERROR(IF(AND(booking!AB142&gt;0,booking!D142&lt;&gt;booking!E142),VLOOKUP(booking!E142,Database!$A$1:'Database'!$L$175,6,FALSE),"-"),"-")</f>
        <v>-</v>
      </c>
      <c r="G142" s="51" t="str">
        <f>IFERROR(IF(AND(booking!AB142&gt;0,booking!D142&lt;&gt;booking!E142),VLOOKUP(booking!E142,Database!$A$1:'Database'!$L$175,9,FALSE),"-"),"-")</f>
        <v>-</v>
      </c>
      <c r="H142" s="55" t="str">
        <f>IF(AND(booking!H142&lt;&gt;booking!I142,booking!H142&gt;0),"udc","-")</f>
        <v>-</v>
      </c>
      <c r="I142" s="51" t="str">
        <f>IFERROR(IF(AND(booking!AB142&gt;0,booking!H142&lt;&gt;booking!I142),VLOOKUP(booking!I142,Database!$A$1:'Database'!$L$175,6,FALSE),"-"),"-")</f>
        <v>-</v>
      </c>
      <c r="J142" s="51" t="str">
        <f>IFERROR(IF(AND(booking!AB142&gt;0,booking!H142&lt;&gt;booking!I142),VLOOKUP(booking!I142,Database!$A$1:'Database'!$L$175,9,FALSE),"-"),"-")</f>
        <v>-</v>
      </c>
      <c r="K142" s="55" t="str">
        <f>IF(AND(booking!L142&lt;&gt;booking!M142,booking!L142&gt;0),"udc","-")</f>
        <v>-</v>
      </c>
      <c r="L142" s="51" t="str">
        <f>IFERROR(IF(AND(booking!AB142&gt;0,booking!L142&lt;&gt;booking!M142),VLOOKUP(booking!M142,Database!$A$1:'Database'!$L$175,6,FALSE),"-"),"-")</f>
        <v>-</v>
      </c>
      <c r="M142" s="51" t="str">
        <f>IFERROR(IF(AND(booking!AB142&gt;0,booking!L142&lt;&gt;booking!M142),VLOOKUP(booking!M142,Database!A141:'Database'!L315,9,FALSE),"-"),"-")</f>
        <v>-</v>
      </c>
      <c r="N142" s="55" t="str">
        <f>IF(AND(booking!P142&lt;&gt;booking!Q142,booking!P142&gt;0),"udc","-")</f>
        <v>-</v>
      </c>
      <c r="O142" s="51" t="str">
        <f>IFERROR(IF(AND(booking!AB142&gt;0,booking!P142&lt;&gt;booking!Q142),VLOOKUP(booking!Q142,Database!$A$1:'Database'!$L$175,6,FALSE),"-"),"-")</f>
        <v>-</v>
      </c>
      <c r="P142" s="51" t="str">
        <f>IFERROR(IF(AND(booking!AB142&gt;0,booking!P142&lt;&gt;booking!Q142),VLOOKUP(booking!Q142,Database!$A$1:'Database'!$L$175,9,FALSE),"-"),"-")</f>
        <v>-</v>
      </c>
      <c r="Q142" s="55" t="str">
        <f>IF(AND(booking!T142&lt;&gt;booking!U142,booking!T142&gt;0),"udc","-")</f>
        <v>-</v>
      </c>
      <c r="R142" s="51" t="str">
        <f>IFERROR(IF(AND(booking!AB142&gt;0,booking!T142&lt;&gt;booking!U142),VLOOKUP(booking!U142,Database!$A$1:'Database'!$L$175,6,FALSE),"-"),"-")</f>
        <v>-</v>
      </c>
      <c r="S142" s="51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6">
        <f>booking!C143</f>
        <v>46644</v>
      </c>
      <c r="D143" s="2" t="str">
        <f>IF(booking!AC143&gt;0,"Y","-")</f>
        <v>-</v>
      </c>
      <c r="E143" s="55" t="str">
        <f>IF(AND(booking!D143&lt;&gt;booking!E143,booking!D143&gt;0),"udc","-")</f>
        <v>-</v>
      </c>
      <c r="F143" s="51" t="str">
        <f>IFERROR(IF(AND(booking!AB143&gt;0,booking!D143&lt;&gt;booking!E143),VLOOKUP(booking!E143,Database!$A$1:'Database'!$L$175,6,FALSE),"-"),"-")</f>
        <v>-</v>
      </c>
      <c r="G143" s="51" t="str">
        <f>IFERROR(IF(AND(booking!AB143&gt;0,booking!D143&lt;&gt;booking!E143),VLOOKUP(booking!E143,Database!$A$1:'Database'!$L$175,9,FALSE),"-"),"-")</f>
        <v>-</v>
      </c>
      <c r="H143" s="55" t="str">
        <f>IF(AND(booking!H143&lt;&gt;booking!I143,booking!H143&gt;0),"udc","-")</f>
        <v>-</v>
      </c>
      <c r="I143" s="51" t="str">
        <f>IFERROR(IF(AND(booking!AB143&gt;0,booking!H143&lt;&gt;booking!I143),VLOOKUP(booking!I143,Database!$A$1:'Database'!$L$175,6,FALSE),"-"),"-")</f>
        <v>-</v>
      </c>
      <c r="J143" s="51" t="str">
        <f>IFERROR(IF(AND(booking!AB143&gt;0,booking!H143&lt;&gt;booking!I143),VLOOKUP(booking!I143,Database!$A$1:'Database'!$L$175,9,FALSE),"-"),"-")</f>
        <v>-</v>
      </c>
      <c r="K143" s="55" t="str">
        <f>IF(AND(booking!L143&lt;&gt;booking!M143,booking!L143&gt;0),"udc","-")</f>
        <v>-</v>
      </c>
      <c r="L143" s="51" t="str">
        <f>IFERROR(IF(AND(booking!AB143&gt;0,booking!L143&lt;&gt;booking!M143),VLOOKUP(booking!M143,Database!$A$1:'Database'!$L$175,6,FALSE),"-"),"-")</f>
        <v>-</v>
      </c>
      <c r="M143" s="51" t="str">
        <f>IFERROR(IF(AND(booking!AB143&gt;0,booking!L143&lt;&gt;booking!M143),VLOOKUP(booking!M143,Database!A142:'Database'!L316,9,FALSE),"-"),"-")</f>
        <v>-</v>
      </c>
      <c r="N143" s="55" t="str">
        <f>IF(AND(booking!P143&lt;&gt;booking!Q143,booking!P143&gt;0),"udc","-")</f>
        <v>-</v>
      </c>
      <c r="O143" s="51" t="str">
        <f>IFERROR(IF(AND(booking!AB143&gt;0,booking!P143&lt;&gt;booking!Q143),VLOOKUP(booking!Q143,Database!$A$1:'Database'!$L$175,6,FALSE),"-"),"-")</f>
        <v>-</v>
      </c>
      <c r="P143" s="51" t="str">
        <f>IFERROR(IF(AND(booking!AB143&gt;0,booking!P143&lt;&gt;booking!Q143),VLOOKUP(booking!Q143,Database!$A$1:'Database'!$L$175,9,FALSE),"-"),"-")</f>
        <v>-</v>
      </c>
      <c r="Q143" s="55" t="str">
        <f>IF(AND(booking!T143&lt;&gt;booking!U143,booking!T143&gt;0),"udc","-")</f>
        <v>-</v>
      </c>
      <c r="R143" s="51" t="str">
        <f>IFERROR(IF(AND(booking!AB143&gt;0,booking!T143&lt;&gt;booking!U143),VLOOKUP(booking!U143,Database!$A$1:'Database'!$L$175,6,FALSE),"-"),"-")</f>
        <v>-</v>
      </c>
      <c r="S143" s="51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6">
        <f>booking!C144</f>
        <v>46645</v>
      </c>
      <c r="D144" s="2" t="str">
        <f>IF(booking!AC144&gt;0,"Y","-")</f>
        <v>-</v>
      </c>
      <c r="E144" s="55" t="str">
        <f>IF(AND(booking!D144&lt;&gt;booking!E144,booking!D144&gt;0),"udc","-")</f>
        <v>-</v>
      </c>
      <c r="F144" s="51" t="str">
        <f>IFERROR(IF(AND(booking!AB144&gt;0,booking!D144&lt;&gt;booking!E144),VLOOKUP(booking!E144,Database!$A$1:'Database'!$L$175,6,FALSE),"-"),"-")</f>
        <v>-</v>
      </c>
      <c r="G144" s="51" t="str">
        <f>IFERROR(IF(AND(booking!AB144&gt;0,booking!D144&lt;&gt;booking!E144),VLOOKUP(booking!E144,Database!$A$1:'Database'!$L$175,9,FALSE),"-"),"-")</f>
        <v>-</v>
      </c>
      <c r="H144" s="55" t="str">
        <f>IF(AND(booking!H144&lt;&gt;booking!I144,booking!H144&gt;0),"udc","-")</f>
        <v>-</v>
      </c>
      <c r="I144" s="51" t="str">
        <f>IFERROR(IF(AND(booking!AB144&gt;0,booking!H144&lt;&gt;booking!I144),VLOOKUP(booking!I144,Database!$A$1:'Database'!$L$175,6,FALSE),"-"),"-")</f>
        <v>-</v>
      </c>
      <c r="J144" s="51" t="str">
        <f>IFERROR(IF(AND(booking!AB144&gt;0,booking!H144&lt;&gt;booking!I144),VLOOKUP(booking!I144,Database!$A$1:'Database'!$L$175,9,FALSE),"-"),"-")</f>
        <v>-</v>
      </c>
      <c r="K144" s="55" t="str">
        <f>IF(AND(booking!L144&lt;&gt;booking!M144,booking!L144&gt;0),"udc","-")</f>
        <v>-</v>
      </c>
      <c r="L144" s="51" t="str">
        <f>IFERROR(IF(AND(booking!AB144&gt;0,booking!L144&lt;&gt;booking!M144),VLOOKUP(booking!M144,Database!$A$1:'Database'!$L$175,6,FALSE),"-"),"-")</f>
        <v>-</v>
      </c>
      <c r="M144" s="51" t="str">
        <f>IFERROR(IF(AND(booking!AB144&gt;0,booking!L144&lt;&gt;booking!M144),VLOOKUP(booking!M144,Database!A143:'Database'!L317,9,FALSE),"-"),"-")</f>
        <v>-</v>
      </c>
      <c r="N144" s="55" t="str">
        <f>IF(AND(booking!P144&lt;&gt;booking!Q144,booking!P144&gt;0),"udc","-")</f>
        <v>-</v>
      </c>
      <c r="O144" s="51" t="str">
        <f>IFERROR(IF(AND(booking!AB144&gt;0,booking!P144&lt;&gt;booking!Q144),VLOOKUP(booking!Q144,Database!$A$1:'Database'!$L$175,6,FALSE),"-"),"-")</f>
        <v>-</v>
      </c>
      <c r="P144" s="51" t="str">
        <f>IFERROR(IF(AND(booking!AB144&gt;0,booking!P144&lt;&gt;booking!Q144),VLOOKUP(booking!Q144,Database!$A$1:'Database'!$L$175,9,FALSE),"-"),"-")</f>
        <v>-</v>
      </c>
      <c r="Q144" s="55" t="str">
        <f>IF(AND(booking!T144&lt;&gt;booking!U144,booking!T144&gt;0),"udc","-")</f>
        <v>-</v>
      </c>
      <c r="R144" s="51" t="str">
        <f>IFERROR(IF(AND(booking!AB144&gt;0,booking!T144&lt;&gt;booking!U144),VLOOKUP(booking!U144,Database!$A$1:'Database'!$L$175,6,FALSE),"-"),"-")</f>
        <v>-</v>
      </c>
      <c r="S144" s="51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6">
        <f>booking!C145</f>
        <v>46646</v>
      </c>
      <c r="D145" s="2" t="str">
        <f>IF(booking!AC145&gt;0,"Y","-")</f>
        <v>-</v>
      </c>
      <c r="E145" s="55" t="str">
        <f>IF(AND(booking!D145&lt;&gt;booking!E145,booking!D145&gt;0),"udc","-")</f>
        <v>-</v>
      </c>
      <c r="F145" s="51" t="str">
        <f>IFERROR(IF(AND(booking!AB145&gt;0,booking!D145&lt;&gt;booking!E145),VLOOKUP(booking!E145,Database!$A$1:'Database'!$L$175,6,FALSE),"-"),"-")</f>
        <v>-</v>
      </c>
      <c r="G145" s="51" t="str">
        <f>IFERROR(IF(AND(booking!AB145&gt;0,booking!D145&lt;&gt;booking!E145),VLOOKUP(booking!E145,Database!$A$1:'Database'!$L$175,9,FALSE),"-"),"-")</f>
        <v>-</v>
      </c>
      <c r="H145" s="55" t="str">
        <f>IF(AND(booking!H145&lt;&gt;booking!I145,booking!H145&gt;0),"udc","-")</f>
        <v>-</v>
      </c>
      <c r="I145" s="51" t="str">
        <f>IFERROR(IF(AND(booking!AB145&gt;0,booking!H145&lt;&gt;booking!I145),VLOOKUP(booking!I145,Database!$A$1:'Database'!$L$175,6,FALSE),"-"),"-")</f>
        <v>-</v>
      </c>
      <c r="J145" s="51" t="str">
        <f>IFERROR(IF(AND(booking!AB145&gt;0,booking!H145&lt;&gt;booking!I145),VLOOKUP(booking!I145,Database!$A$1:'Database'!$L$175,9,FALSE),"-"),"-")</f>
        <v>-</v>
      </c>
      <c r="K145" s="55" t="str">
        <f>IF(AND(booking!L145&lt;&gt;booking!M145,booking!L145&gt;0),"udc","-")</f>
        <v>-</v>
      </c>
      <c r="L145" s="51" t="str">
        <f>IFERROR(IF(AND(booking!AB145&gt;0,booking!L145&lt;&gt;booking!M145),VLOOKUP(booking!M145,Database!$A$1:'Database'!$L$175,6,FALSE),"-"),"-")</f>
        <v>-</v>
      </c>
      <c r="M145" s="51" t="str">
        <f>IFERROR(IF(AND(booking!AB145&gt;0,booking!L145&lt;&gt;booking!M145),VLOOKUP(booking!M145,Database!A144:'Database'!L318,9,FALSE),"-"),"-")</f>
        <v>-</v>
      </c>
      <c r="N145" s="55" t="str">
        <f>IF(AND(booking!P145&lt;&gt;booking!Q145,booking!P145&gt;0),"udc","-")</f>
        <v>-</v>
      </c>
      <c r="O145" s="51" t="str">
        <f>IFERROR(IF(AND(booking!AB145&gt;0,booking!P145&lt;&gt;booking!Q145),VLOOKUP(booking!Q145,Database!$A$1:'Database'!$L$175,6,FALSE),"-"),"-")</f>
        <v>-</v>
      </c>
      <c r="P145" s="51" t="str">
        <f>IFERROR(IF(AND(booking!AB145&gt;0,booking!P145&lt;&gt;booking!Q145),VLOOKUP(booking!Q145,Database!$A$1:'Database'!$L$175,9,FALSE),"-"),"-")</f>
        <v>-</v>
      </c>
      <c r="Q145" s="55" t="str">
        <f>IF(AND(booking!T145&lt;&gt;booking!U145,booking!T145&gt;0),"udc","-")</f>
        <v>-</v>
      </c>
      <c r="R145" s="51" t="str">
        <f>IFERROR(IF(AND(booking!AB145&gt;0,booking!T145&lt;&gt;booking!U145),VLOOKUP(booking!U145,Database!$A$1:'Database'!$L$175,6,FALSE),"-"),"-")</f>
        <v>-</v>
      </c>
      <c r="S145" s="51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6">
        <f>booking!C146</f>
        <v>46647</v>
      </c>
      <c r="D146" s="2" t="str">
        <f>IF(booking!AC146&gt;0,"Y","-")</f>
        <v>-</v>
      </c>
      <c r="E146" s="55" t="str">
        <f>IF(AND(booking!D146&lt;&gt;booking!E146,booking!D146&gt;0),"udc","-")</f>
        <v>-</v>
      </c>
      <c r="F146" s="51" t="str">
        <f>IFERROR(IF(AND(booking!AB146&gt;0,booking!D146&lt;&gt;booking!E146),VLOOKUP(booking!E146,Database!$A$1:'Database'!$L$175,6,FALSE),"-"),"-")</f>
        <v>-</v>
      </c>
      <c r="G146" s="51" t="str">
        <f>IFERROR(IF(AND(booking!AB146&gt;0,booking!D146&lt;&gt;booking!E146),VLOOKUP(booking!E146,Database!$A$1:'Database'!$L$175,9,FALSE),"-"),"-")</f>
        <v>-</v>
      </c>
      <c r="H146" s="55" t="str">
        <f>IF(AND(booking!H146&lt;&gt;booking!I146,booking!H146&gt;0),"udc","-")</f>
        <v>-</v>
      </c>
      <c r="I146" s="51" t="str">
        <f>IFERROR(IF(AND(booking!AB146&gt;0,booking!H146&lt;&gt;booking!I146),VLOOKUP(booking!I146,Database!$A$1:'Database'!$L$175,6,FALSE),"-"),"-")</f>
        <v>-</v>
      </c>
      <c r="J146" s="51" t="str">
        <f>IFERROR(IF(AND(booking!AB146&gt;0,booking!H146&lt;&gt;booking!I146),VLOOKUP(booking!I146,Database!$A$1:'Database'!$L$175,9,FALSE),"-"),"-")</f>
        <v>-</v>
      </c>
      <c r="K146" s="55" t="str">
        <f>IF(AND(booking!L146&lt;&gt;booking!M146,booking!L146&gt;0),"udc","-")</f>
        <v>-</v>
      </c>
      <c r="L146" s="51" t="str">
        <f>IFERROR(IF(AND(booking!AB146&gt;0,booking!L146&lt;&gt;booking!M146),VLOOKUP(booking!M146,Database!$A$1:'Database'!$L$175,6,FALSE),"-"),"-")</f>
        <v>-</v>
      </c>
      <c r="M146" s="51" t="str">
        <f>IFERROR(IF(AND(booking!AB146&gt;0,booking!L146&lt;&gt;booking!M146),VLOOKUP(booking!M146,Database!A145:'Database'!L319,9,FALSE),"-"),"-")</f>
        <v>-</v>
      </c>
      <c r="N146" s="55" t="str">
        <f>IF(AND(booking!P146&lt;&gt;booking!Q146,booking!P146&gt;0),"udc","-")</f>
        <v>-</v>
      </c>
      <c r="O146" s="51" t="str">
        <f>IFERROR(IF(AND(booking!AB146&gt;0,booking!P146&lt;&gt;booking!Q146),VLOOKUP(booking!Q146,Database!$A$1:'Database'!$L$175,6,FALSE),"-"),"-")</f>
        <v>-</v>
      </c>
      <c r="P146" s="51" t="str">
        <f>IFERROR(IF(AND(booking!AB146&gt;0,booking!P146&lt;&gt;booking!Q146),VLOOKUP(booking!Q146,Database!$A$1:'Database'!$L$175,9,FALSE),"-"),"-")</f>
        <v>-</v>
      </c>
      <c r="Q146" s="55" t="str">
        <f>IF(AND(booking!T146&lt;&gt;booking!U146,booking!T146&gt;0),"udc","-")</f>
        <v>-</v>
      </c>
      <c r="R146" s="51" t="str">
        <f>IFERROR(IF(AND(booking!AB146&gt;0,booking!T146&lt;&gt;booking!U146),VLOOKUP(booking!U146,Database!$A$1:'Database'!$L$175,6,FALSE),"-"),"-")</f>
        <v>-</v>
      </c>
      <c r="S146" s="51" t="str">
        <f>IFERROR(IF(AND(booking!AB146&gt;0,booking!T146&lt;&gt;booking!U146),VLOOKUP(booking!U146,Database!$A$1:'Database'!$L$175,9,FALSE),"-"),"-")</f>
        <v>-</v>
      </c>
    </row>
    <row r="147" spans="1:19" ht="15" customHeight="1" thickBot="1" x14ac:dyDescent="0.4">
      <c r="A147" t="str">
        <f>booking!B147</f>
        <v>lørdag</v>
      </c>
      <c r="B147" s="26">
        <f>booking!C147</f>
        <v>46648</v>
      </c>
      <c r="D147" s="2" t="str">
        <f>IF(booking!AC147&gt;0,"Y","-")</f>
        <v>-</v>
      </c>
      <c r="E147" s="55" t="str">
        <f>IF(AND(booking!D147&lt;&gt;booking!E147,booking!D147&gt;0),"udc","-")</f>
        <v>-</v>
      </c>
      <c r="F147" s="51" t="str">
        <f>IFERROR(IF(AND(booking!AB147&gt;0,booking!D147&lt;&gt;booking!E147),VLOOKUP(booking!E147,Database!$A$1:'Database'!$L$175,6,FALSE),"-"),"-")</f>
        <v>-</v>
      </c>
      <c r="G147" s="51" t="str">
        <f>IFERROR(IF(AND(booking!AB147&gt;0,booking!D147&lt;&gt;booking!E147),VLOOKUP(booking!E147,Database!$A$1:'Database'!$L$175,9,FALSE),"-"),"-")</f>
        <v>-</v>
      </c>
      <c r="H147" s="55" t="str">
        <f>IF(AND(booking!H147&lt;&gt;booking!I147,booking!H147&gt;0),"udc","-")</f>
        <v>-</v>
      </c>
      <c r="I147" s="51" t="str">
        <f>IFERROR(IF(AND(booking!AB147&gt;0,booking!H147&lt;&gt;booking!I147),VLOOKUP(booking!I147,Database!$A$1:'Database'!$L$175,6,FALSE),"-"),"-")</f>
        <v>-</v>
      </c>
      <c r="J147" s="51" t="str">
        <f>IFERROR(IF(AND(booking!AB147&gt;0,booking!H147&lt;&gt;booking!I147),VLOOKUP(booking!I147,Database!$A$1:'Database'!$L$175,9,FALSE),"-"),"-")</f>
        <v>-</v>
      </c>
      <c r="K147" s="55" t="str">
        <f>IF(AND(booking!L147&lt;&gt;booking!M147,booking!L147&gt;0),"udc","-")</f>
        <v>-</v>
      </c>
      <c r="L147" s="51" t="str">
        <f>IFERROR(IF(AND(booking!AB147&gt;0,booking!L147&lt;&gt;booking!M147),VLOOKUP(booking!M147,Database!$A$1:'Database'!$L$175,6,FALSE),"-"),"-")</f>
        <v>-</v>
      </c>
      <c r="M147" s="51" t="str">
        <f>IFERROR(IF(AND(booking!AB147&gt;0,booking!L147&lt;&gt;booking!M147),VLOOKUP(booking!M147,Database!A146:'Database'!L320,9,FALSE),"-"),"-")</f>
        <v>-</v>
      </c>
      <c r="N147" s="55" t="str">
        <f>IF(AND(booking!P147&lt;&gt;booking!Q147,booking!P147&gt;0),"udc","-")</f>
        <v>-</v>
      </c>
      <c r="O147" s="51" t="str">
        <f>IFERROR(IF(AND(booking!AB147&gt;0,booking!P147&lt;&gt;booking!Q147),VLOOKUP(booking!Q147,Database!$A$1:'Database'!$L$175,6,FALSE),"-"),"-")</f>
        <v>-</v>
      </c>
      <c r="P147" s="51" t="str">
        <f>IFERROR(IF(AND(booking!AB147&gt;0,booking!P147&lt;&gt;booking!Q147),VLOOKUP(booking!Q147,Database!$A$1:'Database'!$L$175,9,FALSE),"-"),"-")</f>
        <v>-</v>
      </c>
      <c r="Q147" s="55" t="str">
        <f>IF(AND(booking!T147&lt;&gt;booking!U147,booking!T147&gt;0),"udc","-")</f>
        <v>-</v>
      </c>
      <c r="R147" s="51" t="str">
        <f>IFERROR(IF(AND(booking!AB147&gt;0,booking!T147&lt;&gt;booking!U147),VLOOKUP(booking!U147,Database!$A$1:'Database'!$L$175,6,FALSE),"-"),"-")</f>
        <v>-</v>
      </c>
      <c r="S147" s="51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6">
        <f>booking!C148</f>
        <v>46649</v>
      </c>
      <c r="D148" s="2" t="str">
        <f>IF(booking!AC148&gt;0,"Y","-")</f>
        <v>-</v>
      </c>
      <c r="E148" s="55" t="str">
        <f>IF(AND(booking!D148&lt;&gt;booking!E148,booking!D148&gt;0),"udc","-")</f>
        <v>-</v>
      </c>
      <c r="F148" s="51" t="str">
        <f>IFERROR(IF(AND(booking!AB148&gt;0,booking!D148&lt;&gt;booking!E148),VLOOKUP(booking!E148,Database!$A$1:'Database'!$L$175,6,FALSE),"-"),"-")</f>
        <v>-</v>
      </c>
      <c r="G148" s="51" t="str">
        <f>IFERROR(IF(AND(booking!AB148&gt;0,booking!D148&lt;&gt;booking!E148),VLOOKUP(booking!E148,Database!$A$1:'Database'!$L$175,9,FALSE),"-"),"-")</f>
        <v>-</v>
      </c>
      <c r="H148" s="55" t="str">
        <f>IF(AND(booking!H148&lt;&gt;booking!I148,booking!H148&gt;0),"udc","-")</f>
        <v>-</v>
      </c>
      <c r="I148" s="51" t="str">
        <f>IFERROR(IF(AND(booking!AB148&gt;0,booking!H148&lt;&gt;booking!I148),VLOOKUP(booking!I148,Database!$A$1:'Database'!$L$175,6,FALSE),"-"),"-")</f>
        <v>-</v>
      </c>
      <c r="J148" s="51" t="str">
        <f>IFERROR(IF(AND(booking!AB148&gt;0,booking!H148&lt;&gt;booking!I148),VLOOKUP(booking!I148,Database!$A$1:'Database'!$L$175,9,FALSE),"-"),"-")</f>
        <v>-</v>
      </c>
      <c r="K148" s="55" t="str">
        <f>IF(AND(booking!L148&lt;&gt;booking!M148,booking!L148&gt;0),"udc","-")</f>
        <v>-</v>
      </c>
      <c r="L148" s="51" t="str">
        <f>IFERROR(IF(AND(booking!AB148&gt;0,booking!L148&lt;&gt;booking!M148),VLOOKUP(booking!M148,Database!$A$1:'Database'!$L$175,6,FALSE),"-"),"-")</f>
        <v>-</v>
      </c>
      <c r="M148" s="51" t="str">
        <f>IFERROR(IF(AND(booking!AB148&gt;0,booking!L148&lt;&gt;booking!M148),VLOOKUP(booking!M148,Database!A147:'Database'!L321,9,FALSE),"-"),"-")</f>
        <v>-</v>
      </c>
      <c r="N148" s="55" t="str">
        <f>IF(AND(booking!P148&lt;&gt;booking!Q148,booking!P148&gt;0),"udc","-")</f>
        <v>-</v>
      </c>
      <c r="O148" s="51" t="str">
        <f>IFERROR(IF(AND(booking!AB148&gt;0,booking!P148&lt;&gt;booking!Q148),VLOOKUP(booking!Q148,Database!$A$1:'Database'!$L$175,6,FALSE),"-"),"-")</f>
        <v>-</v>
      </c>
      <c r="P148" s="51" t="str">
        <f>IFERROR(IF(AND(booking!AB148&gt;0,booking!P148&lt;&gt;booking!Q148),VLOOKUP(booking!Q148,Database!$A$1:'Database'!$L$175,9,FALSE),"-"),"-")</f>
        <v>-</v>
      </c>
      <c r="Q148" s="55" t="str">
        <f>IF(AND(booking!T148&lt;&gt;booking!U148,booking!T148&gt;0),"udc","-")</f>
        <v>-</v>
      </c>
      <c r="R148" s="51" t="str">
        <f>IFERROR(IF(AND(booking!AB148&gt;0,booking!T148&lt;&gt;booking!U148),VLOOKUP(booking!U148,Database!$A$1:'Database'!$L$175,6,FALSE),"-"),"-")</f>
        <v>-</v>
      </c>
      <c r="S148" s="51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6">
        <f>booking!C149</f>
        <v>46650</v>
      </c>
      <c r="D149" s="2" t="str">
        <f>IF(booking!AC149&gt;0,"Y","-")</f>
        <v>-</v>
      </c>
      <c r="E149" s="55" t="str">
        <f>IF(AND(booking!D149&lt;&gt;booking!E149,booking!D149&gt;0),"udc","-")</f>
        <v>-</v>
      </c>
      <c r="F149" s="51" t="str">
        <f>IFERROR(IF(AND(booking!AB149&gt;0,booking!D149&lt;&gt;booking!E149),VLOOKUP(booking!E149,Database!$A$1:'Database'!$L$175,6,FALSE),"-"),"-")</f>
        <v>-</v>
      </c>
      <c r="G149" s="51" t="str">
        <f>IFERROR(IF(AND(booking!AB149&gt;0,booking!D149&lt;&gt;booking!E149),VLOOKUP(booking!E149,Database!$A$1:'Database'!$L$175,9,FALSE),"-"),"-")</f>
        <v>-</v>
      </c>
      <c r="H149" s="55" t="str">
        <f>IF(AND(booking!H149&lt;&gt;booking!I149,booking!H149&gt;0),"udc","-")</f>
        <v>-</v>
      </c>
      <c r="I149" s="51" t="str">
        <f>IFERROR(IF(AND(booking!AB149&gt;0,booking!H149&lt;&gt;booking!I149),VLOOKUP(booking!I149,Database!$A$1:'Database'!$L$175,6,FALSE),"-"),"-")</f>
        <v>-</v>
      </c>
      <c r="J149" s="51" t="str">
        <f>IFERROR(IF(AND(booking!AB149&gt;0,booking!H149&lt;&gt;booking!I149),VLOOKUP(booking!I149,Database!$A$1:'Database'!$L$175,9,FALSE),"-"),"-")</f>
        <v>-</v>
      </c>
      <c r="K149" s="55" t="str">
        <f>IF(AND(booking!L149&lt;&gt;booking!M149,booking!L149&gt;0),"udc","-")</f>
        <v>-</v>
      </c>
      <c r="L149" s="51" t="str">
        <f>IFERROR(IF(AND(booking!AB149&gt;0,booking!L149&lt;&gt;booking!M149),VLOOKUP(booking!M149,Database!$A$1:'Database'!$L$175,6,FALSE),"-"),"-")</f>
        <v>-</v>
      </c>
      <c r="M149" s="51" t="str">
        <f>IFERROR(IF(AND(booking!AB149&gt;0,booking!L149&lt;&gt;booking!M149),VLOOKUP(booking!M149,Database!A148:'Database'!L322,9,FALSE),"-"),"-")</f>
        <v>-</v>
      </c>
      <c r="N149" s="55" t="str">
        <f>IF(AND(booking!P149&lt;&gt;booking!Q149,booking!P149&gt;0),"udc","-")</f>
        <v>-</v>
      </c>
      <c r="O149" s="51" t="str">
        <f>IFERROR(IF(AND(booking!AB149&gt;0,booking!P149&lt;&gt;booking!Q149),VLOOKUP(booking!Q149,Database!$A$1:'Database'!$L$175,6,FALSE),"-"),"-")</f>
        <v>-</v>
      </c>
      <c r="P149" s="51" t="str">
        <f>IFERROR(IF(AND(booking!AB149&gt;0,booking!P149&lt;&gt;booking!Q149),VLOOKUP(booking!Q149,Database!$A$1:'Database'!$L$175,9,FALSE),"-"),"-")</f>
        <v>-</v>
      </c>
      <c r="Q149" s="55" t="str">
        <f>IF(AND(booking!T149&lt;&gt;booking!U149,booking!T149&gt;0),"udc","-")</f>
        <v>-</v>
      </c>
      <c r="R149" s="51" t="str">
        <f>IFERROR(IF(AND(booking!AB149&gt;0,booking!T149&lt;&gt;booking!U149),VLOOKUP(booking!U149,Database!$A$1:'Database'!$L$175,6,FALSE),"-"),"-")</f>
        <v>-</v>
      </c>
      <c r="S149" s="51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6">
        <f>booking!C150</f>
        <v>46651</v>
      </c>
      <c r="D150" s="2" t="str">
        <f>IF(booking!AC150&gt;0,"Y","-")</f>
        <v>-</v>
      </c>
      <c r="E150" s="55" t="str">
        <f>IF(AND(booking!D150&lt;&gt;booking!E150,booking!D150&gt;0),"udc","-")</f>
        <v>-</v>
      </c>
      <c r="F150" s="51" t="str">
        <f>IFERROR(IF(AND(booking!AB150&gt;0,booking!D150&lt;&gt;booking!E150),VLOOKUP(booking!E150,Database!$A$1:'Database'!$L$175,6,FALSE),"-"),"-")</f>
        <v>-</v>
      </c>
      <c r="G150" s="51" t="str">
        <f>IFERROR(IF(AND(booking!AB150&gt;0,booking!D150&lt;&gt;booking!E150),VLOOKUP(booking!E150,Database!$A$1:'Database'!$L$175,9,FALSE),"-"),"-")</f>
        <v>-</v>
      </c>
      <c r="H150" s="55" t="str">
        <f>IF(AND(booking!H150&lt;&gt;booking!I150,booking!H150&gt;0),"udc","-")</f>
        <v>-</v>
      </c>
      <c r="I150" s="51" t="str">
        <f>IFERROR(IF(AND(booking!AB150&gt;0,booking!H150&lt;&gt;booking!I150),VLOOKUP(booking!I150,Database!$A$1:'Database'!$L$175,6,FALSE),"-"),"-")</f>
        <v>-</v>
      </c>
      <c r="J150" s="51" t="str">
        <f>IFERROR(IF(AND(booking!AB150&gt;0,booking!H150&lt;&gt;booking!I150),VLOOKUP(booking!I150,Database!$A$1:'Database'!$L$175,9,FALSE),"-"),"-")</f>
        <v>-</v>
      </c>
      <c r="K150" s="55" t="str">
        <f>IF(AND(booking!L150&lt;&gt;booking!M150,booking!L150&gt;0),"udc","-")</f>
        <v>-</v>
      </c>
      <c r="L150" s="51" t="str">
        <f>IFERROR(IF(AND(booking!AB150&gt;0,booking!L150&lt;&gt;booking!M150),VLOOKUP(booking!M150,Database!$A$1:'Database'!$L$175,6,FALSE),"-"),"-")</f>
        <v>-</v>
      </c>
      <c r="M150" s="51" t="str">
        <f>IFERROR(IF(AND(booking!AB150&gt;0,booking!L150&lt;&gt;booking!M150),VLOOKUP(booking!M150,Database!A149:'Database'!L323,9,FALSE),"-"),"-")</f>
        <v>-</v>
      </c>
      <c r="N150" s="55" t="str">
        <f>IF(AND(booking!P150&lt;&gt;booking!Q150,booking!P150&gt;0),"udc","-")</f>
        <v>-</v>
      </c>
      <c r="O150" s="51" t="str">
        <f>IFERROR(IF(AND(booking!AB150&gt;0,booking!P150&lt;&gt;booking!Q150),VLOOKUP(booking!Q150,Database!$A$1:'Database'!$L$175,6,FALSE),"-"),"-")</f>
        <v>-</v>
      </c>
      <c r="P150" s="51" t="str">
        <f>IFERROR(IF(AND(booking!AB150&gt;0,booking!P150&lt;&gt;booking!Q150),VLOOKUP(booking!Q150,Database!$A$1:'Database'!$L$175,9,FALSE),"-"),"-")</f>
        <v>-</v>
      </c>
      <c r="Q150" s="55" t="str">
        <f>IF(AND(booking!T150&lt;&gt;booking!U150,booking!T150&gt;0),"udc","-")</f>
        <v>-</v>
      </c>
      <c r="R150" s="51" t="str">
        <f>IFERROR(IF(AND(booking!AB150&gt;0,booking!T150&lt;&gt;booking!U150),VLOOKUP(booking!U150,Database!$A$1:'Database'!$L$175,6,FALSE),"-"),"-")</f>
        <v>-</v>
      </c>
      <c r="S150" s="51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6">
        <f>booking!C151</f>
        <v>46652</v>
      </c>
      <c r="D151" s="2" t="str">
        <f>IF(booking!AC151&gt;0,"Y","-")</f>
        <v>-</v>
      </c>
      <c r="E151" s="55" t="str">
        <f>IF(AND(booking!D151&lt;&gt;booking!E151,booking!D151&gt;0),"udc","-")</f>
        <v>-</v>
      </c>
      <c r="F151" s="51" t="str">
        <f>IFERROR(IF(AND(booking!AB151&gt;0,booking!D151&lt;&gt;booking!E151),VLOOKUP(booking!E151,Database!$A$1:'Database'!$L$175,6,FALSE),"-"),"-")</f>
        <v>-</v>
      </c>
      <c r="G151" s="51" t="str">
        <f>IFERROR(IF(AND(booking!AB151&gt;0,booking!D151&lt;&gt;booking!E151),VLOOKUP(booking!E151,Database!$A$1:'Database'!$L$175,9,FALSE),"-"),"-")</f>
        <v>-</v>
      </c>
      <c r="H151" s="55" t="str">
        <f>IF(AND(booking!H151&lt;&gt;booking!I151,booking!H151&gt;0),"udc","-")</f>
        <v>-</v>
      </c>
      <c r="I151" s="51" t="str">
        <f>IFERROR(IF(AND(booking!AB151&gt;0,booking!H151&lt;&gt;booking!I151),VLOOKUP(booking!I151,Database!$A$1:'Database'!$L$175,6,FALSE),"-"),"-")</f>
        <v>-</v>
      </c>
      <c r="J151" s="51" t="str">
        <f>IFERROR(IF(AND(booking!AB151&gt;0,booking!H151&lt;&gt;booking!I151),VLOOKUP(booking!I151,Database!$A$1:'Database'!$L$175,9,FALSE),"-"),"-")</f>
        <v>-</v>
      </c>
      <c r="K151" s="55" t="str">
        <f>IF(AND(booking!L151&lt;&gt;booking!M151,booking!L151&gt;0),"udc","-")</f>
        <v>-</v>
      </c>
      <c r="L151" s="51" t="str">
        <f>IFERROR(IF(AND(booking!AB151&gt;0,booking!L151&lt;&gt;booking!M151),VLOOKUP(booking!M151,Database!$A$1:'Database'!$L$175,6,FALSE),"-"),"-")</f>
        <v>-</v>
      </c>
      <c r="M151" s="51" t="str">
        <f>IFERROR(IF(AND(booking!AB151&gt;0,booking!L151&lt;&gt;booking!M151),VLOOKUP(booking!M151,Database!A150:'Database'!L324,9,FALSE),"-"),"-")</f>
        <v>-</v>
      </c>
      <c r="N151" s="55" t="str">
        <f>IF(AND(booking!P151&lt;&gt;booking!Q151,booking!P151&gt;0),"udc","-")</f>
        <v>-</v>
      </c>
      <c r="O151" s="51" t="str">
        <f>IFERROR(IF(AND(booking!AB151&gt;0,booking!P151&lt;&gt;booking!Q151),VLOOKUP(booking!Q151,Database!$A$1:'Database'!$L$175,6,FALSE),"-"),"-")</f>
        <v>-</v>
      </c>
      <c r="P151" s="51" t="str">
        <f>IFERROR(IF(AND(booking!AB151&gt;0,booking!P151&lt;&gt;booking!Q151),VLOOKUP(booking!Q151,Database!$A$1:'Database'!$L$175,9,FALSE),"-"),"-")</f>
        <v>-</v>
      </c>
      <c r="Q151" s="55" t="str">
        <f>IF(AND(booking!T151&lt;&gt;booking!U151,booking!T151&gt;0),"udc","-")</f>
        <v>-</v>
      </c>
      <c r="R151" s="51" t="str">
        <f>IFERROR(IF(AND(booking!AB151&gt;0,booking!T151&lt;&gt;booking!U151),VLOOKUP(booking!U151,Database!$A$1:'Database'!$L$175,6,FALSE),"-"),"-")</f>
        <v>-</v>
      </c>
      <c r="S151" s="51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6">
        <f>booking!C152</f>
        <v>46653</v>
      </c>
      <c r="D152" s="2" t="str">
        <f>IF(booking!AC152&gt;0,"Y","-")</f>
        <v>-</v>
      </c>
      <c r="E152" s="55" t="str">
        <f>IF(AND(booking!D152&lt;&gt;booking!E152,booking!D152&gt;0),"udc","-")</f>
        <v>-</v>
      </c>
      <c r="F152" s="51" t="str">
        <f>IFERROR(IF(AND(booking!AB152&gt;0,booking!D152&lt;&gt;booking!E152),VLOOKUP(booking!E152,Database!$A$1:'Database'!$L$175,6,FALSE),"-"),"-")</f>
        <v>-</v>
      </c>
      <c r="G152" s="51" t="str">
        <f>IFERROR(IF(AND(booking!AB152&gt;0,booking!D152&lt;&gt;booking!E152),VLOOKUP(booking!E152,Database!$A$1:'Database'!$L$175,9,FALSE),"-"),"-")</f>
        <v>-</v>
      </c>
      <c r="H152" s="55" t="str">
        <f>IF(AND(booking!H152&lt;&gt;booking!I152,booking!H152&gt;0),"udc","-")</f>
        <v>-</v>
      </c>
      <c r="I152" s="51" t="str">
        <f>IFERROR(IF(AND(booking!AB152&gt;0,booking!H152&lt;&gt;booking!I152),VLOOKUP(booking!I152,Database!$A$1:'Database'!$L$175,6,FALSE),"-"),"-")</f>
        <v>-</v>
      </c>
      <c r="J152" s="51" t="str">
        <f>IFERROR(IF(AND(booking!AB152&gt;0,booking!H152&lt;&gt;booking!I152),VLOOKUP(booking!I152,Database!$A$1:'Database'!$L$175,9,FALSE),"-"),"-")</f>
        <v>-</v>
      </c>
      <c r="K152" s="55" t="str">
        <f>IF(AND(booking!L152&lt;&gt;booking!M152,booking!L152&gt;0),"udc","-")</f>
        <v>-</v>
      </c>
      <c r="L152" s="51" t="str">
        <f>IFERROR(IF(AND(booking!AB152&gt;0,booking!L152&lt;&gt;booking!M152),VLOOKUP(booking!M152,Database!$A$1:'Database'!$L$175,6,FALSE),"-"),"-")</f>
        <v>-</v>
      </c>
      <c r="M152" s="51" t="str">
        <f>IFERROR(IF(AND(booking!AB152&gt;0,booking!L152&lt;&gt;booking!M152),VLOOKUP(booking!M152,Database!A151:'Database'!L325,9,FALSE),"-"),"-")</f>
        <v>-</v>
      </c>
      <c r="N152" s="55" t="str">
        <f>IF(AND(booking!P152&lt;&gt;booking!Q152,booking!P152&gt;0),"udc","-")</f>
        <v>-</v>
      </c>
      <c r="O152" s="51" t="str">
        <f>IFERROR(IF(AND(booking!AB152&gt;0,booking!P152&lt;&gt;booking!Q152),VLOOKUP(booking!Q152,Database!$A$1:'Database'!$L$175,6,FALSE),"-"),"-")</f>
        <v>-</v>
      </c>
      <c r="P152" s="51" t="str">
        <f>IFERROR(IF(AND(booking!AB152&gt;0,booking!P152&lt;&gt;booking!Q152),VLOOKUP(booking!Q152,Database!$A$1:'Database'!$L$175,9,FALSE),"-"),"-")</f>
        <v>-</v>
      </c>
      <c r="Q152" s="55" t="str">
        <f>IF(AND(booking!T152&lt;&gt;booking!U152,booking!T152&gt;0),"udc","-")</f>
        <v>-</v>
      </c>
      <c r="R152" s="51" t="str">
        <f>IFERROR(IF(AND(booking!AB152&gt;0,booking!T152&lt;&gt;booking!U152),VLOOKUP(booking!U152,Database!$A$1:'Database'!$L$175,6,FALSE),"-"),"-")</f>
        <v>-</v>
      </c>
      <c r="S152" s="51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6">
        <f>booking!C153</f>
        <v>46654</v>
      </c>
      <c r="D153" s="2" t="str">
        <f>IF(booking!AC153&gt;0,"Y","-")</f>
        <v>-</v>
      </c>
      <c r="E153" s="55" t="str">
        <f>IF(AND(booking!D153&lt;&gt;booking!E153,booking!D153&gt;0),"udc","-")</f>
        <v>-</v>
      </c>
      <c r="F153" s="51" t="str">
        <f>IFERROR(IF(AND(booking!AB153&gt;0,booking!D153&lt;&gt;booking!E153),VLOOKUP(booking!E153,Database!$A$1:'Database'!$L$175,6,FALSE),"-"),"-")</f>
        <v>-</v>
      </c>
      <c r="G153" s="51" t="str">
        <f>IFERROR(IF(AND(booking!AB153&gt;0,booking!D153&lt;&gt;booking!E153),VLOOKUP(booking!E153,Database!$A$1:'Database'!$L$175,9,FALSE),"-"),"-")</f>
        <v>-</v>
      </c>
      <c r="H153" s="55" t="str">
        <f>IF(AND(booking!H153&lt;&gt;booking!I153,booking!H153&gt;0),"udc","-")</f>
        <v>-</v>
      </c>
      <c r="I153" s="51" t="str">
        <f>IFERROR(IF(AND(booking!AB153&gt;0,booking!H153&lt;&gt;booking!I153),VLOOKUP(booking!I153,Database!$A$1:'Database'!$L$175,6,FALSE),"-"),"-")</f>
        <v>-</v>
      </c>
      <c r="J153" s="51" t="str">
        <f>IFERROR(IF(AND(booking!AB153&gt;0,booking!H153&lt;&gt;booking!I153),VLOOKUP(booking!I153,Database!$A$1:'Database'!$L$175,9,FALSE),"-"),"-")</f>
        <v>-</v>
      </c>
      <c r="K153" s="55" t="str">
        <f>IF(AND(booking!L153&lt;&gt;booking!M153,booking!L153&gt;0),"udc","-")</f>
        <v>-</v>
      </c>
      <c r="L153" s="51" t="str">
        <f>IFERROR(IF(AND(booking!AB153&gt;0,booking!L153&lt;&gt;booking!M153),VLOOKUP(booking!M153,Database!$A$1:'Database'!$L$175,6,FALSE),"-"),"-")</f>
        <v>-</v>
      </c>
      <c r="M153" s="51" t="str">
        <f>IFERROR(IF(AND(booking!AB153&gt;0,booking!L153&lt;&gt;booking!M153),VLOOKUP(booking!M153,Database!A152:'Database'!L326,9,FALSE),"-"),"-")</f>
        <v>-</v>
      </c>
      <c r="N153" s="55" t="str">
        <f>IF(AND(booking!P153&lt;&gt;booking!Q153,booking!P153&gt;0),"udc","-")</f>
        <v>-</v>
      </c>
      <c r="O153" s="51" t="str">
        <f>IFERROR(IF(AND(booking!AB153&gt;0,booking!P153&lt;&gt;booking!Q153),VLOOKUP(booking!Q153,Database!$A$1:'Database'!$L$175,6,FALSE),"-"),"-")</f>
        <v>-</v>
      </c>
      <c r="P153" s="51" t="str">
        <f>IFERROR(IF(AND(booking!AB153&gt;0,booking!P153&lt;&gt;booking!Q153),VLOOKUP(booking!Q153,Database!$A$1:'Database'!$L$175,9,FALSE),"-"),"-")</f>
        <v>-</v>
      </c>
      <c r="Q153" s="55" t="str">
        <f>IF(AND(booking!T153&lt;&gt;booking!U153,booking!T153&gt;0),"udc","-")</f>
        <v>-</v>
      </c>
      <c r="R153" s="51" t="str">
        <f>IFERROR(IF(AND(booking!AB153&gt;0,booking!T153&lt;&gt;booking!U153),VLOOKUP(booking!U153,Database!$A$1:'Database'!$L$175,6,FALSE),"-"),"-")</f>
        <v>-</v>
      </c>
      <c r="S153" s="51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6">
        <f>booking!C154</f>
        <v>46655</v>
      </c>
      <c r="D154" s="2" t="str">
        <f>IF(booking!AC154&gt;0,"Y","-")</f>
        <v>-</v>
      </c>
      <c r="E154" s="55" t="str">
        <f>IF(AND(booking!D154&lt;&gt;booking!E154,booking!D154&gt;0),"udc","-")</f>
        <v>-</v>
      </c>
      <c r="F154" s="51" t="str">
        <f>IFERROR(IF(AND(booking!AB154&gt;0,booking!D154&lt;&gt;booking!E154),VLOOKUP(booking!E154,Database!$A$1:'Database'!$L$175,6,FALSE),"-"),"-")</f>
        <v>-</v>
      </c>
      <c r="G154" s="51" t="str">
        <f>IFERROR(IF(AND(booking!AB154&gt;0,booking!D154&lt;&gt;booking!E154),VLOOKUP(booking!E154,Database!$A$1:'Database'!$L$175,9,FALSE),"-"),"-")</f>
        <v>-</v>
      </c>
      <c r="H154" s="55" t="str">
        <f>IF(AND(booking!H154&lt;&gt;booking!I154,booking!H154&gt;0),"udc","-")</f>
        <v>-</v>
      </c>
      <c r="I154" s="51" t="str">
        <f>IFERROR(IF(AND(booking!AB154&gt;0,booking!H154&lt;&gt;booking!I154),VLOOKUP(booking!I154,Database!$A$1:'Database'!$L$175,6,FALSE),"-"),"-")</f>
        <v>-</v>
      </c>
      <c r="J154" s="51" t="str">
        <f>IFERROR(IF(AND(booking!AB154&gt;0,booking!H154&lt;&gt;booking!I154),VLOOKUP(booking!I154,Database!$A$1:'Database'!$L$175,9,FALSE),"-"),"-")</f>
        <v>-</v>
      </c>
      <c r="K154" s="55" t="str">
        <f>IF(AND(booking!L154&lt;&gt;booking!M154,booking!L154&gt;0),"udc","-")</f>
        <v>-</v>
      </c>
      <c r="L154" s="51" t="str">
        <f>IFERROR(IF(AND(booking!AB154&gt;0,booking!L154&lt;&gt;booking!M154),VLOOKUP(booking!M154,Database!$A$1:'Database'!$L$175,6,FALSE),"-"),"-")</f>
        <v>-</v>
      </c>
      <c r="M154" s="51" t="str">
        <f>IFERROR(IF(AND(booking!AB154&gt;0,booking!L154&lt;&gt;booking!M154),VLOOKUP(booking!M154,Database!A153:'Database'!L327,9,FALSE),"-"),"-")</f>
        <v>-</v>
      </c>
      <c r="N154" s="55" t="str">
        <f>IF(AND(booking!P154&lt;&gt;booking!Q154,booking!P154&gt;0),"udc","-")</f>
        <v>-</v>
      </c>
      <c r="O154" s="51" t="str">
        <f>IFERROR(IF(AND(booking!AB154&gt;0,booking!P154&lt;&gt;booking!Q154),VLOOKUP(booking!Q154,Database!$A$1:'Database'!$L$175,6,FALSE),"-"),"-")</f>
        <v>-</v>
      </c>
      <c r="P154" s="51" t="str">
        <f>IFERROR(IF(AND(booking!AB154&gt;0,booking!P154&lt;&gt;booking!Q154),VLOOKUP(booking!Q154,Database!$A$1:'Database'!$L$175,9,FALSE),"-"),"-")</f>
        <v>-</v>
      </c>
      <c r="Q154" s="55" t="str">
        <f>IF(AND(booking!T154&lt;&gt;booking!U154,booking!T154&gt;0),"udc","-")</f>
        <v>-</v>
      </c>
      <c r="R154" s="51" t="str">
        <f>IFERROR(IF(AND(booking!AB154&gt;0,booking!T154&lt;&gt;booking!U154),VLOOKUP(booking!U154,Database!$A$1:'Database'!$L$175,6,FALSE),"-"),"-")</f>
        <v>-</v>
      </c>
      <c r="S154" s="51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6">
        <f>booking!C155</f>
        <v>46656</v>
      </c>
      <c r="D155" s="2" t="str">
        <f>IF(booking!AC155&gt;0,"Y","-")</f>
        <v>-</v>
      </c>
      <c r="E155" s="55" t="str">
        <f>IF(AND(booking!D155&lt;&gt;booking!E155,booking!D155&gt;0),"udc","-")</f>
        <v>-</v>
      </c>
      <c r="F155" s="51" t="str">
        <f>IFERROR(IF(AND(booking!AB155&gt;0,booking!D155&lt;&gt;booking!E155),VLOOKUP(booking!E155,Database!$A$1:'Database'!$L$175,6,FALSE),"-"),"-")</f>
        <v>-</v>
      </c>
      <c r="G155" s="51" t="str">
        <f>IFERROR(IF(AND(booking!AB155&gt;0,booking!D155&lt;&gt;booking!E155),VLOOKUP(booking!E155,Database!$A$1:'Database'!$L$175,9,FALSE),"-"),"-")</f>
        <v>-</v>
      </c>
      <c r="H155" s="55" t="str">
        <f>IF(AND(booking!H155&lt;&gt;booking!I155,booking!H155&gt;0),"udc","-")</f>
        <v>-</v>
      </c>
      <c r="I155" s="51" t="str">
        <f>IFERROR(IF(AND(booking!AB155&gt;0,booking!H155&lt;&gt;booking!I155),VLOOKUP(booking!I155,Database!$A$1:'Database'!$L$175,6,FALSE),"-"),"-")</f>
        <v>-</v>
      </c>
      <c r="J155" s="51" t="str">
        <f>IFERROR(IF(AND(booking!AB155&gt;0,booking!H155&lt;&gt;booking!I155),VLOOKUP(booking!I155,Database!$A$1:'Database'!$L$175,9,FALSE),"-"),"-")</f>
        <v>-</v>
      </c>
      <c r="K155" s="55" t="str">
        <f>IF(AND(booking!L155&lt;&gt;booking!M155,booking!L155&gt;0),"udc","-")</f>
        <v>-</v>
      </c>
      <c r="L155" s="51" t="str">
        <f>IFERROR(IF(AND(booking!AB155&gt;0,booking!L155&lt;&gt;booking!M155),VLOOKUP(booking!M155,Database!$A$1:'Database'!$L$175,6,FALSE),"-"),"-")</f>
        <v>-</v>
      </c>
      <c r="M155" s="51" t="str">
        <f>IFERROR(IF(AND(booking!AB155&gt;0,booking!L155&lt;&gt;booking!M155),VLOOKUP(booking!M155,Database!A154:'Database'!L328,9,FALSE),"-"),"-")</f>
        <v>-</v>
      </c>
      <c r="N155" s="55" t="str">
        <f>IF(AND(booking!P155&lt;&gt;booking!Q155,booking!P155&gt;0),"udc","-")</f>
        <v>-</v>
      </c>
      <c r="O155" s="51" t="str">
        <f>IFERROR(IF(AND(booking!AB155&gt;0,booking!P155&lt;&gt;booking!Q155),VLOOKUP(booking!Q155,Database!$A$1:'Database'!$L$175,6,FALSE),"-"),"-")</f>
        <v>-</v>
      </c>
      <c r="P155" s="51" t="str">
        <f>IFERROR(IF(AND(booking!AB155&gt;0,booking!P155&lt;&gt;booking!Q155),VLOOKUP(booking!Q155,Database!$A$1:'Database'!$L$175,9,FALSE),"-"),"-")</f>
        <v>-</v>
      </c>
      <c r="Q155" s="55" t="str">
        <f>IF(AND(booking!T155&lt;&gt;booking!U155,booking!T155&gt;0),"udc","-")</f>
        <v>-</v>
      </c>
      <c r="R155" s="51" t="str">
        <f>IFERROR(IF(AND(booking!AB155&gt;0,booking!T155&lt;&gt;booking!U155),VLOOKUP(booking!U155,Database!$A$1:'Database'!$L$175,6,FALSE),"-"),"-")</f>
        <v>-</v>
      </c>
      <c r="S155" s="51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6">
        <f>booking!C156</f>
        <v>46657</v>
      </c>
      <c r="D156" s="2" t="str">
        <f>IF(booking!AC156&gt;0,"Y","-")</f>
        <v>-</v>
      </c>
      <c r="E156" s="55" t="str">
        <f>IF(AND(booking!D156&lt;&gt;booking!E156,booking!D156&gt;0),"udc","-")</f>
        <v>-</v>
      </c>
      <c r="F156" s="51" t="str">
        <f>IFERROR(IF(AND(booking!AB156&gt;0,booking!D156&lt;&gt;booking!E156),VLOOKUP(booking!E156,Database!$A$1:'Database'!$L$175,6,FALSE),"-"),"-")</f>
        <v>-</v>
      </c>
      <c r="G156" s="51" t="str">
        <f>IFERROR(IF(AND(booking!AB156&gt;0,booking!D156&lt;&gt;booking!E156),VLOOKUP(booking!E156,Database!$A$1:'Database'!$L$175,9,FALSE),"-"),"-")</f>
        <v>-</v>
      </c>
      <c r="H156" s="55" t="str">
        <f>IF(AND(booking!H156&lt;&gt;booking!I156,booking!H156&gt;0),"udc","-")</f>
        <v>-</v>
      </c>
      <c r="I156" s="51" t="str">
        <f>IFERROR(IF(AND(booking!AB156&gt;0,booking!H156&lt;&gt;booking!I156),VLOOKUP(booking!I156,Database!$A$1:'Database'!$L$175,6,FALSE),"-"),"-")</f>
        <v>-</v>
      </c>
      <c r="J156" s="51" t="str">
        <f>IFERROR(IF(AND(booking!AB156&gt;0,booking!H156&lt;&gt;booking!I156),VLOOKUP(booking!I156,Database!$A$1:'Database'!$L$175,9,FALSE),"-"),"-")</f>
        <v>-</v>
      </c>
      <c r="K156" s="55" t="str">
        <f>IF(AND(booking!L156&lt;&gt;booking!M156,booking!L156&gt;0),"udc","-")</f>
        <v>-</v>
      </c>
      <c r="L156" s="51" t="str">
        <f>IFERROR(IF(AND(booking!AB156&gt;0,booking!L156&lt;&gt;booking!M156),VLOOKUP(booking!M156,Database!$A$1:'Database'!$L$175,6,FALSE),"-"),"-")</f>
        <v>-</v>
      </c>
      <c r="M156" s="51" t="str">
        <f>IFERROR(IF(AND(booking!AB156&gt;0,booking!L156&lt;&gt;booking!M156),VLOOKUP(booking!M156,Database!A155:'Database'!L329,9,FALSE),"-"),"-")</f>
        <v>-</v>
      </c>
      <c r="N156" s="55" t="str">
        <f>IF(AND(booking!P156&lt;&gt;booking!Q156,booking!P156&gt;0),"udc","-")</f>
        <v>-</v>
      </c>
      <c r="O156" s="51" t="str">
        <f>IFERROR(IF(AND(booking!AB156&gt;0,booking!P156&lt;&gt;booking!Q156),VLOOKUP(booking!Q156,Database!$A$1:'Database'!$L$175,6,FALSE),"-"),"-")</f>
        <v>-</v>
      </c>
      <c r="P156" s="51" t="str">
        <f>IFERROR(IF(AND(booking!AB156&gt;0,booking!P156&lt;&gt;booking!Q156),VLOOKUP(booking!Q156,Database!$A$1:'Database'!$L$175,9,FALSE),"-"),"-")</f>
        <v>-</v>
      </c>
      <c r="Q156" s="55" t="str">
        <f>IF(AND(booking!T156&lt;&gt;booking!U156,booking!T156&gt;0),"udc","-")</f>
        <v>-</v>
      </c>
      <c r="R156" s="51" t="str">
        <f>IFERROR(IF(AND(booking!AB156&gt;0,booking!T156&lt;&gt;booking!U156),VLOOKUP(booking!U156,Database!$A$1:'Database'!$L$175,6,FALSE),"-"),"-")</f>
        <v>-</v>
      </c>
      <c r="S156" s="51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6">
        <f>booking!C157</f>
        <v>46658</v>
      </c>
      <c r="D157" s="2" t="str">
        <f>IF(booking!AC157&gt;0,"Y","-")</f>
        <v>-</v>
      </c>
      <c r="E157" s="55" t="str">
        <f>IF(AND(booking!D157&lt;&gt;booking!E157,booking!D157&gt;0),"udc","-")</f>
        <v>-</v>
      </c>
      <c r="F157" s="51" t="str">
        <f>IFERROR(IF(AND(booking!AB157&gt;0,booking!D157&lt;&gt;booking!E157),VLOOKUP(booking!E157,Database!$A$1:'Database'!$L$175,6,FALSE),"-"),"-")</f>
        <v>-</v>
      </c>
      <c r="G157" s="51" t="str">
        <f>IFERROR(IF(AND(booking!AB157&gt;0,booking!D157&lt;&gt;booking!E157),VLOOKUP(booking!E157,Database!$A$1:'Database'!$L$175,9,FALSE),"-"),"-")</f>
        <v>-</v>
      </c>
      <c r="H157" s="55" t="str">
        <f>IF(AND(booking!H157&lt;&gt;booking!I157,booking!H157&gt;0),"udc","-")</f>
        <v>-</v>
      </c>
      <c r="I157" s="51" t="str">
        <f>IFERROR(IF(AND(booking!AB157&gt;0,booking!H157&lt;&gt;booking!I157),VLOOKUP(booking!I157,Database!$A$1:'Database'!$L$175,6,FALSE),"-"),"-")</f>
        <v>-</v>
      </c>
      <c r="J157" s="51" t="str">
        <f>IFERROR(IF(AND(booking!AB157&gt;0,booking!H157&lt;&gt;booking!I157),VLOOKUP(booking!I157,Database!$A$1:'Database'!$L$175,9,FALSE),"-"),"-")</f>
        <v>-</v>
      </c>
      <c r="K157" s="55" t="str">
        <f>IF(AND(booking!L157&lt;&gt;booking!M157,booking!L157&gt;0),"udc","-")</f>
        <v>-</v>
      </c>
      <c r="L157" s="51" t="str">
        <f>IFERROR(IF(AND(booking!AB157&gt;0,booking!L157&lt;&gt;booking!M157),VLOOKUP(booking!M157,Database!$A$1:'Database'!$L$175,6,FALSE),"-"),"-")</f>
        <v>-</v>
      </c>
      <c r="M157" s="51" t="str">
        <f>IFERROR(IF(AND(booking!AB157&gt;0,booking!L157&lt;&gt;booking!M157),VLOOKUP(booking!M157,Database!A156:'Database'!L330,9,FALSE),"-"),"-")</f>
        <v>-</v>
      </c>
      <c r="N157" s="55" t="str">
        <f>IF(AND(booking!P157&lt;&gt;booking!Q157,booking!P157&gt;0),"udc","-")</f>
        <v>-</v>
      </c>
      <c r="O157" s="51" t="str">
        <f>IFERROR(IF(AND(booking!AB157&gt;0,booking!P157&lt;&gt;booking!Q157),VLOOKUP(booking!Q157,Database!$A$1:'Database'!$L$175,6,FALSE),"-"),"-")</f>
        <v>-</v>
      </c>
      <c r="P157" s="51" t="str">
        <f>IFERROR(IF(AND(booking!AB157&gt;0,booking!P157&lt;&gt;booking!Q157),VLOOKUP(booking!Q157,Database!$A$1:'Database'!$L$175,9,FALSE),"-"),"-")</f>
        <v>-</v>
      </c>
      <c r="Q157" s="55" t="str">
        <f>IF(AND(booking!T157&lt;&gt;booking!U157,booking!T157&gt;0),"udc","-")</f>
        <v>-</v>
      </c>
      <c r="R157" s="51" t="str">
        <f>IFERROR(IF(AND(booking!AB157&gt;0,booking!T157&lt;&gt;booking!U157),VLOOKUP(booking!U157,Database!$A$1:'Database'!$L$175,6,FALSE),"-"),"-")</f>
        <v>-</v>
      </c>
      <c r="S157" s="51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6">
        <f>booking!C158</f>
        <v>46659</v>
      </c>
      <c r="D158" s="2" t="str">
        <f>IF(booking!AC158&gt;0,"Y","-")</f>
        <v>-</v>
      </c>
      <c r="E158" s="55" t="str">
        <f>IF(AND(booking!D158&lt;&gt;booking!E158,booking!D158&gt;0),"udc","-")</f>
        <v>-</v>
      </c>
      <c r="F158" s="51" t="str">
        <f>IFERROR(IF(AND(booking!AB158&gt;0,booking!D158&lt;&gt;booking!E158),VLOOKUP(booking!E158,Database!$A$1:'Database'!$L$175,6,FALSE),"-"),"-")</f>
        <v>-</v>
      </c>
      <c r="G158" s="51" t="str">
        <f>IFERROR(IF(AND(booking!AB158&gt;0,booking!D158&lt;&gt;booking!E158),VLOOKUP(booking!E158,Database!$A$1:'Database'!$L$175,9,FALSE),"-"),"-")</f>
        <v>-</v>
      </c>
      <c r="H158" s="55" t="str">
        <f>IF(AND(booking!H158&lt;&gt;booking!I158,booking!H158&gt;0),"udc","-")</f>
        <v>-</v>
      </c>
      <c r="I158" s="51" t="str">
        <f>IFERROR(IF(AND(booking!AB158&gt;0,booking!H158&lt;&gt;booking!I158),VLOOKUP(booking!I158,Database!$A$1:'Database'!$L$175,6,FALSE),"-"),"-")</f>
        <v>-</v>
      </c>
      <c r="J158" s="51" t="str">
        <f>IFERROR(IF(AND(booking!AB158&gt;0,booking!H158&lt;&gt;booking!I158),VLOOKUP(booking!I158,Database!$A$1:'Database'!$L$175,9,FALSE),"-"),"-")</f>
        <v>-</v>
      </c>
      <c r="K158" s="55" t="str">
        <f>IF(AND(booking!L158&lt;&gt;booking!M158,booking!L158&gt;0),"udc","-")</f>
        <v>-</v>
      </c>
      <c r="L158" s="51" t="str">
        <f>IFERROR(IF(AND(booking!AB158&gt;0,booking!L158&lt;&gt;booking!M158),VLOOKUP(booking!M158,Database!$A$1:'Database'!$L$175,6,FALSE),"-"),"-")</f>
        <v>-</v>
      </c>
      <c r="M158" s="51" t="str">
        <f>IFERROR(IF(AND(booking!AB158&gt;0,booking!L158&lt;&gt;booking!M158),VLOOKUP(booking!M158,Database!A157:'Database'!L331,9,FALSE),"-"),"-")</f>
        <v>-</v>
      </c>
      <c r="N158" s="55" t="str">
        <f>IF(AND(booking!P158&lt;&gt;booking!Q158,booking!P158&gt;0),"udc","-")</f>
        <v>-</v>
      </c>
      <c r="O158" s="51" t="str">
        <f>IFERROR(IF(AND(booking!AB158&gt;0,booking!P158&lt;&gt;booking!Q158),VLOOKUP(booking!Q158,Database!$A$1:'Database'!$L$175,6,FALSE),"-"),"-")</f>
        <v>-</v>
      </c>
      <c r="P158" s="51" t="str">
        <f>IFERROR(IF(AND(booking!AB158&gt;0,booking!P158&lt;&gt;booking!Q158),VLOOKUP(booking!Q158,Database!$A$1:'Database'!$L$175,9,FALSE),"-"),"-")</f>
        <v>-</v>
      </c>
      <c r="Q158" s="55" t="str">
        <f>IF(AND(booking!T158&lt;&gt;booking!U158,booking!T158&gt;0),"udc","-")</f>
        <v>-</v>
      </c>
      <c r="R158" s="51" t="str">
        <f>IFERROR(IF(AND(booking!AB158&gt;0,booking!T158&lt;&gt;booking!U158),VLOOKUP(booking!U158,Database!$A$1:'Database'!$L$175,6,FALSE),"-"),"-")</f>
        <v>-</v>
      </c>
      <c r="S158" s="51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6">
        <f>booking!C159</f>
        <v>46660</v>
      </c>
      <c r="D159" s="2" t="str">
        <f>IF(booking!AC159&gt;0,"Y","-")</f>
        <v>-</v>
      </c>
      <c r="E159" s="55" t="str">
        <f>IF(AND(booking!D159&lt;&gt;booking!E159,booking!D159&gt;0),"udc","-")</f>
        <v>-</v>
      </c>
      <c r="F159" s="51" t="str">
        <f>IFERROR(IF(AND(booking!AB159&gt;0,booking!D159&lt;&gt;booking!E159),VLOOKUP(booking!E159,Database!$A$1:'Database'!$L$175,6,FALSE),"-"),"-")</f>
        <v>-</v>
      </c>
      <c r="G159" s="51" t="str">
        <f>IFERROR(IF(AND(booking!AB159&gt;0,booking!D159&lt;&gt;booking!E159),VLOOKUP(booking!E159,Database!$A$1:'Database'!$L$175,9,FALSE),"-"),"-")</f>
        <v>-</v>
      </c>
      <c r="H159" s="55" t="str">
        <f>IF(AND(booking!H159&lt;&gt;booking!I159,booking!H159&gt;0),"udc","-")</f>
        <v>-</v>
      </c>
      <c r="I159" s="51" t="str">
        <f>IFERROR(IF(AND(booking!AB159&gt;0,booking!H159&lt;&gt;booking!I159),VLOOKUP(booking!I159,Database!$A$1:'Database'!$L$175,6,FALSE),"-"),"-")</f>
        <v>-</v>
      </c>
      <c r="J159" s="51" t="str">
        <f>IFERROR(IF(AND(booking!AB159&gt;0,booking!H159&lt;&gt;booking!I159),VLOOKUP(booking!I159,Database!$A$1:'Database'!$L$175,9,FALSE),"-"),"-")</f>
        <v>-</v>
      </c>
      <c r="K159" s="55" t="str">
        <f>IF(AND(booking!L159&lt;&gt;booking!M159,booking!L159&gt;0),"udc","-")</f>
        <v>-</v>
      </c>
      <c r="L159" s="51" t="str">
        <f>IFERROR(IF(AND(booking!AB159&gt;0,booking!L159&lt;&gt;booking!M159),VLOOKUP(booking!M159,Database!$A$1:'Database'!$L$175,6,FALSE),"-"),"-")</f>
        <v>-</v>
      </c>
      <c r="M159" s="51" t="str">
        <f>IFERROR(IF(AND(booking!AB159&gt;0,booking!L159&lt;&gt;booking!M159),VLOOKUP(booking!M159,Database!A158:'Database'!L332,9,FALSE),"-"),"-")</f>
        <v>-</v>
      </c>
      <c r="N159" s="55" t="str">
        <f>IF(AND(booking!P159&lt;&gt;booking!Q159,booking!P159&gt;0),"udc","-")</f>
        <v>-</v>
      </c>
      <c r="O159" s="51" t="str">
        <f>IFERROR(IF(AND(booking!AB159&gt;0,booking!P159&lt;&gt;booking!Q159),VLOOKUP(booking!Q159,Database!$A$1:'Database'!$L$175,6,FALSE),"-"),"-")</f>
        <v>-</v>
      </c>
      <c r="P159" s="51" t="str">
        <f>IFERROR(IF(AND(booking!AB159&gt;0,booking!P159&lt;&gt;booking!Q159),VLOOKUP(booking!Q159,Database!$A$1:'Database'!$L$175,9,FALSE),"-"),"-")</f>
        <v>-</v>
      </c>
      <c r="Q159" s="55" t="str">
        <f>IF(AND(booking!T159&lt;&gt;booking!U159,booking!T159&gt;0),"udc","-")</f>
        <v>-</v>
      </c>
      <c r="R159" s="51" t="str">
        <f>IFERROR(IF(AND(booking!AB159&gt;0,booking!T159&lt;&gt;booking!U159),VLOOKUP(booking!U159,Database!$A$1:'Database'!$L$175,6,FALSE),"-"),"-")</f>
        <v>-</v>
      </c>
      <c r="S159" s="51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6">
        <f>booking!C160</f>
        <v>46661</v>
      </c>
      <c r="D160" s="2" t="str">
        <f>IF(booking!AC160&gt;0,"Y","-")</f>
        <v>-</v>
      </c>
      <c r="E160" s="55" t="str">
        <f>IF(AND(booking!D160&lt;&gt;booking!E160,booking!D160&gt;0),"udc","-")</f>
        <v>-</v>
      </c>
      <c r="F160" s="51" t="str">
        <f>IFERROR(IF(AND(booking!AB160&gt;0,booking!D160&lt;&gt;booking!E160),VLOOKUP(booking!E160,Database!$A$1:'Database'!$L$175,6,FALSE),"-"),"-")</f>
        <v>-</v>
      </c>
      <c r="G160" s="51" t="str">
        <f>IFERROR(IF(AND(booking!AB160&gt;0,booking!D160&lt;&gt;booking!E160),VLOOKUP(booking!E160,Database!$A$1:'Database'!$L$175,9,FALSE),"-"),"-")</f>
        <v>-</v>
      </c>
      <c r="H160" s="55" t="str">
        <f>IF(AND(booking!H160&lt;&gt;booking!I160,booking!H160&gt;0),"udc","-")</f>
        <v>-</v>
      </c>
      <c r="I160" s="51" t="str">
        <f>IFERROR(IF(AND(booking!AB160&gt;0,booking!H160&lt;&gt;booking!I160),VLOOKUP(booking!I160,Database!$A$1:'Database'!$L$175,6,FALSE),"-"),"-")</f>
        <v>-</v>
      </c>
      <c r="J160" s="51" t="str">
        <f>IFERROR(IF(AND(booking!AB160&gt;0,booking!H160&lt;&gt;booking!I160),VLOOKUP(booking!I160,Database!$A$1:'Database'!$L$175,9,FALSE),"-"),"-")</f>
        <v>-</v>
      </c>
      <c r="K160" s="55" t="str">
        <f>IF(AND(booking!L160&lt;&gt;booking!M160,booking!L160&gt;0),"udc","-")</f>
        <v>-</v>
      </c>
      <c r="L160" s="51" t="str">
        <f>IFERROR(IF(AND(booking!AB160&gt;0,booking!L160&lt;&gt;booking!M160),VLOOKUP(booking!M160,Database!$A$1:'Database'!$L$175,6,FALSE),"-"),"-")</f>
        <v>-</v>
      </c>
      <c r="M160" s="51" t="str">
        <f>IFERROR(IF(AND(booking!AB160&gt;0,booking!L160&lt;&gt;booking!M160),VLOOKUP(booking!M160,Database!A159:'Database'!L333,9,FALSE),"-"),"-")</f>
        <v>-</v>
      </c>
      <c r="N160" s="55" t="str">
        <f>IF(AND(booking!P160&lt;&gt;booking!Q160,booking!P160&gt;0),"udc","-")</f>
        <v>-</v>
      </c>
      <c r="O160" s="51" t="str">
        <f>IFERROR(IF(AND(booking!AB160&gt;0,booking!P160&lt;&gt;booking!Q160),VLOOKUP(booking!Q160,Database!$A$1:'Database'!$L$175,6,FALSE),"-"),"-")</f>
        <v>-</v>
      </c>
      <c r="P160" s="51" t="str">
        <f>IFERROR(IF(AND(booking!AB160&gt;0,booking!P160&lt;&gt;booking!Q160),VLOOKUP(booking!Q160,Database!$A$1:'Database'!$L$175,9,FALSE),"-"),"-")</f>
        <v>-</v>
      </c>
      <c r="Q160" s="55" t="str">
        <f>IF(AND(booking!T160&lt;&gt;booking!U160,booking!T160&gt;0),"udc","-")</f>
        <v>-</v>
      </c>
      <c r="R160" s="51" t="str">
        <f>IFERROR(IF(AND(booking!AB160&gt;0,booking!T160&lt;&gt;booking!U160),VLOOKUP(booking!U160,Database!$A$1:'Database'!$L$175,6,FALSE),"-"),"-")</f>
        <v>-</v>
      </c>
      <c r="S160" s="51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6">
        <f>booking!C161</f>
        <v>46662</v>
      </c>
      <c r="D161" s="2" t="str">
        <f>IF(booking!AC161&gt;0,"Y","-")</f>
        <v>-</v>
      </c>
      <c r="E161" s="55" t="str">
        <f>IF(AND(booking!D161&lt;&gt;booking!E161,booking!D161&gt;0),"udc","-")</f>
        <v>-</v>
      </c>
      <c r="F161" s="51" t="str">
        <f>IFERROR(IF(AND(booking!AB161&gt;0,booking!D161&lt;&gt;booking!E161),VLOOKUP(booking!E161,Database!$A$1:'Database'!$L$175,6,FALSE),"-"),"-")</f>
        <v>-</v>
      </c>
      <c r="G161" s="51" t="str">
        <f>IFERROR(IF(AND(booking!AB161&gt;0,booking!D161&lt;&gt;booking!E161),VLOOKUP(booking!E161,Database!$A$1:'Database'!$L$175,9,FALSE),"-"),"-")</f>
        <v>-</v>
      </c>
      <c r="H161" s="55" t="str">
        <f>IF(AND(booking!H161&lt;&gt;booking!I161,booking!H161&gt;0),"udc","-")</f>
        <v>-</v>
      </c>
      <c r="I161" s="51" t="str">
        <f>IFERROR(IF(AND(booking!AB161&gt;0,booking!H161&lt;&gt;booking!I161),VLOOKUP(booking!I161,Database!$A$1:'Database'!$L$175,6,FALSE),"-"),"-")</f>
        <v>-</v>
      </c>
      <c r="J161" s="51" t="str">
        <f>IFERROR(IF(AND(booking!AB161&gt;0,booking!H161&lt;&gt;booking!I161),VLOOKUP(booking!I161,Database!$A$1:'Database'!$L$175,9,FALSE),"-"),"-")</f>
        <v>-</v>
      </c>
      <c r="K161" s="55" t="str">
        <f>IF(AND(booking!L161&lt;&gt;booking!M161,booking!L161&gt;0),"udc","-")</f>
        <v>-</v>
      </c>
      <c r="L161" s="51" t="str">
        <f>IFERROR(IF(AND(booking!AB161&gt;0,booking!L161&lt;&gt;booking!M161),VLOOKUP(booking!M161,Database!$A$1:'Database'!$L$175,6,FALSE),"-"),"-")</f>
        <v>-</v>
      </c>
      <c r="M161" s="51" t="str">
        <f>IFERROR(IF(AND(booking!AB161&gt;0,booking!L161&lt;&gt;booking!M161),VLOOKUP(booking!M161,Database!A160:'Database'!L334,9,FALSE),"-"),"-")</f>
        <v>-</v>
      </c>
      <c r="N161" s="55" t="str">
        <f>IF(AND(booking!P161&lt;&gt;booking!Q161,booking!P161&gt;0),"udc","-")</f>
        <v>-</v>
      </c>
      <c r="O161" s="51" t="str">
        <f>IFERROR(IF(AND(booking!AB161&gt;0,booking!P161&lt;&gt;booking!Q161),VLOOKUP(booking!Q161,Database!$A$1:'Database'!$L$175,6,FALSE),"-"),"-")</f>
        <v>-</v>
      </c>
      <c r="P161" s="51" t="str">
        <f>IFERROR(IF(AND(booking!AB161&gt;0,booking!P161&lt;&gt;booking!Q161),VLOOKUP(booking!Q161,Database!$A$1:'Database'!$L$175,9,FALSE),"-"),"-")</f>
        <v>-</v>
      </c>
      <c r="Q161" s="55" t="str">
        <f>IF(AND(booking!T161&lt;&gt;booking!U161,booking!T161&gt;0),"udc","-")</f>
        <v>-</v>
      </c>
      <c r="R161" s="51" t="str">
        <f>IFERROR(IF(AND(booking!AB161&gt;0,booking!T161&lt;&gt;booking!U161),VLOOKUP(booking!U161,Database!$A$1:'Database'!$L$175,6,FALSE),"-"),"-")</f>
        <v>-</v>
      </c>
      <c r="S161" s="51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6">
        <f>booking!C162</f>
        <v>46663</v>
      </c>
      <c r="D162" s="2" t="str">
        <f>IF(booking!AC162&gt;0,"Y","-")</f>
        <v>-</v>
      </c>
      <c r="E162" s="55" t="str">
        <f>IF(AND(booking!D162&lt;&gt;booking!E162,booking!D162&gt;0),"udc","-")</f>
        <v>-</v>
      </c>
      <c r="F162" s="51" t="str">
        <f>IFERROR(IF(AND(booking!AB162&gt;0,booking!D162&lt;&gt;booking!E162),VLOOKUP(booking!E162,Database!$A$1:'Database'!$L$175,6,FALSE),"-"),"-")</f>
        <v>-</v>
      </c>
      <c r="G162" s="51" t="str">
        <f>IFERROR(IF(AND(booking!AB162&gt;0,booking!D162&lt;&gt;booking!E162),VLOOKUP(booking!E162,Database!$A$1:'Database'!$L$175,9,FALSE),"-"),"-")</f>
        <v>-</v>
      </c>
      <c r="H162" s="55" t="str">
        <f>IF(AND(booking!H162&lt;&gt;booking!I162,booking!H162&gt;0),"udc","-")</f>
        <v>-</v>
      </c>
      <c r="I162" s="51" t="str">
        <f>IFERROR(IF(AND(booking!AB162&gt;0,booking!H162&lt;&gt;booking!I162),VLOOKUP(booking!I162,Database!$A$1:'Database'!$L$175,6,FALSE),"-"),"-")</f>
        <v>-</v>
      </c>
      <c r="J162" s="51" t="str">
        <f>IFERROR(IF(AND(booking!AB162&gt;0,booking!H162&lt;&gt;booking!I162),VLOOKUP(booking!I162,Database!$A$1:'Database'!$L$175,9,FALSE),"-"),"-")</f>
        <v>-</v>
      </c>
      <c r="K162" s="55" t="str">
        <f>IF(AND(booking!L162&lt;&gt;booking!M162,booking!L162&gt;0),"udc","-")</f>
        <v>-</v>
      </c>
      <c r="L162" s="51" t="str">
        <f>IFERROR(IF(AND(booking!AB162&gt;0,booking!L162&lt;&gt;booking!M162),VLOOKUP(booking!M162,Database!$A$1:'Database'!$L$175,6,FALSE),"-"),"-")</f>
        <v>-</v>
      </c>
      <c r="M162" s="51" t="str">
        <f>IFERROR(IF(AND(booking!AB162&gt;0,booking!L162&lt;&gt;booking!M162),VLOOKUP(booking!M162,Database!A161:'Database'!L335,9,FALSE),"-"),"-")</f>
        <v>-</v>
      </c>
      <c r="N162" s="55" t="str">
        <f>IF(AND(booking!P162&lt;&gt;booking!Q162,booking!P162&gt;0),"udc","-")</f>
        <v>-</v>
      </c>
      <c r="O162" s="51" t="str">
        <f>IFERROR(IF(AND(booking!AB162&gt;0,booking!P162&lt;&gt;booking!Q162),VLOOKUP(booking!Q162,Database!$A$1:'Database'!$L$175,6,FALSE),"-"),"-")</f>
        <v>-</v>
      </c>
      <c r="P162" s="51" t="str">
        <f>IFERROR(IF(AND(booking!AB162&gt;0,booking!P162&lt;&gt;booking!Q162),VLOOKUP(booking!Q162,Database!$A$1:'Database'!$L$175,9,FALSE),"-"),"-")</f>
        <v>-</v>
      </c>
      <c r="Q162" s="55" t="str">
        <f>IF(AND(booking!T162&lt;&gt;booking!U162,booking!T162&gt;0),"udc","-")</f>
        <v>-</v>
      </c>
      <c r="R162" s="51" t="str">
        <f>IFERROR(IF(AND(booking!AB162&gt;0,booking!T162&lt;&gt;booking!U162),VLOOKUP(booking!U162,Database!$A$1:'Database'!$L$175,6,FALSE),"-"),"-")</f>
        <v>-</v>
      </c>
      <c r="S162" s="51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6">
        <f>booking!C163</f>
        <v>46664</v>
      </c>
      <c r="D163" s="2" t="str">
        <f>IF(booking!AC163&gt;0,"Y","-")</f>
        <v>-</v>
      </c>
      <c r="E163" s="55" t="str">
        <f>IF(AND(booking!D163&lt;&gt;booking!E163,booking!D163&gt;0),"udc","-")</f>
        <v>-</v>
      </c>
      <c r="F163" s="51" t="str">
        <f>IFERROR(IF(AND(booking!AB163&gt;0,booking!D163&lt;&gt;booking!E163),VLOOKUP(booking!E163,Database!$A$1:'Database'!$L$175,6,FALSE),"-"),"-")</f>
        <v>-</v>
      </c>
      <c r="G163" s="51" t="str">
        <f>IFERROR(IF(AND(booking!AB163&gt;0,booking!D163&lt;&gt;booking!E163),VLOOKUP(booking!E163,Database!$A$1:'Database'!$L$175,9,FALSE),"-"),"-")</f>
        <v>-</v>
      </c>
      <c r="H163" s="55" t="str">
        <f>IF(AND(booking!H163&lt;&gt;booking!I163,booking!H163&gt;0),"udc","-")</f>
        <v>-</v>
      </c>
      <c r="I163" s="51" t="str">
        <f>IFERROR(IF(AND(booking!AB163&gt;0,booking!H163&lt;&gt;booking!I163),VLOOKUP(booking!I163,Database!$A$1:'Database'!$L$175,6,FALSE),"-"),"-")</f>
        <v>-</v>
      </c>
      <c r="J163" s="51" t="str">
        <f>IFERROR(IF(AND(booking!AB163&gt;0,booking!H163&lt;&gt;booking!I163),VLOOKUP(booking!I163,Database!$A$1:'Database'!$L$175,9,FALSE),"-"),"-")</f>
        <v>-</v>
      </c>
      <c r="K163" s="55" t="str">
        <f>IF(AND(booking!L163&lt;&gt;booking!M163,booking!L163&gt;0),"udc","-")</f>
        <v>-</v>
      </c>
      <c r="L163" s="51" t="str">
        <f>IFERROR(IF(AND(booking!AB163&gt;0,booking!L163&lt;&gt;booking!M163),VLOOKUP(booking!M163,Database!$A$1:'Database'!$L$175,6,FALSE),"-"),"-")</f>
        <v>-</v>
      </c>
      <c r="M163" s="51" t="str">
        <f>IFERROR(IF(AND(booking!AB163&gt;0,booking!L163&lt;&gt;booking!M163),VLOOKUP(booking!M163,Database!A162:'Database'!L336,9,FALSE),"-"),"-")</f>
        <v>-</v>
      </c>
      <c r="N163" s="55" t="str">
        <f>IF(AND(booking!P163&lt;&gt;booking!Q163,booking!P163&gt;0),"udc","-")</f>
        <v>-</v>
      </c>
      <c r="O163" s="51" t="str">
        <f>IFERROR(IF(AND(booking!AB163&gt;0,booking!P163&lt;&gt;booking!Q163),VLOOKUP(booking!Q163,Database!$A$1:'Database'!$L$175,6,FALSE),"-"),"-")</f>
        <v>-</v>
      </c>
      <c r="P163" s="51" t="str">
        <f>IFERROR(IF(AND(booking!AB163&gt;0,booking!P163&lt;&gt;booking!Q163),VLOOKUP(booking!Q163,Database!$A$1:'Database'!$L$175,9,FALSE),"-"),"-")</f>
        <v>-</v>
      </c>
      <c r="Q163" s="55" t="str">
        <f>IF(AND(booking!T163&lt;&gt;booking!U163,booking!T163&gt;0),"udc","-")</f>
        <v>-</v>
      </c>
      <c r="R163" s="51" t="str">
        <f>IFERROR(IF(AND(booking!AB163&gt;0,booking!T163&lt;&gt;booking!U163),VLOOKUP(booking!U163,Database!$A$1:'Database'!$L$175,6,FALSE),"-"),"-")</f>
        <v>-</v>
      </c>
      <c r="S163" s="51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6">
        <f>booking!C164</f>
        <v>46665</v>
      </c>
      <c r="D164" s="2" t="str">
        <f>IF(booking!AC164&gt;0,"Y","-")</f>
        <v>-</v>
      </c>
      <c r="E164" s="55" t="str">
        <f>IF(AND(booking!D164&lt;&gt;booking!E164,booking!D164&gt;0),"udc","-")</f>
        <v>-</v>
      </c>
      <c r="F164" s="51" t="str">
        <f>IFERROR(IF(AND(booking!AB164&gt;0,booking!D164&lt;&gt;booking!E164),VLOOKUP(booking!E164,Database!$A$1:'Database'!$L$175,6,FALSE),"-"),"-")</f>
        <v>-</v>
      </c>
      <c r="G164" s="51" t="str">
        <f>IFERROR(IF(AND(booking!AB164&gt;0,booking!D164&lt;&gt;booking!E164),VLOOKUP(booking!E164,Database!$A$1:'Database'!$L$175,9,FALSE),"-"),"-")</f>
        <v>-</v>
      </c>
      <c r="H164" s="55" t="str">
        <f>IF(AND(booking!H164&lt;&gt;booking!I164,booking!H164&gt;0),"udc","-")</f>
        <v>-</v>
      </c>
      <c r="I164" s="51" t="str">
        <f>IFERROR(IF(AND(booking!AB164&gt;0,booking!H164&lt;&gt;booking!I164),VLOOKUP(booking!I164,Database!$A$1:'Database'!$L$175,6,FALSE),"-"),"-")</f>
        <v>-</v>
      </c>
      <c r="J164" s="51" t="str">
        <f>IFERROR(IF(AND(booking!AB164&gt;0,booking!H164&lt;&gt;booking!I164),VLOOKUP(booking!I164,Database!$A$1:'Database'!$L$175,9,FALSE),"-"),"-")</f>
        <v>-</v>
      </c>
      <c r="K164" s="55" t="str">
        <f>IF(AND(booking!L164&lt;&gt;booking!M164,booking!L164&gt;0),"udc","-")</f>
        <v>-</v>
      </c>
      <c r="L164" s="51" t="str">
        <f>IFERROR(IF(AND(booking!AB164&gt;0,booking!L164&lt;&gt;booking!M164),VLOOKUP(booking!M164,Database!$A$1:'Database'!$L$175,6,FALSE),"-"),"-")</f>
        <v>-</v>
      </c>
      <c r="M164" s="51" t="str">
        <f>IFERROR(IF(AND(booking!AB164&gt;0,booking!L164&lt;&gt;booking!M164),VLOOKUP(booking!M164,Database!A163:'Database'!L337,9,FALSE),"-"),"-")</f>
        <v>-</v>
      </c>
      <c r="N164" s="55" t="str">
        <f>IF(AND(booking!P164&lt;&gt;booking!Q164,booking!P164&gt;0),"udc","-")</f>
        <v>-</v>
      </c>
      <c r="O164" s="51" t="str">
        <f>IFERROR(IF(AND(booking!AB164&gt;0,booking!P164&lt;&gt;booking!Q164),VLOOKUP(booking!Q164,Database!$A$1:'Database'!$L$175,6,FALSE),"-"),"-")</f>
        <v>-</v>
      </c>
      <c r="P164" s="51" t="str">
        <f>IFERROR(IF(AND(booking!AB164&gt;0,booking!P164&lt;&gt;booking!Q164),VLOOKUP(booking!Q164,Database!$A$1:'Database'!$L$175,9,FALSE),"-"),"-")</f>
        <v>-</v>
      </c>
      <c r="Q164" s="55" t="str">
        <f>IF(AND(booking!T164&lt;&gt;booking!U164,booking!T164&gt;0),"udc","-")</f>
        <v>-</v>
      </c>
      <c r="R164" s="51" t="str">
        <f>IFERROR(IF(AND(booking!AB164&gt;0,booking!T164&lt;&gt;booking!U164),VLOOKUP(booking!U164,Database!$A$1:'Database'!$L$175,6,FALSE),"-"),"-")</f>
        <v>-</v>
      </c>
      <c r="S164" s="51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6">
        <f>booking!C165</f>
        <v>46666</v>
      </c>
      <c r="D165" s="2" t="str">
        <f>IF(booking!AC165&gt;0,"Y","-")</f>
        <v>-</v>
      </c>
      <c r="E165" s="55" t="str">
        <f>IF(AND(booking!D165&lt;&gt;booking!E165,booking!D165&gt;0),"udc","-")</f>
        <v>-</v>
      </c>
      <c r="F165" s="51" t="str">
        <f>IFERROR(IF(AND(booking!AB165&gt;0,booking!D165&lt;&gt;booking!E165),VLOOKUP(booking!E165,Database!$A$1:'Database'!$L$175,6,FALSE),"-"),"-")</f>
        <v>-</v>
      </c>
      <c r="G165" s="51" t="str">
        <f>IFERROR(IF(AND(booking!AB165&gt;0,booking!D165&lt;&gt;booking!E165),VLOOKUP(booking!E165,Database!$A$1:'Database'!$L$175,9,FALSE),"-"),"-")</f>
        <v>-</v>
      </c>
      <c r="H165" s="55" t="str">
        <f>IF(AND(booking!H165&lt;&gt;booking!I165,booking!H165&gt;0),"udc","-")</f>
        <v>-</v>
      </c>
      <c r="I165" s="51" t="str">
        <f>IFERROR(IF(AND(booking!AB165&gt;0,booking!H165&lt;&gt;booking!I165),VLOOKUP(booking!I165,Database!$A$1:'Database'!$L$175,6,FALSE),"-"),"-")</f>
        <v>-</v>
      </c>
      <c r="J165" s="51" t="str">
        <f>IFERROR(IF(AND(booking!AB165&gt;0,booking!H165&lt;&gt;booking!I165),VLOOKUP(booking!I165,Database!$A$1:'Database'!$L$175,9,FALSE),"-"),"-")</f>
        <v>-</v>
      </c>
      <c r="K165" s="55" t="str">
        <f>IF(AND(booking!L165&lt;&gt;booking!M165,booking!L165&gt;0),"udc","-")</f>
        <v>-</v>
      </c>
      <c r="L165" s="51" t="str">
        <f>IFERROR(IF(AND(booking!AB165&gt;0,booking!L165&lt;&gt;booking!M165),VLOOKUP(booking!M165,Database!$A$1:'Database'!$L$175,6,FALSE),"-"),"-")</f>
        <v>-</v>
      </c>
      <c r="M165" s="51" t="str">
        <f>IFERROR(IF(AND(booking!AB165&gt;0,booking!L165&lt;&gt;booking!M165),VLOOKUP(booking!M165,Database!A164:'Database'!L338,9,FALSE),"-"),"-")</f>
        <v>-</v>
      </c>
      <c r="N165" s="55" t="str">
        <f>IF(AND(booking!P165&lt;&gt;booking!Q165,booking!P165&gt;0),"udc","-")</f>
        <v>-</v>
      </c>
      <c r="O165" s="51" t="str">
        <f>IFERROR(IF(AND(booking!AB165&gt;0,booking!P165&lt;&gt;booking!Q165),VLOOKUP(booking!Q165,Database!$A$1:'Database'!$L$175,6,FALSE),"-"),"-")</f>
        <v>-</v>
      </c>
      <c r="P165" s="51" t="str">
        <f>IFERROR(IF(AND(booking!AB165&gt;0,booking!P165&lt;&gt;booking!Q165),VLOOKUP(booking!Q165,Database!$A$1:'Database'!$L$175,9,FALSE),"-"),"-")</f>
        <v>-</v>
      </c>
      <c r="Q165" s="55" t="str">
        <f>IF(AND(booking!T165&lt;&gt;booking!U165,booking!T165&gt;0),"udc","-")</f>
        <v>-</v>
      </c>
      <c r="R165" s="51" t="str">
        <f>IFERROR(IF(AND(booking!AB165&gt;0,booking!T165&lt;&gt;booking!U165),VLOOKUP(booking!U165,Database!$A$1:'Database'!$L$175,6,FALSE),"-"),"-")</f>
        <v>-</v>
      </c>
      <c r="S165" s="51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6">
        <f>booking!C166</f>
        <v>46667</v>
      </c>
      <c r="D166" s="2" t="str">
        <f>IF(booking!AC166&gt;0,"Y","-")</f>
        <v>-</v>
      </c>
      <c r="E166" s="55" t="str">
        <f>IF(AND(booking!D166&lt;&gt;booking!E166,booking!D166&gt;0),"udc","-")</f>
        <v>-</v>
      </c>
      <c r="F166" s="51" t="str">
        <f>IFERROR(IF(AND(booking!AB166&gt;0,booking!D166&lt;&gt;booking!E166),VLOOKUP(booking!E166,Database!$A$1:'Database'!$L$175,6,FALSE),"-"),"-")</f>
        <v>-</v>
      </c>
      <c r="G166" s="51" t="str">
        <f>IFERROR(IF(AND(booking!AB166&gt;0,booking!D166&lt;&gt;booking!E166),VLOOKUP(booking!E166,Database!$A$1:'Database'!$L$175,9,FALSE),"-"),"-")</f>
        <v>-</v>
      </c>
      <c r="H166" s="55" t="str">
        <f>IF(AND(booking!H166&lt;&gt;booking!I166,booking!H166&gt;0),"udc","-")</f>
        <v>-</v>
      </c>
      <c r="I166" s="51" t="str">
        <f>IFERROR(IF(AND(booking!AB166&gt;0,booking!H166&lt;&gt;booking!I166),VLOOKUP(booking!I166,Database!$A$1:'Database'!$L$175,6,FALSE),"-"),"-")</f>
        <v>-</v>
      </c>
      <c r="J166" s="51" t="str">
        <f>IFERROR(IF(AND(booking!AB166&gt;0,booking!H166&lt;&gt;booking!I166),VLOOKUP(booking!I166,Database!$A$1:'Database'!$L$175,9,FALSE),"-"),"-")</f>
        <v>-</v>
      </c>
      <c r="K166" s="55" t="str">
        <f>IF(AND(booking!L166&lt;&gt;booking!M166,booking!L166&gt;0),"udc","-")</f>
        <v>-</v>
      </c>
      <c r="L166" s="51" t="str">
        <f>IFERROR(IF(AND(booking!AB166&gt;0,booking!L166&lt;&gt;booking!M166),VLOOKUP(booking!M166,Database!$A$1:'Database'!$L$175,6,FALSE),"-"),"-")</f>
        <v>-</v>
      </c>
      <c r="M166" s="51" t="str">
        <f>IFERROR(IF(AND(booking!AB166&gt;0,booking!L166&lt;&gt;booking!M166),VLOOKUP(booking!M166,Database!A165:'Database'!L339,9,FALSE),"-"),"-")</f>
        <v>-</v>
      </c>
      <c r="N166" s="55" t="str">
        <f>IF(AND(booking!P166&lt;&gt;booking!Q166,booking!P166&gt;0),"udc","-")</f>
        <v>-</v>
      </c>
      <c r="O166" s="51" t="str">
        <f>IFERROR(IF(AND(booking!AB166&gt;0,booking!P166&lt;&gt;booking!Q166),VLOOKUP(booking!Q166,Database!$A$1:'Database'!$L$175,6,FALSE),"-"),"-")</f>
        <v>-</v>
      </c>
      <c r="P166" s="51" t="str">
        <f>IFERROR(IF(AND(booking!AB166&gt;0,booking!P166&lt;&gt;booking!Q166),VLOOKUP(booking!Q166,Database!$A$1:'Database'!$L$175,9,FALSE),"-"),"-")</f>
        <v>-</v>
      </c>
      <c r="Q166" s="55" t="str">
        <f>IF(AND(booking!T166&lt;&gt;booking!U166,booking!T166&gt;0),"udc","-")</f>
        <v>-</v>
      </c>
      <c r="R166" s="51" t="str">
        <f>IFERROR(IF(AND(booking!AB166&gt;0,booking!T166&lt;&gt;booking!U166),VLOOKUP(booking!U166,Database!$A$1:'Database'!$L$175,6,FALSE),"-"),"-")</f>
        <v>-</v>
      </c>
      <c r="S166" s="51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6">
        <f>booking!C167</f>
        <v>46668</v>
      </c>
      <c r="D167" s="2" t="str">
        <f>IF(booking!AC167&gt;0,"Y","-")</f>
        <v>-</v>
      </c>
      <c r="E167" s="55" t="str">
        <f>IF(AND(booking!D167&lt;&gt;booking!E167,booking!D167&gt;0),"udc","-")</f>
        <v>-</v>
      </c>
      <c r="F167" s="51" t="str">
        <f>IFERROR(IF(AND(booking!AB167&gt;0,booking!D167&lt;&gt;booking!E167),VLOOKUP(booking!E167,Database!$A$1:'Database'!$L$175,6,FALSE),"-"),"-")</f>
        <v>-</v>
      </c>
      <c r="G167" s="51" t="str">
        <f>IFERROR(IF(AND(booking!AB167&gt;0,booking!D167&lt;&gt;booking!E167),VLOOKUP(booking!E167,Database!$A$1:'Database'!$L$175,9,FALSE),"-"),"-")</f>
        <v>-</v>
      </c>
      <c r="H167" s="55" t="str">
        <f>IF(AND(booking!H167&lt;&gt;booking!I167,booking!H167&gt;0),"udc","-")</f>
        <v>-</v>
      </c>
      <c r="I167" s="51" t="str">
        <f>IFERROR(IF(AND(booking!AB167&gt;0,booking!H167&lt;&gt;booking!I167),VLOOKUP(booking!I167,Database!$A$1:'Database'!$L$175,6,FALSE),"-"),"-")</f>
        <v>-</v>
      </c>
      <c r="J167" s="51" t="str">
        <f>IFERROR(IF(AND(booking!AB167&gt;0,booking!H167&lt;&gt;booking!I167),VLOOKUP(booking!I167,Database!$A$1:'Database'!$L$175,9,FALSE),"-"),"-")</f>
        <v>-</v>
      </c>
      <c r="K167" s="55" t="str">
        <f>IF(AND(booking!L167&lt;&gt;booking!M167,booking!L167&gt;0),"udc","-")</f>
        <v>-</v>
      </c>
      <c r="L167" s="51" t="str">
        <f>IFERROR(IF(AND(booking!AB167&gt;0,booking!L167&lt;&gt;booking!M167),VLOOKUP(booking!M167,Database!$A$1:'Database'!$L$175,6,FALSE),"-"),"-")</f>
        <v>-</v>
      </c>
      <c r="M167" s="51" t="str">
        <f>IFERROR(IF(AND(booking!AB167&gt;0,booking!L167&lt;&gt;booking!M167),VLOOKUP(booking!M167,Database!A166:'Database'!L340,9,FALSE),"-"),"-")</f>
        <v>-</v>
      </c>
      <c r="N167" s="55" t="str">
        <f>IF(AND(booking!P167&lt;&gt;booking!Q167,booking!P167&gt;0),"udc","-")</f>
        <v>-</v>
      </c>
      <c r="O167" s="51" t="str">
        <f>IFERROR(IF(AND(booking!AB167&gt;0,booking!P167&lt;&gt;booking!Q167),VLOOKUP(booking!Q167,Database!$A$1:'Database'!$L$175,6,FALSE),"-"),"-")</f>
        <v>-</v>
      </c>
      <c r="P167" s="51" t="str">
        <f>IFERROR(IF(AND(booking!AB167&gt;0,booking!P167&lt;&gt;booking!Q167),VLOOKUP(booking!Q167,Database!$A$1:'Database'!$L$175,9,FALSE),"-"),"-")</f>
        <v>-</v>
      </c>
      <c r="Q167" s="55" t="str">
        <f>IF(AND(booking!T167&lt;&gt;booking!U167,booking!T167&gt;0),"udc","-")</f>
        <v>-</v>
      </c>
      <c r="R167" s="51" t="str">
        <f>IFERROR(IF(AND(booking!AB167&gt;0,booking!T167&lt;&gt;booking!U167),VLOOKUP(booking!U167,Database!$A$1:'Database'!$L$175,6,FALSE),"-"),"-")</f>
        <v>-</v>
      </c>
      <c r="S167" s="51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6">
        <f>booking!C168</f>
        <v>46669</v>
      </c>
      <c r="D168" s="2" t="str">
        <f>IF(booking!AC168&gt;0,"Y","-")</f>
        <v>-</v>
      </c>
      <c r="E168" s="55" t="str">
        <f>IF(AND(booking!D168&lt;&gt;booking!E168,booking!D168&gt;0),"udc","-")</f>
        <v>-</v>
      </c>
      <c r="F168" s="51" t="str">
        <f>IFERROR(IF(AND(booking!AB168&gt;0,booking!D168&lt;&gt;booking!E168),VLOOKUP(booking!E168,Database!$A$1:'Database'!$L$175,6,FALSE),"-"),"-")</f>
        <v>-</v>
      </c>
      <c r="G168" s="51" t="str">
        <f>IFERROR(IF(AND(booking!AB168&gt;0,booking!D168&lt;&gt;booking!E168),VLOOKUP(booking!E168,Database!$A$1:'Database'!$L$175,9,FALSE),"-"),"-")</f>
        <v>-</v>
      </c>
      <c r="H168" s="55" t="str">
        <f>IF(AND(booking!H168&lt;&gt;booking!I168,booking!H168&gt;0),"udc","-")</f>
        <v>-</v>
      </c>
      <c r="I168" s="51" t="str">
        <f>IFERROR(IF(AND(booking!AB168&gt;0,booking!H168&lt;&gt;booking!I168),VLOOKUP(booking!I168,Database!$A$1:'Database'!$L$175,6,FALSE),"-"),"-")</f>
        <v>-</v>
      </c>
      <c r="J168" s="51" t="str">
        <f>IFERROR(IF(AND(booking!AB168&gt;0,booking!H168&lt;&gt;booking!I168),VLOOKUP(booking!I168,Database!$A$1:'Database'!$L$175,9,FALSE),"-"),"-")</f>
        <v>-</v>
      </c>
      <c r="K168" s="55" t="str">
        <f>IF(AND(booking!L168&lt;&gt;booking!M168,booking!L168&gt;0),"udc","-")</f>
        <v>-</v>
      </c>
      <c r="L168" s="51" t="str">
        <f>IFERROR(IF(AND(booking!AB168&gt;0,booking!L168&lt;&gt;booking!M168),VLOOKUP(booking!M168,Database!$A$1:'Database'!$L$175,6,FALSE),"-"),"-")</f>
        <v>-</v>
      </c>
      <c r="M168" s="51" t="str">
        <f>IFERROR(IF(AND(booking!AB168&gt;0,booking!L168&lt;&gt;booking!M168),VLOOKUP(booking!M168,Database!A167:'Database'!L341,9,FALSE),"-"),"-")</f>
        <v>-</v>
      </c>
      <c r="N168" s="55" t="str">
        <f>IF(AND(booking!P168&lt;&gt;booking!Q168,booking!P168&gt;0),"udc","-")</f>
        <v>-</v>
      </c>
      <c r="O168" s="51" t="str">
        <f>IFERROR(IF(AND(booking!AB168&gt;0,booking!P168&lt;&gt;booking!Q168),VLOOKUP(booking!Q168,Database!$A$1:'Database'!$L$175,6,FALSE),"-"),"-")</f>
        <v>-</v>
      </c>
      <c r="P168" s="51" t="str">
        <f>IFERROR(IF(AND(booking!AB168&gt;0,booking!P168&lt;&gt;booking!Q168),VLOOKUP(booking!Q168,Database!$A$1:'Database'!$L$175,9,FALSE),"-"),"-")</f>
        <v>-</v>
      </c>
      <c r="Q168" s="55" t="str">
        <f>IF(AND(booking!T168&lt;&gt;booking!U168,booking!T168&gt;0),"udc","-")</f>
        <v>-</v>
      </c>
      <c r="R168" s="51" t="str">
        <f>IFERROR(IF(AND(booking!AB168&gt;0,booking!T168&lt;&gt;booking!U168),VLOOKUP(booking!U168,Database!$A$1:'Database'!$L$175,6,FALSE),"-"),"-")</f>
        <v>-</v>
      </c>
      <c r="S168" s="51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6">
        <f>booking!C169</f>
        <v>46670</v>
      </c>
      <c r="D169" s="2" t="str">
        <f>IF(booking!AC169&gt;0,"Y","-")</f>
        <v>-</v>
      </c>
      <c r="E169" s="55" t="str">
        <f>IF(AND(booking!D169&lt;&gt;booking!E169,booking!D169&gt;0),"udc","-")</f>
        <v>-</v>
      </c>
      <c r="F169" s="51" t="str">
        <f>IFERROR(IF(AND(booking!AB169&gt;0,booking!D169&lt;&gt;booking!E169),VLOOKUP(booking!E169,Database!$A$1:'Database'!$L$175,6,FALSE),"-"),"-")</f>
        <v>-</v>
      </c>
      <c r="G169" s="51" t="str">
        <f>IFERROR(IF(AND(booking!AB169&gt;0,booking!D169&lt;&gt;booking!E169),VLOOKUP(booking!E169,Database!$A$1:'Database'!$L$175,9,FALSE),"-"),"-")</f>
        <v>-</v>
      </c>
      <c r="H169" s="55" t="str">
        <f>IF(AND(booking!H169&lt;&gt;booking!I169,booking!H169&gt;0),"udc","-")</f>
        <v>-</v>
      </c>
      <c r="I169" s="51" t="str">
        <f>IFERROR(IF(AND(booking!AB169&gt;0,booking!H169&lt;&gt;booking!I169),VLOOKUP(booking!I169,Database!$A$1:'Database'!$L$175,6,FALSE),"-"),"-")</f>
        <v>-</v>
      </c>
      <c r="J169" s="51" t="str">
        <f>IFERROR(IF(AND(booking!AB169&gt;0,booking!H169&lt;&gt;booking!I169),VLOOKUP(booking!I169,Database!$A$1:'Database'!$L$175,9,FALSE),"-"),"-")</f>
        <v>-</v>
      </c>
      <c r="K169" s="55" t="str">
        <f>IF(AND(booking!L169&lt;&gt;booking!M169,booking!L169&gt;0),"udc","-")</f>
        <v>-</v>
      </c>
      <c r="L169" s="51" t="str">
        <f>IFERROR(IF(AND(booking!AB169&gt;0,booking!L169&lt;&gt;booking!M169),VLOOKUP(booking!M169,Database!$A$1:'Database'!$L$175,6,FALSE),"-"),"-")</f>
        <v>-</v>
      </c>
      <c r="M169" s="51" t="str">
        <f>IFERROR(IF(AND(booking!AB169&gt;0,booking!L169&lt;&gt;booking!M169),VLOOKUP(booking!M169,Database!A168:'Database'!L342,9,FALSE),"-"),"-")</f>
        <v>-</v>
      </c>
      <c r="N169" s="55" t="str">
        <f>IF(AND(booking!P169&lt;&gt;booking!Q169,booking!P169&gt;0),"udc","-")</f>
        <v>-</v>
      </c>
      <c r="O169" s="51" t="str">
        <f>IFERROR(IF(AND(booking!AB169&gt;0,booking!P169&lt;&gt;booking!Q169),VLOOKUP(booking!Q169,Database!$A$1:'Database'!$L$175,6,FALSE),"-"),"-")</f>
        <v>-</v>
      </c>
      <c r="P169" s="51" t="str">
        <f>IFERROR(IF(AND(booking!AB169&gt;0,booking!P169&lt;&gt;booking!Q169),VLOOKUP(booking!Q169,Database!$A$1:'Database'!$L$175,9,FALSE),"-"),"-")</f>
        <v>-</v>
      </c>
      <c r="Q169" s="55" t="str">
        <f>IF(AND(booking!T169&lt;&gt;booking!U169,booking!T169&gt;0),"udc","-")</f>
        <v>-</v>
      </c>
      <c r="R169" s="51" t="str">
        <f>IFERROR(IF(AND(booking!AB169&gt;0,booking!T169&lt;&gt;booking!U169),VLOOKUP(booking!U169,Database!$A$1:'Database'!$L$175,6,FALSE),"-"),"-")</f>
        <v>-</v>
      </c>
      <c r="S169" s="51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6">
        <f>booking!C170</f>
        <v>46671</v>
      </c>
      <c r="D170" s="2" t="str">
        <f>IF(booking!AC170&gt;0,"Y","-")</f>
        <v>-</v>
      </c>
      <c r="E170" s="55" t="str">
        <f>IF(AND(booking!D170&lt;&gt;booking!E170,booking!D170&gt;0),"udc","-")</f>
        <v>-</v>
      </c>
      <c r="F170" s="51" t="str">
        <f>IFERROR(IF(AND(booking!AB170&gt;0,booking!D170&lt;&gt;booking!E170),VLOOKUP(booking!E170,Database!$A$1:'Database'!$L$175,6,FALSE),"-"),"-")</f>
        <v>-</v>
      </c>
      <c r="G170" s="51" t="str">
        <f>IFERROR(IF(AND(booking!AB170&gt;0,booking!D170&lt;&gt;booking!E170),VLOOKUP(booking!E170,Database!$A$1:'Database'!$L$175,9,FALSE),"-"),"-")</f>
        <v>-</v>
      </c>
      <c r="H170" s="55" t="str">
        <f>IF(AND(booking!H170&lt;&gt;booking!I170,booking!H170&gt;0),"udc","-")</f>
        <v>-</v>
      </c>
      <c r="I170" s="51" t="str">
        <f>IFERROR(IF(AND(booking!AB170&gt;0,booking!H170&lt;&gt;booking!I170),VLOOKUP(booking!I170,Database!$A$1:'Database'!$L$175,6,FALSE),"-"),"-")</f>
        <v>-</v>
      </c>
      <c r="J170" s="51" t="str">
        <f>IFERROR(IF(AND(booking!AB170&gt;0,booking!H170&lt;&gt;booking!I170),VLOOKUP(booking!I170,Database!$A$1:'Database'!$L$175,9,FALSE),"-"),"-")</f>
        <v>-</v>
      </c>
      <c r="K170" s="55" t="str">
        <f>IF(AND(booking!L170&lt;&gt;booking!M170,booking!L170&gt;0),"udc","-")</f>
        <v>-</v>
      </c>
      <c r="L170" s="51" t="str">
        <f>IFERROR(IF(AND(booking!AB170&gt;0,booking!L170&lt;&gt;booking!M170),VLOOKUP(booking!M170,Database!$A$1:'Database'!$L$175,6,FALSE),"-"),"-")</f>
        <v>-</v>
      </c>
      <c r="M170" s="51" t="str">
        <f>IFERROR(IF(AND(booking!AB170&gt;0,booking!L170&lt;&gt;booking!M170),VLOOKUP(booking!M170,Database!A169:'Database'!L343,9,FALSE),"-"),"-")</f>
        <v>-</v>
      </c>
      <c r="N170" s="55" t="str">
        <f>IF(AND(booking!P170&lt;&gt;booking!Q170,booking!P170&gt;0),"udc","-")</f>
        <v>-</v>
      </c>
      <c r="O170" s="51" t="str">
        <f>IFERROR(IF(AND(booking!AB170&gt;0,booking!P170&lt;&gt;booking!Q170),VLOOKUP(booking!Q170,Database!$A$1:'Database'!$L$175,6,FALSE),"-"),"-")</f>
        <v>-</v>
      </c>
      <c r="P170" s="51" t="str">
        <f>IFERROR(IF(AND(booking!AB170&gt;0,booking!P170&lt;&gt;booking!Q170),VLOOKUP(booking!Q170,Database!$A$1:'Database'!$L$175,9,FALSE),"-"),"-")</f>
        <v>-</v>
      </c>
      <c r="Q170" s="55" t="str">
        <f>IF(AND(booking!T170&lt;&gt;booking!U170,booking!T170&gt;0),"udc","-")</f>
        <v>-</v>
      </c>
      <c r="R170" s="51" t="str">
        <f>IFERROR(IF(AND(booking!AB170&gt;0,booking!T170&lt;&gt;booking!U170),VLOOKUP(booking!U170,Database!$A$1:'Database'!$L$175,6,FALSE),"-"),"-")</f>
        <v>-</v>
      </c>
      <c r="S170" s="51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6">
        <f>booking!C171</f>
        <v>46672</v>
      </c>
      <c r="D171" s="2" t="str">
        <f>IF(booking!AC171&gt;0,"Y","-")</f>
        <v>-</v>
      </c>
      <c r="E171" s="55" t="str">
        <f>IF(AND(D171="Y",booking!D171&lt;&gt;booking!E171),"udc","-")</f>
        <v>-</v>
      </c>
      <c r="F171" s="51" t="str">
        <f>IFERROR(IF(AND(booking!AB171&gt;0,booking!D171&lt;&gt;booking!E171),VLOOKUP(booking!E171,Database!$A$1:'Database'!$L$175,6,FALSE),"-"),"-")</f>
        <v>-</v>
      </c>
      <c r="G171" s="51" t="str">
        <f>IFERROR(IF(AND(booking!AB171&gt;0,booking!D171&lt;&gt;booking!E171),VLOOKUP(booking!E171,Database!$A$1:'Database'!$L$175,9,FALSE),"-"),"-")</f>
        <v>-</v>
      </c>
      <c r="H171" s="55" t="str">
        <f>IF(AND(booking!H171&lt;&gt;booking!I171,booking!H171&gt;0),"udc","-")</f>
        <v>-</v>
      </c>
      <c r="I171" s="51" t="str">
        <f>IFERROR(IF(AND(booking!AB171&gt;0,booking!H171&lt;&gt;booking!I171),VLOOKUP(booking!I171,Database!$A$1:'Database'!$L$175,6,FALSE),"-"),"-")</f>
        <v>-</v>
      </c>
      <c r="J171" s="51" t="str">
        <f>IFERROR(IF(AND(booking!AB171&gt;0,booking!H171&lt;&gt;booking!I171),VLOOKUP(booking!I171,Database!$A$1:'Database'!$L$175,9,FALSE),"-"),"-")</f>
        <v>-</v>
      </c>
      <c r="K171" s="55" t="str">
        <f>IF(AND(booking!L171&lt;&gt;booking!M171,booking!L171&gt;0),"udc","-")</f>
        <v>-</v>
      </c>
      <c r="L171" s="51" t="str">
        <f>IFERROR(IF(AND(booking!AB171&gt;0,booking!L171&lt;&gt;booking!M171),VLOOKUP(booking!M171,Database!$A$1:'Database'!$L$175,6,FALSE),"-"),"-")</f>
        <v>-</v>
      </c>
      <c r="M171" s="51" t="str">
        <f>IFERROR(IF(AND(booking!AB171&gt;0,booking!L171&lt;&gt;booking!M171),VLOOKUP(booking!M171,Database!A170:'Database'!L344,9,FALSE),"-"),"-")</f>
        <v>-</v>
      </c>
      <c r="N171" s="55" t="str">
        <f>IF(AND(booking!P171&lt;&gt;booking!Q171,booking!P171&gt;0),"udc","-")</f>
        <v>-</v>
      </c>
      <c r="O171" s="51" t="str">
        <f>IFERROR(IF(AND(booking!AB171&gt;0,booking!P171&lt;&gt;booking!Q171),VLOOKUP(booking!Q171,Database!$A$1:'Database'!$L$175,6,FALSE),"-"),"-")</f>
        <v>-</v>
      </c>
      <c r="P171" s="51" t="str">
        <f>IFERROR(IF(AND(booking!AB171&gt;0,booking!P171&lt;&gt;booking!Q171),VLOOKUP(booking!Q171,Database!$A$1:'Database'!$L$175,9,FALSE),"-"),"-")</f>
        <v>-</v>
      </c>
      <c r="Q171" s="55" t="str">
        <f>IF(AND(booking!T171&lt;&gt;booking!U171,booking!T171&gt;0),"udc","-")</f>
        <v>-</v>
      </c>
      <c r="R171" s="51" t="str">
        <f>IFERROR(IF(AND(booking!AB171&gt;0,booking!T171&lt;&gt;booking!U171),VLOOKUP(booking!U171,Database!$A$1:'Database'!$L$175,6,FALSE),"-"),"-")</f>
        <v>-</v>
      </c>
      <c r="S171" s="51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7.453125" bestFit="1" customWidth="1"/>
    <col min="2" max="2" width="8.08984375" style="26" bestFit="1" customWidth="1"/>
    <col min="3" max="3" width="2.7265625" customWidth="1"/>
    <col min="4" max="4" width="3.1796875" style="2" bestFit="1" customWidth="1"/>
    <col min="5" max="5" width="3.6328125" style="2" bestFit="1" customWidth="1"/>
    <col min="6" max="8" width="5.6328125" style="80" bestFit="1" customWidth="1"/>
    <col min="9" max="9" width="5.453125" bestFit="1" customWidth="1"/>
    <col min="10" max="10" width="3.6328125" bestFit="1" customWidth="1"/>
    <col min="11" max="13" width="5.6328125" style="80" bestFit="1" customWidth="1"/>
    <col min="14" max="14" width="5.453125" bestFit="1" customWidth="1"/>
    <col min="15" max="15" width="3.6328125" bestFit="1" customWidth="1"/>
    <col min="16" max="18" width="5.6328125" style="80" bestFit="1" customWidth="1"/>
    <col min="19" max="19" width="5.453125" bestFit="1" customWidth="1"/>
    <col min="20" max="20" width="3.6328125" style="79" bestFit="1" customWidth="1"/>
    <col min="21" max="23" width="5.6328125" style="80" bestFit="1" customWidth="1"/>
    <col min="24" max="24" width="6" bestFit="1" customWidth="1"/>
    <col min="25" max="25" width="3.6328125" bestFit="1" customWidth="1"/>
    <col min="26" max="28" width="5.6328125" style="80" bestFit="1" customWidth="1"/>
    <col min="29" max="29" width="6" bestFit="1" customWidth="1"/>
  </cols>
  <sheetData>
    <row r="1" spans="1:29" ht="20.149999999999999" customHeight="1" thickBot="1" x14ac:dyDescent="0.4">
      <c r="A1" s="81" t="str">
        <f>rengøring!A1</f>
        <v>dag</v>
      </c>
      <c r="B1" s="82" t="s">
        <v>116</v>
      </c>
      <c r="C1" s="81"/>
      <c r="D1" s="83" t="s">
        <v>160</v>
      </c>
      <c r="E1" s="81" t="s">
        <v>161</v>
      </c>
      <c r="F1" s="84" t="s">
        <v>162</v>
      </c>
      <c r="G1" s="84" t="s">
        <v>163</v>
      </c>
      <c r="H1" s="84" t="s">
        <v>164</v>
      </c>
      <c r="I1" s="81" t="s">
        <v>165</v>
      </c>
      <c r="J1" s="81" t="s">
        <v>166</v>
      </c>
      <c r="K1" s="84" t="s">
        <v>167</v>
      </c>
      <c r="L1" s="84" t="s">
        <v>168</v>
      </c>
      <c r="M1" s="84" t="s">
        <v>169</v>
      </c>
      <c r="N1" s="81" t="s">
        <v>170</v>
      </c>
      <c r="O1" s="81" t="s">
        <v>171</v>
      </c>
      <c r="P1" s="84" t="s">
        <v>172</v>
      </c>
      <c r="Q1" s="84" t="s">
        <v>173</v>
      </c>
      <c r="R1" s="84" t="s">
        <v>173</v>
      </c>
      <c r="S1" s="81" t="s">
        <v>183</v>
      </c>
      <c r="T1" s="85" t="s">
        <v>174</v>
      </c>
      <c r="U1" s="84" t="s">
        <v>175</v>
      </c>
      <c r="V1" s="84" t="s">
        <v>176</v>
      </c>
      <c r="W1" s="84" t="s">
        <v>177</v>
      </c>
      <c r="X1" s="81" t="s">
        <v>184</v>
      </c>
      <c r="Y1" s="81" t="s">
        <v>178</v>
      </c>
      <c r="Z1" s="84" t="s">
        <v>179</v>
      </c>
      <c r="AA1" s="84" t="s">
        <v>180</v>
      </c>
      <c r="AB1" s="84" t="s">
        <v>181</v>
      </c>
      <c r="AC1" s="81" t="s">
        <v>182</v>
      </c>
    </row>
    <row r="2" spans="1:29" ht="15" customHeight="1" thickBot="1" x14ac:dyDescent="0.4">
      <c r="A2" s="92" t="str">
        <f>rengøring!A2</f>
        <v>mandag</v>
      </c>
      <c r="B2" s="93">
        <v>46503</v>
      </c>
      <c r="C2" s="93"/>
      <c r="D2" s="94" t="str">
        <f>IF(booking!AB2&gt;0,"Y","-")</f>
        <v>-</v>
      </c>
      <c r="E2" s="102" t="str">
        <f>IF(AND(D2="Y",booking!D2&lt;&gt;booking!E2,booking!E2&gt;0),booking!E2,"-")</f>
        <v>-</v>
      </c>
      <c r="F2" s="87" t="str">
        <f>IFERROR(VLOOKUP(E2,Database!$A$2:$L$175,8,FALSE),"-")</f>
        <v>-</v>
      </c>
      <c r="G2" s="87" t="str">
        <f>IFERROR(VLOOKUP(E2,Database!$A$2:$L$175,6,FALSE),"-")</f>
        <v>-</v>
      </c>
      <c r="H2" s="99" t="str">
        <f>IFERROR(VLOOKUP(E2,Database!$A$2:$L$175,9,FALSE),"-")</f>
        <v>-</v>
      </c>
      <c r="I2" s="120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7" t="str">
        <f>IFERROR(VLOOKUP(J2,Database!$A$2:$L$175,8,FALSE),"-")</f>
        <v>-</v>
      </c>
      <c r="L2" s="87" t="str">
        <f>IFERROR(VLOOKUP(J2,Database!$A$2:$L$175,6,FALSE),"-")</f>
        <v>-</v>
      </c>
      <c r="M2" s="99" t="str">
        <f>IFERROR(VLOOKUP(J2,Database!$A$2:$L$175,9,FALSE),"-")</f>
        <v>-</v>
      </c>
      <c r="N2" s="152" t="str">
        <f>IFERROR(VLOOKUP(J2,Database!$A$2:$S$175,19,FALSE),"-")</f>
        <v>-</v>
      </c>
      <c r="O2" s="103" t="str">
        <f>IF(AND(D2="Y",booking!L2&lt;&gt;booking!M2,booking!M2&gt;0),booking!M2,"-")</f>
        <v>-</v>
      </c>
      <c r="P2" s="87" t="str">
        <f>IFERROR(VLOOKUP(O2,Database!$A$2:$L$175,8,FALSE),"-")</f>
        <v>-</v>
      </c>
      <c r="Q2" s="87" t="str">
        <f>IFERROR(VLOOKUP(O2,Database!$A$2:$L$175,6,FALSE),"-")</f>
        <v>-</v>
      </c>
      <c r="R2" s="89" t="str">
        <f>IFERROR(VLOOKUP(O2,Database!$A$2:$L$175,9,FALSE),"-")</f>
        <v>-</v>
      </c>
      <c r="S2" s="152" t="str">
        <f>IFERROR(VLOOKUP(O2,Database!$A$2:$S$175,19,FALSE),"-")</f>
        <v>-</v>
      </c>
      <c r="T2" s="104" t="str">
        <f>IF(AND(D2="Y",booking!P2&lt;&gt;booking!Q2,booking!Q2&gt;0),booking!Q2,"-")</f>
        <v>-</v>
      </c>
      <c r="U2" s="87" t="str">
        <f>IFERROR(VLOOKUP(T2,Database!$A$2:$L$175,8,FALSE),"-")</f>
        <v>-</v>
      </c>
      <c r="V2" s="87" t="str">
        <f>IFERROR(VLOOKUP(T2,Database!$A$2:$L$175,6,FALSE),"-")</f>
        <v>-</v>
      </c>
      <c r="W2" s="89" t="str">
        <f>IFERROR(VLOOKUP(T2,Database!$A$2:$L$175,9,FALSE),"-")</f>
        <v>-</v>
      </c>
      <c r="X2" s="152" t="str">
        <f>IFERROR(VLOOKUP(T2,Database!$A$2:$S$175,19,FALSE),"-")</f>
        <v>-</v>
      </c>
      <c r="Y2" s="103" t="str">
        <f>IF(AND(D2="Y",booking!T2&lt;&gt;booking!U2,booking!U2&gt;0),booking!U2,"-")</f>
        <v>-</v>
      </c>
      <c r="Z2" s="87" t="str">
        <f>IFERROR(VLOOKUP(Y2,Database!$A$2:$L$175,8,FALSE),"-")</f>
        <v>-</v>
      </c>
      <c r="AA2" s="87" t="str">
        <f>IFERROR(VLOOKUP(Y2,Database!$A$2:$L$175,6,FALSE),"-")</f>
        <v>-</v>
      </c>
      <c r="AB2" s="99" t="str">
        <f>IFERROR(VLOOKUP(Y2,Database!$A$2:$L$175,9,FALSE),"-")</f>
        <v>-</v>
      </c>
      <c r="AC2" s="9" t="str">
        <f>IFERROR(VLOOKUP(Y2,Database!$A$2:$S$175,19,FALSE),"-")</f>
        <v>-</v>
      </c>
    </row>
    <row r="3" spans="1:29" ht="15" customHeight="1" thickBot="1" x14ac:dyDescent="0.4">
      <c r="A3" s="95" t="str">
        <f>rengøring!A3</f>
        <v>tirsdag</v>
      </c>
      <c r="B3" s="93">
        <v>46504</v>
      </c>
      <c r="C3" s="10"/>
      <c r="D3" s="96" t="str">
        <f>IF(booking!AB3&gt;0,"Y","-")</f>
        <v>-</v>
      </c>
      <c r="E3" s="102" t="str">
        <f>IF(AND(D3="Y",booking!D3&lt;&gt;booking!E3,booking!E3&gt;0),booking!E3,"-")</f>
        <v>-</v>
      </c>
      <c r="F3" s="86" t="str">
        <f>IFERROR(VLOOKUP(E3,Database!$A$2:$L$175,8,FALSE),"-")</f>
        <v>-</v>
      </c>
      <c r="G3" s="86" t="str">
        <f>IFERROR(VLOOKUP(E3,Database!$A$2:$L$175,6,FALSE),"-")</f>
        <v>-</v>
      </c>
      <c r="H3" s="100" t="str">
        <f>IFERROR(VLOOKUP(E3,Database!$A$2:$L$175,9,FALSE),"-")</f>
        <v>-</v>
      </c>
      <c r="I3" s="120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6" t="str">
        <f>IFERROR(VLOOKUP(J3,Database!$A$2:$L$175,8,FALSE),"-")</f>
        <v>-</v>
      </c>
      <c r="L3" s="86" t="str">
        <f>IFERROR(VLOOKUP(J3,Database!$A$2:$L$175,6,FALSE),"-")</f>
        <v>-</v>
      </c>
      <c r="M3" s="100" t="str">
        <f>IFERROR(VLOOKUP(J3,Database!$A$2:$L$175,9,FALSE),"-")</f>
        <v>-</v>
      </c>
      <c r="N3" s="152" t="str">
        <f>IFERROR(VLOOKUP(J3,Database!$A$2:$S$175,19,FALSE),"-")</f>
        <v>-</v>
      </c>
      <c r="O3" s="103" t="str">
        <f>IF(AND(D3="Y",booking!L3&lt;&gt;booking!M3,booking!M3&gt;0),booking!M3,"-")</f>
        <v>-</v>
      </c>
      <c r="P3" s="86" t="str">
        <f>IFERROR(VLOOKUP(O3,Database!$A$2:$L$175,8,FALSE),"-")</f>
        <v>-</v>
      </c>
      <c r="Q3" s="86" t="str">
        <f>IFERROR(VLOOKUP(O3,Database!$A$2:$L$175,6,FALSE),"-")</f>
        <v>-</v>
      </c>
      <c r="R3" s="90" t="str">
        <f>IFERROR(VLOOKUP(O3,Database!$A$2:$L$175,9,FALSE),"-")</f>
        <v>-</v>
      </c>
      <c r="S3" s="152" t="str">
        <f>IFERROR(VLOOKUP(O3,Database!$A$2:$S$175,19,FALSE),"-")</f>
        <v>-</v>
      </c>
      <c r="T3" s="104" t="str">
        <f>IF(AND(D3="Y",booking!P3&lt;&gt;booking!Q3,booking!Q3&gt;0),booking!Q3,"-")</f>
        <v>-</v>
      </c>
      <c r="U3" s="86" t="str">
        <f>IFERROR(VLOOKUP(T3,Database!$A$2:$L$175,8,FALSE),"-")</f>
        <v>-</v>
      </c>
      <c r="V3" s="86" t="str">
        <f>IFERROR(VLOOKUP(T3,Database!$A$2:$L$175,6,FALSE),"-")</f>
        <v>-</v>
      </c>
      <c r="W3" s="90" t="str">
        <f>IFERROR(VLOOKUP(T3,Database!$A$2:$L$175,9,FALSE),"-")</f>
        <v>-</v>
      </c>
      <c r="X3" s="152" t="str">
        <f>IFERROR(VLOOKUP(T3,Database!$A$2:$S$175,19,FALSE),"-")</f>
        <v>-</v>
      </c>
      <c r="Y3" s="103" t="str">
        <f>IF(AND(D3="Y",booking!T3&lt;&gt;booking!U3,booking!U3&gt;0),booking!U3,"-")</f>
        <v>-</v>
      </c>
      <c r="Z3" s="87" t="str">
        <f>IFERROR(VLOOKUP(Y3,Database!$A$2:$L$175,8,FALSE),"-")</f>
        <v>-</v>
      </c>
      <c r="AA3" s="87" t="str">
        <f>IFERROR(VLOOKUP(Y3,Database!$A$2:$L$175,6,FALSE),"-")</f>
        <v>-</v>
      </c>
      <c r="AB3" s="99" t="str">
        <f>IFERROR(VLOOKUP(Y3,Database!$A$2:$L$175,9,FALSE),"-")</f>
        <v>-</v>
      </c>
      <c r="AC3" s="9" t="str">
        <f>IFERROR(VLOOKUP(Y3,Database!$A$2:$S$175,19,FALSE),"-")</f>
        <v>-</v>
      </c>
    </row>
    <row r="4" spans="1:29" ht="15" customHeight="1" thickBot="1" x14ac:dyDescent="0.4">
      <c r="A4" s="95" t="str">
        <f>rengøring!A4</f>
        <v>onsdag</v>
      </c>
      <c r="B4" s="93">
        <v>46505</v>
      </c>
      <c r="C4" s="10"/>
      <c r="D4" s="96" t="str">
        <f>IF(booking!AB4&gt;0,"Y","-")</f>
        <v>-</v>
      </c>
      <c r="E4" s="102" t="str">
        <f>IF(AND(D4="Y",booking!D4&lt;&gt;booking!E4,booking!E4&gt;0),booking!E4,"-")</f>
        <v>-</v>
      </c>
      <c r="F4" s="86" t="str">
        <f>IFERROR(VLOOKUP(E4,Database!$A$2:$L$175,8,FALSE),"-")</f>
        <v>-</v>
      </c>
      <c r="G4" s="86" t="str">
        <f>IFERROR(VLOOKUP(E4,Database!$A$2:$L$175,6,FALSE),"-")</f>
        <v>-</v>
      </c>
      <c r="H4" s="100" t="str">
        <f>IFERROR(VLOOKUP(E4,Database!$A$2:$L$175,9,FALSE),"-")</f>
        <v>-</v>
      </c>
      <c r="I4" s="120" t="str">
        <f>IFERROR(VLOOKUP(E4,Database!$A$2:$S$175,19,FALSE),"-")</f>
        <v>-</v>
      </c>
      <c r="J4" s="103" t="str">
        <f>IF(AND(D4="Y",booking!H4&lt;&gt;booking!I4,booking!I4&gt;0),booking!I4,"-")</f>
        <v>-</v>
      </c>
      <c r="K4" s="86" t="str">
        <f>IFERROR(VLOOKUP(J4,Database!$A$2:$L$175,8,FALSE),"-")</f>
        <v>-</v>
      </c>
      <c r="L4" s="86" t="str">
        <f>IFERROR(VLOOKUP(J4,Database!$A$2:$L$175,6,FALSE),"-")</f>
        <v>-</v>
      </c>
      <c r="M4" s="100" t="str">
        <f>IFERROR(VLOOKUP(J4,Database!$A$2:$L$175,9,FALSE),"-")</f>
        <v>-</v>
      </c>
      <c r="N4" s="152" t="str">
        <f>IFERROR(VLOOKUP(J4,Database!$A$2:$S$175,19,FALSE),"-")</f>
        <v>-</v>
      </c>
      <c r="O4" s="103" t="str">
        <f>IF(AND(D4="Y",booking!L4&lt;&gt;booking!M4,booking!M4&gt;0),booking!M4,"-")</f>
        <v>-</v>
      </c>
      <c r="P4" s="86" t="str">
        <f>IFERROR(VLOOKUP(O4,Database!$A$2:$L$175,8,FALSE),"-")</f>
        <v>-</v>
      </c>
      <c r="Q4" s="86" t="str">
        <f>IFERROR(VLOOKUP(O4,Database!$A$2:$L$175,6,FALSE),"-")</f>
        <v>-</v>
      </c>
      <c r="R4" s="90" t="str">
        <f>IFERROR(VLOOKUP(O4,Database!$A$2:$L$175,9,FALSE),"-")</f>
        <v>-</v>
      </c>
      <c r="S4" s="152" t="str">
        <f>IFERROR(VLOOKUP(O4,Database!$A$2:$S$175,19,FALSE),"-")</f>
        <v>-</v>
      </c>
      <c r="T4" s="104" t="str">
        <f>IF(AND(D4="Y",booking!P4&lt;&gt;booking!Q4,booking!Q4&gt;0),booking!Q4,"-")</f>
        <v>-</v>
      </c>
      <c r="U4" s="86" t="str">
        <f>IFERROR(VLOOKUP(T4,Database!$A$2:$L$175,8,FALSE),"-")</f>
        <v>-</v>
      </c>
      <c r="V4" s="86" t="str">
        <f>IFERROR(VLOOKUP(T4,Database!$A$2:$L$175,6,FALSE),"-")</f>
        <v>-</v>
      </c>
      <c r="W4" s="90" t="str">
        <f>IFERROR(VLOOKUP(T4,Database!$A$2:$L$175,9,FALSE),"-")</f>
        <v>-</v>
      </c>
      <c r="X4" s="152" t="str">
        <f>IFERROR(VLOOKUP(T4,Database!$A$2:$S$175,19,FALSE),"-")</f>
        <v>-</v>
      </c>
      <c r="Y4" s="103" t="str">
        <f>IF(AND(D4="Y",booking!T4&lt;&gt;booking!U4,booking!U4&gt;0),booking!U4,"-")</f>
        <v>-</v>
      </c>
      <c r="Z4" s="87" t="str">
        <f>IFERROR(VLOOKUP(Y4,Database!$A$2:$L$175,8,FALSE),"-")</f>
        <v>-</v>
      </c>
      <c r="AA4" s="87" t="str">
        <f>IFERROR(VLOOKUP(Y4,Database!$A$2:$L$175,6,FALSE),"-")</f>
        <v>-</v>
      </c>
      <c r="AB4" s="99" t="str">
        <f>IFERROR(VLOOKUP(Y4,Database!$A$2:$L$175,9,FALSE),"-")</f>
        <v>-</v>
      </c>
      <c r="AC4" s="9" t="str">
        <f>IFERROR(VLOOKUP(Y4,Database!$A$2:$S$175,19,FALSE),"-")</f>
        <v>-</v>
      </c>
    </row>
    <row r="5" spans="1:29" ht="15" customHeight="1" thickBot="1" x14ac:dyDescent="0.4">
      <c r="A5" s="95" t="str">
        <f>rengøring!A5</f>
        <v>torsdag</v>
      </c>
      <c r="B5" s="93">
        <v>46506</v>
      </c>
      <c r="C5" s="10"/>
      <c r="D5" s="96" t="str">
        <f>IF(booking!AB5&gt;0,"Y","-")</f>
        <v>-</v>
      </c>
      <c r="E5" s="102" t="str">
        <f>IF(AND(D5="Y",booking!D5&lt;&gt;booking!E5,booking!E5&gt;0),booking!E5,"-")</f>
        <v>-</v>
      </c>
      <c r="F5" s="86" t="str">
        <f>IFERROR(VLOOKUP(E5,Database!$A$2:$L$175,8,FALSE),"-")</f>
        <v>-</v>
      </c>
      <c r="G5" s="86" t="str">
        <f>IFERROR(VLOOKUP(E5,Database!$A$2:$L$175,6,FALSE),"-")</f>
        <v>-</v>
      </c>
      <c r="H5" s="100" t="str">
        <f>IFERROR(VLOOKUP(E5,Database!$A$2:$L$175,9,FALSE),"-")</f>
        <v>-</v>
      </c>
      <c r="I5" s="120" t="str">
        <f>IFERROR(VLOOKUP(E5,Database!$A$2:$S$175,19,FALSE),"-")</f>
        <v>-</v>
      </c>
      <c r="J5" s="103" t="str">
        <f>IF(AND(D5="Y",booking!H5&lt;&gt;booking!I5,booking!I5&gt;0),booking!I5,"-")</f>
        <v>-</v>
      </c>
      <c r="K5" s="86" t="str">
        <f>IFERROR(VLOOKUP(J5,Database!$A$2:$L$175,8,FALSE),"-")</f>
        <v>-</v>
      </c>
      <c r="L5" s="86" t="str">
        <f>IFERROR(VLOOKUP(J5,Database!$A$2:$L$175,6,FALSE),"-")</f>
        <v>-</v>
      </c>
      <c r="M5" s="100" t="str">
        <f>IFERROR(VLOOKUP(J5,Database!$A$2:$L$175,9,FALSE),"-")</f>
        <v>-</v>
      </c>
      <c r="N5" s="152" t="str">
        <f>IFERROR(VLOOKUP(J5,Database!$A$2:$S$175,19,FALSE),"-")</f>
        <v>-</v>
      </c>
      <c r="O5" s="103" t="str">
        <f>IF(AND(D5="Y",booking!L5&lt;&gt;booking!M5,booking!M5&gt;0),booking!M5,"-")</f>
        <v>-</v>
      </c>
      <c r="P5" s="86" t="str">
        <f>IFERROR(VLOOKUP(O5,Database!$A$2:$L$175,8,FALSE),"-")</f>
        <v>-</v>
      </c>
      <c r="Q5" s="86" t="str">
        <f>IFERROR(VLOOKUP(O5,Database!$A$2:$L$175,6,FALSE),"-")</f>
        <v>-</v>
      </c>
      <c r="R5" s="90" t="str">
        <f>IFERROR(VLOOKUP(O5,Database!$A$2:$L$175,9,FALSE),"-")</f>
        <v>-</v>
      </c>
      <c r="S5" s="152" t="str">
        <f>IFERROR(VLOOKUP(O5,Database!$A$2:$S$175,19,FALSE),"-")</f>
        <v>-</v>
      </c>
      <c r="T5" s="104" t="str">
        <f>IF(AND(D5="Y",booking!P5&lt;&gt;booking!Q5,booking!Q5&gt;0),booking!Q5,"-")</f>
        <v>-</v>
      </c>
      <c r="U5" s="86" t="str">
        <f>IFERROR(VLOOKUP(T5,Database!$A$2:$L$175,8,FALSE),"-")</f>
        <v>-</v>
      </c>
      <c r="V5" s="86" t="str">
        <f>IFERROR(VLOOKUP(T5,Database!$A$2:$L$175,6,FALSE),"-")</f>
        <v>-</v>
      </c>
      <c r="W5" s="90" t="str">
        <f>IFERROR(VLOOKUP(T5,Database!$A$2:$L$175,9,FALSE),"-")</f>
        <v>-</v>
      </c>
      <c r="X5" s="152" t="str">
        <f>IFERROR(VLOOKUP(T5,Database!$A$2:$S$175,19,FALSE),"-")</f>
        <v>-</v>
      </c>
      <c r="Y5" s="103" t="str">
        <f>IF(AND(D5="Y",booking!T5&lt;&gt;booking!U5,booking!U5&gt;0),booking!U5,"-")</f>
        <v>-</v>
      </c>
      <c r="Z5" s="87" t="str">
        <f>IFERROR(VLOOKUP(Y5,Database!$A$2:$L$175,8,FALSE),"-")</f>
        <v>-</v>
      </c>
      <c r="AA5" s="87" t="str">
        <f>IFERROR(VLOOKUP(Y5,Database!$A$2:$L$175,6,FALSE),"-")</f>
        <v>-</v>
      </c>
      <c r="AB5" s="99" t="str">
        <f>IFERROR(VLOOKUP(Y5,Database!$A$2:$L$175,9,FALSE),"-")</f>
        <v>-</v>
      </c>
      <c r="AC5" s="9" t="str">
        <f>IFERROR(VLOOKUP(Y5,Database!$A$2:$S$175,19,FALSE),"-")</f>
        <v>-</v>
      </c>
    </row>
    <row r="6" spans="1:29" ht="15" customHeight="1" thickBot="1" x14ac:dyDescent="0.4">
      <c r="A6" s="95" t="str">
        <f>rengøring!A6</f>
        <v>fredag</v>
      </c>
      <c r="B6" s="93">
        <v>46507</v>
      </c>
      <c r="C6" s="10"/>
      <c r="D6" s="96" t="str">
        <f>IF(booking!AB6&gt;0,"Y","-")</f>
        <v>-</v>
      </c>
      <c r="E6" s="102" t="str">
        <f>IF(AND(D6="Y",booking!D6&lt;&gt;booking!E6,booking!E6&gt;0),booking!E6,"-")</f>
        <v>-</v>
      </c>
      <c r="F6" s="86" t="str">
        <f>IFERROR(VLOOKUP(E6,Database!$A$2:$L$175,8,FALSE),"-")</f>
        <v>-</v>
      </c>
      <c r="G6" s="86" t="str">
        <f>IFERROR(VLOOKUP(E6,Database!$A$2:$L$175,6,FALSE),"-")</f>
        <v>-</v>
      </c>
      <c r="H6" s="100" t="str">
        <f>IFERROR(VLOOKUP(E6,Database!$A$2:$L$175,9,FALSE),"-")</f>
        <v>-</v>
      </c>
      <c r="I6" s="120" t="str">
        <f>IFERROR(VLOOKUP(E6,Database!$A$2:$S$175,19,FALSE),"-")</f>
        <v>-</v>
      </c>
      <c r="J6" s="103" t="str">
        <f>IF(AND(D6="Y",booking!H6&lt;&gt;booking!I6,booking!I6&gt;0),booking!I6,"-")</f>
        <v>-</v>
      </c>
      <c r="K6" s="86" t="str">
        <f>IFERROR(VLOOKUP(J6,Database!$A$2:$L$175,8,FALSE),"-")</f>
        <v>-</v>
      </c>
      <c r="L6" s="86" t="str">
        <f>IFERROR(VLOOKUP(J6,Database!$A$2:$L$175,6,FALSE),"-")</f>
        <v>-</v>
      </c>
      <c r="M6" s="100" t="str">
        <f>IFERROR(VLOOKUP(J6,Database!$A$2:$L$175,9,FALSE),"-")</f>
        <v>-</v>
      </c>
      <c r="N6" s="152" t="str">
        <f>IFERROR(VLOOKUP(J6,Database!$A$2:$S$175,19,FALSE),"-")</f>
        <v>-</v>
      </c>
      <c r="O6" s="103" t="str">
        <f>IF(AND(D6="Y",booking!L6&lt;&gt;booking!M6,booking!M6&gt;0),booking!M6,"-")</f>
        <v>-</v>
      </c>
      <c r="P6" s="86" t="str">
        <f>IFERROR(VLOOKUP(O6,Database!$A$2:$L$175,8,FALSE),"-")</f>
        <v>-</v>
      </c>
      <c r="Q6" s="86" t="str">
        <f>IFERROR(VLOOKUP(O6,Database!$A$2:$L$175,6,FALSE),"-")</f>
        <v>-</v>
      </c>
      <c r="R6" s="90" t="str">
        <f>IFERROR(VLOOKUP(O6,Database!$A$2:$L$175,9,FALSE),"-")</f>
        <v>-</v>
      </c>
      <c r="S6" s="152" t="str">
        <f>IFERROR(VLOOKUP(O6,Database!$A$2:$S$175,19,FALSE),"-")</f>
        <v>-</v>
      </c>
      <c r="T6" s="104" t="str">
        <f>IF(AND(D6="Y",booking!P6&lt;&gt;booking!Q6,booking!Q6&gt;0),booking!Q6,"-")</f>
        <v>-</v>
      </c>
      <c r="U6" s="86" t="str">
        <f>IFERROR(VLOOKUP(T6,Database!$A$2:$L$175,8,FALSE),"-")</f>
        <v>-</v>
      </c>
      <c r="V6" s="86" t="str">
        <f>IFERROR(VLOOKUP(T6,Database!$A$2:$L$175,6,FALSE),"-")</f>
        <v>-</v>
      </c>
      <c r="W6" s="90" t="str">
        <f>IFERROR(VLOOKUP(T6,Database!$A$2:$L$175,9,FALSE),"-")</f>
        <v>-</v>
      </c>
      <c r="X6" s="152" t="str">
        <f>IFERROR(VLOOKUP(T6,Database!$A$2:$S$175,19,FALSE),"-")</f>
        <v>-</v>
      </c>
      <c r="Y6" s="103" t="str">
        <f>IF(AND(D6="Y",booking!T6&lt;&gt;booking!U6,booking!U6&gt;0),booking!U6,"-")</f>
        <v>-</v>
      </c>
      <c r="Z6" s="87" t="str">
        <f>IFERROR(VLOOKUP(Y6,Database!$A$2:$L$175,8,FALSE),"-")</f>
        <v>-</v>
      </c>
      <c r="AA6" s="87" t="str">
        <f>IFERROR(VLOOKUP(Y6,Database!$A$2:$L$175,6,FALSE),"-")</f>
        <v>-</v>
      </c>
      <c r="AB6" s="99" t="str">
        <f>IFERROR(VLOOKUP(Y6,Database!$A$2:$L$175,9,FALSE),"-")</f>
        <v>-</v>
      </c>
      <c r="AC6" s="9" t="str">
        <f>IFERROR(VLOOKUP(Y6,Database!$A$2:$S$175,19,FALSE),"-")</f>
        <v>-</v>
      </c>
    </row>
    <row r="7" spans="1:29" ht="15" customHeight="1" thickBot="1" x14ac:dyDescent="0.4">
      <c r="A7" s="95" t="str">
        <f>rengøring!A7</f>
        <v>lørdag</v>
      </c>
      <c r="B7" s="93">
        <v>46508</v>
      </c>
      <c r="C7" s="10"/>
      <c r="D7" s="96" t="str">
        <f>IF(booking!AB7&gt;0,"Y","-")</f>
        <v>-</v>
      </c>
      <c r="E7" s="102" t="str">
        <f>IF(AND(D7="Y",booking!D7&lt;&gt;booking!E7,booking!E7&gt;0),booking!E7,"-")</f>
        <v>-</v>
      </c>
      <c r="F7" s="86" t="str">
        <f>IFERROR(VLOOKUP(E7,Database!$A$2:$L$175,8,FALSE),"-")</f>
        <v>-</v>
      </c>
      <c r="G7" s="86" t="str">
        <f>IFERROR(VLOOKUP(E7,Database!$A$2:$L$175,6,FALSE),"-")</f>
        <v>-</v>
      </c>
      <c r="H7" s="100" t="str">
        <f>IFERROR(VLOOKUP(E7,Database!$A$2:$L$175,9,FALSE),"-")</f>
        <v>-</v>
      </c>
      <c r="I7" s="120" t="str">
        <f>IFERROR(VLOOKUP(E7,Database!$A$2:$S$175,19,FALSE),"-")</f>
        <v>-</v>
      </c>
      <c r="J7" s="103" t="str">
        <f>IF(AND(D7="Y",booking!H7&lt;&gt;booking!I7,booking!I7&gt;0),booking!I7,"-")</f>
        <v>-</v>
      </c>
      <c r="K7" s="86" t="str">
        <f>IFERROR(VLOOKUP(J7,Database!$A$2:$L$175,8,FALSE),"-")</f>
        <v>-</v>
      </c>
      <c r="L7" s="86" t="str">
        <f>IFERROR(VLOOKUP(J7,Database!$A$2:$L$175,6,FALSE),"-")</f>
        <v>-</v>
      </c>
      <c r="M7" s="100" t="str">
        <f>IFERROR(VLOOKUP(J7,Database!$A$2:$L$175,9,FALSE),"-")</f>
        <v>-</v>
      </c>
      <c r="N7" s="152" t="str">
        <f>IFERROR(VLOOKUP(J7,Database!$A$2:$S$175,19,FALSE),"-")</f>
        <v>-</v>
      </c>
      <c r="O7" s="103" t="str">
        <f>IF(AND(D7="Y",booking!L7&lt;&gt;booking!M7,booking!M7&gt;0),booking!M7,"-")</f>
        <v>-</v>
      </c>
      <c r="P7" s="86" t="str">
        <f>IFERROR(VLOOKUP(O7,Database!$A$2:$L$175,8,FALSE),"-")</f>
        <v>-</v>
      </c>
      <c r="Q7" s="86" t="str">
        <f>IFERROR(VLOOKUP(O7,Database!$A$2:$L$175,6,FALSE),"-")</f>
        <v>-</v>
      </c>
      <c r="R7" s="90" t="str">
        <f>IFERROR(VLOOKUP(O7,Database!$A$2:$L$175,9,FALSE),"-")</f>
        <v>-</v>
      </c>
      <c r="S7" s="152" t="str">
        <f>IFERROR(VLOOKUP(O7,Database!$A$2:$S$175,19,FALSE),"-")</f>
        <v>-</v>
      </c>
      <c r="T7" s="104" t="str">
        <f>IF(AND(D7="Y",booking!P7&lt;&gt;booking!Q7,booking!Q7&gt;0),booking!Q7,"-")</f>
        <v>-</v>
      </c>
      <c r="U7" s="86" t="str">
        <f>IFERROR(VLOOKUP(T7,Database!$A$2:$L$175,8,FALSE),"-")</f>
        <v>-</v>
      </c>
      <c r="V7" s="86" t="str">
        <f>IFERROR(VLOOKUP(T7,Database!$A$2:$L$175,6,FALSE),"-")</f>
        <v>-</v>
      </c>
      <c r="W7" s="90" t="str">
        <f>IFERROR(VLOOKUP(T7,Database!$A$2:$L$175,9,FALSE),"-")</f>
        <v>-</v>
      </c>
      <c r="X7" s="152" t="str">
        <f>IFERROR(VLOOKUP(T7,Database!$A$2:$S$175,19,FALSE),"-")</f>
        <v>-</v>
      </c>
      <c r="Y7" s="103" t="str">
        <f>IF(AND(D7="Y",booking!T7&lt;&gt;booking!U7,booking!U7&gt;0),booking!U7,"-")</f>
        <v>-</v>
      </c>
      <c r="Z7" s="87" t="str">
        <f>IFERROR(VLOOKUP(Y7,Database!$A$2:$L$175,8,FALSE),"-")</f>
        <v>-</v>
      </c>
      <c r="AA7" s="87" t="str">
        <f>IFERROR(VLOOKUP(Y7,Database!$A$2:$L$175,6,FALSE),"-")</f>
        <v>-</v>
      </c>
      <c r="AB7" s="99" t="str">
        <f>IFERROR(VLOOKUP(Y7,Database!$A$2:$L$175,9,FALSE),"-")</f>
        <v>-</v>
      </c>
      <c r="AC7" s="9" t="str">
        <f>IFERROR(VLOOKUP(Y7,Database!$A$2:$S$175,19,FALSE),"-")</f>
        <v>-</v>
      </c>
    </row>
    <row r="8" spans="1:29" ht="15" customHeight="1" thickBot="1" x14ac:dyDescent="0.4">
      <c r="A8" s="95" t="str">
        <f>rengøring!A8</f>
        <v>søndag</v>
      </c>
      <c r="B8" s="93">
        <v>46509</v>
      </c>
      <c r="C8" s="10"/>
      <c r="D8" s="96" t="str">
        <f>IF(booking!AB8&gt;0,"Y","-")</f>
        <v>-</v>
      </c>
      <c r="E8" s="102" t="str">
        <f>IF(AND(D8="Y",booking!D8&lt;&gt;booking!E8,booking!E8&gt;0),booking!E8,"-")</f>
        <v>-</v>
      </c>
      <c r="F8" s="86" t="str">
        <f>IFERROR(VLOOKUP(E8,Database!$A$2:$L$175,8,FALSE),"-")</f>
        <v>-</v>
      </c>
      <c r="G8" s="86" t="str">
        <f>IFERROR(VLOOKUP(E8,Database!$A$2:$L$175,6,FALSE),"-")</f>
        <v>-</v>
      </c>
      <c r="H8" s="100" t="str">
        <f>IFERROR(VLOOKUP(E8,Database!$A$2:$L$175,9,FALSE),"-")</f>
        <v>-</v>
      </c>
      <c r="I8" s="120" t="str">
        <f>IFERROR(VLOOKUP(E8,Database!$A$2:$S$175,19,FALSE),"-")</f>
        <v>-</v>
      </c>
      <c r="J8" s="103" t="str">
        <f>IF(AND(D8="Y",booking!H8&lt;&gt;booking!I8,booking!I8&gt;0),booking!I8,"-")</f>
        <v>-</v>
      </c>
      <c r="K8" s="86" t="str">
        <f>IFERROR(VLOOKUP(J8,Database!$A$2:$L$175,8,FALSE),"-")</f>
        <v>-</v>
      </c>
      <c r="L8" s="86" t="str">
        <f>IFERROR(VLOOKUP(J8,Database!$A$2:$L$175,6,FALSE),"-")</f>
        <v>-</v>
      </c>
      <c r="M8" s="100" t="str">
        <f>IFERROR(VLOOKUP(J8,Database!$A$2:$L$175,9,FALSE),"-")</f>
        <v>-</v>
      </c>
      <c r="N8" s="152" t="str">
        <f>IFERROR(VLOOKUP(J8,Database!$A$2:$S$175,19,FALSE),"-")</f>
        <v>-</v>
      </c>
      <c r="O8" s="103" t="str">
        <f>IF(AND(D8="Y",booking!L8&lt;&gt;booking!M8,booking!M8&gt;0),booking!M8,"-")</f>
        <v>-</v>
      </c>
      <c r="P8" s="86" t="str">
        <f>IFERROR(VLOOKUP(O8,Database!$A$2:$L$175,8,FALSE),"-")</f>
        <v>-</v>
      </c>
      <c r="Q8" s="86" t="str">
        <f>IFERROR(VLOOKUP(O8,Database!$A$2:$L$175,6,FALSE),"-")</f>
        <v>-</v>
      </c>
      <c r="R8" s="90" t="str">
        <f>IFERROR(VLOOKUP(O8,Database!$A$2:$L$175,9,FALSE),"-")</f>
        <v>-</v>
      </c>
      <c r="S8" s="152" t="str">
        <f>IFERROR(VLOOKUP(O8,Database!$A$2:$S$175,19,FALSE),"-")</f>
        <v>-</v>
      </c>
      <c r="T8" s="104" t="str">
        <f>IF(AND(D8="Y",booking!P8&lt;&gt;booking!Q8,booking!Q8&gt;0),booking!Q8,"-")</f>
        <v>-</v>
      </c>
      <c r="U8" s="86" t="str">
        <f>IFERROR(VLOOKUP(T8,Database!$A$2:$L$175,8,FALSE),"-")</f>
        <v>-</v>
      </c>
      <c r="V8" s="86" t="str">
        <f>IFERROR(VLOOKUP(T8,Database!$A$2:$L$175,6,FALSE),"-")</f>
        <v>-</v>
      </c>
      <c r="W8" s="90" t="str">
        <f>IFERROR(VLOOKUP(T8,Database!$A$2:$L$175,9,FALSE),"-")</f>
        <v>-</v>
      </c>
      <c r="X8" s="152" t="str">
        <f>IFERROR(VLOOKUP(T8,Database!$A$2:$S$175,19,FALSE),"-")</f>
        <v>-</v>
      </c>
      <c r="Y8" s="103" t="str">
        <f>IF(AND(D8="Y",booking!T8&lt;&gt;booking!U8,booking!U8&gt;0),booking!U8,"-")</f>
        <v>-</v>
      </c>
      <c r="Z8" s="87" t="str">
        <f>IFERROR(VLOOKUP(Y8,Database!$A$2:$L$175,8,FALSE),"-")</f>
        <v>-</v>
      </c>
      <c r="AA8" s="87" t="str">
        <f>IFERROR(VLOOKUP(Y8,Database!$A$2:$L$175,6,FALSE),"-")</f>
        <v>-</v>
      </c>
      <c r="AB8" s="99" t="str">
        <f>IFERROR(VLOOKUP(Y8,Database!$A$2:$L$175,9,FALSE),"-")</f>
        <v>-</v>
      </c>
      <c r="AC8" s="9" t="str">
        <f>IFERROR(VLOOKUP(Y8,Database!$A$2:$S$175,19,FALSE),"-")</f>
        <v>-</v>
      </c>
    </row>
    <row r="9" spans="1:29" ht="15" customHeight="1" thickBot="1" x14ac:dyDescent="0.4">
      <c r="A9" s="95" t="str">
        <f>rengøring!A9</f>
        <v>mandag</v>
      </c>
      <c r="B9" s="93">
        <v>46510</v>
      </c>
      <c r="C9" s="10"/>
      <c r="D9" s="96" t="str">
        <f>IF(booking!AB9&gt;0,"Y","-")</f>
        <v>-</v>
      </c>
      <c r="E9" s="102" t="str">
        <f>IF(AND(D9="Y",booking!D9&lt;&gt;booking!E9,booking!E9&gt;0),booking!E9,"-")</f>
        <v>-</v>
      </c>
      <c r="F9" s="86" t="str">
        <f>IFERROR(VLOOKUP(E9,Database!$A$2:$L$175,8,FALSE),"-")</f>
        <v>-</v>
      </c>
      <c r="G9" s="86" t="str">
        <f>IFERROR(VLOOKUP(E9,Database!$A$2:$L$175,6,FALSE),"-")</f>
        <v>-</v>
      </c>
      <c r="H9" s="100" t="str">
        <f>IFERROR(VLOOKUP(E9,Database!$A$2:$L$175,9,FALSE),"-")</f>
        <v>-</v>
      </c>
      <c r="I9" s="120" t="str">
        <f>IFERROR(VLOOKUP(E9,Database!$A$2:$S$175,19,FALSE),"-")</f>
        <v>-</v>
      </c>
      <c r="J9" s="103" t="str">
        <f>IF(AND(D9="Y",booking!H9&lt;&gt;booking!I9,booking!I9&gt;0),booking!I9,"-")</f>
        <v>-</v>
      </c>
      <c r="K9" s="86" t="str">
        <f>IFERROR(VLOOKUP(J9,Database!$A$2:$L$175,8,FALSE),"-")</f>
        <v>-</v>
      </c>
      <c r="L9" s="86" t="str">
        <f>IFERROR(VLOOKUP(J9,Database!$A$2:$L$175,6,FALSE),"-")</f>
        <v>-</v>
      </c>
      <c r="M9" s="100" t="str">
        <f>IFERROR(VLOOKUP(J9,Database!$A$2:$L$175,9,FALSE),"-")</f>
        <v>-</v>
      </c>
      <c r="N9" s="152" t="str">
        <f>IFERROR(VLOOKUP(J9,Database!$A$2:$S$175,19,FALSE),"-")</f>
        <v>-</v>
      </c>
      <c r="O9" s="103" t="str">
        <f>IF(AND(D9="Y",booking!L9&lt;&gt;booking!M9,booking!M9&gt;0),booking!M9,"-")</f>
        <v>-</v>
      </c>
      <c r="P9" s="86" t="str">
        <f>IFERROR(VLOOKUP(O9,Database!$A$2:$L$175,8,FALSE),"-")</f>
        <v>-</v>
      </c>
      <c r="Q9" s="86" t="str">
        <f>IFERROR(VLOOKUP(O9,Database!$A$2:$L$175,6,FALSE),"-")</f>
        <v>-</v>
      </c>
      <c r="R9" s="90" t="str">
        <f>IFERROR(VLOOKUP(O9,Database!$A$2:$L$175,9,FALSE),"-")</f>
        <v>-</v>
      </c>
      <c r="S9" s="152" t="str">
        <f>IFERROR(VLOOKUP(O9,Database!$A$2:$S$175,19,FALSE),"-")</f>
        <v>-</v>
      </c>
      <c r="T9" s="104" t="str">
        <f>IF(AND(D9="Y",booking!P9&lt;&gt;booking!Q9,booking!Q9&gt;0),booking!Q9,"-")</f>
        <v>-</v>
      </c>
      <c r="U9" s="86" t="str">
        <f>IFERROR(VLOOKUP(T9,Database!$A$2:$L$175,8,FALSE),"-")</f>
        <v>-</v>
      </c>
      <c r="V9" s="86" t="str">
        <f>IFERROR(VLOOKUP(T9,Database!$A$2:$L$175,6,FALSE),"-")</f>
        <v>-</v>
      </c>
      <c r="W9" s="90" t="str">
        <f>IFERROR(VLOOKUP(T9,Database!$A$2:$L$175,9,FALSE),"-")</f>
        <v>-</v>
      </c>
      <c r="X9" s="152" t="str">
        <f>IFERROR(VLOOKUP(T9,Database!$A$2:$S$175,19,FALSE),"-")</f>
        <v>-</v>
      </c>
      <c r="Y9" s="103" t="str">
        <f>IF(AND(D9="Y",booking!T9&lt;&gt;booking!U9,booking!U9&gt;0),booking!U9,"-")</f>
        <v>-</v>
      </c>
      <c r="Z9" s="87" t="str">
        <f>IFERROR(VLOOKUP(Y9,Database!$A$2:$L$175,8,FALSE),"-")</f>
        <v>-</v>
      </c>
      <c r="AA9" s="87" t="str">
        <f>IFERROR(VLOOKUP(Y9,Database!$A$2:$L$175,6,FALSE),"-")</f>
        <v>-</v>
      </c>
      <c r="AB9" s="99" t="str">
        <f>IFERROR(VLOOKUP(Y9,Database!$A$2:$L$175,9,FALSE),"-")</f>
        <v>-</v>
      </c>
      <c r="AC9" s="9" t="str">
        <f>IFERROR(VLOOKUP(Y9,Database!$A$2:$S$175,19,FALSE),"-")</f>
        <v>-</v>
      </c>
    </row>
    <row r="10" spans="1:29" ht="15" customHeight="1" thickBot="1" x14ac:dyDescent="0.4">
      <c r="A10" s="95" t="str">
        <f>rengøring!A10</f>
        <v>tirsdag</v>
      </c>
      <c r="B10" s="93">
        <v>46511</v>
      </c>
      <c r="C10" s="10"/>
      <c r="D10" s="96" t="str">
        <f>IF(booking!AB10&gt;0,"Y","-")</f>
        <v>-</v>
      </c>
      <c r="E10" s="102" t="str">
        <f>IF(AND(D10="Y",booking!D10&lt;&gt;booking!E10,booking!E10&gt;0),booking!E10,"-")</f>
        <v>-</v>
      </c>
      <c r="F10" s="86" t="str">
        <f>IFERROR(VLOOKUP(E10,Database!$A$2:$L$175,8,FALSE),"-")</f>
        <v>-</v>
      </c>
      <c r="G10" s="86" t="str">
        <f>IFERROR(VLOOKUP(E10,Database!$A$2:$L$175,6,FALSE),"-")</f>
        <v>-</v>
      </c>
      <c r="H10" s="100" t="str">
        <f>IFERROR(VLOOKUP(E10,Database!$A$2:$L$175,9,FALSE),"-")</f>
        <v>-</v>
      </c>
      <c r="I10" s="120" t="str">
        <f>IFERROR(VLOOKUP(E10,Database!$A$2:$S$175,19,FALSE),"-")</f>
        <v>-</v>
      </c>
      <c r="J10" s="103" t="str">
        <f>IF(AND(D10="Y",booking!H10&lt;&gt;booking!I10,booking!I10&gt;0),booking!I10,"-")</f>
        <v>-</v>
      </c>
      <c r="K10" s="86" t="str">
        <f>IFERROR(VLOOKUP(J10,Database!$A$2:$L$175,8,FALSE),"-")</f>
        <v>-</v>
      </c>
      <c r="L10" s="86" t="str">
        <f>IFERROR(VLOOKUP(J10,Database!$A$2:$L$175,6,FALSE),"-")</f>
        <v>-</v>
      </c>
      <c r="M10" s="100" t="str">
        <f>IFERROR(VLOOKUP(J10,Database!$A$2:$L$175,9,FALSE),"-")</f>
        <v>-</v>
      </c>
      <c r="N10" s="152" t="str">
        <f>IFERROR(VLOOKUP(J10,Database!$A$2:$S$175,19,FALSE),"-")</f>
        <v>-</v>
      </c>
      <c r="O10" s="103" t="str">
        <f>IF(AND(D10="Y",booking!L10&lt;&gt;booking!M10,booking!M10&gt;0),booking!M10,"-")</f>
        <v>-</v>
      </c>
      <c r="P10" s="86" t="str">
        <f>IFERROR(VLOOKUP(O10,Database!$A$2:$L$175,8,FALSE),"-")</f>
        <v>-</v>
      </c>
      <c r="Q10" s="86" t="str">
        <f>IFERROR(VLOOKUP(O10,Database!$A$2:$L$175,6,FALSE),"-")</f>
        <v>-</v>
      </c>
      <c r="R10" s="90" t="str">
        <f>IFERROR(VLOOKUP(O10,Database!$A$2:$L$175,9,FALSE),"-")</f>
        <v>-</v>
      </c>
      <c r="S10" s="152" t="str">
        <f>IFERROR(VLOOKUP(O10,Database!$A$2:$S$175,19,FALSE),"-")</f>
        <v>-</v>
      </c>
      <c r="T10" s="104" t="str">
        <f>IF(AND(D10="Y",booking!P10&lt;&gt;booking!Q10,booking!Q10&gt;0),booking!Q10,"-")</f>
        <v>-</v>
      </c>
      <c r="U10" s="86" t="str">
        <f>IFERROR(VLOOKUP(T10,Database!$A$2:$L$175,8,FALSE),"-")</f>
        <v>-</v>
      </c>
      <c r="V10" s="86" t="str">
        <f>IFERROR(VLOOKUP(T10,Database!$A$2:$L$175,6,FALSE),"-")</f>
        <v>-</v>
      </c>
      <c r="W10" s="90" t="str">
        <f>IFERROR(VLOOKUP(T10,Database!$A$2:$L$175,9,FALSE),"-")</f>
        <v>-</v>
      </c>
      <c r="X10" s="152" t="str">
        <f>IFERROR(VLOOKUP(T10,Database!$A$2:$S$175,19,FALSE),"-")</f>
        <v>-</v>
      </c>
      <c r="Y10" s="103" t="str">
        <f>IF(AND(D10="Y",booking!T10&lt;&gt;booking!U10,booking!U10&gt;0),booking!U10,"-")</f>
        <v>-</v>
      </c>
      <c r="Z10" s="87" t="str">
        <f>IFERROR(VLOOKUP(Y10,Database!$A$2:$L$175,8,FALSE),"-")</f>
        <v>-</v>
      </c>
      <c r="AA10" s="87" t="str">
        <f>IFERROR(VLOOKUP(Y10,Database!$A$2:$L$175,6,FALSE),"-")</f>
        <v>-</v>
      </c>
      <c r="AB10" s="99" t="str">
        <f>IFERROR(VLOOKUP(Y10,Database!$A$2:$L$175,9,FALSE),"-")</f>
        <v>-</v>
      </c>
      <c r="AC10" s="9" t="str">
        <f>IFERROR(VLOOKUP(Y10,Database!$A$2:$S$175,19,FALSE),"-")</f>
        <v>-</v>
      </c>
    </row>
    <row r="11" spans="1:29" ht="15" customHeight="1" thickBot="1" x14ac:dyDescent="0.4">
      <c r="A11" s="95" t="str">
        <f>rengøring!A11</f>
        <v>onsdag</v>
      </c>
      <c r="B11" s="93">
        <v>46512</v>
      </c>
      <c r="C11" s="10"/>
      <c r="D11" s="96" t="str">
        <f>IF(booking!AB11&gt;0,"Y","-")</f>
        <v>-</v>
      </c>
      <c r="E11" s="102" t="str">
        <f>IF(AND(D11="Y",booking!D11&lt;&gt;booking!E11,booking!E11&gt;0),booking!E11,"-")</f>
        <v>-</v>
      </c>
      <c r="F11" s="86" t="str">
        <f>IFERROR(VLOOKUP(E11,Database!$A$2:$L$175,8,FALSE),"-")</f>
        <v>-</v>
      </c>
      <c r="G11" s="86" t="str">
        <f>IFERROR(VLOOKUP(E11,Database!$A$2:$L$175,6,FALSE),"-")</f>
        <v>-</v>
      </c>
      <c r="H11" s="100" t="str">
        <f>IFERROR(VLOOKUP(E11,Database!$A$2:$L$175,9,FALSE),"-")</f>
        <v>-</v>
      </c>
      <c r="I11" s="120" t="str">
        <f>IFERROR(VLOOKUP(E11,Database!$A$2:$S$175,19,FALSE),"-")</f>
        <v>-</v>
      </c>
      <c r="J11" s="103" t="str">
        <f>IF(AND(D11="Y",booking!H11&lt;&gt;booking!I11,booking!I11&gt;0),booking!I11,"-")</f>
        <v>-</v>
      </c>
      <c r="K11" s="86" t="str">
        <f>IFERROR(VLOOKUP(J11,Database!$A$2:$L$175,8,FALSE),"-")</f>
        <v>-</v>
      </c>
      <c r="L11" s="86" t="str">
        <f>IFERROR(VLOOKUP(J11,Database!$A$2:$L$175,6,FALSE),"-")</f>
        <v>-</v>
      </c>
      <c r="M11" s="100" t="str">
        <f>IFERROR(VLOOKUP(J11,Database!$A$2:$L$175,9,FALSE),"-")</f>
        <v>-</v>
      </c>
      <c r="N11" s="152" t="str">
        <f>IFERROR(VLOOKUP(J11,Database!$A$2:$S$175,19,FALSE),"-")</f>
        <v>-</v>
      </c>
      <c r="O11" s="103" t="str">
        <f>IF(AND(D11="Y",booking!L11&lt;&gt;booking!M11,booking!M11&gt;0),booking!M11,"-")</f>
        <v>-</v>
      </c>
      <c r="P11" s="86" t="str">
        <f>IFERROR(VLOOKUP(O11,Database!$A$2:$L$175,8,FALSE),"-")</f>
        <v>-</v>
      </c>
      <c r="Q11" s="86" t="str">
        <f>IFERROR(VLOOKUP(O11,Database!$A$2:$L$175,6,FALSE),"-")</f>
        <v>-</v>
      </c>
      <c r="R11" s="90" t="str">
        <f>IFERROR(VLOOKUP(O11,Database!$A$2:$L$175,9,FALSE),"-")</f>
        <v>-</v>
      </c>
      <c r="S11" s="152" t="str">
        <f>IFERROR(VLOOKUP(O11,Database!$A$2:$S$175,19,FALSE),"-")</f>
        <v>-</v>
      </c>
      <c r="T11" s="104" t="str">
        <f>IF(AND(D11="Y",booking!P11&lt;&gt;booking!Q11,booking!Q11&gt;0),booking!Q11,"-")</f>
        <v>-</v>
      </c>
      <c r="U11" s="86" t="str">
        <f>IFERROR(VLOOKUP(T11,Database!$A$2:$L$175,8,FALSE),"-")</f>
        <v>-</v>
      </c>
      <c r="V11" s="86" t="str">
        <f>IFERROR(VLOOKUP(T11,Database!$A$2:$L$175,6,FALSE),"-")</f>
        <v>-</v>
      </c>
      <c r="W11" s="90" t="str">
        <f>IFERROR(VLOOKUP(T11,Database!$A$2:$L$175,9,FALSE),"-")</f>
        <v>-</v>
      </c>
      <c r="X11" s="152" t="str">
        <f>IFERROR(VLOOKUP(T11,Database!$A$2:$S$175,19,FALSE),"-")</f>
        <v>-</v>
      </c>
      <c r="Y11" s="103" t="str">
        <f>IF(AND(D11="Y",booking!T11&lt;&gt;booking!U11,booking!U11&gt;0),booking!U11,"-")</f>
        <v>-</v>
      </c>
      <c r="Z11" s="87" t="str">
        <f>IFERROR(VLOOKUP(Y11,Database!$A$2:$L$175,8,FALSE),"-")</f>
        <v>-</v>
      </c>
      <c r="AA11" s="87" t="str">
        <f>IFERROR(VLOOKUP(Y11,Database!$A$2:$L$175,6,FALSE),"-")</f>
        <v>-</v>
      </c>
      <c r="AB11" s="99" t="str">
        <f>IFERROR(VLOOKUP(Y11,Database!$A$2:$L$175,9,FALSE),"-")</f>
        <v>-</v>
      </c>
      <c r="AC11" s="9" t="str">
        <f>IFERROR(VLOOKUP(Y11,Database!$A$2:$S$175,19,FALSE),"-")</f>
        <v>-</v>
      </c>
    </row>
    <row r="12" spans="1:29" ht="15" customHeight="1" thickBot="1" x14ac:dyDescent="0.4">
      <c r="A12" s="95" t="str">
        <f>rengøring!A12</f>
        <v>torsdag</v>
      </c>
      <c r="B12" s="93">
        <v>46513</v>
      </c>
      <c r="C12" s="10"/>
      <c r="D12" s="96" t="str">
        <f>IF(booking!AB12&gt;0,"Y","-")</f>
        <v>-</v>
      </c>
      <c r="E12" s="102" t="str">
        <f>IF(AND(D12="Y",booking!D12&lt;&gt;booking!E12,booking!E12&gt;0),booking!E12,"-")</f>
        <v>-</v>
      </c>
      <c r="F12" s="86" t="str">
        <f>IFERROR(VLOOKUP(E12,Database!$A$2:$L$175,8,FALSE),"-")</f>
        <v>-</v>
      </c>
      <c r="G12" s="86" t="str">
        <f>IFERROR(VLOOKUP(E12,Database!$A$2:$L$175,6,FALSE),"-")</f>
        <v>-</v>
      </c>
      <c r="H12" s="100" t="str">
        <f>IFERROR(VLOOKUP(E12,Database!$A$2:$L$175,9,FALSE),"-")</f>
        <v>-</v>
      </c>
      <c r="I12" s="120" t="str">
        <f>IFERROR(VLOOKUP(E12,Database!$A$2:$S$175,19,FALSE),"-")</f>
        <v>-</v>
      </c>
      <c r="J12" s="103" t="str">
        <f>IF(AND(D12="Y",booking!H12&lt;&gt;booking!I12,booking!I12&gt;0),booking!I12,"-")</f>
        <v>-</v>
      </c>
      <c r="K12" s="86" t="str">
        <f>IFERROR(VLOOKUP(J12,Database!$A$2:$L$175,8,FALSE),"-")</f>
        <v>-</v>
      </c>
      <c r="L12" s="86" t="str">
        <f>IFERROR(VLOOKUP(J12,Database!$A$2:$L$175,6,FALSE),"-")</f>
        <v>-</v>
      </c>
      <c r="M12" s="100" t="str">
        <f>IFERROR(VLOOKUP(J12,Database!$A$2:$L$175,9,FALSE),"-")</f>
        <v>-</v>
      </c>
      <c r="N12" s="152" t="str">
        <f>IFERROR(VLOOKUP(J12,Database!$A$2:$S$175,19,FALSE),"-")</f>
        <v>-</v>
      </c>
      <c r="O12" s="103" t="str">
        <f>IF(AND(D12="Y",booking!L12&lt;&gt;booking!M12,booking!M12&gt;0),booking!M12,"-")</f>
        <v>-</v>
      </c>
      <c r="P12" s="86" t="str">
        <f>IFERROR(VLOOKUP(O12,Database!$A$2:$L$175,8,FALSE),"-")</f>
        <v>-</v>
      </c>
      <c r="Q12" s="86" t="str">
        <f>IFERROR(VLOOKUP(O12,Database!$A$2:$L$175,6,FALSE),"-")</f>
        <v>-</v>
      </c>
      <c r="R12" s="90" t="str">
        <f>IFERROR(VLOOKUP(O12,Database!$A$2:$L$175,9,FALSE),"-")</f>
        <v>-</v>
      </c>
      <c r="S12" s="152" t="str">
        <f>IFERROR(VLOOKUP(O12,Database!$A$2:$S$175,19,FALSE),"-")</f>
        <v>-</v>
      </c>
      <c r="T12" s="104" t="str">
        <f>IF(AND(D12="Y",booking!P12&lt;&gt;booking!Q12,booking!Q12&gt;0),booking!Q12,"-")</f>
        <v>-</v>
      </c>
      <c r="U12" s="86" t="str">
        <f>IFERROR(VLOOKUP(T12,Database!$A$2:$L$175,8,FALSE),"-")</f>
        <v>-</v>
      </c>
      <c r="V12" s="86" t="str">
        <f>IFERROR(VLOOKUP(T12,Database!$A$2:$L$175,6,FALSE),"-")</f>
        <v>-</v>
      </c>
      <c r="W12" s="90" t="str">
        <f>IFERROR(VLOOKUP(T12,Database!$A$2:$L$175,9,FALSE),"-")</f>
        <v>-</v>
      </c>
      <c r="X12" s="152" t="str">
        <f>IFERROR(VLOOKUP(T12,Database!$A$2:$S$175,19,FALSE),"-")</f>
        <v>-</v>
      </c>
      <c r="Y12" s="103" t="str">
        <f>IF(AND(D12="Y",booking!T12&lt;&gt;booking!U12,booking!U12&gt;0),booking!U12,"-")</f>
        <v>-</v>
      </c>
      <c r="Z12" s="87" t="str">
        <f>IFERROR(VLOOKUP(Y12,Database!$A$2:$L$175,8,FALSE),"-")</f>
        <v>-</v>
      </c>
      <c r="AA12" s="87" t="str">
        <f>IFERROR(VLOOKUP(Y12,Database!$A$2:$L$175,6,FALSE),"-")</f>
        <v>-</v>
      </c>
      <c r="AB12" s="99" t="str">
        <f>IFERROR(VLOOKUP(Y12,Database!$A$2:$L$175,9,FALSE),"-")</f>
        <v>-</v>
      </c>
      <c r="AC12" s="9" t="str">
        <f>IFERROR(VLOOKUP(Y12,Database!$A$2:$S$175,19,FALSE),"-")</f>
        <v>-</v>
      </c>
    </row>
    <row r="13" spans="1:29" ht="15" customHeight="1" thickBot="1" x14ac:dyDescent="0.4">
      <c r="A13" s="95" t="str">
        <f>rengøring!A13</f>
        <v>fredag</v>
      </c>
      <c r="B13" s="93">
        <v>46514</v>
      </c>
      <c r="C13" s="10"/>
      <c r="D13" s="96" t="str">
        <f>IF(booking!AB13&gt;0,"Y","-")</f>
        <v>-</v>
      </c>
      <c r="E13" s="102" t="str">
        <f>IF(AND(D13="Y",booking!D13&lt;&gt;booking!E13,booking!E13&gt;0),booking!E13,"-")</f>
        <v>-</v>
      </c>
      <c r="F13" s="86" t="str">
        <f>IFERROR(VLOOKUP(E13,Database!$A$2:$L$175,8,FALSE),"-")</f>
        <v>-</v>
      </c>
      <c r="G13" s="86" t="str">
        <f>IFERROR(VLOOKUP(E13,Database!$A$2:$L$175,6,FALSE),"-")</f>
        <v>-</v>
      </c>
      <c r="H13" s="100" t="str">
        <f>IFERROR(VLOOKUP(E13,Database!$A$2:$L$175,9,FALSE),"-")</f>
        <v>-</v>
      </c>
      <c r="I13" s="120" t="str">
        <f>IFERROR(VLOOKUP(E13,Database!$A$2:$S$175,19,FALSE),"-")</f>
        <v>-</v>
      </c>
      <c r="J13" s="103" t="str">
        <f>IF(AND(D13="Y",booking!H13&lt;&gt;booking!I13,booking!I13&gt;0),booking!I13,"-")</f>
        <v>-</v>
      </c>
      <c r="K13" s="86" t="str">
        <f>IFERROR(VLOOKUP(J13,Database!$A$2:$L$175,8,FALSE),"-")</f>
        <v>-</v>
      </c>
      <c r="L13" s="86" t="str">
        <f>IFERROR(VLOOKUP(J13,Database!$A$2:$L$175,6,FALSE),"-")</f>
        <v>-</v>
      </c>
      <c r="M13" s="100" t="str">
        <f>IFERROR(VLOOKUP(J13,Database!$A$2:$L$175,9,FALSE),"-")</f>
        <v>-</v>
      </c>
      <c r="N13" s="152" t="str">
        <f>IFERROR(VLOOKUP(J13,Database!$A$2:$S$175,19,FALSE),"-")</f>
        <v>-</v>
      </c>
      <c r="O13" s="103" t="str">
        <f>IF(AND(D13="Y",booking!L13&lt;&gt;booking!M13,booking!M13&gt;0),booking!M13,"-")</f>
        <v>-</v>
      </c>
      <c r="P13" s="86" t="str">
        <f>IFERROR(VLOOKUP(O13,Database!$A$2:$L$175,8,FALSE),"-")</f>
        <v>-</v>
      </c>
      <c r="Q13" s="86" t="str">
        <f>IFERROR(VLOOKUP(O13,Database!$A$2:$L$175,6,FALSE),"-")</f>
        <v>-</v>
      </c>
      <c r="R13" s="90" t="str">
        <f>IFERROR(VLOOKUP(O13,Database!$A$2:$L$175,9,FALSE),"-")</f>
        <v>-</v>
      </c>
      <c r="S13" s="152" t="str">
        <f>IFERROR(VLOOKUP(O13,Database!$A$2:$S$175,19,FALSE),"-")</f>
        <v>-</v>
      </c>
      <c r="T13" s="104" t="str">
        <f>IF(AND(D13="Y",booking!P13&lt;&gt;booking!Q13,booking!Q13&gt;0),booking!Q13,"-")</f>
        <v>-</v>
      </c>
      <c r="U13" s="86" t="str">
        <f>IFERROR(VLOOKUP(T13,Database!$A$2:$L$175,8,FALSE),"-")</f>
        <v>-</v>
      </c>
      <c r="V13" s="86" t="str">
        <f>IFERROR(VLOOKUP(T13,Database!$A$2:$L$175,6,FALSE),"-")</f>
        <v>-</v>
      </c>
      <c r="W13" s="90" t="str">
        <f>IFERROR(VLOOKUP(T13,Database!$A$2:$L$175,9,FALSE),"-")</f>
        <v>-</v>
      </c>
      <c r="X13" s="152" t="str">
        <f>IFERROR(VLOOKUP(T13,Database!$A$2:$S$175,19,FALSE),"-")</f>
        <v>-</v>
      </c>
      <c r="Y13" s="103" t="str">
        <f>IF(AND(D13="Y",booking!T13&lt;&gt;booking!U13,booking!U13&gt;0),booking!U13,"-")</f>
        <v>-</v>
      </c>
      <c r="Z13" s="87" t="str">
        <f>IFERROR(VLOOKUP(Y13,Database!$A$2:$L$175,8,FALSE),"-")</f>
        <v>-</v>
      </c>
      <c r="AA13" s="87" t="str">
        <f>IFERROR(VLOOKUP(Y13,Database!$A$2:$L$175,6,FALSE),"-")</f>
        <v>-</v>
      </c>
      <c r="AB13" s="99" t="str">
        <f>IFERROR(VLOOKUP(Y13,Database!$A$2:$L$175,9,FALSE),"-")</f>
        <v>-</v>
      </c>
      <c r="AC13" s="9" t="str">
        <f>IFERROR(VLOOKUP(Y13,Database!$A$2:$S$175,19,FALSE),"-")</f>
        <v>-</v>
      </c>
    </row>
    <row r="14" spans="1:29" ht="15" customHeight="1" thickBot="1" x14ac:dyDescent="0.4">
      <c r="A14" s="95" t="str">
        <f>rengøring!A14</f>
        <v>lørdag</v>
      </c>
      <c r="B14" s="93">
        <v>46515</v>
      </c>
      <c r="C14" s="10"/>
      <c r="D14" s="96" t="str">
        <f>IF(booking!AB14&gt;0,"Y","-")</f>
        <v>-</v>
      </c>
      <c r="E14" s="102" t="str">
        <f>IF(AND(D14="Y",booking!D14&lt;&gt;booking!E14,booking!E14&gt;0),booking!E14,"-")</f>
        <v>-</v>
      </c>
      <c r="F14" s="86" t="str">
        <f>IFERROR(VLOOKUP(E14,Database!$A$2:$L$175,8,FALSE),"-")</f>
        <v>-</v>
      </c>
      <c r="G14" s="86" t="str">
        <f>IFERROR(VLOOKUP(E14,Database!$A$2:$L$175,6,FALSE),"-")</f>
        <v>-</v>
      </c>
      <c r="H14" s="100" t="str">
        <f>IFERROR(VLOOKUP(E14,Database!$A$2:$L$175,9,FALSE),"-")</f>
        <v>-</v>
      </c>
      <c r="I14" s="120" t="str">
        <f>IFERROR(VLOOKUP(E14,Database!$A$2:$S$175,19,FALSE),"-")</f>
        <v>-</v>
      </c>
      <c r="J14" s="103" t="str">
        <f>IF(AND(D14="Y",booking!H14&lt;&gt;booking!I14,booking!I14&gt;0),booking!I14,"-")</f>
        <v>-</v>
      </c>
      <c r="K14" s="86" t="str">
        <f>IFERROR(VLOOKUP(J14,Database!$A$2:$L$175,8,FALSE),"-")</f>
        <v>-</v>
      </c>
      <c r="L14" s="86" t="str">
        <f>IFERROR(VLOOKUP(J14,Database!$A$2:$L$175,6,FALSE),"-")</f>
        <v>-</v>
      </c>
      <c r="M14" s="100" t="str">
        <f>IFERROR(VLOOKUP(J14,Database!$A$2:$L$175,9,FALSE),"-")</f>
        <v>-</v>
      </c>
      <c r="N14" s="152" t="str">
        <f>IFERROR(VLOOKUP(J14,Database!$A$2:$S$175,19,FALSE),"-")</f>
        <v>-</v>
      </c>
      <c r="O14" s="103" t="str">
        <f>IF(AND(D14="Y",booking!L14&lt;&gt;booking!M14,booking!M14&gt;0),booking!M14,"-")</f>
        <v>-</v>
      </c>
      <c r="P14" s="86" t="str">
        <f>IFERROR(VLOOKUP(O14,Database!$A$2:$L$175,8,FALSE),"-")</f>
        <v>-</v>
      </c>
      <c r="Q14" s="86" t="str">
        <f>IFERROR(VLOOKUP(O14,Database!$A$2:$L$175,6,FALSE),"-")</f>
        <v>-</v>
      </c>
      <c r="R14" s="90" t="str">
        <f>IFERROR(VLOOKUP(O14,Database!$A$2:$L$175,9,FALSE),"-")</f>
        <v>-</v>
      </c>
      <c r="S14" s="152" t="str">
        <f>IFERROR(VLOOKUP(O14,Database!$A$2:$S$175,19,FALSE),"-")</f>
        <v>-</v>
      </c>
      <c r="T14" s="104" t="str">
        <f>IF(AND(D14="Y",booking!P14&lt;&gt;booking!Q14,booking!Q14&gt;0),booking!Q14,"-")</f>
        <v>-</v>
      </c>
      <c r="U14" s="86" t="str">
        <f>IFERROR(VLOOKUP(T14,Database!$A$2:$L$175,8,FALSE),"-")</f>
        <v>-</v>
      </c>
      <c r="V14" s="86" t="str">
        <f>IFERROR(VLOOKUP(T14,Database!$A$2:$L$175,6,FALSE),"-")</f>
        <v>-</v>
      </c>
      <c r="W14" s="90" t="str">
        <f>IFERROR(VLOOKUP(T14,Database!$A$2:$L$175,9,FALSE),"-")</f>
        <v>-</v>
      </c>
      <c r="X14" s="152" t="str">
        <f>IFERROR(VLOOKUP(T14,Database!$A$2:$S$175,19,FALSE),"-")</f>
        <v>-</v>
      </c>
      <c r="Y14" s="103" t="str">
        <f>IF(AND(D14="Y",booking!T14&lt;&gt;booking!U14,booking!U14&gt;0),booking!U14,"-")</f>
        <v>-</v>
      </c>
      <c r="Z14" s="87" t="str">
        <f>IFERROR(VLOOKUP(Y14,Database!$A$2:$L$175,8,FALSE),"-")</f>
        <v>-</v>
      </c>
      <c r="AA14" s="87" t="str">
        <f>IFERROR(VLOOKUP(Y14,Database!$A$2:$L$175,6,FALSE),"-")</f>
        <v>-</v>
      </c>
      <c r="AB14" s="99" t="str">
        <f>IFERROR(VLOOKUP(Y14,Database!$A$2:$L$175,9,FALSE),"-")</f>
        <v>-</v>
      </c>
      <c r="AC14" s="9" t="str">
        <f>IFERROR(VLOOKUP(Y14,Database!$A$2:$S$175,19,FALSE),"-")</f>
        <v>-</v>
      </c>
    </row>
    <row r="15" spans="1:29" ht="15" customHeight="1" thickBot="1" x14ac:dyDescent="0.4">
      <c r="A15" s="95" t="str">
        <f>rengøring!A15</f>
        <v>søndag</v>
      </c>
      <c r="B15" s="93">
        <v>46516</v>
      </c>
      <c r="C15" s="10"/>
      <c r="D15" s="96" t="str">
        <f>IF(booking!AB15&gt;0,"Y","-")</f>
        <v>-</v>
      </c>
      <c r="E15" s="102" t="str">
        <f>IF(AND(D15="Y",booking!D15&lt;&gt;booking!E15,booking!E15&gt;0),booking!E15,"-")</f>
        <v>-</v>
      </c>
      <c r="F15" s="86" t="str">
        <f>IFERROR(VLOOKUP(E15,Database!$A$2:$L$175,8,FALSE),"-")</f>
        <v>-</v>
      </c>
      <c r="G15" s="86" t="str">
        <f>IFERROR(VLOOKUP(E15,Database!$A$2:$L$175,6,FALSE),"-")</f>
        <v>-</v>
      </c>
      <c r="H15" s="100" t="str">
        <f>IFERROR(VLOOKUP(E15,Database!$A$2:$L$175,9,FALSE),"-")</f>
        <v>-</v>
      </c>
      <c r="I15" s="120" t="str">
        <f>IFERROR(VLOOKUP(E15,Database!$A$2:$S$175,19,FALSE),"-")</f>
        <v>-</v>
      </c>
      <c r="J15" s="103" t="str">
        <f>IF(AND(D15="Y",booking!H15&lt;&gt;booking!I15,booking!I15&gt;0),booking!I15,"-")</f>
        <v>-</v>
      </c>
      <c r="K15" s="86" t="str">
        <f>IFERROR(VLOOKUP(J15,Database!$A$2:$L$175,8,FALSE),"-")</f>
        <v>-</v>
      </c>
      <c r="L15" s="86" t="str">
        <f>IFERROR(VLOOKUP(J15,Database!$A$2:$L$175,6,FALSE),"-")</f>
        <v>-</v>
      </c>
      <c r="M15" s="100" t="str">
        <f>IFERROR(VLOOKUP(J15,Database!$A$2:$L$175,9,FALSE),"-")</f>
        <v>-</v>
      </c>
      <c r="N15" s="152" t="str">
        <f>IFERROR(VLOOKUP(J15,Database!$A$2:$S$175,19,FALSE),"-")</f>
        <v>-</v>
      </c>
      <c r="O15" s="103" t="str">
        <f>IF(AND(D15="Y",booking!L15&lt;&gt;booking!M15,booking!M15&gt;0),booking!M15,"-")</f>
        <v>-</v>
      </c>
      <c r="P15" s="86" t="str">
        <f>IFERROR(VLOOKUP(O15,Database!$A$2:$L$175,8,FALSE),"-")</f>
        <v>-</v>
      </c>
      <c r="Q15" s="86" t="str">
        <f>IFERROR(VLOOKUP(O15,Database!$A$2:$L$175,6,FALSE),"-")</f>
        <v>-</v>
      </c>
      <c r="R15" s="90" t="str">
        <f>IFERROR(VLOOKUP(O15,Database!$A$2:$L$175,9,FALSE),"-")</f>
        <v>-</v>
      </c>
      <c r="S15" s="152" t="str">
        <f>IFERROR(VLOOKUP(O15,Database!$A$2:$S$175,19,FALSE),"-")</f>
        <v>-</v>
      </c>
      <c r="T15" s="104" t="str">
        <f>IF(AND(D15="Y",booking!P15&lt;&gt;booking!Q15,booking!Q15&gt;0),booking!Q15,"-")</f>
        <v>-</v>
      </c>
      <c r="U15" s="86" t="str">
        <f>IFERROR(VLOOKUP(T15,Database!$A$2:$L$175,8,FALSE),"-")</f>
        <v>-</v>
      </c>
      <c r="V15" s="86" t="str">
        <f>IFERROR(VLOOKUP(T15,Database!$A$2:$L$175,6,FALSE),"-")</f>
        <v>-</v>
      </c>
      <c r="W15" s="90" t="str">
        <f>IFERROR(VLOOKUP(T15,Database!$A$2:$L$175,9,FALSE),"-")</f>
        <v>-</v>
      </c>
      <c r="X15" s="152" t="str">
        <f>IFERROR(VLOOKUP(T15,Database!$A$2:$S$175,19,FALSE),"-")</f>
        <v>-</v>
      </c>
      <c r="Y15" s="103" t="str">
        <f>IF(AND(D15="Y",booking!T15&lt;&gt;booking!U15,booking!U15&gt;0),booking!U15,"-")</f>
        <v>-</v>
      </c>
      <c r="Z15" s="87" t="str">
        <f>IFERROR(VLOOKUP(Y15,Database!$A$2:$L$175,8,FALSE),"-")</f>
        <v>-</v>
      </c>
      <c r="AA15" s="87" t="str">
        <f>IFERROR(VLOOKUP(Y15,Database!$A$2:$L$175,6,FALSE),"-")</f>
        <v>-</v>
      </c>
      <c r="AB15" s="99" t="str">
        <f>IFERROR(VLOOKUP(Y15,Database!$A$2:$L$175,9,FALSE),"-")</f>
        <v>-</v>
      </c>
      <c r="AC15" s="9" t="str">
        <f>IFERROR(VLOOKUP(Y15,Database!$A$2:$S$175,19,FALSE),"-")</f>
        <v>-</v>
      </c>
    </row>
    <row r="16" spans="1:29" ht="15" customHeight="1" thickBot="1" x14ac:dyDescent="0.4">
      <c r="A16" s="95" t="str">
        <f>rengøring!A16</f>
        <v>mandag</v>
      </c>
      <c r="B16" s="93">
        <v>46517</v>
      </c>
      <c r="C16" s="10"/>
      <c r="D16" s="96" t="str">
        <f>IF(booking!AB16&gt;0,"Y","-")</f>
        <v>-</v>
      </c>
      <c r="E16" s="102" t="str">
        <f>IF(AND(D16="Y",booking!D16&lt;&gt;booking!E16,booking!E16&gt;0),booking!E16,"-")</f>
        <v>-</v>
      </c>
      <c r="F16" s="86" t="str">
        <f>IFERROR(VLOOKUP(E16,Database!$A$2:$L$175,8,FALSE),"-")</f>
        <v>-</v>
      </c>
      <c r="G16" s="86" t="str">
        <f>IFERROR(VLOOKUP(E16,Database!$A$2:$L$175,6,FALSE),"-")</f>
        <v>-</v>
      </c>
      <c r="H16" s="100" t="str">
        <f>IFERROR(VLOOKUP(E16,Database!$A$2:$L$175,9,FALSE),"-")</f>
        <v>-</v>
      </c>
      <c r="I16" s="120" t="str">
        <f>IFERROR(VLOOKUP(E16,Database!$A$2:$S$175,19,FALSE),"-")</f>
        <v>-</v>
      </c>
      <c r="J16" s="103" t="str">
        <f>IF(AND(D16="Y",booking!H16&lt;&gt;booking!I16,booking!I16&gt;0),booking!I16,"-")</f>
        <v>-</v>
      </c>
      <c r="K16" s="86" t="str">
        <f>IFERROR(VLOOKUP(J16,Database!$A$2:$L$175,8,FALSE),"-")</f>
        <v>-</v>
      </c>
      <c r="L16" s="86" t="str">
        <f>IFERROR(VLOOKUP(J16,Database!$A$2:$L$175,6,FALSE),"-")</f>
        <v>-</v>
      </c>
      <c r="M16" s="100" t="str">
        <f>IFERROR(VLOOKUP(J16,Database!$A$2:$L$175,9,FALSE),"-")</f>
        <v>-</v>
      </c>
      <c r="N16" s="152" t="str">
        <f>IFERROR(VLOOKUP(J16,Database!$A$2:$S$175,19,FALSE),"-")</f>
        <v>-</v>
      </c>
      <c r="O16" s="103" t="str">
        <f>IF(AND(D16="Y",booking!L16&lt;&gt;booking!M16,booking!M16&gt;0),booking!M16,"-")</f>
        <v>-</v>
      </c>
      <c r="P16" s="86" t="str">
        <f>IFERROR(VLOOKUP(O16,Database!$A$2:$L$175,8,FALSE),"-")</f>
        <v>-</v>
      </c>
      <c r="Q16" s="86" t="str">
        <f>IFERROR(VLOOKUP(O16,Database!$A$2:$L$175,6,FALSE),"-")</f>
        <v>-</v>
      </c>
      <c r="R16" s="90" t="str">
        <f>IFERROR(VLOOKUP(O16,Database!$A$2:$L$175,9,FALSE),"-")</f>
        <v>-</v>
      </c>
      <c r="S16" s="152" t="str">
        <f>IFERROR(VLOOKUP(O16,Database!$A$2:$S$175,19,FALSE),"-")</f>
        <v>-</v>
      </c>
      <c r="T16" s="104" t="str">
        <f>IF(AND(D16="Y",booking!P16&lt;&gt;booking!Q16,booking!Q16&gt;0),booking!Q16,"-")</f>
        <v>-</v>
      </c>
      <c r="U16" s="86" t="str">
        <f>IFERROR(VLOOKUP(T16,Database!$A$2:$L$175,8,FALSE),"-")</f>
        <v>-</v>
      </c>
      <c r="V16" s="86" t="str">
        <f>IFERROR(VLOOKUP(T16,Database!$A$2:$L$175,6,FALSE),"-")</f>
        <v>-</v>
      </c>
      <c r="W16" s="90" t="str">
        <f>IFERROR(VLOOKUP(T16,Database!$A$2:$L$175,9,FALSE),"-")</f>
        <v>-</v>
      </c>
      <c r="X16" s="152" t="str">
        <f>IFERROR(VLOOKUP(T16,Database!$A$2:$S$175,19,FALSE),"-")</f>
        <v>-</v>
      </c>
      <c r="Y16" s="103" t="str">
        <f>IF(AND(D16="Y",booking!T16&lt;&gt;booking!U16,booking!U16&gt;0),booking!U16,"-")</f>
        <v>-</v>
      </c>
      <c r="Z16" s="87" t="str">
        <f>IFERROR(VLOOKUP(Y16,Database!$A$2:$L$175,8,FALSE),"-")</f>
        <v>-</v>
      </c>
      <c r="AA16" s="87" t="str">
        <f>IFERROR(VLOOKUP(Y16,Database!$A$2:$L$175,6,FALSE),"-")</f>
        <v>-</v>
      </c>
      <c r="AB16" s="99" t="str">
        <f>IFERROR(VLOOKUP(Y16,Database!$A$2:$L$175,9,FALSE),"-")</f>
        <v>-</v>
      </c>
      <c r="AC16" s="9" t="str">
        <f>IFERROR(VLOOKUP(Y16,Database!$A$2:$S$175,19,FALSE),"-")</f>
        <v>-</v>
      </c>
    </row>
    <row r="17" spans="1:29" ht="15" customHeight="1" thickBot="1" x14ac:dyDescent="0.4">
      <c r="A17" s="95" t="str">
        <f>rengøring!A17</f>
        <v>tirsdag</v>
      </c>
      <c r="B17" s="93">
        <v>46518</v>
      </c>
      <c r="C17" s="10"/>
      <c r="D17" s="96" t="str">
        <f>IF(booking!AB17&gt;0,"Y","-")</f>
        <v>-</v>
      </c>
      <c r="E17" s="102" t="str">
        <f>IF(AND(D17="Y",booking!D17&lt;&gt;booking!E17,booking!E17&gt;0),booking!E17,"-")</f>
        <v>-</v>
      </c>
      <c r="F17" s="86" t="str">
        <f>IFERROR(VLOOKUP(E17,Database!$A$2:$L$175,8,FALSE),"-")</f>
        <v>-</v>
      </c>
      <c r="G17" s="86" t="str">
        <f>IFERROR(VLOOKUP(E17,Database!$A$2:$L$175,6,FALSE),"-")</f>
        <v>-</v>
      </c>
      <c r="H17" s="100" t="str">
        <f>IFERROR(VLOOKUP(E17,Database!$A$2:$L$175,9,FALSE),"-")</f>
        <v>-</v>
      </c>
      <c r="I17" s="120" t="str">
        <f>IFERROR(VLOOKUP(E17,Database!$A$2:$S$175,19,FALSE),"-")</f>
        <v>-</v>
      </c>
      <c r="J17" s="103" t="str">
        <f>IF(AND(D17="Y",booking!H17&lt;&gt;booking!I17,booking!I17&gt;0),booking!I17,"-")</f>
        <v>-</v>
      </c>
      <c r="K17" s="86" t="str">
        <f>IFERROR(VLOOKUP(J17,Database!$A$2:$L$175,8,FALSE),"-")</f>
        <v>-</v>
      </c>
      <c r="L17" s="86" t="str">
        <f>IFERROR(VLOOKUP(J17,Database!$A$2:$L$175,6,FALSE),"-")</f>
        <v>-</v>
      </c>
      <c r="M17" s="100" t="str">
        <f>IFERROR(VLOOKUP(J17,Database!$A$2:$L$175,9,FALSE),"-")</f>
        <v>-</v>
      </c>
      <c r="N17" s="152" t="str">
        <f>IFERROR(VLOOKUP(J17,Database!$A$2:$S$175,19,FALSE),"-")</f>
        <v>-</v>
      </c>
      <c r="O17" s="103" t="str">
        <f>IF(AND(D17="Y",booking!L17&lt;&gt;booking!M17,booking!M17&gt;0),booking!M17,"-")</f>
        <v>-</v>
      </c>
      <c r="P17" s="86" t="str">
        <f>IFERROR(VLOOKUP(O17,Database!$A$2:$L$175,8,FALSE),"-")</f>
        <v>-</v>
      </c>
      <c r="Q17" s="86" t="str">
        <f>IFERROR(VLOOKUP(O17,Database!$A$2:$L$175,6,FALSE),"-")</f>
        <v>-</v>
      </c>
      <c r="R17" s="90" t="str">
        <f>IFERROR(VLOOKUP(O17,Database!$A$2:$L$175,9,FALSE),"-")</f>
        <v>-</v>
      </c>
      <c r="S17" s="152" t="str">
        <f>IFERROR(VLOOKUP(O17,Database!$A$2:$S$175,19,FALSE),"-")</f>
        <v>-</v>
      </c>
      <c r="T17" s="104" t="str">
        <f>IF(AND(D17="Y",booking!P17&lt;&gt;booking!Q17,booking!Q17&gt;0),booking!Q17,"-")</f>
        <v>-</v>
      </c>
      <c r="U17" s="86" t="str">
        <f>IFERROR(VLOOKUP(T17,Database!$A$2:$L$175,8,FALSE),"-")</f>
        <v>-</v>
      </c>
      <c r="V17" s="86" t="str">
        <f>IFERROR(VLOOKUP(T17,Database!$A$2:$L$175,6,FALSE),"-")</f>
        <v>-</v>
      </c>
      <c r="W17" s="90" t="str">
        <f>IFERROR(VLOOKUP(T17,Database!$A$2:$L$175,9,FALSE),"-")</f>
        <v>-</v>
      </c>
      <c r="X17" s="152" t="str">
        <f>IFERROR(VLOOKUP(T17,Database!$A$2:$S$175,19,FALSE),"-")</f>
        <v>-</v>
      </c>
      <c r="Y17" s="103" t="str">
        <f>IF(AND(D17="Y",booking!T17&lt;&gt;booking!U17,booking!U17&gt;0),booking!U17,"-")</f>
        <v>-</v>
      </c>
      <c r="Z17" s="87" t="str">
        <f>IFERROR(VLOOKUP(Y17,Database!$A$2:$L$175,8,FALSE),"-")</f>
        <v>-</v>
      </c>
      <c r="AA17" s="87" t="str">
        <f>IFERROR(VLOOKUP(Y17,Database!$A$2:$L$175,6,FALSE),"-")</f>
        <v>-</v>
      </c>
      <c r="AB17" s="99" t="str">
        <f>IFERROR(VLOOKUP(Y17,Database!$A$2:$L$175,9,FALSE),"-")</f>
        <v>-</v>
      </c>
      <c r="AC17" s="9" t="str">
        <f>IFERROR(VLOOKUP(Y17,Database!$A$2:$S$175,19,FALSE),"-")</f>
        <v>-</v>
      </c>
    </row>
    <row r="18" spans="1:29" ht="15" customHeight="1" thickBot="1" x14ac:dyDescent="0.4">
      <c r="A18" s="95" t="str">
        <f>rengøring!A18</f>
        <v>onsdag</v>
      </c>
      <c r="B18" s="93">
        <v>46519</v>
      </c>
      <c r="C18" s="10"/>
      <c r="D18" s="96" t="str">
        <f>IF(booking!AB18&gt;0,"Y","-")</f>
        <v>-</v>
      </c>
      <c r="E18" s="102" t="str">
        <f>IF(AND(D18="Y",booking!D18&lt;&gt;booking!E18,booking!E18&gt;0),booking!E18,"-")</f>
        <v>-</v>
      </c>
      <c r="F18" s="86" t="str">
        <f>IFERROR(VLOOKUP(E18,Database!$A$2:$L$175,8,FALSE),"-")</f>
        <v>-</v>
      </c>
      <c r="G18" s="86" t="str">
        <f>IFERROR(VLOOKUP(E18,Database!$A$2:$L$175,6,FALSE),"-")</f>
        <v>-</v>
      </c>
      <c r="H18" s="100" t="str">
        <f>IFERROR(VLOOKUP(E18,Database!$A$2:$L$175,9,FALSE),"-")</f>
        <v>-</v>
      </c>
      <c r="I18" s="120" t="str">
        <f>IFERROR(VLOOKUP(E18,Database!$A$2:$S$175,19,FALSE),"-")</f>
        <v>-</v>
      </c>
      <c r="J18" s="103" t="str">
        <f>IF(AND(D18="Y",booking!H18&lt;&gt;booking!I18,booking!I18&gt;0),booking!I18,"-")</f>
        <v>-</v>
      </c>
      <c r="K18" s="86" t="str">
        <f>IFERROR(VLOOKUP(J18,Database!$A$2:$L$175,8,FALSE),"-")</f>
        <v>-</v>
      </c>
      <c r="L18" s="86" t="str">
        <f>IFERROR(VLOOKUP(J18,Database!$A$2:$L$175,6,FALSE),"-")</f>
        <v>-</v>
      </c>
      <c r="M18" s="100" t="str">
        <f>IFERROR(VLOOKUP(J18,Database!$A$2:$L$175,9,FALSE),"-")</f>
        <v>-</v>
      </c>
      <c r="N18" s="152" t="str">
        <f>IFERROR(VLOOKUP(J18,Database!$A$2:$S$175,19,FALSE),"-")</f>
        <v>-</v>
      </c>
      <c r="O18" s="103" t="str">
        <f>IF(AND(D18="Y",booking!L18&lt;&gt;booking!M18,booking!M18&gt;0),booking!M18,"-")</f>
        <v>-</v>
      </c>
      <c r="P18" s="86" t="str">
        <f>IFERROR(VLOOKUP(O18,Database!$A$2:$L$175,8,FALSE),"-")</f>
        <v>-</v>
      </c>
      <c r="Q18" s="86" t="str">
        <f>IFERROR(VLOOKUP(O18,Database!$A$2:$L$175,6,FALSE),"-")</f>
        <v>-</v>
      </c>
      <c r="R18" s="90" t="str">
        <f>IFERROR(VLOOKUP(O18,Database!$A$2:$L$175,9,FALSE),"-")</f>
        <v>-</v>
      </c>
      <c r="S18" s="152" t="str">
        <f>IFERROR(VLOOKUP(O18,Database!$A$2:$S$175,19,FALSE),"-")</f>
        <v>-</v>
      </c>
      <c r="T18" s="104" t="str">
        <f>IF(AND(D18="Y",booking!P18&lt;&gt;booking!Q18,booking!Q18&gt;0),booking!Q18,"-")</f>
        <v>-</v>
      </c>
      <c r="U18" s="86" t="str">
        <f>IFERROR(VLOOKUP(T18,Database!$A$2:$L$175,8,FALSE),"-")</f>
        <v>-</v>
      </c>
      <c r="V18" s="86" t="str">
        <f>IFERROR(VLOOKUP(T18,Database!$A$2:$L$175,6,FALSE),"-")</f>
        <v>-</v>
      </c>
      <c r="W18" s="90" t="str">
        <f>IFERROR(VLOOKUP(T18,Database!$A$2:$L$175,9,FALSE),"-")</f>
        <v>-</v>
      </c>
      <c r="X18" s="152" t="str">
        <f>IFERROR(VLOOKUP(T18,Database!$A$2:$S$175,19,FALSE),"-")</f>
        <v>-</v>
      </c>
      <c r="Y18" s="103" t="str">
        <f>IF(AND(D18="Y",booking!T18&lt;&gt;booking!U18,booking!U18&gt;0),booking!U18,"-")</f>
        <v>-</v>
      </c>
      <c r="Z18" s="87" t="str">
        <f>IFERROR(VLOOKUP(Y18,Database!$A$2:$L$175,8,FALSE),"-")</f>
        <v>-</v>
      </c>
      <c r="AA18" s="87" t="str">
        <f>IFERROR(VLOOKUP(Y18,Database!$A$2:$L$175,6,FALSE),"-")</f>
        <v>-</v>
      </c>
      <c r="AB18" s="99" t="str">
        <f>IFERROR(VLOOKUP(Y18,Database!$A$2:$L$175,9,FALSE),"-")</f>
        <v>-</v>
      </c>
      <c r="AC18" s="9" t="str">
        <f>IFERROR(VLOOKUP(Y18,Database!$A$2:$S$175,19,FALSE),"-")</f>
        <v>-</v>
      </c>
    </row>
    <row r="19" spans="1:29" ht="15" customHeight="1" thickBot="1" x14ac:dyDescent="0.4">
      <c r="A19" s="95" t="str">
        <f>rengøring!A19</f>
        <v>torsdag</v>
      </c>
      <c r="B19" s="93">
        <v>46520</v>
      </c>
      <c r="C19" s="10"/>
      <c r="D19" s="96" t="str">
        <f>IF(booking!AB19&gt;0,"Y","-")</f>
        <v>-</v>
      </c>
      <c r="E19" s="102" t="str">
        <f>IF(AND(D19="Y",booking!D19&lt;&gt;booking!E19,booking!E19&gt;0),booking!E19,"-")</f>
        <v>-</v>
      </c>
      <c r="F19" s="86" t="str">
        <f>IFERROR(VLOOKUP(E19,Database!$A$2:$L$175,8,FALSE),"-")</f>
        <v>-</v>
      </c>
      <c r="G19" s="86" t="str">
        <f>IFERROR(VLOOKUP(E19,Database!$A$2:$L$175,6,FALSE),"-")</f>
        <v>-</v>
      </c>
      <c r="H19" s="100" t="str">
        <f>IFERROR(VLOOKUP(E19,Database!$A$2:$L$175,9,FALSE),"-")</f>
        <v>-</v>
      </c>
      <c r="I19" s="120" t="str">
        <f>IFERROR(VLOOKUP(E19,Database!$A$2:$S$175,19,FALSE),"-")</f>
        <v>-</v>
      </c>
      <c r="J19" s="103" t="str">
        <f>IF(AND(D19="Y",booking!H19&lt;&gt;booking!I19,booking!I19&gt;0),booking!I19,"-")</f>
        <v>-</v>
      </c>
      <c r="K19" s="86" t="str">
        <f>IFERROR(VLOOKUP(J19,Database!$A$2:$L$175,8,FALSE),"-")</f>
        <v>-</v>
      </c>
      <c r="L19" s="86" t="str">
        <f>IFERROR(VLOOKUP(J19,Database!$A$2:$L$175,6,FALSE),"-")</f>
        <v>-</v>
      </c>
      <c r="M19" s="100" t="str">
        <f>IFERROR(VLOOKUP(J19,Database!$A$2:$L$175,9,FALSE),"-")</f>
        <v>-</v>
      </c>
      <c r="N19" s="152" t="str">
        <f>IFERROR(VLOOKUP(J19,Database!$A$2:$S$175,19,FALSE),"-")</f>
        <v>-</v>
      </c>
      <c r="O19" s="103" t="str">
        <f>IF(AND(D19="Y",booking!L19&lt;&gt;booking!M19,booking!M19&gt;0),booking!M19,"-")</f>
        <v>-</v>
      </c>
      <c r="P19" s="86" t="str">
        <f>IFERROR(VLOOKUP(O19,Database!$A$2:$L$175,8,FALSE),"-")</f>
        <v>-</v>
      </c>
      <c r="Q19" s="86" t="str">
        <f>IFERROR(VLOOKUP(O19,Database!$A$2:$L$175,6,FALSE),"-")</f>
        <v>-</v>
      </c>
      <c r="R19" s="90" t="str">
        <f>IFERROR(VLOOKUP(O19,Database!$A$2:$L$175,9,FALSE),"-")</f>
        <v>-</v>
      </c>
      <c r="S19" s="152" t="str">
        <f>IFERROR(VLOOKUP(O19,Database!$A$2:$S$175,19,FALSE),"-")</f>
        <v>-</v>
      </c>
      <c r="T19" s="104" t="str">
        <f>IF(AND(D19="Y",booking!P19&lt;&gt;booking!Q19,booking!Q19&gt;0),booking!Q19,"-")</f>
        <v>-</v>
      </c>
      <c r="U19" s="86" t="str">
        <f>IFERROR(VLOOKUP(T19,Database!$A$2:$L$175,8,FALSE),"-")</f>
        <v>-</v>
      </c>
      <c r="V19" s="86" t="str">
        <f>IFERROR(VLOOKUP(T19,Database!$A$2:$L$175,6,FALSE),"-")</f>
        <v>-</v>
      </c>
      <c r="W19" s="90" t="str">
        <f>IFERROR(VLOOKUP(T19,Database!$A$2:$L$175,9,FALSE),"-")</f>
        <v>-</v>
      </c>
      <c r="X19" s="152" t="str">
        <f>IFERROR(VLOOKUP(T19,Database!$A$2:$S$175,19,FALSE),"-")</f>
        <v>-</v>
      </c>
      <c r="Y19" s="103" t="str">
        <f>IF(AND(D19="Y",booking!T19&lt;&gt;booking!U19,booking!U19&gt;0),booking!U19,"-")</f>
        <v>-</v>
      </c>
      <c r="Z19" s="87" t="str">
        <f>IFERROR(VLOOKUP(Y19,Database!$A$2:$L$175,8,FALSE),"-")</f>
        <v>-</v>
      </c>
      <c r="AA19" s="87" t="str">
        <f>IFERROR(VLOOKUP(Y19,Database!$A$2:$L$175,6,FALSE),"-")</f>
        <v>-</v>
      </c>
      <c r="AB19" s="99" t="str">
        <f>IFERROR(VLOOKUP(Y19,Database!$A$2:$L$175,9,FALSE),"-")</f>
        <v>-</v>
      </c>
      <c r="AC19" s="9" t="str">
        <f>IFERROR(VLOOKUP(Y19,Database!$A$2:$S$175,19,FALSE),"-")</f>
        <v>-</v>
      </c>
    </row>
    <row r="20" spans="1:29" ht="15" customHeight="1" thickBot="1" x14ac:dyDescent="0.4">
      <c r="A20" s="95" t="str">
        <f>rengøring!A20</f>
        <v>fredag</v>
      </c>
      <c r="B20" s="93">
        <v>46521</v>
      </c>
      <c r="C20" s="10"/>
      <c r="D20" s="96" t="str">
        <f>IF(booking!AB20&gt;0,"Y","-")</f>
        <v>-</v>
      </c>
      <c r="E20" s="102" t="str">
        <f>IF(AND(D20="Y",booking!D20&lt;&gt;booking!E20,booking!E20&gt;0),booking!E20,"-")</f>
        <v>-</v>
      </c>
      <c r="F20" s="86" t="str">
        <f>IFERROR(VLOOKUP(E20,Database!$A$2:$L$175,8,FALSE),"-")</f>
        <v>-</v>
      </c>
      <c r="G20" s="86" t="str">
        <f>IFERROR(VLOOKUP(E20,Database!$A$2:$L$175,6,FALSE),"-")</f>
        <v>-</v>
      </c>
      <c r="H20" s="100" t="str">
        <f>IFERROR(VLOOKUP(E20,Database!$A$2:$L$175,9,FALSE),"-")</f>
        <v>-</v>
      </c>
      <c r="I20" s="120" t="str">
        <f>IFERROR(VLOOKUP(E20,Database!$A$2:$S$175,19,FALSE),"-")</f>
        <v>-</v>
      </c>
      <c r="J20" s="103" t="str">
        <f>IF(AND(D20="Y",booking!H20&lt;&gt;booking!I20,booking!I20&gt;0),booking!I20,"-")</f>
        <v>-</v>
      </c>
      <c r="K20" s="86" t="str">
        <f>IFERROR(VLOOKUP(J20,Database!$A$2:$L$175,8,FALSE),"-")</f>
        <v>-</v>
      </c>
      <c r="L20" s="86" t="str">
        <f>IFERROR(VLOOKUP(J20,Database!$A$2:$L$175,6,FALSE),"-")</f>
        <v>-</v>
      </c>
      <c r="M20" s="100" t="str">
        <f>IFERROR(VLOOKUP(J20,Database!$A$2:$L$175,9,FALSE),"-")</f>
        <v>-</v>
      </c>
      <c r="N20" s="152" t="str">
        <f>IFERROR(VLOOKUP(J20,Database!$A$2:$S$175,19,FALSE),"-")</f>
        <v>-</v>
      </c>
      <c r="O20" s="103" t="str">
        <f>IF(AND(D20="Y",booking!L20&lt;&gt;booking!M20,booking!M20&gt;0),booking!M20,"-")</f>
        <v>-</v>
      </c>
      <c r="P20" s="86" t="str">
        <f>IFERROR(VLOOKUP(O20,Database!$A$2:$L$175,8,FALSE),"-")</f>
        <v>-</v>
      </c>
      <c r="Q20" s="86" t="str">
        <f>IFERROR(VLOOKUP(O20,Database!$A$2:$L$175,6,FALSE),"-")</f>
        <v>-</v>
      </c>
      <c r="R20" s="90" t="str">
        <f>IFERROR(VLOOKUP(O20,Database!$A$2:$L$175,9,FALSE),"-")</f>
        <v>-</v>
      </c>
      <c r="S20" s="152" t="str">
        <f>IFERROR(VLOOKUP(O20,Database!$A$2:$S$175,19,FALSE),"-")</f>
        <v>-</v>
      </c>
      <c r="T20" s="104" t="str">
        <f>IF(AND(D20="Y",booking!P20&lt;&gt;booking!Q20,booking!Q20&gt;0),booking!Q20,"-")</f>
        <v>-</v>
      </c>
      <c r="U20" s="86" t="str">
        <f>IFERROR(VLOOKUP(T20,Database!$A$2:$L$175,8,FALSE),"-")</f>
        <v>-</v>
      </c>
      <c r="V20" s="86" t="str">
        <f>IFERROR(VLOOKUP(T20,Database!$A$2:$L$175,6,FALSE),"-")</f>
        <v>-</v>
      </c>
      <c r="W20" s="90" t="str">
        <f>IFERROR(VLOOKUP(T20,Database!$A$2:$L$175,9,FALSE),"-")</f>
        <v>-</v>
      </c>
      <c r="X20" s="152" t="str">
        <f>IFERROR(VLOOKUP(T20,Database!$A$2:$S$175,19,FALSE),"-")</f>
        <v>-</v>
      </c>
      <c r="Y20" s="103" t="str">
        <f>IF(AND(D20="Y",booking!T20&lt;&gt;booking!U20,booking!U20&gt;0),booking!U20,"-")</f>
        <v>-</v>
      </c>
      <c r="Z20" s="87" t="str">
        <f>IFERROR(VLOOKUP(Y20,Database!$A$2:$L$175,8,FALSE),"-")</f>
        <v>-</v>
      </c>
      <c r="AA20" s="87" t="str">
        <f>IFERROR(VLOOKUP(Y20,Database!$A$2:$L$175,6,FALSE),"-")</f>
        <v>-</v>
      </c>
      <c r="AB20" s="99" t="str">
        <f>IFERROR(VLOOKUP(Y20,Database!$A$2:$L$175,9,FALSE),"-")</f>
        <v>-</v>
      </c>
      <c r="AC20" s="9" t="str">
        <f>IFERROR(VLOOKUP(Y20,Database!$A$2:$S$175,19,FALSE),"-")</f>
        <v>-</v>
      </c>
    </row>
    <row r="21" spans="1:29" ht="15" customHeight="1" thickBot="1" x14ac:dyDescent="0.4">
      <c r="A21" s="95" t="str">
        <f>rengøring!A21</f>
        <v>lørdag</v>
      </c>
      <c r="B21" s="93">
        <v>46522</v>
      </c>
      <c r="C21" s="10"/>
      <c r="D21" s="96" t="str">
        <f>IF(booking!AB21&gt;0,"Y","-")</f>
        <v>-</v>
      </c>
      <c r="E21" s="102" t="str">
        <f>IF(AND(D21="Y",booking!D21&lt;&gt;booking!E21,booking!E21&gt;0),booking!E21,"-")</f>
        <v>-</v>
      </c>
      <c r="F21" s="86" t="str">
        <f>IFERROR(VLOOKUP(E21,Database!$A$2:$L$175,8,FALSE),"-")</f>
        <v>-</v>
      </c>
      <c r="G21" s="86" t="str">
        <f>IFERROR(VLOOKUP(E21,Database!$A$2:$L$175,6,FALSE),"-")</f>
        <v>-</v>
      </c>
      <c r="H21" s="100" t="str">
        <f>IFERROR(VLOOKUP(E21,Database!$A$2:$L$175,9,FALSE),"-")</f>
        <v>-</v>
      </c>
      <c r="I21" s="120" t="str">
        <f>IFERROR(VLOOKUP(E21,Database!$A$2:$S$175,19,FALSE),"-")</f>
        <v>-</v>
      </c>
      <c r="J21" s="103" t="str">
        <f>IF(AND(D21="Y",booking!H21&lt;&gt;booking!I21,booking!I21&gt;0),booking!I21,"-")</f>
        <v>-</v>
      </c>
      <c r="K21" s="86" t="str">
        <f>IFERROR(VLOOKUP(J21,Database!$A$2:$L$175,8,FALSE),"-")</f>
        <v>-</v>
      </c>
      <c r="L21" s="86" t="str">
        <f>IFERROR(VLOOKUP(J21,Database!$A$2:$L$175,6,FALSE),"-")</f>
        <v>-</v>
      </c>
      <c r="M21" s="100" t="str">
        <f>IFERROR(VLOOKUP(J21,Database!$A$2:$L$175,9,FALSE),"-")</f>
        <v>-</v>
      </c>
      <c r="N21" s="152" t="str">
        <f>IFERROR(VLOOKUP(J21,Database!$A$2:$S$175,19,FALSE),"-")</f>
        <v>-</v>
      </c>
      <c r="O21" s="103" t="str">
        <f>IF(AND(D21="Y",booking!L21&lt;&gt;booking!M21,booking!M21&gt;0),booking!M21,"-")</f>
        <v>-</v>
      </c>
      <c r="P21" s="86" t="str">
        <f>IFERROR(VLOOKUP(O21,Database!$A$2:$L$175,8,FALSE),"-")</f>
        <v>-</v>
      </c>
      <c r="Q21" s="86" t="str">
        <f>IFERROR(VLOOKUP(O21,Database!$A$2:$L$175,6,FALSE),"-")</f>
        <v>-</v>
      </c>
      <c r="R21" s="90" t="str">
        <f>IFERROR(VLOOKUP(O21,Database!$A$2:$L$175,9,FALSE),"-")</f>
        <v>-</v>
      </c>
      <c r="S21" s="152" t="str">
        <f>IFERROR(VLOOKUP(O21,Database!$A$2:$S$175,19,FALSE),"-")</f>
        <v>-</v>
      </c>
      <c r="T21" s="104" t="str">
        <f>IF(AND(D21="Y",booking!P21&lt;&gt;booking!Q21,booking!Q21&gt;0),booking!Q21,"-")</f>
        <v>-</v>
      </c>
      <c r="U21" s="86" t="str">
        <f>IFERROR(VLOOKUP(T21,Database!$A$2:$L$175,8,FALSE),"-")</f>
        <v>-</v>
      </c>
      <c r="V21" s="86" t="str">
        <f>IFERROR(VLOOKUP(T21,Database!$A$2:$L$175,6,FALSE),"-")</f>
        <v>-</v>
      </c>
      <c r="W21" s="90" t="str">
        <f>IFERROR(VLOOKUP(T21,Database!$A$2:$L$175,9,FALSE),"-")</f>
        <v>-</v>
      </c>
      <c r="X21" s="152" t="str">
        <f>IFERROR(VLOOKUP(T21,Database!$A$2:$S$175,19,FALSE),"-")</f>
        <v>-</v>
      </c>
      <c r="Y21" s="103" t="str">
        <f>IF(AND(D21="Y",booking!T21&lt;&gt;booking!U21,booking!U21&gt;0),booking!U21,"-")</f>
        <v>-</v>
      </c>
      <c r="Z21" s="87" t="str">
        <f>IFERROR(VLOOKUP(Y21,Database!$A$2:$L$175,8,FALSE),"-")</f>
        <v>-</v>
      </c>
      <c r="AA21" s="87" t="str">
        <f>IFERROR(VLOOKUP(Y21,Database!$A$2:$L$175,6,FALSE),"-")</f>
        <v>-</v>
      </c>
      <c r="AB21" s="99" t="str">
        <f>IFERROR(VLOOKUP(Y21,Database!$A$2:$L$175,9,FALSE),"-")</f>
        <v>-</v>
      </c>
      <c r="AC21" s="9" t="str">
        <f>IFERROR(VLOOKUP(Y21,Database!$A$2:$S$175,19,FALSE),"-")</f>
        <v>-</v>
      </c>
    </row>
    <row r="22" spans="1:29" ht="15" customHeight="1" thickBot="1" x14ac:dyDescent="0.4">
      <c r="A22" s="95" t="str">
        <f>rengøring!A22</f>
        <v>søndag</v>
      </c>
      <c r="B22" s="93">
        <v>46523</v>
      </c>
      <c r="C22" s="10"/>
      <c r="D22" s="96" t="str">
        <f>IF(booking!AB22&gt;0,"Y","-")</f>
        <v>-</v>
      </c>
      <c r="E22" s="102" t="str">
        <f>IF(AND(D22="Y",booking!D22&lt;&gt;booking!E22,booking!E22&gt;0),booking!E22,"-")</f>
        <v>-</v>
      </c>
      <c r="F22" s="86" t="str">
        <f>IFERROR(VLOOKUP(E22,Database!$A$2:$L$175,8,FALSE),"-")</f>
        <v>-</v>
      </c>
      <c r="G22" s="86" t="str">
        <f>IFERROR(VLOOKUP(E22,Database!$A$2:$L$175,6,FALSE),"-")</f>
        <v>-</v>
      </c>
      <c r="H22" s="100" t="str">
        <f>IFERROR(VLOOKUP(E22,Database!$A$2:$L$175,9,FALSE),"-")</f>
        <v>-</v>
      </c>
      <c r="I22" s="120" t="str">
        <f>IFERROR(VLOOKUP(E22,Database!$A$2:$S$175,19,FALSE),"-")</f>
        <v>-</v>
      </c>
      <c r="J22" s="103" t="str">
        <f>IF(AND(D22="Y",booking!H22&lt;&gt;booking!I22,booking!I22&gt;0),booking!I22,"-")</f>
        <v>-</v>
      </c>
      <c r="K22" s="86" t="str">
        <f>IFERROR(VLOOKUP(J22,Database!$A$2:$L$175,8,FALSE),"-")</f>
        <v>-</v>
      </c>
      <c r="L22" s="86" t="str">
        <f>IFERROR(VLOOKUP(J22,Database!$A$2:$L$175,6,FALSE),"-")</f>
        <v>-</v>
      </c>
      <c r="M22" s="100" t="str">
        <f>IFERROR(VLOOKUP(J22,Database!$A$2:$L$175,9,FALSE),"-")</f>
        <v>-</v>
      </c>
      <c r="N22" s="152" t="str">
        <f>IFERROR(VLOOKUP(J22,Database!$A$2:$S$175,19,FALSE),"-")</f>
        <v>-</v>
      </c>
      <c r="O22" s="103" t="str">
        <f>IF(AND(D22="Y",booking!L22&lt;&gt;booking!M22,booking!M22&gt;0),booking!M22,"-")</f>
        <v>-</v>
      </c>
      <c r="P22" s="86" t="str">
        <f>IFERROR(VLOOKUP(O22,Database!$A$2:$L$175,8,FALSE),"-")</f>
        <v>-</v>
      </c>
      <c r="Q22" s="86" t="str">
        <f>IFERROR(VLOOKUP(O22,Database!$A$2:$L$175,6,FALSE),"-")</f>
        <v>-</v>
      </c>
      <c r="R22" s="90" t="str">
        <f>IFERROR(VLOOKUP(O22,Database!$A$2:$L$175,9,FALSE),"-")</f>
        <v>-</v>
      </c>
      <c r="S22" s="152" t="str">
        <f>IFERROR(VLOOKUP(O22,Database!$A$2:$S$175,19,FALSE),"-")</f>
        <v>-</v>
      </c>
      <c r="T22" s="104" t="str">
        <f>IF(AND(D22="Y",booking!P22&lt;&gt;booking!Q22,booking!Q22&gt;0),booking!Q22,"-")</f>
        <v>-</v>
      </c>
      <c r="U22" s="86" t="str">
        <f>IFERROR(VLOOKUP(T22,Database!$A$2:$L$175,8,FALSE),"-")</f>
        <v>-</v>
      </c>
      <c r="V22" s="86" t="str">
        <f>IFERROR(VLOOKUP(T22,Database!$A$2:$L$175,6,FALSE),"-")</f>
        <v>-</v>
      </c>
      <c r="W22" s="90" t="str">
        <f>IFERROR(VLOOKUP(T22,Database!$A$2:$L$175,9,FALSE),"-")</f>
        <v>-</v>
      </c>
      <c r="X22" s="152" t="str">
        <f>IFERROR(VLOOKUP(T22,Database!$A$2:$S$175,19,FALSE),"-")</f>
        <v>-</v>
      </c>
      <c r="Y22" s="103" t="str">
        <f>IF(AND(D22="Y",booking!T22&lt;&gt;booking!U22,booking!U22&gt;0),booking!U22,"-")</f>
        <v>-</v>
      </c>
      <c r="Z22" s="87" t="str">
        <f>IFERROR(VLOOKUP(Y22,Database!$A$2:$L$175,8,FALSE),"-")</f>
        <v>-</v>
      </c>
      <c r="AA22" s="87" t="str">
        <f>IFERROR(VLOOKUP(Y22,Database!$A$2:$L$175,6,FALSE),"-")</f>
        <v>-</v>
      </c>
      <c r="AB22" s="99" t="str">
        <f>IFERROR(VLOOKUP(Y22,Database!$A$2:$L$175,9,FALSE),"-")</f>
        <v>-</v>
      </c>
      <c r="AC22" s="9" t="str">
        <f>IFERROR(VLOOKUP(Y22,Database!$A$2:$S$175,19,FALSE),"-")</f>
        <v>-</v>
      </c>
    </row>
    <row r="23" spans="1:29" ht="15" customHeight="1" thickBot="1" x14ac:dyDescent="0.4">
      <c r="A23" s="95" t="str">
        <f>rengøring!A23</f>
        <v>mandag</v>
      </c>
      <c r="B23" s="93">
        <v>46524</v>
      </c>
      <c r="C23" s="10"/>
      <c r="D23" s="96" t="str">
        <f>IF(booking!AB23&gt;0,"Y","-")</f>
        <v>-</v>
      </c>
      <c r="E23" s="102" t="str">
        <f>IF(AND(D23="Y",booking!D23&lt;&gt;booking!E23,booking!E23&gt;0),booking!E23,"-")</f>
        <v>-</v>
      </c>
      <c r="F23" s="86" t="str">
        <f>IFERROR(VLOOKUP(E23,Database!$A$2:$L$175,8,FALSE),"-")</f>
        <v>-</v>
      </c>
      <c r="G23" s="86" t="str">
        <f>IFERROR(VLOOKUP(E23,Database!$A$2:$L$175,6,FALSE),"-")</f>
        <v>-</v>
      </c>
      <c r="H23" s="100" t="str">
        <f>IFERROR(VLOOKUP(E23,Database!$A$2:$L$175,9,FALSE),"-")</f>
        <v>-</v>
      </c>
      <c r="I23" s="120" t="str">
        <f>IFERROR(VLOOKUP(E23,Database!$A$2:$S$175,19,FALSE),"-")</f>
        <v>-</v>
      </c>
      <c r="J23" s="103" t="str">
        <f>IF(AND(D23="Y",booking!H23&lt;&gt;booking!I23,booking!I23&gt;0),booking!I23,"-")</f>
        <v>-</v>
      </c>
      <c r="K23" s="86" t="str">
        <f>IFERROR(VLOOKUP(J23,Database!$A$2:$L$175,8,FALSE),"-")</f>
        <v>-</v>
      </c>
      <c r="L23" s="86" t="str">
        <f>IFERROR(VLOOKUP(J23,Database!$A$2:$L$175,6,FALSE),"-")</f>
        <v>-</v>
      </c>
      <c r="M23" s="100" t="str">
        <f>IFERROR(VLOOKUP(J23,Database!$A$2:$L$175,9,FALSE),"-")</f>
        <v>-</v>
      </c>
      <c r="N23" s="152" t="str">
        <f>IFERROR(VLOOKUP(J23,Database!$A$2:$S$175,19,FALSE),"-")</f>
        <v>-</v>
      </c>
      <c r="O23" s="103" t="str">
        <f>IF(AND(D23="Y",booking!L23&lt;&gt;booking!M23,booking!M23&gt;0),booking!M23,"-")</f>
        <v>-</v>
      </c>
      <c r="P23" s="86" t="str">
        <f>IFERROR(VLOOKUP(O23,Database!$A$2:$L$175,8,FALSE),"-")</f>
        <v>-</v>
      </c>
      <c r="Q23" s="86" t="str">
        <f>IFERROR(VLOOKUP(O23,Database!$A$2:$L$175,6,FALSE),"-")</f>
        <v>-</v>
      </c>
      <c r="R23" s="90" t="str">
        <f>IFERROR(VLOOKUP(O23,Database!$A$2:$L$175,9,FALSE),"-")</f>
        <v>-</v>
      </c>
      <c r="S23" s="152" t="str">
        <f>IFERROR(VLOOKUP(O23,Database!$A$2:$S$175,19,FALSE),"-")</f>
        <v>-</v>
      </c>
      <c r="T23" s="104" t="str">
        <f>IF(AND(D23="Y",booking!P23&lt;&gt;booking!Q23,booking!Q23&gt;0),booking!Q23,"-")</f>
        <v>-</v>
      </c>
      <c r="U23" s="86" t="str">
        <f>IFERROR(VLOOKUP(T23,Database!$A$2:$L$175,8,FALSE),"-")</f>
        <v>-</v>
      </c>
      <c r="V23" s="86" t="str">
        <f>IFERROR(VLOOKUP(T23,Database!$A$2:$L$175,6,FALSE),"-")</f>
        <v>-</v>
      </c>
      <c r="W23" s="90" t="str">
        <f>IFERROR(VLOOKUP(T23,Database!$A$2:$L$175,9,FALSE),"-")</f>
        <v>-</v>
      </c>
      <c r="X23" s="152" t="str">
        <f>IFERROR(VLOOKUP(T23,Database!$A$2:$S$175,19,FALSE),"-")</f>
        <v>-</v>
      </c>
      <c r="Y23" s="103" t="str">
        <f>IF(AND(D23="Y",booking!T23&lt;&gt;booking!U23,booking!U23&gt;0),booking!U23,"-")</f>
        <v>-</v>
      </c>
      <c r="Z23" s="87" t="str">
        <f>IFERROR(VLOOKUP(Y23,Database!$A$2:$L$175,8,FALSE),"-")</f>
        <v>-</v>
      </c>
      <c r="AA23" s="87" t="str">
        <f>IFERROR(VLOOKUP(Y23,Database!$A$2:$L$175,6,FALSE),"-")</f>
        <v>-</v>
      </c>
      <c r="AB23" s="99" t="str">
        <f>IFERROR(VLOOKUP(Y23,Database!$A$2:$L$175,9,FALSE),"-")</f>
        <v>-</v>
      </c>
      <c r="AC23" s="9" t="str">
        <f>IFERROR(VLOOKUP(Y23,Database!$A$2:$S$175,19,FALSE),"-")</f>
        <v>-</v>
      </c>
    </row>
    <row r="24" spans="1:29" ht="15" customHeight="1" thickBot="1" x14ac:dyDescent="0.4">
      <c r="A24" s="95" t="str">
        <f>rengøring!A24</f>
        <v>tirsdag</v>
      </c>
      <c r="B24" s="93">
        <v>46525</v>
      </c>
      <c r="C24" s="10"/>
      <c r="D24" s="96" t="str">
        <f>IF(booking!AB24&gt;0,"Y","-")</f>
        <v>-</v>
      </c>
      <c r="E24" s="102" t="str">
        <f>IF(AND(D24="Y",booking!D24&lt;&gt;booking!E24,booking!E24&gt;0),booking!E24,"-")</f>
        <v>-</v>
      </c>
      <c r="F24" s="86" t="str">
        <f>IFERROR(VLOOKUP(E24,Database!$A$2:$L$175,8,FALSE),"-")</f>
        <v>-</v>
      </c>
      <c r="G24" s="86" t="str">
        <f>IFERROR(VLOOKUP(E24,Database!$A$2:$L$175,6,FALSE),"-")</f>
        <v>-</v>
      </c>
      <c r="H24" s="100" t="str">
        <f>IFERROR(VLOOKUP(E24,Database!$A$2:$L$175,9,FALSE),"-")</f>
        <v>-</v>
      </c>
      <c r="I24" s="120" t="str">
        <f>IFERROR(VLOOKUP(E24,Database!$A$2:$S$175,19,FALSE),"-")</f>
        <v>-</v>
      </c>
      <c r="J24" s="103" t="str">
        <f>IF(AND(D24="Y",booking!H24&lt;&gt;booking!I24,booking!I24&gt;0),booking!I24,"-")</f>
        <v>-</v>
      </c>
      <c r="K24" s="86" t="str">
        <f>IFERROR(VLOOKUP(J24,Database!$A$2:$L$175,8,FALSE),"-")</f>
        <v>-</v>
      </c>
      <c r="L24" s="86" t="str">
        <f>IFERROR(VLOOKUP(J24,Database!$A$2:$L$175,6,FALSE),"-")</f>
        <v>-</v>
      </c>
      <c r="M24" s="100" t="str">
        <f>IFERROR(VLOOKUP(J24,Database!$A$2:$L$175,9,FALSE),"-")</f>
        <v>-</v>
      </c>
      <c r="N24" s="152" t="str">
        <f>IFERROR(VLOOKUP(J24,Database!$A$2:$S$175,19,FALSE),"-")</f>
        <v>-</v>
      </c>
      <c r="O24" s="103" t="str">
        <f>IF(AND(D24="Y",booking!L24&lt;&gt;booking!M24,booking!M24&gt;0),booking!M24,"-")</f>
        <v>-</v>
      </c>
      <c r="P24" s="86" t="str">
        <f>IFERROR(VLOOKUP(O24,Database!$A$2:$L$175,8,FALSE),"-")</f>
        <v>-</v>
      </c>
      <c r="Q24" s="86" t="str">
        <f>IFERROR(VLOOKUP(O24,Database!$A$2:$L$175,6,FALSE),"-")</f>
        <v>-</v>
      </c>
      <c r="R24" s="90" t="str">
        <f>IFERROR(VLOOKUP(O24,Database!$A$2:$L$175,9,FALSE),"-")</f>
        <v>-</v>
      </c>
      <c r="S24" s="152" t="str">
        <f>IFERROR(VLOOKUP(O24,Database!$A$2:$S$175,19,FALSE),"-")</f>
        <v>-</v>
      </c>
      <c r="T24" s="104" t="str">
        <f>IF(AND(D24="Y",booking!P24&lt;&gt;booking!Q24,booking!Q24&gt;0),booking!Q24,"-")</f>
        <v>-</v>
      </c>
      <c r="U24" s="86" t="str">
        <f>IFERROR(VLOOKUP(T24,Database!$A$2:$L$175,8,FALSE),"-")</f>
        <v>-</v>
      </c>
      <c r="V24" s="86" t="str">
        <f>IFERROR(VLOOKUP(T24,Database!$A$2:$L$175,6,FALSE),"-")</f>
        <v>-</v>
      </c>
      <c r="W24" s="90" t="str">
        <f>IFERROR(VLOOKUP(T24,Database!$A$2:$L$175,9,FALSE),"-")</f>
        <v>-</v>
      </c>
      <c r="X24" s="152" t="str">
        <f>IFERROR(VLOOKUP(T24,Database!$A$2:$S$175,19,FALSE),"-")</f>
        <v>-</v>
      </c>
      <c r="Y24" s="103" t="str">
        <f>IF(AND(D24="Y",booking!T24&lt;&gt;booking!U24,booking!U24&gt;0),booking!U24,"-")</f>
        <v>-</v>
      </c>
      <c r="Z24" s="87" t="str">
        <f>IFERROR(VLOOKUP(Y24,Database!$A$2:$L$175,8,FALSE),"-")</f>
        <v>-</v>
      </c>
      <c r="AA24" s="87" t="str">
        <f>IFERROR(VLOOKUP(Y24,Database!$A$2:$L$175,6,FALSE),"-")</f>
        <v>-</v>
      </c>
      <c r="AB24" s="99" t="str">
        <f>IFERROR(VLOOKUP(Y24,Database!$A$2:$L$175,9,FALSE),"-")</f>
        <v>-</v>
      </c>
      <c r="AC24" s="9" t="str">
        <f>IFERROR(VLOOKUP(Y24,Database!$A$2:$S$175,19,FALSE),"-")</f>
        <v>-</v>
      </c>
    </row>
    <row r="25" spans="1:29" ht="15" customHeight="1" thickBot="1" x14ac:dyDescent="0.4">
      <c r="A25" s="95" t="str">
        <f>rengøring!A25</f>
        <v>onsdag</v>
      </c>
      <c r="B25" s="93">
        <v>46526</v>
      </c>
      <c r="C25" s="10"/>
      <c r="D25" s="96" t="str">
        <f>IF(booking!AB25&gt;0,"Y","-")</f>
        <v>-</v>
      </c>
      <c r="E25" s="102" t="str">
        <f>IF(AND(D25="Y",booking!D25&lt;&gt;booking!E25,booking!E25&gt;0),booking!E25,"-")</f>
        <v>-</v>
      </c>
      <c r="F25" s="86" t="str">
        <f>IFERROR(VLOOKUP(E25,Database!$A$2:$L$175,8,FALSE),"-")</f>
        <v>-</v>
      </c>
      <c r="G25" s="86" t="str">
        <f>IFERROR(VLOOKUP(E25,Database!$A$2:$L$175,6,FALSE),"-")</f>
        <v>-</v>
      </c>
      <c r="H25" s="100" t="str">
        <f>IFERROR(VLOOKUP(E25,Database!$A$2:$L$175,9,FALSE),"-")</f>
        <v>-</v>
      </c>
      <c r="I25" s="120" t="str">
        <f>IFERROR(VLOOKUP(E25,Database!$A$2:$S$175,19,FALSE),"-")</f>
        <v>-</v>
      </c>
      <c r="J25" s="103" t="str">
        <f>IF(AND(D25="Y",booking!H25&lt;&gt;booking!I25,booking!I25&gt;0),booking!I25,"-")</f>
        <v>-</v>
      </c>
      <c r="K25" s="86" t="str">
        <f>IFERROR(VLOOKUP(J25,Database!$A$2:$L$175,8,FALSE),"-")</f>
        <v>-</v>
      </c>
      <c r="L25" s="86" t="str">
        <f>IFERROR(VLOOKUP(J25,Database!$A$2:$L$175,6,FALSE),"-")</f>
        <v>-</v>
      </c>
      <c r="M25" s="100" t="str">
        <f>IFERROR(VLOOKUP(J25,Database!$A$2:$L$175,9,FALSE),"-")</f>
        <v>-</v>
      </c>
      <c r="N25" s="152" t="str">
        <f>IFERROR(VLOOKUP(J25,Database!$A$2:$S$175,19,FALSE),"-")</f>
        <v>-</v>
      </c>
      <c r="O25" s="103" t="str">
        <f>IF(AND(D25="Y",booking!L25&lt;&gt;booking!M25,booking!M25&gt;0),booking!M25,"-")</f>
        <v>-</v>
      </c>
      <c r="P25" s="86" t="str">
        <f>IFERROR(VLOOKUP(O25,Database!$A$2:$L$175,8,FALSE),"-")</f>
        <v>-</v>
      </c>
      <c r="Q25" s="86" t="str">
        <f>IFERROR(VLOOKUP(O25,Database!$A$2:$L$175,6,FALSE),"-")</f>
        <v>-</v>
      </c>
      <c r="R25" s="90" t="str">
        <f>IFERROR(VLOOKUP(O25,Database!$A$2:$L$175,9,FALSE),"-")</f>
        <v>-</v>
      </c>
      <c r="S25" s="152" t="str">
        <f>IFERROR(VLOOKUP(O25,Database!$A$2:$S$175,19,FALSE),"-")</f>
        <v>-</v>
      </c>
      <c r="T25" s="104" t="str">
        <f>IF(AND(D25="Y",booking!P25&lt;&gt;booking!Q25,booking!Q25&gt;0),booking!Q25,"-")</f>
        <v>-</v>
      </c>
      <c r="U25" s="86" t="str">
        <f>IFERROR(VLOOKUP(T25,Database!$A$2:$L$175,8,FALSE),"-")</f>
        <v>-</v>
      </c>
      <c r="V25" s="86" t="str">
        <f>IFERROR(VLOOKUP(T25,Database!$A$2:$L$175,6,FALSE),"-")</f>
        <v>-</v>
      </c>
      <c r="W25" s="90" t="str">
        <f>IFERROR(VLOOKUP(T25,Database!$A$2:$L$175,9,FALSE),"-")</f>
        <v>-</v>
      </c>
      <c r="X25" s="152" t="str">
        <f>IFERROR(VLOOKUP(T25,Database!$A$2:$S$175,19,FALSE),"-")</f>
        <v>-</v>
      </c>
      <c r="Y25" s="103" t="str">
        <f>IF(AND(D25="Y",booking!T25&lt;&gt;booking!U25,booking!U25&gt;0),booking!U25,"-")</f>
        <v>-</v>
      </c>
      <c r="Z25" s="87" t="str">
        <f>IFERROR(VLOOKUP(Y25,Database!$A$2:$L$175,8,FALSE),"-")</f>
        <v>-</v>
      </c>
      <c r="AA25" s="87" t="str">
        <f>IFERROR(VLOOKUP(Y25,Database!$A$2:$L$175,6,FALSE),"-")</f>
        <v>-</v>
      </c>
      <c r="AB25" s="99" t="str">
        <f>IFERROR(VLOOKUP(Y25,Database!$A$2:$L$175,9,FALSE),"-")</f>
        <v>-</v>
      </c>
      <c r="AC25" s="9" t="str">
        <f>IFERROR(VLOOKUP(Y25,Database!$A$2:$S$175,19,FALSE),"-")</f>
        <v>-</v>
      </c>
    </row>
    <row r="26" spans="1:29" ht="15" customHeight="1" thickBot="1" x14ac:dyDescent="0.4">
      <c r="A26" s="95" t="str">
        <f>rengøring!A26</f>
        <v>torsdag</v>
      </c>
      <c r="B26" s="93">
        <v>46527</v>
      </c>
      <c r="C26" s="10"/>
      <c r="D26" s="96" t="str">
        <f>IF(booking!AB26&gt;0,"Y","-")</f>
        <v>-</v>
      </c>
      <c r="E26" s="102" t="str">
        <f>IF(AND(D26="Y",booking!D26&lt;&gt;booking!E26,booking!E26&gt;0),booking!E26,"-")</f>
        <v>-</v>
      </c>
      <c r="F26" s="86" t="str">
        <f>IFERROR(VLOOKUP(E26,Database!$A$2:$L$175,8,FALSE),"-")</f>
        <v>-</v>
      </c>
      <c r="G26" s="86" t="str">
        <f>IFERROR(VLOOKUP(E26,Database!$A$2:$L$175,6,FALSE),"-")</f>
        <v>-</v>
      </c>
      <c r="H26" s="100" t="str">
        <f>IFERROR(VLOOKUP(E26,Database!$A$2:$L$175,9,FALSE),"-")</f>
        <v>-</v>
      </c>
      <c r="I26" s="120" t="str">
        <f>IFERROR(VLOOKUP(E26,Database!$A$2:$S$175,19,FALSE),"-")</f>
        <v>-</v>
      </c>
      <c r="J26" s="103" t="str">
        <f>IF(AND(D26="Y",booking!H26&lt;&gt;booking!I26,booking!I26&gt;0),booking!I26,"-")</f>
        <v>-</v>
      </c>
      <c r="K26" s="86" t="str">
        <f>IFERROR(VLOOKUP(J26,Database!$A$2:$L$175,8,FALSE),"-")</f>
        <v>-</v>
      </c>
      <c r="L26" s="86" t="str">
        <f>IFERROR(VLOOKUP(J26,Database!$A$2:$L$175,6,FALSE),"-")</f>
        <v>-</v>
      </c>
      <c r="M26" s="100" t="str">
        <f>IFERROR(VLOOKUP(J26,Database!$A$2:$L$175,9,FALSE),"-")</f>
        <v>-</v>
      </c>
      <c r="N26" s="152" t="str">
        <f>IFERROR(VLOOKUP(J26,Database!$A$2:$S$175,19,FALSE),"-")</f>
        <v>-</v>
      </c>
      <c r="O26" s="103" t="str">
        <f>IF(AND(D26="Y",booking!L26&lt;&gt;booking!M26,booking!M26&gt;0),booking!M26,"-")</f>
        <v>-</v>
      </c>
      <c r="P26" s="86" t="str">
        <f>IFERROR(VLOOKUP(O26,Database!$A$2:$L$175,8,FALSE),"-")</f>
        <v>-</v>
      </c>
      <c r="Q26" s="86" t="str">
        <f>IFERROR(VLOOKUP(O26,Database!$A$2:$L$175,6,FALSE),"-")</f>
        <v>-</v>
      </c>
      <c r="R26" s="90" t="str">
        <f>IFERROR(VLOOKUP(O26,Database!$A$2:$L$175,9,FALSE),"-")</f>
        <v>-</v>
      </c>
      <c r="S26" s="152" t="str">
        <f>IFERROR(VLOOKUP(O26,Database!$A$2:$S$175,19,FALSE),"-")</f>
        <v>-</v>
      </c>
      <c r="T26" s="104" t="str">
        <f>IF(AND(D26="Y",booking!P26&lt;&gt;booking!Q26,booking!Q26&gt;0),booking!Q26,"-")</f>
        <v>-</v>
      </c>
      <c r="U26" s="86" t="str">
        <f>IFERROR(VLOOKUP(T26,Database!$A$2:$L$175,8,FALSE),"-")</f>
        <v>-</v>
      </c>
      <c r="V26" s="86" t="str">
        <f>IFERROR(VLOOKUP(T26,Database!$A$2:$L$175,6,FALSE),"-")</f>
        <v>-</v>
      </c>
      <c r="W26" s="90" t="str">
        <f>IFERROR(VLOOKUP(T26,Database!$A$2:$L$175,9,FALSE),"-")</f>
        <v>-</v>
      </c>
      <c r="X26" s="152" t="str">
        <f>IFERROR(VLOOKUP(T26,Database!$A$2:$S$175,19,FALSE),"-")</f>
        <v>-</v>
      </c>
      <c r="Y26" s="103" t="str">
        <f>IF(AND(D26="Y",booking!T26&lt;&gt;booking!U26,booking!U26&gt;0),booking!U26,"-")</f>
        <v>-</v>
      </c>
      <c r="Z26" s="87" t="str">
        <f>IFERROR(VLOOKUP(Y26,Database!$A$2:$L$175,8,FALSE),"-")</f>
        <v>-</v>
      </c>
      <c r="AA26" s="87" t="str">
        <f>IFERROR(VLOOKUP(Y26,Database!$A$2:$L$175,6,FALSE),"-")</f>
        <v>-</v>
      </c>
      <c r="AB26" s="99" t="str">
        <f>IFERROR(VLOOKUP(Y26,Database!$A$2:$L$175,9,FALSE),"-")</f>
        <v>-</v>
      </c>
      <c r="AC26" s="9" t="str">
        <f>IFERROR(VLOOKUP(Y26,Database!$A$2:$S$175,19,FALSE),"-")</f>
        <v>-</v>
      </c>
    </row>
    <row r="27" spans="1:29" ht="15" customHeight="1" thickBot="1" x14ac:dyDescent="0.4">
      <c r="A27" s="95" t="str">
        <f>rengøring!A27</f>
        <v>fredag</v>
      </c>
      <c r="B27" s="93">
        <v>46528</v>
      </c>
      <c r="C27" s="10"/>
      <c r="D27" s="96" t="str">
        <f>IF(booking!AB27&gt;0,"Y","-")</f>
        <v>-</v>
      </c>
      <c r="E27" s="102" t="str">
        <f>IF(AND(D27="Y",booking!D27&lt;&gt;booking!E27,booking!E27&gt;0),booking!E27,"-")</f>
        <v>-</v>
      </c>
      <c r="F27" s="86" t="str">
        <f>IFERROR(VLOOKUP(E27,Database!$A$2:$L$175,8,FALSE),"-")</f>
        <v>-</v>
      </c>
      <c r="G27" s="86" t="str">
        <f>IFERROR(VLOOKUP(E27,Database!$A$2:$L$175,6,FALSE),"-")</f>
        <v>-</v>
      </c>
      <c r="H27" s="100" t="str">
        <f>IFERROR(VLOOKUP(E27,Database!$A$2:$L$175,9,FALSE),"-")</f>
        <v>-</v>
      </c>
      <c r="I27" s="120" t="str">
        <f>IFERROR(VLOOKUP(E27,Database!$A$2:$S$175,19,FALSE),"-")</f>
        <v>-</v>
      </c>
      <c r="J27" s="103" t="str">
        <f>IF(AND(D27="Y",booking!H27&lt;&gt;booking!I27,booking!I27&gt;0),booking!I27,"-")</f>
        <v>-</v>
      </c>
      <c r="K27" s="86" t="str">
        <f>IFERROR(VLOOKUP(J27,Database!$A$2:$L$175,8,FALSE),"-")</f>
        <v>-</v>
      </c>
      <c r="L27" s="86" t="str">
        <f>IFERROR(VLOOKUP(J27,Database!$A$2:$L$175,6,FALSE),"-")</f>
        <v>-</v>
      </c>
      <c r="M27" s="100" t="str">
        <f>IFERROR(VLOOKUP(J27,Database!$A$2:$L$175,9,FALSE),"-")</f>
        <v>-</v>
      </c>
      <c r="N27" s="152" t="str">
        <f>IFERROR(VLOOKUP(J27,Database!$A$2:$S$175,19,FALSE),"-")</f>
        <v>-</v>
      </c>
      <c r="O27" s="103" t="str">
        <f>IF(AND(D27="Y",booking!L27&lt;&gt;booking!M27,booking!M27&gt;0),booking!M27,"-")</f>
        <v>-</v>
      </c>
      <c r="P27" s="86" t="str">
        <f>IFERROR(VLOOKUP(O27,Database!$A$2:$L$175,8,FALSE),"-")</f>
        <v>-</v>
      </c>
      <c r="Q27" s="86" t="str">
        <f>IFERROR(VLOOKUP(O27,Database!$A$2:$L$175,6,FALSE),"-")</f>
        <v>-</v>
      </c>
      <c r="R27" s="90" t="str">
        <f>IFERROR(VLOOKUP(O27,Database!$A$2:$L$175,9,FALSE),"-")</f>
        <v>-</v>
      </c>
      <c r="S27" s="152" t="str">
        <f>IFERROR(VLOOKUP(O27,Database!$A$2:$S$175,19,FALSE),"-")</f>
        <v>-</v>
      </c>
      <c r="T27" s="104" t="str">
        <f>IF(AND(D27="Y",booking!P27&lt;&gt;booking!Q27,booking!Q27&gt;0),booking!Q27,"-")</f>
        <v>-</v>
      </c>
      <c r="U27" s="86" t="str">
        <f>IFERROR(VLOOKUP(T27,Database!$A$2:$L$175,8,FALSE),"-")</f>
        <v>-</v>
      </c>
      <c r="V27" s="86" t="str">
        <f>IFERROR(VLOOKUP(T27,Database!$A$2:$L$175,6,FALSE),"-")</f>
        <v>-</v>
      </c>
      <c r="W27" s="90" t="str">
        <f>IFERROR(VLOOKUP(T27,Database!$A$2:$L$175,9,FALSE),"-")</f>
        <v>-</v>
      </c>
      <c r="X27" s="152" t="str">
        <f>IFERROR(VLOOKUP(T27,Database!$A$2:$S$175,19,FALSE),"-")</f>
        <v>-</v>
      </c>
      <c r="Y27" s="103" t="str">
        <f>IF(AND(D27="Y",booking!T27&lt;&gt;booking!U27,booking!U27&gt;0),booking!U27,"-")</f>
        <v>-</v>
      </c>
      <c r="Z27" s="87" t="str">
        <f>IFERROR(VLOOKUP(Y27,Database!$A$2:$L$175,8,FALSE),"-")</f>
        <v>-</v>
      </c>
      <c r="AA27" s="87" t="str">
        <f>IFERROR(VLOOKUP(Y27,Database!$A$2:$L$175,6,FALSE),"-")</f>
        <v>-</v>
      </c>
      <c r="AB27" s="99" t="str">
        <f>IFERROR(VLOOKUP(Y27,Database!$A$2:$L$175,9,FALSE),"-")</f>
        <v>-</v>
      </c>
      <c r="AC27" s="9" t="str">
        <f>IFERROR(VLOOKUP(Y27,Database!$A$2:$S$175,19,FALSE),"-")</f>
        <v>-</v>
      </c>
    </row>
    <row r="28" spans="1:29" ht="15" customHeight="1" thickBot="1" x14ac:dyDescent="0.4">
      <c r="A28" s="95" t="str">
        <f>rengøring!A28</f>
        <v>lørdag</v>
      </c>
      <c r="B28" s="93">
        <v>46529</v>
      </c>
      <c r="C28" s="10"/>
      <c r="D28" s="96" t="str">
        <f>IF(booking!AB28&gt;0,"Y","-")</f>
        <v>-</v>
      </c>
      <c r="E28" s="102" t="str">
        <f>IF(AND(D28="Y",booking!D28&lt;&gt;booking!E28,booking!E28&gt;0),booking!E28,"-")</f>
        <v>-</v>
      </c>
      <c r="F28" s="86" t="str">
        <f>IFERROR(VLOOKUP(E28,Database!$A$2:$L$175,8,FALSE),"-")</f>
        <v>-</v>
      </c>
      <c r="G28" s="86" t="str">
        <f>IFERROR(VLOOKUP(E28,Database!$A$2:$L$175,6,FALSE),"-")</f>
        <v>-</v>
      </c>
      <c r="H28" s="100" t="str">
        <f>IFERROR(VLOOKUP(E28,Database!$A$2:$L$175,9,FALSE),"-")</f>
        <v>-</v>
      </c>
      <c r="I28" s="120" t="str">
        <f>IFERROR(VLOOKUP(E28,Database!$A$2:$S$175,19,FALSE),"-")</f>
        <v>-</v>
      </c>
      <c r="J28" s="103" t="str">
        <f>IF(AND(D28="Y",booking!H28&lt;&gt;booking!I28,booking!I28&gt;0),booking!I28,"-")</f>
        <v>-</v>
      </c>
      <c r="K28" s="86" t="str">
        <f>IFERROR(VLOOKUP(J28,Database!$A$2:$L$175,8,FALSE),"-")</f>
        <v>-</v>
      </c>
      <c r="L28" s="86" t="str">
        <f>IFERROR(VLOOKUP(J28,Database!$A$2:$L$175,6,FALSE),"-")</f>
        <v>-</v>
      </c>
      <c r="M28" s="100" t="str">
        <f>IFERROR(VLOOKUP(J28,Database!$A$2:$L$175,9,FALSE),"-")</f>
        <v>-</v>
      </c>
      <c r="N28" s="152" t="str">
        <f>IFERROR(VLOOKUP(J28,Database!$A$2:$S$175,19,FALSE),"-")</f>
        <v>-</v>
      </c>
      <c r="O28" s="103" t="str">
        <f>IF(AND(D28="Y",booking!L28&lt;&gt;booking!M28,booking!M28&gt;0),booking!M28,"-")</f>
        <v>-</v>
      </c>
      <c r="P28" s="86" t="str">
        <f>IFERROR(VLOOKUP(O28,Database!$A$2:$L$175,8,FALSE),"-")</f>
        <v>-</v>
      </c>
      <c r="Q28" s="86" t="str">
        <f>IFERROR(VLOOKUP(O28,Database!$A$2:$L$175,6,FALSE),"-")</f>
        <v>-</v>
      </c>
      <c r="R28" s="90" t="str">
        <f>IFERROR(VLOOKUP(O28,Database!$A$2:$L$175,9,FALSE),"-")</f>
        <v>-</v>
      </c>
      <c r="S28" s="152" t="str">
        <f>IFERROR(VLOOKUP(O28,Database!$A$2:$S$175,19,FALSE),"-")</f>
        <v>-</v>
      </c>
      <c r="T28" s="104" t="str">
        <f>IF(AND(D28="Y",booking!P28&lt;&gt;booking!Q28,booking!Q28&gt;0),booking!Q28,"-")</f>
        <v>-</v>
      </c>
      <c r="U28" s="86" t="str">
        <f>IFERROR(VLOOKUP(T28,Database!$A$2:$L$175,8,FALSE),"-")</f>
        <v>-</v>
      </c>
      <c r="V28" s="86" t="str">
        <f>IFERROR(VLOOKUP(T28,Database!$A$2:$L$175,6,FALSE),"-")</f>
        <v>-</v>
      </c>
      <c r="W28" s="90" t="str">
        <f>IFERROR(VLOOKUP(T28,Database!$A$2:$L$175,9,FALSE),"-")</f>
        <v>-</v>
      </c>
      <c r="X28" s="152" t="str">
        <f>IFERROR(VLOOKUP(T28,Database!$A$2:$S$175,19,FALSE),"-")</f>
        <v>-</v>
      </c>
      <c r="Y28" s="103" t="str">
        <f>IF(AND(D28="Y",booking!T28&lt;&gt;booking!U28,booking!U28&gt;0),booking!U28,"-")</f>
        <v>-</v>
      </c>
      <c r="Z28" s="87" t="str">
        <f>IFERROR(VLOOKUP(Y28,Database!$A$2:$L$175,8,FALSE),"-")</f>
        <v>-</v>
      </c>
      <c r="AA28" s="87" t="str">
        <f>IFERROR(VLOOKUP(Y28,Database!$A$2:$L$175,6,FALSE),"-")</f>
        <v>-</v>
      </c>
      <c r="AB28" s="99" t="str">
        <f>IFERROR(VLOOKUP(Y28,Database!$A$2:$L$175,9,FALSE),"-")</f>
        <v>-</v>
      </c>
      <c r="AC28" s="9" t="str">
        <f>IFERROR(VLOOKUP(Y28,Database!$A$2:$S$175,19,FALSE),"-")</f>
        <v>-</v>
      </c>
    </row>
    <row r="29" spans="1:29" ht="15" customHeight="1" thickBot="1" x14ac:dyDescent="0.4">
      <c r="A29" s="95" t="str">
        <f>rengøring!A29</f>
        <v>søndag</v>
      </c>
      <c r="B29" s="93">
        <v>46530</v>
      </c>
      <c r="C29" s="10"/>
      <c r="D29" s="96" t="str">
        <f>IF(booking!AB29&gt;0,"Y","-")</f>
        <v>-</v>
      </c>
      <c r="E29" s="102" t="str">
        <f>IF(AND(D29="Y",booking!D29&lt;&gt;booking!E29,booking!E29&gt;0),booking!E29,"-")</f>
        <v>-</v>
      </c>
      <c r="F29" s="86" t="str">
        <f>IFERROR(VLOOKUP(E29,Database!$A$2:$L$175,8,FALSE),"-")</f>
        <v>-</v>
      </c>
      <c r="G29" s="86" t="str">
        <f>IFERROR(VLOOKUP(E29,Database!$A$2:$L$175,6,FALSE),"-")</f>
        <v>-</v>
      </c>
      <c r="H29" s="100" t="str">
        <f>IFERROR(VLOOKUP(E29,Database!$A$2:$L$175,9,FALSE),"-")</f>
        <v>-</v>
      </c>
      <c r="I29" s="120" t="str">
        <f>IFERROR(VLOOKUP(E29,Database!$A$2:$S$175,19,FALSE),"-")</f>
        <v>-</v>
      </c>
      <c r="J29" s="103" t="str">
        <f>IF(AND(D29="Y",booking!H29&lt;&gt;booking!I29,booking!I29&gt;0),booking!I29,"-")</f>
        <v>-</v>
      </c>
      <c r="K29" s="86" t="str">
        <f>IFERROR(VLOOKUP(J29,Database!$A$2:$L$175,8,FALSE),"-")</f>
        <v>-</v>
      </c>
      <c r="L29" s="86" t="str">
        <f>IFERROR(VLOOKUP(J29,Database!$A$2:$L$175,6,FALSE),"-")</f>
        <v>-</v>
      </c>
      <c r="M29" s="100" t="str">
        <f>IFERROR(VLOOKUP(J29,Database!$A$2:$L$175,9,FALSE),"-")</f>
        <v>-</v>
      </c>
      <c r="N29" s="152" t="str">
        <f>IFERROR(VLOOKUP(J29,Database!$A$2:$S$175,19,FALSE),"-")</f>
        <v>-</v>
      </c>
      <c r="O29" s="103" t="str">
        <f>IF(AND(D29="Y",booking!L29&lt;&gt;booking!M29,booking!M29&gt;0),booking!M29,"-")</f>
        <v>-</v>
      </c>
      <c r="P29" s="86" t="str">
        <f>IFERROR(VLOOKUP(O29,Database!$A$2:$L$175,8,FALSE),"-")</f>
        <v>-</v>
      </c>
      <c r="Q29" s="86" t="str">
        <f>IFERROR(VLOOKUP(O29,Database!$A$2:$L$175,6,FALSE),"-")</f>
        <v>-</v>
      </c>
      <c r="R29" s="90" t="str">
        <f>IFERROR(VLOOKUP(O29,Database!$A$2:$L$175,9,FALSE),"-")</f>
        <v>-</v>
      </c>
      <c r="S29" s="152" t="str">
        <f>IFERROR(VLOOKUP(O29,Database!$A$2:$S$175,19,FALSE),"-")</f>
        <v>-</v>
      </c>
      <c r="T29" s="104" t="str">
        <f>IF(AND(D29="Y",booking!P29&lt;&gt;booking!Q29,booking!Q29&gt;0),booking!Q29,"-")</f>
        <v>-</v>
      </c>
      <c r="U29" s="86" t="str">
        <f>IFERROR(VLOOKUP(T29,Database!$A$2:$L$175,8,FALSE),"-")</f>
        <v>-</v>
      </c>
      <c r="V29" s="86" t="str">
        <f>IFERROR(VLOOKUP(T29,Database!$A$2:$L$175,6,FALSE),"-")</f>
        <v>-</v>
      </c>
      <c r="W29" s="90" t="str">
        <f>IFERROR(VLOOKUP(T29,Database!$A$2:$L$175,9,FALSE),"-")</f>
        <v>-</v>
      </c>
      <c r="X29" s="152" t="str">
        <f>IFERROR(VLOOKUP(T29,Database!$A$2:$S$175,19,FALSE),"-")</f>
        <v>-</v>
      </c>
      <c r="Y29" s="103" t="str">
        <f>IF(AND(D29="Y",booking!T29&lt;&gt;booking!U29,booking!U29&gt;0),booking!U29,"-")</f>
        <v>-</v>
      </c>
      <c r="Z29" s="87" t="str">
        <f>IFERROR(VLOOKUP(Y29,Database!$A$2:$L$175,8,FALSE),"-")</f>
        <v>-</v>
      </c>
      <c r="AA29" s="87" t="str">
        <f>IFERROR(VLOOKUP(Y29,Database!$A$2:$L$175,6,FALSE),"-")</f>
        <v>-</v>
      </c>
      <c r="AB29" s="99" t="str">
        <f>IFERROR(VLOOKUP(Y29,Database!$A$2:$L$175,9,FALSE),"-")</f>
        <v>-</v>
      </c>
      <c r="AC29" s="9" t="str">
        <f>IFERROR(VLOOKUP(Y29,Database!$A$2:$S$175,19,FALSE),"-")</f>
        <v>-</v>
      </c>
    </row>
    <row r="30" spans="1:29" ht="15" customHeight="1" thickBot="1" x14ac:dyDescent="0.4">
      <c r="A30" s="95" t="str">
        <f>rengøring!A30</f>
        <v>mandag</v>
      </c>
      <c r="B30" s="93">
        <v>46531</v>
      </c>
      <c r="C30" s="10"/>
      <c r="D30" s="96" t="str">
        <f>IF(booking!AB30&gt;0,"Y","-")</f>
        <v>-</v>
      </c>
      <c r="E30" s="102" t="str">
        <f>IF(AND(D30="Y",booking!D30&lt;&gt;booking!E30,booking!E30&gt;0),booking!E30,"-")</f>
        <v>-</v>
      </c>
      <c r="F30" s="86" t="str">
        <f>IFERROR(VLOOKUP(E30,Database!$A$2:$L$175,8,FALSE),"-")</f>
        <v>-</v>
      </c>
      <c r="G30" s="86" t="str">
        <f>IFERROR(VLOOKUP(E30,Database!$A$2:$L$175,6,FALSE),"-")</f>
        <v>-</v>
      </c>
      <c r="H30" s="100" t="str">
        <f>IFERROR(VLOOKUP(E30,Database!$A$2:$L$175,9,FALSE),"-")</f>
        <v>-</v>
      </c>
      <c r="I30" s="120" t="str">
        <f>IFERROR(VLOOKUP(E30,Database!$A$2:$S$175,19,FALSE),"-")</f>
        <v>-</v>
      </c>
      <c r="J30" s="103" t="str">
        <f>IF(AND(D30="Y",booking!H30&lt;&gt;booking!I30,booking!I30&gt;0),booking!I30,"-")</f>
        <v>-</v>
      </c>
      <c r="K30" s="86" t="str">
        <f>IFERROR(VLOOKUP(J30,Database!$A$2:$L$175,8,FALSE),"-")</f>
        <v>-</v>
      </c>
      <c r="L30" s="86" t="str">
        <f>IFERROR(VLOOKUP(J30,Database!$A$2:$L$175,6,FALSE),"-")</f>
        <v>-</v>
      </c>
      <c r="M30" s="100" t="str">
        <f>IFERROR(VLOOKUP(J30,Database!$A$2:$L$175,9,FALSE),"-")</f>
        <v>-</v>
      </c>
      <c r="N30" s="152" t="str">
        <f>IFERROR(VLOOKUP(J30,Database!$A$2:$S$175,19,FALSE),"-")</f>
        <v>-</v>
      </c>
      <c r="O30" s="103" t="str">
        <f>IF(AND(D30="Y",booking!L30&lt;&gt;booking!M30,booking!M30&gt;0),booking!M30,"-")</f>
        <v>-</v>
      </c>
      <c r="P30" s="86" t="str">
        <f>IFERROR(VLOOKUP(O30,Database!$A$2:$L$175,8,FALSE),"-")</f>
        <v>-</v>
      </c>
      <c r="Q30" s="86" t="str">
        <f>IFERROR(VLOOKUP(O30,Database!$A$2:$L$175,6,FALSE),"-")</f>
        <v>-</v>
      </c>
      <c r="R30" s="90" t="str">
        <f>IFERROR(VLOOKUP(O30,Database!$A$2:$L$175,9,FALSE),"-")</f>
        <v>-</v>
      </c>
      <c r="S30" s="152" t="str">
        <f>IFERROR(VLOOKUP(O30,Database!$A$2:$S$175,19,FALSE),"-")</f>
        <v>-</v>
      </c>
      <c r="T30" s="104" t="str">
        <f>IF(AND(D30="Y",booking!P30&lt;&gt;booking!Q30,booking!Q30&gt;0),booking!Q30,"-")</f>
        <v>-</v>
      </c>
      <c r="U30" s="86" t="str">
        <f>IFERROR(VLOOKUP(T30,Database!$A$2:$L$175,8,FALSE),"-")</f>
        <v>-</v>
      </c>
      <c r="V30" s="86" t="str">
        <f>IFERROR(VLOOKUP(T30,Database!$A$2:$L$175,6,FALSE),"-")</f>
        <v>-</v>
      </c>
      <c r="W30" s="90" t="str">
        <f>IFERROR(VLOOKUP(T30,Database!$A$2:$L$175,9,FALSE),"-")</f>
        <v>-</v>
      </c>
      <c r="X30" s="152" t="str">
        <f>IFERROR(VLOOKUP(T30,Database!$A$2:$S$175,19,FALSE),"-")</f>
        <v>-</v>
      </c>
      <c r="Y30" s="103" t="str">
        <f>IF(AND(D30="Y",booking!T30&lt;&gt;booking!U30,booking!U30&gt;0),booking!U30,"-")</f>
        <v>-</v>
      </c>
      <c r="Z30" s="87" t="str">
        <f>IFERROR(VLOOKUP(Y30,Database!$A$2:$L$175,8,FALSE),"-")</f>
        <v>-</v>
      </c>
      <c r="AA30" s="87" t="str">
        <f>IFERROR(VLOOKUP(Y30,Database!$A$2:$L$175,6,FALSE),"-")</f>
        <v>-</v>
      </c>
      <c r="AB30" s="99" t="str">
        <f>IFERROR(VLOOKUP(Y30,Database!$A$2:$L$175,9,FALSE),"-")</f>
        <v>-</v>
      </c>
      <c r="AC30" s="9" t="str">
        <f>IFERROR(VLOOKUP(Y30,Database!$A$2:$S$175,19,FALSE),"-")</f>
        <v>-</v>
      </c>
    </row>
    <row r="31" spans="1:29" ht="15" customHeight="1" thickBot="1" x14ac:dyDescent="0.4">
      <c r="A31" s="95" t="str">
        <f>rengøring!A31</f>
        <v>tirsdag</v>
      </c>
      <c r="B31" s="93">
        <v>46532</v>
      </c>
      <c r="C31" s="10"/>
      <c r="D31" s="96" t="str">
        <f>IF(booking!AB31&gt;0,"Y","-")</f>
        <v>-</v>
      </c>
      <c r="E31" s="102" t="str">
        <f>IF(AND(D31="Y",booking!D31&lt;&gt;booking!E31,booking!E31&gt;0),booking!E31,"-")</f>
        <v>-</v>
      </c>
      <c r="F31" s="86" t="str">
        <f>IFERROR(VLOOKUP(E31,Database!$A$2:$L$175,8,FALSE),"-")</f>
        <v>-</v>
      </c>
      <c r="G31" s="86" t="str">
        <f>IFERROR(VLOOKUP(E31,Database!$A$2:$L$175,6,FALSE),"-")</f>
        <v>-</v>
      </c>
      <c r="H31" s="100" t="str">
        <f>IFERROR(VLOOKUP(E31,Database!$A$2:$L$175,9,FALSE),"-")</f>
        <v>-</v>
      </c>
      <c r="I31" s="120" t="str">
        <f>IFERROR(VLOOKUP(E31,Database!$A$2:$S$175,19,FALSE),"-")</f>
        <v>-</v>
      </c>
      <c r="J31" s="103" t="str">
        <f>IF(AND(D31="Y",booking!H31&lt;&gt;booking!I31,booking!I31&gt;0),booking!I31,"-")</f>
        <v>-</v>
      </c>
      <c r="K31" s="86" t="str">
        <f>IFERROR(VLOOKUP(J31,Database!$A$2:$L$175,8,FALSE),"-")</f>
        <v>-</v>
      </c>
      <c r="L31" s="86" t="str">
        <f>IFERROR(VLOOKUP(J31,Database!$A$2:$L$175,6,FALSE),"-")</f>
        <v>-</v>
      </c>
      <c r="M31" s="100" t="str">
        <f>IFERROR(VLOOKUP(J31,Database!$A$2:$L$175,9,FALSE),"-")</f>
        <v>-</v>
      </c>
      <c r="N31" s="152" t="str">
        <f>IFERROR(VLOOKUP(J31,Database!$A$2:$S$175,19,FALSE),"-")</f>
        <v>-</v>
      </c>
      <c r="O31" s="103" t="str">
        <f>IF(AND(D31="Y",booking!L31&lt;&gt;booking!M31,booking!M31&gt;0),booking!M31,"-")</f>
        <v>-</v>
      </c>
      <c r="P31" s="86" t="str">
        <f>IFERROR(VLOOKUP(O31,Database!$A$2:$L$175,8,FALSE),"-")</f>
        <v>-</v>
      </c>
      <c r="Q31" s="86" t="str">
        <f>IFERROR(VLOOKUP(O31,Database!$A$2:$L$175,6,FALSE),"-")</f>
        <v>-</v>
      </c>
      <c r="R31" s="90" t="str">
        <f>IFERROR(VLOOKUP(O31,Database!$A$2:$L$175,9,FALSE),"-")</f>
        <v>-</v>
      </c>
      <c r="S31" s="152" t="str">
        <f>IFERROR(VLOOKUP(O31,Database!$A$2:$S$175,19,FALSE),"-")</f>
        <v>-</v>
      </c>
      <c r="T31" s="104" t="str">
        <f>IF(AND(D31="Y",booking!P31&lt;&gt;booking!Q31,booking!Q31&gt;0),booking!Q31,"-")</f>
        <v>-</v>
      </c>
      <c r="U31" s="86" t="str">
        <f>IFERROR(VLOOKUP(T31,Database!$A$2:$L$175,8,FALSE),"-")</f>
        <v>-</v>
      </c>
      <c r="V31" s="86" t="str">
        <f>IFERROR(VLOOKUP(T31,Database!$A$2:$L$175,6,FALSE),"-")</f>
        <v>-</v>
      </c>
      <c r="W31" s="90" t="str">
        <f>IFERROR(VLOOKUP(T31,Database!$A$2:$L$175,9,FALSE),"-")</f>
        <v>-</v>
      </c>
      <c r="X31" s="152" t="str">
        <f>IFERROR(VLOOKUP(T31,Database!$A$2:$S$175,19,FALSE),"-")</f>
        <v>-</v>
      </c>
      <c r="Y31" s="103" t="str">
        <f>IF(AND(D31="Y",booking!T31&lt;&gt;booking!U31,booking!U31&gt;0),booking!U31,"-")</f>
        <v>-</v>
      </c>
      <c r="Z31" s="87" t="str">
        <f>IFERROR(VLOOKUP(Y31,Database!$A$2:$L$175,8,FALSE),"-")</f>
        <v>-</v>
      </c>
      <c r="AA31" s="87" t="str">
        <f>IFERROR(VLOOKUP(Y31,Database!$A$2:$L$175,6,FALSE),"-")</f>
        <v>-</v>
      </c>
      <c r="AB31" s="99" t="str">
        <f>IFERROR(VLOOKUP(Y31,Database!$A$2:$L$175,9,FALSE),"-")</f>
        <v>-</v>
      </c>
      <c r="AC31" s="9" t="str">
        <f>IFERROR(VLOOKUP(Y31,Database!$A$2:$S$175,19,FALSE),"-")</f>
        <v>-</v>
      </c>
    </row>
    <row r="32" spans="1:29" ht="15" customHeight="1" thickBot="1" x14ac:dyDescent="0.4">
      <c r="A32" s="95" t="str">
        <f>rengøring!A32</f>
        <v>onsdag</v>
      </c>
      <c r="B32" s="93">
        <v>46533</v>
      </c>
      <c r="C32" s="10"/>
      <c r="D32" s="96" t="str">
        <f>IF(booking!AB32&gt;0,"Y","-")</f>
        <v>-</v>
      </c>
      <c r="E32" s="102" t="str">
        <f>IF(AND(D32="Y",booking!D32&lt;&gt;booking!E32,booking!E32&gt;0),booking!E32,"-")</f>
        <v>-</v>
      </c>
      <c r="F32" s="86" t="str">
        <f>IFERROR(VLOOKUP(E32,Database!$A$2:$L$175,8,FALSE),"-")</f>
        <v>-</v>
      </c>
      <c r="G32" s="86" t="str">
        <f>IFERROR(VLOOKUP(E32,Database!$A$2:$L$175,6,FALSE),"-")</f>
        <v>-</v>
      </c>
      <c r="H32" s="100" t="str">
        <f>IFERROR(VLOOKUP(E32,Database!$A$2:$L$175,9,FALSE),"-")</f>
        <v>-</v>
      </c>
      <c r="I32" s="120" t="str">
        <f>IFERROR(VLOOKUP(E32,Database!$A$2:$S$175,19,FALSE),"-")</f>
        <v>-</v>
      </c>
      <c r="J32" s="103" t="str">
        <f>IF(AND(D32="Y",booking!H32&lt;&gt;booking!I32,booking!I32&gt;0),booking!I32,"-")</f>
        <v>-</v>
      </c>
      <c r="K32" s="86" t="str">
        <f>IFERROR(VLOOKUP(J32,Database!$A$2:$L$175,8,FALSE),"-")</f>
        <v>-</v>
      </c>
      <c r="L32" s="86" t="str">
        <f>IFERROR(VLOOKUP(J32,Database!$A$2:$L$175,6,FALSE),"-")</f>
        <v>-</v>
      </c>
      <c r="M32" s="100" t="str">
        <f>IFERROR(VLOOKUP(J32,Database!$A$2:$L$175,9,FALSE),"-")</f>
        <v>-</v>
      </c>
      <c r="N32" s="152" t="str">
        <f>IFERROR(VLOOKUP(J32,Database!$A$2:$S$175,19,FALSE),"-")</f>
        <v>-</v>
      </c>
      <c r="O32" s="103" t="str">
        <f>IF(AND(D32="Y",booking!L32&lt;&gt;booking!M32,booking!M32&gt;0),booking!M32,"-")</f>
        <v>-</v>
      </c>
      <c r="P32" s="86" t="str">
        <f>IFERROR(VLOOKUP(O32,Database!$A$2:$L$175,8,FALSE),"-")</f>
        <v>-</v>
      </c>
      <c r="Q32" s="86" t="str">
        <f>IFERROR(VLOOKUP(O32,Database!$A$2:$L$175,6,FALSE),"-")</f>
        <v>-</v>
      </c>
      <c r="R32" s="90" t="str">
        <f>IFERROR(VLOOKUP(O32,Database!$A$2:$L$175,9,FALSE),"-")</f>
        <v>-</v>
      </c>
      <c r="S32" s="152" t="str">
        <f>IFERROR(VLOOKUP(O32,Database!$A$2:$S$175,19,FALSE),"-")</f>
        <v>-</v>
      </c>
      <c r="T32" s="104" t="str">
        <f>IF(AND(D32="Y",booking!P32&lt;&gt;booking!Q32,booking!Q32&gt;0),booking!Q32,"-")</f>
        <v>-</v>
      </c>
      <c r="U32" s="86" t="str">
        <f>IFERROR(VLOOKUP(T32,Database!$A$2:$L$175,8,FALSE),"-")</f>
        <v>-</v>
      </c>
      <c r="V32" s="86" t="str">
        <f>IFERROR(VLOOKUP(T32,Database!$A$2:$L$175,6,FALSE),"-")</f>
        <v>-</v>
      </c>
      <c r="W32" s="90" t="str">
        <f>IFERROR(VLOOKUP(T32,Database!$A$2:$L$175,9,FALSE),"-")</f>
        <v>-</v>
      </c>
      <c r="X32" s="152" t="str">
        <f>IFERROR(VLOOKUP(T32,Database!$A$2:$S$175,19,FALSE),"-")</f>
        <v>-</v>
      </c>
      <c r="Y32" s="103" t="str">
        <f>IF(AND(D32="Y",booking!T32&lt;&gt;booking!U32,booking!U32&gt;0),booking!U32,"-")</f>
        <v>-</v>
      </c>
      <c r="Z32" s="87" t="str">
        <f>IFERROR(VLOOKUP(Y32,Database!$A$2:$L$175,8,FALSE),"-")</f>
        <v>-</v>
      </c>
      <c r="AA32" s="87" t="str">
        <f>IFERROR(VLOOKUP(Y32,Database!$A$2:$L$175,6,FALSE),"-")</f>
        <v>-</v>
      </c>
      <c r="AB32" s="99" t="str">
        <f>IFERROR(VLOOKUP(Y32,Database!$A$2:$L$175,9,FALSE),"-")</f>
        <v>-</v>
      </c>
      <c r="AC32" s="9" t="str">
        <f>IFERROR(VLOOKUP(Y32,Database!$A$2:$S$175,19,FALSE),"-")</f>
        <v>-</v>
      </c>
    </row>
    <row r="33" spans="1:29" ht="15" customHeight="1" thickBot="1" x14ac:dyDescent="0.4">
      <c r="A33" s="95" t="str">
        <f>rengøring!A33</f>
        <v>torsdag</v>
      </c>
      <c r="B33" s="93">
        <v>46534</v>
      </c>
      <c r="C33" s="10"/>
      <c r="D33" s="96" t="str">
        <f>IF(booking!AB33&gt;0,"Y","-")</f>
        <v>-</v>
      </c>
      <c r="E33" s="102" t="str">
        <f>IF(AND(D33="Y",booking!D33&lt;&gt;booking!E33,booking!E33&gt;0),booking!E33,"-")</f>
        <v>-</v>
      </c>
      <c r="F33" s="86" t="str">
        <f>IFERROR(VLOOKUP(E33,Database!$A$2:$L$175,8,FALSE),"-")</f>
        <v>-</v>
      </c>
      <c r="G33" s="86" t="str">
        <f>IFERROR(VLOOKUP(E33,Database!$A$2:$L$175,6,FALSE),"-")</f>
        <v>-</v>
      </c>
      <c r="H33" s="100" t="str">
        <f>IFERROR(VLOOKUP(E33,Database!$A$2:$L$175,9,FALSE),"-")</f>
        <v>-</v>
      </c>
      <c r="I33" s="120" t="str">
        <f>IFERROR(VLOOKUP(E33,Database!$A$2:$S$175,19,FALSE),"-")</f>
        <v>-</v>
      </c>
      <c r="J33" s="103" t="str">
        <f>IF(AND(D33="Y",booking!H33&lt;&gt;booking!I33,booking!I33&gt;0),booking!I33,"-")</f>
        <v>-</v>
      </c>
      <c r="K33" s="86" t="str">
        <f>IFERROR(VLOOKUP(J33,Database!$A$2:$L$175,8,FALSE),"-")</f>
        <v>-</v>
      </c>
      <c r="L33" s="86" t="str">
        <f>IFERROR(VLOOKUP(J33,Database!$A$2:$L$175,6,FALSE),"-")</f>
        <v>-</v>
      </c>
      <c r="M33" s="100" t="str">
        <f>IFERROR(VLOOKUP(J33,Database!$A$2:$L$175,9,FALSE),"-")</f>
        <v>-</v>
      </c>
      <c r="N33" s="152" t="str">
        <f>IFERROR(VLOOKUP(J33,Database!$A$2:$S$175,19,FALSE),"-")</f>
        <v>-</v>
      </c>
      <c r="O33" s="103" t="str">
        <f>IF(AND(D33="Y",booking!L33&lt;&gt;booking!M33,booking!M33&gt;0),booking!M33,"-")</f>
        <v>-</v>
      </c>
      <c r="P33" s="86" t="str">
        <f>IFERROR(VLOOKUP(O33,Database!$A$2:$L$175,8,FALSE),"-")</f>
        <v>-</v>
      </c>
      <c r="Q33" s="86" t="str">
        <f>IFERROR(VLOOKUP(O33,Database!$A$2:$L$175,6,FALSE),"-")</f>
        <v>-</v>
      </c>
      <c r="R33" s="90" t="str">
        <f>IFERROR(VLOOKUP(O33,Database!$A$2:$L$175,9,FALSE),"-")</f>
        <v>-</v>
      </c>
      <c r="S33" s="152" t="str">
        <f>IFERROR(VLOOKUP(O33,Database!$A$2:$S$175,19,FALSE),"-")</f>
        <v>-</v>
      </c>
      <c r="T33" s="104" t="str">
        <f>IF(AND(D33="Y",booking!P33&lt;&gt;booking!Q33,booking!Q33&gt;0),booking!Q33,"-")</f>
        <v>-</v>
      </c>
      <c r="U33" s="86" t="str">
        <f>IFERROR(VLOOKUP(T33,Database!$A$2:$L$175,8,FALSE),"-")</f>
        <v>-</v>
      </c>
      <c r="V33" s="86" t="str">
        <f>IFERROR(VLOOKUP(T33,Database!$A$2:$L$175,6,FALSE),"-")</f>
        <v>-</v>
      </c>
      <c r="W33" s="90" t="str">
        <f>IFERROR(VLOOKUP(T33,Database!$A$2:$L$175,9,FALSE),"-")</f>
        <v>-</v>
      </c>
      <c r="X33" s="152" t="str">
        <f>IFERROR(VLOOKUP(T33,Database!$A$2:$S$175,19,FALSE),"-")</f>
        <v>-</v>
      </c>
      <c r="Y33" s="103" t="str">
        <f>IF(AND(D33="Y",booking!T33&lt;&gt;booking!U33,booking!U33&gt;0),booking!U33,"-")</f>
        <v>-</v>
      </c>
      <c r="Z33" s="87" t="str">
        <f>IFERROR(VLOOKUP(Y33,Database!$A$2:$L$175,8,FALSE),"-")</f>
        <v>-</v>
      </c>
      <c r="AA33" s="87" t="str">
        <f>IFERROR(VLOOKUP(Y33,Database!$A$2:$L$175,6,FALSE),"-")</f>
        <v>-</v>
      </c>
      <c r="AB33" s="99" t="str">
        <f>IFERROR(VLOOKUP(Y33,Database!$A$2:$L$175,9,FALSE),"-")</f>
        <v>-</v>
      </c>
      <c r="AC33" s="9" t="str">
        <f>IFERROR(VLOOKUP(Y33,Database!$A$2:$S$175,19,FALSE),"-")</f>
        <v>-</v>
      </c>
    </row>
    <row r="34" spans="1:29" ht="15" customHeight="1" thickBot="1" x14ac:dyDescent="0.4">
      <c r="A34" s="95" t="str">
        <f>rengøring!A34</f>
        <v>fredag</v>
      </c>
      <c r="B34" s="93">
        <v>46535</v>
      </c>
      <c r="C34" s="10"/>
      <c r="D34" s="96" t="str">
        <f>IF(booking!AB34&gt;0,"Y","-")</f>
        <v>-</v>
      </c>
      <c r="E34" s="102" t="str">
        <f>IF(AND(D34="Y",booking!D34&lt;&gt;booking!E34,booking!E34&gt;0),booking!E34,"-")</f>
        <v>-</v>
      </c>
      <c r="F34" s="86" t="str">
        <f>IFERROR(VLOOKUP(E34,Database!$A$2:$L$175,8,FALSE),"-")</f>
        <v>-</v>
      </c>
      <c r="G34" s="86" t="str">
        <f>IFERROR(VLOOKUP(E34,Database!$A$2:$L$175,6,FALSE),"-")</f>
        <v>-</v>
      </c>
      <c r="H34" s="100" t="str">
        <f>IFERROR(VLOOKUP(E34,Database!$A$2:$L$175,9,FALSE),"-")</f>
        <v>-</v>
      </c>
      <c r="I34" s="120" t="str">
        <f>IFERROR(VLOOKUP(E34,Database!$A$2:$S$175,19,FALSE),"-")</f>
        <v>-</v>
      </c>
      <c r="J34" s="103" t="str">
        <f>IF(AND(D34="Y",booking!H34&lt;&gt;booking!I34,booking!I34&gt;0),booking!I34,"-")</f>
        <v>-</v>
      </c>
      <c r="K34" s="86" t="str">
        <f>IFERROR(VLOOKUP(J34,Database!$A$2:$L$175,8,FALSE),"-")</f>
        <v>-</v>
      </c>
      <c r="L34" s="86" t="str">
        <f>IFERROR(VLOOKUP(J34,Database!$A$2:$L$175,6,FALSE),"-")</f>
        <v>-</v>
      </c>
      <c r="M34" s="100" t="str">
        <f>IFERROR(VLOOKUP(J34,Database!$A$2:$L$175,9,FALSE),"-")</f>
        <v>-</v>
      </c>
      <c r="N34" s="152" t="str">
        <f>IFERROR(VLOOKUP(J34,Database!$A$2:$S$175,19,FALSE),"-")</f>
        <v>-</v>
      </c>
      <c r="O34" s="103" t="str">
        <f>IF(AND(D34="Y",booking!L34&lt;&gt;booking!M34,booking!M34&gt;0),booking!M34,"-")</f>
        <v>-</v>
      </c>
      <c r="P34" s="86" t="str">
        <f>IFERROR(VLOOKUP(O34,Database!$A$2:$L$175,8,FALSE),"-")</f>
        <v>-</v>
      </c>
      <c r="Q34" s="86" t="str">
        <f>IFERROR(VLOOKUP(O34,Database!$A$2:$L$175,6,FALSE),"-")</f>
        <v>-</v>
      </c>
      <c r="R34" s="90" t="str">
        <f>IFERROR(VLOOKUP(O34,Database!$A$2:$L$175,9,FALSE),"-")</f>
        <v>-</v>
      </c>
      <c r="S34" s="152" t="str">
        <f>IFERROR(VLOOKUP(O34,Database!$A$2:$S$175,19,FALSE),"-")</f>
        <v>-</v>
      </c>
      <c r="T34" s="104" t="str">
        <f>IF(AND(D34="Y",booking!P34&lt;&gt;booking!Q34,booking!Q34&gt;0),booking!Q34,"-")</f>
        <v>-</v>
      </c>
      <c r="U34" s="86" t="str">
        <f>IFERROR(VLOOKUP(T34,Database!$A$2:$L$175,8,FALSE),"-")</f>
        <v>-</v>
      </c>
      <c r="V34" s="86" t="str">
        <f>IFERROR(VLOOKUP(T34,Database!$A$2:$L$175,6,FALSE),"-")</f>
        <v>-</v>
      </c>
      <c r="W34" s="90" t="str">
        <f>IFERROR(VLOOKUP(T34,Database!$A$2:$L$175,9,FALSE),"-")</f>
        <v>-</v>
      </c>
      <c r="X34" s="152" t="str">
        <f>IFERROR(VLOOKUP(T34,Database!$A$2:$S$175,19,FALSE),"-")</f>
        <v>-</v>
      </c>
      <c r="Y34" s="103" t="str">
        <f>IF(AND(D34="Y",booking!T34&lt;&gt;booking!U34,booking!U34&gt;0),booking!U34,"-")</f>
        <v>-</v>
      </c>
      <c r="Z34" s="87" t="str">
        <f>IFERROR(VLOOKUP(Y34,Database!$A$2:$L$175,8,FALSE),"-")</f>
        <v>-</v>
      </c>
      <c r="AA34" s="87" t="str">
        <f>IFERROR(VLOOKUP(Y34,Database!$A$2:$L$175,6,FALSE),"-")</f>
        <v>-</v>
      </c>
      <c r="AB34" s="99" t="str">
        <f>IFERROR(VLOOKUP(Y34,Database!$A$2:$L$175,9,FALSE),"-")</f>
        <v>-</v>
      </c>
      <c r="AC34" s="9" t="str">
        <f>IFERROR(VLOOKUP(Y34,Database!$A$2:$S$175,19,FALSE),"-")</f>
        <v>-</v>
      </c>
    </row>
    <row r="35" spans="1:29" ht="15" customHeight="1" thickBot="1" x14ac:dyDescent="0.4">
      <c r="A35" s="95" t="str">
        <f>rengøring!A35</f>
        <v>lørdag</v>
      </c>
      <c r="B35" s="93">
        <v>46536</v>
      </c>
      <c r="C35" s="10"/>
      <c r="D35" s="96" t="str">
        <f>IF(booking!AB35&gt;0,"Y","-")</f>
        <v>-</v>
      </c>
      <c r="E35" s="102" t="str">
        <f>IF(AND(D35="Y",booking!D35&lt;&gt;booking!E35,booking!E35&gt;0),booking!E35,"-")</f>
        <v>-</v>
      </c>
      <c r="F35" s="86" t="str">
        <f>IFERROR(VLOOKUP(E35,Database!$A$2:$L$175,8,FALSE),"-")</f>
        <v>-</v>
      </c>
      <c r="G35" s="86" t="str">
        <f>IFERROR(VLOOKUP(E35,Database!$A$2:$L$175,6,FALSE),"-")</f>
        <v>-</v>
      </c>
      <c r="H35" s="100" t="str">
        <f>IFERROR(VLOOKUP(E35,Database!$A$2:$L$175,9,FALSE),"-")</f>
        <v>-</v>
      </c>
      <c r="I35" s="120" t="str">
        <f>IFERROR(VLOOKUP(E35,Database!$A$2:$S$175,19,FALSE),"-")</f>
        <v>-</v>
      </c>
      <c r="J35" s="103" t="str">
        <f>IF(AND(D35="Y",booking!H35&lt;&gt;booking!I35,booking!I35&gt;0),booking!I35,"-")</f>
        <v>-</v>
      </c>
      <c r="K35" s="86" t="str">
        <f>IFERROR(VLOOKUP(J35,Database!$A$2:$L$175,8,FALSE),"-")</f>
        <v>-</v>
      </c>
      <c r="L35" s="86" t="str">
        <f>IFERROR(VLOOKUP(J35,Database!$A$2:$L$175,6,FALSE),"-")</f>
        <v>-</v>
      </c>
      <c r="M35" s="100" t="str">
        <f>IFERROR(VLOOKUP(J35,Database!$A$2:$L$175,9,FALSE),"-")</f>
        <v>-</v>
      </c>
      <c r="N35" s="152" t="str">
        <f>IFERROR(VLOOKUP(J35,Database!$A$2:$S$175,19,FALSE),"-")</f>
        <v>-</v>
      </c>
      <c r="O35" s="103" t="str">
        <f>IF(AND(D35="Y",booking!L35&lt;&gt;booking!M35,booking!M35&gt;0),booking!M35,"-")</f>
        <v>-</v>
      </c>
      <c r="P35" s="86" t="str">
        <f>IFERROR(VLOOKUP(O35,Database!$A$2:$L$175,8,FALSE),"-")</f>
        <v>-</v>
      </c>
      <c r="Q35" s="86" t="str">
        <f>IFERROR(VLOOKUP(O35,Database!$A$2:$L$175,6,FALSE),"-")</f>
        <v>-</v>
      </c>
      <c r="R35" s="90" t="str">
        <f>IFERROR(VLOOKUP(O35,Database!$A$2:$L$175,9,FALSE),"-")</f>
        <v>-</v>
      </c>
      <c r="S35" s="152" t="str">
        <f>IFERROR(VLOOKUP(O35,Database!$A$2:$S$175,19,FALSE),"-")</f>
        <v>-</v>
      </c>
      <c r="T35" s="104" t="str">
        <f>IF(AND(D35="Y",booking!P35&lt;&gt;booking!Q35,booking!Q35&gt;0),booking!Q35,"-")</f>
        <v>-</v>
      </c>
      <c r="U35" s="86" t="str">
        <f>IFERROR(VLOOKUP(T35,Database!$A$2:$L$175,8,FALSE),"-")</f>
        <v>-</v>
      </c>
      <c r="V35" s="86" t="str">
        <f>IFERROR(VLOOKUP(T35,Database!$A$2:$L$175,6,FALSE),"-")</f>
        <v>-</v>
      </c>
      <c r="W35" s="90" t="str">
        <f>IFERROR(VLOOKUP(T35,Database!$A$2:$L$175,9,FALSE),"-")</f>
        <v>-</v>
      </c>
      <c r="X35" s="152" t="str">
        <f>IFERROR(VLOOKUP(T35,Database!$A$2:$S$175,19,FALSE),"-")</f>
        <v>-</v>
      </c>
      <c r="Y35" s="103" t="str">
        <f>IF(AND(D35="Y",booking!T35&lt;&gt;booking!U35,booking!U35&gt;0),booking!U35,"-")</f>
        <v>-</v>
      </c>
      <c r="Z35" s="87" t="str">
        <f>IFERROR(VLOOKUP(Y35,Database!$A$2:$L$175,8,FALSE),"-")</f>
        <v>-</v>
      </c>
      <c r="AA35" s="87" t="str">
        <f>IFERROR(VLOOKUP(Y35,Database!$A$2:$L$175,6,FALSE),"-")</f>
        <v>-</v>
      </c>
      <c r="AB35" s="99" t="str">
        <f>IFERROR(VLOOKUP(Y35,Database!$A$2:$L$175,9,FALSE),"-")</f>
        <v>-</v>
      </c>
      <c r="AC35" s="9" t="str">
        <f>IFERROR(VLOOKUP(Y35,Database!$A$2:$S$175,19,FALSE),"-")</f>
        <v>-</v>
      </c>
    </row>
    <row r="36" spans="1:29" ht="15" customHeight="1" thickBot="1" x14ac:dyDescent="0.4">
      <c r="A36" s="95" t="str">
        <f>rengøring!A36</f>
        <v>søndag</v>
      </c>
      <c r="B36" s="93">
        <v>46537</v>
      </c>
      <c r="C36" s="10"/>
      <c r="D36" s="96" t="str">
        <f>IF(booking!AB36&gt;0,"Y","-")</f>
        <v>-</v>
      </c>
      <c r="E36" s="102" t="str">
        <f>IF(AND(D36="Y",booking!D36&lt;&gt;booking!E36,booking!E36&gt;0),booking!E36,"-")</f>
        <v>-</v>
      </c>
      <c r="F36" s="86" t="str">
        <f>IFERROR(VLOOKUP(E36,Database!$A$2:$L$175,8,FALSE),"-")</f>
        <v>-</v>
      </c>
      <c r="G36" s="86" t="str">
        <f>IFERROR(VLOOKUP(E36,Database!$A$2:$L$175,6,FALSE),"-")</f>
        <v>-</v>
      </c>
      <c r="H36" s="100" t="str">
        <f>IFERROR(VLOOKUP(E36,Database!$A$2:$L$175,9,FALSE),"-")</f>
        <v>-</v>
      </c>
      <c r="I36" s="120" t="str">
        <f>IFERROR(VLOOKUP(E36,Database!$A$2:$S$175,19,FALSE),"-")</f>
        <v>-</v>
      </c>
      <c r="J36" s="103" t="str">
        <f>IF(AND(D36="Y",booking!H36&lt;&gt;booking!I36,booking!I36&gt;0),booking!I36,"-")</f>
        <v>-</v>
      </c>
      <c r="K36" s="86" t="str">
        <f>IFERROR(VLOOKUP(J36,Database!$A$2:$L$175,8,FALSE),"-")</f>
        <v>-</v>
      </c>
      <c r="L36" s="86" t="str">
        <f>IFERROR(VLOOKUP(J36,Database!$A$2:$L$175,6,FALSE),"-")</f>
        <v>-</v>
      </c>
      <c r="M36" s="100" t="str">
        <f>IFERROR(VLOOKUP(J36,Database!$A$2:$L$175,9,FALSE),"-")</f>
        <v>-</v>
      </c>
      <c r="N36" s="152" t="str">
        <f>IFERROR(VLOOKUP(J36,Database!$A$2:$S$175,19,FALSE),"-")</f>
        <v>-</v>
      </c>
      <c r="O36" s="103" t="str">
        <f>IF(AND(D36="Y",booking!L36&lt;&gt;booking!M36,booking!M36&gt;0),booking!M36,"-")</f>
        <v>-</v>
      </c>
      <c r="P36" s="86" t="str">
        <f>IFERROR(VLOOKUP(O36,Database!$A$2:$L$175,8,FALSE),"-")</f>
        <v>-</v>
      </c>
      <c r="Q36" s="86" t="str">
        <f>IFERROR(VLOOKUP(O36,Database!$A$2:$L$175,6,FALSE),"-")</f>
        <v>-</v>
      </c>
      <c r="R36" s="90" t="str">
        <f>IFERROR(VLOOKUP(O36,Database!$A$2:$L$175,9,FALSE),"-")</f>
        <v>-</v>
      </c>
      <c r="S36" s="152" t="str">
        <f>IFERROR(VLOOKUP(O36,Database!$A$2:$S$175,19,FALSE),"-")</f>
        <v>-</v>
      </c>
      <c r="T36" s="104" t="str">
        <f>IF(AND(D36="Y",booking!P36&lt;&gt;booking!Q36,booking!Q36&gt;0),booking!Q36,"-")</f>
        <v>-</v>
      </c>
      <c r="U36" s="86" t="str">
        <f>IFERROR(VLOOKUP(T36,Database!$A$2:$L$175,8,FALSE),"-")</f>
        <v>-</v>
      </c>
      <c r="V36" s="86" t="str">
        <f>IFERROR(VLOOKUP(T36,Database!$A$2:$L$175,6,FALSE),"-")</f>
        <v>-</v>
      </c>
      <c r="W36" s="90" t="str">
        <f>IFERROR(VLOOKUP(T36,Database!$A$2:$L$175,9,FALSE),"-")</f>
        <v>-</v>
      </c>
      <c r="X36" s="152" t="str">
        <f>IFERROR(VLOOKUP(T36,Database!$A$2:$S$175,19,FALSE),"-")</f>
        <v>-</v>
      </c>
      <c r="Y36" s="103" t="str">
        <f>IF(AND(D36="Y",booking!T36&lt;&gt;booking!U36,booking!U36&gt;0),booking!U36,"-")</f>
        <v>-</v>
      </c>
      <c r="Z36" s="87" t="str">
        <f>IFERROR(VLOOKUP(Y36,Database!$A$2:$L$175,8,FALSE),"-")</f>
        <v>-</v>
      </c>
      <c r="AA36" s="87" t="str">
        <f>IFERROR(VLOOKUP(Y36,Database!$A$2:$L$175,6,FALSE),"-")</f>
        <v>-</v>
      </c>
      <c r="AB36" s="99" t="str">
        <f>IFERROR(VLOOKUP(Y36,Database!$A$2:$L$175,9,FALSE),"-")</f>
        <v>-</v>
      </c>
      <c r="AC36" s="9" t="str">
        <f>IFERROR(VLOOKUP(Y36,Database!$A$2:$S$175,19,FALSE),"-")</f>
        <v>-</v>
      </c>
    </row>
    <row r="37" spans="1:29" ht="15" customHeight="1" thickBot="1" x14ac:dyDescent="0.4">
      <c r="A37" s="95" t="str">
        <f>rengøring!A37</f>
        <v>mandag</v>
      </c>
      <c r="B37" s="93">
        <v>46538</v>
      </c>
      <c r="C37" s="10"/>
      <c r="D37" s="96" t="str">
        <f>IF(booking!AB37&gt;0,"Y","-")</f>
        <v>-</v>
      </c>
      <c r="E37" s="102" t="str">
        <f>IF(AND(D37="Y",booking!D37&lt;&gt;booking!E37,booking!E37&gt;0),booking!E37,"-")</f>
        <v>-</v>
      </c>
      <c r="F37" s="86" t="str">
        <f>IFERROR(VLOOKUP(E37,Database!$A$2:$L$175,8,FALSE),"-")</f>
        <v>-</v>
      </c>
      <c r="G37" s="86" t="str">
        <f>IFERROR(VLOOKUP(E37,Database!$A$2:$L$175,6,FALSE),"-")</f>
        <v>-</v>
      </c>
      <c r="H37" s="100" t="str">
        <f>IFERROR(VLOOKUP(E37,Database!$A$2:$L$175,9,FALSE),"-")</f>
        <v>-</v>
      </c>
      <c r="I37" s="120" t="str">
        <f>IFERROR(VLOOKUP(E37,Database!$A$2:$S$175,19,FALSE),"-")</f>
        <v>-</v>
      </c>
      <c r="J37" s="103" t="str">
        <f>IF(AND(D37="Y",booking!H37&lt;&gt;booking!I37,booking!I37&gt;0),booking!I37,"-")</f>
        <v>-</v>
      </c>
      <c r="K37" s="86" t="str">
        <f>IFERROR(VLOOKUP(J37,Database!$A$2:$L$175,8,FALSE),"-")</f>
        <v>-</v>
      </c>
      <c r="L37" s="86" t="str">
        <f>IFERROR(VLOOKUP(J37,Database!$A$2:$L$175,6,FALSE),"-")</f>
        <v>-</v>
      </c>
      <c r="M37" s="100" t="str">
        <f>IFERROR(VLOOKUP(J37,Database!$A$2:$L$175,9,FALSE),"-")</f>
        <v>-</v>
      </c>
      <c r="N37" s="152" t="str">
        <f>IFERROR(VLOOKUP(J37,Database!$A$2:$S$175,19,FALSE),"-")</f>
        <v>-</v>
      </c>
      <c r="O37" s="103" t="str">
        <f>IF(AND(D37="Y",booking!L37&lt;&gt;booking!M37,booking!M37&gt;0),booking!M37,"-")</f>
        <v>-</v>
      </c>
      <c r="P37" s="86" t="str">
        <f>IFERROR(VLOOKUP(O37,Database!$A$2:$L$175,8,FALSE),"-")</f>
        <v>-</v>
      </c>
      <c r="Q37" s="86" t="str">
        <f>IFERROR(VLOOKUP(O37,Database!$A$2:$L$175,6,FALSE),"-")</f>
        <v>-</v>
      </c>
      <c r="R37" s="90" t="str">
        <f>IFERROR(VLOOKUP(O37,Database!$A$2:$L$175,9,FALSE),"-")</f>
        <v>-</v>
      </c>
      <c r="S37" s="152" t="str">
        <f>IFERROR(VLOOKUP(O37,Database!$A$2:$S$175,19,FALSE),"-")</f>
        <v>-</v>
      </c>
      <c r="T37" s="104" t="str">
        <f>IF(AND(D37="Y",booking!P37&lt;&gt;booking!Q37,booking!Q37&gt;0),booking!Q37,"-")</f>
        <v>-</v>
      </c>
      <c r="U37" s="86" t="str">
        <f>IFERROR(VLOOKUP(T37,Database!$A$2:$L$175,8,FALSE),"-")</f>
        <v>-</v>
      </c>
      <c r="V37" s="86" t="str">
        <f>IFERROR(VLOOKUP(T37,Database!$A$2:$L$175,6,FALSE),"-")</f>
        <v>-</v>
      </c>
      <c r="W37" s="90" t="str">
        <f>IFERROR(VLOOKUP(T37,Database!$A$2:$L$175,9,FALSE),"-")</f>
        <v>-</v>
      </c>
      <c r="X37" s="152" t="str">
        <f>IFERROR(VLOOKUP(T37,Database!$A$2:$S$175,19,FALSE),"-")</f>
        <v>-</v>
      </c>
      <c r="Y37" s="103" t="str">
        <f>IF(AND(D37="Y",booking!T37&lt;&gt;booking!U37,booking!U37&gt;0),booking!U37,"-")</f>
        <v>-</v>
      </c>
      <c r="Z37" s="87" t="str">
        <f>IFERROR(VLOOKUP(Y37,Database!$A$2:$L$175,8,FALSE),"-")</f>
        <v>-</v>
      </c>
      <c r="AA37" s="87" t="str">
        <f>IFERROR(VLOOKUP(Y37,Database!$A$2:$L$175,6,FALSE),"-")</f>
        <v>-</v>
      </c>
      <c r="AB37" s="99" t="str">
        <f>IFERROR(VLOOKUP(Y37,Database!$A$2:$L$175,9,FALSE),"-")</f>
        <v>-</v>
      </c>
      <c r="AC37" s="9" t="str">
        <f>IFERROR(VLOOKUP(Y37,Database!$A$2:$S$175,19,FALSE),"-")</f>
        <v>-</v>
      </c>
    </row>
    <row r="38" spans="1:29" ht="15" customHeight="1" thickBot="1" x14ac:dyDescent="0.4">
      <c r="A38" s="95" t="str">
        <f>rengøring!A38</f>
        <v>tirsdag</v>
      </c>
      <c r="B38" s="93">
        <v>46539</v>
      </c>
      <c r="C38" s="10"/>
      <c r="D38" s="96" t="str">
        <f>IF(booking!AB38&gt;0,"Y","-")</f>
        <v>-</v>
      </c>
      <c r="E38" s="102" t="str">
        <f>IF(AND(D38="Y",booking!D38&lt;&gt;booking!E38,booking!E38&gt;0),booking!E38,"-")</f>
        <v>-</v>
      </c>
      <c r="F38" s="86" t="str">
        <f>IFERROR(VLOOKUP(E38,Database!$A$2:$L$175,8,FALSE),"-")</f>
        <v>-</v>
      </c>
      <c r="G38" s="86" t="str">
        <f>IFERROR(VLOOKUP(E38,Database!$A$2:$L$175,6,FALSE),"-")</f>
        <v>-</v>
      </c>
      <c r="H38" s="100" t="str">
        <f>IFERROR(VLOOKUP(E38,Database!$A$2:$L$175,9,FALSE),"-")</f>
        <v>-</v>
      </c>
      <c r="I38" s="120" t="str">
        <f>IFERROR(VLOOKUP(E38,Database!$A$2:$S$175,19,FALSE),"-")</f>
        <v>-</v>
      </c>
      <c r="J38" s="103" t="str">
        <f>IF(AND(D38="Y",booking!H38&lt;&gt;booking!I38,booking!I38&gt;0),booking!I38,"-")</f>
        <v>-</v>
      </c>
      <c r="K38" s="86" t="str">
        <f>IFERROR(VLOOKUP(J38,Database!$A$2:$L$175,8,FALSE),"-")</f>
        <v>-</v>
      </c>
      <c r="L38" s="86" t="str">
        <f>IFERROR(VLOOKUP(J38,Database!$A$2:$L$175,6,FALSE),"-")</f>
        <v>-</v>
      </c>
      <c r="M38" s="100" t="str">
        <f>IFERROR(VLOOKUP(J38,Database!$A$2:$L$175,9,FALSE),"-")</f>
        <v>-</v>
      </c>
      <c r="N38" s="152" t="str">
        <f>IFERROR(VLOOKUP(J38,Database!$A$2:$S$175,19,FALSE),"-")</f>
        <v>-</v>
      </c>
      <c r="O38" s="103" t="str">
        <f>IF(AND(D38="Y",booking!L38&lt;&gt;booking!M38,booking!M38&gt;0),booking!M38,"-")</f>
        <v>-</v>
      </c>
      <c r="P38" s="86" t="str">
        <f>IFERROR(VLOOKUP(O38,Database!$A$2:$L$175,8,FALSE),"-")</f>
        <v>-</v>
      </c>
      <c r="Q38" s="86" t="str">
        <f>IFERROR(VLOOKUP(O38,Database!$A$2:$L$175,6,FALSE),"-")</f>
        <v>-</v>
      </c>
      <c r="R38" s="90" t="str">
        <f>IFERROR(VLOOKUP(O38,Database!$A$2:$L$175,9,FALSE),"-")</f>
        <v>-</v>
      </c>
      <c r="S38" s="152" t="str">
        <f>IFERROR(VLOOKUP(O38,Database!$A$2:$S$175,19,FALSE),"-")</f>
        <v>-</v>
      </c>
      <c r="T38" s="104" t="str">
        <f>IF(AND(D38="Y",booking!P38&lt;&gt;booking!Q38,booking!Q38&gt;0),booking!Q38,"-")</f>
        <v>-</v>
      </c>
      <c r="U38" s="86" t="str">
        <f>IFERROR(VLOOKUP(T38,Database!$A$2:$L$175,8,FALSE),"-")</f>
        <v>-</v>
      </c>
      <c r="V38" s="86" t="str">
        <f>IFERROR(VLOOKUP(T38,Database!$A$2:$L$175,6,FALSE),"-")</f>
        <v>-</v>
      </c>
      <c r="W38" s="90" t="str">
        <f>IFERROR(VLOOKUP(T38,Database!$A$2:$L$175,9,FALSE),"-")</f>
        <v>-</v>
      </c>
      <c r="X38" s="152" t="str">
        <f>IFERROR(VLOOKUP(T38,Database!$A$2:$S$175,19,FALSE),"-")</f>
        <v>-</v>
      </c>
      <c r="Y38" s="103" t="str">
        <f>IF(AND(D38="Y",booking!T38&lt;&gt;booking!U38,booking!U38&gt;0),booking!U38,"-")</f>
        <v>-</v>
      </c>
      <c r="Z38" s="87" t="str">
        <f>IFERROR(VLOOKUP(Y38,Database!$A$2:$L$175,8,FALSE),"-")</f>
        <v>-</v>
      </c>
      <c r="AA38" s="87" t="str">
        <f>IFERROR(VLOOKUP(Y38,Database!$A$2:$L$175,6,FALSE),"-")</f>
        <v>-</v>
      </c>
      <c r="AB38" s="99" t="str">
        <f>IFERROR(VLOOKUP(Y38,Database!$A$2:$L$175,9,FALSE),"-")</f>
        <v>-</v>
      </c>
      <c r="AC38" s="9" t="str">
        <f>IFERROR(VLOOKUP(Y38,Database!$A$2:$S$175,19,FALSE),"-")</f>
        <v>-</v>
      </c>
    </row>
    <row r="39" spans="1:29" ht="15" customHeight="1" thickBot="1" x14ac:dyDescent="0.4">
      <c r="A39" s="95" t="str">
        <f>rengøring!A39</f>
        <v>onsdag</v>
      </c>
      <c r="B39" s="93">
        <v>46540</v>
      </c>
      <c r="C39" s="10"/>
      <c r="D39" s="96" t="str">
        <f>IF(booking!AB39&gt;0,"Y","-")</f>
        <v>-</v>
      </c>
      <c r="E39" s="102" t="str">
        <f>IF(AND(D39="Y",booking!D39&lt;&gt;booking!E39,booking!E39&gt;0),booking!E39,"-")</f>
        <v>-</v>
      </c>
      <c r="F39" s="86" t="str">
        <f>IFERROR(VLOOKUP(E39,Database!$A$2:$L$175,8,FALSE),"-")</f>
        <v>-</v>
      </c>
      <c r="G39" s="86" t="str">
        <f>IFERROR(VLOOKUP(E39,Database!$A$2:$L$175,6,FALSE),"-")</f>
        <v>-</v>
      </c>
      <c r="H39" s="100" t="str">
        <f>IFERROR(VLOOKUP(E39,Database!$A$2:$L$175,9,FALSE),"-")</f>
        <v>-</v>
      </c>
      <c r="I39" s="120" t="str">
        <f>IFERROR(VLOOKUP(E39,Database!$A$2:$S$175,19,FALSE),"-")</f>
        <v>-</v>
      </c>
      <c r="J39" s="103" t="str">
        <f>IF(AND(D39="Y",booking!H39&lt;&gt;booking!I39,booking!I39&gt;0),booking!I39,"-")</f>
        <v>-</v>
      </c>
      <c r="K39" s="86" t="str">
        <f>IFERROR(VLOOKUP(J39,Database!$A$2:$L$175,8,FALSE),"-")</f>
        <v>-</v>
      </c>
      <c r="L39" s="86" t="str">
        <f>IFERROR(VLOOKUP(J39,Database!$A$2:$L$175,6,FALSE),"-")</f>
        <v>-</v>
      </c>
      <c r="M39" s="100" t="str">
        <f>IFERROR(VLOOKUP(J39,Database!$A$2:$L$175,9,FALSE),"-")</f>
        <v>-</v>
      </c>
      <c r="N39" s="152" t="str">
        <f>IFERROR(VLOOKUP(J39,Database!$A$2:$S$175,19,FALSE),"-")</f>
        <v>-</v>
      </c>
      <c r="O39" s="103" t="str">
        <f>IF(AND(D39="Y",booking!L39&lt;&gt;booking!M39,booking!M39&gt;0),booking!M39,"-")</f>
        <v>-</v>
      </c>
      <c r="P39" s="86" t="str">
        <f>IFERROR(VLOOKUP(O39,Database!$A$2:$L$175,8,FALSE),"-")</f>
        <v>-</v>
      </c>
      <c r="Q39" s="86" t="str">
        <f>IFERROR(VLOOKUP(O39,Database!$A$2:$L$175,6,FALSE),"-")</f>
        <v>-</v>
      </c>
      <c r="R39" s="90" t="str">
        <f>IFERROR(VLOOKUP(O39,Database!$A$2:$L$175,9,FALSE),"-")</f>
        <v>-</v>
      </c>
      <c r="S39" s="152" t="str">
        <f>IFERROR(VLOOKUP(O39,Database!$A$2:$S$175,19,FALSE),"-")</f>
        <v>-</v>
      </c>
      <c r="T39" s="104" t="str">
        <f>IF(AND(D39="Y",booking!P39&lt;&gt;booking!Q39,booking!Q39&gt;0),booking!Q39,"-")</f>
        <v>-</v>
      </c>
      <c r="U39" s="86" t="str">
        <f>IFERROR(VLOOKUP(T39,Database!$A$2:$L$175,8,FALSE),"-")</f>
        <v>-</v>
      </c>
      <c r="V39" s="86" t="str">
        <f>IFERROR(VLOOKUP(T39,Database!$A$2:$L$175,6,FALSE),"-")</f>
        <v>-</v>
      </c>
      <c r="W39" s="90" t="str">
        <f>IFERROR(VLOOKUP(T39,Database!$A$2:$L$175,9,FALSE),"-")</f>
        <v>-</v>
      </c>
      <c r="X39" s="152" t="str">
        <f>IFERROR(VLOOKUP(T39,Database!$A$2:$S$175,19,FALSE),"-")</f>
        <v>-</v>
      </c>
      <c r="Y39" s="103" t="str">
        <f>IF(AND(D39="Y",booking!T39&lt;&gt;booking!U39,booking!U39&gt;0),booking!U39,"-")</f>
        <v>-</v>
      </c>
      <c r="Z39" s="87" t="str">
        <f>IFERROR(VLOOKUP(Y39,Database!$A$2:$L$175,8,FALSE),"-")</f>
        <v>-</v>
      </c>
      <c r="AA39" s="87" t="str">
        <f>IFERROR(VLOOKUP(Y39,Database!$A$2:$L$175,6,FALSE),"-")</f>
        <v>-</v>
      </c>
      <c r="AB39" s="99" t="str">
        <f>IFERROR(VLOOKUP(Y39,Database!$A$2:$L$175,9,FALSE),"-")</f>
        <v>-</v>
      </c>
      <c r="AC39" s="9" t="str">
        <f>IFERROR(VLOOKUP(Y39,Database!$A$2:$S$175,19,FALSE),"-")</f>
        <v>-</v>
      </c>
    </row>
    <row r="40" spans="1:29" ht="15" customHeight="1" thickBot="1" x14ac:dyDescent="0.4">
      <c r="A40" s="95" t="str">
        <f>rengøring!A40</f>
        <v>torsdag</v>
      </c>
      <c r="B40" s="93">
        <v>46541</v>
      </c>
      <c r="C40" s="10"/>
      <c r="D40" s="96" t="str">
        <f>IF(booking!AB40&gt;0,"Y","-")</f>
        <v>-</v>
      </c>
      <c r="E40" s="102" t="str">
        <f>IF(AND(D40="Y",booking!D40&lt;&gt;booking!E40,booking!E40&gt;0),booking!E40,"-")</f>
        <v>-</v>
      </c>
      <c r="F40" s="86" t="str">
        <f>IFERROR(VLOOKUP(E40,Database!$A$2:$L$175,8,FALSE),"-")</f>
        <v>-</v>
      </c>
      <c r="G40" s="86" t="str">
        <f>IFERROR(VLOOKUP(E40,Database!$A$2:$L$175,6,FALSE),"-")</f>
        <v>-</v>
      </c>
      <c r="H40" s="100" t="str">
        <f>IFERROR(VLOOKUP(E40,Database!$A$2:$L$175,9,FALSE),"-")</f>
        <v>-</v>
      </c>
      <c r="I40" s="120" t="str">
        <f>IFERROR(VLOOKUP(E40,Database!$A$2:$S$175,19,FALSE),"-")</f>
        <v>-</v>
      </c>
      <c r="J40" s="103" t="str">
        <f>IF(AND(D40="Y",booking!H40&lt;&gt;booking!I40,booking!I40&gt;0),booking!I40,"-")</f>
        <v>-</v>
      </c>
      <c r="K40" s="86" t="str">
        <f>IFERROR(VLOOKUP(J40,Database!$A$2:$L$175,8,FALSE),"-")</f>
        <v>-</v>
      </c>
      <c r="L40" s="86" t="str">
        <f>IFERROR(VLOOKUP(J40,Database!$A$2:$L$175,6,FALSE),"-")</f>
        <v>-</v>
      </c>
      <c r="M40" s="100" t="str">
        <f>IFERROR(VLOOKUP(J40,Database!$A$2:$L$175,9,FALSE),"-")</f>
        <v>-</v>
      </c>
      <c r="N40" s="152" t="str">
        <f>IFERROR(VLOOKUP(J40,Database!$A$2:$S$175,19,FALSE),"-")</f>
        <v>-</v>
      </c>
      <c r="O40" s="103" t="str">
        <f>IF(AND(D40="Y",booking!L40&lt;&gt;booking!M40,booking!M40&gt;0),booking!M40,"-")</f>
        <v>-</v>
      </c>
      <c r="P40" s="86" t="str">
        <f>IFERROR(VLOOKUP(O40,Database!$A$2:$L$175,8,FALSE),"-")</f>
        <v>-</v>
      </c>
      <c r="Q40" s="86" t="str">
        <f>IFERROR(VLOOKUP(O40,Database!$A$2:$L$175,6,FALSE),"-")</f>
        <v>-</v>
      </c>
      <c r="R40" s="90" t="str">
        <f>IFERROR(VLOOKUP(O40,Database!$A$2:$L$175,9,FALSE),"-")</f>
        <v>-</v>
      </c>
      <c r="S40" s="152" t="str">
        <f>IFERROR(VLOOKUP(O40,Database!$A$2:$S$175,19,FALSE),"-")</f>
        <v>-</v>
      </c>
      <c r="T40" s="104" t="str">
        <f>IF(AND(D40="Y",booking!P40&lt;&gt;booking!Q40,booking!Q40&gt;0),booking!Q40,"-")</f>
        <v>-</v>
      </c>
      <c r="U40" s="86" t="str">
        <f>IFERROR(VLOOKUP(T40,Database!$A$2:$L$175,8,FALSE),"-")</f>
        <v>-</v>
      </c>
      <c r="V40" s="86" t="str">
        <f>IFERROR(VLOOKUP(T40,Database!$A$2:$L$175,6,FALSE),"-")</f>
        <v>-</v>
      </c>
      <c r="W40" s="90" t="str">
        <f>IFERROR(VLOOKUP(T40,Database!$A$2:$L$175,9,FALSE),"-")</f>
        <v>-</v>
      </c>
      <c r="X40" s="152" t="str">
        <f>IFERROR(VLOOKUP(T40,Database!$A$2:$S$175,19,FALSE),"-")</f>
        <v>-</v>
      </c>
      <c r="Y40" s="103" t="str">
        <f>IF(AND(D40="Y",booking!T40&lt;&gt;booking!U40,booking!U40&gt;0),booking!U40,"-")</f>
        <v>-</v>
      </c>
      <c r="Z40" s="87" t="str">
        <f>IFERROR(VLOOKUP(Y40,Database!$A$2:$L$175,8,FALSE),"-")</f>
        <v>-</v>
      </c>
      <c r="AA40" s="87" t="str">
        <f>IFERROR(VLOOKUP(Y40,Database!$A$2:$L$175,6,FALSE),"-")</f>
        <v>-</v>
      </c>
      <c r="AB40" s="99" t="str">
        <f>IFERROR(VLOOKUP(Y40,Database!$A$2:$L$175,9,FALSE),"-")</f>
        <v>-</v>
      </c>
      <c r="AC40" s="9" t="str">
        <f>IFERROR(VLOOKUP(Y40,Database!$A$2:$S$175,19,FALSE),"-")</f>
        <v>-</v>
      </c>
    </row>
    <row r="41" spans="1:29" ht="15" customHeight="1" thickBot="1" x14ac:dyDescent="0.4">
      <c r="A41" s="95" t="str">
        <f>rengøring!A41</f>
        <v>fredag</v>
      </c>
      <c r="B41" s="93">
        <v>46542</v>
      </c>
      <c r="C41" s="10"/>
      <c r="D41" s="96" t="str">
        <f>IF(booking!AB41&gt;0,"Y","-")</f>
        <v>-</v>
      </c>
      <c r="E41" s="102" t="str">
        <f>IF(AND(D41="Y",booking!D41&lt;&gt;booking!E41,booking!E41&gt;0),booking!E41,"-")</f>
        <v>-</v>
      </c>
      <c r="F41" s="86" t="str">
        <f>IFERROR(VLOOKUP(E41,Database!$A$2:$L$175,8,FALSE),"-")</f>
        <v>-</v>
      </c>
      <c r="G41" s="86" t="str">
        <f>IFERROR(VLOOKUP(E41,Database!$A$2:$L$175,6,FALSE),"-")</f>
        <v>-</v>
      </c>
      <c r="H41" s="100" t="str">
        <f>IFERROR(VLOOKUP(E41,Database!$A$2:$L$175,9,FALSE),"-")</f>
        <v>-</v>
      </c>
      <c r="I41" s="120" t="str">
        <f>IFERROR(VLOOKUP(E41,Database!$A$2:$S$175,19,FALSE),"-")</f>
        <v>-</v>
      </c>
      <c r="J41" s="103" t="str">
        <f>IF(AND(D41="Y",booking!H41&lt;&gt;booking!I41,booking!I41&gt;0),booking!I41,"-")</f>
        <v>-</v>
      </c>
      <c r="K41" s="86" t="str">
        <f>IFERROR(VLOOKUP(J41,Database!$A$2:$L$175,8,FALSE),"-")</f>
        <v>-</v>
      </c>
      <c r="L41" s="86" t="str">
        <f>IFERROR(VLOOKUP(J41,Database!$A$2:$L$175,6,FALSE),"-")</f>
        <v>-</v>
      </c>
      <c r="M41" s="100" t="str">
        <f>IFERROR(VLOOKUP(J41,Database!$A$2:$L$175,9,FALSE),"-")</f>
        <v>-</v>
      </c>
      <c r="N41" s="152" t="str">
        <f>IFERROR(VLOOKUP(J41,Database!$A$2:$S$175,19,FALSE),"-")</f>
        <v>-</v>
      </c>
      <c r="O41" s="103" t="str">
        <f>IF(AND(D41="Y",booking!L41&lt;&gt;booking!M41,booking!M41&gt;0),booking!M41,"-")</f>
        <v>-</v>
      </c>
      <c r="P41" s="86" t="str">
        <f>IFERROR(VLOOKUP(O41,Database!$A$2:$L$175,8,FALSE),"-")</f>
        <v>-</v>
      </c>
      <c r="Q41" s="86" t="str">
        <f>IFERROR(VLOOKUP(O41,Database!$A$2:$L$175,6,FALSE),"-")</f>
        <v>-</v>
      </c>
      <c r="R41" s="90" t="str">
        <f>IFERROR(VLOOKUP(O41,Database!$A$2:$L$175,9,FALSE),"-")</f>
        <v>-</v>
      </c>
      <c r="S41" s="152" t="str">
        <f>IFERROR(VLOOKUP(O41,Database!$A$2:$S$175,19,FALSE),"-")</f>
        <v>-</v>
      </c>
      <c r="T41" s="104" t="str">
        <f>IF(AND(D41="Y",booking!P41&lt;&gt;booking!Q41,booking!Q41&gt;0),booking!Q41,"-")</f>
        <v>-</v>
      </c>
      <c r="U41" s="86" t="str">
        <f>IFERROR(VLOOKUP(T41,Database!$A$2:$L$175,8,FALSE),"-")</f>
        <v>-</v>
      </c>
      <c r="V41" s="86" t="str">
        <f>IFERROR(VLOOKUP(T41,Database!$A$2:$L$175,6,FALSE),"-")</f>
        <v>-</v>
      </c>
      <c r="W41" s="90" t="str">
        <f>IFERROR(VLOOKUP(T41,Database!$A$2:$L$175,9,FALSE),"-")</f>
        <v>-</v>
      </c>
      <c r="X41" s="152" t="str">
        <f>IFERROR(VLOOKUP(T41,Database!$A$2:$S$175,19,FALSE),"-")</f>
        <v>-</v>
      </c>
      <c r="Y41" s="103" t="str">
        <f>IF(AND(D41="Y",booking!T41&lt;&gt;booking!U41,booking!U41&gt;0),booking!U41,"-")</f>
        <v>-</v>
      </c>
      <c r="Z41" s="87" t="str">
        <f>IFERROR(VLOOKUP(Y41,Database!$A$2:$L$175,8,FALSE),"-")</f>
        <v>-</v>
      </c>
      <c r="AA41" s="87" t="str">
        <f>IFERROR(VLOOKUP(Y41,Database!$A$2:$L$175,6,FALSE),"-")</f>
        <v>-</v>
      </c>
      <c r="AB41" s="99" t="str">
        <f>IFERROR(VLOOKUP(Y41,Database!$A$2:$L$175,9,FALSE),"-")</f>
        <v>-</v>
      </c>
      <c r="AC41" s="9" t="str">
        <f>IFERROR(VLOOKUP(Y41,Database!$A$2:$S$175,19,FALSE),"-")</f>
        <v>-</v>
      </c>
    </row>
    <row r="42" spans="1:29" ht="15" customHeight="1" thickBot="1" x14ac:dyDescent="0.4">
      <c r="A42" s="95" t="str">
        <f>rengøring!A42</f>
        <v>lørdag</v>
      </c>
      <c r="B42" s="93">
        <v>46543</v>
      </c>
      <c r="C42" s="10"/>
      <c r="D42" s="96" t="str">
        <f>IF(booking!AB42&gt;0,"Y","-")</f>
        <v>-</v>
      </c>
      <c r="E42" s="102" t="str">
        <f>IF(AND(D42="Y",booking!D42&lt;&gt;booking!E42,booking!E42&gt;0),booking!E42,"-")</f>
        <v>-</v>
      </c>
      <c r="F42" s="86" t="str">
        <f>IFERROR(VLOOKUP(E42,Database!$A$2:$L$175,8,FALSE),"-")</f>
        <v>-</v>
      </c>
      <c r="G42" s="86" t="str">
        <f>IFERROR(VLOOKUP(E42,Database!$A$2:$L$175,6,FALSE),"-")</f>
        <v>-</v>
      </c>
      <c r="H42" s="100" t="str">
        <f>IFERROR(VLOOKUP(E42,Database!$A$2:$L$175,9,FALSE),"-")</f>
        <v>-</v>
      </c>
      <c r="I42" s="120" t="str">
        <f>IFERROR(VLOOKUP(E42,Database!$A$2:$S$175,19,FALSE),"-")</f>
        <v>-</v>
      </c>
      <c r="J42" s="103" t="str">
        <f>IF(AND(D42="Y",booking!H42&lt;&gt;booking!I42,booking!I42&gt;0),booking!I42,"-")</f>
        <v>-</v>
      </c>
      <c r="K42" s="86" t="str">
        <f>IFERROR(VLOOKUP(J42,Database!$A$2:$L$175,8,FALSE),"-")</f>
        <v>-</v>
      </c>
      <c r="L42" s="86" t="str">
        <f>IFERROR(VLOOKUP(J42,Database!$A$2:$L$175,6,FALSE),"-")</f>
        <v>-</v>
      </c>
      <c r="M42" s="100" t="str">
        <f>IFERROR(VLOOKUP(J42,Database!$A$2:$L$175,9,FALSE),"-")</f>
        <v>-</v>
      </c>
      <c r="N42" s="152" t="str">
        <f>IFERROR(VLOOKUP(J42,Database!$A$2:$S$175,19,FALSE),"-")</f>
        <v>-</v>
      </c>
      <c r="O42" s="103" t="str">
        <f>IF(AND(D42="Y",booking!L42&lt;&gt;booking!M42,booking!M42&gt;0),booking!M42,"-")</f>
        <v>-</v>
      </c>
      <c r="P42" s="86" t="str">
        <f>IFERROR(VLOOKUP(O42,Database!$A$2:$L$175,8,FALSE),"-")</f>
        <v>-</v>
      </c>
      <c r="Q42" s="86" t="str">
        <f>IFERROR(VLOOKUP(O42,Database!$A$2:$L$175,6,FALSE),"-")</f>
        <v>-</v>
      </c>
      <c r="R42" s="90" t="str">
        <f>IFERROR(VLOOKUP(O42,Database!$A$2:$L$175,9,FALSE),"-")</f>
        <v>-</v>
      </c>
      <c r="S42" s="152" t="str">
        <f>IFERROR(VLOOKUP(O42,Database!$A$2:$S$175,19,FALSE),"-")</f>
        <v>-</v>
      </c>
      <c r="T42" s="104" t="str">
        <f>IF(AND(D42="Y",booking!P42&lt;&gt;booking!Q42,booking!Q42&gt;0),booking!Q42,"-")</f>
        <v>-</v>
      </c>
      <c r="U42" s="86" t="str">
        <f>IFERROR(VLOOKUP(T42,Database!$A$2:$L$175,8,FALSE),"-")</f>
        <v>-</v>
      </c>
      <c r="V42" s="86" t="str">
        <f>IFERROR(VLOOKUP(T42,Database!$A$2:$L$175,6,FALSE),"-")</f>
        <v>-</v>
      </c>
      <c r="W42" s="90" t="str">
        <f>IFERROR(VLOOKUP(T42,Database!$A$2:$L$175,9,FALSE),"-")</f>
        <v>-</v>
      </c>
      <c r="X42" s="152" t="str">
        <f>IFERROR(VLOOKUP(T42,Database!$A$2:$S$175,19,FALSE),"-")</f>
        <v>-</v>
      </c>
      <c r="Y42" s="103" t="str">
        <f>IF(AND(D42="Y",booking!T42&lt;&gt;booking!U42,booking!U42&gt;0),booking!U42,"-")</f>
        <v>-</v>
      </c>
      <c r="Z42" s="87" t="str">
        <f>IFERROR(VLOOKUP(Y42,Database!$A$2:$L$175,8,FALSE),"-")</f>
        <v>-</v>
      </c>
      <c r="AA42" s="87" t="str">
        <f>IFERROR(VLOOKUP(Y42,Database!$A$2:$L$175,6,FALSE),"-")</f>
        <v>-</v>
      </c>
      <c r="AB42" s="99" t="str">
        <f>IFERROR(VLOOKUP(Y42,Database!$A$2:$L$175,9,FALSE),"-")</f>
        <v>-</v>
      </c>
      <c r="AC42" s="9" t="str">
        <f>IFERROR(VLOOKUP(Y42,Database!$A$2:$S$175,19,FALSE),"-")</f>
        <v>-</v>
      </c>
    </row>
    <row r="43" spans="1:29" ht="15" customHeight="1" thickBot="1" x14ac:dyDescent="0.4">
      <c r="A43" s="95" t="str">
        <f>rengøring!A43</f>
        <v>søndag</v>
      </c>
      <c r="B43" s="93">
        <v>46544</v>
      </c>
      <c r="C43" s="10"/>
      <c r="D43" s="96" t="str">
        <f>IF(booking!AB43&gt;0,"Y","-")</f>
        <v>-</v>
      </c>
      <c r="E43" s="102" t="str">
        <f>IF(AND(D43="Y",booking!D43&lt;&gt;booking!E43,booking!E43&gt;0),booking!E43,"-")</f>
        <v>-</v>
      </c>
      <c r="F43" s="86" t="str">
        <f>IFERROR(VLOOKUP(E43,Database!$A$2:$L$175,8,FALSE),"-")</f>
        <v>-</v>
      </c>
      <c r="G43" s="86" t="str">
        <f>IFERROR(VLOOKUP(E43,Database!$A$2:$L$175,6,FALSE),"-")</f>
        <v>-</v>
      </c>
      <c r="H43" s="100" t="str">
        <f>IFERROR(VLOOKUP(E43,Database!$A$2:$L$175,9,FALSE),"-")</f>
        <v>-</v>
      </c>
      <c r="I43" s="120" t="str">
        <f>IFERROR(VLOOKUP(E43,Database!$A$2:$S$175,19,FALSE),"-")</f>
        <v>-</v>
      </c>
      <c r="J43" s="103" t="str">
        <f>IF(AND(D43="Y",booking!H43&lt;&gt;booking!I43,booking!I43&gt;0),booking!I43,"-")</f>
        <v>-</v>
      </c>
      <c r="K43" s="86" t="str">
        <f>IFERROR(VLOOKUP(J43,Database!$A$2:$L$175,8,FALSE),"-")</f>
        <v>-</v>
      </c>
      <c r="L43" s="86" t="str">
        <f>IFERROR(VLOOKUP(J43,Database!$A$2:$L$175,6,FALSE),"-")</f>
        <v>-</v>
      </c>
      <c r="M43" s="100" t="str">
        <f>IFERROR(VLOOKUP(J43,Database!$A$2:$L$175,9,FALSE),"-")</f>
        <v>-</v>
      </c>
      <c r="N43" s="152" t="str">
        <f>IFERROR(VLOOKUP(J43,Database!$A$2:$S$175,19,FALSE),"-")</f>
        <v>-</v>
      </c>
      <c r="O43" s="103" t="str">
        <f>IF(AND(D43="Y",booking!L43&lt;&gt;booking!M43,booking!M43&gt;0),booking!M43,"-")</f>
        <v>-</v>
      </c>
      <c r="P43" s="86" t="str">
        <f>IFERROR(VLOOKUP(O43,Database!$A$2:$L$175,8,FALSE),"-")</f>
        <v>-</v>
      </c>
      <c r="Q43" s="86" t="str">
        <f>IFERROR(VLOOKUP(O43,Database!$A$2:$L$175,6,FALSE),"-")</f>
        <v>-</v>
      </c>
      <c r="R43" s="90" t="str">
        <f>IFERROR(VLOOKUP(O43,Database!$A$2:$L$175,9,FALSE),"-")</f>
        <v>-</v>
      </c>
      <c r="S43" s="152" t="str">
        <f>IFERROR(VLOOKUP(O43,Database!$A$2:$S$175,19,FALSE),"-")</f>
        <v>-</v>
      </c>
      <c r="T43" s="104" t="str">
        <f>IF(AND(D43="Y",booking!P43&lt;&gt;booking!Q43,booking!Q43&gt;0),booking!Q43,"-")</f>
        <v>-</v>
      </c>
      <c r="U43" s="86" t="str">
        <f>IFERROR(VLOOKUP(T43,Database!$A$2:$L$175,8,FALSE),"-")</f>
        <v>-</v>
      </c>
      <c r="V43" s="86" t="str">
        <f>IFERROR(VLOOKUP(T43,Database!$A$2:$L$175,6,FALSE),"-")</f>
        <v>-</v>
      </c>
      <c r="W43" s="90" t="str">
        <f>IFERROR(VLOOKUP(T43,Database!$A$2:$L$175,9,FALSE),"-")</f>
        <v>-</v>
      </c>
      <c r="X43" s="152" t="str">
        <f>IFERROR(VLOOKUP(T43,Database!$A$2:$S$175,19,FALSE),"-")</f>
        <v>-</v>
      </c>
      <c r="Y43" s="103" t="str">
        <f>IF(AND(D43="Y",booking!T43&lt;&gt;booking!U43,booking!U43&gt;0),booking!U43,"-")</f>
        <v>-</v>
      </c>
      <c r="Z43" s="87" t="str">
        <f>IFERROR(VLOOKUP(Y43,Database!$A$2:$L$175,8,FALSE),"-")</f>
        <v>-</v>
      </c>
      <c r="AA43" s="87" t="str">
        <f>IFERROR(VLOOKUP(Y43,Database!$A$2:$L$175,6,FALSE),"-")</f>
        <v>-</v>
      </c>
      <c r="AB43" s="99" t="str">
        <f>IFERROR(VLOOKUP(Y43,Database!$A$2:$L$175,9,FALSE),"-")</f>
        <v>-</v>
      </c>
      <c r="AC43" s="9" t="str">
        <f>IFERROR(VLOOKUP(Y43,Database!$A$2:$S$175,19,FALSE),"-")</f>
        <v>-</v>
      </c>
    </row>
    <row r="44" spans="1:29" ht="15" customHeight="1" thickBot="1" x14ac:dyDescent="0.4">
      <c r="A44" s="95" t="str">
        <f>rengøring!A44</f>
        <v>mandag</v>
      </c>
      <c r="B44" s="93">
        <v>46545</v>
      </c>
      <c r="C44" s="10"/>
      <c r="D44" s="96" t="str">
        <f>IF(booking!AB44&gt;0,"Y","-")</f>
        <v>-</v>
      </c>
      <c r="E44" s="102" t="str">
        <f>IF(AND(D44="Y",booking!D44&lt;&gt;booking!E44,booking!E44&gt;0),booking!E44,"-")</f>
        <v>-</v>
      </c>
      <c r="F44" s="86" t="str">
        <f>IFERROR(VLOOKUP(E44,Database!$A$2:$L$175,8,FALSE),"-")</f>
        <v>-</v>
      </c>
      <c r="G44" s="86" t="str">
        <f>IFERROR(VLOOKUP(E44,Database!$A$2:$L$175,6,FALSE),"-")</f>
        <v>-</v>
      </c>
      <c r="H44" s="100" t="str">
        <f>IFERROR(VLOOKUP(E44,Database!$A$2:$L$175,9,FALSE),"-")</f>
        <v>-</v>
      </c>
      <c r="I44" s="120" t="str">
        <f>IFERROR(VLOOKUP(E44,Database!$A$2:$S$175,19,FALSE),"-")</f>
        <v>-</v>
      </c>
      <c r="J44" s="103" t="str">
        <f>IF(AND(D44="Y",booking!H44&lt;&gt;booking!I44,booking!I44&gt;0),booking!I44,"-")</f>
        <v>-</v>
      </c>
      <c r="K44" s="86" t="str">
        <f>IFERROR(VLOOKUP(J44,Database!$A$2:$L$175,8,FALSE),"-")</f>
        <v>-</v>
      </c>
      <c r="L44" s="86" t="str">
        <f>IFERROR(VLOOKUP(J44,Database!$A$2:$L$175,6,FALSE),"-")</f>
        <v>-</v>
      </c>
      <c r="M44" s="100" t="str">
        <f>IFERROR(VLOOKUP(J44,Database!$A$2:$L$175,9,FALSE),"-")</f>
        <v>-</v>
      </c>
      <c r="N44" s="152" t="str">
        <f>IFERROR(VLOOKUP(J44,Database!$A$2:$S$175,19,FALSE),"-")</f>
        <v>-</v>
      </c>
      <c r="O44" s="103" t="str">
        <f>IF(AND(D44="Y",booking!L44&lt;&gt;booking!M44,booking!M44&gt;0),booking!M44,"-")</f>
        <v>-</v>
      </c>
      <c r="P44" s="86" t="str">
        <f>IFERROR(VLOOKUP(O44,Database!$A$2:$L$175,8,FALSE),"-")</f>
        <v>-</v>
      </c>
      <c r="Q44" s="86" t="str">
        <f>IFERROR(VLOOKUP(O44,Database!$A$2:$L$175,6,FALSE),"-")</f>
        <v>-</v>
      </c>
      <c r="R44" s="90" t="str">
        <f>IFERROR(VLOOKUP(O44,Database!$A$2:$L$175,9,FALSE),"-")</f>
        <v>-</v>
      </c>
      <c r="S44" s="152" t="str">
        <f>IFERROR(VLOOKUP(O44,Database!$A$2:$S$175,19,FALSE),"-")</f>
        <v>-</v>
      </c>
      <c r="T44" s="104" t="str">
        <f>IF(AND(D44="Y",booking!P44&lt;&gt;booking!Q44,booking!Q44&gt;0),booking!Q44,"-")</f>
        <v>-</v>
      </c>
      <c r="U44" s="86" t="str">
        <f>IFERROR(VLOOKUP(T44,Database!$A$2:$L$175,8,FALSE),"-")</f>
        <v>-</v>
      </c>
      <c r="V44" s="86" t="str">
        <f>IFERROR(VLOOKUP(T44,Database!$A$2:$L$175,6,FALSE),"-")</f>
        <v>-</v>
      </c>
      <c r="W44" s="90" t="str">
        <f>IFERROR(VLOOKUP(T44,Database!$A$2:$L$175,9,FALSE),"-")</f>
        <v>-</v>
      </c>
      <c r="X44" s="152" t="str">
        <f>IFERROR(VLOOKUP(T44,Database!$A$2:$S$175,19,FALSE),"-")</f>
        <v>-</v>
      </c>
      <c r="Y44" s="103" t="str">
        <f>IF(AND(D44="Y",booking!T44&lt;&gt;booking!U44,booking!U44&gt;0),booking!U44,"-")</f>
        <v>-</v>
      </c>
      <c r="Z44" s="87" t="str">
        <f>IFERROR(VLOOKUP(Y44,Database!$A$2:$L$175,8,FALSE),"-")</f>
        <v>-</v>
      </c>
      <c r="AA44" s="87" t="str">
        <f>IFERROR(VLOOKUP(Y44,Database!$A$2:$L$175,6,FALSE),"-")</f>
        <v>-</v>
      </c>
      <c r="AB44" s="99" t="str">
        <f>IFERROR(VLOOKUP(Y44,Database!$A$2:$L$175,9,FALSE),"-")</f>
        <v>-</v>
      </c>
      <c r="AC44" s="9" t="str">
        <f>IFERROR(VLOOKUP(Y44,Database!$A$2:$S$175,19,FALSE),"-")</f>
        <v>-</v>
      </c>
    </row>
    <row r="45" spans="1:29" ht="15" customHeight="1" thickBot="1" x14ac:dyDescent="0.4">
      <c r="A45" s="95" t="str">
        <f>rengøring!A45</f>
        <v>tirsdag</v>
      </c>
      <c r="B45" s="93">
        <v>46546</v>
      </c>
      <c r="C45" s="10"/>
      <c r="D45" s="96" t="str">
        <f>IF(booking!AB45&gt;0,"Y","-")</f>
        <v>-</v>
      </c>
      <c r="E45" s="102" t="str">
        <f>IF(AND(D45="Y",booking!D45&lt;&gt;booking!E45,booking!E45&gt;0),booking!E45,"-")</f>
        <v>-</v>
      </c>
      <c r="F45" s="86" t="str">
        <f>IFERROR(VLOOKUP(E45,Database!$A$2:$L$175,8,FALSE),"-")</f>
        <v>-</v>
      </c>
      <c r="G45" s="86" t="str">
        <f>IFERROR(VLOOKUP(E45,Database!$A$2:$L$175,6,FALSE),"-")</f>
        <v>-</v>
      </c>
      <c r="H45" s="100" t="str">
        <f>IFERROR(VLOOKUP(E45,Database!$A$2:$L$175,9,FALSE),"-")</f>
        <v>-</v>
      </c>
      <c r="I45" s="120" t="str">
        <f>IFERROR(VLOOKUP(E45,Database!$A$2:$S$175,19,FALSE),"-")</f>
        <v>-</v>
      </c>
      <c r="J45" s="103" t="str">
        <f>IF(AND(D45="Y",booking!H45&lt;&gt;booking!I45,booking!I45&gt;0),booking!I45,"-")</f>
        <v>-</v>
      </c>
      <c r="K45" s="86" t="str">
        <f>IFERROR(VLOOKUP(J45,Database!$A$2:$L$175,8,FALSE),"-")</f>
        <v>-</v>
      </c>
      <c r="L45" s="86" t="str">
        <f>IFERROR(VLOOKUP(J45,Database!$A$2:$L$175,6,FALSE),"-")</f>
        <v>-</v>
      </c>
      <c r="M45" s="100" t="str">
        <f>IFERROR(VLOOKUP(J45,Database!$A$2:$L$175,9,FALSE),"-")</f>
        <v>-</v>
      </c>
      <c r="N45" s="152" t="str">
        <f>IFERROR(VLOOKUP(J45,Database!$A$2:$S$175,19,FALSE),"-")</f>
        <v>-</v>
      </c>
      <c r="O45" s="103" t="str">
        <f>IF(AND(D45="Y",booking!L45&lt;&gt;booking!M45,booking!M45&gt;0),booking!M45,"-")</f>
        <v>-</v>
      </c>
      <c r="P45" s="86" t="str">
        <f>IFERROR(VLOOKUP(O45,Database!$A$2:$L$175,8,FALSE),"-")</f>
        <v>-</v>
      </c>
      <c r="Q45" s="86" t="str">
        <f>IFERROR(VLOOKUP(O45,Database!$A$2:$L$175,6,FALSE),"-")</f>
        <v>-</v>
      </c>
      <c r="R45" s="90" t="str">
        <f>IFERROR(VLOOKUP(O45,Database!$A$2:$L$175,9,FALSE),"-")</f>
        <v>-</v>
      </c>
      <c r="S45" s="152" t="str">
        <f>IFERROR(VLOOKUP(O45,Database!$A$2:$S$175,19,FALSE),"-")</f>
        <v>-</v>
      </c>
      <c r="T45" s="104" t="str">
        <f>IF(AND(D45="Y",booking!P45&lt;&gt;booking!Q45,booking!Q45&gt;0),booking!Q45,"-")</f>
        <v>-</v>
      </c>
      <c r="U45" s="86" t="str">
        <f>IFERROR(VLOOKUP(T45,Database!$A$2:$L$175,8,FALSE),"-")</f>
        <v>-</v>
      </c>
      <c r="V45" s="86" t="str">
        <f>IFERROR(VLOOKUP(T45,Database!$A$2:$L$175,6,FALSE),"-")</f>
        <v>-</v>
      </c>
      <c r="W45" s="90" t="str">
        <f>IFERROR(VLOOKUP(T45,Database!$A$2:$L$175,9,FALSE),"-")</f>
        <v>-</v>
      </c>
      <c r="X45" s="152" t="str">
        <f>IFERROR(VLOOKUP(T45,Database!$A$2:$S$175,19,FALSE),"-")</f>
        <v>-</v>
      </c>
      <c r="Y45" s="103" t="str">
        <f>IF(AND(D45="Y",booking!T45&lt;&gt;booking!U45,booking!U45&gt;0),booking!U45,"-")</f>
        <v>-</v>
      </c>
      <c r="Z45" s="87" t="str">
        <f>IFERROR(VLOOKUP(Y45,Database!$A$2:$L$175,8,FALSE),"-")</f>
        <v>-</v>
      </c>
      <c r="AA45" s="87" t="str">
        <f>IFERROR(VLOOKUP(Y45,Database!$A$2:$L$175,6,FALSE),"-")</f>
        <v>-</v>
      </c>
      <c r="AB45" s="99" t="str">
        <f>IFERROR(VLOOKUP(Y45,Database!$A$2:$L$175,9,FALSE),"-")</f>
        <v>-</v>
      </c>
      <c r="AC45" s="9" t="str">
        <f>IFERROR(VLOOKUP(Y45,Database!$A$2:$S$175,19,FALSE),"-")</f>
        <v>-</v>
      </c>
    </row>
    <row r="46" spans="1:29" ht="15" customHeight="1" thickBot="1" x14ac:dyDescent="0.4">
      <c r="A46" s="95" t="str">
        <f>rengøring!A46</f>
        <v>onsdag</v>
      </c>
      <c r="B46" s="93">
        <v>46547</v>
      </c>
      <c r="C46" s="10"/>
      <c r="D46" s="96" t="str">
        <f>IF(booking!AB46&gt;0,"Y","-")</f>
        <v>-</v>
      </c>
      <c r="E46" s="102" t="str">
        <f>IF(AND(D46="Y",booking!D46&lt;&gt;booking!E46,booking!E46&gt;0),booking!E46,"-")</f>
        <v>-</v>
      </c>
      <c r="F46" s="86" t="str">
        <f>IFERROR(VLOOKUP(E46,Database!$A$2:$L$175,8,FALSE),"-")</f>
        <v>-</v>
      </c>
      <c r="G46" s="86" t="str">
        <f>IFERROR(VLOOKUP(E46,Database!$A$2:$L$175,6,FALSE),"-")</f>
        <v>-</v>
      </c>
      <c r="H46" s="100" t="str">
        <f>IFERROR(VLOOKUP(E46,Database!$A$2:$L$175,9,FALSE),"-")</f>
        <v>-</v>
      </c>
      <c r="I46" s="120" t="str">
        <f>IFERROR(VLOOKUP(E46,Database!$A$2:$S$175,19,FALSE),"-")</f>
        <v>-</v>
      </c>
      <c r="J46" s="103" t="str">
        <f>IF(AND(D46="Y",booking!H46&lt;&gt;booking!I46,booking!I46&gt;0),booking!I46,"-")</f>
        <v>-</v>
      </c>
      <c r="K46" s="86" t="str">
        <f>IFERROR(VLOOKUP(J46,Database!$A$2:$L$175,8,FALSE),"-")</f>
        <v>-</v>
      </c>
      <c r="L46" s="86" t="str">
        <f>IFERROR(VLOOKUP(J46,Database!$A$2:$L$175,6,FALSE),"-")</f>
        <v>-</v>
      </c>
      <c r="M46" s="100" t="str">
        <f>IFERROR(VLOOKUP(J46,Database!$A$2:$L$175,9,FALSE),"-")</f>
        <v>-</v>
      </c>
      <c r="N46" s="152" t="str">
        <f>IFERROR(VLOOKUP(J46,Database!$A$2:$S$175,19,FALSE),"-")</f>
        <v>-</v>
      </c>
      <c r="O46" s="103" t="str">
        <f>IF(AND(D46="Y",booking!L46&lt;&gt;booking!M46,booking!M46&gt;0),booking!M46,"-")</f>
        <v>-</v>
      </c>
      <c r="P46" s="86" t="str">
        <f>IFERROR(VLOOKUP(O46,Database!$A$2:$L$175,8,FALSE),"-")</f>
        <v>-</v>
      </c>
      <c r="Q46" s="86" t="str">
        <f>IFERROR(VLOOKUP(O46,Database!$A$2:$L$175,6,FALSE),"-")</f>
        <v>-</v>
      </c>
      <c r="R46" s="90" t="str">
        <f>IFERROR(VLOOKUP(O46,Database!$A$2:$L$175,9,FALSE),"-")</f>
        <v>-</v>
      </c>
      <c r="S46" s="152" t="str">
        <f>IFERROR(VLOOKUP(O46,Database!$A$2:$S$175,19,FALSE),"-")</f>
        <v>-</v>
      </c>
      <c r="T46" s="104" t="str">
        <f>IF(AND(D46="Y",booking!P46&lt;&gt;booking!Q46,booking!Q46&gt;0),booking!Q46,"-")</f>
        <v>-</v>
      </c>
      <c r="U46" s="86" t="str">
        <f>IFERROR(VLOOKUP(T46,Database!$A$2:$L$175,8,FALSE),"-")</f>
        <v>-</v>
      </c>
      <c r="V46" s="86" t="str">
        <f>IFERROR(VLOOKUP(T46,Database!$A$2:$L$175,6,FALSE),"-")</f>
        <v>-</v>
      </c>
      <c r="W46" s="90" t="str">
        <f>IFERROR(VLOOKUP(T46,Database!$A$2:$L$175,9,FALSE),"-")</f>
        <v>-</v>
      </c>
      <c r="X46" s="152" t="str">
        <f>IFERROR(VLOOKUP(T46,Database!$A$2:$S$175,19,FALSE),"-")</f>
        <v>-</v>
      </c>
      <c r="Y46" s="103" t="str">
        <f>IF(AND(D46="Y",booking!T46&lt;&gt;booking!U46,booking!U46&gt;0),booking!U46,"-")</f>
        <v>-</v>
      </c>
      <c r="Z46" s="87" t="str">
        <f>IFERROR(VLOOKUP(Y46,Database!$A$2:$L$175,8,FALSE),"-")</f>
        <v>-</v>
      </c>
      <c r="AA46" s="87" t="str">
        <f>IFERROR(VLOOKUP(Y46,Database!$A$2:$L$175,6,FALSE),"-")</f>
        <v>-</v>
      </c>
      <c r="AB46" s="99" t="str">
        <f>IFERROR(VLOOKUP(Y46,Database!$A$2:$L$175,9,FALSE),"-")</f>
        <v>-</v>
      </c>
      <c r="AC46" s="9" t="str">
        <f>IFERROR(VLOOKUP(Y46,Database!$A$2:$S$175,19,FALSE),"-")</f>
        <v>-</v>
      </c>
    </row>
    <row r="47" spans="1:29" ht="15" customHeight="1" thickBot="1" x14ac:dyDescent="0.4">
      <c r="A47" s="95" t="str">
        <f>rengøring!A47</f>
        <v>torsdag</v>
      </c>
      <c r="B47" s="93">
        <v>46548</v>
      </c>
      <c r="C47" s="10"/>
      <c r="D47" s="96" t="str">
        <f>IF(booking!AB47&gt;0,"Y","-")</f>
        <v>-</v>
      </c>
      <c r="E47" s="102" t="str">
        <f>IF(AND(D47="Y",booking!D47&lt;&gt;booking!E47,booking!E47&gt;0),booking!E47,"-")</f>
        <v>-</v>
      </c>
      <c r="F47" s="86" t="str">
        <f>IFERROR(VLOOKUP(E47,Database!$A$2:$L$175,8,FALSE),"-")</f>
        <v>-</v>
      </c>
      <c r="G47" s="86" t="str">
        <f>IFERROR(VLOOKUP(E47,Database!$A$2:$L$175,6,FALSE),"-")</f>
        <v>-</v>
      </c>
      <c r="H47" s="100" t="str">
        <f>IFERROR(VLOOKUP(E47,Database!$A$2:$L$175,9,FALSE),"-")</f>
        <v>-</v>
      </c>
      <c r="I47" s="120" t="str">
        <f>IFERROR(VLOOKUP(E47,Database!$A$2:$S$175,19,FALSE),"-")</f>
        <v>-</v>
      </c>
      <c r="J47" s="103" t="str">
        <f>IF(AND(D47="Y",booking!H47&lt;&gt;booking!I47,booking!I47&gt;0),booking!I47,"-")</f>
        <v>-</v>
      </c>
      <c r="K47" s="86" t="str">
        <f>IFERROR(VLOOKUP(J47,Database!$A$2:$L$175,8,FALSE),"-")</f>
        <v>-</v>
      </c>
      <c r="L47" s="86" t="str">
        <f>IFERROR(VLOOKUP(J47,Database!$A$2:$L$175,6,FALSE),"-")</f>
        <v>-</v>
      </c>
      <c r="M47" s="100" t="str">
        <f>IFERROR(VLOOKUP(J47,Database!$A$2:$L$175,9,FALSE),"-")</f>
        <v>-</v>
      </c>
      <c r="N47" s="152" t="str">
        <f>IFERROR(VLOOKUP(J47,Database!$A$2:$S$175,19,FALSE),"-")</f>
        <v>-</v>
      </c>
      <c r="O47" s="103" t="str">
        <f>IF(AND(D47="Y",booking!L47&lt;&gt;booking!M47,booking!M47&gt;0),booking!M47,"-")</f>
        <v>-</v>
      </c>
      <c r="P47" s="86" t="str">
        <f>IFERROR(VLOOKUP(O47,Database!$A$2:$L$175,8,FALSE),"-")</f>
        <v>-</v>
      </c>
      <c r="Q47" s="86" t="str">
        <f>IFERROR(VLOOKUP(O47,Database!$A$2:$L$175,6,FALSE),"-")</f>
        <v>-</v>
      </c>
      <c r="R47" s="90" t="str">
        <f>IFERROR(VLOOKUP(O47,Database!$A$2:$L$175,9,FALSE),"-")</f>
        <v>-</v>
      </c>
      <c r="S47" s="152" t="str">
        <f>IFERROR(VLOOKUP(O47,Database!$A$2:$S$175,19,FALSE),"-")</f>
        <v>-</v>
      </c>
      <c r="T47" s="104" t="str">
        <f>IF(AND(D47="Y",booking!P47&lt;&gt;booking!Q47,booking!Q47&gt;0),booking!Q47,"-")</f>
        <v>-</v>
      </c>
      <c r="U47" s="86" t="str">
        <f>IFERROR(VLOOKUP(T47,Database!$A$2:$L$175,8,FALSE),"-")</f>
        <v>-</v>
      </c>
      <c r="V47" s="86" t="str">
        <f>IFERROR(VLOOKUP(T47,Database!$A$2:$L$175,6,FALSE),"-")</f>
        <v>-</v>
      </c>
      <c r="W47" s="90" t="str">
        <f>IFERROR(VLOOKUP(T47,Database!$A$2:$L$175,9,FALSE),"-")</f>
        <v>-</v>
      </c>
      <c r="X47" s="152" t="str">
        <f>IFERROR(VLOOKUP(T47,Database!$A$2:$S$175,19,FALSE),"-")</f>
        <v>-</v>
      </c>
      <c r="Y47" s="103" t="str">
        <f>IF(AND(D47="Y",booking!T47&lt;&gt;booking!U47,booking!U47&gt;0),booking!U47,"-")</f>
        <v>-</v>
      </c>
      <c r="Z47" s="87" t="str">
        <f>IFERROR(VLOOKUP(Y47,Database!$A$2:$L$175,8,FALSE),"-")</f>
        <v>-</v>
      </c>
      <c r="AA47" s="87" t="str">
        <f>IFERROR(VLOOKUP(Y47,Database!$A$2:$L$175,6,FALSE),"-")</f>
        <v>-</v>
      </c>
      <c r="AB47" s="99" t="str">
        <f>IFERROR(VLOOKUP(Y47,Database!$A$2:$L$175,9,FALSE),"-")</f>
        <v>-</v>
      </c>
      <c r="AC47" s="9" t="str">
        <f>IFERROR(VLOOKUP(Y47,Database!$A$2:$S$175,19,FALSE),"-")</f>
        <v>-</v>
      </c>
    </row>
    <row r="48" spans="1:29" ht="15" customHeight="1" thickBot="1" x14ac:dyDescent="0.4">
      <c r="A48" s="95" t="str">
        <f>rengøring!A48</f>
        <v>fredag</v>
      </c>
      <c r="B48" s="93">
        <v>46549</v>
      </c>
      <c r="C48" s="10"/>
      <c r="D48" s="96" t="str">
        <f>IF(booking!AB48&gt;0,"Y","-")</f>
        <v>-</v>
      </c>
      <c r="E48" s="102" t="str">
        <f>IF(AND(D48="Y",booking!D48&lt;&gt;booking!E48,booking!E48&gt;0),booking!E48,"-")</f>
        <v>-</v>
      </c>
      <c r="F48" s="86" t="str">
        <f>IFERROR(VLOOKUP(E48,Database!$A$2:$L$175,8,FALSE),"-")</f>
        <v>-</v>
      </c>
      <c r="G48" s="86" t="str">
        <f>IFERROR(VLOOKUP(E48,Database!$A$2:$L$175,6,FALSE),"-")</f>
        <v>-</v>
      </c>
      <c r="H48" s="100" t="str">
        <f>IFERROR(VLOOKUP(E48,Database!$A$2:$L$175,9,FALSE),"-")</f>
        <v>-</v>
      </c>
      <c r="I48" s="120" t="str">
        <f>IFERROR(VLOOKUP(E48,Database!$A$2:$S$175,19,FALSE),"-")</f>
        <v>-</v>
      </c>
      <c r="J48" s="103" t="str">
        <f>IF(AND(D48="Y",booking!H48&lt;&gt;booking!I48,booking!I48&gt;0),booking!I48,"-")</f>
        <v>-</v>
      </c>
      <c r="K48" s="86" t="str">
        <f>IFERROR(VLOOKUP(J48,Database!$A$2:$L$175,8,FALSE),"-")</f>
        <v>-</v>
      </c>
      <c r="L48" s="86" t="str">
        <f>IFERROR(VLOOKUP(J48,Database!$A$2:$L$175,6,FALSE),"-")</f>
        <v>-</v>
      </c>
      <c r="M48" s="100" t="str">
        <f>IFERROR(VLOOKUP(J48,Database!$A$2:$L$175,9,FALSE),"-")</f>
        <v>-</v>
      </c>
      <c r="N48" s="152" t="str">
        <f>IFERROR(VLOOKUP(J48,Database!$A$2:$S$175,19,FALSE),"-")</f>
        <v>-</v>
      </c>
      <c r="O48" s="103" t="str">
        <f>IF(AND(D48="Y",booking!L48&lt;&gt;booking!M48,booking!M48&gt;0),booking!M48,"-")</f>
        <v>-</v>
      </c>
      <c r="P48" s="86" t="str">
        <f>IFERROR(VLOOKUP(O48,Database!$A$2:$L$175,8,FALSE),"-")</f>
        <v>-</v>
      </c>
      <c r="Q48" s="86" t="str">
        <f>IFERROR(VLOOKUP(O48,Database!$A$2:$L$175,6,FALSE),"-")</f>
        <v>-</v>
      </c>
      <c r="R48" s="90" t="str">
        <f>IFERROR(VLOOKUP(O48,Database!$A$2:$L$175,9,FALSE),"-")</f>
        <v>-</v>
      </c>
      <c r="S48" s="152" t="str">
        <f>IFERROR(VLOOKUP(O48,Database!$A$2:$S$175,19,FALSE),"-")</f>
        <v>-</v>
      </c>
      <c r="T48" s="104" t="str">
        <f>IF(AND(D48="Y",booking!P48&lt;&gt;booking!Q48,booking!Q48&gt;0),booking!Q48,"-")</f>
        <v>-</v>
      </c>
      <c r="U48" s="86" t="str">
        <f>IFERROR(VLOOKUP(T48,Database!$A$2:$L$175,8,FALSE),"-")</f>
        <v>-</v>
      </c>
      <c r="V48" s="86" t="str">
        <f>IFERROR(VLOOKUP(T48,Database!$A$2:$L$175,6,FALSE),"-")</f>
        <v>-</v>
      </c>
      <c r="W48" s="90" t="str">
        <f>IFERROR(VLOOKUP(T48,Database!$A$2:$L$175,9,FALSE),"-")</f>
        <v>-</v>
      </c>
      <c r="X48" s="152" t="str">
        <f>IFERROR(VLOOKUP(T48,Database!$A$2:$S$175,19,FALSE),"-")</f>
        <v>-</v>
      </c>
      <c r="Y48" s="103" t="str">
        <f>IF(AND(D48="Y",booking!T48&lt;&gt;booking!U48,booking!U48&gt;0),booking!U48,"-")</f>
        <v>-</v>
      </c>
      <c r="Z48" s="87" t="str">
        <f>IFERROR(VLOOKUP(Y48,Database!$A$2:$L$175,8,FALSE),"-")</f>
        <v>-</v>
      </c>
      <c r="AA48" s="87" t="str">
        <f>IFERROR(VLOOKUP(Y48,Database!$A$2:$L$175,6,FALSE),"-")</f>
        <v>-</v>
      </c>
      <c r="AB48" s="99" t="str">
        <f>IFERROR(VLOOKUP(Y48,Database!$A$2:$L$175,9,FALSE),"-")</f>
        <v>-</v>
      </c>
      <c r="AC48" s="9" t="str">
        <f>IFERROR(VLOOKUP(Y48,Database!$A$2:$S$175,19,FALSE),"-")</f>
        <v>-</v>
      </c>
    </row>
    <row r="49" spans="1:29" ht="15" customHeight="1" thickBot="1" x14ac:dyDescent="0.4">
      <c r="A49" s="95" t="str">
        <f>rengøring!A49</f>
        <v>lørdag</v>
      </c>
      <c r="B49" s="93">
        <v>46550</v>
      </c>
      <c r="C49" s="10"/>
      <c r="D49" s="96" t="str">
        <f>IF(booking!AB49&gt;0,"Y","-")</f>
        <v>-</v>
      </c>
      <c r="E49" s="102" t="str">
        <f>IF(AND(D49="Y",booking!D49&lt;&gt;booking!E49,booking!E49&gt;0),booking!E49,"-")</f>
        <v>-</v>
      </c>
      <c r="F49" s="86" t="str">
        <f>IFERROR(VLOOKUP(E49,Database!$A$2:$L$175,8,FALSE),"-")</f>
        <v>-</v>
      </c>
      <c r="G49" s="86" t="str">
        <f>IFERROR(VLOOKUP(E49,Database!$A$2:$L$175,6,FALSE),"-")</f>
        <v>-</v>
      </c>
      <c r="H49" s="100" t="str">
        <f>IFERROR(VLOOKUP(E49,Database!$A$2:$L$175,9,FALSE),"-")</f>
        <v>-</v>
      </c>
      <c r="I49" s="120" t="str">
        <f>IFERROR(VLOOKUP(E49,Database!$A$2:$S$175,19,FALSE),"-")</f>
        <v>-</v>
      </c>
      <c r="J49" s="103" t="str">
        <f>IF(AND(D49="Y",booking!H49&lt;&gt;booking!I49,booking!I49&gt;0),booking!I49,"-")</f>
        <v>-</v>
      </c>
      <c r="K49" s="86" t="str">
        <f>IFERROR(VLOOKUP(J49,Database!$A$2:$L$175,8,FALSE),"-")</f>
        <v>-</v>
      </c>
      <c r="L49" s="86" t="str">
        <f>IFERROR(VLOOKUP(J49,Database!$A$2:$L$175,6,FALSE),"-")</f>
        <v>-</v>
      </c>
      <c r="M49" s="100" t="str">
        <f>IFERROR(VLOOKUP(J49,Database!$A$2:$L$175,9,FALSE),"-")</f>
        <v>-</v>
      </c>
      <c r="N49" s="152" t="str">
        <f>IFERROR(VLOOKUP(J49,Database!$A$2:$S$175,19,FALSE),"-")</f>
        <v>-</v>
      </c>
      <c r="O49" s="103" t="str">
        <f>IF(AND(D49="Y",booking!L49&lt;&gt;booking!M49,booking!M49&gt;0),booking!M49,"-")</f>
        <v>-</v>
      </c>
      <c r="P49" s="86" t="str">
        <f>IFERROR(VLOOKUP(O49,Database!$A$2:$L$175,8,FALSE),"-")</f>
        <v>-</v>
      </c>
      <c r="Q49" s="86" t="str">
        <f>IFERROR(VLOOKUP(O49,Database!$A$2:$L$175,6,FALSE),"-")</f>
        <v>-</v>
      </c>
      <c r="R49" s="90" t="str">
        <f>IFERROR(VLOOKUP(O49,Database!$A$2:$L$175,9,FALSE),"-")</f>
        <v>-</v>
      </c>
      <c r="S49" s="152" t="str">
        <f>IFERROR(VLOOKUP(O49,Database!$A$2:$S$175,19,FALSE),"-")</f>
        <v>-</v>
      </c>
      <c r="T49" s="104" t="str">
        <f>IF(AND(D49="Y",booking!P49&lt;&gt;booking!Q49,booking!Q49&gt;0),booking!Q49,"-")</f>
        <v>-</v>
      </c>
      <c r="U49" s="86" t="str">
        <f>IFERROR(VLOOKUP(T49,Database!$A$2:$L$175,8,FALSE),"-")</f>
        <v>-</v>
      </c>
      <c r="V49" s="86" t="str">
        <f>IFERROR(VLOOKUP(T49,Database!$A$2:$L$175,6,FALSE),"-")</f>
        <v>-</v>
      </c>
      <c r="W49" s="90" t="str">
        <f>IFERROR(VLOOKUP(T49,Database!$A$2:$L$175,9,FALSE),"-")</f>
        <v>-</v>
      </c>
      <c r="X49" s="152" t="str">
        <f>IFERROR(VLOOKUP(T49,Database!$A$2:$S$175,19,FALSE),"-")</f>
        <v>-</v>
      </c>
      <c r="Y49" s="103" t="str">
        <f>IF(AND(D49="Y",booking!T49&lt;&gt;booking!U49,booking!U49&gt;0),booking!U49,"-")</f>
        <v>-</v>
      </c>
      <c r="Z49" s="87" t="str">
        <f>IFERROR(VLOOKUP(Y49,Database!$A$2:$L$175,8,FALSE),"-")</f>
        <v>-</v>
      </c>
      <c r="AA49" s="87" t="str">
        <f>IFERROR(VLOOKUP(Y49,Database!$A$2:$L$175,6,FALSE),"-")</f>
        <v>-</v>
      </c>
      <c r="AB49" s="99" t="str">
        <f>IFERROR(VLOOKUP(Y49,Database!$A$2:$L$175,9,FALSE),"-")</f>
        <v>-</v>
      </c>
      <c r="AC49" s="9" t="str">
        <f>IFERROR(VLOOKUP(Y49,Database!$A$2:$S$175,19,FALSE),"-")</f>
        <v>-</v>
      </c>
    </row>
    <row r="50" spans="1:29" ht="15" customHeight="1" thickBot="1" x14ac:dyDescent="0.4">
      <c r="A50" s="95" t="str">
        <f>rengøring!A50</f>
        <v>søndag</v>
      </c>
      <c r="B50" s="93">
        <v>46551</v>
      </c>
      <c r="C50" s="10"/>
      <c r="D50" s="96" t="str">
        <f>IF(booking!AB50&gt;0,"Y","-")</f>
        <v>-</v>
      </c>
      <c r="E50" s="102" t="str">
        <f>IF(AND(D50="Y",booking!D50&lt;&gt;booking!E50,booking!E50&gt;0),booking!E50,"-")</f>
        <v>-</v>
      </c>
      <c r="F50" s="86" t="str">
        <f>IFERROR(VLOOKUP(E50,Database!$A$2:$L$175,8,FALSE),"-")</f>
        <v>-</v>
      </c>
      <c r="G50" s="86" t="str">
        <f>IFERROR(VLOOKUP(E50,Database!$A$2:$L$175,6,FALSE),"-")</f>
        <v>-</v>
      </c>
      <c r="H50" s="100" t="str">
        <f>IFERROR(VLOOKUP(E50,Database!$A$2:$L$175,9,FALSE),"-")</f>
        <v>-</v>
      </c>
      <c r="I50" s="120" t="str">
        <f>IFERROR(VLOOKUP(E50,Database!$A$2:$S$175,19,FALSE),"-")</f>
        <v>-</v>
      </c>
      <c r="J50" s="103" t="str">
        <f>IF(AND(D50="Y",booking!H50&lt;&gt;booking!I50,booking!I50&gt;0),booking!I50,"-")</f>
        <v>-</v>
      </c>
      <c r="K50" s="86" t="str">
        <f>IFERROR(VLOOKUP(J50,Database!$A$2:$L$175,8,FALSE),"-")</f>
        <v>-</v>
      </c>
      <c r="L50" s="86" t="str">
        <f>IFERROR(VLOOKUP(J50,Database!$A$2:$L$175,6,FALSE),"-")</f>
        <v>-</v>
      </c>
      <c r="M50" s="100" t="str">
        <f>IFERROR(VLOOKUP(J50,Database!$A$2:$L$175,9,FALSE),"-")</f>
        <v>-</v>
      </c>
      <c r="N50" s="152" t="str">
        <f>IFERROR(VLOOKUP(J50,Database!$A$2:$S$175,19,FALSE),"-")</f>
        <v>-</v>
      </c>
      <c r="O50" s="103" t="str">
        <f>IF(AND(D50="Y",booking!L50&lt;&gt;booking!M50,booking!M50&gt;0),booking!M50,"-")</f>
        <v>-</v>
      </c>
      <c r="P50" s="86" t="str">
        <f>IFERROR(VLOOKUP(O50,Database!$A$2:$L$175,8,FALSE),"-")</f>
        <v>-</v>
      </c>
      <c r="Q50" s="86" t="str">
        <f>IFERROR(VLOOKUP(O50,Database!$A$2:$L$175,6,FALSE),"-")</f>
        <v>-</v>
      </c>
      <c r="R50" s="90" t="str">
        <f>IFERROR(VLOOKUP(O50,Database!$A$2:$L$175,9,FALSE),"-")</f>
        <v>-</v>
      </c>
      <c r="S50" s="152" t="str">
        <f>IFERROR(VLOOKUP(O50,Database!$A$2:$S$175,19,FALSE),"-")</f>
        <v>-</v>
      </c>
      <c r="T50" s="104" t="str">
        <f>IF(AND(D50="Y",booking!P50&lt;&gt;booking!Q50,booking!Q50&gt;0),booking!Q50,"-")</f>
        <v>-</v>
      </c>
      <c r="U50" s="86" t="str">
        <f>IFERROR(VLOOKUP(T50,Database!$A$2:$L$175,8,FALSE),"-")</f>
        <v>-</v>
      </c>
      <c r="V50" s="86" t="str">
        <f>IFERROR(VLOOKUP(T50,Database!$A$2:$L$175,6,FALSE),"-")</f>
        <v>-</v>
      </c>
      <c r="W50" s="90" t="str">
        <f>IFERROR(VLOOKUP(T50,Database!$A$2:$L$175,9,FALSE),"-")</f>
        <v>-</v>
      </c>
      <c r="X50" s="152" t="str">
        <f>IFERROR(VLOOKUP(T50,Database!$A$2:$S$175,19,FALSE),"-")</f>
        <v>-</v>
      </c>
      <c r="Y50" s="103" t="str">
        <f>IF(AND(D50="Y",booking!T50&lt;&gt;booking!U50,booking!U50&gt;0),booking!U50,"-")</f>
        <v>-</v>
      </c>
      <c r="Z50" s="87" t="str">
        <f>IFERROR(VLOOKUP(Y50,Database!$A$2:$L$175,8,FALSE),"-")</f>
        <v>-</v>
      </c>
      <c r="AA50" s="87" t="str">
        <f>IFERROR(VLOOKUP(Y50,Database!$A$2:$L$175,6,FALSE),"-")</f>
        <v>-</v>
      </c>
      <c r="AB50" s="99" t="str">
        <f>IFERROR(VLOOKUP(Y50,Database!$A$2:$L$175,9,FALSE),"-")</f>
        <v>-</v>
      </c>
      <c r="AC50" s="9" t="str">
        <f>IFERROR(VLOOKUP(Y50,Database!$A$2:$S$175,19,FALSE),"-")</f>
        <v>-</v>
      </c>
    </row>
    <row r="51" spans="1:29" ht="15" customHeight="1" thickBot="1" x14ac:dyDescent="0.4">
      <c r="A51" s="95" t="str">
        <f>rengøring!A51</f>
        <v>mandag</v>
      </c>
      <c r="B51" s="93">
        <v>46552</v>
      </c>
      <c r="C51" s="10"/>
      <c r="D51" s="96" t="str">
        <f>IF(booking!AB51&gt;0,"Y","-")</f>
        <v>-</v>
      </c>
      <c r="E51" s="102" t="str">
        <f>IF(AND(D51="Y",booking!D51&lt;&gt;booking!E51,booking!E51&gt;0),booking!E51,"-")</f>
        <v>-</v>
      </c>
      <c r="F51" s="86" t="str">
        <f>IFERROR(VLOOKUP(E51,Database!$A$2:$L$175,8,FALSE),"-")</f>
        <v>-</v>
      </c>
      <c r="G51" s="86" t="str">
        <f>IFERROR(VLOOKUP(E51,Database!$A$2:$L$175,6,FALSE),"-")</f>
        <v>-</v>
      </c>
      <c r="H51" s="100" t="str">
        <f>IFERROR(VLOOKUP(E51,Database!$A$2:$L$175,9,FALSE),"-")</f>
        <v>-</v>
      </c>
      <c r="I51" s="120" t="str">
        <f>IFERROR(VLOOKUP(E51,Database!$A$2:$S$175,19,FALSE),"-")</f>
        <v>-</v>
      </c>
      <c r="J51" s="103" t="str">
        <f>IF(AND(D51="Y",booking!H51&lt;&gt;booking!I51,booking!I51&gt;0),booking!I51,"-")</f>
        <v>-</v>
      </c>
      <c r="K51" s="86" t="str">
        <f>IFERROR(VLOOKUP(J51,Database!$A$2:$L$175,8,FALSE),"-")</f>
        <v>-</v>
      </c>
      <c r="L51" s="86" t="str">
        <f>IFERROR(VLOOKUP(J51,Database!$A$2:$L$175,6,FALSE),"-")</f>
        <v>-</v>
      </c>
      <c r="M51" s="100" t="str">
        <f>IFERROR(VLOOKUP(J51,Database!$A$2:$L$175,9,FALSE),"-")</f>
        <v>-</v>
      </c>
      <c r="N51" s="152" t="str">
        <f>IFERROR(VLOOKUP(J51,Database!$A$2:$S$175,19,FALSE),"-")</f>
        <v>-</v>
      </c>
      <c r="O51" s="103" t="str">
        <f>IF(AND(D51="Y",booking!L51&lt;&gt;booking!M51,booking!M51&gt;0),booking!M51,"-")</f>
        <v>-</v>
      </c>
      <c r="P51" s="86" t="str">
        <f>IFERROR(VLOOKUP(O51,Database!$A$2:$L$175,8,FALSE),"-")</f>
        <v>-</v>
      </c>
      <c r="Q51" s="86" t="str">
        <f>IFERROR(VLOOKUP(O51,Database!$A$2:$L$175,6,FALSE),"-")</f>
        <v>-</v>
      </c>
      <c r="R51" s="90" t="str">
        <f>IFERROR(VLOOKUP(O51,Database!$A$2:$L$175,9,FALSE),"-")</f>
        <v>-</v>
      </c>
      <c r="S51" s="152" t="str">
        <f>IFERROR(VLOOKUP(O51,Database!$A$2:$S$175,19,FALSE),"-")</f>
        <v>-</v>
      </c>
      <c r="T51" s="104" t="str">
        <f>IF(AND(D51="Y",booking!P51&lt;&gt;booking!Q51,booking!Q51&gt;0),booking!Q51,"-")</f>
        <v>-</v>
      </c>
      <c r="U51" s="86" t="str">
        <f>IFERROR(VLOOKUP(T51,Database!$A$2:$L$175,8,FALSE),"-")</f>
        <v>-</v>
      </c>
      <c r="V51" s="86" t="str">
        <f>IFERROR(VLOOKUP(T51,Database!$A$2:$L$175,6,FALSE),"-")</f>
        <v>-</v>
      </c>
      <c r="W51" s="90" t="str">
        <f>IFERROR(VLOOKUP(T51,Database!$A$2:$L$175,9,FALSE),"-")</f>
        <v>-</v>
      </c>
      <c r="X51" s="152" t="str">
        <f>IFERROR(VLOOKUP(T51,Database!$A$2:$S$175,19,FALSE),"-")</f>
        <v>-</v>
      </c>
      <c r="Y51" s="103" t="str">
        <f>IF(AND(D51="Y",booking!T51&lt;&gt;booking!U51,booking!U51&gt;0),booking!U51,"-")</f>
        <v>-</v>
      </c>
      <c r="Z51" s="87" t="str">
        <f>IFERROR(VLOOKUP(Y51,Database!$A$2:$L$175,8,FALSE),"-")</f>
        <v>-</v>
      </c>
      <c r="AA51" s="87" t="str">
        <f>IFERROR(VLOOKUP(Y51,Database!$A$2:$L$175,6,FALSE),"-")</f>
        <v>-</v>
      </c>
      <c r="AB51" s="99" t="str">
        <f>IFERROR(VLOOKUP(Y51,Database!$A$2:$L$175,9,FALSE),"-")</f>
        <v>-</v>
      </c>
      <c r="AC51" s="9" t="str">
        <f>IFERROR(VLOOKUP(Y51,Database!$A$2:$S$175,19,FALSE),"-")</f>
        <v>-</v>
      </c>
    </row>
    <row r="52" spans="1:29" ht="15" customHeight="1" thickBot="1" x14ac:dyDescent="0.4">
      <c r="A52" s="95" t="str">
        <f>rengøring!A52</f>
        <v>tirsdag</v>
      </c>
      <c r="B52" s="93">
        <v>46553</v>
      </c>
      <c r="C52" s="10"/>
      <c r="D52" s="96" t="str">
        <f>IF(booking!AB52&gt;0,"Y","-")</f>
        <v>-</v>
      </c>
      <c r="E52" s="102" t="str">
        <f>IF(AND(D52="Y",booking!D52&lt;&gt;booking!E52,booking!E52&gt;0),booking!E52,"-")</f>
        <v>-</v>
      </c>
      <c r="F52" s="86" t="str">
        <f>IFERROR(VLOOKUP(E52,Database!$A$2:$L$175,8,FALSE),"-")</f>
        <v>-</v>
      </c>
      <c r="G52" s="86" t="str">
        <f>IFERROR(VLOOKUP(E52,Database!$A$2:$L$175,6,FALSE),"-")</f>
        <v>-</v>
      </c>
      <c r="H52" s="100" t="str">
        <f>IFERROR(VLOOKUP(E52,Database!$A$2:$L$175,9,FALSE),"-")</f>
        <v>-</v>
      </c>
      <c r="I52" s="120" t="str">
        <f>IFERROR(VLOOKUP(E52,Database!$A$2:$S$175,19,FALSE),"-")</f>
        <v>-</v>
      </c>
      <c r="J52" s="103" t="str">
        <f>IF(AND(D52="Y",booking!H52&lt;&gt;booking!I52,booking!I52&gt;0),booking!I52,"-")</f>
        <v>-</v>
      </c>
      <c r="K52" s="86" t="str">
        <f>IFERROR(VLOOKUP(J52,Database!$A$2:$L$175,8,FALSE),"-")</f>
        <v>-</v>
      </c>
      <c r="L52" s="86" t="str">
        <f>IFERROR(VLOOKUP(J52,Database!$A$2:$L$175,6,FALSE),"-")</f>
        <v>-</v>
      </c>
      <c r="M52" s="100" t="str">
        <f>IFERROR(VLOOKUP(J52,Database!$A$2:$L$175,9,FALSE),"-")</f>
        <v>-</v>
      </c>
      <c r="N52" s="152" t="str">
        <f>IFERROR(VLOOKUP(J52,Database!$A$2:$S$175,19,FALSE),"-")</f>
        <v>-</v>
      </c>
      <c r="O52" s="103" t="str">
        <f>IF(AND(D52="Y",booking!L52&lt;&gt;booking!M52,booking!M52&gt;0),booking!M52,"-")</f>
        <v>-</v>
      </c>
      <c r="P52" s="86" t="str">
        <f>IFERROR(VLOOKUP(O52,Database!$A$2:$L$175,8,FALSE),"-")</f>
        <v>-</v>
      </c>
      <c r="Q52" s="86" t="str">
        <f>IFERROR(VLOOKUP(O52,Database!$A$2:$L$175,6,FALSE),"-")</f>
        <v>-</v>
      </c>
      <c r="R52" s="90" t="str">
        <f>IFERROR(VLOOKUP(O52,Database!$A$2:$L$175,9,FALSE),"-")</f>
        <v>-</v>
      </c>
      <c r="S52" s="152" t="str">
        <f>IFERROR(VLOOKUP(O52,Database!$A$2:$S$175,19,FALSE),"-")</f>
        <v>-</v>
      </c>
      <c r="T52" s="104" t="str">
        <f>IF(AND(D52="Y",booking!P52&lt;&gt;booking!Q52,booking!Q52&gt;0),booking!Q52,"-")</f>
        <v>-</v>
      </c>
      <c r="U52" s="86" t="str">
        <f>IFERROR(VLOOKUP(T52,Database!$A$2:$L$175,8,FALSE),"-")</f>
        <v>-</v>
      </c>
      <c r="V52" s="86" t="str">
        <f>IFERROR(VLOOKUP(T52,Database!$A$2:$L$175,6,FALSE),"-")</f>
        <v>-</v>
      </c>
      <c r="W52" s="90" t="str">
        <f>IFERROR(VLOOKUP(T52,Database!$A$2:$L$175,9,FALSE),"-")</f>
        <v>-</v>
      </c>
      <c r="X52" s="152" t="str">
        <f>IFERROR(VLOOKUP(T52,Database!$A$2:$S$175,19,FALSE),"-")</f>
        <v>-</v>
      </c>
      <c r="Y52" s="103" t="str">
        <f>IF(AND(D52="Y",booking!T52&lt;&gt;booking!U52,booking!U52&gt;0),booking!U52,"-")</f>
        <v>-</v>
      </c>
      <c r="Z52" s="87" t="str">
        <f>IFERROR(VLOOKUP(Y52,Database!$A$2:$L$175,8,FALSE),"-")</f>
        <v>-</v>
      </c>
      <c r="AA52" s="87" t="str">
        <f>IFERROR(VLOOKUP(Y52,Database!$A$2:$L$175,6,FALSE),"-")</f>
        <v>-</v>
      </c>
      <c r="AB52" s="99" t="str">
        <f>IFERROR(VLOOKUP(Y52,Database!$A$2:$L$175,9,FALSE),"-")</f>
        <v>-</v>
      </c>
      <c r="AC52" s="9" t="str">
        <f>IFERROR(VLOOKUP(Y52,Database!$A$2:$S$175,19,FALSE),"-")</f>
        <v>-</v>
      </c>
    </row>
    <row r="53" spans="1:29" ht="15" customHeight="1" thickBot="1" x14ac:dyDescent="0.4">
      <c r="A53" s="95" t="str">
        <f>rengøring!A53</f>
        <v>onsdag</v>
      </c>
      <c r="B53" s="93">
        <v>46554</v>
      </c>
      <c r="C53" s="10"/>
      <c r="D53" s="96" t="str">
        <f>IF(booking!AB53&gt;0,"Y","-")</f>
        <v>-</v>
      </c>
      <c r="E53" s="102" t="str">
        <f>IF(AND(D53="Y",booking!D53&lt;&gt;booking!E53,booking!E53&gt;0),booking!E53,"-")</f>
        <v>-</v>
      </c>
      <c r="F53" s="86" t="str">
        <f>IFERROR(VLOOKUP(E53,Database!$A$2:$L$175,8,FALSE),"-")</f>
        <v>-</v>
      </c>
      <c r="G53" s="86" t="str">
        <f>IFERROR(VLOOKUP(E53,Database!$A$2:$L$175,6,FALSE),"-")</f>
        <v>-</v>
      </c>
      <c r="H53" s="100" t="str">
        <f>IFERROR(VLOOKUP(E53,Database!$A$2:$L$175,9,FALSE),"-")</f>
        <v>-</v>
      </c>
      <c r="I53" s="120" t="str">
        <f>IFERROR(VLOOKUP(E53,Database!$A$2:$S$175,19,FALSE),"-")</f>
        <v>-</v>
      </c>
      <c r="J53" s="103" t="str">
        <f>IF(AND(D53="Y",booking!H53&lt;&gt;booking!I53,booking!I53&gt;0),booking!I53,"-")</f>
        <v>-</v>
      </c>
      <c r="K53" s="86" t="str">
        <f>IFERROR(VLOOKUP(J53,Database!$A$2:$L$175,8,FALSE),"-")</f>
        <v>-</v>
      </c>
      <c r="L53" s="86" t="str">
        <f>IFERROR(VLOOKUP(J53,Database!$A$2:$L$175,6,FALSE),"-")</f>
        <v>-</v>
      </c>
      <c r="M53" s="100" t="str">
        <f>IFERROR(VLOOKUP(J53,Database!$A$2:$L$175,9,FALSE),"-")</f>
        <v>-</v>
      </c>
      <c r="N53" s="152" t="str">
        <f>IFERROR(VLOOKUP(J53,Database!$A$2:$S$175,19,FALSE),"-")</f>
        <v>-</v>
      </c>
      <c r="O53" s="103" t="str">
        <f>IF(AND(D53="Y",booking!L53&lt;&gt;booking!M53,booking!M53&gt;0),booking!M53,"-")</f>
        <v>-</v>
      </c>
      <c r="P53" s="86" t="str">
        <f>IFERROR(VLOOKUP(O53,Database!$A$2:$L$175,8,FALSE),"-")</f>
        <v>-</v>
      </c>
      <c r="Q53" s="86" t="str">
        <f>IFERROR(VLOOKUP(O53,Database!$A$2:$L$175,6,FALSE),"-")</f>
        <v>-</v>
      </c>
      <c r="R53" s="90" t="str">
        <f>IFERROR(VLOOKUP(O53,Database!$A$2:$L$175,9,FALSE),"-")</f>
        <v>-</v>
      </c>
      <c r="S53" s="152" t="str">
        <f>IFERROR(VLOOKUP(O53,Database!$A$2:$S$175,19,FALSE),"-")</f>
        <v>-</v>
      </c>
      <c r="T53" s="104" t="str">
        <f>IF(AND(D53="Y",booking!P53&lt;&gt;booking!Q53,booking!Q53&gt;0),booking!Q53,"-")</f>
        <v>-</v>
      </c>
      <c r="U53" s="86" t="str">
        <f>IFERROR(VLOOKUP(T53,Database!$A$2:$L$175,8,FALSE),"-")</f>
        <v>-</v>
      </c>
      <c r="V53" s="86" t="str">
        <f>IFERROR(VLOOKUP(T53,Database!$A$2:$L$175,6,FALSE),"-")</f>
        <v>-</v>
      </c>
      <c r="W53" s="90" t="str">
        <f>IFERROR(VLOOKUP(T53,Database!$A$2:$L$175,9,FALSE),"-")</f>
        <v>-</v>
      </c>
      <c r="X53" s="152" t="str">
        <f>IFERROR(VLOOKUP(T53,Database!$A$2:$S$175,19,FALSE),"-")</f>
        <v>-</v>
      </c>
      <c r="Y53" s="103" t="str">
        <f>IF(AND(D53="Y",booking!T53&lt;&gt;booking!U53,booking!U53&gt;0),booking!U53,"-")</f>
        <v>-</v>
      </c>
      <c r="Z53" s="87" t="str">
        <f>IFERROR(VLOOKUP(Y53,Database!$A$2:$L$175,8,FALSE),"-")</f>
        <v>-</v>
      </c>
      <c r="AA53" s="87" t="str">
        <f>IFERROR(VLOOKUP(Y53,Database!$A$2:$L$175,6,FALSE),"-")</f>
        <v>-</v>
      </c>
      <c r="AB53" s="99" t="str">
        <f>IFERROR(VLOOKUP(Y53,Database!$A$2:$L$175,9,FALSE),"-")</f>
        <v>-</v>
      </c>
      <c r="AC53" s="9" t="str">
        <f>IFERROR(VLOOKUP(Y53,Database!$A$2:$S$175,19,FALSE),"-")</f>
        <v>-</v>
      </c>
    </row>
    <row r="54" spans="1:29" ht="15" customHeight="1" thickBot="1" x14ac:dyDescent="0.4">
      <c r="A54" s="95" t="str">
        <f>rengøring!A54</f>
        <v>torsdag</v>
      </c>
      <c r="B54" s="93">
        <v>46555</v>
      </c>
      <c r="C54" s="10"/>
      <c r="D54" s="96" t="str">
        <f>IF(booking!AB54&gt;0,"Y","-")</f>
        <v>-</v>
      </c>
      <c r="E54" s="102" t="str">
        <f>IF(AND(D54="Y",booking!D54&lt;&gt;booking!E54,booking!E54&gt;0),booking!E54,"-")</f>
        <v>-</v>
      </c>
      <c r="F54" s="86" t="str">
        <f>IFERROR(VLOOKUP(E54,Database!$A$2:$L$175,8,FALSE),"-")</f>
        <v>-</v>
      </c>
      <c r="G54" s="86" t="str">
        <f>IFERROR(VLOOKUP(E54,Database!$A$2:$L$175,6,FALSE),"-")</f>
        <v>-</v>
      </c>
      <c r="H54" s="100" t="str">
        <f>IFERROR(VLOOKUP(E54,Database!$A$2:$L$175,9,FALSE),"-")</f>
        <v>-</v>
      </c>
      <c r="I54" s="120" t="str">
        <f>IFERROR(VLOOKUP(E54,Database!$A$2:$S$175,19,FALSE),"-")</f>
        <v>-</v>
      </c>
      <c r="J54" s="103" t="str">
        <f>IF(AND(D54="Y",booking!H54&lt;&gt;booking!I54,booking!I54&gt;0),booking!I54,"-")</f>
        <v>-</v>
      </c>
      <c r="K54" s="86" t="str">
        <f>IFERROR(VLOOKUP(J54,Database!$A$2:$L$175,8,FALSE),"-")</f>
        <v>-</v>
      </c>
      <c r="L54" s="86" t="str">
        <f>IFERROR(VLOOKUP(J54,Database!$A$2:$L$175,6,FALSE),"-")</f>
        <v>-</v>
      </c>
      <c r="M54" s="100" t="str">
        <f>IFERROR(VLOOKUP(J54,Database!$A$2:$L$175,9,FALSE),"-")</f>
        <v>-</v>
      </c>
      <c r="N54" s="152" t="str">
        <f>IFERROR(VLOOKUP(J54,Database!$A$2:$S$175,19,FALSE),"-")</f>
        <v>-</v>
      </c>
      <c r="O54" s="103" t="str">
        <f>IF(AND(D54="Y",booking!L54&lt;&gt;booking!M54,booking!M54&gt;0),booking!M54,"-")</f>
        <v>-</v>
      </c>
      <c r="P54" s="86" t="str">
        <f>IFERROR(VLOOKUP(O54,Database!$A$2:$L$175,8,FALSE),"-")</f>
        <v>-</v>
      </c>
      <c r="Q54" s="86" t="str">
        <f>IFERROR(VLOOKUP(O54,Database!$A$2:$L$175,6,FALSE),"-")</f>
        <v>-</v>
      </c>
      <c r="R54" s="90" t="str">
        <f>IFERROR(VLOOKUP(O54,Database!$A$2:$L$175,9,FALSE),"-")</f>
        <v>-</v>
      </c>
      <c r="S54" s="152" t="str">
        <f>IFERROR(VLOOKUP(O54,Database!$A$2:$S$175,19,FALSE),"-")</f>
        <v>-</v>
      </c>
      <c r="T54" s="104" t="str">
        <f>IF(AND(D54="Y",booking!P54&lt;&gt;booking!Q54,booking!Q54&gt;0),booking!Q54,"-")</f>
        <v>-</v>
      </c>
      <c r="U54" s="86" t="str">
        <f>IFERROR(VLOOKUP(T54,Database!$A$2:$L$175,8,FALSE),"-")</f>
        <v>-</v>
      </c>
      <c r="V54" s="86" t="str">
        <f>IFERROR(VLOOKUP(T54,Database!$A$2:$L$175,6,FALSE),"-")</f>
        <v>-</v>
      </c>
      <c r="W54" s="90" t="str">
        <f>IFERROR(VLOOKUP(T54,Database!$A$2:$L$175,9,FALSE),"-")</f>
        <v>-</v>
      </c>
      <c r="X54" s="152" t="str">
        <f>IFERROR(VLOOKUP(T54,Database!$A$2:$S$175,19,FALSE),"-")</f>
        <v>-</v>
      </c>
      <c r="Y54" s="103" t="str">
        <f>IF(AND(D54="Y",booking!T54&lt;&gt;booking!U54,booking!U54&gt;0),booking!U54,"-")</f>
        <v>-</v>
      </c>
      <c r="Z54" s="87" t="str">
        <f>IFERROR(VLOOKUP(Y54,Database!$A$2:$L$175,8,FALSE),"-")</f>
        <v>-</v>
      </c>
      <c r="AA54" s="87" t="str">
        <f>IFERROR(VLOOKUP(Y54,Database!$A$2:$L$175,6,FALSE),"-")</f>
        <v>-</v>
      </c>
      <c r="AB54" s="99" t="str">
        <f>IFERROR(VLOOKUP(Y54,Database!$A$2:$L$175,9,FALSE),"-")</f>
        <v>-</v>
      </c>
      <c r="AC54" s="9" t="str">
        <f>IFERROR(VLOOKUP(Y54,Database!$A$2:$S$175,19,FALSE),"-")</f>
        <v>-</v>
      </c>
    </row>
    <row r="55" spans="1:29" ht="15" customHeight="1" thickBot="1" x14ac:dyDescent="0.4">
      <c r="A55" s="95" t="str">
        <f>rengøring!A55</f>
        <v>fredag</v>
      </c>
      <c r="B55" s="93">
        <v>46556</v>
      </c>
      <c r="C55" s="10"/>
      <c r="D55" s="96" t="str">
        <f>IF(booking!AB55&gt;0,"Y","-")</f>
        <v>-</v>
      </c>
      <c r="E55" s="102" t="str">
        <f>IF(AND(D55="Y",booking!D55&lt;&gt;booking!E55,booking!E55&gt;0),booking!E55,"-")</f>
        <v>-</v>
      </c>
      <c r="F55" s="86" t="str">
        <f>IFERROR(VLOOKUP(E55,Database!$A$2:$L$175,8,FALSE),"-")</f>
        <v>-</v>
      </c>
      <c r="G55" s="86" t="str">
        <f>IFERROR(VLOOKUP(E55,Database!$A$2:$L$175,6,FALSE),"-")</f>
        <v>-</v>
      </c>
      <c r="H55" s="100" t="str">
        <f>IFERROR(VLOOKUP(E55,Database!$A$2:$L$175,9,FALSE),"-")</f>
        <v>-</v>
      </c>
      <c r="I55" s="120" t="str">
        <f>IFERROR(VLOOKUP(E55,Database!$A$2:$S$175,19,FALSE),"-")</f>
        <v>-</v>
      </c>
      <c r="J55" s="103" t="str">
        <f>IF(AND(D55="Y",booking!H55&lt;&gt;booking!I55,booking!I55&gt;0),booking!I55,"-")</f>
        <v>-</v>
      </c>
      <c r="K55" s="86" t="str">
        <f>IFERROR(VLOOKUP(J55,Database!$A$2:$L$175,8,FALSE),"-")</f>
        <v>-</v>
      </c>
      <c r="L55" s="86" t="str">
        <f>IFERROR(VLOOKUP(J55,Database!$A$2:$L$175,6,FALSE),"-")</f>
        <v>-</v>
      </c>
      <c r="M55" s="100" t="str">
        <f>IFERROR(VLOOKUP(J55,Database!$A$2:$L$175,9,FALSE),"-")</f>
        <v>-</v>
      </c>
      <c r="N55" s="152" t="str">
        <f>IFERROR(VLOOKUP(J55,Database!$A$2:$S$175,19,FALSE),"-")</f>
        <v>-</v>
      </c>
      <c r="O55" s="103" t="str">
        <f>IF(AND(D55="Y",booking!L55&lt;&gt;booking!M55,booking!M55&gt;0),booking!M55,"-")</f>
        <v>-</v>
      </c>
      <c r="P55" s="86" t="str">
        <f>IFERROR(VLOOKUP(O55,Database!$A$2:$L$175,8,FALSE),"-")</f>
        <v>-</v>
      </c>
      <c r="Q55" s="86" t="str">
        <f>IFERROR(VLOOKUP(O55,Database!$A$2:$L$175,6,FALSE),"-")</f>
        <v>-</v>
      </c>
      <c r="R55" s="90" t="str">
        <f>IFERROR(VLOOKUP(O55,Database!$A$2:$L$175,9,FALSE),"-")</f>
        <v>-</v>
      </c>
      <c r="S55" s="152" t="str">
        <f>IFERROR(VLOOKUP(O55,Database!$A$2:$S$175,19,FALSE),"-")</f>
        <v>-</v>
      </c>
      <c r="T55" s="104" t="str">
        <f>IF(AND(D55="Y",booking!P55&lt;&gt;booking!Q55,booking!Q55&gt;0),booking!Q55,"-")</f>
        <v>-</v>
      </c>
      <c r="U55" s="86" t="str">
        <f>IFERROR(VLOOKUP(T55,Database!$A$2:$L$175,8,FALSE),"-")</f>
        <v>-</v>
      </c>
      <c r="V55" s="86" t="str">
        <f>IFERROR(VLOOKUP(T55,Database!$A$2:$L$175,6,FALSE),"-")</f>
        <v>-</v>
      </c>
      <c r="W55" s="90" t="str">
        <f>IFERROR(VLOOKUP(T55,Database!$A$2:$L$175,9,FALSE),"-")</f>
        <v>-</v>
      </c>
      <c r="X55" s="152" t="str">
        <f>IFERROR(VLOOKUP(T55,Database!$A$2:$S$175,19,FALSE),"-")</f>
        <v>-</v>
      </c>
      <c r="Y55" s="103" t="str">
        <f>IF(AND(D55="Y",booking!T55&lt;&gt;booking!U55,booking!U55&gt;0),booking!U55,"-")</f>
        <v>-</v>
      </c>
      <c r="Z55" s="87" t="str">
        <f>IFERROR(VLOOKUP(Y55,Database!$A$2:$L$175,8,FALSE),"-")</f>
        <v>-</v>
      </c>
      <c r="AA55" s="87" t="str">
        <f>IFERROR(VLOOKUP(Y55,Database!$A$2:$L$175,6,FALSE),"-")</f>
        <v>-</v>
      </c>
      <c r="AB55" s="99" t="str">
        <f>IFERROR(VLOOKUP(Y55,Database!$A$2:$L$175,9,FALSE),"-")</f>
        <v>-</v>
      </c>
      <c r="AC55" s="9" t="str">
        <f>IFERROR(VLOOKUP(Y55,Database!$A$2:$S$175,19,FALSE),"-")</f>
        <v>-</v>
      </c>
    </row>
    <row r="56" spans="1:29" ht="15" customHeight="1" thickBot="1" x14ac:dyDescent="0.4">
      <c r="A56" s="95" t="str">
        <f>rengøring!A56</f>
        <v>lørdag</v>
      </c>
      <c r="B56" s="93">
        <v>46557</v>
      </c>
      <c r="C56" s="10"/>
      <c r="D56" s="96" t="str">
        <f>IF(booking!AB56&gt;0,"Y","-")</f>
        <v>-</v>
      </c>
      <c r="E56" s="102" t="str">
        <f>IF(AND(D56="Y",booking!D56&lt;&gt;booking!E56,booking!E56&gt;0),booking!E56,"-")</f>
        <v>-</v>
      </c>
      <c r="F56" s="86" t="str">
        <f>IFERROR(VLOOKUP(E56,Database!$A$2:$L$175,8,FALSE),"-")</f>
        <v>-</v>
      </c>
      <c r="G56" s="86" t="str">
        <f>IFERROR(VLOOKUP(E56,Database!$A$2:$L$175,6,FALSE),"-")</f>
        <v>-</v>
      </c>
      <c r="H56" s="100" t="str">
        <f>IFERROR(VLOOKUP(E56,Database!$A$2:$L$175,9,FALSE),"-")</f>
        <v>-</v>
      </c>
      <c r="I56" s="120" t="str">
        <f>IFERROR(VLOOKUP(E56,Database!$A$2:$S$175,19,FALSE),"-")</f>
        <v>-</v>
      </c>
      <c r="J56" s="103" t="str">
        <f>IF(AND(D56="Y",booking!H56&lt;&gt;booking!I56,booking!I56&gt;0),booking!I56,"-")</f>
        <v>-</v>
      </c>
      <c r="K56" s="86" t="str">
        <f>IFERROR(VLOOKUP(J56,Database!$A$2:$L$175,8,FALSE),"-")</f>
        <v>-</v>
      </c>
      <c r="L56" s="86" t="str">
        <f>IFERROR(VLOOKUP(J56,Database!$A$2:$L$175,6,FALSE),"-")</f>
        <v>-</v>
      </c>
      <c r="M56" s="100" t="str">
        <f>IFERROR(VLOOKUP(J56,Database!$A$2:$L$175,9,FALSE),"-")</f>
        <v>-</v>
      </c>
      <c r="N56" s="152" t="str">
        <f>IFERROR(VLOOKUP(J56,Database!$A$2:$S$175,19,FALSE),"-")</f>
        <v>-</v>
      </c>
      <c r="O56" s="103" t="str">
        <f>IF(AND(D56="Y",booking!L56&lt;&gt;booking!M56,booking!M56&gt;0),booking!M56,"-")</f>
        <v>-</v>
      </c>
      <c r="P56" s="86" t="str">
        <f>IFERROR(VLOOKUP(O56,Database!$A$2:$L$175,8,FALSE),"-")</f>
        <v>-</v>
      </c>
      <c r="Q56" s="86" t="str">
        <f>IFERROR(VLOOKUP(O56,Database!$A$2:$L$175,6,FALSE),"-")</f>
        <v>-</v>
      </c>
      <c r="R56" s="90" t="str">
        <f>IFERROR(VLOOKUP(O56,Database!$A$2:$L$175,9,FALSE),"-")</f>
        <v>-</v>
      </c>
      <c r="S56" s="152" t="str">
        <f>IFERROR(VLOOKUP(O56,Database!$A$2:$S$175,19,FALSE),"-")</f>
        <v>-</v>
      </c>
      <c r="T56" s="104" t="str">
        <f>IF(AND(D56="Y",booking!P56&lt;&gt;booking!Q56,booking!Q56&gt;0),booking!Q56,"-")</f>
        <v>-</v>
      </c>
      <c r="U56" s="86" t="str">
        <f>IFERROR(VLOOKUP(T56,Database!$A$2:$L$175,8,FALSE),"-")</f>
        <v>-</v>
      </c>
      <c r="V56" s="86" t="str">
        <f>IFERROR(VLOOKUP(T56,Database!$A$2:$L$175,6,FALSE),"-")</f>
        <v>-</v>
      </c>
      <c r="W56" s="90" t="str">
        <f>IFERROR(VLOOKUP(T56,Database!$A$2:$L$175,9,FALSE),"-")</f>
        <v>-</v>
      </c>
      <c r="X56" s="152" t="str">
        <f>IFERROR(VLOOKUP(T56,Database!$A$2:$S$175,19,FALSE),"-")</f>
        <v>-</v>
      </c>
      <c r="Y56" s="103" t="str">
        <f>IF(AND(D56="Y",booking!T56&lt;&gt;booking!U56,booking!U56&gt;0),booking!U56,"-")</f>
        <v>-</v>
      </c>
      <c r="Z56" s="87" t="str">
        <f>IFERROR(VLOOKUP(Y56,Database!$A$2:$L$175,8,FALSE),"-")</f>
        <v>-</v>
      </c>
      <c r="AA56" s="87" t="str">
        <f>IFERROR(VLOOKUP(Y56,Database!$A$2:$L$175,6,FALSE),"-")</f>
        <v>-</v>
      </c>
      <c r="AB56" s="99" t="str">
        <f>IFERROR(VLOOKUP(Y56,Database!$A$2:$L$175,9,FALSE),"-")</f>
        <v>-</v>
      </c>
      <c r="AC56" s="9" t="str">
        <f>IFERROR(VLOOKUP(Y56,Database!$A$2:$S$175,19,FALSE),"-")</f>
        <v>-</v>
      </c>
    </row>
    <row r="57" spans="1:29" ht="15" customHeight="1" thickBot="1" x14ac:dyDescent="0.4">
      <c r="A57" s="95" t="str">
        <f>rengøring!A57</f>
        <v>søndag</v>
      </c>
      <c r="B57" s="93">
        <v>46558</v>
      </c>
      <c r="C57" s="10"/>
      <c r="D57" s="96" t="str">
        <f>IF(booking!AB57&gt;0,"Y","-")</f>
        <v>-</v>
      </c>
      <c r="E57" s="102" t="str">
        <f>IF(AND(D57="Y",booking!D57&lt;&gt;booking!E57,booking!E57&gt;0),booking!E57,"-")</f>
        <v>-</v>
      </c>
      <c r="F57" s="86" t="str">
        <f>IFERROR(VLOOKUP(E57,Database!$A$2:$L$175,8,FALSE),"-")</f>
        <v>-</v>
      </c>
      <c r="G57" s="86" t="str">
        <f>IFERROR(VLOOKUP(E57,Database!$A$2:$L$175,6,FALSE),"-")</f>
        <v>-</v>
      </c>
      <c r="H57" s="100" t="str">
        <f>IFERROR(VLOOKUP(E57,Database!$A$2:$L$175,9,FALSE),"-")</f>
        <v>-</v>
      </c>
      <c r="I57" s="120" t="str">
        <f>IFERROR(VLOOKUP(E57,Database!$A$2:$S$175,19,FALSE),"-")</f>
        <v>-</v>
      </c>
      <c r="J57" s="103" t="str">
        <f>IF(AND(D57="Y",booking!H57&lt;&gt;booking!I57,booking!I57&gt;0),booking!I57,"-")</f>
        <v>-</v>
      </c>
      <c r="K57" s="86" t="str">
        <f>IFERROR(VLOOKUP(J57,Database!$A$2:$L$175,8,FALSE),"-")</f>
        <v>-</v>
      </c>
      <c r="L57" s="86" t="str">
        <f>IFERROR(VLOOKUP(J57,Database!$A$2:$L$175,6,FALSE),"-")</f>
        <v>-</v>
      </c>
      <c r="M57" s="100" t="str">
        <f>IFERROR(VLOOKUP(J57,Database!$A$2:$L$175,9,FALSE),"-")</f>
        <v>-</v>
      </c>
      <c r="N57" s="152" t="str">
        <f>IFERROR(VLOOKUP(J57,Database!$A$2:$S$175,19,FALSE),"-")</f>
        <v>-</v>
      </c>
      <c r="O57" s="103" t="str">
        <f>IF(AND(D57="Y",booking!L57&lt;&gt;booking!M57,booking!M57&gt;0),booking!M57,"-")</f>
        <v>-</v>
      </c>
      <c r="P57" s="86" t="str">
        <f>IFERROR(VLOOKUP(O57,Database!$A$2:$L$175,8,FALSE),"-")</f>
        <v>-</v>
      </c>
      <c r="Q57" s="86" t="str">
        <f>IFERROR(VLOOKUP(O57,Database!$A$2:$L$175,6,FALSE),"-")</f>
        <v>-</v>
      </c>
      <c r="R57" s="90" t="str">
        <f>IFERROR(VLOOKUP(O57,Database!$A$2:$L$175,9,FALSE),"-")</f>
        <v>-</v>
      </c>
      <c r="S57" s="152" t="str">
        <f>IFERROR(VLOOKUP(O57,Database!$A$2:$S$175,19,FALSE),"-")</f>
        <v>-</v>
      </c>
      <c r="T57" s="104" t="str">
        <f>IF(AND(D57="Y",booking!P57&lt;&gt;booking!Q57,booking!Q57&gt;0),booking!Q57,"-")</f>
        <v>-</v>
      </c>
      <c r="U57" s="86" t="str">
        <f>IFERROR(VLOOKUP(T57,Database!$A$2:$L$175,8,FALSE),"-")</f>
        <v>-</v>
      </c>
      <c r="V57" s="86" t="str">
        <f>IFERROR(VLOOKUP(T57,Database!$A$2:$L$175,6,FALSE),"-")</f>
        <v>-</v>
      </c>
      <c r="W57" s="90" t="str">
        <f>IFERROR(VLOOKUP(T57,Database!$A$2:$L$175,9,FALSE),"-")</f>
        <v>-</v>
      </c>
      <c r="X57" s="152" t="str">
        <f>IFERROR(VLOOKUP(T57,Database!$A$2:$S$175,19,FALSE),"-")</f>
        <v>-</v>
      </c>
      <c r="Y57" s="103" t="str">
        <f>IF(AND(D57="Y",booking!T57&lt;&gt;booking!U57,booking!U57&gt;0),booking!U57,"-")</f>
        <v>-</v>
      </c>
      <c r="Z57" s="87" t="str">
        <f>IFERROR(VLOOKUP(Y57,Database!$A$2:$L$175,8,FALSE),"-")</f>
        <v>-</v>
      </c>
      <c r="AA57" s="87" t="str">
        <f>IFERROR(VLOOKUP(Y57,Database!$A$2:$L$175,6,FALSE),"-")</f>
        <v>-</v>
      </c>
      <c r="AB57" s="99" t="str">
        <f>IFERROR(VLOOKUP(Y57,Database!$A$2:$L$175,9,FALSE),"-")</f>
        <v>-</v>
      </c>
      <c r="AC57" s="9" t="str">
        <f>IFERROR(VLOOKUP(Y57,Database!$A$2:$S$175,19,FALSE),"-")</f>
        <v>-</v>
      </c>
    </row>
    <row r="58" spans="1:29" ht="15" customHeight="1" thickBot="1" x14ac:dyDescent="0.4">
      <c r="A58" s="95" t="str">
        <f>rengøring!A58</f>
        <v>mandag</v>
      </c>
      <c r="B58" s="93">
        <v>46559</v>
      </c>
      <c r="C58" s="10"/>
      <c r="D58" s="96" t="str">
        <f>IF(booking!AB58&gt;0,"Y","-")</f>
        <v>-</v>
      </c>
      <c r="E58" s="102" t="str">
        <f>IF(AND(D58="Y",booking!D58&lt;&gt;booking!E58,booking!E58&gt;0),booking!E58,"-")</f>
        <v>-</v>
      </c>
      <c r="F58" s="86" t="str">
        <f>IFERROR(VLOOKUP(E58,Database!$A$2:$L$175,8,FALSE),"-")</f>
        <v>-</v>
      </c>
      <c r="G58" s="86" t="str">
        <f>IFERROR(VLOOKUP(E58,Database!$A$2:$L$175,6,FALSE),"-")</f>
        <v>-</v>
      </c>
      <c r="H58" s="100" t="str">
        <f>IFERROR(VLOOKUP(E58,Database!$A$2:$L$175,9,FALSE),"-")</f>
        <v>-</v>
      </c>
      <c r="I58" s="120" t="str">
        <f>IFERROR(VLOOKUP(E58,Database!$A$2:$S$175,19,FALSE),"-")</f>
        <v>-</v>
      </c>
      <c r="J58" s="103" t="str">
        <f>IF(AND(D58="Y",booking!H58&lt;&gt;booking!I58,booking!I58&gt;0),booking!I58,"-")</f>
        <v>-</v>
      </c>
      <c r="K58" s="86" t="str">
        <f>IFERROR(VLOOKUP(J58,Database!$A$2:$L$175,8,FALSE),"-")</f>
        <v>-</v>
      </c>
      <c r="L58" s="86" t="str">
        <f>IFERROR(VLOOKUP(J58,Database!$A$2:$L$175,6,FALSE),"-")</f>
        <v>-</v>
      </c>
      <c r="M58" s="100" t="str">
        <f>IFERROR(VLOOKUP(J58,Database!$A$2:$L$175,9,FALSE),"-")</f>
        <v>-</v>
      </c>
      <c r="N58" s="152" t="str">
        <f>IFERROR(VLOOKUP(J58,Database!$A$2:$S$175,19,FALSE),"-")</f>
        <v>-</v>
      </c>
      <c r="O58" s="103" t="str">
        <f>IF(AND(D58="Y",booking!L58&lt;&gt;booking!M58,booking!M58&gt;0),booking!M58,"-")</f>
        <v>-</v>
      </c>
      <c r="P58" s="86" t="str">
        <f>IFERROR(VLOOKUP(O58,Database!$A$2:$L$175,8,FALSE),"-")</f>
        <v>-</v>
      </c>
      <c r="Q58" s="86" t="str">
        <f>IFERROR(VLOOKUP(O58,Database!$A$2:$L$175,6,FALSE),"-")</f>
        <v>-</v>
      </c>
      <c r="R58" s="90" t="str">
        <f>IFERROR(VLOOKUP(O58,Database!$A$2:$L$175,9,FALSE),"-")</f>
        <v>-</v>
      </c>
      <c r="S58" s="152" t="str">
        <f>IFERROR(VLOOKUP(O58,Database!$A$2:$S$175,19,FALSE),"-")</f>
        <v>-</v>
      </c>
      <c r="T58" s="104" t="str">
        <f>IF(AND(D58="Y",booking!P58&lt;&gt;booking!Q58,booking!Q58&gt;0),booking!Q58,"-")</f>
        <v>-</v>
      </c>
      <c r="U58" s="86" t="str">
        <f>IFERROR(VLOOKUP(T58,Database!$A$2:$L$175,8,FALSE),"-")</f>
        <v>-</v>
      </c>
      <c r="V58" s="86" t="str">
        <f>IFERROR(VLOOKUP(T58,Database!$A$2:$L$175,6,FALSE),"-")</f>
        <v>-</v>
      </c>
      <c r="W58" s="90" t="str">
        <f>IFERROR(VLOOKUP(T58,Database!$A$2:$L$175,9,FALSE),"-")</f>
        <v>-</v>
      </c>
      <c r="X58" s="152" t="str">
        <f>IFERROR(VLOOKUP(T58,Database!$A$2:$S$175,19,FALSE),"-")</f>
        <v>-</v>
      </c>
      <c r="Y58" s="103" t="str">
        <f>IF(AND(D58="Y",booking!T58&lt;&gt;booking!U58,booking!U58&gt;0),booking!U58,"-")</f>
        <v>-</v>
      </c>
      <c r="Z58" s="87" t="str">
        <f>IFERROR(VLOOKUP(Y58,Database!$A$2:$L$175,8,FALSE),"-")</f>
        <v>-</v>
      </c>
      <c r="AA58" s="87" t="str">
        <f>IFERROR(VLOOKUP(Y58,Database!$A$2:$L$175,6,FALSE),"-")</f>
        <v>-</v>
      </c>
      <c r="AB58" s="99" t="str">
        <f>IFERROR(VLOOKUP(Y58,Database!$A$2:$L$175,9,FALSE),"-")</f>
        <v>-</v>
      </c>
      <c r="AC58" s="9" t="str">
        <f>IFERROR(VLOOKUP(Y58,Database!$A$2:$S$175,19,FALSE),"-")</f>
        <v>-</v>
      </c>
    </row>
    <row r="59" spans="1:29" ht="15" customHeight="1" thickBot="1" x14ac:dyDescent="0.4">
      <c r="A59" s="95" t="str">
        <f>rengøring!A59</f>
        <v>tirsdag</v>
      </c>
      <c r="B59" s="93">
        <v>46560</v>
      </c>
      <c r="C59" s="10"/>
      <c r="D59" s="96" t="str">
        <f>IF(booking!AB59&gt;0,"Y","-")</f>
        <v>-</v>
      </c>
      <c r="E59" s="102" t="str">
        <f>IF(AND(D59="Y",booking!D59&lt;&gt;booking!E59,booking!E59&gt;0),booking!E59,"-")</f>
        <v>-</v>
      </c>
      <c r="F59" s="86" t="str">
        <f>IFERROR(VLOOKUP(E59,Database!$A$2:$L$175,8,FALSE),"-")</f>
        <v>-</v>
      </c>
      <c r="G59" s="86" t="str">
        <f>IFERROR(VLOOKUP(E59,Database!$A$2:$L$175,6,FALSE),"-")</f>
        <v>-</v>
      </c>
      <c r="H59" s="100" t="str">
        <f>IFERROR(VLOOKUP(E59,Database!$A$2:$L$175,9,FALSE),"-")</f>
        <v>-</v>
      </c>
      <c r="I59" s="120" t="str">
        <f>IFERROR(VLOOKUP(E59,Database!$A$2:$S$175,19,FALSE),"-")</f>
        <v>-</v>
      </c>
      <c r="J59" s="103" t="str">
        <f>IF(AND(D59="Y",booking!H59&lt;&gt;booking!I59,booking!I59&gt;0),booking!I59,"-")</f>
        <v>-</v>
      </c>
      <c r="K59" s="86" t="str">
        <f>IFERROR(VLOOKUP(J59,Database!$A$2:$L$175,8,FALSE),"-")</f>
        <v>-</v>
      </c>
      <c r="L59" s="86" t="str">
        <f>IFERROR(VLOOKUP(J59,Database!$A$2:$L$175,6,FALSE),"-")</f>
        <v>-</v>
      </c>
      <c r="M59" s="100" t="str">
        <f>IFERROR(VLOOKUP(J59,Database!$A$2:$L$175,9,FALSE),"-")</f>
        <v>-</v>
      </c>
      <c r="N59" s="152" t="str">
        <f>IFERROR(VLOOKUP(J59,Database!$A$2:$S$175,19,FALSE),"-")</f>
        <v>-</v>
      </c>
      <c r="O59" s="103" t="str">
        <f>IF(AND(D59="Y",booking!L59&lt;&gt;booking!M59,booking!M59&gt;0),booking!M59,"-")</f>
        <v>-</v>
      </c>
      <c r="P59" s="86" t="str">
        <f>IFERROR(VLOOKUP(O59,Database!$A$2:$L$175,8,FALSE),"-")</f>
        <v>-</v>
      </c>
      <c r="Q59" s="86" t="str">
        <f>IFERROR(VLOOKUP(O59,Database!$A$2:$L$175,6,FALSE),"-")</f>
        <v>-</v>
      </c>
      <c r="R59" s="90" t="str">
        <f>IFERROR(VLOOKUP(O59,Database!$A$2:$L$175,9,FALSE),"-")</f>
        <v>-</v>
      </c>
      <c r="S59" s="152" t="str">
        <f>IFERROR(VLOOKUP(O59,Database!$A$2:$S$175,19,FALSE),"-")</f>
        <v>-</v>
      </c>
      <c r="T59" s="104" t="str">
        <f>IF(AND(D59="Y",booking!P59&lt;&gt;booking!Q59,booking!Q59&gt;0),booking!Q59,"-")</f>
        <v>-</v>
      </c>
      <c r="U59" s="86" t="str">
        <f>IFERROR(VLOOKUP(T59,Database!$A$2:$L$175,8,FALSE),"-")</f>
        <v>-</v>
      </c>
      <c r="V59" s="86" t="str">
        <f>IFERROR(VLOOKUP(T59,Database!$A$2:$L$175,6,FALSE),"-")</f>
        <v>-</v>
      </c>
      <c r="W59" s="90" t="str">
        <f>IFERROR(VLOOKUP(T59,Database!$A$2:$L$175,9,FALSE),"-")</f>
        <v>-</v>
      </c>
      <c r="X59" s="152" t="str">
        <f>IFERROR(VLOOKUP(T59,Database!$A$2:$S$175,19,FALSE),"-")</f>
        <v>-</v>
      </c>
      <c r="Y59" s="103" t="str">
        <f>IF(AND(D59="Y",booking!T59&lt;&gt;booking!U59,booking!U59&gt;0),booking!U59,"-")</f>
        <v>-</v>
      </c>
      <c r="Z59" s="87" t="str">
        <f>IFERROR(VLOOKUP(Y59,Database!$A$2:$L$175,8,FALSE),"-")</f>
        <v>-</v>
      </c>
      <c r="AA59" s="87" t="str">
        <f>IFERROR(VLOOKUP(Y59,Database!$A$2:$L$175,6,FALSE),"-")</f>
        <v>-</v>
      </c>
      <c r="AB59" s="99" t="str">
        <f>IFERROR(VLOOKUP(Y59,Database!$A$2:$L$175,9,FALSE),"-")</f>
        <v>-</v>
      </c>
      <c r="AC59" s="9" t="str">
        <f>IFERROR(VLOOKUP(Y59,Database!$A$2:$S$175,19,FALSE),"-")</f>
        <v>-</v>
      </c>
    </row>
    <row r="60" spans="1:29" ht="15" customHeight="1" thickBot="1" x14ac:dyDescent="0.4">
      <c r="A60" s="95" t="str">
        <f>rengøring!A60</f>
        <v>onsdag</v>
      </c>
      <c r="B60" s="93">
        <v>46561</v>
      </c>
      <c r="C60" s="10"/>
      <c r="D60" s="96" t="str">
        <f>IF(booking!AB60&gt;0,"Y","-")</f>
        <v>-</v>
      </c>
      <c r="E60" s="102" t="str">
        <f>IF(AND(D60="Y",booking!D60&lt;&gt;booking!E60,booking!E60&gt;0),booking!E60,"-")</f>
        <v>-</v>
      </c>
      <c r="F60" s="86" t="str">
        <f>IFERROR(VLOOKUP(E60,Database!$A$2:$L$175,8,FALSE),"-")</f>
        <v>-</v>
      </c>
      <c r="G60" s="86" t="str">
        <f>IFERROR(VLOOKUP(E60,Database!$A$2:$L$175,6,FALSE),"-")</f>
        <v>-</v>
      </c>
      <c r="H60" s="100" t="str">
        <f>IFERROR(VLOOKUP(E60,Database!$A$2:$L$175,9,FALSE),"-")</f>
        <v>-</v>
      </c>
      <c r="I60" s="120" t="str">
        <f>IFERROR(VLOOKUP(E60,Database!$A$2:$S$175,19,FALSE),"-")</f>
        <v>-</v>
      </c>
      <c r="J60" s="103" t="str">
        <f>IF(AND(D60="Y",booking!H60&lt;&gt;booking!I60,booking!I60&gt;0),booking!I60,"-")</f>
        <v>-</v>
      </c>
      <c r="K60" s="86" t="str">
        <f>IFERROR(VLOOKUP(J60,Database!$A$2:$L$175,8,FALSE),"-")</f>
        <v>-</v>
      </c>
      <c r="L60" s="86" t="str">
        <f>IFERROR(VLOOKUP(J60,Database!$A$2:$L$175,6,FALSE),"-")</f>
        <v>-</v>
      </c>
      <c r="M60" s="100" t="str">
        <f>IFERROR(VLOOKUP(J60,Database!$A$2:$L$175,9,FALSE),"-")</f>
        <v>-</v>
      </c>
      <c r="N60" s="152" t="str">
        <f>IFERROR(VLOOKUP(J60,Database!$A$2:$S$175,19,FALSE),"-")</f>
        <v>-</v>
      </c>
      <c r="O60" s="103" t="str">
        <f>IF(AND(D60="Y",booking!L60&lt;&gt;booking!M60,booking!M60&gt;0),booking!M60,"-")</f>
        <v>-</v>
      </c>
      <c r="P60" s="86" t="str">
        <f>IFERROR(VLOOKUP(O60,Database!$A$2:$L$175,8,FALSE),"-")</f>
        <v>-</v>
      </c>
      <c r="Q60" s="86" t="str">
        <f>IFERROR(VLOOKUP(O60,Database!$A$2:$L$175,6,FALSE),"-")</f>
        <v>-</v>
      </c>
      <c r="R60" s="90" t="str">
        <f>IFERROR(VLOOKUP(O60,Database!$A$2:$L$175,9,FALSE),"-")</f>
        <v>-</v>
      </c>
      <c r="S60" s="152" t="str">
        <f>IFERROR(VLOOKUP(O60,Database!$A$2:$S$175,19,FALSE),"-")</f>
        <v>-</v>
      </c>
      <c r="T60" s="104" t="str">
        <f>IF(AND(D60="Y",booking!P60&lt;&gt;booking!Q60,booking!Q60&gt;0),booking!Q60,"-")</f>
        <v>-</v>
      </c>
      <c r="U60" s="86" t="str">
        <f>IFERROR(VLOOKUP(T60,Database!$A$2:$L$175,8,FALSE),"-")</f>
        <v>-</v>
      </c>
      <c r="V60" s="86" t="str">
        <f>IFERROR(VLOOKUP(T60,Database!$A$2:$L$175,6,FALSE),"-")</f>
        <v>-</v>
      </c>
      <c r="W60" s="90" t="str">
        <f>IFERROR(VLOOKUP(T60,Database!$A$2:$L$175,9,FALSE),"-")</f>
        <v>-</v>
      </c>
      <c r="X60" s="152" t="str">
        <f>IFERROR(VLOOKUP(T60,Database!$A$2:$S$175,19,FALSE),"-")</f>
        <v>-</v>
      </c>
      <c r="Y60" s="103" t="str">
        <f>IF(AND(D60="Y",booking!T60&lt;&gt;booking!U60,booking!U60&gt;0),booking!U60,"-")</f>
        <v>-</v>
      </c>
      <c r="Z60" s="87" t="str">
        <f>IFERROR(VLOOKUP(Y60,Database!$A$2:$L$175,8,FALSE),"-")</f>
        <v>-</v>
      </c>
      <c r="AA60" s="87" t="str">
        <f>IFERROR(VLOOKUP(Y60,Database!$A$2:$L$175,6,FALSE),"-")</f>
        <v>-</v>
      </c>
      <c r="AB60" s="99" t="str">
        <f>IFERROR(VLOOKUP(Y60,Database!$A$2:$L$175,9,FALSE),"-")</f>
        <v>-</v>
      </c>
      <c r="AC60" s="9" t="str">
        <f>IFERROR(VLOOKUP(Y60,Database!$A$2:$S$175,19,FALSE),"-")</f>
        <v>-</v>
      </c>
    </row>
    <row r="61" spans="1:29" ht="15" customHeight="1" thickBot="1" x14ac:dyDescent="0.4">
      <c r="A61" s="95" t="str">
        <f>rengøring!A61</f>
        <v>torsdag</v>
      </c>
      <c r="B61" s="93">
        <v>46562</v>
      </c>
      <c r="C61" s="10"/>
      <c r="D61" s="96" t="str">
        <f>IF(booking!AB61&gt;0,"Y","-")</f>
        <v>-</v>
      </c>
      <c r="E61" s="102" t="str">
        <f>IF(AND(D61="Y",booking!D61&lt;&gt;booking!E61,booking!E61&gt;0),booking!E61,"-")</f>
        <v>-</v>
      </c>
      <c r="F61" s="86" t="str">
        <f>IFERROR(VLOOKUP(E61,Database!$A$2:$L$175,8,FALSE),"-")</f>
        <v>-</v>
      </c>
      <c r="G61" s="86" t="str">
        <f>IFERROR(VLOOKUP(E61,Database!$A$2:$L$175,6,FALSE),"-")</f>
        <v>-</v>
      </c>
      <c r="H61" s="100" t="str">
        <f>IFERROR(VLOOKUP(E61,Database!$A$2:$L$175,9,FALSE),"-")</f>
        <v>-</v>
      </c>
      <c r="I61" s="120" t="str">
        <f>IFERROR(VLOOKUP(E61,Database!$A$2:$S$175,19,FALSE),"-")</f>
        <v>-</v>
      </c>
      <c r="J61" s="103" t="str">
        <f>IF(AND(D61="Y",booking!H61&lt;&gt;booking!I61,booking!I61&gt;0),booking!I61,"-")</f>
        <v>-</v>
      </c>
      <c r="K61" s="86" t="str">
        <f>IFERROR(VLOOKUP(J61,Database!$A$2:$L$175,8,FALSE),"-")</f>
        <v>-</v>
      </c>
      <c r="L61" s="86" t="str">
        <f>IFERROR(VLOOKUP(J61,Database!$A$2:$L$175,6,FALSE),"-")</f>
        <v>-</v>
      </c>
      <c r="M61" s="100" t="str">
        <f>IFERROR(VLOOKUP(J61,Database!$A$2:$L$175,9,FALSE),"-")</f>
        <v>-</v>
      </c>
      <c r="N61" s="152" t="str">
        <f>IFERROR(VLOOKUP(J61,Database!$A$2:$S$175,19,FALSE),"-")</f>
        <v>-</v>
      </c>
      <c r="O61" s="103" t="str">
        <f>IF(AND(D61="Y",booking!L61&lt;&gt;booking!M61,booking!M61&gt;0),booking!M61,"-")</f>
        <v>-</v>
      </c>
      <c r="P61" s="86" t="str">
        <f>IFERROR(VLOOKUP(O61,Database!$A$2:$L$175,8,FALSE),"-")</f>
        <v>-</v>
      </c>
      <c r="Q61" s="86" t="str">
        <f>IFERROR(VLOOKUP(O61,Database!$A$2:$L$175,6,FALSE),"-")</f>
        <v>-</v>
      </c>
      <c r="R61" s="90" t="str">
        <f>IFERROR(VLOOKUP(O61,Database!$A$2:$L$175,9,FALSE),"-")</f>
        <v>-</v>
      </c>
      <c r="S61" s="152" t="str">
        <f>IFERROR(VLOOKUP(O61,Database!$A$2:$S$175,19,FALSE),"-")</f>
        <v>-</v>
      </c>
      <c r="T61" s="104" t="str">
        <f>IF(AND(D61="Y",booking!P61&lt;&gt;booking!Q61,booking!Q61&gt;0),booking!Q61,"-")</f>
        <v>-</v>
      </c>
      <c r="U61" s="86" t="str">
        <f>IFERROR(VLOOKUP(T61,Database!$A$2:$L$175,8,FALSE),"-")</f>
        <v>-</v>
      </c>
      <c r="V61" s="86" t="str">
        <f>IFERROR(VLOOKUP(T61,Database!$A$2:$L$175,6,FALSE),"-")</f>
        <v>-</v>
      </c>
      <c r="W61" s="90" t="str">
        <f>IFERROR(VLOOKUP(T61,Database!$A$2:$L$175,9,FALSE),"-")</f>
        <v>-</v>
      </c>
      <c r="X61" s="152" t="str">
        <f>IFERROR(VLOOKUP(T61,Database!$A$2:$S$175,19,FALSE),"-")</f>
        <v>-</v>
      </c>
      <c r="Y61" s="103" t="str">
        <f>IF(AND(D61="Y",booking!T61&lt;&gt;booking!U61,booking!U61&gt;0),booking!U61,"-")</f>
        <v>-</v>
      </c>
      <c r="Z61" s="87" t="str">
        <f>IFERROR(VLOOKUP(Y61,Database!$A$2:$L$175,8,FALSE),"-")</f>
        <v>-</v>
      </c>
      <c r="AA61" s="87" t="str">
        <f>IFERROR(VLOOKUP(Y61,Database!$A$2:$L$175,6,FALSE),"-")</f>
        <v>-</v>
      </c>
      <c r="AB61" s="99" t="str">
        <f>IFERROR(VLOOKUP(Y61,Database!$A$2:$L$175,9,FALSE),"-")</f>
        <v>-</v>
      </c>
      <c r="AC61" s="9" t="str">
        <f>IFERROR(VLOOKUP(Y61,Database!$A$2:$S$175,19,FALSE),"-")</f>
        <v>-</v>
      </c>
    </row>
    <row r="62" spans="1:29" ht="15" customHeight="1" thickBot="1" x14ac:dyDescent="0.4">
      <c r="A62" s="95" t="str">
        <f>rengøring!A62</f>
        <v>fredag</v>
      </c>
      <c r="B62" s="93">
        <v>46563</v>
      </c>
      <c r="C62" s="10"/>
      <c r="D62" s="96" t="str">
        <f>IF(booking!AB62&gt;0,"Y","-")</f>
        <v>-</v>
      </c>
      <c r="E62" s="102" t="str">
        <f>IF(AND(D62="Y",booking!D62&lt;&gt;booking!E62,booking!E62&gt;0),booking!E62,"-")</f>
        <v>-</v>
      </c>
      <c r="F62" s="86" t="str">
        <f>IFERROR(VLOOKUP(E62,Database!$A$2:$L$175,8,FALSE),"-")</f>
        <v>-</v>
      </c>
      <c r="G62" s="86" t="str">
        <f>IFERROR(VLOOKUP(E62,Database!$A$2:$L$175,6,FALSE),"-")</f>
        <v>-</v>
      </c>
      <c r="H62" s="100" t="str">
        <f>IFERROR(VLOOKUP(E62,Database!$A$2:$L$175,9,FALSE),"-")</f>
        <v>-</v>
      </c>
      <c r="I62" s="120" t="str">
        <f>IFERROR(VLOOKUP(E62,Database!$A$2:$S$175,19,FALSE),"-")</f>
        <v>-</v>
      </c>
      <c r="J62" s="103" t="str">
        <f>IF(AND(D62="Y",booking!H62&lt;&gt;booking!I62,booking!I62&gt;0),booking!I62,"-")</f>
        <v>-</v>
      </c>
      <c r="K62" s="86" t="str">
        <f>IFERROR(VLOOKUP(J62,Database!$A$2:$L$175,8,FALSE),"-")</f>
        <v>-</v>
      </c>
      <c r="L62" s="86" t="str">
        <f>IFERROR(VLOOKUP(J62,Database!$A$2:$L$175,6,FALSE),"-")</f>
        <v>-</v>
      </c>
      <c r="M62" s="100" t="str">
        <f>IFERROR(VLOOKUP(J62,Database!$A$2:$L$175,9,FALSE),"-")</f>
        <v>-</v>
      </c>
      <c r="N62" s="152" t="str">
        <f>IFERROR(VLOOKUP(J62,Database!$A$2:$S$175,19,FALSE),"-")</f>
        <v>-</v>
      </c>
      <c r="O62" s="103" t="str">
        <f>IF(AND(D62="Y",booking!L62&lt;&gt;booking!M62,booking!M62&gt;0),booking!M62,"-")</f>
        <v>-</v>
      </c>
      <c r="P62" s="86" t="str">
        <f>IFERROR(VLOOKUP(O62,Database!$A$2:$L$175,8,FALSE),"-")</f>
        <v>-</v>
      </c>
      <c r="Q62" s="86" t="str">
        <f>IFERROR(VLOOKUP(O62,Database!$A$2:$L$175,6,FALSE),"-")</f>
        <v>-</v>
      </c>
      <c r="R62" s="90" t="str">
        <f>IFERROR(VLOOKUP(O62,Database!$A$2:$L$175,9,FALSE),"-")</f>
        <v>-</v>
      </c>
      <c r="S62" s="152" t="str">
        <f>IFERROR(VLOOKUP(O62,Database!$A$2:$S$175,19,FALSE),"-")</f>
        <v>-</v>
      </c>
      <c r="T62" s="104" t="str">
        <f>IF(AND(D62="Y",booking!P62&lt;&gt;booking!Q62,booking!Q62&gt;0),booking!Q62,"-")</f>
        <v>-</v>
      </c>
      <c r="U62" s="86" t="str">
        <f>IFERROR(VLOOKUP(T62,Database!$A$2:$L$175,8,FALSE),"-")</f>
        <v>-</v>
      </c>
      <c r="V62" s="86" t="str">
        <f>IFERROR(VLOOKUP(T62,Database!$A$2:$L$175,6,FALSE),"-")</f>
        <v>-</v>
      </c>
      <c r="W62" s="90" t="str">
        <f>IFERROR(VLOOKUP(T62,Database!$A$2:$L$175,9,FALSE),"-")</f>
        <v>-</v>
      </c>
      <c r="X62" s="152" t="str">
        <f>IFERROR(VLOOKUP(T62,Database!$A$2:$S$175,19,FALSE),"-")</f>
        <v>-</v>
      </c>
      <c r="Y62" s="103" t="str">
        <f>IF(AND(D62="Y",booking!T62&lt;&gt;booking!U62,booking!U62&gt;0),booking!U62,"-")</f>
        <v>-</v>
      </c>
      <c r="Z62" s="87" t="str">
        <f>IFERROR(VLOOKUP(Y62,Database!$A$2:$L$175,8,FALSE),"-")</f>
        <v>-</v>
      </c>
      <c r="AA62" s="87" t="str">
        <f>IFERROR(VLOOKUP(Y62,Database!$A$2:$L$175,6,FALSE),"-")</f>
        <v>-</v>
      </c>
      <c r="AB62" s="99" t="str">
        <f>IFERROR(VLOOKUP(Y62,Database!$A$2:$L$175,9,FALSE),"-")</f>
        <v>-</v>
      </c>
      <c r="AC62" s="9" t="str">
        <f>IFERROR(VLOOKUP(Y62,Database!$A$2:$S$175,19,FALSE),"-")</f>
        <v>-</v>
      </c>
    </row>
    <row r="63" spans="1:29" ht="15" customHeight="1" thickBot="1" x14ac:dyDescent="0.4">
      <c r="A63" s="95" t="str">
        <f>rengøring!A63</f>
        <v>lørdag</v>
      </c>
      <c r="B63" s="93">
        <v>46564</v>
      </c>
      <c r="C63" s="10"/>
      <c r="D63" s="96" t="str">
        <f>IF(booking!AB63&gt;0,"Y","-")</f>
        <v>-</v>
      </c>
      <c r="E63" s="102" t="str">
        <f>IF(AND(D63="Y",booking!D63&lt;&gt;booking!E63,booking!E63&gt;0),booking!E63,"-")</f>
        <v>-</v>
      </c>
      <c r="F63" s="86" t="str">
        <f>IFERROR(VLOOKUP(E63,Database!$A$2:$L$175,8,FALSE),"-")</f>
        <v>-</v>
      </c>
      <c r="G63" s="86" t="str">
        <f>IFERROR(VLOOKUP(E63,Database!$A$2:$L$175,6,FALSE),"-")</f>
        <v>-</v>
      </c>
      <c r="H63" s="100" t="str">
        <f>IFERROR(VLOOKUP(E63,Database!$A$2:$L$175,9,FALSE),"-")</f>
        <v>-</v>
      </c>
      <c r="I63" s="120" t="str">
        <f>IFERROR(VLOOKUP(E63,Database!$A$2:$S$175,19,FALSE),"-")</f>
        <v>-</v>
      </c>
      <c r="J63" s="103" t="str">
        <f>IF(AND(D63="Y",booking!H63&lt;&gt;booking!I63,booking!I63&gt;0),booking!I63,"-")</f>
        <v>-</v>
      </c>
      <c r="K63" s="86" t="str">
        <f>IFERROR(VLOOKUP(J63,Database!$A$2:$L$175,8,FALSE),"-")</f>
        <v>-</v>
      </c>
      <c r="L63" s="86" t="str">
        <f>IFERROR(VLOOKUP(J63,Database!$A$2:$L$175,6,FALSE),"-")</f>
        <v>-</v>
      </c>
      <c r="M63" s="100" t="str">
        <f>IFERROR(VLOOKUP(J63,Database!$A$2:$L$175,9,FALSE),"-")</f>
        <v>-</v>
      </c>
      <c r="N63" s="152" t="str">
        <f>IFERROR(VLOOKUP(J63,Database!$A$2:$S$175,19,FALSE),"-")</f>
        <v>-</v>
      </c>
      <c r="O63" s="103" t="str">
        <f>IF(AND(D63="Y",booking!L63&lt;&gt;booking!M63,booking!M63&gt;0),booking!M63,"-")</f>
        <v>-</v>
      </c>
      <c r="P63" s="86" t="str">
        <f>IFERROR(VLOOKUP(O63,Database!$A$2:$L$175,8,FALSE),"-")</f>
        <v>-</v>
      </c>
      <c r="Q63" s="86" t="str">
        <f>IFERROR(VLOOKUP(O63,Database!$A$2:$L$175,6,FALSE),"-")</f>
        <v>-</v>
      </c>
      <c r="R63" s="90" t="str">
        <f>IFERROR(VLOOKUP(O63,Database!$A$2:$L$175,9,FALSE),"-")</f>
        <v>-</v>
      </c>
      <c r="S63" s="152" t="str">
        <f>IFERROR(VLOOKUP(O63,Database!$A$2:$S$175,19,FALSE),"-")</f>
        <v>-</v>
      </c>
      <c r="T63" s="104" t="str">
        <f>IF(AND(D63="Y",booking!P63&lt;&gt;booking!Q63,booking!Q63&gt;0),booking!Q63,"-")</f>
        <v>-</v>
      </c>
      <c r="U63" s="86" t="str">
        <f>IFERROR(VLOOKUP(T63,Database!$A$2:$L$175,8,FALSE),"-")</f>
        <v>-</v>
      </c>
      <c r="V63" s="86" t="str">
        <f>IFERROR(VLOOKUP(T63,Database!$A$2:$L$175,6,FALSE),"-")</f>
        <v>-</v>
      </c>
      <c r="W63" s="90" t="str">
        <f>IFERROR(VLOOKUP(T63,Database!$A$2:$L$175,9,FALSE),"-")</f>
        <v>-</v>
      </c>
      <c r="X63" s="152" t="str">
        <f>IFERROR(VLOOKUP(T63,Database!$A$2:$S$175,19,FALSE),"-")</f>
        <v>-</v>
      </c>
      <c r="Y63" s="103" t="str">
        <f>IF(AND(D63="Y",booking!T63&lt;&gt;booking!U63,booking!U63&gt;0),booking!U63,"-")</f>
        <v>-</v>
      </c>
      <c r="Z63" s="87" t="str">
        <f>IFERROR(VLOOKUP(Y63,Database!$A$2:$L$175,8,FALSE),"-")</f>
        <v>-</v>
      </c>
      <c r="AA63" s="87" t="str">
        <f>IFERROR(VLOOKUP(Y63,Database!$A$2:$L$175,6,FALSE),"-")</f>
        <v>-</v>
      </c>
      <c r="AB63" s="99" t="str">
        <f>IFERROR(VLOOKUP(Y63,Database!$A$2:$L$175,9,FALSE),"-")</f>
        <v>-</v>
      </c>
      <c r="AC63" s="9" t="str">
        <f>IFERROR(VLOOKUP(Y63,Database!$A$2:$S$175,19,FALSE),"-")</f>
        <v>-</v>
      </c>
    </row>
    <row r="64" spans="1:29" ht="15" customHeight="1" thickBot="1" x14ac:dyDescent="0.4">
      <c r="A64" s="95" t="str">
        <f>rengøring!A64</f>
        <v>søndag</v>
      </c>
      <c r="B64" s="93">
        <v>46565</v>
      </c>
      <c r="C64" s="10"/>
      <c r="D64" s="96" t="str">
        <f>IF(booking!AB64&gt;0,"Y","-")</f>
        <v>-</v>
      </c>
      <c r="E64" s="102" t="str">
        <f>IF(AND(D64="Y",booking!D64&lt;&gt;booking!E64,booking!E64&gt;0),booking!E64,"-")</f>
        <v>-</v>
      </c>
      <c r="F64" s="86" t="str">
        <f>IFERROR(VLOOKUP(E64,Database!$A$2:$L$175,8,FALSE),"-")</f>
        <v>-</v>
      </c>
      <c r="G64" s="86" t="str">
        <f>IFERROR(VLOOKUP(E64,Database!$A$2:$L$175,6,FALSE),"-")</f>
        <v>-</v>
      </c>
      <c r="H64" s="100" t="str">
        <f>IFERROR(VLOOKUP(E64,Database!$A$2:$L$175,9,FALSE),"-")</f>
        <v>-</v>
      </c>
      <c r="I64" s="120" t="str">
        <f>IFERROR(VLOOKUP(E64,Database!$A$2:$S$175,19,FALSE),"-")</f>
        <v>-</v>
      </c>
      <c r="J64" s="103" t="str">
        <f>IF(AND(D64="Y",booking!H64&lt;&gt;booking!I64,booking!I64&gt;0),booking!I64,"-")</f>
        <v>-</v>
      </c>
      <c r="K64" s="86" t="str">
        <f>IFERROR(VLOOKUP(J64,Database!$A$2:$L$175,8,FALSE),"-")</f>
        <v>-</v>
      </c>
      <c r="L64" s="86" t="str">
        <f>IFERROR(VLOOKUP(J64,Database!$A$2:$L$175,6,FALSE),"-")</f>
        <v>-</v>
      </c>
      <c r="M64" s="100" t="str">
        <f>IFERROR(VLOOKUP(J64,Database!$A$2:$L$175,9,FALSE),"-")</f>
        <v>-</v>
      </c>
      <c r="N64" s="152" t="str">
        <f>IFERROR(VLOOKUP(J64,Database!$A$2:$S$175,19,FALSE),"-")</f>
        <v>-</v>
      </c>
      <c r="O64" s="103" t="str">
        <f>IF(AND(D64="Y",booking!L64&lt;&gt;booking!M64,booking!M64&gt;0),booking!M64,"-")</f>
        <v>-</v>
      </c>
      <c r="P64" s="86" t="str">
        <f>IFERROR(VLOOKUP(O64,Database!$A$2:$L$175,8,FALSE),"-")</f>
        <v>-</v>
      </c>
      <c r="Q64" s="86" t="str">
        <f>IFERROR(VLOOKUP(O64,Database!$A$2:$L$175,6,FALSE),"-")</f>
        <v>-</v>
      </c>
      <c r="R64" s="90" t="str">
        <f>IFERROR(VLOOKUP(O64,Database!$A$2:$L$175,9,FALSE),"-")</f>
        <v>-</v>
      </c>
      <c r="S64" s="152" t="str">
        <f>IFERROR(VLOOKUP(O64,Database!$A$2:$S$175,19,FALSE),"-")</f>
        <v>-</v>
      </c>
      <c r="T64" s="104" t="str">
        <f>IF(AND(D64="Y",booking!P64&lt;&gt;booking!Q64,booking!Q64&gt;0),booking!Q64,"-")</f>
        <v>-</v>
      </c>
      <c r="U64" s="86" t="str">
        <f>IFERROR(VLOOKUP(T64,Database!$A$2:$L$175,8,FALSE),"-")</f>
        <v>-</v>
      </c>
      <c r="V64" s="86" t="str">
        <f>IFERROR(VLOOKUP(T64,Database!$A$2:$L$175,6,FALSE),"-")</f>
        <v>-</v>
      </c>
      <c r="W64" s="90" t="str">
        <f>IFERROR(VLOOKUP(T64,Database!$A$2:$L$175,9,FALSE),"-")</f>
        <v>-</v>
      </c>
      <c r="X64" s="152" t="str">
        <f>IFERROR(VLOOKUP(T64,Database!$A$2:$S$175,19,FALSE),"-")</f>
        <v>-</v>
      </c>
      <c r="Y64" s="103" t="str">
        <f>IF(AND(D64="Y",booking!T64&lt;&gt;booking!U64,booking!U64&gt;0),booking!U64,"-")</f>
        <v>-</v>
      </c>
      <c r="Z64" s="87" t="str">
        <f>IFERROR(VLOOKUP(Y64,Database!$A$2:$L$175,8,FALSE),"-")</f>
        <v>-</v>
      </c>
      <c r="AA64" s="87" t="str">
        <f>IFERROR(VLOOKUP(Y64,Database!$A$2:$L$175,6,FALSE),"-")</f>
        <v>-</v>
      </c>
      <c r="AB64" s="99" t="str">
        <f>IFERROR(VLOOKUP(Y64,Database!$A$2:$L$175,9,FALSE),"-")</f>
        <v>-</v>
      </c>
      <c r="AC64" s="9" t="str">
        <f>IFERROR(VLOOKUP(Y64,Database!$A$2:$S$175,19,FALSE),"-")</f>
        <v>-</v>
      </c>
    </row>
    <row r="65" spans="1:29" ht="15" customHeight="1" thickBot="1" x14ac:dyDescent="0.4">
      <c r="A65" s="95" t="str">
        <f>rengøring!A65</f>
        <v>mandag</v>
      </c>
      <c r="B65" s="93">
        <v>46566</v>
      </c>
      <c r="C65" s="10"/>
      <c r="D65" s="96" t="str">
        <f>IF(booking!AB65&gt;0,"Y","-")</f>
        <v>-</v>
      </c>
      <c r="E65" s="102" t="str">
        <f>IF(AND(D65="Y",booking!D65&lt;&gt;booking!E65,booking!E65&gt;0),booking!E65,"-")</f>
        <v>-</v>
      </c>
      <c r="F65" s="86" t="str">
        <f>IFERROR(VLOOKUP(E65,Database!$A$2:$L$175,8,FALSE),"-")</f>
        <v>-</v>
      </c>
      <c r="G65" s="86" t="str">
        <f>IFERROR(VLOOKUP(E65,Database!$A$2:$L$175,6,FALSE),"-")</f>
        <v>-</v>
      </c>
      <c r="H65" s="100" t="str">
        <f>IFERROR(VLOOKUP(E65,Database!$A$2:$L$175,9,FALSE),"-")</f>
        <v>-</v>
      </c>
      <c r="I65" s="120" t="str">
        <f>IFERROR(VLOOKUP(E65,Database!$A$2:$S$175,19,FALSE),"-")</f>
        <v>-</v>
      </c>
      <c r="J65" s="103" t="str">
        <f>IF(AND(D65="Y",booking!H65&lt;&gt;booking!I65,booking!I65&gt;0),booking!I65,"-")</f>
        <v>-</v>
      </c>
      <c r="K65" s="86" t="str">
        <f>IFERROR(VLOOKUP(J65,Database!$A$2:$L$175,8,FALSE),"-")</f>
        <v>-</v>
      </c>
      <c r="L65" s="86" t="str">
        <f>IFERROR(VLOOKUP(J65,Database!$A$2:$L$175,6,FALSE),"-")</f>
        <v>-</v>
      </c>
      <c r="M65" s="100" t="str">
        <f>IFERROR(VLOOKUP(J65,Database!$A$2:$L$175,9,FALSE),"-")</f>
        <v>-</v>
      </c>
      <c r="N65" s="152" t="str">
        <f>IFERROR(VLOOKUP(J65,Database!$A$2:$S$175,19,FALSE),"-")</f>
        <v>-</v>
      </c>
      <c r="O65" s="103" t="str">
        <f>IF(AND(D65="Y",booking!L65&lt;&gt;booking!M65,booking!M65&gt;0),booking!M65,"-")</f>
        <v>-</v>
      </c>
      <c r="P65" s="86" t="str">
        <f>IFERROR(VLOOKUP(O65,Database!$A$2:$L$175,8,FALSE),"-")</f>
        <v>-</v>
      </c>
      <c r="Q65" s="86" t="str">
        <f>IFERROR(VLOOKUP(O65,Database!$A$2:$L$175,6,FALSE),"-")</f>
        <v>-</v>
      </c>
      <c r="R65" s="90" t="str">
        <f>IFERROR(VLOOKUP(O65,Database!$A$2:$L$175,9,FALSE),"-")</f>
        <v>-</v>
      </c>
      <c r="S65" s="152" t="str">
        <f>IFERROR(VLOOKUP(O65,Database!$A$2:$S$175,19,FALSE),"-")</f>
        <v>-</v>
      </c>
      <c r="T65" s="104" t="str">
        <f>IF(AND(D65="Y",booking!P65&lt;&gt;booking!Q65,booking!Q65&gt;0),booking!Q65,"-")</f>
        <v>-</v>
      </c>
      <c r="U65" s="86" t="str">
        <f>IFERROR(VLOOKUP(T65,Database!$A$2:$L$175,8,FALSE),"-")</f>
        <v>-</v>
      </c>
      <c r="V65" s="86" t="str">
        <f>IFERROR(VLOOKUP(T65,Database!$A$2:$L$175,6,FALSE),"-")</f>
        <v>-</v>
      </c>
      <c r="W65" s="90" t="str">
        <f>IFERROR(VLOOKUP(T65,Database!$A$2:$L$175,9,FALSE),"-")</f>
        <v>-</v>
      </c>
      <c r="X65" s="152" t="str">
        <f>IFERROR(VLOOKUP(T65,Database!$A$2:$S$175,19,FALSE),"-")</f>
        <v>-</v>
      </c>
      <c r="Y65" s="103" t="str">
        <f>IF(AND(D65="Y",booking!T65&lt;&gt;booking!U65,booking!U65&gt;0),booking!U65,"-")</f>
        <v>-</v>
      </c>
      <c r="Z65" s="87" t="str">
        <f>IFERROR(VLOOKUP(Y65,Database!$A$2:$L$175,8,FALSE),"-")</f>
        <v>-</v>
      </c>
      <c r="AA65" s="87" t="str">
        <f>IFERROR(VLOOKUP(Y65,Database!$A$2:$L$175,6,FALSE),"-")</f>
        <v>-</v>
      </c>
      <c r="AB65" s="99" t="str">
        <f>IFERROR(VLOOKUP(Y65,Database!$A$2:$L$175,9,FALSE),"-")</f>
        <v>-</v>
      </c>
      <c r="AC65" s="9" t="str">
        <f>IFERROR(VLOOKUP(Y65,Database!$A$2:$S$175,19,FALSE),"-")</f>
        <v>-</v>
      </c>
    </row>
    <row r="66" spans="1:29" ht="15" customHeight="1" thickBot="1" x14ac:dyDescent="0.4">
      <c r="A66" s="95" t="str">
        <f>rengøring!A66</f>
        <v>tirsdag</v>
      </c>
      <c r="B66" s="93">
        <v>46567</v>
      </c>
      <c r="C66" s="10"/>
      <c r="D66" s="96" t="str">
        <f>IF(booking!AB66&gt;0,"Y","-")</f>
        <v>-</v>
      </c>
      <c r="E66" s="102" t="str">
        <f>IF(AND(D66="Y",booking!D66&lt;&gt;booking!E66,booking!E66&gt;0),booking!E66,"-")</f>
        <v>-</v>
      </c>
      <c r="F66" s="86" t="str">
        <f>IFERROR(VLOOKUP(E66,Database!$A$2:$L$175,8,FALSE),"-")</f>
        <v>-</v>
      </c>
      <c r="G66" s="86" t="str">
        <f>IFERROR(VLOOKUP(E66,Database!$A$2:$L$175,6,FALSE),"-")</f>
        <v>-</v>
      </c>
      <c r="H66" s="100" t="str">
        <f>IFERROR(VLOOKUP(E66,Database!$A$2:$L$175,9,FALSE),"-")</f>
        <v>-</v>
      </c>
      <c r="I66" s="120" t="str">
        <f>IFERROR(VLOOKUP(E66,Database!$A$2:$S$175,19,FALSE),"-")</f>
        <v>-</v>
      </c>
      <c r="J66" s="103" t="str">
        <f>IF(AND(D66="Y",booking!H66&lt;&gt;booking!I66,booking!I66&gt;0),booking!I66,"-")</f>
        <v>-</v>
      </c>
      <c r="K66" s="86" t="str">
        <f>IFERROR(VLOOKUP(J66,Database!$A$2:$L$175,8,FALSE),"-")</f>
        <v>-</v>
      </c>
      <c r="L66" s="86" t="str">
        <f>IFERROR(VLOOKUP(J66,Database!$A$2:$L$175,6,FALSE),"-")</f>
        <v>-</v>
      </c>
      <c r="M66" s="100" t="str">
        <f>IFERROR(VLOOKUP(J66,Database!$A$2:$L$175,9,FALSE),"-")</f>
        <v>-</v>
      </c>
      <c r="N66" s="152" t="str">
        <f>IFERROR(VLOOKUP(J66,Database!$A$2:$S$175,19,FALSE),"-")</f>
        <v>-</v>
      </c>
      <c r="O66" s="103" t="str">
        <f>IF(AND(D66="Y",booking!L66&lt;&gt;booking!M66,booking!M66&gt;0),booking!M66,"-")</f>
        <v>-</v>
      </c>
      <c r="P66" s="86" t="str">
        <f>IFERROR(VLOOKUP(O66,Database!$A$2:$L$175,8,FALSE),"-")</f>
        <v>-</v>
      </c>
      <c r="Q66" s="86" t="str">
        <f>IFERROR(VLOOKUP(O66,Database!$A$2:$L$175,6,FALSE),"-")</f>
        <v>-</v>
      </c>
      <c r="R66" s="90" t="str">
        <f>IFERROR(VLOOKUP(O66,Database!$A$2:$L$175,9,FALSE),"-")</f>
        <v>-</v>
      </c>
      <c r="S66" s="152" t="str">
        <f>IFERROR(VLOOKUP(O66,Database!$A$2:$S$175,19,FALSE),"-")</f>
        <v>-</v>
      </c>
      <c r="T66" s="104" t="str">
        <f>IF(AND(D66="Y",booking!P66&lt;&gt;booking!Q66,booking!Q66&gt;0),booking!Q66,"-")</f>
        <v>-</v>
      </c>
      <c r="U66" s="86" t="str">
        <f>IFERROR(VLOOKUP(T66,Database!$A$2:$L$175,8,FALSE),"-")</f>
        <v>-</v>
      </c>
      <c r="V66" s="86" t="str">
        <f>IFERROR(VLOOKUP(T66,Database!$A$2:$L$175,6,FALSE),"-")</f>
        <v>-</v>
      </c>
      <c r="W66" s="90" t="str">
        <f>IFERROR(VLOOKUP(T66,Database!$A$2:$L$175,9,FALSE),"-")</f>
        <v>-</v>
      </c>
      <c r="X66" s="152" t="str">
        <f>IFERROR(VLOOKUP(T66,Database!$A$2:$S$175,19,FALSE),"-")</f>
        <v>-</v>
      </c>
      <c r="Y66" s="103" t="str">
        <f>IF(AND(D66="Y",booking!T66&lt;&gt;booking!U66,booking!U66&gt;0),booking!U66,"-")</f>
        <v>-</v>
      </c>
      <c r="Z66" s="87" t="str">
        <f>IFERROR(VLOOKUP(Y66,Database!$A$2:$L$175,8,FALSE),"-")</f>
        <v>-</v>
      </c>
      <c r="AA66" s="87" t="str">
        <f>IFERROR(VLOOKUP(Y66,Database!$A$2:$L$175,6,FALSE),"-")</f>
        <v>-</v>
      </c>
      <c r="AB66" s="99" t="str">
        <f>IFERROR(VLOOKUP(Y66,Database!$A$2:$L$175,9,FALSE),"-")</f>
        <v>-</v>
      </c>
      <c r="AC66" s="9" t="str">
        <f>IFERROR(VLOOKUP(Y66,Database!$A$2:$S$175,19,FALSE),"-")</f>
        <v>-</v>
      </c>
    </row>
    <row r="67" spans="1:29" ht="15" customHeight="1" thickBot="1" x14ac:dyDescent="0.4">
      <c r="A67" s="95" t="str">
        <f>rengøring!A67</f>
        <v>onsdag</v>
      </c>
      <c r="B67" s="93">
        <v>46568</v>
      </c>
      <c r="C67" s="10"/>
      <c r="D67" s="96" t="str">
        <f>IF(booking!AB67&gt;0,"Y","-")</f>
        <v>-</v>
      </c>
      <c r="E67" s="102" t="str">
        <f>IF(AND(D67="Y",booking!D67&lt;&gt;booking!E67,booking!E67&gt;0),booking!E67,"-")</f>
        <v>-</v>
      </c>
      <c r="F67" s="86" t="str">
        <f>IFERROR(VLOOKUP(E67,Database!$A$2:$L$175,8,FALSE),"-")</f>
        <v>-</v>
      </c>
      <c r="G67" s="86" t="str">
        <f>IFERROR(VLOOKUP(E67,Database!$A$2:$L$175,6,FALSE),"-")</f>
        <v>-</v>
      </c>
      <c r="H67" s="100" t="str">
        <f>IFERROR(VLOOKUP(E67,Database!$A$2:$L$175,9,FALSE),"-")</f>
        <v>-</v>
      </c>
      <c r="I67" s="120" t="str">
        <f>IFERROR(VLOOKUP(E67,Database!$A$2:$S$175,19,FALSE),"-")</f>
        <v>-</v>
      </c>
      <c r="J67" s="103" t="str">
        <f>IF(AND(D67="Y",booking!H67&lt;&gt;booking!I67,booking!I67&gt;0),booking!I67,"-")</f>
        <v>-</v>
      </c>
      <c r="K67" s="86" t="str">
        <f>IFERROR(VLOOKUP(J67,Database!$A$2:$L$175,8,FALSE),"-")</f>
        <v>-</v>
      </c>
      <c r="L67" s="86" t="str">
        <f>IFERROR(VLOOKUP(J67,Database!$A$2:$L$175,6,FALSE),"-")</f>
        <v>-</v>
      </c>
      <c r="M67" s="100" t="str">
        <f>IFERROR(VLOOKUP(J67,Database!$A$2:$L$175,9,FALSE),"-")</f>
        <v>-</v>
      </c>
      <c r="N67" s="152" t="str">
        <f>IFERROR(VLOOKUP(J67,Database!$A$2:$S$175,19,FALSE),"-")</f>
        <v>-</v>
      </c>
      <c r="O67" s="103" t="str">
        <f>IF(AND(D67="Y",booking!L67&lt;&gt;booking!M67,booking!M67&gt;0),booking!M67,"-")</f>
        <v>-</v>
      </c>
      <c r="P67" s="86" t="str">
        <f>IFERROR(VLOOKUP(O67,Database!$A$2:$L$175,8,FALSE),"-")</f>
        <v>-</v>
      </c>
      <c r="Q67" s="86" t="str">
        <f>IFERROR(VLOOKUP(O67,Database!$A$2:$L$175,6,FALSE),"-")</f>
        <v>-</v>
      </c>
      <c r="R67" s="90" t="str">
        <f>IFERROR(VLOOKUP(O67,Database!$A$2:$L$175,9,FALSE),"-")</f>
        <v>-</v>
      </c>
      <c r="S67" s="152" t="str">
        <f>IFERROR(VLOOKUP(O67,Database!$A$2:$S$175,19,FALSE),"-")</f>
        <v>-</v>
      </c>
      <c r="T67" s="104" t="str">
        <f>IF(AND(D67="Y",booking!P67&lt;&gt;booking!Q67,booking!Q67&gt;0),booking!Q67,"-")</f>
        <v>-</v>
      </c>
      <c r="U67" s="86" t="str">
        <f>IFERROR(VLOOKUP(T67,Database!$A$2:$L$175,8,FALSE),"-")</f>
        <v>-</v>
      </c>
      <c r="V67" s="86" t="str">
        <f>IFERROR(VLOOKUP(T67,Database!$A$2:$L$175,6,FALSE),"-")</f>
        <v>-</v>
      </c>
      <c r="W67" s="90" t="str">
        <f>IFERROR(VLOOKUP(T67,Database!$A$2:$L$175,9,FALSE),"-")</f>
        <v>-</v>
      </c>
      <c r="X67" s="152" t="str">
        <f>IFERROR(VLOOKUP(T67,Database!$A$2:$S$175,19,FALSE),"-")</f>
        <v>-</v>
      </c>
      <c r="Y67" s="103" t="str">
        <f>IF(AND(D67="Y",booking!T67&lt;&gt;booking!U67,booking!U67&gt;0),booking!U67,"-")</f>
        <v>-</v>
      </c>
      <c r="Z67" s="87" t="str">
        <f>IFERROR(VLOOKUP(Y67,Database!$A$2:$L$175,8,FALSE),"-")</f>
        <v>-</v>
      </c>
      <c r="AA67" s="87" t="str">
        <f>IFERROR(VLOOKUP(Y67,Database!$A$2:$L$175,6,FALSE),"-")</f>
        <v>-</v>
      </c>
      <c r="AB67" s="99" t="str">
        <f>IFERROR(VLOOKUP(Y67,Database!$A$2:$L$175,9,FALSE),"-")</f>
        <v>-</v>
      </c>
      <c r="AC67" s="9" t="str">
        <f>IFERROR(VLOOKUP(Y67,Database!$A$2:$S$175,19,FALSE),"-")</f>
        <v>-</v>
      </c>
    </row>
    <row r="68" spans="1:29" ht="15" customHeight="1" thickBot="1" x14ac:dyDescent="0.4">
      <c r="A68" s="95" t="str">
        <f>rengøring!A68</f>
        <v>torsdag</v>
      </c>
      <c r="B68" s="93">
        <v>46569</v>
      </c>
      <c r="C68" s="10"/>
      <c r="D68" s="96" t="str">
        <f>IF(booking!AB68&gt;0,"Y","-")</f>
        <v>-</v>
      </c>
      <c r="E68" s="102" t="str">
        <f>IF(AND(D68="Y",booking!D68&lt;&gt;booking!E68,booking!E68&gt;0),booking!E68,"-")</f>
        <v>-</v>
      </c>
      <c r="F68" s="86" t="str">
        <f>IFERROR(VLOOKUP(E68,Database!$A$2:$L$175,8,FALSE),"-")</f>
        <v>-</v>
      </c>
      <c r="G68" s="86" t="str">
        <f>IFERROR(VLOOKUP(E68,Database!$A$2:$L$175,6,FALSE),"-")</f>
        <v>-</v>
      </c>
      <c r="H68" s="100" t="str">
        <f>IFERROR(VLOOKUP(E68,Database!$A$2:$L$175,9,FALSE),"-")</f>
        <v>-</v>
      </c>
      <c r="I68" s="120" t="str">
        <f>IFERROR(VLOOKUP(E68,Database!$A$2:$S$175,19,FALSE),"-")</f>
        <v>-</v>
      </c>
      <c r="J68" s="103" t="str">
        <f>IF(AND(D68="Y",booking!H68&lt;&gt;booking!I68,booking!I68&gt;0),booking!I68,"-")</f>
        <v>-</v>
      </c>
      <c r="K68" s="86" t="str">
        <f>IFERROR(VLOOKUP(J68,Database!$A$2:$L$175,8,FALSE),"-")</f>
        <v>-</v>
      </c>
      <c r="L68" s="86" t="str">
        <f>IFERROR(VLOOKUP(J68,Database!$A$2:$L$175,6,FALSE),"-")</f>
        <v>-</v>
      </c>
      <c r="M68" s="100" t="str">
        <f>IFERROR(VLOOKUP(J68,Database!$A$2:$L$175,9,FALSE),"-")</f>
        <v>-</v>
      </c>
      <c r="N68" s="152" t="str">
        <f>IFERROR(VLOOKUP(J68,Database!$A$2:$S$175,19,FALSE),"-")</f>
        <v>-</v>
      </c>
      <c r="O68" s="103" t="str">
        <f>IF(AND(D68="Y",booking!L68&lt;&gt;booking!M68,booking!M68&gt;0),booking!M68,"-")</f>
        <v>-</v>
      </c>
      <c r="P68" s="86" t="str">
        <f>IFERROR(VLOOKUP(O68,Database!$A$2:$L$175,8,FALSE),"-")</f>
        <v>-</v>
      </c>
      <c r="Q68" s="86" t="str">
        <f>IFERROR(VLOOKUP(O68,Database!$A$2:$L$175,6,FALSE),"-")</f>
        <v>-</v>
      </c>
      <c r="R68" s="90" t="str">
        <f>IFERROR(VLOOKUP(O68,Database!$A$2:$L$175,9,FALSE),"-")</f>
        <v>-</v>
      </c>
      <c r="S68" s="152" t="str">
        <f>IFERROR(VLOOKUP(O68,Database!$A$2:$S$175,19,FALSE),"-")</f>
        <v>-</v>
      </c>
      <c r="T68" s="104" t="str">
        <f>IF(AND(D68="Y",booking!P68&lt;&gt;booking!Q68,booking!Q68&gt;0),booking!Q68,"-")</f>
        <v>-</v>
      </c>
      <c r="U68" s="86" t="str">
        <f>IFERROR(VLOOKUP(T68,Database!$A$2:$L$175,8,FALSE),"-")</f>
        <v>-</v>
      </c>
      <c r="V68" s="86" t="str">
        <f>IFERROR(VLOOKUP(T68,Database!$A$2:$L$175,6,FALSE),"-")</f>
        <v>-</v>
      </c>
      <c r="W68" s="90" t="str">
        <f>IFERROR(VLOOKUP(T68,Database!$A$2:$L$175,9,FALSE),"-")</f>
        <v>-</v>
      </c>
      <c r="X68" s="152" t="str">
        <f>IFERROR(VLOOKUP(T68,Database!$A$2:$S$175,19,FALSE),"-")</f>
        <v>-</v>
      </c>
      <c r="Y68" s="103" t="str">
        <f>IF(AND(D68="Y",booking!T68&lt;&gt;booking!U68,booking!U68&gt;0),booking!U68,"-")</f>
        <v>-</v>
      </c>
      <c r="Z68" s="87" t="str">
        <f>IFERROR(VLOOKUP(Y68,Database!$A$2:$L$175,8,FALSE),"-")</f>
        <v>-</v>
      </c>
      <c r="AA68" s="87" t="str">
        <f>IFERROR(VLOOKUP(Y68,Database!$A$2:$L$175,6,FALSE),"-")</f>
        <v>-</v>
      </c>
      <c r="AB68" s="99" t="str">
        <f>IFERROR(VLOOKUP(Y68,Database!$A$2:$L$175,9,FALSE),"-")</f>
        <v>-</v>
      </c>
      <c r="AC68" s="9" t="str">
        <f>IFERROR(VLOOKUP(Y68,Database!$A$2:$S$175,19,FALSE),"-")</f>
        <v>-</v>
      </c>
    </row>
    <row r="69" spans="1:29" ht="15" customHeight="1" thickBot="1" x14ac:dyDescent="0.4">
      <c r="A69" s="95" t="str">
        <f>rengøring!A69</f>
        <v>fredag</v>
      </c>
      <c r="B69" s="93">
        <v>46570</v>
      </c>
      <c r="C69" s="10"/>
      <c r="D69" s="96" t="str">
        <f>IF(booking!AB69&gt;0,"Y","-")</f>
        <v>-</v>
      </c>
      <c r="E69" s="102" t="str">
        <f>IF(AND(D69="Y",booking!D69&lt;&gt;booking!E69,booking!E69&gt;0),booking!E69,"-")</f>
        <v>-</v>
      </c>
      <c r="F69" s="86" t="str">
        <f>IFERROR(VLOOKUP(E69,Database!$A$2:$L$175,8,FALSE),"-")</f>
        <v>-</v>
      </c>
      <c r="G69" s="86" t="str">
        <f>IFERROR(VLOOKUP(E69,Database!$A$2:$L$175,6,FALSE),"-")</f>
        <v>-</v>
      </c>
      <c r="H69" s="100" t="str">
        <f>IFERROR(VLOOKUP(E69,Database!$A$2:$L$175,9,FALSE),"-")</f>
        <v>-</v>
      </c>
      <c r="I69" s="120" t="str">
        <f>IFERROR(VLOOKUP(E69,Database!$A$2:$S$175,19,FALSE),"-")</f>
        <v>-</v>
      </c>
      <c r="J69" s="103" t="str">
        <f>IF(AND(D69="Y",booking!H69&lt;&gt;booking!I69,booking!I69&gt;0),booking!I69,"-")</f>
        <v>-</v>
      </c>
      <c r="K69" s="86" t="str">
        <f>IFERROR(VLOOKUP(J69,Database!$A$2:$L$175,8,FALSE),"-")</f>
        <v>-</v>
      </c>
      <c r="L69" s="86" t="str">
        <f>IFERROR(VLOOKUP(J69,Database!$A$2:$L$175,6,FALSE),"-")</f>
        <v>-</v>
      </c>
      <c r="M69" s="100" t="str">
        <f>IFERROR(VLOOKUP(J69,Database!$A$2:$L$175,9,FALSE),"-")</f>
        <v>-</v>
      </c>
      <c r="N69" s="152" t="str">
        <f>IFERROR(VLOOKUP(J69,Database!$A$2:$S$175,19,FALSE),"-")</f>
        <v>-</v>
      </c>
      <c r="O69" s="103" t="str">
        <f>IF(AND(D69="Y",booking!L69&lt;&gt;booking!M69,booking!M69&gt;0),booking!M69,"-")</f>
        <v>-</v>
      </c>
      <c r="P69" s="86" t="str">
        <f>IFERROR(VLOOKUP(O69,Database!$A$2:$L$175,8,FALSE),"-")</f>
        <v>-</v>
      </c>
      <c r="Q69" s="86" t="str">
        <f>IFERROR(VLOOKUP(O69,Database!$A$2:$L$175,6,FALSE),"-")</f>
        <v>-</v>
      </c>
      <c r="R69" s="90" t="str">
        <f>IFERROR(VLOOKUP(O69,Database!$A$2:$L$175,9,FALSE),"-")</f>
        <v>-</v>
      </c>
      <c r="S69" s="152" t="str">
        <f>IFERROR(VLOOKUP(O69,Database!$A$2:$S$175,19,FALSE),"-")</f>
        <v>-</v>
      </c>
      <c r="T69" s="104" t="str">
        <f>IF(AND(D69="Y",booking!P69&lt;&gt;booking!Q69,booking!Q69&gt;0),booking!Q69,"-")</f>
        <v>-</v>
      </c>
      <c r="U69" s="86" t="str">
        <f>IFERROR(VLOOKUP(T69,Database!$A$2:$L$175,8,FALSE),"-")</f>
        <v>-</v>
      </c>
      <c r="V69" s="86" t="str">
        <f>IFERROR(VLOOKUP(T69,Database!$A$2:$L$175,6,FALSE),"-")</f>
        <v>-</v>
      </c>
      <c r="W69" s="90" t="str">
        <f>IFERROR(VLOOKUP(T69,Database!$A$2:$L$175,9,FALSE),"-")</f>
        <v>-</v>
      </c>
      <c r="X69" s="152" t="str">
        <f>IFERROR(VLOOKUP(T69,Database!$A$2:$S$175,19,FALSE),"-")</f>
        <v>-</v>
      </c>
      <c r="Y69" s="103" t="str">
        <f>IF(AND(D69="Y",booking!T69&lt;&gt;booking!U69,booking!U69&gt;0),booking!U69,"-")</f>
        <v>-</v>
      </c>
      <c r="Z69" s="87" t="str">
        <f>IFERROR(VLOOKUP(Y69,Database!$A$2:$L$175,8,FALSE),"-")</f>
        <v>-</v>
      </c>
      <c r="AA69" s="87" t="str">
        <f>IFERROR(VLOOKUP(Y69,Database!$A$2:$L$175,6,FALSE),"-")</f>
        <v>-</v>
      </c>
      <c r="AB69" s="99" t="str">
        <f>IFERROR(VLOOKUP(Y69,Database!$A$2:$L$175,9,FALSE),"-")</f>
        <v>-</v>
      </c>
      <c r="AC69" s="9" t="str">
        <f>IFERROR(VLOOKUP(Y69,Database!$A$2:$S$175,19,FALSE),"-")</f>
        <v>-</v>
      </c>
    </row>
    <row r="70" spans="1:29" ht="15" customHeight="1" thickBot="1" x14ac:dyDescent="0.4">
      <c r="A70" s="95" t="str">
        <f>rengøring!A70</f>
        <v>lørdag</v>
      </c>
      <c r="B70" s="93">
        <v>46571</v>
      </c>
      <c r="C70" s="10"/>
      <c r="D70" s="96" t="str">
        <f>IF(booking!AB70&gt;0,"Y","-")</f>
        <v>-</v>
      </c>
      <c r="E70" s="102" t="str">
        <f>IF(AND(D70="Y",booking!D70&lt;&gt;booking!E70,booking!E70&gt;0),booking!E70,"-")</f>
        <v>-</v>
      </c>
      <c r="F70" s="86" t="str">
        <f>IFERROR(VLOOKUP(E70,Database!$A$2:$L$175,8,FALSE),"-")</f>
        <v>-</v>
      </c>
      <c r="G70" s="86" t="str">
        <f>IFERROR(VLOOKUP(E70,Database!$A$2:$L$175,6,FALSE),"-")</f>
        <v>-</v>
      </c>
      <c r="H70" s="100" t="str">
        <f>IFERROR(VLOOKUP(E70,Database!$A$2:$L$175,9,FALSE),"-")</f>
        <v>-</v>
      </c>
      <c r="I70" s="120" t="str">
        <f>IFERROR(VLOOKUP(E70,Database!$A$2:$S$175,19,FALSE),"-")</f>
        <v>-</v>
      </c>
      <c r="J70" s="103" t="str">
        <f>IF(AND(D70="Y",booking!H70&lt;&gt;booking!I70,booking!I70&gt;0),booking!I70,"-")</f>
        <v>-</v>
      </c>
      <c r="K70" s="86" t="str">
        <f>IFERROR(VLOOKUP(J70,Database!$A$2:$L$175,8,FALSE),"-")</f>
        <v>-</v>
      </c>
      <c r="L70" s="86" t="str">
        <f>IFERROR(VLOOKUP(J70,Database!$A$2:$L$175,6,FALSE),"-")</f>
        <v>-</v>
      </c>
      <c r="M70" s="100" t="str">
        <f>IFERROR(VLOOKUP(J70,Database!$A$2:$L$175,9,FALSE),"-")</f>
        <v>-</v>
      </c>
      <c r="N70" s="152" t="str">
        <f>IFERROR(VLOOKUP(J70,Database!$A$2:$S$175,19,FALSE),"-")</f>
        <v>-</v>
      </c>
      <c r="O70" s="103" t="str">
        <f>IF(AND(D70="Y",booking!L70&lt;&gt;booking!M70,booking!M70&gt;0),booking!M70,"-")</f>
        <v>-</v>
      </c>
      <c r="P70" s="86" t="str">
        <f>IFERROR(VLOOKUP(O70,Database!$A$2:$L$175,8,FALSE),"-")</f>
        <v>-</v>
      </c>
      <c r="Q70" s="86" t="str">
        <f>IFERROR(VLOOKUP(O70,Database!$A$2:$L$175,6,FALSE),"-")</f>
        <v>-</v>
      </c>
      <c r="R70" s="90" t="str">
        <f>IFERROR(VLOOKUP(O70,Database!$A$2:$L$175,9,FALSE),"-")</f>
        <v>-</v>
      </c>
      <c r="S70" s="152" t="str">
        <f>IFERROR(VLOOKUP(O70,Database!$A$2:$S$175,19,FALSE),"-")</f>
        <v>-</v>
      </c>
      <c r="T70" s="104" t="str">
        <f>IF(AND(D70="Y",booking!P70&lt;&gt;booking!Q70,booking!Q70&gt;0),booking!Q70,"-")</f>
        <v>-</v>
      </c>
      <c r="U70" s="86" t="str">
        <f>IFERROR(VLOOKUP(T70,Database!$A$2:$L$175,8,FALSE),"-")</f>
        <v>-</v>
      </c>
      <c r="V70" s="86" t="str">
        <f>IFERROR(VLOOKUP(T70,Database!$A$2:$L$175,6,FALSE),"-")</f>
        <v>-</v>
      </c>
      <c r="W70" s="90" t="str">
        <f>IFERROR(VLOOKUP(T70,Database!$A$2:$L$175,9,FALSE),"-")</f>
        <v>-</v>
      </c>
      <c r="X70" s="152" t="str">
        <f>IFERROR(VLOOKUP(T70,Database!$A$2:$S$175,19,FALSE),"-")</f>
        <v>-</v>
      </c>
      <c r="Y70" s="103" t="str">
        <f>IF(AND(D70="Y",booking!T70&lt;&gt;booking!U70,booking!U70&gt;0),booking!U70,"-")</f>
        <v>-</v>
      </c>
      <c r="Z70" s="87" t="str">
        <f>IFERROR(VLOOKUP(Y70,Database!$A$2:$L$175,8,FALSE),"-")</f>
        <v>-</v>
      </c>
      <c r="AA70" s="87" t="str">
        <f>IFERROR(VLOOKUP(Y70,Database!$A$2:$L$175,6,FALSE),"-")</f>
        <v>-</v>
      </c>
      <c r="AB70" s="99" t="str">
        <f>IFERROR(VLOOKUP(Y70,Database!$A$2:$L$175,9,FALSE),"-")</f>
        <v>-</v>
      </c>
      <c r="AC70" s="9" t="str">
        <f>IFERROR(VLOOKUP(Y70,Database!$A$2:$S$175,19,FALSE),"-")</f>
        <v>-</v>
      </c>
    </row>
    <row r="71" spans="1:29" ht="15" customHeight="1" thickBot="1" x14ac:dyDescent="0.4">
      <c r="A71" s="95" t="str">
        <f>rengøring!A71</f>
        <v>søndag</v>
      </c>
      <c r="B71" s="93">
        <v>46572</v>
      </c>
      <c r="C71" s="10"/>
      <c r="D71" s="96" t="str">
        <f>IF(booking!AB71&gt;0,"Y","-")</f>
        <v>-</v>
      </c>
      <c r="E71" s="102" t="str">
        <f>IF(AND(D71="Y",booking!D71&lt;&gt;booking!E71,booking!E71&gt;0),booking!E71,"-")</f>
        <v>-</v>
      </c>
      <c r="F71" s="86" t="str">
        <f>IFERROR(VLOOKUP(E71,Database!$A$2:$L$175,8,FALSE),"-")</f>
        <v>-</v>
      </c>
      <c r="G71" s="86" t="str">
        <f>IFERROR(VLOOKUP(E71,Database!$A$2:$L$175,6,FALSE),"-")</f>
        <v>-</v>
      </c>
      <c r="H71" s="100" t="str">
        <f>IFERROR(VLOOKUP(E71,Database!$A$2:$L$175,9,FALSE),"-")</f>
        <v>-</v>
      </c>
      <c r="I71" s="120" t="str">
        <f>IFERROR(VLOOKUP(E71,Database!$A$2:$S$175,19,FALSE),"-")</f>
        <v>-</v>
      </c>
      <c r="J71" s="103" t="str">
        <f>IF(AND(D71="Y",booking!H71&lt;&gt;booking!I71,booking!I71&gt;0),booking!I71,"-")</f>
        <v>-</v>
      </c>
      <c r="K71" s="86" t="str">
        <f>IFERROR(VLOOKUP(J71,Database!$A$2:$L$175,8,FALSE),"-")</f>
        <v>-</v>
      </c>
      <c r="L71" s="86" t="str">
        <f>IFERROR(VLOOKUP(J71,Database!$A$2:$L$175,6,FALSE),"-")</f>
        <v>-</v>
      </c>
      <c r="M71" s="100" t="str">
        <f>IFERROR(VLOOKUP(J71,Database!$A$2:$L$175,9,FALSE),"-")</f>
        <v>-</v>
      </c>
      <c r="N71" s="152" t="str">
        <f>IFERROR(VLOOKUP(J71,Database!$A$2:$S$175,19,FALSE),"-")</f>
        <v>-</v>
      </c>
      <c r="O71" s="103" t="str">
        <f>IF(AND(D71="Y",booking!L71&lt;&gt;booking!M71,booking!M71&gt;0),booking!M71,"-")</f>
        <v>-</v>
      </c>
      <c r="P71" s="86" t="str">
        <f>IFERROR(VLOOKUP(O71,Database!$A$2:$L$175,8,FALSE),"-")</f>
        <v>-</v>
      </c>
      <c r="Q71" s="86" t="str">
        <f>IFERROR(VLOOKUP(O71,Database!$A$2:$L$175,6,FALSE),"-")</f>
        <v>-</v>
      </c>
      <c r="R71" s="90" t="str">
        <f>IFERROR(VLOOKUP(O71,Database!$A$2:$L$175,9,FALSE),"-")</f>
        <v>-</v>
      </c>
      <c r="S71" s="152" t="str">
        <f>IFERROR(VLOOKUP(O71,Database!$A$2:$S$175,19,FALSE),"-")</f>
        <v>-</v>
      </c>
      <c r="T71" s="104" t="str">
        <f>IF(AND(D71="Y",booking!P71&lt;&gt;booking!Q71,booking!Q71&gt;0),booking!Q71,"-")</f>
        <v>-</v>
      </c>
      <c r="U71" s="86" t="str">
        <f>IFERROR(VLOOKUP(T71,Database!$A$2:$L$175,8,FALSE),"-")</f>
        <v>-</v>
      </c>
      <c r="V71" s="86" t="str">
        <f>IFERROR(VLOOKUP(T71,Database!$A$2:$L$175,6,FALSE),"-")</f>
        <v>-</v>
      </c>
      <c r="W71" s="90" t="str">
        <f>IFERROR(VLOOKUP(T71,Database!$A$2:$L$175,9,FALSE),"-")</f>
        <v>-</v>
      </c>
      <c r="X71" s="152" t="str">
        <f>IFERROR(VLOOKUP(T71,Database!$A$2:$S$175,19,FALSE),"-")</f>
        <v>-</v>
      </c>
      <c r="Y71" s="103" t="str">
        <f>IF(AND(D71="Y",booking!T71&lt;&gt;booking!U71,booking!U71&gt;0),booking!U71,"-")</f>
        <v>-</v>
      </c>
      <c r="Z71" s="87" t="str">
        <f>IFERROR(VLOOKUP(Y71,Database!$A$2:$L$175,8,FALSE),"-")</f>
        <v>-</v>
      </c>
      <c r="AA71" s="87" t="str">
        <f>IFERROR(VLOOKUP(Y71,Database!$A$2:$L$175,6,FALSE),"-")</f>
        <v>-</v>
      </c>
      <c r="AB71" s="99" t="str">
        <f>IFERROR(VLOOKUP(Y71,Database!$A$2:$L$175,9,FALSE),"-")</f>
        <v>-</v>
      </c>
      <c r="AC71" s="9" t="str">
        <f>IFERROR(VLOOKUP(Y71,Database!$A$2:$S$175,19,FALSE),"-")</f>
        <v>-</v>
      </c>
    </row>
    <row r="72" spans="1:29" ht="15" customHeight="1" thickBot="1" x14ac:dyDescent="0.4">
      <c r="A72" s="95" t="str">
        <f>rengøring!A72</f>
        <v>mandag</v>
      </c>
      <c r="B72" s="93">
        <v>46573</v>
      </c>
      <c r="C72" s="10"/>
      <c r="D72" s="96" t="str">
        <f>IF(booking!AB72&gt;0,"Y","-")</f>
        <v>-</v>
      </c>
      <c r="E72" s="102" t="str">
        <f>IF(AND(D72="Y",booking!D72&lt;&gt;booking!E72,booking!E72&gt;0),booking!E72,"-")</f>
        <v>-</v>
      </c>
      <c r="F72" s="86" t="str">
        <f>IFERROR(VLOOKUP(E72,Database!$A$2:$L$175,8,FALSE),"-")</f>
        <v>-</v>
      </c>
      <c r="G72" s="86" t="str">
        <f>IFERROR(VLOOKUP(E72,Database!$A$2:$L$175,6,FALSE),"-")</f>
        <v>-</v>
      </c>
      <c r="H72" s="100" t="str">
        <f>IFERROR(VLOOKUP(E72,Database!$A$2:$L$175,9,FALSE),"-")</f>
        <v>-</v>
      </c>
      <c r="I72" s="120" t="str">
        <f>IFERROR(VLOOKUP(E72,Database!$A$2:$S$175,19,FALSE),"-")</f>
        <v>-</v>
      </c>
      <c r="J72" s="103" t="str">
        <f>IF(AND(D72="Y",booking!H72&lt;&gt;booking!I72,booking!I72&gt;0),booking!I72,"-")</f>
        <v>-</v>
      </c>
      <c r="K72" s="86" t="str">
        <f>IFERROR(VLOOKUP(J72,Database!$A$2:$L$175,8,FALSE),"-")</f>
        <v>-</v>
      </c>
      <c r="L72" s="86" t="str">
        <f>IFERROR(VLOOKUP(J72,Database!$A$2:$L$175,6,FALSE),"-")</f>
        <v>-</v>
      </c>
      <c r="M72" s="100" t="str">
        <f>IFERROR(VLOOKUP(J72,Database!$A$2:$L$175,9,FALSE),"-")</f>
        <v>-</v>
      </c>
      <c r="N72" s="152" t="str">
        <f>IFERROR(VLOOKUP(J72,Database!$A$2:$S$175,19,FALSE),"-")</f>
        <v>-</v>
      </c>
      <c r="O72" s="103" t="str">
        <f>IF(AND(D72="Y",booking!L72&lt;&gt;booking!M72,booking!M72&gt;0),booking!M72,"-")</f>
        <v>-</v>
      </c>
      <c r="P72" s="86" t="str">
        <f>IFERROR(VLOOKUP(O72,Database!$A$2:$L$175,8,FALSE),"-")</f>
        <v>-</v>
      </c>
      <c r="Q72" s="86" t="str">
        <f>IFERROR(VLOOKUP(O72,Database!$A$2:$L$175,6,FALSE),"-")</f>
        <v>-</v>
      </c>
      <c r="R72" s="90" t="str">
        <f>IFERROR(VLOOKUP(O72,Database!$A$2:$L$175,9,FALSE),"-")</f>
        <v>-</v>
      </c>
      <c r="S72" s="152" t="str">
        <f>IFERROR(VLOOKUP(O72,Database!$A$2:$S$175,19,FALSE),"-")</f>
        <v>-</v>
      </c>
      <c r="T72" s="104" t="str">
        <f>IF(AND(D72="Y",booking!P72&lt;&gt;booking!Q72,booking!Q72&gt;0),booking!Q72,"-")</f>
        <v>-</v>
      </c>
      <c r="U72" s="86" t="str">
        <f>IFERROR(VLOOKUP(T72,Database!$A$2:$L$175,8,FALSE),"-")</f>
        <v>-</v>
      </c>
      <c r="V72" s="86" t="str">
        <f>IFERROR(VLOOKUP(T72,Database!$A$2:$L$175,6,FALSE),"-")</f>
        <v>-</v>
      </c>
      <c r="W72" s="90" t="str">
        <f>IFERROR(VLOOKUP(T72,Database!$A$2:$L$175,9,FALSE),"-")</f>
        <v>-</v>
      </c>
      <c r="X72" s="152" t="str">
        <f>IFERROR(VLOOKUP(T72,Database!$A$2:$S$175,19,FALSE),"-")</f>
        <v>-</v>
      </c>
      <c r="Y72" s="103" t="str">
        <f>IF(AND(D72="Y",booking!T72&lt;&gt;booking!U72,booking!U72&gt;0),booking!U72,"-")</f>
        <v>-</v>
      </c>
      <c r="Z72" s="87" t="str">
        <f>IFERROR(VLOOKUP(Y72,Database!$A$2:$L$175,8,FALSE),"-")</f>
        <v>-</v>
      </c>
      <c r="AA72" s="87" t="str">
        <f>IFERROR(VLOOKUP(Y72,Database!$A$2:$L$175,6,FALSE),"-")</f>
        <v>-</v>
      </c>
      <c r="AB72" s="99" t="str">
        <f>IFERROR(VLOOKUP(Y72,Database!$A$2:$L$175,9,FALSE),"-")</f>
        <v>-</v>
      </c>
      <c r="AC72" s="9" t="str">
        <f>IFERROR(VLOOKUP(Y72,Database!$A$2:$S$175,19,FALSE),"-")</f>
        <v>-</v>
      </c>
    </row>
    <row r="73" spans="1:29" ht="15" customHeight="1" thickBot="1" x14ac:dyDescent="0.4">
      <c r="A73" s="95" t="str">
        <f>rengøring!A73</f>
        <v>tirsdag</v>
      </c>
      <c r="B73" s="93">
        <v>46574</v>
      </c>
      <c r="C73" s="10"/>
      <c r="D73" s="96" t="str">
        <f>IF(booking!AB73&gt;0,"Y","-")</f>
        <v>-</v>
      </c>
      <c r="E73" s="102" t="str">
        <f>IF(AND(D73="Y",booking!D73&lt;&gt;booking!E73,booking!E73&gt;0),booking!E73,"-")</f>
        <v>-</v>
      </c>
      <c r="F73" s="86" t="str">
        <f>IFERROR(VLOOKUP(E73,Database!$A$2:$L$175,8,FALSE),"-")</f>
        <v>-</v>
      </c>
      <c r="G73" s="86" t="str">
        <f>IFERROR(VLOOKUP(E73,Database!$A$2:$L$175,6,FALSE),"-")</f>
        <v>-</v>
      </c>
      <c r="H73" s="100" t="str">
        <f>IFERROR(VLOOKUP(E73,Database!$A$2:$L$175,9,FALSE),"-")</f>
        <v>-</v>
      </c>
      <c r="I73" s="120" t="str">
        <f>IFERROR(VLOOKUP(E73,Database!$A$2:$S$175,19,FALSE),"-")</f>
        <v>-</v>
      </c>
      <c r="J73" s="103" t="str">
        <f>IF(AND(D73="Y",booking!H73&lt;&gt;booking!I73,booking!I73&gt;0),booking!I73,"-")</f>
        <v>-</v>
      </c>
      <c r="K73" s="86" t="str">
        <f>IFERROR(VLOOKUP(J73,Database!$A$2:$L$175,8,FALSE),"-")</f>
        <v>-</v>
      </c>
      <c r="L73" s="86" t="str">
        <f>IFERROR(VLOOKUP(J73,Database!$A$2:$L$175,6,FALSE),"-")</f>
        <v>-</v>
      </c>
      <c r="M73" s="100" t="str">
        <f>IFERROR(VLOOKUP(J73,Database!$A$2:$L$175,9,FALSE),"-")</f>
        <v>-</v>
      </c>
      <c r="N73" s="152" t="str">
        <f>IFERROR(VLOOKUP(J73,Database!$A$2:$S$175,19,FALSE),"-")</f>
        <v>-</v>
      </c>
      <c r="O73" s="103" t="str">
        <f>IF(AND(D73="Y",booking!L73&lt;&gt;booking!M73,booking!M73&gt;0),booking!M73,"-")</f>
        <v>-</v>
      </c>
      <c r="P73" s="86" t="str">
        <f>IFERROR(VLOOKUP(O73,Database!$A$2:$L$175,8,FALSE),"-")</f>
        <v>-</v>
      </c>
      <c r="Q73" s="86" t="str">
        <f>IFERROR(VLOOKUP(O73,Database!$A$2:$L$175,6,FALSE),"-")</f>
        <v>-</v>
      </c>
      <c r="R73" s="90" t="str">
        <f>IFERROR(VLOOKUP(O73,Database!$A$2:$L$175,9,FALSE),"-")</f>
        <v>-</v>
      </c>
      <c r="S73" s="152" t="str">
        <f>IFERROR(VLOOKUP(O73,Database!$A$2:$S$175,19,FALSE),"-")</f>
        <v>-</v>
      </c>
      <c r="T73" s="104" t="str">
        <f>IF(AND(D73="Y",booking!P73&lt;&gt;booking!Q73,booking!Q73&gt;0),booking!Q73,"-")</f>
        <v>-</v>
      </c>
      <c r="U73" s="86" t="str">
        <f>IFERROR(VLOOKUP(T73,Database!$A$2:$L$175,8,FALSE),"-")</f>
        <v>-</v>
      </c>
      <c r="V73" s="86" t="str">
        <f>IFERROR(VLOOKUP(T73,Database!$A$2:$L$175,6,FALSE),"-")</f>
        <v>-</v>
      </c>
      <c r="W73" s="90" t="str">
        <f>IFERROR(VLOOKUP(T73,Database!$A$2:$L$175,9,FALSE),"-")</f>
        <v>-</v>
      </c>
      <c r="X73" s="152" t="str">
        <f>IFERROR(VLOOKUP(T73,Database!$A$2:$S$175,19,FALSE),"-")</f>
        <v>-</v>
      </c>
      <c r="Y73" s="103" t="str">
        <f>IF(AND(D73="Y",booking!T73&lt;&gt;booking!U73,booking!U73&gt;0),booking!U73,"-")</f>
        <v>-</v>
      </c>
      <c r="Z73" s="87" t="str">
        <f>IFERROR(VLOOKUP(Y73,Database!$A$2:$L$175,8,FALSE),"-")</f>
        <v>-</v>
      </c>
      <c r="AA73" s="87" t="str">
        <f>IFERROR(VLOOKUP(Y73,Database!$A$2:$L$175,6,FALSE),"-")</f>
        <v>-</v>
      </c>
      <c r="AB73" s="99" t="str">
        <f>IFERROR(VLOOKUP(Y73,Database!$A$2:$L$175,9,FALSE),"-")</f>
        <v>-</v>
      </c>
      <c r="AC73" s="9" t="str">
        <f>IFERROR(VLOOKUP(Y73,Database!$A$2:$S$175,19,FALSE),"-")</f>
        <v>-</v>
      </c>
    </row>
    <row r="74" spans="1:29" ht="15" customHeight="1" thickBot="1" x14ac:dyDescent="0.4">
      <c r="A74" s="95" t="str">
        <f>rengøring!A74</f>
        <v>onsdag</v>
      </c>
      <c r="B74" s="93">
        <v>46575</v>
      </c>
      <c r="C74" s="10"/>
      <c r="D74" s="96" t="str">
        <f>IF(booking!AB74&gt;0,"Y","-")</f>
        <v>-</v>
      </c>
      <c r="E74" s="102" t="str">
        <f>IF(AND(D74="Y",booking!D74&lt;&gt;booking!E74,booking!E74&gt;0),booking!E74,"-")</f>
        <v>-</v>
      </c>
      <c r="F74" s="86" t="str">
        <f>IFERROR(VLOOKUP(E74,Database!$A$2:$L$175,8,FALSE),"-")</f>
        <v>-</v>
      </c>
      <c r="G74" s="86" t="str">
        <f>IFERROR(VLOOKUP(E74,Database!$A$2:$L$175,6,FALSE),"-")</f>
        <v>-</v>
      </c>
      <c r="H74" s="100" t="str">
        <f>IFERROR(VLOOKUP(E74,Database!$A$2:$L$175,9,FALSE),"-")</f>
        <v>-</v>
      </c>
      <c r="I74" s="120" t="str">
        <f>IFERROR(VLOOKUP(E74,Database!$A$2:$S$175,19,FALSE),"-")</f>
        <v>-</v>
      </c>
      <c r="J74" s="103" t="str">
        <f>IF(AND(D74="Y",booking!H74&lt;&gt;booking!I74,booking!I74&gt;0),booking!I74,"-")</f>
        <v>-</v>
      </c>
      <c r="K74" s="86" t="str">
        <f>IFERROR(VLOOKUP(J74,Database!$A$2:$L$175,8,FALSE),"-")</f>
        <v>-</v>
      </c>
      <c r="L74" s="86" t="str">
        <f>IFERROR(VLOOKUP(J74,Database!$A$2:$L$175,6,FALSE),"-")</f>
        <v>-</v>
      </c>
      <c r="M74" s="100" t="str">
        <f>IFERROR(VLOOKUP(J74,Database!$A$2:$L$175,9,FALSE),"-")</f>
        <v>-</v>
      </c>
      <c r="N74" s="152" t="str">
        <f>IFERROR(VLOOKUP(J74,Database!$A$2:$S$175,19,FALSE),"-")</f>
        <v>-</v>
      </c>
      <c r="O74" s="103" t="str">
        <f>IF(AND(D74="Y",booking!L74&lt;&gt;booking!M74,booking!M74&gt;0),booking!M74,"-")</f>
        <v>-</v>
      </c>
      <c r="P74" s="86" t="str">
        <f>IFERROR(VLOOKUP(O74,Database!$A$2:$L$175,8,FALSE),"-")</f>
        <v>-</v>
      </c>
      <c r="Q74" s="86" t="str">
        <f>IFERROR(VLOOKUP(O74,Database!$A$2:$L$175,6,FALSE),"-")</f>
        <v>-</v>
      </c>
      <c r="R74" s="90" t="str">
        <f>IFERROR(VLOOKUP(O74,Database!$A$2:$L$175,9,FALSE),"-")</f>
        <v>-</v>
      </c>
      <c r="S74" s="152" t="str">
        <f>IFERROR(VLOOKUP(O74,Database!$A$2:$S$175,19,FALSE),"-")</f>
        <v>-</v>
      </c>
      <c r="T74" s="104" t="str">
        <f>IF(AND(D74="Y",booking!P74&lt;&gt;booking!Q74,booking!Q74&gt;0),booking!Q74,"-")</f>
        <v>-</v>
      </c>
      <c r="U74" s="86" t="str">
        <f>IFERROR(VLOOKUP(T74,Database!$A$2:$L$175,8,FALSE),"-")</f>
        <v>-</v>
      </c>
      <c r="V74" s="86" t="str">
        <f>IFERROR(VLOOKUP(T74,Database!$A$2:$L$175,6,FALSE),"-")</f>
        <v>-</v>
      </c>
      <c r="W74" s="90" t="str">
        <f>IFERROR(VLOOKUP(T74,Database!$A$2:$L$175,9,FALSE),"-")</f>
        <v>-</v>
      </c>
      <c r="X74" s="152" t="str">
        <f>IFERROR(VLOOKUP(T74,Database!$A$2:$S$175,19,FALSE),"-")</f>
        <v>-</v>
      </c>
      <c r="Y74" s="103" t="str">
        <f>IF(AND(D74="Y",booking!T74&lt;&gt;booking!U74,booking!U74&gt;0),booking!U74,"-")</f>
        <v>-</v>
      </c>
      <c r="Z74" s="87" t="str">
        <f>IFERROR(VLOOKUP(Y74,Database!$A$2:$L$175,8,FALSE),"-")</f>
        <v>-</v>
      </c>
      <c r="AA74" s="87" t="str">
        <f>IFERROR(VLOOKUP(Y74,Database!$A$2:$L$175,6,FALSE),"-")</f>
        <v>-</v>
      </c>
      <c r="AB74" s="99" t="str">
        <f>IFERROR(VLOOKUP(Y74,Database!$A$2:$L$175,9,FALSE),"-")</f>
        <v>-</v>
      </c>
      <c r="AC74" s="9" t="str">
        <f>IFERROR(VLOOKUP(Y74,Database!$A$2:$S$175,19,FALSE),"-")</f>
        <v>-</v>
      </c>
    </row>
    <row r="75" spans="1:29" ht="15" customHeight="1" thickBot="1" x14ac:dyDescent="0.4">
      <c r="A75" s="95" t="str">
        <f>rengøring!A75</f>
        <v>torsdag</v>
      </c>
      <c r="B75" s="93">
        <v>46576</v>
      </c>
      <c r="C75" s="10"/>
      <c r="D75" s="96" t="str">
        <f>IF(booking!AB75&gt;0,"Y","-")</f>
        <v>-</v>
      </c>
      <c r="E75" s="102" t="str">
        <f>IF(AND(D75="Y",booking!D75&lt;&gt;booking!E75,booking!E75&gt;0),booking!E75,"-")</f>
        <v>-</v>
      </c>
      <c r="F75" s="86" t="str">
        <f>IFERROR(VLOOKUP(E75,Database!$A$2:$L$175,8,FALSE),"-")</f>
        <v>-</v>
      </c>
      <c r="G75" s="86" t="str">
        <f>IFERROR(VLOOKUP(E75,Database!$A$2:$L$175,6,FALSE),"-")</f>
        <v>-</v>
      </c>
      <c r="H75" s="100" t="str">
        <f>IFERROR(VLOOKUP(E75,Database!$A$2:$L$175,9,FALSE),"-")</f>
        <v>-</v>
      </c>
      <c r="I75" s="120" t="str">
        <f>IFERROR(VLOOKUP(E75,Database!$A$2:$S$175,19,FALSE),"-")</f>
        <v>-</v>
      </c>
      <c r="J75" s="103" t="str">
        <f>IF(AND(D75="Y",booking!H75&lt;&gt;booking!I75,booking!I75&gt;0),booking!I75,"-")</f>
        <v>-</v>
      </c>
      <c r="K75" s="86" t="str">
        <f>IFERROR(VLOOKUP(J75,Database!$A$2:$L$175,8,FALSE),"-")</f>
        <v>-</v>
      </c>
      <c r="L75" s="86" t="str">
        <f>IFERROR(VLOOKUP(J75,Database!$A$2:$L$175,6,FALSE),"-")</f>
        <v>-</v>
      </c>
      <c r="M75" s="100" t="str">
        <f>IFERROR(VLOOKUP(J75,Database!$A$2:$L$175,9,FALSE),"-")</f>
        <v>-</v>
      </c>
      <c r="N75" s="152" t="str">
        <f>IFERROR(VLOOKUP(J75,Database!$A$2:$S$175,19,FALSE),"-")</f>
        <v>-</v>
      </c>
      <c r="O75" s="103" t="str">
        <f>IF(AND(D75="Y",booking!L75&lt;&gt;booking!M75,booking!M75&gt;0),booking!M75,"-")</f>
        <v>-</v>
      </c>
      <c r="P75" s="86" t="str">
        <f>IFERROR(VLOOKUP(O75,Database!$A$2:$L$175,8,FALSE),"-")</f>
        <v>-</v>
      </c>
      <c r="Q75" s="86" t="str">
        <f>IFERROR(VLOOKUP(O75,Database!$A$2:$L$175,6,FALSE),"-")</f>
        <v>-</v>
      </c>
      <c r="R75" s="90" t="str">
        <f>IFERROR(VLOOKUP(O75,Database!$A$2:$L$175,9,FALSE),"-")</f>
        <v>-</v>
      </c>
      <c r="S75" s="152" t="str">
        <f>IFERROR(VLOOKUP(O75,Database!$A$2:$S$175,19,FALSE),"-")</f>
        <v>-</v>
      </c>
      <c r="T75" s="104" t="str">
        <f>IF(AND(D75="Y",booking!P75&lt;&gt;booking!Q75,booking!Q75&gt;0),booking!Q75,"-")</f>
        <v>-</v>
      </c>
      <c r="U75" s="86" t="str">
        <f>IFERROR(VLOOKUP(T75,Database!$A$2:$L$175,8,FALSE),"-")</f>
        <v>-</v>
      </c>
      <c r="V75" s="86" t="str">
        <f>IFERROR(VLOOKUP(T75,Database!$A$2:$L$175,6,FALSE),"-")</f>
        <v>-</v>
      </c>
      <c r="W75" s="90" t="str">
        <f>IFERROR(VLOOKUP(T75,Database!$A$2:$L$175,9,FALSE),"-")</f>
        <v>-</v>
      </c>
      <c r="X75" s="152" t="str">
        <f>IFERROR(VLOOKUP(T75,Database!$A$2:$S$175,19,FALSE),"-")</f>
        <v>-</v>
      </c>
      <c r="Y75" s="103" t="str">
        <f>IF(AND(D75="Y",booking!T75&lt;&gt;booking!U75,booking!U75&gt;0),booking!U75,"-")</f>
        <v>-</v>
      </c>
      <c r="Z75" s="87" t="str">
        <f>IFERROR(VLOOKUP(Y75,Database!$A$2:$L$175,8,FALSE),"-")</f>
        <v>-</v>
      </c>
      <c r="AA75" s="87" t="str">
        <f>IFERROR(VLOOKUP(Y75,Database!$A$2:$L$175,6,FALSE),"-")</f>
        <v>-</v>
      </c>
      <c r="AB75" s="99" t="str">
        <f>IFERROR(VLOOKUP(Y75,Database!$A$2:$L$175,9,FALSE),"-")</f>
        <v>-</v>
      </c>
      <c r="AC75" s="9" t="str">
        <f>IFERROR(VLOOKUP(Y75,Database!$A$2:$S$175,19,FALSE),"-")</f>
        <v>-</v>
      </c>
    </row>
    <row r="76" spans="1:29" ht="15" customHeight="1" thickBot="1" x14ac:dyDescent="0.4">
      <c r="A76" s="95" t="str">
        <f>rengøring!A76</f>
        <v>fredag</v>
      </c>
      <c r="B76" s="93">
        <v>46577</v>
      </c>
      <c r="C76" s="10"/>
      <c r="D76" s="96" t="str">
        <f>IF(booking!AB76&gt;0,"Y","-")</f>
        <v>-</v>
      </c>
      <c r="E76" s="102" t="str">
        <f>IF(AND(D76="Y",booking!D76&lt;&gt;booking!E76,booking!E76&gt;0),booking!E76,"-")</f>
        <v>-</v>
      </c>
      <c r="F76" s="86" t="str">
        <f>IFERROR(VLOOKUP(E76,Database!$A$2:$L$175,8,FALSE),"-")</f>
        <v>-</v>
      </c>
      <c r="G76" s="86" t="str">
        <f>IFERROR(VLOOKUP(E76,Database!$A$2:$L$175,6,FALSE),"-")</f>
        <v>-</v>
      </c>
      <c r="H76" s="100" t="str">
        <f>IFERROR(VLOOKUP(E76,Database!$A$2:$L$175,9,FALSE),"-")</f>
        <v>-</v>
      </c>
      <c r="I76" s="120" t="str">
        <f>IFERROR(VLOOKUP(E76,Database!$A$2:$S$175,19,FALSE),"-")</f>
        <v>-</v>
      </c>
      <c r="J76" s="103" t="str">
        <f>IF(AND(D76="Y",booking!H76&lt;&gt;booking!I76,booking!I76&gt;0),booking!I76,"-")</f>
        <v>-</v>
      </c>
      <c r="K76" s="86" t="str">
        <f>IFERROR(VLOOKUP(J76,Database!$A$2:$L$175,8,FALSE),"-")</f>
        <v>-</v>
      </c>
      <c r="L76" s="86" t="str">
        <f>IFERROR(VLOOKUP(J76,Database!$A$2:$L$175,6,FALSE),"-")</f>
        <v>-</v>
      </c>
      <c r="M76" s="100" t="str">
        <f>IFERROR(VLOOKUP(J76,Database!$A$2:$L$175,9,FALSE),"-")</f>
        <v>-</v>
      </c>
      <c r="N76" s="152" t="str">
        <f>IFERROR(VLOOKUP(J76,Database!$A$2:$S$175,19,FALSE),"-")</f>
        <v>-</v>
      </c>
      <c r="O76" s="103" t="str">
        <f>IF(AND(D76="Y",booking!L76&lt;&gt;booking!M76,booking!M76&gt;0),booking!M76,"-")</f>
        <v>-</v>
      </c>
      <c r="P76" s="86" t="str">
        <f>IFERROR(VLOOKUP(O76,Database!$A$2:$L$175,8,FALSE),"-")</f>
        <v>-</v>
      </c>
      <c r="Q76" s="86" t="str">
        <f>IFERROR(VLOOKUP(O76,Database!$A$2:$L$175,6,FALSE),"-")</f>
        <v>-</v>
      </c>
      <c r="R76" s="90" t="str">
        <f>IFERROR(VLOOKUP(O76,Database!$A$2:$L$175,9,FALSE),"-")</f>
        <v>-</v>
      </c>
      <c r="S76" s="152" t="str">
        <f>IFERROR(VLOOKUP(O76,Database!$A$2:$S$175,19,FALSE),"-")</f>
        <v>-</v>
      </c>
      <c r="T76" s="104" t="str">
        <f>IF(AND(D76="Y",booking!P76&lt;&gt;booking!Q76,booking!Q76&gt;0),booking!Q76,"-")</f>
        <v>-</v>
      </c>
      <c r="U76" s="86" t="str">
        <f>IFERROR(VLOOKUP(T76,Database!$A$2:$L$175,8,FALSE),"-")</f>
        <v>-</v>
      </c>
      <c r="V76" s="86" t="str">
        <f>IFERROR(VLOOKUP(T76,Database!$A$2:$L$175,6,FALSE),"-")</f>
        <v>-</v>
      </c>
      <c r="W76" s="90" t="str">
        <f>IFERROR(VLOOKUP(T76,Database!$A$2:$L$175,9,FALSE),"-")</f>
        <v>-</v>
      </c>
      <c r="X76" s="152" t="str">
        <f>IFERROR(VLOOKUP(T76,Database!$A$2:$S$175,19,FALSE),"-")</f>
        <v>-</v>
      </c>
      <c r="Y76" s="103" t="str">
        <f>IF(AND(D76="Y",booking!T76&lt;&gt;booking!U76,booking!U76&gt;0),booking!U76,"-")</f>
        <v>-</v>
      </c>
      <c r="Z76" s="87" t="str">
        <f>IFERROR(VLOOKUP(Y76,Database!$A$2:$L$175,8,FALSE),"-")</f>
        <v>-</v>
      </c>
      <c r="AA76" s="87" t="str">
        <f>IFERROR(VLOOKUP(Y76,Database!$A$2:$L$175,6,FALSE),"-")</f>
        <v>-</v>
      </c>
      <c r="AB76" s="99" t="str">
        <f>IFERROR(VLOOKUP(Y76,Database!$A$2:$L$175,9,FALSE),"-")</f>
        <v>-</v>
      </c>
      <c r="AC76" s="9" t="str">
        <f>IFERROR(VLOOKUP(Y76,Database!$A$2:$S$175,19,FALSE),"-")</f>
        <v>-</v>
      </c>
    </row>
    <row r="77" spans="1:29" ht="15" customHeight="1" thickBot="1" x14ac:dyDescent="0.4">
      <c r="A77" s="95" t="str">
        <f>rengøring!A77</f>
        <v>lørdag</v>
      </c>
      <c r="B77" s="93">
        <v>46578</v>
      </c>
      <c r="C77" s="10"/>
      <c r="D77" s="96" t="str">
        <f>IF(booking!AB77&gt;0,"Y","-")</f>
        <v>-</v>
      </c>
      <c r="E77" s="102" t="str">
        <f>IF(AND(D77="Y",booking!D77&lt;&gt;booking!E77,booking!E77&gt;0),booking!E77,"-")</f>
        <v>-</v>
      </c>
      <c r="F77" s="86" t="str">
        <f>IFERROR(VLOOKUP(E77,Database!$A$2:$L$175,8,FALSE),"-")</f>
        <v>-</v>
      </c>
      <c r="G77" s="86" t="str">
        <f>IFERROR(VLOOKUP(E77,Database!$A$2:$L$175,6,FALSE),"-")</f>
        <v>-</v>
      </c>
      <c r="H77" s="100" t="str">
        <f>IFERROR(VLOOKUP(E77,Database!$A$2:$L$175,9,FALSE),"-")</f>
        <v>-</v>
      </c>
      <c r="I77" s="120" t="str">
        <f>IFERROR(VLOOKUP(E77,Database!$A$2:$S$175,19,FALSE),"-")</f>
        <v>-</v>
      </c>
      <c r="J77" s="103" t="str">
        <f>IF(AND(D77="Y",booking!H77&lt;&gt;booking!I77,booking!I77&gt;0),booking!I77,"-")</f>
        <v>-</v>
      </c>
      <c r="K77" s="86" t="str">
        <f>IFERROR(VLOOKUP(J77,Database!$A$2:$L$175,8,FALSE),"-")</f>
        <v>-</v>
      </c>
      <c r="L77" s="86" t="str">
        <f>IFERROR(VLOOKUP(J77,Database!$A$2:$L$175,6,FALSE),"-")</f>
        <v>-</v>
      </c>
      <c r="M77" s="100" t="str">
        <f>IFERROR(VLOOKUP(J77,Database!$A$2:$L$175,9,FALSE),"-")</f>
        <v>-</v>
      </c>
      <c r="N77" s="152" t="str">
        <f>IFERROR(VLOOKUP(J77,Database!$A$2:$S$175,19,FALSE),"-")</f>
        <v>-</v>
      </c>
      <c r="O77" s="103" t="str">
        <f>IF(AND(D77="Y",booking!L77&lt;&gt;booking!M77,booking!M77&gt;0),booking!M77,"-")</f>
        <v>-</v>
      </c>
      <c r="P77" s="86" t="str">
        <f>IFERROR(VLOOKUP(O77,Database!$A$2:$L$175,8,FALSE),"-")</f>
        <v>-</v>
      </c>
      <c r="Q77" s="86" t="str">
        <f>IFERROR(VLOOKUP(O77,Database!$A$2:$L$175,6,FALSE),"-")</f>
        <v>-</v>
      </c>
      <c r="R77" s="90" t="str">
        <f>IFERROR(VLOOKUP(O77,Database!$A$2:$L$175,9,FALSE),"-")</f>
        <v>-</v>
      </c>
      <c r="S77" s="152" t="str">
        <f>IFERROR(VLOOKUP(O77,Database!$A$2:$S$175,19,FALSE),"-")</f>
        <v>-</v>
      </c>
      <c r="T77" s="104" t="str">
        <f>IF(AND(D77="Y",booking!P77&lt;&gt;booking!Q77,booking!Q77&gt;0),booking!Q77,"-")</f>
        <v>-</v>
      </c>
      <c r="U77" s="86" t="str">
        <f>IFERROR(VLOOKUP(T77,Database!$A$2:$L$175,8,FALSE),"-")</f>
        <v>-</v>
      </c>
      <c r="V77" s="86" t="str">
        <f>IFERROR(VLOOKUP(T77,Database!$A$2:$L$175,6,FALSE),"-")</f>
        <v>-</v>
      </c>
      <c r="W77" s="90" t="str">
        <f>IFERROR(VLOOKUP(T77,Database!$A$2:$L$175,9,FALSE),"-")</f>
        <v>-</v>
      </c>
      <c r="X77" s="152" t="str">
        <f>IFERROR(VLOOKUP(T77,Database!$A$2:$S$175,19,FALSE),"-")</f>
        <v>-</v>
      </c>
      <c r="Y77" s="103" t="str">
        <f>IF(AND(D77="Y",booking!T77&lt;&gt;booking!U77,booking!U77&gt;0),booking!U77,"-")</f>
        <v>-</v>
      </c>
      <c r="Z77" s="87" t="str">
        <f>IFERROR(VLOOKUP(Y77,Database!$A$2:$L$175,8,FALSE),"-")</f>
        <v>-</v>
      </c>
      <c r="AA77" s="87" t="str">
        <f>IFERROR(VLOOKUP(Y77,Database!$A$2:$L$175,6,FALSE),"-")</f>
        <v>-</v>
      </c>
      <c r="AB77" s="99" t="str">
        <f>IFERROR(VLOOKUP(Y77,Database!$A$2:$L$175,9,FALSE),"-")</f>
        <v>-</v>
      </c>
      <c r="AC77" s="9" t="str">
        <f>IFERROR(VLOOKUP(Y77,Database!$A$2:$S$175,19,FALSE),"-")</f>
        <v>-</v>
      </c>
    </row>
    <row r="78" spans="1:29" ht="15" customHeight="1" thickBot="1" x14ac:dyDescent="0.4">
      <c r="A78" s="95" t="str">
        <f>rengøring!A78</f>
        <v>søndag</v>
      </c>
      <c r="B78" s="93">
        <v>46579</v>
      </c>
      <c r="C78" s="10"/>
      <c r="D78" s="96" t="str">
        <f>IF(booking!AB78&gt;0,"Y","-")</f>
        <v>-</v>
      </c>
      <c r="E78" s="102" t="str">
        <f>IF(AND(D78="Y",booking!D78&lt;&gt;booking!E78,booking!E78&gt;0),booking!E78,"-")</f>
        <v>-</v>
      </c>
      <c r="F78" s="86" t="str">
        <f>IFERROR(VLOOKUP(E78,Database!$A$2:$L$175,8,FALSE),"-")</f>
        <v>-</v>
      </c>
      <c r="G78" s="86" t="str">
        <f>IFERROR(VLOOKUP(E78,Database!$A$2:$L$175,6,FALSE),"-")</f>
        <v>-</v>
      </c>
      <c r="H78" s="100" t="str">
        <f>IFERROR(VLOOKUP(E78,Database!$A$2:$L$175,9,FALSE),"-")</f>
        <v>-</v>
      </c>
      <c r="I78" s="120" t="str">
        <f>IFERROR(VLOOKUP(E78,Database!$A$2:$S$175,19,FALSE),"-")</f>
        <v>-</v>
      </c>
      <c r="J78" s="103" t="str">
        <f>IF(AND(D78="Y",booking!H78&lt;&gt;booking!I78,booking!I78&gt;0),booking!I78,"-")</f>
        <v>-</v>
      </c>
      <c r="K78" s="86" t="str">
        <f>IFERROR(VLOOKUP(J78,Database!$A$2:$L$175,8,FALSE),"-")</f>
        <v>-</v>
      </c>
      <c r="L78" s="86" t="str">
        <f>IFERROR(VLOOKUP(J78,Database!$A$2:$L$175,6,FALSE),"-")</f>
        <v>-</v>
      </c>
      <c r="M78" s="100" t="str">
        <f>IFERROR(VLOOKUP(J78,Database!$A$2:$L$175,9,FALSE),"-")</f>
        <v>-</v>
      </c>
      <c r="N78" s="152" t="str">
        <f>IFERROR(VLOOKUP(J78,Database!$A$2:$S$175,19,FALSE),"-")</f>
        <v>-</v>
      </c>
      <c r="O78" s="103" t="str">
        <f>IF(AND(D78="Y",booking!L78&lt;&gt;booking!M78,booking!M78&gt;0),booking!M78,"-")</f>
        <v>-</v>
      </c>
      <c r="P78" s="86" t="str">
        <f>IFERROR(VLOOKUP(O78,Database!$A$2:$L$175,8,FALSE),"-")</f>
        <v>-</v>
      </c>
      <c r="Q78" s="86" t="str">
        <f>IFERROR(VLOOKUP(O78,Database!$A$2:$L$175,6,FALSE),"-")</f>
        <v>-</v>
      </c>
      <c r="R78" s="90" t="str">
        <f>IFERROR(VLOOKUP(O78,Database!$A$2:$L$175,9,FALSE),"-")</f>
        <v>-</v>
      </c>
      <c r="S78" s="152" t="str">
        <f>IFERROR(VLOOKUP(O78,Database!$A$2:$S$175,19,FALSE),"-")</f>
        <v>-</v>
      </c>
      <c r="T78" s="104" t="str">
        <f>IF(AND(D78="Y",booking!P78&lt;&gt;booking!Q78,booking!Q78&gt;0),booking!Q78,"-")</f>
        <v>-</v>
      </c>
      <c r="U78" s="86" t="str">
        <f>IFERROR(VLOOKUP(T78,Database!$A$2:$L$175,8,FALSE),"-")</f>
        <v>-</v>
      </c>
      <c r="V78" s="86" t="str">
        <f>IFERROR(VLOOKUP(T78,Database!$A$2:$L$175,6,FALSE),"-")</f>
        <v>-</v>
      </c>
      <c r="W78" s="90" t="str">
        <f>IFERROR(VLOOKUP(T78,Database!$A$2:$L$175,9,FALSE),"-")</f>
        <v>-</v>
      </c>
      <c r="X78" s="152" t="str">
        <f>IFERROR(VLOOKUP(T78,Database!$A$2:$S$175,19,FALSE),"-")</f>
        <v>-</v>
      </c>
      <c r="Y78" s="103" t="str">
        <f>IF(AND(D78="Y",booking!T78&lt;&gt;booking!U78,booking!U78&gt;0),booking!U78,"-")</f>
        <v>-</v>
      </c>
      <c r="Z78" s="87" t="str">
        <f>IFERROR(VLOOKUP(Y78,Database!$A$2:$L$175,8,FALSE),"-")</f>
        <v>-</v>
      </c>
      <c r="AA78" s="87" t="str">
        <f>IFERROR(VLOOKUP(Y78,Database!$A$2:$L$175,6,FALSE),"-")</f>
        <v>-</v>
      </c>
      <c r="AB78" s="99" t="str">
        <f>IFERROR(VLOOKUP(Y78,Database!$A$2:$L$175,9,FALSE),"-")</f>
        <v>-</v>
      </c>
      <c r="AC78" s="9" t="str">
        <f>IFERROR(VLOOKUP(Y78,Database!$A$2:$S$175,19,FALSE),"-")</f>
        <v>-</v>
      </c>
    </row>
    <row r="79" spans="1:29" ht="15" customHeight="1" thickBot="1" x14ac:dyDescent="0.4">
      <c r="A79" s="95" t="str">
        <f>rengøring!A79</f>
        <v>mandag</v>
      </c>
      <c r="B79" s="93">
        <v>46580</v>
      </c>
      <c r="C79" s="10"/>
      <c r="D79" s="96" t="str">
        <f>IF(booking!AB79&gt;0,"Y","-")</f>
        <v>-</v>
      </c>
      <c r="E79" s="102" t="str">
        <f>IF(AND(D79="Y",booking!D79&lt;&gt;booking!E79,booking!E79&gt;0),booking!E79,"-")</f>
        <v>-</v>
      </c>
      <c r="F79" s="86" t="str">
        <f>IFERROR(VLOOKUP(E79,Database!$A$2:$L$175,8,FALSE),"-")</f>
        <v>-</v>
      </c>
      <c r="G79" s="86" t="str">
        <f>IFERROR(VLOOKUP(E79,Database!$A$2:$L$175,6,FALSE),"-")</f>
        <v>-</v>
      </c>
      <c r="H79" s="100" t="str">
        <f>IFERROR(VLOOKUP(E79,Database!$A$2:$L$175,9,FALSE),"-")</f>
        <v>-</v>
      </c>
      <c r="I79" s="120" t="str">
        <f>IFERROR(VLOOKUP(E79,Database!$A$2:$S$175,19,FALSE),"-")</f>
        <v>-</v>
      </c>
      <c r="J79" s="103" t="str">
        <f>IF(AND(D79="Y",booking!H79&lt;&gt;booking!I79,booking!I79&gt;0),booking!I79,"-")</f>
        <v>-</v>
      </c>
      <c r="K79" s="86" t="str">
        <f>IFERROR(VLOOKUP(J79,Database!$A$2:$L$175,8,FALSE),"-")</f>
        <v>-</v>
      </c>
      <c r="L79" s="86" t="str">
        <f>IFERROR(VLOOKUP(J79,Database!$A$2:$L$175,6,FALSE),"-")</f>
        <v>-</v>
      </c>
      <c r="M79" s="100" t="str">
        <f>IFERROR(VLOOKUP(J79,Database!$A$2:$L$175,9,FALSE),"-")</f>
        <v>-</v>
      </c>
      <c r="N79" s="152" t="str">
        <f>IFERROR(VLOOKUP(J79,Database!$A$2:$S$175,19,FALSE),"-")</f>
        <v>-</v>
      </c>
      <c r="O79" s="103" t="str">
        <f>IF(AND(D79="Y",booking!L79&lt;&gt;booking!M79,booking!M79&gt;0),booking!M79,"-")</f>
        <v>-</v>
      </c>
      <c r="P79" s="86" t="str">
        <f>IFERROR(VLOOKUP(O79,Database!$A$2:$L$175,8,FALSE),"-")</f>
        <v>-</v>
      </c>
      <c r="Q79" s="86" t="str">
        <f>IFERROR(VLOOKUP(O79,Database!$A$2:$L$175,6,FALSE),"-")</f>
        <v>-</v>
      </c>
      <c r="R79" s="90" t="str">
        <f>IFERROR(VLOOKUP(O79,Database!$A$2:$L$175,9,FALSE),"-")</f>
        <v>-</v>
      </c>
      <c r="S79" s="152" t="str">
        <f>IFERROR(VLOOKUP(O79,Database!$A$2:$S$175,19,FALSE),"-")</f>
        <v>-</v>
      </c>
      <c r="T79" s="104" t="str">
        <f>IF(AND(D79="Y",booking!P79&lt;&gt;booking!Q79,booking!Q79&gt;0),booking!Q79,"-")</f>
        <v>-</v>
      </c>
      <c r="U79" s="86" t="str">
        <f>IFERROR(VLOOKUP(T79,Database!$A$2:$L$175,8,FALSE),"-")</f>
        <v>-</v>
      </c>
      <c r="V79" s="86" t="str">
        <f>IFERROR(VLOOKUP(T79,Database!$A$2:$L$175,6,FALSE),"-")</f>
        <v>-</v>
      </c>
      <c r="W79" s="90" t="str">
        <f>IFERROR(VLOOKUP(T79,Database!$A$2:$L$175,9,FALSE),"-")</f>
        <v>-</v>
      </c>
      <c r="X79" s="152" t="str">
        <f>IFERROR(VLOOKUP(T79,Database!$A$2:$S$175,19,FALSE),"-")</f>
        <v>-</v>
      </c>
      <c r="Y79" s="103" t="str">
        <f>IF(AND(D79="Y",booking!T79&lt;&gt;booking!U79,booking!U79&gt;0),booking!U79,"-")</f>
        <v>-</v>
      </c>
      <c r="Z79" s="87" t="str">
        <f>IFERROR(VLOOKUP(Y79,Database!$A$2:$L$175,8,FALSE),"-")</f>
        <v>-</v>
      </c>
      <c r="AA79" s="87" t="str">
        <f>IFERROR(VLOOKUP(Y79,Database!$A$2:$L$175,6,FALSE),"-")</f>
        <v>-</v>
      </c>
      <c r="AB79" s="99" t="str">
        <f>IFERROR(VLOOKUP(Y79,Database!$A$2:$L$175,9,FALSE),"-")</f>
        <v>-</v>
      </c>
      <c r="AC79" s="9" t="str">
        <f>IFERROR(VLOOKUP(Y79,Database!$A$2:$S$175,19,FALSE),"-")</f>
        <v>-</v>
      </c>
    </row>
    <row r="80" spans="1:29" ht="15" customHeight="1" thickBot="1" x14ac:dyDescent="0.4">
      <c r="A80" s="95" t="str">
        <f>rengøring!A80</f>
        <v>tirsdag</v>
      </c>
      <c r="B80" s="93">
        <v>46581</v>
      </c>
      <c r="C80" s="10"/>
      <c r="D80" s="96" t="str">
        <f>IF(booking!AB80&gt;0,"Y","-")</f>
        <v>-</v>
      </c>
      <c r="E80" s="102" t="str">
        <f>IF(AND(D80="Y",booking!D80&lt;&gt;booking!E80,booking!E80&gt;0),booking!E80,"-")</f>
        <v>-</v>
      </c>
      <c r="F80" s="86" t="str">
        <f>IFERROR(VLOOKUP(E80,Database!$A$2:$L$175,8,FALSE),"-")</f>
        <v>-</v>
      </c>
      <c r="G80" s="86" t="str">
        <f>IFERROR(VLOOKUP(E80,Database!$A$2:$L$175,6,FALSE),"-")</f>
        <v>-</v>
      </c>
      <c r="H80" s="100" t="str">
        <f>IFERROR(VLOOKUP(E80,Database!$A$2:$L$175,9,FALSE),"-")</f>
        <v>-</v>
      </c>
      <c r="I80" s="120" t="str">
        <f>IFERROR(VLOOKUP(E80,Database!$A$2:$S$175,19,FALSE),"-")</f>
        <v>-</v>
      </c>
      <c r="J80" s="103" t="str">
        <f>IF(AND(D80="Y",booking!H80&lt;&gt;booking!I80,booking!I80&gt;0),booking!I80,"-")</f>
        <v>-</v>
      </c>
      <c r="K80" s="86" t="str">
        <f>IFERROR(VLOOKUP(J80,Database!$A$2:$L$175,8,FALSE),"-")</f>
        <v>-</v>
      </c>
      <c r="L80" s="86" t="str">
        <f>IFERROR(VLOOKUP(J80,Database!$A$2:$L$175,6,FALSE),"-")</f>
        <v>-</v>
      </c>
      <c r="M80" s="100" t="str">
        <f>IFERROR(VLOOKUP(J80,Database!$A$2:$L$175,9,FALSE),"-")</f>
        <v>-</v>
      </c>
      <c r="N80" s="152" t="str">
        <f>IFERROR(VLOOKUP(J80,Database!$A$2:$S$175,19,FALSE),"-")</f>
        <v>-</v>
      </c>
      <c r="O80" s="103" t="str">
        <f>IF(AND(D80="Y",booking!L80&lt;&gt;booking!M80,booking!M80&gt;0),booking!M80,"-")</f>
        <v>-</v>
      </c>
      <c r="P80" s="86" t="str">
        <f>IFERROR(VLOOKUP(O80,Database!$A$2:$L$175,8,FALSE),"-")</f>
        <v>-</v>
      </c>
      <c r="Q80" s="86" t="str">
        <f>IFERROR(VLOOKUP(O80,Database!$A$2:$L$175,6,FALSE),"-")</f>
        <v>-</v>
      </c>
      <c r="R80" s="90" t="str">
        <f>IFERROR(VLOOKUP(O80,Database!$A$2:$L$175,9,FALSE),"-")</f>
        <v>-</v>
      </c>
      <c r="S80" s="152" t="str">
        <f>IFERROR(VLOOKUP(O80,Database!$A$2:$S$175,19,FALSE),"-")</f>
        <v>-</v>
      </c>
      <c r="T80" s="104" t="str">
        <f>IF(AND(D80="Y",booking!P80&lt;&gt;booking!Q80,booking!Q80&gt;0),booking!Q80,"-")</f>
        <v>-</v>
      </c>
      <c r="U80" s="86" t="str">
        <f>IFERROR(VLOOKUP(T80,Database!$A$2:$L$175,8,FALSE),"-")</f>
        <v>-</v>
      </c>
      <c r="V80" s="86" t="str">
        <f>IFERROR(VLOOKUP(T80,Database!$A$2:$L$175,6,FALSE),"-")</f>
        <v>-</v>
      </c>
      <c r="W80" s="90" t="str">
        <f>IFERROR(VLOOKUP(T80,Database!$A$2:$L$175,9,FALSE),"-")</f>
        <v>-</v>
      </c>
      <c r="X80" s="152" t="str">
        <f>IFERROR(VLOOKUP(T80,Database!$A$2:$S$175,19,FALSE),"-")</f>
        <v>-</v>
      </c>
      <c r="Y80" s="103" t="str">
        <f>IF(AND(D80="Y",booking!T80&lt;&gt;booking!U80,booking!U80&gt;0),booking!U80,"-")</f>
        <v>-</v>
      </c>
      <c r="Z80" s="87" t="str">
        <f>IFERROR(VLOOKUP(Y80,Database!$A$2:$L$175,8,FALSE),"-")</f>
        <v>-</v>
      </c>
      <c r="AA80" s="87" t="str">
        <f>IFERROR(VLOOKUP(Y80,Database!$A$2:$L$175,6,FALSE),"-")</f>
        <v>-</v>
      </c>
      <c r="AB80" s="99" t="str">
        <f>IFERROR(VLOOKUP(Y80,Database!$A$2:$L$175,9,FALSE),"-")</f>
        <v>-</v>
      </c>
      <c r="AC80" s="9" t="str">
        <f>IFERROR(VLOOKUP(Y80,Database!$A$2:$S$175,19,FALSE),"-")</f>
        <v>-</v>
      </c>
    </row>
    <row r="81" spans="1:29" ht="15" customHeight="1" thickBot="1" x14ac:dyDescent="0.4">
      <c r="A81" s="95" t="str">
        <f>rengøring!A81</f>
        <v>onsdag</v>
      </c>
      <c r="B81" s="93">
        <v>46582</v>
      </c>
      <c r="C81" s="10"/>
      <c r="D81" s="96" t="str">
        <f>IF(booking!AB81&gt;0,"Y","-")</f>
        <v>-</v>
      </c>
      <c r="E81" s="102" t="str">
        <f>IF(AND(D81="Y",booking!D81&lt;&gt;booking!E81,booking!E81&gt;0),booking!E81,"-")</f>
        <v>-</v>
      </c>
      <c r="F81" s="86" t="str">
        <f>IFERROR(VLOOKUP(E81,Database!$A$2:$L$175,8,FALSE),"-")</f>
        <v>-</v>
      </c>
      <c r="G81" s="86" t="str">
        <f>IFERROR(VLOOKUP(E81,Database!$A$2:$L$175,6,FALSE),"-")</f>
        <v>-</v>
      </c>
      <c r="H81" s="100" t="str">
        <f>IFERROR(VLOOKUP(E81,Database!$A$2:$L$175,9,FALSE),"-")</f>
        <v>-</v>
      </c>
      <c r="I81" s="120" t="str">
        <f>IFERROR(VLOOKUP(E81,Database!$A$2:$S$175,19,FALSE),"-")</f>
        <v>-</v>
      </c>
      <c r="J81" s="103" t="str">
        <f>IF(AND(D81="Y",booking!H81&lt;&gt;booking!I81,booking!I81&gt;0),booking!I81,"-")</f>
        <v>-</v>
      </c>
      <c r="K81" s="86" t="str">
        <f>IFERROR(VLOOKUP(J81,Database!$A$2:$L$175,8,FALSE),"-")</f>
        <v>-</v>
      </c>
      <c r="L81" s="86" t="str">
        <f>IFERROR(VLOOKUP(J81,Database!$A$2:$L$175,6,FALSE),"-")</f>
        <v>-</v>
      </c>
      <c r="M81" s="100" t="str">
        <f>IFERROR(VLOOKUP(J81,Database!$A$2:$L$175,9,FALSE),"-")</f>
        <v>-</v>
      </c>
      <c r="N81" s="152" t="str">
        <f>IFERROR(VLOOKUP(J81,Database!$A$2:$S$175,19,FALSE),"-")</f>
        <v>-</v>
      </c>
      <c r="O81" s="103" t="str">
        <f>IF(AND(D81="Y",booking!L81&lt;&gt;booking!M81,booking!M81&gt;0),booking!M81,"-")</f>
        <v>-</v>
      </c>
      <c r="P81" s="86" t="str">
        <f>IFERROR(VLOOKUP(O81,Database!$A$2:$L$175,8,FALSE),"-")</f>
        <v>-</v>
      </c>
      <c r="Q81" s="86" t="str">
        <f>IFERROR(VLOOKUP(O81,Database!$A$2:$L$175,6,FALSE),"-")</f>
        <v>-</v>
      </c>
      <c r="R81" s="90" t="str">
        <f>IFERROR(VLOOKUP(O81,Database!$A$2:$L$175,9,FALSE),"-")</f>
        <v>-</v>
      </c>
      <c r="S81" s="152" t="str">
        <f>IFERROR(VLOOKUP(O81,Database!$A$2:$S$175,19,FALSE),"-")</f>
        <v>-</v>
      </c>
      <c r="T81" s="104" t="str">
        <f>IF(AND(D81="Y",booking!P81&lt;&gt;booking!Q81,booking!Q81&gt;0),booking!Q81,"-")</f>
        <v>-</v>
      </c>
      <c r="U81" s="86" t="str">
        <f>IFERROR(VLOOKUP(T81,Database!$A$2:$L$175,8,FALSE),"-")</f>
        <v>-</v>
      </c>
      <c r="V81" s="86" t="str">
        <f>IFERROR(VLOOKUP(T81,Database!$A$2:$L$175,6,FALSE),"-")</f>
        <v>-</v>
      </c>
      <c r="W81" s="90" t="str">
        <f>IFERROR(VLOOKUP(T81,Database!$A$2:$L$175,9,FALSE),"-")</f>
        <v>-</v>
      </c>
      <c r="X81" s="152" t="str">
        <f>IFERROR(VLOOKUP(T81,Database!$A$2:$S$175,19,FALSE),"-")</f>
        <v>-</v>
      </c>
      <c r="Y81" s="103" t="str">
        <f>IF(AND(D81="Y",booking!T81&lt;&gt;booking!U81,booking!U81&gt;0),booking!U81,"-")</f>
        <v>-</v>
      </c>
      <c r="Z81" s="87" t="str">
        <f>IFERROR(VLOOKUP(Y81,Database!$A$2:$L$175,8,FALSE),"-")</f>
        <v>-</v>
      </c>
      <c r="AA81" s="87" t="str">
        <f>IFERROR(VLOOKUP(Y81,Database!$A$2:$L$175,6,FALSE),"-")</f>
        <v>-</v>
      </c>
      <c r="AB81" s="99" t="str">
        <f>IFERROR(VLOOKUP(Y81,Database!$A$2:$L$175,9,FALSE),"-")</f>
        <v>-</v>
      </c>
      <c r="AC81" s="9" t="str">
        <f>IFERROR(VLOOKUP(Y81,Database!$A$2:$S$175,19,FALSE),"-")</f>
        <v>-</v>
      </c>
    </row>
    <row r="82" spans="1:29" ht="15" customHeight="1" thickBot="1" x14ac:dyDescent="0.4">
      <c r="A82" s="95" t="str">
        <f>rengøring!A82</f>
        <v>torsdag</v>
      </c>
      <c r="B82" s="93">
        <v>46583</v>
      </c>
      <c r="C82" s="10"/>
      <c r="D82" s="96" t="str">
        <f>IF(booking!AB82&gt;0,"Y","-")</f>
        <v>-</v>
      </c>
      <c r="E82" s="102" t="str">
        <f>IF(AND(D82="Y",booking!D82&lt;&gt;booking!E82,booking!E82&gt;0),booking!E82,"-")</f>
        <v>-</v>
      </c>
      <c r="F82" s="86" t="str">
        <f>IFERROR(VLOOKUP(E82,Database!$A$2:$L$175,8,FALSE),"-")</f>
        <v>-</v>
      </c>
      <c r="G82" s="86" t="str">
        <f>IFERROR(VLOOKUP(E82,Database!$A$2:$L$175,6,FALSE),"-")</f>
        <v>-</v>
      </c>
      <c r="H82" s="100" t="str">
        <f>IFERROR(VLOOKUP(E82,Database!$A$2:$L$175,9,FALSE),"-")</f>
        <v>-</v>
      </c>
      <c r="I82" s="120" t="str">
        <f>IFERROR(VLOOKUP(E82,Database!$A$2:$S$175,19,FALSE),"-")</f>
        <v>-</v>
      </c>
      <c r="J82" s="103" t="str">
        <f>IF(AND(D82="Y",booking!H82&lt;&gt;booking!I82,booking!I82&gt;0),booking!I82,"-")</f>
        <v>-</v>
      </c>
      <c r="K82" s="86" t="str">
        <f>IFERROR(VLOOKUP(J82,Database!$A$2:$L$175,8,FALSE),"-")</f>
        <v>-</v>
      </c>
      <c r="L82" s="86" t="str">
        <f>IFERROR(VLOOKUP(J82,Database!$A$2:$L$175,6,FALSE),"-")</f>
        <v>-</v>
      </c>
      <c r="M82" s="100" t="str">
        <f>IFERROR(VLOOKUP(J82,Database!$A$2:$L$175,9,FALSE),"-")</f>
        <v>-</v>
      </c>
      <c r="N82" s="152" t="str">
        <f>IFERROR(VLOOKUP(J82,Database!$A$2:$S$175,19,FALSE),"-")</f>
        <v>-</v>
      </c>
      <c r="O82" s="103" t="str">
        <f>IF(AND(D82="Y",booking!L82&lt;&gt;booking!M82,booking!M82&gt;0),booking!M82,"-")</f>
        <v>-</v>
      </c>
      <c r="P82" s="86" t="str">
        <f>IFERROR(VLOOKUP(O82,Database!$A$2:$L$175,8,FALSE),"-")</f>
        <v>-</v>
      </c>
      <c r="Q82" s="86" t="str">
        <f>IFERROR(VLOOKUP(O82,Database!$A$2:$L$175,6,FALSE),"-")</f>
        <v>-</v>
      </c>
      <c r="R82" s="90" t="str">
        <f>IFERROR(VLOOKUP(O82,Database!$A$2:$L$175,9,FALSE),"-")</f>
        <v>-</v>
      </c>
      <c r="S82" s="152" t="str">
        <f>IFERROR(VLOOKUP(O82,Database!$A$2:$S$175,19,FALSE),"-")</f>
        <v>-</v>
      </c>
      <c r="T82" s="104" t="str">
        <f>IF(AND(D82="Y",booking!P82&lt;&gt;booking!Q82,booking!Q82&gt;0),booking!Q82,"-")</f>
        <v>-</v>
      </c>
      <c r="U82" s="86" t="str">
        <f>IFERROR(VLOOKUP(T82,Database!$A$2:$L$175,8,FALSE),"-")</f>
        <v>-</v>
      </c>
      <c r="V82" s="86" t="str">
        <f>IFERROR(VLOOKUP(T82,Database!$A$2:$L$175,6,FALSE),"-")</f>
        <v>-</v>
      </c>
      <c r="W82" s="90" t="str">
        <f>IFERROR(VLOOKUP(T82,Database!$A$2:$L$175,9,FALSE),"-")</f>
        <v>-</v>
      </c>
      <c r="X82" s="152" t="str">
        <f>IFERROR(VLOOKUP(T82,Database!$A$2:$S$175,19,FALSE),"-")</f>
        <v>-</v>
      </c>
      <c r="Y82" s="103" t="str">
        <f>IF(AND(D82="Y",booking!T82&lt;&gt;booking!U82,booking!U82&gt;0),booking!U82,"-")</f>
        <v>-</v>
      </c>
      <c r="Z82" s="87" t="str">
        <f>IFERROR(VLOOKUP(Y82,Database!$A$2:$L$175,8,FALSE),"-")</f>
        <v>-</v>
      </c>
      <c r="AA82" s="87" t="str">
        <f>IFERROR(VLOOKUP(Y82,Database!$A$2:$L$175,6,FALSE),"-")</f>
        <v>-</v>
      </c>
      <c r="AB82" s="99" t="str">
        <f>IFERROR(VLOOKUP(Y82,Database!$A$2:$L$175,9,FALSE),"-")</f>
        <v>-</v>
      </c>
      <c r="AC82" s="9" t="str">
        <f>IFERROR(VLOOKUP(Y82,Database!$A$2:$S$175,19,FALSE),"-")</f>
        <v>-</v>
      </c>
    </row>
    <row r="83" spans="1:29" ht="15" customHeight="1" thickBot="1" x14ac:dyDescent="0.4">
      <c r="A83" s="95" t="str">
        <f>rengøring!A83</f>
        <v>fredag</v>
      </c>
      <c r="B83" s="93">
        <v>46584</v>
      </c>
      <c r="C83" s="10"/>
      <c r="D83" s="96" t="str">
        <f>IF(booking!AB83&gt;0,"Y","-")</f>
        <v>-</v>
      </c>
      <c r="E83" s="102" t="str">
        <f>IF(AND(D83="Y",booking!D83&lt;&gt;booking!E83,booking!E83&gt;0),booking!E83,"-")</f>
        <v>-</v>
      </c>
      <c r="F83" s="86" t="str">
        <f>IFERROR(VLOOKUP(E83,Database!$A$2:$L$175,8,FALSE),"-")</f>
        <v>-</v>
      </c>
      <c r="G83" s="86" t="str">
        <f>IFERROR(VLOOKUP(E83,Database!$A$2:$L$175,6,FALSE),"-")</f>
        <v>-</v>
      </c>
      <c r="H83" s="100" t="str">
        <f>IFERROR(VLOOKUP(E83,Database!$A$2:$L$175,9,FALSE),"-")</f>
        <v>-</v>
      </c>
      <c r="I83" s="120" t="str">
        <f>IFERROR(VLOOKUP(E83,Database!$A$2:$S$175,19,FALSE),"-")</f>
        <v>-</v>
      </c>
      <c r="J83" s="103" t="str">
        <f>IF(AND(D83="Y",booking!H83&lt;&gt;booking!I83,booking!I83&gt;0),booking!I83,"-")</f>
        <v>-</v>
      </c>
      <c r="K83" s="86" t="str">
        <f>IFERROR(VLOOKUP(J83,Database!$A$2:$L$175,8,FALSE),"-")</f>
        <v>-</v>
      </c>
      <c r="L83" s="86" t="str">
        <f>IFERROR(VLOOKUP(J83,Database!$A$2:$L$175,6,FALSE),"-")</f>
        <v>-</v>
      </c>
      <c r="M83" s="100" t="str">
        <f>IFERROR(VLOOKUP(J83,Database!$A$2:$L$175,9,FALSE),"-")</f>
        <v>-</v>
      </c>
      <c r="N83" s="152" t="str">
        <f>IFERROR(VLOOKUP(J83,Database!$A$2:$S$175,19,FALSE),"-")</f>
        <v>-</v>
      </c>
      <c r="O83" s="103" t="str">
        <f>IF(AND(D83="Y",booking!L83&lt;&gt;booking!M83,booking!M83&gt;0),booking!M83,"-")</f>
        <v>-</v>
      </c>
      <c r="P83" s="86" t="str">
        <f>IFERROR(VLOOKUP(O83,Database!$A$2:$L$175,8,FALSE),"-")</f>
        <v>-</v>
      </c>
      <c r="Q83" s="86" t="str">
        <f>IFERROR(VLOOKUP(O83,Database!$A$2:$L$175,6,FALSE),"-")</f>
        <v>-</v>
      </c>
      <c r="R83" s="90" t="str">
        <f>IFERROR(VLOOKUP(O83,Database!$A$2:$L$175,9,FALSE),"-")</f>
        <v>-</v>
      </c>
      <c r="S83" s="152" t="str">
        <f>IFERROR(VLOOKUP(O83,Database!$A$2:$S$175,19,FALSE),"-")</f>
        <v>-</v>
      </c>
      <c r="T83" s="104" t="str">
        <f>IF(AND(D83="Y",booking!P83&lt;&gt;booking!Q83,booking!Q83&gt;0),booking!Q83,"-")</f>
        <v>-</v>
      </c>
      <c r="U83" s="86" t="str">
        <f>IFERROR(VLOOKUP(T83,Database!$A$2:$L$175,8,FALSE),"-")</f>
        <v>-</v>
      </c>
      <c r="V83" s="86" t="str">
        <f>IFERROR(VLOOKUP(T83,Database!$A$2:$L$175,6,FALSE),"-")</f>
        <v>-</v>
      </c>
      <c r="W83" s="90" t="str">
        <f>IFERROR(VLOOKUP(T83,Database!$A$2:$L$175,9,FALSE),"-")</f>
        <v>-</v>
      </c>
      <c r="X83" s="152" t="str">
        <f>IFERROR(VLOOKUP(T83,Database!$A$2:$S$175,19,FALSE),"-")</f>
        <v>-</v>
      </c>
      <c r="Y83" s="103" t="str">
        <f>IF(AND(D83="Y",booking!T83&lt;&gt;booking!U83,booking!U83&gt;0),booking!U83,"-")</f>
        <v>-</v>
      </c>
      <c r="Z83" s="87" t="str">
        <f>IFERROR(VLOOKUP(Y83,Database!$A$2:$L$175,8,FALSE),"-")</f>
        <v>-</v>
      </c>
      <c r="AA83" s="87" t="str">
        <f>IFERROR(VLOOKUP(Y83,Database!$A$2:$L$175,6,FALSE),"-")</f>
        <v>-</v>
      </c>
      <c r="AB83" s="99" t="str">
        <f>IFERROR(VLOOKUP(Y83,Database!$A$2:$L$175,9,FALSE),"-")</f>
        <v>-</v>
      </c>
      <c r="AC83" s="9" t="str">
        <f>IFERROR(VLOOKUP(Y83,Database!$A$2:$S$175,19,FALSE),"-")</f>
        <v>-</v>
      </c>
    </row>
    <row r="84" spans="1:29" ht="15" customHeight="1" thickBot="1" x14ac:dyDescent="0.4">
      <c r="A84" s="95" t="str">
        <f>rengøring!A84</f>
        <v>lørdag</v>
      </c>
      <c r="B84" s="93">
        <v>46585</v>
      </c>
      <c r="C84" s="10"/>
      <c r="D84" s="96" t="str">
        <f>IF(booking!AB84&gt;0,"Y","-")</f>
        <v>-</v>
      </c>
      <c r="E84" s="102" t="str">
        <f>IF(AND(D84="Y",booking!D84&lt;&gt;booking!E84,booking!E84&gt;0),booking!E84,"-")</f>
        <v>-</v>
      </c>
      <c r="F84" s="86" t="str">
        <f>IFERROR(VLOOKUP(E84,Database!$A$2:$L$175,8,FALSE),"-")</f>
        <v>-</v>
      </c>
      <c r="G84" s="86" t="str">
        <f>IFERROR(VLOOKUP(E84,Database!$A$2:$L$175,6,FALSE),"-")</f>
        <v>-</v>
      </c>
      <c r="H84" s="100" t="str">
        <f>IFERROR(VLOOKUP(E84,Database!$A$2:$L$175,9,FALSE),"-")</f>
        <v>-</v>
      </c>
      <c r="I84" s="120" t="str">
        <f>IFERROR(VLOOKUP(E84,Database!$A$2:$S$175,19,FALSE),"-")</f>
        <v>-</v>
      </c>
      <c r="J84" s="103" t="str">
        <f>IF(AND(D84="Y",booking!H84&lt;&gt;booking!I84,booking!I84&gt;0),booking!I84,"-")</f>
        <v>-</v>
      </c>
      <c r="K84" s="86" t="str">
        <f>IFERROR(VLOOKUP(J84,Database!$A$2:$L$175,8,FALSE),"-")</f>
        <v>-</v>
      </c>
      <c r="L84" s="86" t="str">
        <f>IFERROR(VLOOKUP(J84,Database!$A$2:$L$175,6,FALSE),"-")</f>
        <v>-</v>
      </c>
      <c r="M84" s="100" t="str">
        <f>IFERROR(VLOOKUP(J84,Database!$A$2:$L$175,9,FALSE),"-")</f>
        <v>-</v>
      </c>
      <c r="N84" s="152" t="str">
        <f>IFERROR(VLOOKUP(J84,Database!$A$2:$S$175,19,FALSE),"-")</f>
        <v>-</v>
      </c>
      <c r="O84" s="103" t="str">
        <f>IF(AND(D84="Y",booking!L84&lt;&gt;booking!M84,booking!M84&gt;0),booking!M84,"-")</f>
        <v>-</v>
      </c>
      <c r="P84" s="86" t="str">
        <f>IFERROR(VLOOKUP(O84,Database!$A$2:$L$175,8,FALSE),"-")</f>
        <v>-</v>
      </c>
      <c r="Q84" s="86" t="str">
        <f>IFERROR(VLOOKUP(O84,Database!$A$2:$L$175,6,FALSE),"-")</f>
        <v>-</v>
      </c>
      <c r="R84" s="90" t="str">
        <f>IFERROR(VLOOKUP(O84,Database!$A$2:$L$175,9,FALSE),"-")</f>
        <v>-</v>
      </c>
      <c r="S84" s="152" t="str">
        <f>IFERROR(VLOOKUP(O84,Database!$A$2:$S$175,19,FALSE),"-")</f>
        <v>-</v>
      </c>
      <c r="T84" s="104" t="str">
        <f>IF(AND(D84="Y",booking!P84&lt;&gt;booking!Q84,booking!Q84&gt;0),booking!Q84,"-")</f>
        <v>-</v>
      </c>
      <c r="U84" s="86" t="str">
        <f>IFERROR(VLOOKUP(T84,Database!$A$2:$L$175,8,FALSE),"-")</f>
        <v>-</v>
      </c>
      <c r="V84" s="86" t="str">
        <f>IFERROR(VLOOKUP(T84,Database!$A$2:$L$175,6,FALSE),"-")</f>
        <v>-</v>
      </c>
      <c r="W84" s="90" t="str">
        <f>IFERROR(VLOOKUP(T84,Database!$A$2:$L$175,9,FALSE),"-")</f>
        <v>-</v>
      </c>
      <c r="X84" s="152" t="str">
        <f>IFERROR(VLOOKUP(T84,Database!$A$2:$S$175,19,FALSE),"-")</f>
        <v>-</v>
      </c>
      <c r="Y84" s="103" t="str">
        <f>IF(AND(D84="Y",booking!T84&lt;&gt;booking!U84,booking!U84&gt;0),booking!U84,"-")</f>
        <v>-</v>
      </c>
      <c r="Z84" s="87" t="str">
        <f>IFERROR(VLOOKUP(Y84,Database!$A$2:$L$175,8,FALSE),"-")</f>
        <v>-</v>
      </c>
      <c r="AA84" s="87" t="str">
        <f>IFERROR(VLOOKUP(Y84,Database!$A$2:$L$175,6,FALSE),"-")</f>
        <v>-</v>
      </c>
      <c r="AB84" s="99" t="str">
        <f>IFERROR(VLOOKUP(Y84,Database!$A$2:$L$175,9,FALSE),"-")</f>
        <v>-</v>
      </c>
      <c r="AC84" s="9" t="str">
        <f>IFERROR(VLOOKUP(Y84,Database!$A$2:$S$175,19,FALSE),"-")</f>
        <v>-</v>
      </c>
    </row>
    <row r="85" spans="1:29" ht="15" customHeight="1" thickBot="1" x14ac:dyDescent="0.4">
      <c r="A85" s="95" t="str">
        <f>rengøring!A85</f>
        <v>søndag</v>
      </c>
      <c r="B85" s="93">
        <v>46586</v>
      </c>
      <c r="C85" s="10"/>
      <c r="D85" s="96" t="str">
        <f>IF(booking!AB85&gt;0,"Y","-")</f>
        <v>-</v>
      </c>
      <c r="E85" s="102" t="str">
        <f>IF(AND(D85="Y",booking!D85&lt;&gt;booking!E85,booking!E85&gt;0),booking!E85,"-")</f>
        <v>-</v>
      </c>
      <c r="F85" s="86" t="str">
        <f>IFERROR(VLOOKUP(E85,Database!$A$2:$L$175,8,FALSE),"-")</f>
        <v>-</v>
      </c>
      <c r="G85" s="86" t="str">
        <f>IFERROR(VLOOKUP(E85,Database!$A$2:$L$175,6,FALSE),"-")</f>
        <v>-</v>
      </c>
      <c r="H85" s="100" t="str">
        <f>IFERROR(VLOOKUP(E85,Database!$A$2:$L$175,9,FALSE),"-")</f>
        <v>-</v>
      </c>
      <c r="I85" s="120" t="str">
        <f>IFERROR(VLOOKUP(E85,Database!$A$2:$S$175,19,FALSE),"-")</f>
        <v>-</v>
      </c>
      <c r="J85" s="103" t="str">
        <f>IF(AND(D85="Y",booking!H85&lt;&gt;booking!I85,booking!I85&gt;0),booking!I85,"-")</f>
        <v>-</v>
      </c>
      <c r="K85" s="86" t="str">
        <f>IFERROR(VLOOKUP(J85,Database!$A$2:$L$175,8,FALSE),"-")</f>
        <v>-</v>
      </c>
      <c r="L85" s="86" t="str">
        <f>IFERROR(VLOOKUP(J85,Database!$A$2:$L$175,6,FALSE),"-")</f>
        <v>-</v>
      </c>
      <c r="M85" s="100" t="str">
        <f>IFERROR(VLOOKUP(J85,Database!$A$2:$L$175,9,FALSE),"-")</f>
        <v>-</v>
      </c>
      <c r="N85" s="152" t="str">
        <f>IFERROR(VLOOKUP(J85,Database!$A$2:$S$175,19,FALSE),"-")</f>
        <v>-</v>
      </c>
      <c r="O85" s="103" t="str">
        <f>IF(AND(D85="Y",booking!L85&lt;&gt;booking!M85,booking!M85&gt;0),booking!M85,"-")</f>
        <v>-</v>
      </c>
      <c r="P85" s="86" t="str">
        <f>IFERROR(VLOOKUP(O85,Database!$A$2:$L$175,8,FALSE),"-")</f>
        <v>-</v>
      </c>
      <c r="Q85" s="86" t="str">
        <f>IFERROR(VLOOKUP(O85,Database!$A$2:$L$175,6,FALSE),"-")</f>
        <v>-</v>
      </c>
      <c r="R85" s="90" t="str">
        <f>IFERROR(VLOOKUP(O85,Database!$A$2:$L$175,9,FALSE),"-")</f>
        <v>-</v>
      </c>
      <c r="S85" s="152" t="str">
        <f>IFERROR(VLOOKUP(O85,Database!$A$2:$S$175,19,FALSE),"-")</f>
        <v>-</v>
      </c>
      <c r="T85" s="104" t="str">
        <f>IF(AND(D85="Y",booking!P85&lt;&gt;booking!Q85,booking!Q85&gt;0),booking!Q85,"-")</f>
        <v>-</v>
      </c>
      <c r="U85" s="86" t="str">
        <f>IFERROR(VLOOKUP(T85,Database!$A$2:$L$175,8,FALSE),"-")</f>
        <v>-</v>
      </c>
      <c r="V85" s="86" t="str">
        <f>IFERROR(VLOOKUP(T85,Database!$A$2:$L$175,6,FALSE),"-")</f>
        <v>-</v>
      </c>
      <c r="W85" s="90" t="str">
        <f>IFERROR(VLOOKUP(T85,Database!$A$2:$L$175,9,FALSE),"-")</f>
        <v>-</v>
      </c>
      <c r="X85" s="152" t="str">
        <f>IFERROR(VLOOKUP(T85,Database!$A$2:$S$175,19,FALSE),"-")</f>
        <v>-</v>
      </c>
      <c r="Y85" s="103" t="str">
        <f>IF(AND(D85="Y",booking!T85&lt;&gt;booking!U85,booking!U85&gt;0),booking!U85,"-")</f>
        <v>-</v>
      </c>
      <c r="Z85" s="87" t="str">
        <f>IFERROR(VLOOKUP(Y85,Database!$A$2:$L$175,8,FALSE),"-")</f>
        <v>-</v>
      </c>
      <c r="AA85" s="87" t="str">
        <f>IFERROR(VLOOKUP(Y85,Database!$A$2:$L$175,6,FALSE),"-")</f>
        <v>-</v>
      </c>
      <c r="AB85" s="99" t="str">
        <f>IFERROR(VLOOKUP(Y85,Database!$A$2:$L$175,9,FALSE),"-")</f>
        <v>-</v>
      </c>
      <c r="AC85" s="9" t="str">
        <f>IFERROR(VLOOKUP(Y85,Database!$A$2:$S$175,19,FALSE),"-")</f>
        <v>-</v>
      </c>
    </row>
    <row r="86" spans="1:29" ht="15" customHeight="1" thickBot="1" x14ac:dyDescent="0.4">
      <c r="A86" s="95" t="str">
        <f>rengøring!A86</f>
        <v>mandag</v>
      </c>
      <c r="B86" s="93">
        <v>46587</v>
      </c>
      <c r="C86" s="10"/>
      <c r="D86" s="96" t="str">
        <f>IF(booking!AB86&gt;0,"Y","-")</f>
        <v>-</v>
      </c>
      <c r="E86" s="102" t="str">
        <f>IF(AND(D86="Y",booking!D86&lt;&gt;booking!E86,booking!E86&gt;0),booking!E86,"-")</f>
        <v>-</v>
      </c>
      <c r="F86" s="86" t="str">
        <f>IFERROR(VLOOKUP(E86,Database!$A$2:$L$175,8,FALSE),"-")</f>
        <v>-</v>
      </c>
      <c r="G86" s="86" t="str">
        <f>IFERROR(VLOOKUP(E86,Database!$A$2:$L$175,6,FALSE),"-")</f>
        <v>-</v>
      </c>
      <c r="H86" s="100" t="str">
        <f>IFERROR(VLOOKUP(E86,Database!$A$2:$L$175,9,FALSE),"-")</f>
        <v>-</v>
      </c>
      <c r="I86" s="120" t="str">
        <f>IFERROR(VLOOKUP(E86,Database!$A$2:$S$175,19,FALSE),"-")</f>
        <v>-</v>
      </c>
      <c r="J86" s="103" t="str">
        <f>IF(AND(D86="Y",booking!H86&lt;&gt;booking!I86,booking!I86&gt;0),booking!I86,"-")</f>
        <v>-</v>
      </c>
      <c r="K86" s="86" t="str">
        <f>IFERROR(VLOOKUP(J86,Database!$A$2:$L$175,8,FALSE),"-")</f>
        <v>-</v>
      </c>
      <c r="L86" s="86" t="str">
        <f>IFERROR(VLOOKUP(J86,Database!$A$2:$L$175,6,FALSE),"-")</f>
        <v>-</v>
      </c>
      <c r="M86" s="100" t="str">
        <f>IFERROR(VLOOKUP(J86,Database!$A$2:$L$175,9,FALSE),"-")</f>
        <v>-</v>
      </c>
      <c r="N86" s="152" t="str">
        <f>IFERROR(VLOOKUP(J86,Database!$A$2:$S$175,19,FALSE),"-")</f>
        <v>-</v>
      </c>
      <c r="O86" s="103" t="str">
        <f>IF(AND(D86="Y",booking!L86&lt;&gt;booking!M86,booking!M86&gt;0),booking!M86,"-")</f>
        <v>-</v>
      </c>
      <c r="P86" s="86" t="str">
        <f>IFERROR(VLOOKUP(O86,Database!$A$2:$L$175,8,FALSE),"-")</f>
        <v>-</v>
      </c>
      <c r="Q86" s="86" t="str">
        <f>IFERROR(VLOOKUP(O86,Database!$A$2:$L$175,6,FALSE),"-")</f>
        <v>-</v>
      </c>
      <c r="R86" s="90" t="str">
        <f>IFERROR(VLOOKUP(O86,Database!$A$2:$L$175,9,FALSE),"-")</f>
        <v>-</v>
      </c>
      <c r="S86" s="152" t="str">
        <f>IFERROR(VLOOKUP(O86,Database!$A$2:$S$175,19,FALSE),"-")</f>
        <v>-</v>
      </c>
      <c r="T86" s="104" t="str">
        <f>IF(AND(D86="Y",booking!P86&lt;&gt;booking!Q86,booking!Q86&gt;0),booking!Q86,"-")</f>
        <v>-</v>
      </c>
      <c r="U86" s="86" t="str">
        <f>IFERROR(VLOOKUP(T86,Database!$A$2:$L$175,8,FALSE),"-")</f>
        <v>-</v>
      </c>
      <c r="V86" s="86" t="str">
        <f>IFERROR(VLOOKUP(T86,Database!$A$2:$L$175,6,FALSE),"-")</f>
        <v>-</v>
      </c>
      <c r="W86" s="90" t="str">
        <f>IFERROR(VLOOKUP(T86,Database!$A$2:$L$175,9,FALSE),"-")</f>
        <v>-</v>
      </c>
      <c r="X86" s="152" t="str">
        <f>IFERROR(VLOOKUP(T86,Database!$A$2:$S$175,19,FALSE),"-")</f>
        <v>-</v>
      </c>
      <c r="Y86" s="103" t="str">
        <f>IF(AND(D86="Y",booking!T86&lt;&gt;booking!U86,booking!U86&gt;0),booking!U86,"-")</f>
        <v>-</v>
      </c>
      <c r="Z86" s="87" t="str">
        <f>IFERROR(VLOOKUP(Y86,Database!$A$2:$L$175,8,FALSE),"-")</f>
        <v>-</v>
      </c>
      <c r="AA86" s="87" t="str">
        <f>IFERROR(VLOOKUP(Y86,Database!$A$2:$L$175,6,FALSE),"-")</f>
        <v>-</v>
      </c>
      <c r="AB86" s="99" t="str">
        <f>IFERROR(VLOOKUP(Y86,Database!$A$2:$L$175,9,FALSE),"-")</f>
        <v>-</v>
      </c>
      <c r="AC86" s="9" t="str">
        <f>IFERROR(VLOOKUP(Y86,Database!$A$2:$S$175,19,FALSE),"-")</f>
        <v>-</v>
      </c>
    </row>
    <row r="87" spans="1:29" ht="15" customHeight="1" thickBot="1" x14ac:dyDescent="0.4">
      <c r="A87" s="95" t="str">
        <f>rengøring!A87</f>
        <v>tirsdag</v>
      </c>
      <c r="B87" s="93">
        <v>46588</v>
      </c>
      <c r="C87" s="10"/>
      <c r="D87" s="96" t="str">
        <f>IF(booking!AB87&gt;0,"Y","-")</f>
        <v>-</v>
      </c>
      <c r="E87" s="102" t="str">
        <f>IF(AND(D87="Y",booking!D87&lt;&gt;booking!E87,booking!E87&gt;0),booking!E87,"-")</f>
        <v>-</v>
      </c>
      <c r="F87" s="86" t="str">
        <f>IFERROR(VLOOKUP(E87,Database!$A$2:$L$175,8,FALSE),"-")</f>
        <v>-</v>
      </c>
      <c r="G87" s="86" t="str">
        <f>IFERROR(VLOOKUP(E87,Database!$A$2:$L$175,6,FALSE),"-")</f>
        <v>-</v>
      </c>
      <c r="H87" s="100" t="str">
        <f>IFERROR(VLOOKUP(E87,Database!$A$2:$L$175,9,FALSE),"-")</f>
        <v>-</v>
      </c>
      <c r="I87" s="120" t="str">
        <f>IFERROR(VLOOKUP(E87,Database!$A$2:$S$175,19,FALSE),"-")</f>
        <v>-</v>
      </c>
      <c r="J87" s="103" t="str">
        <f>IF(AND(D87="Y",booking!H87&lt;&gt;booking!I87,booking!I87&gt;0),booking!I87,"-")</f>
        <v>-</v>
      </c>
      <c r="K87" s="86" t="str">
        <f>IFERROR(VLOOKUP(J87,Database!$A$2:$L$175,8,FALSE),"-")</f>
        <v>-</v>
      </c>
      <c r="L87" s="86" t="str">
        <f>IFERROR(VLOOKUP(J87,Database!$A$2:$L$175,6,FALSE),"-")</f>
        <v>-</v>
      </c>
      <c r="M87" s="100" t="str">
        <f>IFERROR(VLOOKUP(J87,Database!$A$2:$L$175,9,FALSE),"-")</f>
        <v>-</v>
      </c>
      <c r="N87" s="152" t="str">
        <f>IFERROR(VLOOKUP(J87,Database!$A$2:$S$175,19,FALSE),"-")</f>
        <v>-</v>
      </c>
      <c r="O87" s="103" t="str">
        <f>IF(AND(D87="Y",booking!L87&lt;&gt;booking!M87,booking!M87&gt;0),booking!M87,"-")</f>
        <v>-</v>
      </c>
      <c r="P87" s="86" t="str">
        <f>IFERROR(VLOOKUP(O87,Database!$A$2:$L$175,8,FALSE),"-")</f>
        <v>-</v>
      </c>
      <c r="Q87" s="86" t="str">
        <f>IFERROR(VLOOKUP(O87,Database!$A$2:$L$175,6,FALSE),"-")</f>
        <v>-</v>
      </c>
      <c r="R87" s="90" t="str">
        <f>IFERROR(VLOOKUP(O87,Database!$A$2:$L$175,9,FALSE),"-")</f>
        <v>-</v>
      </c>
      <c r="S87" s="152" t="str">
        <f>IFERROR(VLOOKUP(O87,Database!$A$2:$S$175,19,FALSE),"-")</f>
        <v>-</v>
      </c>
      <c r="T87" s="104" t="str">
        <f>IF(AND(D87="Y",booking!P87&lt;&gt;booking!Q87,booking!Q87&gt;0),booking!Q87,"-")</f>
        <v>-</v>
      </c>
      <c r="U87" s="86" t="str">
        <f>IFERROR(VLOOKUP(T87,Database!$A$2:$L$175,8,FALSE),"-")</f>
        <v>-</v>
      </c>
      <c r="V87" s="86" t="str">
        <f>IFERROR(VLOOKUP(T87,Database!$A$2:$L$175,6,FALSE),"-")</f>
        <v>-</v>
      </c>
      <c r="W87" s="90" t="str">
        <f>IFERROR(VLOOKUP(T87,Database!$A$2:$L$175,9,FALSE),"-")</f>
        <v>-</v>
      </c>
      <c r="X87" s="152" t="str">
        <f>IFERROR(VLOOKUP(T87,Database!$A$2:$S$175,19,FALSE),"-")</f>
        <v>-</v>
      </c>
      <c r="Y87" s="103" t="str">
        <f>IF(AND(D87="Y",booking!T87&lt;&gt;booking!U87,booking!U87&gt;0),booking!U87,"-")</f>
        <v>-</v>
      </c>
      <c r="Z87" s="87" t="str">
        <f>IFERROR(VLOOKUP(Y87,Database!$A$2:$L$175,8,FALSE),"-")</f>
        <v>-</v>
      </c>
      <c r="AA87" s="87" t="str">
        <f>IFERROR(VLOOKUP(Y87,Database!$A$2:$L$175,6,FALSE),"-")</f>
        <v>-</v>
      </c>
      <c r="AB87" s="99" t="str">
        <f>IFERROR(VLOOKUP(Y87,Database!$A$2:$L$175,9,FALSE),"-")</f>
        <v>-</v>
      </c>
      <c r="AC87" s="9" t="str">
        <f>IFERROR(VLOOKUP(Y87,Database!$A$2:$S$175,19,FALSE),"-")</f>
        <v>-</v>
      </c>
    </row>
    <row r="88" spans="1:29" ht="15" customHeight="1" thickBot="1" x14ac:dyDescent="0.4">
      <c r="A88" s="95" t="str">
        <f>rengøring!A88</f>
        <v>onsdag</v>
      </c>
      <c r="B88" s="93">
        <v>46589</v>
      </c>
      <c r="C88" s="10"/>
      <c r="D88" s="96" t="str">
        <f>IF(booking!AB88&gt;0,"Y","-")</f>
        <v>-</v>
      </c>
      <c r="E88" s="102" t="str">
        <f>IF(AND(D88="Y",booking!D88&lt;&gt;booking!E88,booking!E88&gt;0),booking!E88,"-")</f>
        <v>-</v>
      </c>
      <c r="F88" s="86" t="str">
        <f>IFERROR(VLOOKUP(E88,Database!$A$2:$L$175,8,FALSE),"-")</f>
        <v>-</v>
      </c>
      <c r="G88" s="86" t="str">
        <f>IFERROR(VLOOKUP(E88,Database!$A$2:$L$175,6,FALSE),"-")</f>
        <v>-</v>
      </c>
      <c r="H88" s="100" t="str">
        <f>IFERROR(VLOOKUP(E88,Database!$A$2:$L$175,9,FALSE),"-")</f>
        <v>-</v>
      </c>
      <c r="I88" s="120" t="str">
        <f>IFERROR(VLOOKUP(E88,Database!$A$2:$S$175,19,FALSE),"-")</f>
        <v>-</v>
      </c>
      <c r="J88" s="103" t="str">
        <f>IF(AND(D88="Y",booking!H88&lt;&gt;booking!I88,booking!I88&gt;0),booking!I88,"-")</f>
        <v>-</v>
      </c>
      <c r="K88" s="86" t="str">
        <f>IFERROR(VLOOKUP(J88,Database!$A$2:$L$175,8,FALSE),"-")</f>
        <v>-</v>
      </c>
      <c r="L88" s="86" t="str">
        <f>IFERROR(VLOOKUP(J88,Database!$A$2:$L$175,6,FALSE),"-")</f>
        <v>-</v>
      </c>
      <c r="M88" s="100" t="str">
        <f>IFERROR(VLOOKUP(J88,Database!$A$2:$L$175,9,FALSE),"-")</f>
        <v>-</v>
      </c>
      <c r="N88" s="152" t="str">
        <f>IFERROR(VLOOKUP(J88,Database!$A$2:$S$175,19,FALSE),"-")</f>
        <v>-</v>
      </c>
      <c r="O88" s="103" t="str">
        <f>IF(AND(D88="Y",booking!L88&lt;&gt;booking!M88,booking!M88&gt;0),booking!M88,"-")</f>
        <v>-</v>
      </c>
      <c r="P88" s="86" t="str">
        <f>IFERROR(VLOOKUP(O88,Database!$A$2:$L$175,8,FALSE),"-")</f>
        <v>-</v>
      </c>
      <c r="Q88" s="86" t="str">
        <f>IFERROR(VLOOKUP(O88,Database!$A$2:$L$175,6,FALSE),"-")</f>
        <v>-</v>
      </c>
      <c r="R88" s="90" t="str">
        <f>IFERROR(VLOOKUP(O88,Database!$A$2:$L$175,9,FALSE),"-")</f>
        <v>-</v>
      </c>
      <c r="S88" s="152" t="str">
        <f>IFERROR(VLOOKUP(O88,Database!$A$2:$S$175,19,FALSE),"-")</f>
        <v>-</v>
      </c>
      <c r="T88" s="104" t="str">
        <f>IF(AND(D88="Y",booking!P88&lt;&gt;booking!Q88,booking!Q88&gt;0),booking!Q88,"-")</f>
        <v>-</v>
      </c>
      <c r="U88" s="86" t="str">
        <f>IFERROR(VLOOKUP(T88,Database!$A$2:$L$175,8,FALSE),"-")</f>
        <v>-</v>
      </c>
      <c r="V88" s="86" t="str">
        <f>IFERROR(VLOOKUP(T88,Database!$A$2:$L$175,6,FALSE),"-")</f>
        <v>-</v>
      </c>
      <c r="W88" s="90" t="str">
        <f>IFERROR(VLOOKUP(T88,Database!$A$2:$L$175,9,FALSE),"-")</f>
        <v>-</v>
      </c>
      <c r="X88" s="152" t="str">
        <f>IFERROR(VLOOKUP(T88,Database!$A$2:$S$175,19,FALSE),"-")</f>
        <v>-</v>
      </c>
      <c r="Y88" s="103" t="str">
        <f>IF(AND(D88="Y",booking!T88&lt;&gt;booking!U88,booking!U88&gt;0),booking!U88,"-")</f>
        <v>-</v>
      </c>
      <c r="Z88" s="87" t="str">
        <f>IFERROR(VLOOKUP(Y88,Database!$A$2:$L$175,8,FALSE),"-")</f>
        <v>-</v>
      </c>
      <c r="AA88" s="87" t="str">
        <f>IFERROR(VLOOKUP(Y88,Database!$A$2:$L$175,6,FALSE),"-")</f>
        <v>-</v>
      </c>
      <c r="AB88" s="99" t="str">
        <f>IFERROR(VLOOKUP(Y88,Database!$A$2:$L$175,9,FALSE),"-")</f>
        <v>-</v>
      </c>
      <c r="AC88" s="9" t="str">
        <f>IFERROR(VLOOKUP(Y88,Database!$A$2:$S$175,19,FALSE),"-")</f>
        <v>-</v>
      </c>
    </row>
    <row r="89" spans="1:29" ht="15" customHeight="1" thickBot="1" x14ac:dyDescent="0.4">
      <c r="A89" s="95" t="str">
        <f>rengøring!A89</f>
        <v>torsdag</v>
      </c>
      <c r="B89" s="93">
        <v>46590</v>
      </c>
      <c r="C89" s="10"/>
      <c r="D89" s="96" t="str">
        <f>IF(booking!AB89&gt;0,"Y","-")</f>
        <v>-</v>
      </c>
      <c r="E89" s="102" t="str">
        <f>IF(AND(D89="Y",booking!D89&lt;&gt;booking!E89,booking!E89&gt;0),booking!E89,"-")</f>
        <v>-</v>
      </c>
      <c r="F89" s="86" t="str">
        <f>IFERROR(VLOOKUP(E89,Database!$A$2:$L$175,8,FALSE),"-")</f>
        <v>-</v>
      </c>
      <c r="G89" s="86" t="str">
        <f>IFERROR(VLOOKUP(E89,Database!$A$2:$L$175,6,FALSE),"-")</f>
        <v>-</v>
      </c>
      <c r="H89" s="100" t="str">
        <f>IFERROR(VLOOKUP(E89,Database!$A$2:$L$175,9,FALSE),"-")</f>
        <v>-</v>
      </c>
      <c r="I89" s="120" t="str">
        <f>IFERROR(VLOOKUP(E89,Database!$A$2:$S$175,19,FALSE),"-")</f>
        <v>-</v>
      </c>
      <c r="J89" s="103" t="str">
        <f>IF(AND(D89="Y",booking!H89&lt;&gt;booking!I89,booking!I89&gt;0),booking!I89,"-")</f>
        <v>-</v>
      </c>
      <c r="K89" s="86" t="str">
        <f>IFERROR(VLOOKUP(J89,Database!$A$2:$L$175,8,FALSE),"-")</f>
        <v>-</v>
      </c>
      <c r="L89" s="86" t="str">
        <f>IFERROR(VLOOKUP(J89,Database!$A$2:$L$175,6,FALSE),"-")</f>
        <v>-</v>
      </c>
      <c r="M89" s="100" t="str">
        <f>IFERROR(VLOOKUP(J89,Database!$A$2:$L$175,9,FALSE),"-")</f>
        <v>-</v>
      </c>
      <c r="N89" s="152" t="str">
        <f>IFERROR(VLOOKUP(J89,Database!$A$2:$S$175,19,FALSE),"-")</f>
        <v>-</v>
      </c>
      <c r="O89" s="103" t="str">
        <f>IF(AND(D89="Y",booking!L89&lt;&gt;booking!M89,booking!M89&gt;0),booking!M89,"-")</f>
        <v>-</v>
      </c>
      <c r="P89" s="86" t="str">
        <f>IFERROR(VLOOKUP(O89,Database!$A$2:$L$175,8,FALSE),"-")</f>
        <v>-</v>
      </c>
      <c r="Q89" s="86" t="str">
        <f>IFERROR(VLOOKUP(O89,Database!$A$2:$L$175,6,FALSE),"-")</f>
        <v>-</v>
      </c>
      <c r="R89" s="90" t="str">
        <f>IFERROR(VLOOKUP(O89,Database!$A$2:$L$175,9,FALSE),"-")</f>
        <v>-</v>
      </c>
      <c r="S89" s="152" t="str">
        <f>IFERROR(VLOOKUP(O89,Database!$A$2:$S$175,19,FALSE),"-")</f>
        <v>-</v>
      </c>
      <c r="T89" s="104" t="str">
        <f>IF(AND(D89="Y",booking!P89&lt;&gt;booking!Q89,booking!Q89&gt;0),booking!Q89,"-")</f>
        <v>-</v>
      </c>
      <c r="U89" s="86" t="str">
        <f>IFERROR(VLOOKUP(T89,Database!$A$2:$L$175,8,FALSE),"-")</f>
        <v>-</v>
      </c>
      <c r="V89" s="86" t="str">
        <f>IFERROR(VLOOKUP(T89,Database!$A$2:$L$175,6,FALSE),"-")</f>
        <v>-</v>
      </c>
      <c r="W89" s="90" t="str">
        <f>IFERROR(VLOOKUP(T89,Database!$A$2:$L$175,9,FALSE),"-")</f>
        <v>-</v>
      </c>
      <c r="X89" s="152" t="str">
        <f>IFERROR(VLOOKUP(T89,Database!$A$2:$S$175,19,FALSE),"-")</f>
        <v>-</v>
      </c>
      <c r="Y89" s="103" t="str">
        <f>IF(AND(D89="Y",booking!T89&lt;&gt;booking!U89,booking!U89&gt;0),booking!U89,"-")</f>
        <v>-</v>
      </c>
      <c r="Z89" s="87" t="str">
        <f>IFERROR(VLOOKUP(Y89,Database!$A$2:$L$175,8,FALSE),"-")</f>
        <v>-</v>
      </c>
      <c r="AA89" s="87" t="str">
        <f>IFERROR(VLOOKUP(Y89,Database!$A$2:$L$175,6,FALSE),"-")</f>
        <v>-</v>
      </c>
      <c r="AB89" s="99" t="str">
        <f>IFERROR(VLOOKUP(Y89,Database!$A$2:$L$175,9,FALSE),"-")</f>
        <v>-</v>
      </c>
      <c r="AC89" s="9" t="str">
        <f>IFERROR(VLOOKUP(Y89,Database!$A$2:$S$175,19,FALSE),"-")</f>
        <v>-</v>
      </c>
    </row>
    <row r="90" spans="1:29" ht="15" customHeight="1" thickBot="1" x14ac:dyDescent="0.4">
      <c r="A90" s="95" t="str">
        <f>rengøring!A90</f>
        <v>fredag</v>
      </c>
      <c r="B90" s="93">
        <v>46591</v>
      </c>
      <c r="C90" s="10"/>
      <c r="D90" s="96" t="str">
        <f>IF(booking!AB90&gt;0,"Y","-")</f>
        <v>-</v>
      </c>
      <c r="E90" s="102" t="str">
        <f>IF(AND(D90="Y",booking!D90&lt;&gt;booking!E90,booking!E90&gt;0),booking!E90,"-")</f>
        <v>-</v>
      </c>
      <c r="F90" s="86" t="str">
        <f>IFERROR(VLOOKUP(E90,Database!$A$2:$L$175,8,FALSE),"-")</f>
        <v>-</v>
      </c>
      <c r="G90" s="86" t="str">
        <f>IFERROR(VLOOKUP(E90,Database!$A$2:$L$175,6,FALSE),"-")</f>
        <v>-</v>
      </c>
      <c r="H90" s="100" t="str">
        <f>IFERROR(VLOOKUP(E90,Database!$A$2:$L$175,9,FALSE),"-")</f>
        <v>-</v>
      </c>
      <c r="I90" s="120" t="str">
        <f>IFERROR(VLOOKUP(E90,Database!$A$2:$S$175,19,FALSE),"-")</f>
        <v>-</v>
      </c>
      <c r="J90" s="103" t="str">
        <f>IF(AND(D90="Y",booking!H90&lt;&gt;booking!I90,booking!I90&gt;0),booking!I90,"-")</f>
        <v>-</v>
      </c>
      <c r="K90" s="86" t="str">
        <f>IFERROR(VLOOKUP(J90,Database!$A$2:$L$175,8,FALSE),"-")</f>
        <v>-</v>
      </c>
      <c r="L90" s="86" t="str">
        <f>IFERROR(VLOOKUP(J90,Database!$A$2:$L$175,6,FALSE),"-")</f>
        <v>-</v>
      </c>
      <c r="M90" s="100" t="str">
        <f>IFERROR(VLOOKUP(J90,Database!$A$2:$L$175,9,FALSE),"-")</f>
        <v>-</v>
      </c>
      <c r="N90" s="152" t="str">
        <f>IFERROR(VLOOKUP(J90,Database!$A$2:$S$175,19,FALSE),"-")</f>
        <v>-</v>
      </c>
      <c r="O90" s="103" t="str">
        <f>IF(AND(D90="Y",booking!L90&lt;&gt;booking!M90,booking!M90&gt;0),booking!M90,"-")</f>
        <v>-</v>
      </c>
      <c r="P90" s="86" t="str">
        <f>IFERROR(VLOOKUP(O90,Database!$A$2:$L$175,8,FALSE),"-")</f>
        <v>-</v>
      </c>
      <c r="Q90" s="86" t="str">
        <f>IFERROR(VLOOKUP(O90,Database!$A$2:$L$175,6,FALSE),"-")</f>
        <v>-</v>
      </c>
      <c r="R90" s="90" t="str">
        <f>IFERROR(VLOOKUP(O90,Database!$A$2:$L$175,9,FALSE),"-")</f>
        <v>-</v>
      </c>
      <c r="S90" s="152" t="str">
        <f>IFERROR(VLOOKUP(O90,Database!$A$2:$S$175,19,FALSE),"-")</f>
        <v>-</v>
      </c>
      <c r="T90" s="104" t="str">
        <f>IF(AND(D90="Y",booking!P90&lt;&gt;booking!Q90,booking!Q90&gt;0),booking!Q90,"-")</f>
        <v>-</v>
      </c>
      <c r="U90" s="86" t="str">
        <f>IFERROR(VLOOKUP(T90,Database!$A$2:$L$175,8,FALSE),"-")</f>
        <v>-</v>
      </c>
      <c r="V90" s="86" t="str">
        <f>IFERROR(VLOOKUP(T90,Database!$A$2:$L$175,6,FALSE),"-")</f>
        <v>-</v>
      </c>
      <c r="W90" s="90" t="str">
        <f>IFERROR(VLOOKUP(T90,Database!$A$2:$L$175,9,FALSE),"-")</f>
        <v>-</v>
      </c>
      <c r="X90" s="152" t="str">
        <f>IFERROR(VLOOKUP(T90,Database!$A$2:$S$175,19,FALSE),"-")</f>
        <v>-</v>
      </c>
      <c r="Y90" s="103" t="str">
        <f>IF(AND(D90="Y",booking!T90&lt;&gt;booking!U90,booking!U90&gt;0),booking!U90,"-")</f>
        <v>-</v>
      </c>
      <c r="Z90" s="87" t="str">
        <f>IFERROR(VLOOKUP(Y90,Database!$A$2:$L$175,8,FALSE),"-")</f>
        <v>-</v>
      </c>
      <c r="AA90" s="87" t="str">
        <f>IFERROR(VLOOKUP(Y90,Database!$A$2:$L$175,6,FALSE),"-")</f>
        <v>-</v>
      </c>
      <c r="AB90" s="99" t="str">
        <f>IFERROR(VLOOKUP(Y90,Database!$A$2:$L$175,9,FALSE),"-")</f>
        <v>-</v>
      </c>
      <c r="AC90" s="9" t="str">
        <f>IFERROR(VLOOKUP(Y90,Database!$A$2:$S$175,19,FALSE),"-")</f>
        <v>-</v>
      </c>
    </row>
    <row r="91" spans="1:29" ht="15" customHeight="1" thickBot="1" x14ac:dyDescent="0.4">
      <c r="A91" s="95" t="str">
        <f>rengøring!A91</f>
        <v>lørdag</v>
      </c>
      <c r="B91" s="93">
        <v>46592</v>
      </c>
      <c r="C91" s="10"/>
      <c r="D91" s="96" t="str">
        <f>IF(booking!AB91&gt;0,"Y","-")</f>
        <v>-</v>
      </c>
      <c r="E91" s="102" t="str">
        <f>IF(AND(D91="Y",booking!D91&lt;&gt;booking!E91,booking!E91&gt;0),booking!E91,"-")</f>
        <v>-</v>
      </c>
      <c r="F91" s="86" t="str">
        <f>IFERROR(VLOOKUP(E91,Database!$A$2:$L$175,8,FALSE),"-")</f>
        <v>-</v>
      </c>
      <c r="G91" s="86" t="str">
        <f>IFERROR(VLOOKUP(E91,Database!$A$2:$L$175,6,FALSE),"-")</f>
        <v>-</v>
      </c>
      <c r="H91" s="100" t="str">
        <f>IFERROR(VLOOKUP(E91,Database!$A$2:$L$175,9,FALSE),"-")</f>
        <v>-</v>
      </c>
      <c r="I91" s="120" t="str">
        <f>IFERROR(VLOOKUP(E91,Database!$A$2:$S$175,19,FALSE),"-")</f>
        <v>-</v>
      </c>
      <c r="J91" s="103" t="str">
        <f>IF(AND(D91="Y",booking!H91&lt;&gt;booking!I91,booking!I91&gt;0),booking!I91,"-")</f>
        <v>-</v>
      </c>
      <c r="K91" s="86" t="str">
        <f>IFERROR(VLOOKUP(J91,Database!$A$2:$L$175,8,FALSE),"-")</f>
        <v>-</v>
      </c>
      <c r="L91" s="86" t="str">
        <f>IFERROR(VLOOKUP(J91,Database!$A$2:$L$175,6,FALSE),"-")</f>
        <v>-</v>
      </c>
      <c r="M91" s="100" t="str">
        <f>IFERROR(VLOOKUP(J91,Database!$A$2:$L$175,9,FALSE),"-")</f>
        <v>-</v>
      </c>
      <c r="N91" s="152" t="str">
        <f>IFERROR(VLOOKUP(J91,Database!$A$2:$S$175,19,FALSE),"-")</f>
        <v>-</v>
      </c>
      <c r="O91" s="103" t="str">
        <f>IF(AND(D91="Y",booking!L91&lt;&gt;booking!M91,booking!M91&gt;0),booking!M91,"-")</f>
        <v>-</v>
      </c>
      <c r="P91" s="86" t="str">
        <f>IFERROR(VLOOKUP(O91,Database!$A$2:$L$175,8,FALSE),"-")</f>
        <v>-</v>
      </c>
      <c r="Q91" s="86" t="str">
        <f>IFERROR(VLOOKUP(O91,Database!$A$2:$L$175,6,FALSE),"-")</f>
        <v>-</v>
      </c>
      <c r="R91" s="90" t="str">
        <f>IFERROR(VLOOKUP(O91,Database!$A$2:$L$175,9,FALSE),"-")</f>
        <v>-</v>
      </c>
      <c r="S91" s="152" t="str">
        <f>IFERROR(VLOOKUP(O91,Database!$A$2:$S$175,19,FALSE),"-")</f>
        <v>-</v>
      </c>
      <c r="T91" s="104" t="str">
        <f>IF(AND(D91="Y",booking!P91&lt;&gt;booking!Q91,booking!Q91&gt;0),booking!Q91,"-")</f>
        <v>-</v>
      </c>
      <c r="U91" s="86" t="str">
        <f>IFERROR(VLOOKUP(T91,Database!$A$2:$L$175,8,FALSE),"-")</f>
        <v>-</v>
      </c>
      <c r="V91" s="86" t="str">
        <f>IFERROR(VLOOKUP(T91,Database!$A$2:$L$175,6,FALSE),"-")</f>
        <v>-</v>
      </c>
      <c r="W91" s="90" t="str">
        <f>IFERROR(VLOOKUP(T91,Database!$A$2:$L$175,9,FALSE),"-")</f>
        <v>-</v>
      </c>
      <c r="X91" s="152" t="str">
        <f>IFERROR(VLOOKUP(T91,Database!$A$2:$S$175,19,FALSE),"-")</f>
        <v>-</v>
      </c>
      <c r="Y91" s="103" t="str">
        <f>IF(AND(D91="Y",booking!T91&lt;&gt;booking!U91,booking!U91&gt;0),booking!U91,"-")</f>
        <v>-</v>
      </c>
      <c r="Z91" s="87" t="str">
        <f>IFERROR(VLOOKUP(Y91,Database!$A$2:$L$175,8,FALSE),"-")</f>
        <v>-</v>
      </c>
      <c r="AA91" s="87" t="str">
        <f>IFERROR(VLOOKUP(Y91,Database!$A$2:$L$175,6,FALSE),"-")</f>
        <v>-</v>
      </c>
      <c r="AB91" s="99" t="str">
        <f>IFERROR(VLOOKUP(Y91,Database!$A$2:$L$175,9,FALSE),"-")</f>
        <v>-</v>
      </c>
      <c r="AC91" s="9" t="str">
        <f>IFERROR(VLOOKUP(Y91,Database!$A$2:$S$175,19,FALSE),"-")</f>
        <v>-</v>
      </c>
    </row>
    <row r="92" spans="1:29" ht="15" customHeight="1" thickBot="1" x14ac:dyDescent="0.4">
      <c r="A92" s="95" t="str">
        <f>rengøring!A92</f>
        <v>søndag</v>
      </c>
      <c r="B92" s="93">
        <v>46593</v>
      </c>
      <c r="C92" s="10"/>
      <c r="D92" s="96" t="str">
        <f>IF(booking!AB92&gt;0,"Y","-")</f>
        <v>-</v>
      </c>
      <c r="E92" s="102" t="str">
        <f>IF(AND(D92="Y",booking!D92&lt;&gt;booking!E92,booking!E92&gt;0),booking!E92,"-")</f>
        <v>-</v>
      </c>
      <c r="F92" s="86" t="str">
        <f>IFERROR(VLOOKUP(E92,Database!$A$2:$L$175,8,FALSE),"-")</f>
        <v>-</v>
      </c>
      <c r="G92" s="86" t="str">
        <f>IFERROR(VLOOKUP(E92,Database!$A$2:$L$175,6,FALSE),"-")</f>
        <v>-</v>
      </c>
      <c r="H92" s="100" t="str">
        <f>IFERROR(VLOOKUP(E92,Database!$A$2:$L$175,9,FALSE),"-")</f>
        <v>-</v>
      </c>
      <c r="I92" s="120" t="str">
        <f>IFERROR(VLOOKUP(E92,Database!$A$2:$S$175,19,FALSE),"-")</f>
        <v>-</v>
      </c>
      <c r="J92" s="103" t="str">
        <f>IF(AND(D92="Y",booking!H92&lt;&gt;booking!I92,booking!I92&gt;0),booking!I92,"-")</f>
        <v>-</v>
      </c>
      <c r="K92" s="86" t="str">
        <f>IFERROR(VLOOKUP(J92,Database!$A$2:$L$175,8,FALSE),"-")</f>
        <v>-</v>
      </c>
      <c r="L92" s="86" t="str">
        <f>IFERROR(VLOOKUP(J92,Database!$A$2:$L$175,6,FALSE),"-")</f>
        <v>-</v>
      </c>
      <c r="M92" s="100" t="str">
        <f>IFERROR(VLOOKUP(J92,Database!$A$2:$L$175,9,FALSE),"-")</f>
        <v>-</v>
      </c>
      <c r="N92" s="152" t="str">
        <f>IFERROR(VLOOKUP(J92,Database!$A$2:$S$175,19,FALSE),"-")</f>
        <v>-</v>
      </c>
      <c r="O92" s="103" t="str">
        <f>IF(AND(D92="Y",booking!L92&lt;&gt;booking!M92,booking!M92&gt;0),booking!M92,"-")</f>
        <v>-</v>
      </c>
      <c r="P92" s="86" t="str">
        <f>IFERROR(VLOOKUP(O92,Database!$A$2:$L$175,8,FALSE),"-")</f>
        <v>-</v>
      </c>
      <c r="Q92" s="86" t="str">
        <f>IFERROR(VLOOKUP(O92,Database!$A$2:$L$175,6,FALSE),"-")</f>
        <v>-</v>
      </c>
      <c r="R92" s="90" t="str">
        <f>IFERROR(VLOOKUP(O92,Database!$A$2:$L$175,9,FALSE),"-")</f>
        <v>-</v>
      </c>
      <c r="S92" s="152" t="str">
        <f>IFERROR(VLOOKUP(O92,Database!$A$2:$S$175,19,FALSE),"-")</f>
        <v>-</v>
      </c>
      <c r="T92" s="104" t="str">
        <f>IF(AND(D92="Y",booking!P92&lt;&gt;booking!Q92,booking!Q92&gt;0),booking!Q92,"-")</f>
        <v>-</v>
      </c>
      <c r="U92" s="86" t="str">
        <f>IFERROR(VLOOKUP(T92,Database!$A$2:$L$175,8,FALSE),"-")</f>
        <v>-</v>
      </c>
      <c r="V92" s="86" t="str">
        <f>IFERROR(VLOOKUP(T92,Database!$A$2:$L$175,6,FALSE),"-")</f>
        <v>-</v>
      </c>
      <c r="W92" s="90" t="str">
        <f>IFERROR(VLOOKUP(T92,Database!$A$2:$L$175,9,FALSE),"-")</f>
        <v>-</v>
      </c>
      <c r="X92" s="152" t="str">
        <f>IFERROR(VLOOKUP(T92,Database!$A$2:$S$175,19,FALSE),"-")</f>
        <v>-</v>
      </c>
      <c r="Y92" s="103" t="str">
        <f>IF(AND(D92="Y",booking!T92&lt;&gt;booking!U92,booking!U92&gt;0),booking!U92,"-")</f>
        <v>-</v>
      </c>
      <c r="Z92" s="87" t="str">
        <f>IFERROR(VLOOKUP(Y92,Database!$A$2:$L$175,8,FALSE),"-")</f>
        <v>-</v>
      </c>
      <c r="AA92" s="87" t="str">
        <f>IFERROR(VLOOKUP(Y92,Database!$A$2:$L$175,6,FALSE),"-")</f>
        <v>-</v>
      </c>
      <c r="AB92" s="99" t="str">
        <f>IFERROR(VLOOKUP(Y92,Database!$A$2:$L$175,9,FALSE),"-")</f>
        <v>-</v>
      </c>
      <c r="AC92" s="9" t="str">
        <f>IFERROR(VLOOKUP(Y92,Database!$A$2:$S$175,19,FALSE),"-")</f>
        <v>-</v>
      </c>
    </row>
    <row r="93" spans="1:29" ht="15" customHeight="1" thickBot="1" x14ac:dyDescent="0.4">
      <c r="A93" s="95" t="str">
        <f>rengøring!A93</f>
        <v>mandag</v>
      </c>
      <c r="B93" s="93">
        <v>46594</v>
      </c>
      <c r="C93" s="10"/>
      <c r="D93" s="96" t="str">
        <f>IF(booking!AB93&gt;0,"Y","-")</f>
        <v>-</v>
      </c>
      <c r="E93" s="102" t="str">
        <f>IF(AND(D93="Y",booking!D93&lt;&gt;booking!E93,booking!E93&gt;0),booking!E93,"-")</f>
        <v>-</v>
      </c>
      <c r="F93" s="86" t="str">
        <f>IFERROR(VLOOKUP(E93,Database!$A$2:$L$175,8,FALSE),"-")</f>
        <v>-</v>
      </c>
      <c r="G93" s="86" t="str">
        <f>IFERROR(VLOOKUP(E93,Database!$A$2:$L$175,6,FALSE),"-")</f>
        <v>-</v>
      </c>
      <c r="H93" s="100" t="str">
        <f>IFERROR(VLOOKUP(E93,Database!$A$2:$L$175,9,FALSE),"-")</f>
        <v>-</v>
      </c>
      <c r="I93" s="120" t="str">
        <f>IFERROR(VLOOKUP(E93,Database!$A$2:$S$175,19,FALSE),"-")</f>
        <v>-</v>
      </c>
      <c r="J93" s="103" t="str">
        <f>IF(AND(D93="Y",booking!H93&lt;&gt;booking!I93,booking!I93&gt;0),booking!I93,"-")</f>
        <v>-</v>
      </c>
      <c r="K93" s="86" t="str">
        <f>IFERROR(VLOOKUP(J93,Database!$A$2:$L$175,8,FALSE),"-")</f>
        <v>-</v>
      </c>
      <c r="L93" s="86" t="str">
        <f>IFERROR(VLOOKUP(J93,Database!$A$2:$L$175,6,FALSE),"-")</f>
        <v>-</v>
      </c>
      <c r="M93" s="100" t="str">
        <f>IFERROR(VLOOKUP(J93,Database!$A$2:$L$175,9,FALSE),"-")</f>
        <v>-</v>
      </c>
      <c r="N93" s="152" t="str">
        <f>IFERROR(VLOOKUP(J93,Database!$A$2:$S$175,19,FALSE),"-")</f>
        <v>-</v>
      </c>
      <c r="O93" s="103" t="str">
        <f>IF(AND(D93="Y",booking!L93&lt;&gt;booking!M93,booking!M93&gt;0),booking!M93,"-")</f>
        <v>-</v>
      </c>
      <c r="P93" s="86" t="str">
        <f>IFERROR(VLOOKUP(O93,Database!$A$2:$L$175,8,FALSE),"-")</f>
        <v>-</v>
      </c>
      <c r="Q93" s="86" t="str">
        <f>IFERROR(VLOOKUP(O93,Database!$A$2:$L$175,6,FALSE),"-")</f>
        <v>-</v>
      </c>
      <c r="R93" s="90" t="str">
        <f>IFERROR(VLOOKUP(O93,Database!$A$2:$L$175,9,FALSE),"-")</f>
        <v>-</v>
      </c>
      <c r="S93" s="152" t="str">
        <f>IFERROR(VLOOKUP(O93,Database!$A$2:$S$175,19,FALSE),"-")</f>
        <v>-</v>
      </c>
      <c r="T93" s="104" t="str">
        <f>IF(AND(D93="Y",booking!P93&lt;&gt;booking!Q93,booking!Q93&gt;0),booking!Q93,"-")</f>
        <v>-</v>
      </c>
      <c r="U93" s="86" t="str">
        <f>IFERROR(VLOOKUP(T93,Database!$A$2:$L$175,8,FALSE),"-")</f>
        <v>-</v>
      </c>
      <c r="V93" s="86" t="str">
        <f>IFERROR(VLOOKUP(T93,Database!$A$2:$L$175,6,FALSE),"-")</f>
        <v>-</v>
      </c>
      <c r="W93" s="90" t="str">
        <f>IFERROR(VLOOKUP(T93,Database!$A$2:$L$175,9,FALSE),"-")</f>
        <v>-</v>
      </c>
      <c r="X93" s="152" t="str">
        <f>IFERROR(VLOOKUP(T93,Database!$A$2:$S$175,19,FALSE),"-")</f>
        <v>-</v>
      </c>
      <c r="Y93" s="103" t="str">
        <f>IF(AND(D93="Y",booking!T93&lt;&gt;booking!U93,booking!U93&gt;0),booking!U93,"-")</f>
        <v>-</v>
      </c>
      <c r="Z93" s="87" t="str">
        <f>IFERROR(VLOOKUP(Y93,Database!$A$2:$L$175,8,FALSE),"-")</f>
        <v>-</v>
      </c>
      <c r="AA93" s="87" t="str">
        <f>IFERROR(VLOOKUP(Y93,Database!$A$2:$L$175,6,FALSE),"-")</f>
        <v>-</v>
      </c>
      <c r="AB93" s="99" t="str">
        <f>IFERROR(VLOOKUP(Y93,Database!$A$2:$L$175,9,FALSE),"-")</f>
        <v>-</v>
      </c>
      <c r="AC93" s="9" t="str">
        <f>IFERROR(VLOOKUP(Y93,Database!$A$2:$S$175,19,FALSE),"-")</f>
        <v>-</v>
      </c>
    </row>
    <row r="94" spans="1:29" ht="15" customHeight="1" thickBot="1" x14ac:dyDescent="0.4">
      <c r="A94" s="95" t="str">
        <f>rengøring!A94</f>
        <v>tirsdag</v>
      </c>
      <c r="B94" s="93">
        <v>46595</v>
      </c>
      <c r="C94" s="10"/>
      <c r="D94" s="96" t="str">
        <f>IF(booking!AB94&gt;0,"Y","-")</f>
        <v>-</v>
      </c>
      <c r="E94" s="102" t="str">
        <f>IF(AND(D94="Y",booking!D94&lt;&gt;booking!E94,booking!E94&gt;0),booking!E94,"-")</f>
        <v>-</v>
      </c>
      <c r="F94" s="86" t="str">
        <f>IFERROR(VLOOKUP(E94,Database!$A$2:$L$175,8,FALSE),"-")</f>
        <v>-</v>
      </c>
      <c r="G94" s="86" t="str">
        <f>IFERROR(VLOOKUP(E94,Database!$A$2:$L$175,6,FALSE),"-")</f>
        <v>-</v>
      </c>
      <c r="H94" s="100" t="str">
        <f>IFERROR(VLOOKUP(E94,Database!$A$2:$L$175,9,FALSE),"-")</f>
        <v>-</v>
      </c>
      <c r="I94" s="120" t="str">
        <f>IFERROR(VLOOKUP(E94,Database!$A$2:$S$175,19,FALSE),"-")</f>
        <v>-</v>
      </c>
      <c r="J94" s="103" t="str">
        <f>IF(AND(D94="Y",booking!H94&lt;&gt;booking!I94,booking!I94&gt;0),booking!I94,"-")</f>
        <v>-</v>
      </c>
      <c r="K94" s="86" t="str">
        <f>IFERROR(VLOOKUP(J94,Database!$A$2:$L$175,8,FALSE),"-")</f>
        <v>-</v>
      </c>
      <c r="L94" s="86" t="str">
        <f>IFERROR(VLOOKUP(J94,Database!$A$2:$L$175,6,FALSE),"-")</f>
        <v>-</v>
      </c>
      <c r="M94" s="100" t="str">
        <f>IFERROR(VLOOKUP(J94,Database!$A$2:$L$175,9,FALSE),"-")</f>
        <v>-</v>
      </c>
      <c r="N94" s="152" t="str">
        <f>IFERROR(VLOOKUP(J94,Database!$A$2:$S$175,19,FALSE),"-")</f>
        <v>-</v>
      </c>
      <c r="O94" s="103" t="str">
        <f>IF(AND(D94="Y",booking!L94&lt;&gt;booking!M94,booking!M94&gt;0),booking!M94,"-")</f>
        <v>-</v>
      </c>
      <c r="P94" s="86" t="str">
        <f>IFERROR(VLOOKUP(O94,Database!$A$2:$L$175,8,FALSE),"-")</f>
        <v>-</v>
      </c>
      <c r="Q94" s="86" t="str">
        <f>IFERROR(VLOOKUP(O94,Database!$A$2:$L$175,6,FALSE),"-")</f>
        <v>-</v>
      </c>
      <c r="R94" s="90" t="str">
        <f>IFERROR(VLOOKUP(O94,Database!$A$2:$L$175,9,FALSE),"-")</f>
        <v>-</v>
      </c>
      <c r="S94" s="152" t="str">
        <f>IFERROR(VLOOKUP(O94,Database!$A$2:$S$175,19,FALSE),"-")</f>
        <v>-</v>
      </c>
      <c r="T94" s="104" t="str">
        <f>IF(AND(D94="Y",booking!P94&lt;&gt;booking!Q94,booking!Q94&gt;0),booking!Q94,"-")</f>
        <v>-</v>
      </c>
      <c r="U94" s="86" t="str">
        <f>IFERROR(VLOOKUP(T94,Database!$A$2:$L$175,8,FALSE),"-")</f>
        <v>-</v>
      </c>
      <c r="V94" s="86" t="str">
        <f>IFERROR(VLOOKUP(T94,Database!$A$2:$L$175,6,FALSE),"-")</f>
        <v>-</v>
      </c>
      <c r="W94" s="90" t="str">
        <f>IFERROR(VLOOKUP(T94,Database!$A$2:$L$175,9,FALSE),"-")</f>
        <v>-</v>
      </c>
      <c r="X94" s="152" t="str">
        <f>IFERROR(VLOOKUP(T94,Database!$A$2:$S$175,19,FALSE),"-")</f>
        <v>-</v>
      </c>
      <c r="Y94" s="103" t="str">
        <f>IF(AND(D94="Y",booking!T94&lt;&gt;booking!U94,booking!U94&gt;0),booking!U94,"-")</f>
        <v>-</v>
      </c>
      <c r="Z94" s="87" t="str">
        <f>IFERROR(VLOOKUP(Y94,Database!$A$2:$L$175,8,FALSE),"-")</f>
        <v>-</v>
      </c>
      <c r="AA94" s="87" t="str">
        <f>IFERROR(VLOOKUP(Y94,Database!$A$2:$L$175,6,FALSE),"-")</f>
        <v>-</v>
      </c>
      <c r="AB94" s="99" t="str">
        <f>IFERROR(VLOOKUP(Y94,Database!$A$2:$L$175,9,FALSE),"-")</f>
        <v>-</v>
      </c>
      <c r="AC94" s="9" t="str">
        <f>IFERROR(VLOOKUP(Y94,Database!$A$2:$S$175,19,FALSE),"-")</f>
        <v>-</v>
      </c>
    </row>
    <row r="95" spans="1:29" ht="15" customHeight="1" thickBot="1" x14ac:dyDescent="0.4">
      <c r="A95" s="95" t="str">
        <f>rengøring!A95</f>
        <v>onsdag</v>
      </c>
      <c r="B95" s="93">
        <v>46596</v>
      </c>
      <c r="C95" s="10"/>
      <c r="D95" s="96" t="str">
        <f>IF(booking!AB95&gt;0,"Y","-")</f>
        <v>-</v>
      </c>
      <c r="E95" s="102" t="str">
        <f>IF(AND(D95="Y",booking!D95&lt;&gt;booking!E95,booking!E95&gt;0),booking!E95,"-")</f>
        <v>-</v>
      </c>
      <c r="F95" s="86" t="str">
        <f>IFERROR(VLOOKUP(E95,Database!$A$2:$L$175,8,FALSE),"-")</f>
        <v>-</v>
      </c>
      <c r="G95" s="86" t="str">
        <f>IFERROR(VLOOKUP(E95,Database!$A$2:$L$175,6,FALSE),"-")</f>
        <v>-</v>
      </c>
      <c r="H95" s="100" t="str">
        <f>IFERROR(VLOOKUP(E95,Database!$A$2:$L$175,9,FALSE),"-")</f>
        <v>-</v>
      </c>
      <c r="I95" s="120" t="str">
        <f>IFERROR(VLOOKUP(E95,Database!$A$2:$S$175,19,FALSE),"-")</f>
        <v>-</v>
      </c>
      <c r="J95" s="103" t="str">
        <f>IF(AND(D95="Y",booking!H95&lt;&gt;booking!I95,booking!I95&gt;0),booking!I95,"-")</f>
        <v>-</v>
      </c>
      <c r="K95" s="86" t="str">
        <f>IFERROR(VLOOKUP(J95,Database!$A$2:$L$175,8,FALSE),"-")</f>
        <v>-</v>
      </c>
      <c r="L95" s="86" t="str">
        <f>IFERROR(VLOOKUP(J95,Database!$A$2:$L$175,6,FALSE),"-")</f>
        <v>-</v>
      </c>
      <c r="M95" s="100" t="str">
        <f>IFERROR(VLOOKUP(J95,Database!$A$2:$L$175,9,FALSE),"-")</f>
        <v>-</v>
      </c>
      <c r="N95" s="152" t="str">
        <f>IFERROR(VLOOKUP(J95,Database!$A$2:$S$175,19,FALSE),"-")</f>
        <v>-</v>
      </c>
      <c r="O95" s="103" t="str">
        <f>IF(AND(D95="Y",booking!L95&lt;&gt;booking!M95,booking!M95&gt;0),booking!M95,"-")</f>
        <v>-</v>
      </c>
      <c r="P95" s="86" t="str">
        <f>IFERROR(VLOOKUP(O95,Database!$A$2:$L$175,8,FALSE),"-")</f>
        <v>-</v>
      </c>
      <c r="Q95" s="86" t="str">
        <f>IFERROR(VLOOKUP(O95,Database!$A$2:$L$175,6,FALSE),"-")</f>
        <v>-</v>
      </c>
      <c r="R95" s="90" t="str">
        <f>IFERROR(VLOOKUP(O95,Database!$A$2:$L$175,9,FALSE),"-")</f>
        <v>-</v>
      </c>
      <c r="S95" s="152" t="str">
        <f>IFERROR(VLOOKUP(O95,Database!$A$2:$S$175,19,FALSE),"-")</f>
        <v>-</v>
      </c>
      <c r="T95" s="104" t="str">
        <f>IF(AND(D95="Y",booking!P95&lt;&gt;booking!Q95,booking!Q95&gt;0),booking!Q95,"-")</f>
        <v>-</v>
      </c>
      <c r="U95" s="86" t="str">
        <f>IFERROR(VLOOKUP(T95,Database!$A$2:$L$175,8,FALSE),"-")</f>
        <v>-</v>
      </c>
      <c r="V95" s="86" t="str">
        <f>IFERROR(VLOOKUP(T95,Database!$A$2:$L$175,6,FALSE),"-")</f>
        <v>-</v>
      </c>
      <c r="W95" s="90" t="str">
        <f>IFERROR(VLOOKUP(T95,Database!$A$2:$L$175,9,FALSE),"-")</f>
        <v>-</v>
      </c>
      <c r="X95" s="152" t="str">
        <f>IFERROR(VLOOKUP(T95,Database!$A$2:$S$175,19,FALSE),"-")</f>
        <v>-</v>
      </c>
      <c r="Y95" s="103" t="str">
        <f>IF(AND(D95="Y",booking!T95&lt;&gt;booking!U95,booking!U95&gt;0),booking!U95,"-")</f>
        <v>-</v>
      </c>
      <c r="Z95" s="87" t="str">
        <f>IFERROR(VLOOKUP(Y95,Database!$A$2:$L$175,8,FALSE),"-")</f>
        <v>-</v>
      </c>
      <c r="AA95" s="87" t="str">
        <f>IFERROR(VLOOKUP(Y95,Database!$A$2:$L$175,6,FALSE),"-")</f>
        <v>-</v>
      </c>
      <c r="AB95" s="99" t="str">
        <f>IFERROR(VLOOKUP(Y95,Database!$A$2:$L$175,9,FALSE),"-")</f>
        <v>-</v>
      </c>
      <c r="AC95" s="9" t="str">
        <f>IFERROR(VLOOKUP(Y95,Database!$A$2:$S$175,19,FALSE),"-")</f>
        <v>-</v>
      </c>
    </row>
    <row r="96" spans="1:29" ht="15" customHeight="1" thickBot="1" x14ac:dyDescent="0.4">
      <c r="A96" s="95" t="str">
        <f>rengøring!A96</f>
        <v>torsdag</v>
      </c>
      <c r="B96" s="93">
        <v>46597</v>
      </c>
      <c r="C96" s="10"/>
      <c r="D96" s="96" t="str">
        <f>IF(booking!AB96&gt;0,"Y","-")</f>
        <v>-</v>
      </c>
      <c r="E96" s="102" t="str">
        <f>IF(AND(D96="Y",booking!D96&lt;&gt;booking!E96,booking!E96&gt;0),booking!E96,"-")</f>
        <v>-</v>
      </c>
      <c r="F96" s="86" t="str">
        <f>IFERROR(VLOOKUP(E96,Database!$A$2:$L$175,8,FALSE),"-")</f>
        <v>-</v>
      </c>
      <c r="G96" s="86" t="str">
        <f>IFERROR(VLOOKUP(E96,Database!$A$2:$L$175,6,FALSE),"-")</f>
        <v>-</v>
      </c>
      <c r="H96" s="100" t="str">
        <f>IFERROR(VLOOKUP(E96,Database!$A$2:$L$175,9,FALSE),"-")</f>
        <v>-</v>
      </c>
      <c r="I96" s="120" t="str">
        <f>IFERROR(VLOOKUP(E96,Database!$A$2:$S$175,19,FALSE),"-")</f>
        <v>-</v>
      </c>
      <c r="J96" s="103" t="str">
        <f>IF(AND(D96="Y",booking!H96&lt;&gt;booking!I96,booking!I96&gt;0),booking!I96,"-")</f>
        <v>-</v>
      </c>
      <c r="K96" s="86" t="str">
        <f>IFERROR(VLOOKUP(J96,Database!$A$2:$L$175,8,FALSE),"-")</f>
        <v>-</v>
      </c>
      <c r="L96" s="86" t="str">
        <f>IFERROR(VLOOKUP(J96,Database!$A$2:$L$175,6,FALSE),"-")</f>
        <v>-</v>
      </c>
      <c r="M96" s="100" t="str">
        <f>IFERROR(VLOOKUP(J96,Database!$A$2:$L$175,9,FALSE),"-")</f>
        <v>-</v>
      </c>
      <c r="N96" s="152" t="str">
        <f>IFERROR(VLOOKUP(J96,Database!$A$2:$S$175,19,FALSE),"-")</f>
        <v>-</v>
      </c>
      <c r="O96" s="103" t="str">
        <f>IF(AND(D96="Y",booking!L96&lt;&gt;booking!M96,booking!M96&gt;0),booking!M96,"-")</f>
        <v>-</v>
      </c>
      <c r="P96" s="86" t="str">
        <f>IFERROR(VLOOKUP(O96,Database!$A$2:$L$175,8,FALSE),"-")</f>
        <v>-</v>
      </c>
      <c r="Q96" s="86" t="str">
        <f>IFERROR(VLOOKUP(O96,Database!$A$2:$L$175,6,FALSE),"-")</f>
        <v>-</v>
      </c>
      <c r="R96" s="90" t="str">
        <f>IFERROR(VLOOKUP(O96,Database!$A$2:$L$175,9,FALSE),"-")</f>
        <v>-</v>
      </c>
      <c r="S96" s="152" t="str">
        <f>IFERROR(VLOOKUP(O96,Database!$A$2:$S$175,19,FALSE),"-")</f>
        <v>-</v>
      </c>
      <c r="T96" s="104" t="str">
        <f>IF(AND(D96="Y",booking!P96&lt;&gt;booking!Q96,booking!Q96&gt;0),booking!Q96,"-")</f>
        <v>-</v>
      </c>
      <c r="U96" s="86" t="str">
        <f>IFERROR(VLOOKUP(T96,Database!$A$2:$L$175,8,FALSE),"-")</f>
        <v>-</v>
      </c>
      <c r="V96" s="86" t="str">
        <f>IFERROR(VLOOKUP(T96,Database!$A$2:$L$175,6,FALSE),"-")</f>
        <v>-</v>
      </c>
      <c r="W96" s="90" t="str">
        <f>IFERROR(VLOOKUP(T96,Database!$A$2:$L$175,9,FALSE),"-")</f>
        <v>-</v>
      </c>
      <c r="X96" s="152" t="str">
        <f>IFERROR(VLOOKUP(T96,Database!$A$2:$S$175,19,FALSE),"-")</f>
        <v>-</v>
      </c>
      <c r="Y96" s="103" t="str">
        <f>IF(AND(D96="Y",booking!T96&lt;&gt;booking!U96,booking!U96&gt;0),booking!U96,"-")</f>
        <v>-</v>
      </c>
      <c r="Z96" s="87" t="str">
        <f>IFERROR(VLOOKUP(Y96,Database!$A$2:$L$175,8,FALSE),"-")</f>
        <v>-</v>
      </c>
      <c r="AA96" s="87" t="str">
        <f>IFERROR(VLOOKUP(Y96,Database!$A$2:$L$175,6,FALSE),"-")</f>
        <v>-</v>
      </c>
      <c r="AB96" s="99" t="str">
        <f>IFERROR(VLOOKUP(Y96,Database!$A$2:$L$175,9,FALSE),"-")</f>
        <v>-</v>
      </c>
      <c r="AC96" s="9" t="str">
        <f>IFERROR(VLOOKUP(Y96,Database!$A$2:$S$175,19,FALSE),"-")</f>
        <v>-</v>
      </c>
    </row>
    <row r="97" spans="1:29" ht="15" customHeight="1" thickBot="1" x14ac:dyDescent="0.4">
      <c r="A97" s="95" t="str">
        <f>rengøring!A97</f>
        <v>fredag</v>
      </c>
      <c r="B97" s="93">
        <v>46598</v>
      </c>
      <c r="C97" s="10"/>
      <c r="D97" s="96" t="str">
        <f>IF(booking!AB97&gt;0,"Y","-")</f>
        <v>-</v>
      </c>
      <c r="E97" s="102" t="str">
        <f>IF(AND(D97="Y",booking!D97&lt;&gt;booking!E97,booking!E97&gt;0),booking!E97,"-")</f>
        <v>-</v>
      </c>
      <c r="F97" s="86" t="str">
        <f>IFERROR(VLOOKUP(E97,Database!$A$2:$L$175,8,FALSE),"-")</f>
        <v>-</v>
      </c>
      <c r="G97" s="86" t="str">
        <f>IFERROR(VLOOKUP(E97,Database!$A$2:$L$175,6,FALSE),"-")</f>
        <v>-</v>
      </c>
      <c r="H97" s="100" t="str">
        <f>IFERROR(VLOOKUP(E97,Database!$A$2:$L$175,9,FALSE),"-")</f>
        <v>-</v>
      </c>
      <c r="I97" s="120" t="str">
        <f>IFERROR(VLOOKUP(E97,Database!$A$2:$S$175,19,FALSE),"-")</f>
        <v>-</v>
      </c>
      <c r="J97" s="103" t="str">
        <f>IF(AND(D97="Y",booking!H97&lt;&gt;booking!I97,booking!I97&gt;0),booking!I97,"-")</f>
        <v>-</v>
      </c>
      <c r="K97" s="86" t="str">
        <f>IFERROR(VLOOKUP(J97,Database!$A$2:$L$175,8,FALSE),"-")</f>
        <v>-</v>
      </c>
      <c r="L97" s="86" t="str">
        <f>IFERROR(VLOOKUP(J97,Database!$A$2:$L$175,6,FALSE),"-")</f>
        <v>-</v>
      </c>
      <c r="M97" s="100" t="str">
        <f>IFERROR(VLOOKUP(J97,Database!$A$2:$L$175,9,FALSE),"-")</f>
        <v>-</v>
      </c>
      <c r="N97" s="152" t="str">
        <f>IFERROR(VLOOKUP(J97,Database!$A$2:$S$175,19,FALSE),"-")</f>
        <v>-</v>
      </c>
      <c r="O97" s="103" t="str">
        <f>IF(AND(D97="Y",booking!L97&lt;&gt;booking!M97,booking!M97&gt;0),booking!M97,"-")</f>
        <v>-</v>
      </c>
      <c r="P97" s="86" t="str">
        <f>IFERROR(VLOOKUP(O97,Database!$A$2:$L$175,8,FALSE),"-")</f>
        <v>-</v>
      </c>
      <c r="Q97" s="86" t="str">
        <f>IFERROR(VLOOKUP(O97,Database!$A$2:$L$175,6,FALSE),"-")</f>
        <v>-</v>
      </c>
      <c r="R97" s="90" t="str">
        <f>IFERROR(VLOOKUP(O97,Database!$A$2:$L$175,9,FALSE),"-")</f>
        <v>-</v>
      </c>
      <c r="S97" s="152" t="str">
        <f>IFERROR(VLOOKUP(O97,Database!$A$2:$S$175,19,FALSE),"-")</f>
        <v>-</v>
      </c>
      <c r="T97" s="104" t="str">
        <f>IF(AND(D97="Y",booking!P97&lt;&gt;booking!Q97,booking!Q97&gt;0),booking!Q97,"-")</f>
        <v>-</v>
      </c>
      <c r="U97" s="86" t="str">
        <f>IFERROR(VLOOKUP(T97,Database!$A$2:$L$175,8,FALSE),"-")</f>
        <v>-</v>
      </c>
      <c r="V97" s="86" t="str">
        <f>IFERROR(VLOOKUP(T97,Database!$A$2:$L$175,6,FALSE),"-")</f>
        <v>-</v>
      </c>
      <c r="W97" s="90" t="str">
        <f>IFERROR(VLOOKUP(T97,Database!$A$2:$L$175,9,FALSE),"-")</f>
        <v>-</v>
      </c>
      <c r="X97" s="152" t="str">
        <f>IFERROR(VLOOKUP(T97,Database!$A$2:$S$175,19,FALSE),"-")</f>
        <v>-</v>
      </c>
      <c r="Y97" s="103" t="str">
        <f>IF(AND(D97="Y",booking!T97&lt;&gt;booking!U97,booking!U97&gt;0),booking!U97,"-")</f>
        <v>-</v>
      </c>
      <c r="Z97" s="87" t="str">
        <f>IFERROR(VLOOKUP(Y97,Database!$A$2:$L$175,8,FALSE),"-")</f>
        <v>-</v>
      </c>
      <c r="AA97" s="87" t="str">
        <f>IFERROR(VLOOKUP(Y97,Database!$A$2:$L$175,6,FALSE),"-")</f>
        <v>-</v>
      </c>
      <c r="AB97" s="99" t="str">
        <f>IFERROR(VLOOKUP(Y97,Database!$A$2:$L$175,9,FALSE),"-")</f>
        <v>-</v>
      </c>
      <c r="AC97" s="9" t="str">
        <f>IFERROR(VLOOKUP(Y97,Database!$A$2:$S$175,19,FALSE),"-")</f>
        <v>-</v>
      </c>
    </row>
    <row r="98" spans="1:29" ht="15" customHeight="1" thickBot="1" x14ac:dyDescent="0.4">
      <c r="A98" s="95" t="str">
        <f>rengøring!A98</f>
        <v>lørdag</v>
      </c>
      <c r="B98" s="93">
        <v>46599</v>
      </c>
      <c r="C98" s="10"/>
      <c r="D98" s="96" t="str">
        <f>IF(booking!AB98&gt;0,"Y","-")</f>
        <v>-</v>
      </c>
      <c r="E98" s="102" t="str">
        <f>IF(AND(D98="Y",booking!D98&lt;&gt;booking!E98,booking!E98&gt;0),booking!E98,"-")</f>
        <v>-</v>
      </c>
      <c r="F98" s="86" t="str">
        <f>IFERROR(VLOOKUP(E98,Database!$A$2:$L$175,8,FALSE),"-")</f>
        <v>-</v>
      </c>
      <c r="G98" s="86" t="str">
        <f>IFERROR(VLOOKUP(E98,Database!$A$2:$L$175,6,FALSE),"-")</f>
        <v>-</v>
      </c>
      <c r="H98" s="100" t="str">
        <f>IFERROR(VLOOKUP(E98,Database!$A$2:$L$175,9,FALSE),"-")</f>
        <v>-</v>
      </c>
      <c r="I98" s="120" t="str">
        <f>IFERROR(VLOOKUP(E98,Database!$A$2:$S$175,19,FALSE),"-")</f>
        <v>-</v>
      </c>
      <c r="J98" s="103" t="str">
        <f>IF(AND(D98="Y",booking!H98&lt;&gt;booking!I98,booking!I98&gt;0),booking!I98,"-")</f>
        <v>-</v>
      </c>
      <c r="K98" s="86" t="str">
        <f>IFERROR(VLOOKUP(J98,Database!$A$2:$L$175,8,FALSE),"-")</f>
        <v>-</v>
      </c>
      <c r="L98" s="86" t="str">
        <f>IFERROR(VLOOKUP(J98,Database!$A$2:$L$175,6,FALSE),"-")</f>
        <v>-</v>
      </c>
      <c r="M98" s="100" t="str">
        <f>IFERROR(VLOOKUP(J98,Database!$A$2:$L$175,9,FALSE),"-")</f>
        <v>-</v>
      </c>
      <c r="N98" s="152" t="str">
        <f>IFERROR(VLOOKUP(J98,Database!$A$2:$S$175,19,FALSE),"-")</f>
        <v>-</v>
      </c>
      <c r="O98" s="103" t="str">
        <f>IF(AND(D98="Y",booking!L98&lt;&gt;booking!M98,booking!M98&gt;0),booking!M98,"-")</f>
        <v>-</v>
      </c>
      <c r="P98" s="86" t="str">
        <f>IFERROR(VLOOKUP(O98,Database!$A$2:$L$175,8,FALSE),"-")</f>
        <v>-</v>
      </c>
      <c r="Q98" s="86" t="str">
        <f>IFERROR(VLOOKUP(O98,Database!$A$2:$L$175,6,FALSE),"-")</f>
        <v>-</v>
      </c>
      <c r="R98" s="90" t="str">
        <f>IFERROR(VLOOKUP(O98,Database!$A$2:$L$175,9,FALSE),"-")</f>
        <v>-</v>
      </c>
      <c r="S98" s="152" t="str">
        <f>IFERROR(VLOOKUP(O98,Database!$A$2:$S$175,19,FALSE),"-")</f>
        <v>-</v>
      </c>
      <c r="T98" s="104" t="str">
        <f>IF(AND(D98="Y",booking!P98&lt;&gt;booking!Q98,booking!Q98&gt;0),booking!Q98,"-")</f>
        <v>-</v>
      </c>
      <c r="U98" s="86" t="str">
        <f>IFERROR(VLOOKUP(T98,Database!$A$2:$L$175,8,FALSE),"-")</f>
        <v>-</v>
      </c>
      <c r="V98" s="86" t="str">
        <f>IFERROR(VLOOKUP(T98,Database!$A$2:$L$175,6,FALSE),"-")</f>
        <v>-</v>
      </c>
      <c r="W98" s="90" t="str">
        <f>IFERROR(VLOOKUP(T98,Database!$A$2:$L$175,9,FALSE),"-")</f>
        <v>-</v>
      </c>
      <c r="X98" s="152" t="str">
        <f>IFERROR(VLOOKUP(T98,Database!$A$2:$S$175,19,FALSE),"-")</f>
        <v>-</v>
      </c>
      <c r="Y98" s="103" t="str">
        <f>IF(AND(D98="Y",booking!T98&lt;&gt;booking!U98,booking!U98&gt;0),booking!U98,"-")</f>
        <v>-</v>
      </c>
      <c r="Z98" s="87" t="str">
        <f>IFERROR(VLOOKUP(Y98,Database!$A$2:$L$175,8,FALSE),"-")</f>
        <v>-</v>
      </c>
      <c r="AA98" s="87" t="str">
        <f>IFERROR(VLOOKUP(Y98,Database!$A$2:$L$175,6,FALSE),"-")</f>
        <v>-</v>
      </c>
      <c r="AB98" s="99" t="str">
        <f>IFERROR(VLOOKUP(Y98,Database!$A$2:$L$175,9,FALSE),"-")</f>
        <v>-</v>
      </c>
      <c r="AC98" s="9" t="str">
        <f>IFERROR(VLOOKUP(Y98,Database!$A$2:$S$175,19,FALSE),"-")</f>
        <v>-</v>
      </c>
    </row>
    <row r="99" spans="1:29" ht="15" customHeight="1" thickBot="1" x14ac:dyDescent="0.4">
      <c r="A99" s="95" t="str">
        <f>rengøring!A99</f>
        <v>søndag</v>
      </c>
      <c r="B99" s="93">
        <v>46600</v>
      </c>
      <c r="C99" s="10"/>
      <c r="D99" s="96" t="str">
        <f>IF(booking!AB99&gt;0,"Y","-")</f>
        <v>-</v>
      </c>
      <c r="E99" s="102" t="str">
        <f>IF(AND(D99="Y",booking!D99&lt;&gt;booking!E99,booking!E99&gt;0),booking!E99,"-")</f>
        <v>-</v>
      </c>
      <c r="F99" s="86" t="str">
        <f>IFERROR(VLOOKUP(E99,Database!$A$2:$L$175,8,FALSE),"-")</f>
        <v>-</v>
      </c>
      <c r="G99" s="86" t="str">
        <f>IFERROR(VLOOKUP(E99,Database!$A$2:$L$175,6,FALSE),"-")</f>
        <v>-</v>
      </c>
      <c r="H99" s="100" t="str">
        <f>IFERROR(VLOOKUP(E99,Database!$A$2:$L$175,9,FALSE),"-")</f>
        <v>-</v>
      </c>
      <c r="I99" s="120" t="str">
        <f>IFERROR(VLOOKUP(E99,Database!$A$2:$S$175,19,FALSE),"-")</f>
        <v>-</v>
      </c>
      <c r="J99" s="103" t="str">
        <f>IF(AND(D99="Y",booking!H99&lt;&gt;booking!I99,booking!I99&gt;0),booking!I99,"-")</f>
        <v>-</v>
      </c>
      <c r="K99" s="86" t="str">
        <f>IFERROR(VLOOKUP(J99,Database!$A$2:$L$175,8,FALSE),"-")</f>
        <v>-</v>
      </c>
      <c r="L99" s="86" t="str">
        <f>IFERROR(VLOOKUP(J99,Database!$A$2:$L$175,6,FALSE),"-")</f>
        <v>-</v>
      </c>
      <c r="M99" s="100" t="str">
        <f>IFERROR(VLOOKUP(J99,Database!$A$2:$L$175,9,FALSE),"-")</f>
        <v>-</v>
      </c>
      <c r="N99" s="152" t="str">
        <f>IFERROR(VLOOKUP(J99,Database!$A$2:$S$175,19,FALSE),"-")</f>
        <v>-</v>
      </c>
      <c r="O99" s="103" t="str">
        <f>IF(AND(D99="Y",booking!L99&lt;&gt;booking!M99,booking!M99&gt;0),booking!M99,"-")</f>
        <v>-</v>
      </c>
      <c r="P99" s="86" t="str">
        <f>IFERROR(VLOOKUP(O99,Database!$A$2:$L$175,8,FALSE),"-")</f>
        <v>-</v>
      </c>
      <c r="Q99" s="86" t="str">
        <f>IFERROR(VLOOKUP(O99,Database!$A$2:$L$175,6,FALSE),"-")</f>
        <v>-</v>
      </c>
      <c r="R99" s="90" t="str">
        <f>IFERROR(VLOOKUP(O99,Database!$A$2:$L$175,9,FALSE),"-")</f>
        <v>-</v>
      </c>
      <c r="S99" s="152" t="str">
        <f>IFERROR(VLOOKUP(O99,Database!$A$2:$S$175,19,FALSE),"-")</f>
        <v>-</v>
      </c>
      <c r="T99" s="104" t="str">
        <f>IF(AND(D99="Y",booking!P99&lt;&gt;booking!Q99,booking!Q99&gt;0),booking!Q99,"-")</f>
        <v>-</v>
      </c>
      <c r="U99" s="86" t="str">
        <f>IFERROR(VLOOKUP(T99,Database!$A$2:$L$175,8,FALSE),"-")</f>
        <v>-</v>
      </c>
      <c r="V99" s="86" t="str">
        <f>IFERROR(VLOOKUP(T99,Database!$A$2:$L$175,6,FALSE),"-")</f>
        <v>-</v>
      </c>
      <c r="W99" s="90" t="str">
        <f>IFERROR(VLOOKUP(T99,Database!$A$2:$L$175,9,FALSE),"-")</f>
        <v>-</v>
      </c>
      <c r="X99" s="152" t="str">
        <f>IFERROR(VLOOKUP(T99,Database!$A$2:$S$175,19,FALSE),"-")</f>
        <v>-</v>
      </c>
      <c r="Y99" s="103" t="str">
        <f>IF(AND(D99="Y",booking!T99&lt;&gt;booking!U99,booking!U99&gt;0),booking!U99,"-")</f>
        <v>-</v>
      </c>
      <c r="Z99" s="87" t="str">
        <f>IFERROR(VLOOKUP(Y99,Database!$A$2:$L$175,8,FALSE),"-")</f>
        <v>-</v>
      </c>
      <c r="AA99" s="87" t="str">
        <f>IFERROR(VLOOKUP(Y99,Database!$A$2:$L$175,6,FALSE),"-")</f>
        <v>-</v>
      </c>
      <c r="AB99" s="99" t="str">
        <f>IFERROR(VLOOKUP(Y99,Database!$A$2:$L$175,9,FALSE),"-")</f>
        <v>-</v>
      </c>
      <c r="AC99" s="9" t="str">
        <f>IFERROR(VLOOKUP(Y99,Database!$A$2:$S$175,19,FALSE),"-")</f>
        <v>-</v>
      </c>
    </row>
    <row r="100" spans="1:29" ht="15" customHeight="1" thickBot="1" x14ac:dyDescent="0.4">
      <c r="A100" s="95" t="str">
        <f>rengøring!A100</f>
        <v>mandag</v>
      </c>
      <c r="B100" s="93">
        <v>46601</v>
      </c>
      <c r="C100" s="10"/>
      <c r="D100" s="96" t="str">
        <f>IF(booking!AB100&gt;0,"Y","-")</f>
        <v>-</v>
      </c>
      <c r="E100" s="102" t="str">
        <f>IF(AND(D100="Y",booking!D100&lt;&gt;booking!E100,booking!E100&gt;0),booking!E100,"-")</f>
        <v>-</v>
      </c>
      <c r="F100" s="86" t="str">
        <f>IFERROR(VLOOKUP(E100,Database!$A$2:$L$175,8,FALSE),"-")</f>
        <v>-</v>
      </c>
      <c r="G100" s="86" t="str">
        <f>IFERROR(VLOOKUP(E100,Database!$A$2:$L$175,6,FALSE),"-")</f>
        <v>-</v>
      </c>
      <c r="H100" s="100" t="str">
        <f>IFERROR(VLOOKUP(E100,Database!$A$2:$L$175,9,FALSE),"-")</f>
        <v>-</v>
      </c>
      <c r="I100" s="120" t="str">
        <f>IFERROR(VLOOKUP(E100,Database!$A$2:$S$175,19,FALSE),"-")</f>
        <v>-</v>
      </c>
      <c r="J100" s="103" t="str">
        <f>IF(AND(D100="Y",booking!H100&lt;&gt;booking!I100,booking!I100&gt;0),booking!I100,"-")</f>
        <v>-</v>
      </c>
      <c r="K100" s="86" t="str">
        <f>IFERROR(VLOOKUP(J100,Database!$A$2:$L$175,8,FALSE),"-")</f>
        <v>-</v>
      </c>
      <c r="L100" s="86" t="str">
        <f>IFERROR(VLOOKUP(J100,Database!$A$2:$L$175,6,FALSE),"-")</f>
        <v>-</v>
      </c>
      <c r="M100" s="100" t="str">
        <f>IFERROR(VLOOKUP(J100,Database!$A$2:$L$175,9,FALSE),"-")</f>
        <v>-</v>
      </c>
      <c r="N100" s="152" t="str">
        <f>IFERROR(VLOOKUP(J100,Database!$A$2:$S$175,19,FALSE),"-")</f>
        <v>-</v>
      </c>
      <c r="O100" s="103" t="str">
        <f>IF(AND(D100="Y",booking!L100&lt;&gt;booking!M100,booking!M100&gt;0),booking!M100,"-")</f>
        <v>-</v>
      </c>
      <c r="P100" s="86" t="str">
        <f>IFERROR(VLOOKUP(O100,Database!$A$2:$L$175,8,FALSE),"-")</f>
        <v>-</v>
      </c>
      <c r="Q100" s="86" t="str">
        <f>IFERROR(VLOOKUP(O100,Database!$A$2:$L$175,6,FALSE),"-")</f>
        <v>-</v>
      </c>
      <c r="R100" s="90" t="str">
        <f>IFERROR(VLOOKUP(O100,Database!$A$2:$L$175,9,FALSE),"-")</f>
        <v>-</v>
      </c>
      <c r="S100" s="152" t="str">
        <f>IFERROR(VLOOKUP(O100,Database!$A$2:$S$175,19,FALSE),"-")</f>
        <v>-</v>
      </c>
      <c r="T100" s="104" t="str">
        <f>IF(AND(D100="Y",booking!P100&lt;&gt;booking!Q100,booking!Q100&gt;0),booking!Q100,"-")</f>
        <v>-</v>
      </c>
      <c r="U100" s="86" t="str">
        <f>IFERROR(VLOOKUP(T100,Database!$A$2:$L$175,8,FALSE),"-")</f>
        <v>-</v>
      </c>
      <c r="V100" s="86" t="str">
        <f>IFERROR(VLOOKUP(T100,Database!$A$2:$L$175,6,FALSE),"-")</f>
        <v>-</v>
      </c>
      <c r="W100" s="90" t="str">
        <f>IFERROR(VLOOKUP(T100,Database!$A$2:$L$175,9,FALSE),"-")</f>
        <v>-</v>
      </c>
      <c r="X100" s="152" t="str">
        <f>IFERROR(VLOOKUP(T100,Database!$A$2:$S$175,19,FALSE),"-")</f>
        <v>-</v>
      </c>
      <c r="Y100" s="103" t="str">
        <f>IF(AND(D100="Y",booking!T100&lt;&gt;booking!U100,booking!U100&gt;0),booking!U100,"-")</f>
        <v>-</v>
      </c>
      <c r="Z100" s="87" t="str">
        <f>IFERROR(VLOOKUP(Y100,Database!$A$2:$L$175,8,FALSE),"-")</f>
        <v>-</v>
      </c>
      <c r="AA100" s="87" t="str">
        <f>IFERROR(VLOOKUP(Y100,Database!$A$2:$L$175,6,FALSE),"-")</f>
        <v>-</v>
      </c>
      <c r="AB100" s="99" t="str">
        <f>IFERROR(VLOOKUP(Y100,Database!$A$2:$L$175,9,FALSE),"-")</f>
        <v>-</v>
      </c>
      <c r="AC100" s="9" t="str">
        <f>IFERROR(VLOOKUP(Y100,Database!$A$2:$S$175,19,FALSE),"-")</f>
        <v>-</v>
      </c>
    </row>
    <row r="101" spans="1:29" ht="15" customHeight="1" thickBot="1" x14ac:dyDescent="0.4">
      <c r="A101" s="95" t="str">
        <f>rengøring!A101</f>
        <v>tirsdag</v>
      </c>
      <c r="B101" s="93">
        <v>46602</v>
      </c>
      <c r="C101" s="10"/>
      <c r="D101" s="96" t="str">
        <f>IF(booking!AB101&gt;0,"Y","-")</f>
        <v>-</v>
      </c>
      <c r="E101" s="102" t="str">
        <f>IF(AND(D101="Y",booking!D101&lt;&gt;booking!E101,booking!E101&gt;0),booking!E101,"-")</f>
        <v>-</v>
      </c>
      <c r="F101" s="86" t="str">
        <f>IFERROR(VLOOKUP(E101,Database!$A$2:$L$175,8,FALSE),"-")</f>
        <v>-</v>
      </c>
      <c r="G101" s="86" t="str">
        <f>IFERROR(VLOOKUP(E101,Database!$A$2:$L$175,6,FALSE),"-")</f>
        <v>-</v>
      </c>
      <c r="H101" s="100" t="str">
        <f>IFERROR(VLOOKUP(E101,Database!$A$2:$L$175,9,FALSE),"-")</f>
        <v>-</v>
      </c>
      <c r="I101" s="120" t="str">
        <f>IFERROR(VLOOKUP(E101,Database!$A$2:$S$175,19,FALSE),"-")</f>
        <v>-</v>
      </c>
      <c r="J101" s="103" t="str">
        <f>IF(AND(D101="Y",booking!H101&lt;&gt;booking!I101,booking!I101&gt;0),booking!I101,"-")</f>
        <v>-</v>
      </c>
      <c r="K101" s="86" t="str">
        <f>IFERROR(VLOOKUP(J101,Database!$A$2:$L$175,8,FALSE),"-")</f>
        <v>-</v>
      </c>
      <c r="L101" s="86" t="str">
        <f>IFERROR(VLOOKUP(J101,Database!$A$2:$L$175,6,FALSE),"-")</f>
        <v>-</v>
      </c>
      <c r="M101" s="100" t="str">
        <f>IFERROR(VLOOKUP(J101,Database!$A$2:$L$175,9,FALSE),"-")</f>
        <v>-</v>
      </c>
      <c r="N101" s="152" t="str">
        <f>IFERROR(VLOOKUP(J101,Database!$A$2:$S$175,19,FALSE),"-")</f>
        <v>-</v>
      </c>
      <c r="O101" s="103" t="str">
        <f>IF(AND(D101="Y",booking!L101&lt;&gt;booking!M101,booking!M101&gt;0),booking!M101,"-")</f>
        <v>-</v>
      </c>
      <c r="P101" s="86" t="str">
        <f>IFERROR(VLOOKUP(O101,Database!$A$2:$L$175,8,FALSE),"-")</f>
        <v>-</v>
      </c>
      <c r="Q101" s="86" t="str">
        <f>IFERROR(VLOOKUP(O101,Database!$A$2:$L$175,6,FALSE),"-")</f>
        <v>-</v>
      </c>
      <c r="R101" s="90" t="str">
        <f>IFERROR(VLOOKUP(O101,Database!$A$2:$L$175,9,FALSE),"-")</f>
        <v>-</v>
      </c>
      <c r="S101" s="152" t="str">
        <f>IFERROR(VLOOKUP(O101,Database!$A$2:$S$175,19,FALSE),"-")</f>
        <v>-</v>
      </c>
      <c r="T101" s="104" t="str">
        <f>IF(AND(D101="Y",booking!P101&lt;&gt;booking!Q101,booking!Q101&gt;0),booking!Q101,"-")</f>
        <v>-</v>
      </c>
      <c r="U101" s="86" t="str">
        <f>IFERROR(VLOOKUP(T101,Database!$A$2:$L$175,8,FALSE),"-")</f>
        <v>-</v>
      </c>
      <c r="V101" s="86" t="str">
        <f>IFERROR(VLOOKUP(T101,Database!$A$2:$L$175,6,FALSE),"-")</f>
        <v>-</v>
      </c>
      <c r="W101" s="90" t="str">
        <f>IFERROR(VLOOKUP(T101,Database!$A$2:$L$175,9,FALSE),"-")</f>
        <v>-</v>
      </c>
      <c r="X101" s="152" t="str">
        <f>IFERROR(VLOOKUP(T101,Database!$A$2:$S$175,19,FALSE),"-")</f>
        <v>-</v>
      </c>
      <c r="Y101" s="103" t="str">
        <f>IF(AND(D101="Y",booking!T101&lt;&gt;booking!U101,booking!U101&gt;0),booking!U101,"-")</f>
        <v>-</v>
      </c>
      <c r="Z101" s="87" t="str">
        <f>IFERROR(VLOOKUP(Y101,Database!$A$2:$L$175,8,FALSE),"-")</f>
        <v>-</v>
      </c>
      <c r="AA101" s="87" t="str">
        <f>IFERROR(VLOOKUP(Y101,Database!$A$2:$L$175,6,FALSE),"-")</f>
        <v>-</v>
      </c>
      <c r="AB101" s="99" t="str">
        <f>IFERROR(VLOOKUP(Y101,Database!$A$2:$L$175,9,FALSE),"-")</f>
        <v>-</v>
      </c>
      <c r="AC101" s="9" t="str">
        <f>IFERROR(VLOOKUP(Y101,Database!$A$2:$S$175,19,FALSE),"-")</f>
        <v>-</v>
      </c>
    </row>
    <row r="102" spans="1:29" ht="15" customHeight="1" thickBot="1" x14ac:dyDescent="0.4">
      <c r="A102" s="95" t="str">
        <f>rengøring!A102</f>
        <v>onsdag</v>
      </c>
      <c r="B102" s="93">
        <v>46603</v>
      </c>
      <c r="C102" s="10"/>
      <c r="D102" s="96" t="str">
        <f>IF(booking!AB102&gt;0,"Y","-")</f>
        <v>-</v>
      </c>
      <c r="E102" s="102" t="str">
        <f>IF(AND(D102="Y",booking!D102&lt;&gt;booking!E102,booking!E102&gt;0),booking!E102,"-")</f>
        <v>-</v>
      </c>
      <c r="F102" s="86" t="str">
        <f>IFERROR(VLOOKUP(E102,Database!$A$2:$L$175,8,FALSE),"-")</f>
        <v>-</v>
      </c>
      <c r="G102" s="86" t="str">
        <f>IFERROR(VLOOKUP(E102,Database!$A$2:$L$175,6,FALSE),"-")</f>
        <v>-</v>
      </c>
      <c r="H102" s="100" t="str">
        <f>IFERROR(VLOOKUP(E102,Database!$A$2:$L$175,9,FALSE),"-")</f>
        <v>-</v>
      </c>
      <c r="I102" s="120" t="str">
        <f>IFERROR(VLOOKUP(E102,Database!$A$2:$S$175,19,FALSE),"-")</f>
        <v>-</v>
      </c>
      <c r="J102" s="103" t="str">
        <f>IF(AND(D102="Y",booking!H102&lt;&gt;booking!I102,booking!I102&gt;0),booking!I102,"-")</f>
        <v>-</v>
      </c>
      <c r="K102" s="86" t="str">
        <f>IFERROR(VLOOKUP(J102,Database!$A$2:$L$175,8,FALSE),"-")</f>
        <v>-</v>
      </c>
      <c r="L102" s="86" t="str">
        <f>IFERROR(VLOOKUP(J102,Database!$A$2:$L$175,6,FALSE),"-")</f>
        <v>-</v>
      </c>
      <c r="M102" s="100" t="str">
        <f>IFERROR(VLOOKUP(J102,Database!$A$2:$L$175,9,FALSE),"-")</f>
        <v>-</v>
      </c>
      <c r="N102" s="152" t="str">
        <f>IFERROR(VLOOKUP(J102,Database!$A$2:$S$175,19,FALSE),"-")</f>
        <v>-</v>
      </c>
      <c r="O102" s="103" t="str">
        <f>IF(AND(D102="Y",booking!L102&lt;&gt;booking!M102,booking!M102&gt;0),booking!M102,"-")</f>
        <v>-</v>
      </c>
      <c r="P102" s="86" t="str">
        <f>IFERROR(VLOOKUP(O102,Database!$A$2:$L$175,8,FALSE),"-")</f>
        <v>-</v>
      </c>
      <c r="Q102" s="86" t="str">
        <f>IFERROR(VLOOKUP(O102,Database!$A$2:$L$175,6,FALSE),"-")</f>
        <v>-</v>
      </c>
      <c r="R102" s="90" t="str">
        <f>IFERROR(VLOOKUP(O102,Database!$A$2:$L$175,9,FALSE),"-")</f>
        <v>-</v>
      </c>
      <c r="S102" s="152" t="str">
        <f>IFERROR(VLOOKUP(O102,Database!$A$2:$S$175,19,FALSE),"-")</f>
        <v>-</v>
      </c>
      <c r="T102" s="104" t="str">
        <f>IF(AND(D102="Y",booking!P102&lt;&gt;booking!Q102,booking!Q102&gt;0),booking!Q102,"-")</f>
        <v>-</v>
      </c>
      <c r="U102" s="86" t="str">
        <f>IFERROR(VLOOKUP(T102,Database!$A$2:$L$175,8,FALSE),"-")</f>
        <v>-</v>
      </c>
      <c r="V102" s="86" t="str">
        <f>IFERROR(VLOOKUP(T102,Database!$A$2:$L$175,6,FALSE),"-")</f>
        <v>-</v>
      </c>
      <c r="W102" s="90" t="str">
        <f>IFERROR(VLOOKUP(T102,Database!$A$2:$L$175,9,FALSE),"-")</f>
        <v>-</v>
      </c>
      <c r="X102" s="152" t="str">
        <f>IFERROR(VLOOKUP(T102,Database!$A$2:$S$175,19,FALSE),"-")</f>
        <v>-</v>
      </c>
      <c r="Y102" s="103" t="str">
        <f>IF(AND(D102="Y",booking!T102&lt;&gt;booking!U102,booking!U102&gt;0),booking!U102,"-")</f>
        <v>-</v>
      </c>
      <c r="Z102" s="87" t="str">
        <f>IFERROR(VLOOKUP(Y102,Database!$A$2:$L$175,8,FALSE),"-")</f>
        <v>-</v>
      </c>
      <c r="AA102" s="87" t="str">
        <f>IFERROR(VLOOKUP(Y102,Database!$A$2:$L$175,6,FALSE),"-")</f>
        <v>-</v>
      </c>
      <c r="AB102" s="99" t="str">
        <f>IFERROR(VLOOKUP(Y102,Database!$A$2:$L$175,9,FALSE),"-")</f>
        <v>-</v>
      </c>
      <c r="AC102" s="9" t="str">
        <f>IFERROR(VLOOKUP(Y102,Database!$A$2:$S$175,19,FALSE),"-")</f>
        <v>-</v>
      </c>
    </row>
    <row r="103" spans="1:29" ht="15" customHeight="1" thickBot="1" x14ac:dyDescent="0.4">
      <c r="A103" s="95" t="str">
        <f>rengøring!A103</f>
        <v>torsdag</v>
      </c>
      <c r="B103" s="93">
        <v>46604</v>
      </c>
      <c r="C103" s="10"/>
      <c r="D103" s="96" t="str">
        <f>IF(booking!AB103&gt;0,"Y","-")</f>
        <v>-</v>
      </c>
      <c r="E103" s="102" t="str">
        <f>IF(AND(D103="Y",booking!D103&lt;&gt;booking!E103,booking!E103&gt;0),booking!E103,"-")</f>
        <v>-</v>
      </c>
      <c r="F103" s="86" t="str">
        <f>IFERROR(VLOOKUP(E103,Database!$A$2:$L$175,8,FALSE),"-")</f>
        <v>-</v>
      </c>
      <c r="G103" s="86" t="str">
        <f>IFERROR(VLOOKUP(E103,Database!$A$2:$L$175,6,FALSE),"-")</f>
        <v>-</v>
      </c>
      <c r="H103" s="100" t="str">
        <f>IFERROR(VLOOKUP(E103,Database!$A$2:$L$175,9,FALSE),"-")</f>
        <v>-</v>
      </c>
      <c r="I103" s="120" t="str">
        <f>IFERROR(VLOOKUP(E103,Database!$A$2:$S$175,19,FALSE),"-")</f>
        <v>-</v>
      </c>
      <c r="J103" s="103" t="str">
        <f>IF(AND(D103="Y",booking!H103&lt;&gt;booking!I103,booking!I103&gt;0),booking!I103,"-")</f>
        <v>-</v>
      </c>
      <c r="K103" s="86" t="str">
        <f>IFERROR(VLOOKUP(J103,Database!$A$2:$L$175,8,FALSE),"-")</f>
        <v>-</v>
      </c>
      <c r="L103" s="86" t="str">
        <f>IFERROR(VLOOKUP(J103,Database!$A$2:$L$175,6,FALSE),"-")</f>
        <v>-</v>
      </c>
      <c r="M103" s="100" t="str">
        <f>IFERROR(VLOOKUP(J103,Database!$A$2:$L$175,9,FALSE),"-")</f>
        <v>-</v>
      </c>
      <c r="N103" s="152" t="str">
        <f>IFERROR(VLOOKUP(J103,Database!$A$2:$S$175,19,FALSE),"-")</f>
        <v>-</v>
      </c>
      <c r="O103" s="103" t="str">
        <f>IF(AND(D103="Y",booking!L103&lt;&gt;booking!M103,booking!M103&gt;0),booking!M103,"-")</f>
        <v>-</v>
      </c>
      <c r="P103" s="86" t="str">
        <f>IFERROR(VLOOKUP(O103,Database!$A$2:$L$175,8,FALSE),"-")</f>
        <v>-</v>
      </c>
      <c r="Q103" s="86" t="str">
        <f>IFERROR(VLOOKUP(O103,Database!$A$2:$L$175,6,FALSE),"-")</f>
        <v>-</v>
      </c>
      <c r="R103" s="90" t="str">
        <f>IFERROR(VLOOKUP(O103,Database!$A$2:$L$175,9,FALSE),"-")</f>
        <v>-</v>
      </c>
      <c r="S103" s="152" t="str">
        <f>IFERROR(VLOOKUP(O103,Database!$A$2:$S$175,19,FALSE),"-")</f>
        <v>-</v>
      </c>
      <c r="T103" s="104" t="str">
        <f>IF(AND(D103="Y",booking!P103&lt;&gt;booking!Q103,booking!Q103&gt;0),booking!Q103,"-")</f>
        <v>-</v>
      </c>
      <c r="U103" s="86" t="str">
        <f>IFERROR(VLOOKUP(T103,Database!$A$2:$L$175,8,FALSE),"-")</f>
        <v>-</v>
      </c>
      <c r="V103" s="86" t="str">
        <f>IFERROR(VLOOKUP(T103,Database!$A$2:$L$175,6,FALSE),"-")</f>
        <v>-</v>
      </c>
      <c r="W103" s="90" t="str">
        <f>IFERROR(VLOOKUP(T103,Database!$A$2:$L$175,9,FALSE),"-")</f>
        <v>-</v>
      </c>
      <c r="X103" s="152" t="str">
        <f>IFERROR(VLOOKUP(T103,Database!$A$2:$S$175,19,FALSE),"-")</f>
        <v>-</v>
      </c>
      <c r="Y103" s="103" t="str">
        <f>IF(AND(D103="Y",booking!T103&lt;&gt;booking!U103,booking!U103&gt;0),booking!U103,"-")</f>
        <v>-</v>
      </c>
      <c r="Z103" s="87" t="str">
        <f>IFERROR(VLOOKUP(Y103,Database!$A$2:$L$175,8,FALSE),"-")</f>
        <v>-</v>
      </c>
      <c r="AA103" s="87" t="str">
        <f>IFERROR(VLOOKUP(Y103,Database!$A$2:$L$175,6,FALSE),"-")</f>
        <v>-</v>
      </c>
      <c r="AB103" s="99" t="str">
        <f>IFERROR(VLOOKUP(Y103,Database!$A$2:$L$175,9,FALSE),"-")</f>
        <v>-</v>
      </c>
      <c r="AC103" s="9" t="str">
        <f>IFERROR(VLOOKUP(Y103,Database!$A$2:$S$175,19,FALSE),"-")</f>
        <v>-</v>
      </c>
    </row>
    <row r="104" spans="1:29" ht="15" customHeight="1" thickBot="1" x14ac:dyDescent="0.4">
      <c r="A104" s="95" t="str">
        <f>rengøring!A104</f>
        <v>fredag</v>
      </c>
      <c r="B104" s="93">
        <v>46605</v>
      </c>
      <c r="C104" s="10"/>
      <c r="D104" s="96" t="str">
        <f>IF(booking!AB104&gt;0,"Y","-")</f>
        <v>-</v>
      </c>
      <c r="E104" s="102" t="str">
        <f>IF(AND(D104="Y",booking!D104&lt;&gt;booking!E104,booking!E104&gt;0),booking!E104,"-")</f>
        <v>-</v>
      </c>
      <c r="F104" s="86" t="str">
        <f>IFERROR(VLOOKUP(E104,Database!$A$2:$L$175,8,FALSE),"-")</f>
        <v>-</v>
      </c>
      <c r="G104" s="86" t="str">
        <f>IFERROR(VLOOKUP(E104,Database!$A$2:$L$175,6,FALSE),"-")</f>
        <v>-</v>
      </c>
      <c r="H104" s="100" t="str">
        <f>IFERROR(VLOOKUP(E104,Database!$A$2:$L$175,9,FALSE),"-")</f>
        <v>-</v>
      </c>
      <c r="I104" s="120" t="str">
        <f>IFERROR(VLOOKUP(E104,Database!$A$2:$S$175,19,FALSE),"-")</f>
        <v>-</v>
      </c>
      <c r="J104" s="103" t="str">
        <f>IF(AND(D104="Y",booking!H104&lt;&gt;booking!I104,booking!I104&gt;0),booking!I104,"-")</f>
        <v>-</v>
      </c>
      <c r="K104" s="86" t="str">
        <f>IFERROR(VLOOKUP(J104,Database!$A$2:$L$175,8,FALSE),"-")</f>
        <v>-</v>
      </c>
      <c r="L104" s="86" t="str">
        <f>IFERROR(VLOOKUP(J104,Database!$A$2:$L$175,6,FALSE),"-")</f>
        <v>-</v>
      </c>
      <c r="M104" s="100" t="str">
        <f>IFERROR(VLOOKUP(J104,Database!$A$2:$L$175,9,FALSE),"-")</f>
        <v>-</v>
      </c>
      <c r="N104" s="152" t="str">
        <f>IFERROR(VLOOKUP(J104,Database!$A$2:$S$175,19,FALSE),"-")</f>
        <v>-</v>
      </c>
      <c r="O104" s="103" t="str">
        <f>IF(AND(D104="Y",booking!L104&lt;&gt;booking!M104,booking!M104&gt;0),booking!M104,"-")</f>
        <v>-</v>
      </c>
      <c r="P104" s="86" t="str">
        <f>IFERROR(VLOOKUP(O104,Database!$A$2:$L$175,8,FALSE),"-")</f>
        <v>-</v>
      </c>
      <c r="Q104" s="86" t="str">
        <f>IFERROR(VLOOKUP(O104,Database!$A$2:$L$175,6,FALSE),"-")</f>
        <v>-</v>
      </c>
      <c r="R104" s="90" t="str">
        <f>IFERROR(VLOOKUP(O104,Database!$A$2:$L$175,9,FALSE),"-")</f>
        <v>-</v>
      </c>
      <c r="S104" s="152" t="str">
        <f>IFERROR(VLOOKUP(O104,Database!$A$2:$S$175,19,FALSE),"-")</f>
        <v>-</v>
      </c>
      <c r="T104" s="104" t="str">
        <f>IF(AND(D104="Y",booking!P104&lt;&gt;booking!Q104,booking!Q104&gt;0),booking!Q104,"-")</f>
        <v>-</v>
      </c>
      <c r="U104" s="86" t="str">
        <f>IFERROR(VLOOKUP(T104,Database!$A$2:$L$175,8,FALSE),"-")</f>
        <v>-</v>
      </c>
      <c r="V104" s="86" t="str">
        <f>IFERROR(VLOOKUP(T104,Database!$A$2:$L$175,6,FALSE),"-")</f>
        <v>-</v>
      </c>
      <c r="W104" s="90" t="str">
        <f>IFERROR(VLOOKUP(T104,Database!$A$2:$L$175,9,FALSE),"-")</f>
        <v>-</v>
      </c>
      <c r="X104" s="152" t="str">
        <f>IFERROR(VLOOKUP(T104,Database!$A$2:$S$175,19,FALSE),"-")</f>
        <v>-</v>
      </c>
      <c r="Y104" s="103" t="str">
        <f>IF(AND(D104="Y",booking!T104&lt;&gt;booking!U104,booking!U104&gt;0),booking!U104,"-")</f>
        <v>-</v>
      </c>
      <c r="Z104" s="87" t="str">
        <f>IFERROR(VLOOKUP(Y104,Database!$A$2:$L$175,8,FALSE),"-")</f>
        <v>-</v>
      </c>
      <c r="AA104" s="87" t="str">
        <f>IFERROR(VLOOKUP(Y104,Database!$A$2:$L$175,6,FALSE),"-")</f>
        <v>-</v>
      </c>
      <c r="AB104" s="99" t="str">
        <f>IFERROR(VLOOKUP(Y104,Database!$A$2:$L$175,9,FALSE),"-")</f>
        <v>-</v>
      </c>
      <c r="AC104" s="9" t="str">
        <f>IFERROR(VLOOKUP(Y104,Database!$A$2:$S$175,19,FALSE),"-")</f>
        <v>-</v>
      </c>
    </row>
    <row r="105" spans="1:29" ht="15" customHeight="1" thickBot="1" x14ac:dyDescent="0.4">
      <c r="A105" s="95" t="str">
        <f>rengøring!A105</f>
        <v>lørdag</v>
      </c>
      <c r="B105" s="93">
        <v>46606</v>
      </c>
      <c r="C105" s="10"/>
      <c r="D105" s="96" t="str">
        <f>IF(booking!AB105&gt;0,"Y","-")</f>
        <v>-</v>
      </c>
      <c r="E105" s="102" t="str">
        <f>IF(AND(D105="Y",booking!D105&lt;&gt;booking!E105,booking!E105&gt;0),booking!E105,"-")</f>
        <v>-</v>
      </c>
      <c r="F105" s="86" t="str">
        <f>IFERROR(VLOOKUP(E105,Database!$A$2:$L$175,8,FALSE),"-")</f>
        <v>-</v>
      </c>
      <c r="G105" s="86" t="str">
        <f>IFERROR(VLOOKUP(E105,Database!$A$2:$L$175,6,FALSE),"-")</f>
        <v>-</v>
      </c>
      <c r="H105" s="100" t="str">
        <f>IFERROR(VLOOKUP(E105,Database!$A$2:$L$175,9,FALSE),"-")</f>
        <v>-</v>
      </c>
      <c r="I105" s="120" t="str">
        <f>IFERROR(VLOOKUP(E105,Database!$A$2:$S$175,19,FALSE),"-")</f>
        <v>-</v>
      </c>
      <c r="J105" s="103" t="str">
        <f>IF(AND(D105="Y",booking!H105&lt;&gt;booking!I105,booking!I105&gt;0),booking!I105,"-")</f>
        <v>-</v>
      </c>
      <c r="K105" s="86" t="str">
        <f>IFERROR(VLOOKUP(J105,Database!$A$2:$L$175,8,FALSE),"-")</f>
        <v>-</v>
      </c>
      <c r="L105" s="86" t="str">
        <f>IFERROR(VLOOKUP(J105,Database!$A$2:$L$175,6,FALSE),"-")</f>
        <v>-</v>
      </c>
      <c r="M105" s="100" t="str">
        <f>IFERROR(VLOOKUP(J105,Database!$A$2:$L$175,9,FALSE),"-")</f>
        <v>-</v>
      </c>
      <c r="N105" s="152" t="str">
        <f>IFERROR(VLOOKUP(J105,Database!$A$2:$S$175,19,FALSE),"-")</f>
        <v>-</v>
      </c>
      <c r="O105" s="103" t="str">
        <f>IF(AND(D105="Y",booking!L105&lt;&gt;booking!M105,booking!M105&gt;0),booking!M105,"-")</f>
        <v>-</v>
      </c>
      <c r="P105" s="86" t="str">
        <f>IFERROR(VLOOKUP(O105,Database!$A$2:$L$175,8,FALSE),"-")</f>
        <v>-</v>
      </c>
      <c r="Q105" s="86" t="str">
        <f>IFERROR(VLOOKUP(O105,Database!$A$2:$L$175,6,FALSE),"-")</f>
        <v>-</v>
      </c>
      <c r="R105" s="90" t="str">
        <f>IFERROR(VLOOKUP(O105,Database!$A$2:$L$175,9,FALSE),"-")</f>
        <v>-</v>
      </c>
      <c r="S105" s="152" t="str">
        <f>IFERROR(VLOOKUP(O105,Database!$A$2:$S$175,19,FALSE),"-")</f>
        <v>-</v>
      </c>
      <c r="T105" s="104" t="str">
        <f>IF(AND(D105="Y",booking!P105&lt;&gt;booking!Q105,booking!Q105&gt;0),booking!Q105,"-")</f>
        <v>-</v>
      </c>
      <c r="U105" s="86" t="str">
        <f>IFERROR(VLOOKUP(T105,Database!$A$2:$L$175,8,FALSE),"-")</f>
        <v>-</v>
      </c>
      <c r="V105" s="86" t="str">
        <f>IFERROR(VLOOKUP(T105,Database!$A$2:$L$175,6,FALSE),"-")</f>
        <v>-</v>
      </c>
      <c r="W105" s="90" t="str">
        <f>IFERROR(VLOOKUP(T105,Database!$A$2:$L$175,9,FALSE),"-")</f>
        <v>-</v>
      </c>
      <c r="X105" s="152" t="str">
        <f>IFERROR(VLOOKUP(T105,Database!$A$2:$S$175,19,FALSE),"-")</f>
        <v>-</v>
      </c>
      <c r="Y105" s="103" t="str">
        <f>IF(AND(D105="Y",booking!T105&lt;&gt;booking!U105,booking!U105&gt;0),booking!U105,"-")</f>
        <v>-</v>
      </c>
      <c r="Z105" s="87" t="str">
        <f>IFERROR(VLOOKUP(Y105,Database!$A$2:$L$175,8,FALSE),"-")</f>
        <v>-</v>
      </c>
      <c r="AA105" s="87" t="str">
        <f>IFERROR(VLOOKUP(Y105,Database!$A$2:$L$175,6,FALSE),"-")</f>
        <v>-</v>
      </c>
      <c r="AB105" s="99" t="str">
        <f>IFERROR(VLOOKUP(Y105,Database!$A$2:$L$175,9,FALSE),"-")</f>
        <v>-</v>
      </c>
      <c r="AC105" s="9" t="str">
        <f>IFERROR(VLOOKUP(Y105,Database!$A$2:$S$175,19,FALSE),"-")</f>
        <v>-</v>
      </c>
    </row>
    <row r="106" spans="1:29" ht="15" customHeight="1" thickBot="1" x14ac:dyDescent="0.4">
      <c r="A106" s="95" t="str">
        <f>rengøring!A106</f>
        <v>søndag</v>
      </c>
      <c r="B106" s="93">
        <v>46607</v>
      </c>
      <c r="C106" s="10"/>
      <c r="D106" s="96" t="str">
        <f>IF(booking!AB106&gt;0,"Y","-")</f>
        <v>-</v>
      </c>
      <c r="E106" s="102" t="str">
        <f>IF(AND(D106="Y",booking!D106&lt;&gt;booking!E106,booking!E106&gt;0),booking!E106,"-")</f>
        <v>-</v>
      </c>
      <c r="F106" s="86" t="str">
        <f>IFERROR(VLOOKUP(E106,Database!$A$2:$L$175,8,FALSE),"-")</f>
        <v>-</v>
      </c>
      <c r="G106" s="86" t="str">
        <f>IFERROR(VLOOKUP(E106,Database!$A$2:$L$175,6,FALSE),"-")</f>
        <v>-</v>
      </c>
      <c r="H106" s="100" t="str">
        <f>IFERROR(VLOOKUP(E106,Database!$A$2:$L$175,9,FALSE),"-")</f>
        <v>-</v>
      </c>
      <c r="I106" s="120" t="str">
        <f>IFERROR(VLOOKUP(E106,Database!$A$2:$S$175,19,FALSE),"-")</f>
        <v>-</v>
      </c>
      <c r="J106" s="103" t="str">
        <f>IF(AND(D106="Y",booking!H106&lt;&gt;booking!I106,booking!I106&gt;0),booking!I106,"-")</f>
        <v>-</v>
      </c>
      <c r="K106" s="86" t="str">
        <f>IFERROR(VLOOKUP(J106,Database!$A$2:$L$175,8,FALSE),"-")</f>
        <v>-</v>
      </c>
      <c r="L106" s="86" t="str">
        <f>IFERROR(VLOOKUP(J106,Database!$A$2:$L$175,6,FALSE),"-")</f>
        <v>-</v>
      </c>
      <c r="M106" s="100" t="str">
        <f>IFERROR(VLOOKUP(J106,Database!$A$2:$L$175,9,FALSE),"-")</f>
        <v>-</v>
      </c>
      <c r="N106" s="152" t="str">
        <f>IFERROR(VLOOKUP(J106,Database!$A$2:$S$175,19,FALSE),"-")</f>
        <v>-</v>
      </c>
      <c r="O106" s="103" t="str">
        <f>IF(AND(D106="Y",booking!L106&lt;&gt;booking!M106,booking!M106&gt;0),booking!M106,"-")</f>
        <v>-</v>
      </c>
      <c r="P106" s="86" t="str">
        <f>IFERROR(VLOOKUP(O106,Database!$A$2:$L$175,8,FALSE),"-")</f>
        <v>-</v>
      </c>
      <c r="Q106" s="86" t="str">
        <f>IFERROR(VLOOKUP(O106,Database!$A$2:$L$175,6,FALSE),"-")</f>
        <v>-</v>
      </c>
      <c r="R106" s="90" t="str">
        <f>IFERROR(VLOOKUP(O106,Database!$A$2:$L$175,9,FALSE),"-")</f>
        <v>-</v>
      </c>
      <c r="S106" s="152" t="str">
        <f>IFERROR(VLOOKUP(O106,Database!$A$2:$S$175,19,FALSE),"-")</f>
        <v>-</v>
      </c>
      <c r="T106" s="104" t="str">
        <f>IF(AND(D106="Y",booking!P106&lt;&gt;booking!Q106,booking!Q106&gt;0),booking!Q106,"-")</f>
        <v>-</v>
      </c>
      <c r="U106" s="86" t="str">
        <f>IFERROR(VLOOKUP(T106,Database!$A$2:$L$175,8,FALSE),"-")</f>
        <v>-</v>
      </c>
      <c r="V106" s="86" t="str">
        <f>IFERROR(VLOOKUP(T106,Database!$A$2:$L$175,6,FALSE),"-")</f>
        <v>-</v>
      </c>
      <c r="W106" s="90" t="str">
        <f>IFERROR(VLOOKUP(T106,Database!$A$2:$L$175,9,FALSE),"-")</f>
        <v>-</v>
      </c>
      <c r="X106" s="152" t="str">
        <f>IFERROR(VLOOKUP(T106,Database!$A$2:$S$175,19,FALSE),"-")</f>
        <v>-</v>
      </c>
      <c r="Y106" s="103" t="str">
        <f>IF(AND(D106="Y",booking!T106&lt;&gt;booking!U106,booking!U106&gt;0),booking!U106,"-")</f>
        <v>-</v>
      </c>
      <c r="Z106" s="87" t="str">
        <f>IFERROR(VLOOKUP(Y106,Database!$A$2:$L$175,8,FALSE),"-")</f>
        <v>-</v>
      </c>
      <c r="AA106" s="87" t="str">
        <f>IFERROR(VLOOKUP(Y106,Database!$A$2:$L$175,6,FALSE),"-")</f>
        <v>-</v>
      </c>
      <c r="AB106" s="99" t="str">
        <f>IFERROR(VLOOKUP(Y106,Database!$A$2:$L$175,9,FALSE),"-")</f>
        <v>-</v>
      </c>
      <c r="AC106" s="9" t="str">
        <f>IFERROR(VLOOKUP(Y106,Database!$A$2:$S$175,19,FALSE),"-")</f>
        <v>-</v>
      </c>
    </row>
    <row r="107" spans="1:29" ht="15" customHeight="1" thickBot="1" x14ac:dyDescent="0.4">
      <c r="A107" s="95" t="str">
        <f>rengøring!A107</f>
        <v>mandag</v>
      </c>
      <c r="B107" s="93">
        <v>46608</v>
      </c>
      <c r="C107" s="10"/>
      <c r="D107" s="96" t="str">
        <f>IF(booking!AB107&gt;0,"Y","-")</f>
        <v>-</v>
      </c>
      <c r="E107" s="102" t="str">
        <f>IF(AND(D107="Y",booking!D107&lt;&gt;booking!E107,booking!E107&gt;0),booking!E107,"-")</f>
        <v>-</v>
      </c>
      <c r="F107" s="86" t="str">
        <f>IFERROR(VLOOKUP(E107,Database!$A$2:$L$175,8,FALSE),"-")</f>
        <v>-</v>
      </c>
      <c r="G107" s="86" t="str">
        <f>IFERROR(VLOOKUP(E107,Database!$A$2:$L$175,6,FALSE),"-")</f>
        <v>-</v>
      </c>
      <c r="H107" s="100" t="str">
        <f>IFERROR(VLOOKUP(E107,Database!$A$2:$L$175,9,FALSE),"-")</f>
        <v>-</v>
      </c>
      <c r="I107" s="120" t="str">
        <f>IFERROR(VLOOKUP(E107,Database!$A$2:$S$175,19,FALSE),"-")</f>
        <v>-</v>
      </c>
      <c r="J107" s="103" t="str">
        <f>IF(AND(D107="Y",booking!H107&lt;&gt;booking!I107,booking!I107&gt;0),booking!I107,"-")</f>
        <v>-</v>
      </c>
      <c r="K107" s="86" t="str">
        <f>IFERROR(VLOOKUP(J107,Database!$A$2:$L$175,8,FALSE),"-")</f>
        <v>-</v>
      </c>
      <c r="L107" s="86" t="str">
        <f>IFERROR(VLOOKUP(J107,Database!$A$2:$L$175,6,FALSE),"-")</f>
        <v>-</v>
      </c>
      <c r="M107" s="100" t="str">
        <f>IFERROR(VLOOKUP(J107,Database!$A$2:$L$175,9,FALSE),"-")</f>
        <v>-</v>
      </c>
      <c r="N107" s="152" t="str">
        <f>IFERROR(VLOOKUP(J107,Database!$A$2:$S$175,19,FALSE),"-")</f>
        <v>-</v>
      </c>
      <c r="O107" s="103" t="str">
        <f>IF(AND(D107="Y",booking!L107&lt;&gt;booking!M107,booking!M107&gt;0),booking!M107,"-")</f>
        <v>-</v>
      </c>
      <c r="P107" s="86" t="str">
        <f>IFERROR(VLOOKUP(O107,Database!$A$2:$L$175,8,FALSE),"-")</f>
        <v>-</v>
      </c>
      <c r="Q107" s="86" t="str">
        <f>IFERROR(VLOOKUP(O107,Database!$A$2:$L$175,6,FALSE),"-")</f>
        <v>-</v>
      </c>
      <c r="R107" s="90" t="str">
        <f>IFERROR(VLOOKUP(O107,Database!$A$2:$L$175,9,FALSE),"-")</f>
        <v>-</v>
      </c>
      <c r="S107" s="152" t="str">
        <f>IFERROR(VLOOKUP(O107,Database!$A$2:$S$175,19,FALSE),"-")</f>
        <v>-</v>
      </c>
      <c r="T107" s="104" t="str">
        <f>IF(AND(D107="Y",booking!P107&lt;&gt;booking!Q107,booking!Q107&gt;0),booking!Q107,"-")</f>
        <v>-</v>
      </c>
      <c r="U107" s="86" t="str">
        <f>IFERROR(VLOOKUP(T107,Database!$A$2:$L$175,8,FALSE),"-")</f>
        <v>-</v>
      </c>
      <c r="V107" s="86" t="str">
        <f>IFERROR(VLOOKUP(T107,Database!$A$2:$L$175,6,FALSE),"-")</f>
        <v>-</v>
      </c>
      <c r="W107" s="90" t="str">
        <f>IFERROR(VLOOKUP(T107,Database!$A$2:$L$175,9,FALSE),"-")</f>
        <v>-</v>
      </c>
      <c r="X107" s="152" t="str">
        <f>IFERROR(VLOOKUP(T107,Database!$A$2:$S$175,19,FALSE),"-")</f>
        <v>-</v>
      </c>
      <c r="Y107" s="103" t="str">
        <f>IF(AND(D107="Y",booking!T107&lt;&gt;booking!U107,booking!U107&gt;0),booking!U107,"-")</f>
        <v>-</v>
      </c>
      <c r="Z107" s="87" t="str">
        <f>IFERROR(VLOOKUP(Y107,Database!$A$2:$L$175,8,FALSE),"-")</f>
        <v>-</v>
      </c>
      <c r="AA107" s="87" t="str">
        <f>IFERROR(VLOOKUP(Y107,Database!$A$2:$L$175,6,FALSE),"-")</f>
        <v>-</v>
      </c>
      <c r="AB107" s="99" t="str">
        <f>IFERROR(VLOOKUP(Y107,Database!$A$2:$L$175,9,FALSE),"-")</f>
        <v>-</v>
      </c>
      <c r="AC107" s="9" t="str">
        <f>IFERROR(VLOOKUP(Y107,Database!$A$2:$S$175,19,FALSE),"-")</f>
        <v>-</v>
      </c>
    </row>
    <row r="108" spans="1:29" ht="15" customHeight="1" thickBot="1" x14ac:dyDescent="0.4">
      <c r="A108" s="95" t="str">
        <f>rengøring!A108</f>
        <v>tirsdag</v>
      </c>
      <c r="B108" s="93">
        <v>46609</v>
      </c>
      <c r="C108" s="10"/>
      <c r="D108" s="96" t="str">
        <f>IF(booking!AB108&gt;0,"Y","-")</f>
        <v>-</v>
      </c>
      <c r="E108" s="102" t="str">
        <f>IF(AND(D108="Y",booking!D108&lt;&gt;booking!E108,booking!E108&gt;0),booking!E108,"-")</f>
        <v>-</v>
      </c>
      <c r="F108" s="86" t="str">
        <f>IFERROR(VLOOKUP(E108,Database!$A$2:$L$175,8,FALSE),"-")</f>
        <v>-</v>
      </c>
      <c r="G108" s="86" t="str">
        <f>IFERROR(VLOOKUP(E108,Database!$A$2:$L$175,6,FALSE),"-")</f>
        <v>-</v>
      </c>
      <c r="H108" s="100" t="str">
        <f>IFERROR(VLOOKUP(E108,Database!$A$2:$L$175,9,FALSE),"-")</f>
        <v>-</v>
      </c>
      <c r="I108" s="120" t="str">
        <f>IFERROR(VLOOKUP(E108,Database!$A$2:$S$175,19,FALSE),"-")</f>
        <v>-</v>
      </c>
      <c r="J108" s="103" t="str">
        <f>IF(AND(D108="Y",booking!H108&lt;&gt;booking!I108,booking!I108&gt;0),booking!I108,"-")</f>
        <v>-</v>
      </c>
      <c r="K108" s="86" t="str">
        <f>IFERROR(VLOOKUP(J108,Database!$A$2:$L$175,8,FALSE),"-")</f>
        <v>-</v>
      </c>
      <c r="L108" s="86" t="str">
        <f>IFERROR(VLOOKUP(J108,Database!$A$2:$L$175,6,FALSE),"-")</f>
        <v>-</v>
      </c>
      <c r="M108" s="100" t="str">
        <f>IFERROR(VLOOKUP(J108,Database!$A$2:$L$175,9,FALSE),"-")</f>
        <v>-</v>
      </c>
      <c r="N108" s="152" t="str">
        <f>IFERROR(VLOOKUP(J108,Database!$A$2:$S$175,19,FALSE),"-")</f>
        <v>-</v>
      </c>
      <c r="O108" s="103" t="str">
        <f>IF(AND(D108="Y",booking!L108&lt;&gt;booking!M108,booking!M108&gt;0),booking!M108,"-")</f>
        <v>-</v>
      </c>
      <c r="P108" s="86" t="str">
        <f>IFERROR(VLOOKUP(O108,Database!$A$2:$L$175,8,FALSE),"-")</f>
        <v>-</v>
      </c>
      <c r="Q108" s="86" t="str">
        <f>IFERROR(VLOOKUP(O108,Database!$A$2:$L$175,6,FALSE),"-")</f>
        <v>-</v>
      </c>
      <c r="R108" s="90" t="str">
        <f>IFERROR(VLOOKUP(O108,Database!$A$2:$L$175,9,FALSE),"-")</f>
        <v>-</v>
      </c>
      <c r="S108" s="152" t="str">
        <f>IFERROR(VLOOKUP(O108,Database!$A$2:$S$175,19,FALSE),"-")</f>
        <v>-</v>
      </c>
      <c r="T108" s="104" t="str">
        <f>IF(AND(D108="Y",booking!P108&lt;&gt;booking!Q108,booking!Q108&gt;0),booking!Q108,"-")</f>
        <v>-</v>
      </c>
      <c r="U108" s="86" t="str">
        <f>IFERROR(VLOOKUP(T108,Database!$A$2:$L$175,8,FALSE),"-")</f>
        <v>-</v>
      </c>
      <c r="V108" s="86" t="str">
        <f>IFERROR(VLOOKUP(T108,Database!$A$2:$L$175,6,FALSE),"-")</f>
        <v>-</v>
      </c>
      <c r="W108" s="90" t="str">
        <f>IFERROR(VLOOKUP(T108,Database!$A$2:$L$175,9,FALSE),"-")</f>
        <v>-</v>
      </c>
      <c r="X108" s="152" t="str">
        <f>IFERROR(VLOOKUP(T108,Database!$A$2:$S$175,19,FALSE),"-")</f>
        <v>-</v>
      </c>
      <c r="Y108" s="103" t="str">
        <f>IF(AND(D108="Y",booking!T108&lt;&gt;booking!U108,booking!U108&gt;0),booking!U108,"-")</f>
        <v>-</v>
      </c>
      <c r="Z108" s="87" t="str">
        <f>IFERROR(VLOOKUP(Y108,Database!$A$2:$L$175,8,FALSE),"-")</f>
        <v>-</v>
      </c>
      <c r="AA108" s="87" t="str">
        <f>IFERROR(VLOOKUP(Y108,Database!$A$2:$L$175,6,FALSE),"-")</f>
        <v>-</v>
      </c>
      <c r="AB108" s="99" t="str">
        <f>IFERROR(VLOOKUP(Y108,Database!$A$2:$L$175,9,FALSE),"-")</f>
        <v>-</v>
      </c>
      <c r="AC108" s="9" t="str">
        <f>IFERROR(VLOOKUP(Y108,Database!$A$2:$S$175,19,FALSE),"-")</f>
        <v>-</v>
      </c>
    </row>
    <row r="109" spans="1:29" ht="15" customHeight="1" thickBot="1" x14ac:dyDescent="0.4">
      <c r="A109" s="95" t="str">
        <f>rengøring!A109</f>
        <v>onsdag</v>
      </c>
      <c r="B109" s="93">
        <v>46610</v>
      </c>
      <c r="C109" s="10"/>
      <c r="D109" s="96" t="str">
        <f>IF(booking!AB109&gt;0,"Y","-")</f>
        <v>-</v>
      </c>
      <c r="E109" s="102" t="str">
        <f>IF(AND(D109="Y",booking!D109&lt;&gt;booking!E109,booking!E109&gt;0),booking!E109,"-")</f>
        <v>-</v>
      </c>
      <c r="F109" s="86" t="str">
        <f>IFERROR(VLOOKUP(E109,Database!$A$2:$L$175,8,FALSE),"-")</f>
        <v>-</v>
      </c>
      <c r="G109" s="86" t="str">
        <f>IFERROR(VLOOKUP(E109,Database!$A$2:$L$175,6,FALSE),"-")</f>
        <v>-</v>
      </c>
      <c r="H109" s="100" t="str">
        <f>IFERROR(VLOOKUP(E109,Database!$A$2:$L$175,9,FALSE),"-")</f>
        <v>-</v>
      </c>
      <c r="I109" s="120" t="str">
        <f>IFERROR(VLOOKUP(E109,Database!$A$2:$S$175,19,FALSE),"-")</f>
        <v>-</v>
      </c>
      <c r="J109" s="103" t="str">
        <f>IF(AND(D109="Y",booking!H109&lt;&gt;booking!I109,booking!I109&gt;0),booking!I109,"-")</f>
        <v>-</v>
      </c>
      <c r="K109" s="86" t="str">
        <f>IFERROR(VLOOKUP(J109,Database!$A$2:$L$175,8,FALSE),"-")</f>
        <v>-</v>
      </c>
      <c r="L109" s="86" t="str">
        <f>IFERROR(VLOOKUP(J109,Database!$A$2:$L$175,6,FALSE),"-")</f>
        <v>-</v>
      </c>
      <c r="M109" s="100" t="str">
        <f>IFERROR(VLOOKUP(J109,Database!$A$2:$L$175,9,FALSE),"-")</f>
        <v>-</v>
      </c>
      <c r="N109" s="152" t="str">
        <f>IFERROR(VLOOKUP(J109,Database!$A$2:$S$175,19,FALSE),"-")</f>
        <v>-</v>
      </c>
      <c r="O109" s="103" t="str">
        <f>IF(AND(D109="Y",booking!L109&lt;&gt;booking!M109,booking!M109&gt;0),booking!M109,"-")</f>
        <v>-</v>
      </c>
      <c r="P109" s="86" t="str">
        <f>IFERROR(VLOOKUP(O109,Database!$A$2:$L$175,8,FALSE),"-")</f>
        <v>-</v>
      </c>
      <c r="Q109" s="86" t="str">
        <f>IFERROR(VLOOKUP(O109,Database!$A$2:$L$175,6,FALSE),"-")</f>
        <v>-</v>
      </c>
      <c r="R109" s="90" t="str">
        <f>IFERROR(VLOOKUP(O109,Database!$A$2:$L$175,9,FALSE),"-")</f>
        <v>-</v>
      </c>
      <c r="S109" s="152" t="str">
        <f>IFERROR(VLOOKUP(O109,Database!$A$2:$S$175,19,FALSE),"-")</f>
        <v>-</v>
      </c>
      <c r="T109" s="104" t="str">
        <f>IF(AND(D109="Y",booking!P109&lt;&gt;booking!Q109,booking!Q109&gt;0),booking!Q109,"-")</f>
        <v>-</v>
      </c>
      <c r="U109" s="86" t="str">
        <f>IFERROR(VLOOKUP(T109,Database!$A$2:$L$175,8,FALSE),"-")</f>
        <v>-</v>
      </c>
      <c r="V109" s="86" t="str">
        <f>IFERROR(VLOOKUP(T109,Database!$A$2:$L$175,6,FALSE),"-")</f>
        <v>-</v>
      </c>
      <c r="W109" s="90" t="str">
        <f>IFERROR(VLOOKUP(T109,Database!$A$2:$L$175,9,FALSE),"-")</f>
        <v>-</v>
      </c>
      <c r="X109" s="152" t="str">
        <f>IFERROR(VLOOKUP(T109,Database!$A$2:$S$175,19,FALSE),"-")</f>
        <v>-</v>
      </c>
      <c r="Y109" s="103" t="str">
        <f>IF(AND(D109="Y",booking!T109&lt;&gt;booking!U109,booking!U109&gt;0),booking!U109,"-")</f>
        <v>-</v>
      </c>
      <c r="Z109" s="87" t="str">
        <f>IFERROR(VLOOKUP(Y109,Database!$A$2:$L$175,8,FALSE),"-")</f>
        <v>-</v>
      </c>
      <c r="AA109" s="87" t="str">
        <f>IFERROR(VLOOKUP(Y109,Database!$A$2:$L$175,6,FALSE),"-")</f>
        <v>-</v>
      </c>
      <c r="AB109" s="99" t="str">
        <f>IFERROR(VLOOKUP(Y109,Database!$A$2:$L$175,9,FALSE),"-")</f>
        <v>-</v>
      </c>
      <c r="AC109" s="9" t="str">
        <f>IFERROR(VLOOKUP(Y109,Database!$A$2:$S$175,19,FALSE),"-")</f>
        <v>-</v>
      </c>
    </row>
    <row r="110" spans="1:29" ht="15" customHeight="1" thickBot="1" x14ac:dyDescent="0.4">
      <c r="A110" s="95" t="str">
        <f>rengøring!A110</f>
        <v>torsdag</v>
      </c>
      <c r="B110" s="93">
        <v>46611</v>
      </c>
      <c r="C110" s="10"/>
      <c r="D110" s="96" t="str">
        <f>IF(booking!AB110&gt;0,"Y","-")</f>
        <v>-</v>
      </c>
      <c r="E110" s="102" t="str">
        <f>IF(AND(D110="Y",booking!D110&lt;&gt;booking!E110,booking!E110&gt;0),booking!E110,"-")</f>
        <v>-</v>
      </c>
      <c r="F110" s="86" t="str">
        <f>IFERROR(VLOOKUP(E110,Database!$A$2:$L$175,8,FALSE),"-")</f>
        <v>-</v>
      </c>
      <c r="G110" s="86" t="str">
        <f>IFERROR(VLOOKUP(E110,Database!$A$2:$L$175,6,FALSE),"-")</f>
        <v>-</v>
      </c>
      <c r="H110" s="100" t="str">
        <f>IFERROR(VLOOKUP(E110,Database!$A$2:$L$175,9,FALSE),"-")</f>
        <v>-</v>
      </c>
      <c r="I110" s="120" t="str">
        <f>IFERROR(VLOOKUP(E110,Database!$A$2:$S$175,19,FALSE),"-")</f>
        <v>-</v>
      </c>
      <c r="J110" s="103" t="str">
        <f>IF(AND(D110="Y",booking!H110&lt;&gt;booking!I110,booking!I110&gt;0),booking!I110,"-")</f>
        <v>-</v>
      </c>
      <c r="K110" s="86" t="str">
        <f>IFERROR(VLOOKUP(J110,Database!$A$2:$L$175,8,FALSE),"-")</f>
        <v>-</v>
      </c>
      <c r="L110" s="86" t="str">
        <f>IFERROR(VLOOKUP(J110,Database!$A$2:$L$175,6,FALSE),"-")</f>
        <v>-</v>
      </c>
      <c r="M110" s="100" t="str">
        <f>IFERROR(VLOOKUP(J110,Database!$A$2:$L$175,9,FALSE),"-")</f>
        <v>-</v>
      </c>
      <c r="N110" s="152" t="str">
        <f>IFERROR(VLOOKUP(J110,Database!$A$2:$S$175,19,FALSE),"-")</f>
        <v>-</v>
      </c>
      <c r="O110" s="103" t="str">
        <f>IF(AND(D110="Y",booking!L110&lt;&gt;booking!M110,booking!M110&gt;0),booking!M110,"-")</f>
        <v>-</v>
      </c>
      <c r="P110" s="86" t="str">
        <f>IFERROR(VLOOKUP(O110,Database!$A$2:$L$175,8,FALSE),"-")</f>
        <v>-</v>
      </c>
      <c r="Q110" s="86" t="str">
        <f>IFERROR(VLOOKUP(O110,Database!$A$2:$L$175,6,FALSE),"-")</f>
        <v>-</v>
      </c>
      <c r="R110" s="90" t="str">
        <f>IFERROR(VLOOKUP(O110,Database!$A$2:$L$175,9,FALSE),"-")</f>
        <v>-</v>
      </c>
      <c r="S110" s="152" t="str">
        <f>IFERROR(VLOOKUP(O110,Database!$A$2:$S$175,19,FALSE),"-")</f>
        <v>-</v>
      </c>
      <c r="T110" s="104" t="str">
        <f>IF(AND(D110="Y",booking!P110&lt;&gt;booking!Q110,booking!Q110&gt;0),booking!Q110,"-")</f>
        <v>-</v>
      </c>
      <c r="U110" s="86" t="str">
        <f>IFERROR(VLOOKUP(T110,Database!$A$2:$L$175,8,FALSE),"-")</f>
        <v>-</v>
      </c>
      <c r="V110" s="86" t="str">
        <f>IFERROR(VLOOKUP(T110,Database!$A$2:$L$175,6,FALSE),"-")</f>
        <v>-</v>
      </c>
      <c r="W110" s="90" t="str">
        <f>IFERROR(VLOOKUP(T110,Database!$A$2:$L$175,9,FALSE),"-")</f>
        <v>-</v>
      </c>
      <c r="X110" s="152" t="str">
        <f>IFERROR(VLOOKUP(T110,Database!$A$2:$S$175,19,FALSE),"-")</f>
        <v>-</v>
      </c>
      <c r="Y110" s="103" t="str">
        <f>IF(AND(D110="Y",booking!T110&lt;&gt;booking!U110,booking!U110&gt;0),booking!U110,"-")</f>
        <v>-</v>
      </c>
      <c r="Z110" s="87" t="str">
        <f>IFERROR(VLOOKUP(Y110,Database!$A$2:$L$175,8,FALSE),"-")</f>
        <v>-</v>
      </c>
      <c r="AA110" s="87" t="str">
        <f>IFERROR(VLOOKUP(Y110,Database!$A$2:$L$175,6,FALSE),"-")</f>
        <v>-</v>
      </c>
      <c r="AB110" s="99" t="str">
        <f>IFERROR(VLOOKUP(Y110,Database!$A$2:$L$175,9,FALSE),"-")</f>
        <v>-</v>
      </c>
      <c r="AC110" s="9" t="str">
        <f>IFERROR(VLOOKUP(Y110,Database!$A$2:$S$175,19,FALSE),"-")</f>
        <v>-</v>
      </c>
    </row>
    <row r="111" spans="1:29" ht="15" customHeight="1" thickBot="1" x14ac:dyDescent="0.4">
      <c r="A111" s="95" t="str">
        <f>rengøring!A111</f>
        <v>fredag</v>
      </c>
      <c r="B111" s="93">
        <v>46612</v>
      </c>
      <c r="C111" s="10"/>
      <c r="D111" s="96" t="str">
        <f>IF(booking!AB111&gt;0,"Y","-")</f>
        <v>-</v>
      </c>
      <c r="E111" s="102" t="str">
        <f>IF(AND(D111="Y",booking!D111&lt;&gt;booking!E111,booking!E111&gt;0),booking!E111,"-")</f>
        <v>-</v>
      </c>
      <c r="F111" s="86" t="str">
        <f>IFERROR(VLOOKUP(E111,Database!$A$2:$L$175,8,FALSE),"-")</f>
        <v>-</v>
      </c>
      <c r="G111" s="86" t="str">
        <f>IFERROR(VLOOKUP(E111,Database!$A$2:$L$175,6,FALSE),"-")</f>
        <v>-</v>
      </c>
      <c r="H111" s="100" t="str">
        <f>IFERROR(VLOOKUP(E111,Database!$A$2:$L$175,9,FALSE),"-")</f>
        <v>-</v>
      </c>
      <c r="I111" s="120" t="str">
        <f>IFERROR(VLOOKUP(E111,Database!$A$2:$S$175,19,FALSE),"-")</f>
        <v>-</v>
      </c>
      <c r="J111" s="103" t="str">
        <f>IF(AND(D111="Y",booking!H111&lt;&gt;booking!I111,booking!I111&gt;0),booking!I111,"-")</f>
        <v>-</v>
      </c>
      <c r="K111" s="86" t="str">
        <f>IFERROR(VLOOKUP(J111,Database!$A$2:$L$175,8,FALSE),"-")</f>
        <v>-</v>
      </c>
      <c r="L111" s="86" t="str">
        <f>IFERROR(VLOOKUP(J111,Database!$A$2:$L$175,6,FALSE),"-")</f>
        <v>-</v>
      </c>
      <c r="M111" s="100" t="str">
        <f>IFERROR(VLOOKUP(J111,Database!$A$2:$L$175,9,FALSE),"-")</f>
        <v>-</v>
      </c>
      <c r="N111" s="152" t="str">
        <f>IFERROR(VLOOKUP(J111,Database!$A$2:$S$175,19,FALSE),"-")</f>
        <v>-</v>
      </c>
      <c r="O111" s="103" t="str">
        <f>IF(AND(D111="Y",booking!L111&lt;&gt;booking!M111,booking!M111&gt;0),booking!M111,"-")</f>
        <v>-</v>
      </c>
      <c r="P111" s="86" t="str">
        <f>IFERROR(VLOOKUP(O111,Database!$A$2:$L$175,8,FALSE),"-")</f>
        <v>-</v>
      </c>
      <c r="Q111" s="86" t="str">
        <f>IFERROR(VLOOKUP(O111,Database!$A$2:$L$175,6,FALSE),"-")</f>
        <v>-</v>
      </c>
      <c r="R111" s="90" t="str">
        <f>IFERROR(VLOOKUP(O111,Database!$A$2:$L$175,9,FALSE),"-")</f>
        <v>-</v>
      </c>
      <c r="S111" s="152" t="str">
        <f>IFERROR(VLOOKUP(O111,Database!$A$2:$S$175,19,FALSE),"-")</f>
        <v>-</v>
      </c>
      <c r="T111" s="104" t="str">
        <f>IF(AND(D111="Y",booking!P111&lt;&gt;booking!Q111,booking!Q111&gt;0),booking!Q111,"-")</f>
        <v>-</v>
      </c>
      <c r="U111" s="86" t="str">
        <f>IFERROR(VLOOKUP(T111,Database!$A$2:$L$175,8,FALSE),"-")</f>
        <v>-</v>
      </c>
      <c r="V111" s="86" t="str">
        <f>IFERROR(VLOOKUP(T111,Database!$A$2:$L$175,6,FALSE),"-")</f>
        <v>-</v>
      </c>
      <c r="W111" s="90" t="str">
        <f>IFERROR(VLOOKUP(T111,Database!$A$2:$L$175,9,FALSE),"-")</f>
        <v>-</v>
      </c>
      <c r="X111" s="152" t="str">
        <f>IFERROR(VLOOKUP(T111,Database!$A$2:$S$175,19,FALSE),"-")</f>
        <v>-</v>
      </c>
      <c r="Y111" s="103" t="str">
        <f>IF(AND(D111="Y",booking!T111&lt;&gt;booking!U111,booking!U111&gt;0),booking!U111,"-")</f>
        <v>-</v>
      </c>
      <c r="Z111" s="87" t="str">
        <f>IFERROR(VLOOKUP(Y111,Database!$A$2:$L$175,8,FALSE),"-")</f>
        <v>-</v>
      </c>
      <c r="AA111" s="87" t="str">
        <f>IFERROR(VLOOKUP(Y111,Database!$A$2:$L$175,6,FALSE),"-")</f>
        <v>-</v>
      </c>
      <c r="AB111" s="99" t="str">
        <f>IFERROR(VLOOKUP(Y111,Database!$A$2:$L$175,9,FALSE),"-")</f>
        <v>-</v>
      </c>
      <c r="AC111" s="9" t="str">
        <f>IFERROR(VLOOKUP(Y111,Database!$A$2:$S$175,19,FALSE),"-")</f>
        <v>-</v>
      </c>
    </row>
    <row r="112" spans="1:29" ht="15" customHeight="1" thickBot="1" x14ac:dyDescent="0.4">
      <c r="A112" s="95" t="str">
        <f>rengøring!A112</f>
        <v>lørdag</v>
      </c>
      <c r="B112" s="93">
        <v>46613</v>
      </c>
      <c r="C112" s="10"/>
      <c r="D112" s="96" t="str">
        <f>IF(booking!AB112&gt;0,"Y","-")</f>
        <v>-</v>
      </c>
      <c r="E112" s="102" t="str">
        <f>IF(AND(D112="Y",booking!D112&lt;&gt;booking!E112,booking!E112&gt;0),booking!E112,"-")</f>
        <v>-</v>
      </c>
      <c r="F112" s="86" t="str">
        <f>IFERROR(VLOOKUP(E112,Database!$A$2:$L$175,8,FALSE),"-")</f>
        <v>-</v>
      </c>
      <c r="G112" s="86" t="str">
        <f>IFERROR(VLOOKUP(E112,Database!$A$2:$L$175,6,FALSE),"-")</f>
        <v>-</v>
      </c>
      <c r="H112" s="100" t="str">
        <f>IFERROR(VLOOKUP(E112,Database!$A$2:$L$175,9,FALSE),"-")</f>
        <v>-</v>
      </c>
      <c r="I112" s="120" t="str">
        <f>IFERROR(VLOOKUP(E112,Database!$A$2:$S$175,19,FALSE),"-")</f>
        <v>-</v>
      </c>
      <c r="J112" s="103" t="str">
        <f>IF(AND(D112="Y",booking!H112&lt;&gt;booking!I112,booking!I112&gt;0),booking!I112,"-")</f>
        <v>-</v>
      </c>
      <c r="K112" s="86" t="str">
        <f>IFERROR(VLOOKUP(J112,Database!$A$2:$L$175,8,FALSE),"-")</f>
        <v>-</v>
      </c>
      <c r="L112" s="86" t="str">
        <f>IFERROR(VLOOKUP(J112,Database!$A$2:$L$175,6,FALSE),"-")</f>
        <v>-</v>
      </c>
      <c r="M112" s="100" t="str">
        <f>IFERROR(VLOOKUP(J112,Database!$A$2:$L$175,9,FALSE),"-")</f>
        <v>-</v>
      </c>
      <c r="N112" s="152" t="str">
        <f>IFERROR(VLOOKUP(J112,Database!$A$2:$S$175,19,FALSE),"-")</f>
        <v>-</v>
      </c>
      <c r="O112" s="103" t="str">
        <f>IF(AND(D112="Y",booking!L112&lt;&gt;booking!M112,booking!M112&gt;0),booking!M112,"-")</f>
        <v>-</v>
      </c>
      <c r="P112" s="86" t="str">
        <f>IFERROR(VLOOKUP(O112,Database!$A$2:$L$175,8,FALSE),"-")</f>
        <v>-</v>
      </c>
      <c r="Q112" s="86" t="str">
        <f>IFERROR(VLOOKUP(O112,Database!$A$2:$L$175,6,FALSE),"-")</f>
        <v>-</v>
      </c>
      <c r="R112" s="90" t="str">
        <f>IFERROR(VLOOKUP(O112,Database!$A$2:$L$175,9,FALSE),"-")</f>
        <v>-</v>
      </c>
      <c r="S112" s="152" t="str">
        <f>IFERROR(VLOOKUP(O112,Database!$A$2:$S$175,19,FALSE),"-")</f>
        <v>-</v>
      </c>
      <c r="T112" s="104" t="str">
        <f>IF(AND(D112="Y",booking!P112&lt;&gt;booking!Q112,booking!Q112&gt;0),booking!Q112,"-")</f>
        <v>-</v>
      </c>
      <c r="U112" s="86" t="str">
        <f>IFERROR(VLOOKUP(T112,Database!$A$2:$L$175,8,FALSE),"-")</f>
        <v>-</v>
      </c>
      <c r="V112" s="86" t="str">
        <f>IFERROR(VLOOKUP(T112,Database!$A$2:$L$175,6,FALSE),"-")</f>
        <v>-</v>
      </c>
      <c r="W112" s="90" t="str">
        <f>IFERROR(VLOOKUP(T112,Database!$A$2:$L$175,9,FALSE),"-")</f>
        <v>-</v>
      </c>
      <c r="X112" s="152" t="str">
        <f>IFERROR(VLOOKUP(T112,Database!$A$2:$S$175,19,FALSE),"-")</f>
        <v>-</v>
      </c>
      <c r="Y112" s="103" t="str">
        <f>IF(AND(D112="Y",booking!T112&lt;&gt;booking!U112,booking!U112&gt;0),booking!U112,"-")</f>
        <v>-</v>
      </c>
      <c r="Z112" s="87" t="str">
        <f>IFERROR(VLOOKUP(Y112,Database!$A$2:$L$175,8,FALSE),"-")</f>
        <v>-</v>
      </c>
      <c r="AA112" s="87" t="str">
        <f>IFERROR(VLOOKUP(Y112,Database!$A$2:$L$175,6,FALSE),"-")</f>
        <v>-</v>
      </c>
      <c r="AB112" s="99" t="str">
        <f>IFERROR(VLOOKUP(Y112,Database!$A$2:$L$175,9,FALSE),"-")</f>
        <v>-</v>
      </c>
      <c r="AC112" s="9" t="str">
        <f>IFERROR(VLOOKUP(Y112,Database!$A$2:$S$175,19,FALSE),"-")</f>
        <v>-</v>
      </c>
    </row>
    <row r="113" spans="1:29" ht="15" customHeight="1" thickBot="1" x14ac:dyDescent="0.4">
      <c r="A113" s="95" t="str">
        <f>rengøring!A113</f>
        <v>søndag</v>
      </c>
      <c r="B113" s="93">
        <v>46614</v>
      </c>
      <c r="C113" s="10"/>
      <c r="D113" s="96" t="str">
        <f>IF(booking!AB113&gt;0,"Y","-")</f>
        <v>-</v>
      </c>
      <c r="E113" s="102" t="str">
        <f>IF(AND(D113="Y",booking!D113&lt;&gt;booking!E113,booking!E113&gt;0),booking!E113,"-")</f>
        <v>-</v>
      </c>
      <c r="F113" s="86" t="str">
        <f>IFERROR(VLOOKUP(E113,Database!$A$2:$L$175,8,FALSE),"-")</f>
        <v>-</v>
      </c>
      <c r="G113" s="86" t="str">
        <f>IFERROR(VLOOKUP(E113,Database!$A$2:$L$175,6,FALSE),"-")</f>
        <v>-</v>
      </c>
      <c r="H113" s="100" t="str">
        <f>IFERROR(VLOOKUP(E113,Database!$A$2:$L$175,9,FALSE),"-")</f>
        <v>-</v>
      </c>
      <c r="I113" s="120" t="str">
        <f>IFERROR(VLOOKUP(E113,Database!$A$2:$S$175,19,FALSE),"-")</f>
        <v>-</v>
      </c>
      <c r="J113" s="103" t="str">
        <f>IF(AND(D113="Y",booking!H113&lt;&gt;booking!I113,booking!I113&gt;0),booking!I113,"-")</f>
        <v>-</v>
      </c>
      <c r="K113" s="86" t="str">
        <f>IFERROR(VLOOKUP(J113,Database!$A$2:$L$175,8,FALSE),"-")</f>
        <v>-</v>
      </c>
      <c r="L113" s="86" t="str">
        <f>IFERROR(VLOOKUP(J113,Database!$A$2:$L$175,6,FALSE),"-")</f>
        <v>-</v>
      </c>
      <c r="M113" s="100" t="str">
        <f>IFERROR(VLOOKUP(J113,Database!$A$2:$L$175,9,FALSE),"-")</f>
        <v>-</v>
      </c>
      <c r="N113" s="152" t="str">
        <f>IFERROR(VLOOKUP(J113,Database!$A$2:$S$175,19,FALSE),"-")</f>
        <v>-</v>
      </c>
      <c r="O113" s="103" t="str">
        <f>IF(AND(D113="Y",booking!L113&lt;&gt;booking!M113,booking!M113&gt;0),booking!M113,"-")</f>
        <v>-</v>
      </c>
      <c r="P113" s="86" t="str">
        <f>IFERROR(VLOOKUP(O113,Database!$A$2:$L$175,8,FALSE),"-")</f>
        <v>-</v>
      </c>
      <c r="Q113" s="86" t="str">
        <f>IFERROR(VLOOKUP(O113,Database!$A$2:$L$175,6,FALSE),"-")</f>
        <v>-</v>
      </c>
      <c r="R113" s="90" t="str">
        <f>IFERROR(VLOOKUP(O113,Database!$A$2:$L$175,9,FALSE),"-")</f>
        <v>-</v>
      </c>
      <c r="S113" s="152" t="str">
        <f>IFERROR(VLOOKUP(O113,Database!$A$2:$S$175,19,FALSE),"-")</f>
        <v>-</v>
      </c>
      <c r="T113" s="104" t="str">
        <f>IF(AND(D113="Y",booking!P113&lt;&gt;booking!Q113,booking!Q113&gt;0),booking!Q113,"-")</f>
        <v>-</v>
      </c>
      <c r="U113" s="86" t="str">
        <f>IFERROR(VLOOKUP(T113,Database!$A$2:$L$175,8,FALSE),"-")</f>
        <v>-</v>
      </c>
      <c r="V113" s="86" t="str">
        <f>IFERROR(VLOOKUP(T113,Database!$A$2:$L$175,6,FALSE),"-")</f>
        <v>-</v>
      </c>
      <c r="W113" s="90" t="str">
        <f>IFERROR(VLOOKUP(T113,Database!$A$2:$L$175,9,FALSE),"-")</f>
        <v>-</v>
      </c>
      <c r="X113" s="152" t="str">
        <f>IFERROR(VLOOKUP(T113,Database!$A$2:$S$175,19,FALSE),"-")</f>
        <v>-</v>
      </c>
      <c r="Y113" s="103" t="str">
        <f>IF(AND(D113="Y",booking!T113&lt;&gt;booking!U113,booking!U113&gt;0),booking!U113,"-")</f>
        <v>-</v>
      </c>
      <c r="Z113" s="87" t="str">
        <f>IFERROR(VLOOKUP(Y113,Database!$A$2:$L$175,8,FALSE),"-")</f>
        <v>-</v>
      </c>
      <c r="AA113" s="87" t="str">
        <f>IFERROR(VLOOKUP(Y113,Database!$A$2:$L$175,6,FALSE),"-")</f>
        <v>-</v>
      </c>
      <c r="AB113" s="99" t="str">
        <f>IFERROR(VLOOKUP(Y113,Database!$A$2:$L$175,9,FALSE),"-")</f>
        <v>-</v>
      </c>
      <c r="AC113" s="9" t="str">
        <f>IFERROR(VLOOKUP(Y113,Database!$A$2:$S$175,19,FALSE),"-")</f>
        <v>-</v>
      </c>
    </row>
    <row r="114" spans="1:29" ht="15" customHeight="1" thickBot="1" x14ac:dyDescent="0.4">
      <c r="A114" s="95" t="str">
        <f>rengøring!A114</f>
        <v>mandag</v>
      </c>
      <c r="B114" s="93">
        <v>46615</v>
      </c>
      <c r="C114" s="10"/>
      <c r="D114" s="96" t="str">
        <f>IF(booking!AB114&gt;0,"Y","-")</f>
        <v>-</v>
      </c>
      <c r="E114" s="102" t="str">
        <f>IF(AND(D114="Y",booking!D114&lt;&gt;booking!E114,booking!E114&gt;0),booking!E114,"-")</f>
        <v>-</v>
      </c>
      <c r="F114" s="86" t="str">
        <f>IFERROR(VLOOKUP(E114,Database!$A$2:$L$175,8,FALSE),"-")</f>
        <v>-</v>
      </c>
      <c r="G114" s="86" t="str">
        <f>IFERROR(VLOOKUP(E114,Database!$A$2:$L$175,6,FALSE),"-")</f>
        <v>-</v>
      </c>
      <c r="H114" s="100" t="str">
        <f>IFERROR(VLOOKUP(E114,Database!$A$2:$L$175,9,FALSE),"-")</f>
        <v>-</v>
      </c>
      <c r="I114" s="120" t="str">
        <f>IFERROR(VLOOKUP(E114,Database!$A$2:$S$175,19,FALSE),"-")</f>
        <v>-</v>
      </c>
      <c r="J114" s="103" t="str">
        <f>IF(AND(D114="Y",booking!H114&lt;&gt;booking!I114,booking!I114&gt;0),booking!I114,"-")</f>
        <v>-</v>
      </c>
      <c r="K114" s="86" t="str">
        <f>IFERROR(VLOOKUP(J114,Database!$A$2:$L$175,8,FALSE),"-")</f>
        <v>-</v>
      </c>
      <c r="L114" s="86" t="str">
        <f>IFERROR(VLOOKUP(J114,Database!$A$2:$L$175,6,FALSE),"-")</f>
        <v>-</v>
      </c>
      <c r="M114" s="100" t="str">
        <f>IFERROR(VLOOKUP(J114,Database!$A$2:$L$175,9,FALSE),"-")</f>
        <v>-</v>
      </c>
      <c r="N114" s="152" t="str">
        <f>IFERROR(VLOOKUP(J114,Database!$A$2:$S$175,19,FALSE),"-")</f>
        <v>-</v>
      </c>
      <c r="O114" s="103" t="str">
        <f>IF(AND(D114="Y",booking!L114&lt;&gt;booking!M114,booking!M114&gt;0),booking!M114,"-")</f>
        <v>-</v>
      </c>
      <c r="P114" s="86" t="str">
        <f>IFERROR(VLOOKUP(O114,Database!$A$2:$L$175,8,FALSE),"-")</f>
        <v>-</v>
      </c>
      <c r="Q114" s="86" t="str">
        <f>IFERROR(VLOOKUP(O114,Database!$A$2:$L$175,6,FALSE),"-")</f>
        <v>-</v>
      </c>
      <c r="R114" s="90" t="str">
        <f>IFERROR(VLOOKUP(O114,Database!$A$2:$L$175,9,FALSE),"-")</f>
        <v>-</v>
      </c>
      <c r="S114" s="152" t="str">
        <f>IFERROR(VLOOKUP(O114,Database!$A$2:$S$175,19,FALSE),"-")</f>
        <v>-</v>
      </c>
      <c r="T114" s="104" t="str">
        <f>IF(AND(D114="Y",booking!P114&lt;&gt;booking!Q114,booking!Q114&gt;0),booking!Q114,"-")</f>
        <v>-</v>
      </c>
      <c r="U114" s="86" t="str">
        <f>IFERROR(VLOOKUP(T114,Database!$A$2:$L$175,8,FALSE),"-")</f>
        <v>-</v>
      </c>
      <c r="V114" s="86" t="str">
        <f>IFERROR(VLOOKUP(T114,Database!$A$2:$L$175,6,FALSE),"-")</f>
        <v>-</v>
      </c>
      <c r="W114" s="90" t="str">
        <f>IFERROR(VLOOKUP(T114,Database!$A$2:$L$175,9,FALSE),"-")</f>
        <v>-</v>
      </c>
      <c r="X114" s="152" t="str">
        <f>IFERROR(VLOOKUP(T114,Database!$A$2:$S$175,19,FALSE),"-")</f>
        <v>-</v>
      </c>
      <c r="Y114" s="103" t="str">
        <f>IF(AND(D114="Y",booking!T114&lt;&gt;booking!U114,booking!U114&gt;0),booking!U114,"-")</f>
        <v>-</v>
      </c>
      <c r="Z114" s="87" t="str">
        <f>IFERROR(VLOOKUP(Y114,Database!$A$2:$L$175,8,FALSE),"-")</f>
        <v>-</v>
      </c>
      <c r="AA114" s="87" t="str">
        <f>IFERROR(VLOOKUP(Y114,Database!$A$2:$L$175,6,FALSE),"-")</f>
        <v>-</v>
      </c>
      <c r="AB114" s="99" t="str">
        <f>IFERROR(VLOOKUP(Y114,Database!$A$2:$L$175,9,FALSE),"-")</f>
        <v>-</v>
      </c>
      <c r="AC114" s="9" t="str">
        <f>IFERROR(VLOOKUP(Y114,Database!$A$2:$S$175,19,FALSE),"-")</f>
        <v>-</v>
      </c>
    </row>
    <row r="115" spans="1:29" ht="15" customHeight="1" thickBot="1" x14ac:dyDescent="0.4">
      <c r="A115" s="95" t="str">
        <f>rengøring!A115</f>
        <v>tirsdag</v>
      </c>
      <c r="B115" s="93">
        <v>46616</v>
      </c>
      <c r="C115" s="10"/>
      <c r="D115" s="96" t="str">
        <f>IF(booking!AB115&gt;0,"Y","-")</f>
        <v>-</v>
      </c>
      <c r="E115" s="102" t="str">
        <f>IF(AND(D115="Y",booking!D115&lt;&gt;booking!E115,booking!E115&gt;0),booking!E115,"-")</f>
        <v>-</v>
      </c>
      <c r="F115" s="86" t="str">
        <f>IFERROR(VLOOKUP(E115,Database!$A$2:$L$175,8,FALSE),"-")</f>
        <v>-</v>
      </c>
      <c r="G115" s="86" t="str">
        <f>IFERROR(VLOOKUP(E115,Database!$A$2:$L$175,6,FALSE),"-")</f>
        <v>-</v>
      </c>
      <c r="H115" s="100" t="str">
        <f>IFERROR(VLOOKUP(E115,Database!$A$2:$L$175,9,FALSE),"-")</f>
        <v>-</v>
      </c>
      <c r="I115" s="120" t="str">
        <f>IFERROR(VLOOKUP(E115,Database!$A$2:$S$175,19,FALSE),"-")</f>
        <v>-</v>
      </c>
      <c r="J115" s="103" t="str">
        <f>IF(AND(D115="Y",booking!H115&lt;&gt;booking!I115,booking!I115&gt;0),booking!I115,"-")</f>
        <v>-</v>
      </c>
      <c r="K115" s="86" t="str">
        <f>IFERROR(VLOOKUP(J115,Database!$A$2:$L$175,8,FALSE),"-")</f>
        <v>-</v>
      </c>
      <c r="L115" s="86" t="str">
        <f>IFERROR(VLOOKUP(J115,Database!$A$2:$L$175,6,FALSE),"-")</f>
        <v>-</v>
      </c>
      <c r="M115" s="100" t="str">
        <f>IFERROR(VLOOKUP(J115,Database!$A$2:$L$175,9,FALSE),"-")</f>
        <v>-</v>
      </c>
      <c r="N115" s="152" t="str">
        <f>IFERROR(VLOOKUP(J115,Database!$A$2:$S$175,19,FALSE),"-")</f>
        <v>-</v>
      </c>
      <c r="O115" s="103" t="str">
        <f>IF(AND(D115="Y",booking!L115&lt;&gt;booking!M115,booking!M115&gt;0),booking!M115,"-")</f>
        <v>-</v>
      </c>
      <c r="P115" s="86" t="str">
        <f>IFERROR(VLOOKUP(O115,Database!$A$2:$L$175,8,FALSE),"-")</f>
        <v>-</v>
      </c>
      <c r="Q115" s="86" t="str">
        <f>IFERROR(VLOOKUP(O115,Database!$A$2:$L$175,6,FALSE),"-")</f>
        <v>-</v>
      </c>
      <c r="R115" s="90" t="str">
        <f>IFERROR(VLOOKUP(O115,Database!$A$2:$L$175,9,FALSE),"-")</f>
        <v>-</v>
      </c>
      <c r="S115" s="152" t="str">
        <f>IFERROR(VLOOKUP(O115,Database!$A$2:$S$175,19,FALSE),"-")</f>
        <v>-</v>
      </c>
      <c r="T115" s="104" t="str">
        <f>IF(AND(D115="Y",booking!P115&lt;&gt;booking!Q115,booking!Q115&gt;0),booking!Q115,"-")</f>
        <v>-</v>
      </c>
      <c r="U115" s="86" t="str">
        <f>IFERROR(VLOOKUP(T115,Database!$A$2:$L$175,8,FALSE),"-")</f>
        <v>-</v>
      </c>
      <c r="V115" s="86" t="str">
        <f>IFERROR(VLOOKUP(T115,Database!$A$2:$L$175,6,FALSE),"-")</f>
        <v>-</v>
      </c>
      <c r="W115" s="90" t="str">
        <f>IFERROR(VLOOKUP(T115,Database!$A$2:$L$175,9,FALSE),"-")</f>
        <v>-</v>
      </c>
      <c r="X115" s="152" t="str">
        <f>IFERROR(VLOOKUP(T115,Database!$A$2:$S$175,19,FALSE),"-")</f>
        <v>-</v>
      </c>
      <c r="Y115" s="103" t="str">
        <f>IF(AND(D115="Y",booking!T115&lt;&gt;booking!U115,booking!U115&gt;0),booking!U115,"-")</f>
        <v>-</v>
      </c>
      <c r="Z115" s="87" t="str">
        <f>IFERROR(VLOOKUP(Y115,Database!$A$2:$L$175,8,FALSE),"-")</f>
        <v>-</v>
      </c>
      <c r="AA115" s="87" t="str">
        <f>IFERROR(VLOOKUP(Y115,Database!$A$2:$L$175,6,FALSE),"-")</f>
        <v>-</v>
      </c>
      <c r="AB115" s="99" t="str">
        <f>IFERROR(VLOOKUP(Y115,Database!$A$2:$L$175,9,FALSE),"-")</f>
        <v>-</v>
      </c>
      <c r="AC115" s="9" t="str">
        <f>IFERROR(VLOOKUP(Y115,Database!$A$2:$S$175,19,FALSE),"-")</f>
        <v>-</v>
      </c>
    </row>
    <row r="116" spans="1:29" ht="15" customHeight="1" thickBot="1" x14ac:dyDescent="0.4">
      <c r="A116" s="95" t="str">
        <f>rengøring!A116</f>
        <v>onsdag</v>
      </c>
      <c r="B116" s="93">
        <v>46617</v>
      </c>
      <c r="C116" s="10"/>
      <c r="D116" s="96" t="str">
        <f>IF(booking!AB116&gt;0,"Y","-")</f>
        <v>-</v>
      </c>
      <c r="E116" s="102" t="str">
        <f>IF(AND(D116="Y",booking!D116&lt;&gt;booking!E116,booking!E116&gt;0),booking!E116,"-")</f>
        <v>-</v>
      </c>
      <c r="F116" s="86" t="str">
        <f>IFERROR(VLOOKUP(E116,Database!$A$2:$L$175,8,FALSE),"-")</f>
        <v>-</v>
      </c>
      <c r="G116" s="86" t="str">
        <f>IFERROR(VLOOKUP(E116,Database!$A$2:$L$175,6,FALSE),"-")</f>
        <v>-</v>
      </c>
      <c r="H116" s="100" t="str">
        <f>IFERROR(VLOOKUP(E116,Database!$A$2:$L$175,9,FALSE),"-")</f>
        <v>-</v>
      </c>
      <c r="I116" s="120" t="str">
        <f>IFERROR(VLOOKUP(E116,Database!$A$2:$S$175,19,FALSE),"-")</f>
        <v>-</v>
      </c>
      <c r="J116" s="103" t="str">
        <f>IF(AND(D116="Y",booking!H116&lt;&gt;booking!I116,booking!I116&gt;0),booking!I116,"-")</f>
        <v>-</v>
      </c>
      <c r="K116" s="86" t="str">
        <f>IFERROR(VLOOKUP(J116,Database!$A$2:$L$175,8,FALSE),"-")</f>
        <v>-</v>
      </c>
      <c r="L116" s="86" t="str">
        <f>IFERROR(VLOOKUP(J116,Database!$A$2:$L$175,6,FALSE),"-")</f>
        <v>-</v>
      </c>
      <c r="M116" s="100" t="str">
        <f>IFERROR(VLOOKUP(J116,Database!$A$2:$L$175,9,FALSE),"-")</f>
        <v>-</v>
      </c>
      <c r="N116" s="152" t="str">
        <f>IFERROR(VLOOKUP(J116,Database!$A$2:$S$175,19,FALSE),"-")</f>
        <v>-</v>
      </c>
      <c r="O116" s="103" t="str">
        <f>IF(AND(D116="Y",booking!L116&lt;&gt;booking!M116,booking!M116&gt;0),booking!M116,"-")</f>
        <v>-</v>
      </c>
      <c r="P116" s="86" t="str">
        <f>IFERROR(VLOOKUP(O116,Database!$A$2:$L$175,8,FALSE),"-")</f>
        <v>-</v>
      </c>
      <c r="Q116" s="86" t="str">
        <f>IFERROR(VLOOKUP(O116,Database!$A$2:$L$175,6,FALSE),"-")</f>
        <v>-</v>
      </c>
      <c r="R116" s="90" t="str">
        <f>IFERROR(VLOOKUP(O116,Database!$A$2:$L$175,9,FALSE),"-")</f>
        <v>-</v>
      </c>
      <c r="S116" s="152" t="str">
        <f>IFERROR(VLOOKUP(O116,Database!$A$2:$S$175,19,FALSE),"-")</f>
        <v>-</v>
      </c>
      <c r="T116" s="104" t="str">
        <f>IF(AND(D116="Y",booking!P116&lt;&gt;booking!Q116,booking!Q116&gt;0),booking!Q116,"-")</f>
        <v>-</v>
      </c>
      <c r="U116" s="86" t="str">
        <f>IFERROR(VLOOKUP(T116,Database!$A$2:$L$175,8,FALSE),"-")</f>
        <v>-</v>
      </c>
      <c r="V116" s="86" t="str">
        <f>IFERROR(VLOOKUP(T116,Database!$A$2:$L$175,6,FALSE),"-")</f>
        <v>-</v>
      </c>
      <c r="W116" s="90" t="str">
        <f>IFERROR(VLOOKUP(T116,Database!$A$2:$L$175,9,FALSE),"-")</f>
        <v>-</v>
      </c>
      <c r="X116" s="152" t="str">
        <f>IFERROR(VLOOKUP(T116,Database!$A$2:$S$175,19,FALSE),"-")</f>
        <v>-</v>
      </c>
      <c r="Y116" s="103" t="str">
        <f>IF(AND(D116="Y",booking!T116&lt;&gt;booking!U116,booking!U116&gt;0),booking!U116,"-")</f>
        <v>-</v>
      </c>
      <c r="Z116" s="87" t="str">
        <f>IFERROR(VLOOKUP(Y116,Database!$A$2:$L$175,8,FALSE),"-")</f>
        <v>-</v>
      </c>
      <c r="AA116" s="87" t="str">
        <f>IFERROR(VLOOKUP(Y116,Database!$A$2:$L$175,6,FALSE),"-")</f>
        <v>-</v>
      </c>
      <c r="AB116" s="99" t="str">
        <f>IFERROR(VLOOKUP(Y116,Database!$A$2:$L$175,9,FALSE),"-")</f>
        <v>-</v>
      </c>
      <c r="AC116" s="9" t="str">
        <f>IFERROR(VLOOKUP(Y116,Database!$A$2:$S$175,19,FALSE),"-")</f>
        <v>-</v>
      </c>
    </row>
    <row r="117" spans="1:29" ht="15" customHeight="1" thickBot="1" x14ac:dyDescent="0.4">
      <c r="A117" s="95" t="str">
        <f>rengøring!A117</f>
        <v>torsdag</v>
      </c>
      <c r="B117" s="93">
        <v>46618</v>
      </c>
      <c r="C117" s="10"/>
      <c r="D117" s="96" t="str">
        <f>IF(booking!AB117&gt;0,"Y","-")</f>
        <v>-</v>
      </c>
      <c r="E117" s="102" t="str">
        <f>IF(AND(D117="Y",booking!D117&lt;&gt;booking!E117,booking!E117&gt;0),booking!E117,"-")</f>
        <v>-</v>
      </c>
      <c r="F117" s="86" t="str">
        <f>IFERROR(VLOOKUP(E117,Database!$A$2:$L$175,8,FALSE),"-")</f>
        <v>-</v>
      </c>
      <c r="G117" s="86" t="str">
        <f>IFERROR(VLOOKUP(E117,Database!$A$2:$L$175,6,FALSE),"-")</f>
        <v>-</v>
      </c>
      <c r="H117" s="100" t="str">
        <f>IFERROR(VLOOKUP(E117,Database!$A$2:$L$175,9,FALSE),"-")</f>
        <v>-</v>
      </c>
      <c r="I117" s="120" t="str">
        <f>IFERROR(VLOOKUP(E117,Database!$A$2:$S$175,19,FALSE),"-")</f>
        <v>-</v>
      </c>
      <c r="J117" s="103" t="str">
        <f>IF(AND(D117="Y",booking!H117&lt;&gt;booking!I117,booking!I117&gt;0),booking!I117,"-")</f>
        <v>-</v>
      </c>
      <c r="K117" s="86" t="str">
        <f>IFERROR(VLOOKUP(J117,Database!$A$2:$L$175,8,FALSE),"-")</f>
        <v>-</v>
      </c>
      <c r="L117" s="86" t="str">
        <f>IFERROR(VLOOKUP(J117,Database!$A$2:$L$175,6,FALSE),"-")</f>
        <v>-</v>
      </c>
      <c r="M117" s="100" t="str">
        <f>IFERROR(VLOOKUP(J117,Database!$A$2:$L$175,9,FALSE),"-")</f>
        <v>-</v>
      </c>
      <c r="N117" s="152" t="str">
        <f>IFERROR(VLOOKUP(J117,Database!$A$2:$S$175,19,FALSE),"-")</f>
        <v>-</v>
      </c>
      <c r="O117" s="103" t="str">
        <f>IF(AND(D117="Y",booking!L117&lt;&gt;booking!M117,booking!M117&gt;0),booking!M117,"-")</f>
        <v>-</v>
      </c>
      <c r="P117" s="86" t="str">
        <f>IFERROR(VLOOKUP(O117,Database!$A$2:$L$175,8,FALSE),"-")</f>
        <v>-</v>
      </c>
      <c r="Q117" s="86" t="str">
        <f>IFERROR(VLOOKUP(O117,Database!$A$2:$L$175,6,FALSE),"-")</f>
        <v>-</v>
      </c>
      <c r="R117" s="90" t="str">
        <f>IFERROR(VLOOKUP(O117,Database!$A$2:$L$175,9,FALSE),"-")</f>
        <v>-</v>
      </c>
      <c r="S117" s="152" t="str">
        <f>IFERROR(VLOOKUP(O117,Database!$A$2:$S$175,19,FALSE),"-")</f>
        <v>-</v>
      </c>
      <c r="T117" s="104" t="str">
        <f>IF(AND(D117="Y",booking!P117&lt;&gt;booking!Q117,booking!Q117&gt;0),booking!Q117,"-")</f>
        <v>-</v>
      </c>
      <c r="U117" s="86" t="str">
        <f>IFERROR(VLOOKUP(T117,Database!$A$2:$L$175,8,FALSE),"-")</f>
        <v>-</v>
      </c>
      <c r="V117" s="86" t="str">
        <f>IFERROR(VLOOKUP(T117,Database!$A$2:$L$175,6,FALSE),"-")</f>
        <v>-</v>
      </c>
      <c r="W117" s="90" t="str">
        <f>IFERROR(VLOOKUP(T117,Database!$A$2:$L$175,9,FALSE),"-")</f>
        <v>-</v>
      </c>
      <c r="X117" s="152" t="str">
        <f>IFERROR(VLOOKUP(T117,Database!$A$2:$S$175,19,FALSE),"-")</f>
        <v>-</v>
      </c>
      <c r="Y117" s="103" t="str">
        <f>IF(AND(D117="Y",booking!T117&lt;&gt;booking!U117,booking!U117&gt;0),booking!U117,"-")</f>
        <v>-</v>
      </c>
      <c r="Z117" s="87" t="str">
        <f>IFERROR(VLOOKUP(Y117,Database!$A$2:$L$175,8,FALSE),"-")</f>
        <v>-</v>
      </c>
      <c r="AA117" s="87" t="str">
        <f>IFERROR(VLOOKUP(Y117,Database!$A$2:$L$175,6,FALSE),"-")</f>
        <v>-</v>
      </c>
      <c r="AB117" s="99" t="str">
        <f>IFERROR(VLOOKUP(Y117,Database!$A$2:$L$175,9,FALSE),"-")</f>
        <v>-</v>
      </c>
      <c r="AC117" s="9" t="str">
        <f>IFERROR(VLOOKUP(Y117,Database!$A$2:$S$175,19,FALSE),"-")</f>
        <v>-</v>
      </c>
    </row>
    <row r="118" spans="1:29" ht="15" customHeight="1" thickBot="1" x14ac:dyDescent="0.4">
      <c r="A118" s="95" t="str">
        <f>rengøring!A118</f>
        <v>fredag</v>
      </c>
      <c r="B118" s="93">
        <v>46619</v>
      </c>
      <c r="C118" s="10"/>
      <c r="D118" s="96" t="str">
        <f>IF(booking!AB118&gt;0,"Y","-")</f>
        <v>-</v>
      </c>
      <c r="E118" s="102" t="str">
        <f>IF(AND(D118="Y",booking!D118&lt;&gt;booking!E118,booking!E118&gt;0),booking!E118,"-")</f>
        <v>-</v>
      </c>
      <c r="F118" s="86" t="str">
        <f>IFERROR(VLOOKUP(E118,Database!$A$2:$L$175,8,FALSE),"-")</f>
        <v>-</v>
      </c>
      <c r="G118" s="86" t="str">
        <f>IFERROR(VLOOKUP(E118,Database!$A$2:$L$175,6,FALSE),"-")</f>
        <v>-</v>
      </c>
      <c r="H118" s="100" t="str">
        <f>IFERROR(VLOOKUP(E118,Database!$A$2:$L$175,9,FALSE),"-")</f>
        <v>-</v>
      </c>
      <c r="I118" s="120" t="str">
        <f>IFERROR(VLOOKUP(E118,Database!$A$2:$S$175,19,FALSE),"-")</f>
        <v>-</v>
      </c>
      <c r="J118" s="103" t="str">
        <f>IF(AND(D118="Y",booking!H118&lt;&gt;booking!I118,booking!I118&gt;0),booking!I118,"-")</f>
        <v>-</v>
      </c>
      <c r="K118" s="86" t="str">
        <f>IFERROR(VLOOKUP(J118,Database!$A$2:$L$175,8,FALSE),"-")</f>
        <v>-</v>
      </c>
      <c r="L118" s="86" t="str">
        <f>IFERROR(VLOOKUP(J118,Database!$A$2:$L$175,6,FALSE),"-")</f>
        <v>-</v>
      </c>
      <c r="M118" s="100" t="str">
        <f>IFERROR(VLOOKUP(J118,Database!$A$2:$L$175,9,FALSE),"-")</f>
        <v>-</v>
      </c>
      <c r="N118" s="152" t="str">
        <f>IFERROR(VLOOKUP(J118,Database!$A$2:$S$175,19,FALSE),"-")</f>
        <v>-</v>
      </c>
      <c r="O118" s="103" t="str">
        <f>IF(AND(D118="Y",booking!L118&lt;&gt;booking!M118,booking!M118&gt;0),booking!M118,"-")</f>
        <v>-</v>
      </c>
      <c r="P118" s="86" t="str">
        <f>IFERROR(VLOOKUP(O118,Database!$A$2:$L$175,8,FALSE),"-")</f>
        <v>-</v>
      </c>
      <c r="Q118" s="86" t="str">
        <f>IFERROR(VLOOKUP(O118,Database!$A$2:$L$175,6,FALSE),"-")</f>
        <v>-</v>
      </c>
      <c r="R118" s="90" t="str">
        <f>IFERROR(VLOOKUP(O118,Database!$A$2:$L$175,9,FALSE),"-")</f>
        <v>-</v>
      </c>
      <c r="S118" s="152" t="str">
        <f>IFERROR(VLOOKUP(O118,Database!$A$2:$S$175,19,FALSE),"-")</f>
        <v>-</v>
      </c>
      <c r="T118" s="104" t="str">
        <f>IF(AND(D118="Y",booking!P118&lt;&gt;booking!Q118,booking!Q118&gt;0),booking!Q118,"-")</f>
        <v>-</v>
      </c>
      <c r="U118" s="86" t="str">
        <f>IFERROR(VLOOKUP(T118,Database!$A$2:$L$175,8,FALSE),"-")</f>
        <v>-</v>
      </c>
      <c r="V118" s="86" t="str">
        <f>IFERROR(VLOOKUP(T118,Database!$A$2:$L$175,6,FALSE),"-")</f>
        <v>-</v>
      </c>
      <c r="W118" s="90" t="str">
        <f>IFERROR(VLOOKUP(T118,Database!$A$2:$L$175,9,FALSE),"-")</f>
        <v>-</v>
      </c>
      <c r="X118" s="152" t="str">
        <f>IFERROR(VLOOKUP(T118,Database!$A$2:$S$175,19,FALSE),"-")</f>
        <v>-</v>
      </c>
      <c r="Y118" s="103" t="str">
        <f>IF(AND(D118="Y",booking!T118&lt;&gt;booking!U118,booking!U118&gt;0),booking!U118,"-")</f>
        <v>-</v>
      </c>
      <c r="Z118" s="87" t="str">
        <f>IFERROR(VLOOKUP(Y118,Database!$A$2:$L$175,8,FALSE),"-")</f>
        <v>-</v>
      </c>
      <c r="AA118" s="87" t="str">
        <f>IFERROR(VLOOKUP(Y118,Database!$A$2:$L$175,6,FALSE),"-")</f>
        <v>-</v>
      </c>
      <c r="AB118" s="99" t="str">
        <f>IFERROR(VLOOKUP(Y118,Database!$A$2:$L$175,9,FALSE),"-")</f>
        <v>-</v>
      </c>
      <c r="AC118" s="9" t="str">
        <f>IFERROR(VLOOKUP(Y118,Database!$A$2:$S$175,19,FALSE),"-")</f>
        <v>-</v>
      </c>
    </row>
    <row r="119" spans="1:29" ht="15" customHeight="1" thickBot="1" x14ac:dyDescent="0.4">
      <c r="A119" s="95" t="str">
        <f>rengøring!A119</f>
        <v>lørdag</v>
      </c>
      <c r="B119" s="93">
        <v>46620</v>
      </c>
      <c r="C119" s="10"/>
      <c r="D119" s="96" t="str">
        <f>IF(booking!AB119&gt;0,"Y","-")</f>
        <v>-</v>
      </c>
      <c r="E119" s="102" t="str">
        <f>IF(AND(D119="Y",booking!D119&lt;&gt;booking!E119,booking!E119&gt;0),booking!E119,"-")</f>
        <v>-</v>
      </c>
      <c r="F119" s="86" t="str">
        <f>IFERROR(VLOOKUP(E119,Database!$A$2:$L$175,8,FALSE),"-")</f>
        <v>-</v>
      </c>
      <c r="G119" s="86" t="str">
        <f>IFERROR(VLOOKUP(E119,Database!$A$2:$L$175,6,FALSE),"-")</f>
        <v>-</v>
      </c>
      <c r="H119" s="100" t="str">
        <f>IFERROR(VLOOKUP(E119,Database!$A$2:$L$175,9,FALSE),"-")</f>
        <v>-</v>
      </c>
      <c r="I119" s="120" t="str">
        <f>IFERROR(VLOOKUP(E119,Database!$A$2:$S$175,19,FALSE),"-")</f>
        <v>-</v>
      </c>
      <c r="J119" s="103" t="str">
        <f>IF(AND(D119="Y",booking!H119&lt;&gt;booking!I119,booking!I119&gt;0),booking!I119,"-")</f>
        <v>-</v>
      </c>
      <c r="K119" s="86" t="str">
        <f>IFERROR(VLOOKUP(J119,Database!$A$2:$L$175,8,FALSE),"-")</f>
        <v>-</v>
      </c>
      <c r="L119" s="86" t="str">
        <f>IFERROR(VLOOKUP(J119,Database!$A$2:$L$175,6,FALSE),"-")</f>
        <v>-</v>
      </c>
      <c r="M119" s="100" t="str">
        <f>IFERROR(VLOOKUP(J119,Database!$A$2:$L$175,9,FALSE),"-")</f>
        <v>-</v>
      </c>
      <c r="N119" s="152" t="str">
        <f>IFERROR(VLOOKUP(J119,Database!$A$2:$S$175,19,FALSE),"-")</f>
        <v>-</v>
      </c>
      <c r="O119" s="103" t="str">
        <f>IF(AND(D119="Y",booking!L119&lt;&gt;booking!M119,booking!M119&gt;0),booking!M119,"-")</f>
        <v>-</v>
      </c>
      <c r="P119" s="86" t="str">
        <f>IFERROR(VLOOKUP(O119,Database!$A$2:$L$175,8,FALSE),"-")</f>
        <v>-</v>
      </c>
      <c r="Q119" s="86" t="str">
        <f>IFERROR(VLOOKUP(O119,Database!$A$2:$L$175,6,FALSE),"-")</f>
        <v>-</v>
      </c>
      <c r="R119" s="90" t="str">
        <f>IFERROR(VLOOKUP(O119,Database!$A$2:$L$175,9,FALSE),"-")</f>
        <v>-</v>
      </c>
      <c r="S119" s="152" t="str">
        <f>IFERROR(VLOOKUP(O119,Database!$A$2:$S$175,19,FALSE),"-")</f>
        <v>-</v>
      </c>
      <c r="T119" s="104" t="str">
        <f>IF(AND(D119="Y",booking!P119&lt;&gt;booking!Q119,booking!Q119&gt;0),booking!Q119,"-")</f>
        <v>-</v>
      </c>
      <c r="U119" s="86" t="str">
        <f>IFERROR(VLOOKUP(T119,Database!$A$2:$L$175,8,FALSE),"-")</f>
        <v>-</v>
      </c>
      <c r="V119" s="86" t="str">
        <f>IFERROR(VLOOKUP(T119,Database!$A$2:$L$175,6,FALSE),"-")</f>
        <v>-</v>
      </c>
      <c r="W119" s="90" t="str">
        <f>IFERROR(VLOOKUP(T119,Database!$A$2:$L$175,9,FALSE),"-")</f>
        <v>-</v>
      </c>
      <c r="X119" s="152" t="str">
        <f>IFERROR(VLOOKUP(T119,Database!$A$2:$S$175,19,FALSE),"-")</f>
        <v>-</v>
      </c>
      <c r="Y119" s="103" t="str">
        <f>IF(AND(D119="Y",booking!T119&lt;&gt;booking!U119,booking!U119&gt;0),booking!U119,"-")</f>
        <v>-</v>
      </c>
      <c r="Z119" s="87" t="str">
        <f>IFERROR(VLOOKUP(Y119,Database!$A$2:$L$175,8,FALSE),"-")</f>
        <v>-</v>
      </c>
      <c r="AA119" s="87" t="str">
        <f>IFERROR(VLOOKUP(Y119,Database!$A$2:$L$175,6,FALSE),"-")</f>
        <v>-</v>
      </c>
      <c r="AB119" s="99" t="str">
        <f>IFERROR(VLOOKUP(Y119,Database!$A$2:$L$175,9,FALSE),"-")</f>
        <v>-</v>
      </c>
      <c r="AC119" s="9" t="str">
        <f>IFERROR(VLOOKUP(Y119,Database!$A$2:$S$175,19,FALSE),"-")</f>
        <v>-</v>
      </c>
    </row>
    <row r="120" spans="1:29" ht="15" customHeight="1" thickBot="1" x14ac:dyDescent="0.4">
      <c r="A120" s="95" t="str">
        <f>rengøring!A120</f>
        <v>søndag</v>
      </c>
      <c r="B120" s="93">
        <v>46621</v>
      </c>
      <c r="C120" s="10"/>
      <c r="D120" s="96" t="str">
        <f>IF(booking!AB120&gt;0,"Y","-")</f>
        <v>-</v>
      </c>
      <c r="E120" s="102" t="str">
        <f>IF(AND(D120="Y",booking!D120&lt;&gt;booking!E120,booking!E120&gt;0),booking!E120,"-")</f>
        <v>-</v>
      </c>
      <c r="F120" s="86" t="str">
        <f>IFERROR(VLOOKUP(E120,Database!$A$2:$L$175,8,FALSE),"-")</f>
        <v>-</v>
      </c>
      <c r="G120" s="86" t="str">
        <f>IFERROR(VLOOKUP(E120,Database!$A$2:$L$175,6,FALSE),"-")</f>
        <v>-</v>
      </c>
      <c r="H120" s="100" t="str">
        <f>IFERROR(VLOOKUP(E120,Database!$A$2:$L$175,9,FALSE),"-")</f>
        <v>-</v>
      </c>
      <c r="I120" s="120" t="str">
        <f>IFERROR(VLOOKUP(E120,Database!$A$2:$S$175,19,FALSE),"-")</f>
        <v>-</v>
      </c>
      <c r="J120" s="103" t="str">
        <f>IF(AND(D120="Y",booking!H120&lt;&gt;booking!I120,booking!I120&gt;0),booking!I120,"-")</f>
        <v>-</v>
      </c>
      <c r="K120" s="86" t="str">
        <f>IFERROR(VLOOKUP(J120,Database!$A$2:$L$175,8,FALSE),"-")</f>
        <v>-</v>
      </c>
      <c r="L120" s="86" t="str">
        <f>IFERROR(VLOOKUP(J120,Database!$A$2:$L$175,6,FALSE),"-")</f>
        <v>-</v>
      </c>
      <c r="M120" s="100" t="str">
        <f>IFERROR(VLOOKUP(J120,Database!$A$2:$L$175,9,FALSE),"-")</f>
        <v>-</v>
      </c>
      <c r="N120" s="152" t="str">
        <f>IFERROR(VLOOKUP(J120,Database!$A$2:$S$175,19,FALSE),"-")</f>
        <v>-</v>
      </c>
      <c r="O120" s="103" t="str">
        <f>IF(AND(D120="Y",booking!L120&lt;&gt;booking!M120,booking!M120&gt;0),booking!M120,"-")</f>
        <v>-</v>
      </c>
      <c r="P120" s="86" t="str">
        <f>IFERROR(VLOOKUP(O120,Database!$A$2:$L$175,8,FALSE),"-")</f>
        <v>-</v>
      </c>
      <c r="Q120" s="86" t="str">
        <f>IFERROR(VLOOKUP(O120,Database!$A$2:$L$175,6,FALSE),"-")</f>
        <v>-</v>
      </c>
      <c r="R120" s="90" t="str">
        <f>IFERROR(VLOOKUP(O120,Database!$A$2:$L$175,9,FALSE),"-")</f>
        <v>-</v>
      </c>
      <c r="S120" s="152" t="str">
        <f>IFERROR(VLOOKUP(O120,Database!$A$2:$S$175,19,FALSE),"-")</f>
        <v>-</v>
      </c>
      <c r="T120" s="104" t="str">
        <f>IF(AND(D120="Y",booking!P120&lt;&gt;booking!Q120,booking!Q120&gt;0),booking!Q120,"-")</f>
        <v>-</v>
      </c>
      <c r="U120" s="86" t="str">
        <f>IFERROR(VLOOKUP(T120,Database!$A$2:$L$175,8,FALSE),"-")</f>
        <v>-</v>
      </c>
      <c r="V120" s="86" t="str">
        <f>IFERROR(VLOOKUP(T120,Database!$A$2:$L$175,6,FALSE),"-")</f>
        <v>-</v>
      </c>
      <c r="W120" s="90" t="str">
        <f>IFERROR(VLOOKUP(T120,Database!$A$2:$L$175,9,FALSE),"-")</f>
        <v>-</v>
      </c>
      <c r="X120" s="152" t="str">
        <f>IFERROR(VLOOKUP(T120,Database!$A$2:$S$175,19,FALSE),"-")</f>
        <v>-</v>
      </c>
      <c r="Y120" s="103" t="str">
        <f>IF(AND(D120="Y",booking!T120&lt;&gt;booking!U120,booking!U120&gt;0),booking!U120,"-")</f>
        <v>-</v>
      </c>
      <c r="Z120" s="87" t="str">
        <f>IFERROR(VLOOKUP(Y120,Database!$A$2:$L$175,8,FALSE),"-")</f>
        <v>-</v>
      </c>
      <c r="AA120" s="87" t="str">
        <f>IFERROR(VLOOKUP(Y120,Database!$A$2:$L$175,6,FALSE),"-")</f>
        <v>-</v>
      </c>
      <c r="AB120" s="99" t="str">
        <f>IFERROR(VLOOKUP(Y120,Database!$A$2:$L$175,9,FALSE),"-")</f>
        <v>-</v>
      </c>
      <c r="AC120" s="9" t="str">
        <f>IFERROR(VLOOKUP(Y120,Database!$A$2:$S$175,19,FALSE),"-")</f>
        <v>-</v>
      </c>
    </row>
    <row r="121" spans="1:29" ht="15" customHeight="1" thickBot="1" x14ac:dyDescent="0.4">
      <c r="A121" s="95" t="str">
        <f>rengøring!A121</f>
        <v>mandag</v>
      </c>
      <c r="B121" s="93">
        <v>46622</v>
      </c>
      <c r="C121" s="10"/>
      <c r="D121" s="96" t="str">
        <f>IF(booking!AB121&gt;0,"Y","-")</f>
        <v>-</v>
      </c>
      <c r="E121" s="102" t="str">
        <f>IF(AND(D121="Y",booking!D121&lt;&gt;booking!E121,booking!E121&gt;0),booking!E121,"-")</f>
        <v>-</v>
      </c>
      <c r="F121" s="86" t="str">
        <f>IFERROR(VLOOKUP(E121,Database!$A$2:$L$175,8,FALSE),"-")</f>
        <v>-</v>
      </c>
      <c r="G121" s="86" t="str">
        <f>IFERROR(VLOOKUP(E121,Database!$A$2:$L$175,6,FALSE),"-")</f>
        <v>-</v>
      </c>
      <c r="H121" s="100" t="str">
        <f>IFERROR(VLOOKUP(E121,Database!$A$2:$L$175,9,FALSE),"-")</f>
        <v>-</v>
      </c>
      <c r="I121" s="120" t="str">
        <f>IFERROR(VLOOKUP(E121,Database!$A$2:$S$175,19,FALSE),"-")</f>
        <v>-</v>
      </c>
      <c r="J121" s="103" t="str">
        <f>IF(AND(D121="Y",booking!H121&lt;&gt;booking!I121,booking!I121&gt;0),booking!I121,"-")</f>
        <v>-</v>
      </c>
      <c r="K121" s="86" t="str">
        <f>IFERROR(VLOOKUP(J121,Database!$A$2:$L$175,8,FALSE),"-")</f>
        <v>-</v>
      </c>
      <c r="L121" s="86" t="str">
        <f>IFERROR(VLOOKUP(J121,Database!$A$2:$L$175,6,FALSE),"-")</f>
        <v>-</v>
      </c>
      <c r="M121" s="100" t="str">
        <f>IFERROR(VLOOKUP(J121,Database!$A$2:$L$175,9,FALSE),"-")</f>
        <v>-</v>
      </c>
      <c r="N121" s="152" t="str">
        <f>IFERROR(VLOOKUP(J121,Database!$A$2:$S$175,19,FALSE),"-")</f>
        <v>-</v>
      </c>
      <c r="O121" s="103" t="str">
        <f>IF(AND(D121="Y",booking!L121&lt;&gt;booking!M121,booking!M121&gt;0),booking!M121,"-")</f>
        <v>-</v>
      </c>
      <c r="P121" s="86" t="str">
        <f>IFERROR(VLOOKUP(O121,Database!$A$2:$L$175,8,FALSE),"-")</f>
        <v>-</v>
      </c>
      <c r="Q121" s="86" t="str">
        <f>IFERROR(VLOOKUP(O121,Database!$A$2:$L$175,6,FALSE),"-")</f>
        <v>-</v>
      </c>
      <c r="R121" s="90" t="str">
        <f>IFERROR(VLOOKUP(O121,Database!$A$2:$L$175,9,FALSE),"-")</f>
        <v>-</v>
      </c>
      <c r="S121" s="152" t="str">
        <f>IFERROR(VLOOKUP(O121,Database!$A$2:$S$175,19,FALSE),"-")</f>
        <v>-</v>
      </c>
      <c r="T121" s="104" t="str">
        <f>IF(AND(D121="Y",booking!P121&lt;&gt;booking!Q121,booking!Q121&gt;0),booking!Q121,"-")</f>
        <v>-</v>
      </c>
      <c r="U121" s="86" t="str">
        <f>IFERROR(VLOOKUP(T121,Database!$A$2:$L$175,8,FALSE),"-")</f>
        <v>-</v>
      </c>
      <c r="V121" s="86" t="str">
        <f>IFERROR(VLOOKUP(T121,Database!$A$2:$L$175,6,FALSE),"-")</f>
        <v>-</v>
      </c>
      <c r="W121" s="90" t="str">
        <f>IFERROR(VLOOKUP(T121,Database!$A$2:$L$175,9,FALSE),"-")</f>
        <v>-</v>
      </c>
      <c r="X121" s="152" t="str">
        <f>IFERROR(VLOOKUP(T121,Database!$A$2:$S$175,19,FALSE),"-")</f>
        <v>-</v>
      </c>
      <c r="Y121" s="103" t="str">
        <f>IF(AND(D121="Y",booking!T121&lt;&gt;booking!U121,booking!U121&gt;0),booking!U121,"-")</f>
        <v>-</v>
      </c>
      <c r="Z121" s="87" t="str">
        <f>IFERROR(VLOOKUP(Y121,Database!$A$2:$L$175,8,FALSE),"-")</f>
        <v>-</v>
      </c>
      <c r="AA121" s="87" t="str">
        <f>IFERROR(VLOOKUP(Y121,Database!$A$2:$L$175,6,FALSE),"-")</f>
        <v>-</v>
      </c>
      <c r="AB121" s="99" t="str">
        <f>IFERROR(VLOOKUP(Y121,Database!$A$2:$L$175,9,FALSE),"-")</f>
        <v>-</v>
      </c>
      <c r="AC121" s="9" t="str">
        <f>IFERROR(VLOOKUP(Y121,Database!$A$2:$S$175,19,FALSE),"-")</f>
        <v>-</v>
      </c>
    </row>
    <row r="122" spans="1:29" ht="15" customHeight="1" thickBot="1" x14ac:dyDescent="0.4">
      <c r="A122" s="95" t="str">
        <f>rengøring!A122</f>
        <v>tirsdag</v>
      </c>
      <c r="B122" s="93">
        <v>46623</v>
      </c>
      <c r="C122" s="10"/>
      <c r="D122" s="96" t="str">
        <f>IF(booking!AB122&gt;0,"Y","-")</f>
        <v>-</v>
      </c>
      <c r="E122" s="102" t="str">
        <f>IF(AND(D122="Y",booking!D122&lt;&gt;booking!E122,booking!E122&gt;0),booking!E122,"-")</f>
        <v>-</v>
      </c>
      <c r="F122" s="86" t="str">
        <f>IFERROR(VLOOKUP(E122,Database!$A$2:$L$175,8,FALSE),"-")</f>
        <v>-</v>
      </c>
      <c r="G122" s="86" t="str">
        <f>IFERROR(VLOOKUP(E122,Database!$A$2:$L$175,6,FALSE),"-")</f>
        <v>-</v>
      </c>
      <c r="H122" s="100" t="str">
        <f>IFERROR(VLOOKUP(E122,Database!$A$2:$L$175,9,FALSE),"-")</f>
        <v>-</v>
      </c>
      <c r="I122" s="120" t="str">
        <f>IFERROR(VLOOKUP(E122,Database!$A$2:$S$175,19,FALSE),"-")</f>
        <v>-</v>
      </c>
      <c r="J122" s="103" t="str">
        <f>IF(AND(D122="Y",booking!H122&lt;&gt;booking!I122,booking!I122&gt;0),booking!I122,"-")</f>
        <v>-</v>
      </c>
      <c r="K122" s="86" t="str">
        <f>IFERROR(VLOOKUP(J122,Database!$A$2:$L$175,8,FALSE),"-")</f>
        <v>-</v>
      </c>
      <c r="L122" s="86" t="str">
        <f>IFERROR(VLOOKUP(J122,Database!$A$2:$L$175,6,FALSE),"-")</f>
        <v>-</v>
      </c>
      <c r="M122" s="100" t="str">
        <f>IFERROR(VLOOKUP(J122,Database!$A$2:$L$175,9,FALSE),"-")</f>
        <v>-</v>
      </c>
      <c r="N122" s="152" t="str">
        <f>IFERROR(VLOOKUP(J122,Database!$A$2:$S$175,19,FALSE),"-")</f>
        <v>-</v>
      </c>
      <c r="O122" s="103" t="str">
        <f>IF(AND(D122="Y",booking!L122&lt;&gt;booking!M122,booking!M122&gt;0),booking!M122,"-")</f>
        <v>-</v>
      </c>
      <c r="P122" s="86" t="str">
        <f>IFERROR(VLOOKUP(O122,Database!$A$2:$L$175,8,FALSE),"-")</f>
        <v>-</v>
      </c>
      <c r="Q122" s="86" t="str">
        <f>IFERROR(VLOOKUP(O122,Database!$A$2:$L$175,6,FALSE),"-")</f>
        <v>-</v>
      </c>
      <c r="R122" s="90" t="str">
        <f>IFERROR(VLOOKUP(O122,Database!$A$2:$L$175,9,FALSE),"-")</f>
        <v>-</v>
      </c>
      <c r="S122" s="152" t="str">
        <f>IFERROR(VLOOKUP(O122,Database!$A$2:$S$175,19,FALSE),"-")</f>
        <v>-</v>
      </c>
      <c r="T122" s="104" t="str">
        <f>IF(AND(D122="Y",booking!P122&lt;&gt;booking!Q122,booking!Q122&gt;0),booking!Q122,"-")</f>
        <v>-</v>
      </c>
      <c r="U122" s="86" t="str">
        <f>IFERROR(VLOOKUP(T122,Database!$A$2:$L$175,8,FALSE),"-")</f>
        <v>-</v>
      </c>
      <c r="V122" s="86" t="str">
        <f>IFERROR(VLOOKUP(T122,Database!$A$2:$L$175,6,FALSE),"-")</f>
        <v>-</v>
      </c>
      <c r="W122" s="90" t="str">
        <f>IFERROR(VLOOKUP(T122,Database!$A$2:$L$175,9,FALSE),"-")</f>
        <v>-</v>
      </c>
      <c r="X122" s="152" t="str">
        <f>IFERROR(VLOOKUP(T122,Database!$A$2:$S$175,19,FALSE),"-")</f>
        <v>-</v>
      </c>
      <c r="Y122" s="103" t="str">
        <f>IF(AND(D122="Y",booking!T122&lt;&gt;booking!U122,booking!U122&gt;0),booking!U122,"-")</f>
        <v>-</v>
      </c>
      <c r="Z122" s="87" t="str">
        <f>IFERROR(VLOOKUP(Y122,Database!$A$2:$L$175,8,FALSE),"-")</f>
        <v>-</v>
      </c>
      <c r="AA122" s="87" t="str">
        <f>IFERROR(VLOOKUP(Y122,Database!$A$2:$L$175,6,FALSE),"-")</f>
        <v>-</v>
      </c>
      <c r="AB122" s="99" t="str">
        <f>IFERROR(VLOOKUP(Y122,Database!$A$2:$L$175,9,FALSE),"-")</f>
        <v>-</v>
      </c>
      <c r="AC122" s="9" t="str">
        <f>IFERROR(VLOOKUP(Y122,Database!$A$2:$S$175,19,FALSE),"-")</f>
        <v>-</v>
      </c>
    </row>
    <row r="123" spans="1:29" ht="15" customHeight="1" thickBot="1" x14ac:dyDescent="0.4">
      <c r="A123" s="95" t="str">
        <f>rengøring!A123</f>
        <v>onsdag</v>
      </c>
      <c r="B123" s="93">
        <v>46624</v>
      </c>
      <c r="C123" s="10"/>
      <c r="D123" s="96" t="str">
        <f>IF(booking!AB123&gt;0,"Y","-")</f>
        <v>-</v>
      </c>
      <c r="E123" s="102" t="str">
        <f>IF(AND(D123="Y",booking!D123&lt;&gt;booking!E123,booking!E123&gt;0),booking!E123,"-")</f>
        <v>-</v>
      </c>
      <c r="F123" s="86" t="str">
        <f>IFERROR(VLOOKUP(E123,Database!$A$2:$L$175,8,FALSE),"-")</f>
        <v>-</v>
      </c>
      <c r="G123" s="86" t="str">
        <f>IFERROR(VLOOKUP(E123,Database!$A$2:$L$175,6,FALSE),"-")</f>
        <v>-</v>
      </c>
      <c r="H123" s="100" t="str">
        <f>IFERROR(VLOOKUP(E123,Database!$A$2:$L$175,9,FALSE),"-")</f>
        <v>-</v>
      </c>
      <c r="I123" s="120" t="str">
        <f>IFERROR(VLOOKUP(E123,Database!$A$2:$S$175,19,FALSE),"-")</f>
        <v>-</v>
      </c>
      <c r="J123" s="103" t="str">
        <f>IF(AND(D123="Y",booking!H123&lt;&gt;booking!I123,booking!I123&gt;0),booking!I123,"-")</f>
        <v>-</v>
      </c>
      <c r="K123" s="86" t="str">
        <f>IFERROR(VLOOKUP(J123,Database!$A$2:$L$175,8,FALSE),"-")</f>
        <v>-</v>
      </c>
      <c r="L123" s="86" t="str">
        <f>IFERROR(VLOOKUP(J123,Database!$A$2:$L$175,6,FALSE),"-")</f>
        <v>-</v>
      </c>
      <c r="M123" s="100" t="str">
        <f>IFERROR(VLOOKUP(J123,Database!$A$2:$L$175,9,FALSE),"-")</f>
        <v>-</v>
      </c>
      <c r="N123" s="152" t="str">
        <f>IFERROR(VLOOKUP(J123,Database!$A$2:$S$175,19,FALSE),"-")</f>
        <v>-</v>
      </c>
      <c r="O123" s="103" t="str">
        <f>IF(AND(D123="Y",booking!L123&lt;&gt;booking!M123,booking!M123&gt;0),booking!M123,"-")</f>
        <v>-</v>
      </c>
      <c r="P123" s="86" t="str">
        <f>IFERROR(VLOOKUP(O123,Database!$A$2:$L$175,8,FALSE),"-")</f>
        <v>-</v>
      </c>
      <c r="Q123" s="86" t="str">
        <f>IFERROR(VLOOKUP(O123,Database!$A$2:$L$175,6,FALSE),"-")</f>
        <v>-</v>
      </c>
      <c r="R123" s="90" t="str">
        <f>IFERROR(VLOOKUP(O123,Database!$A$2:$L$175,9,FALSE),"-")</f>
        <v>-</v>
      </c>
      <c r="S123" s="152" t="str">
        <f>IFERROR(VLOOKUP(O123,Database!$A$2:$S$175,19,FALSE),"-")</f>
        <v>-</v>
      </c>
      <c r="T123" s="104" t="str">
        <f>IF(AND(D123="Y",booking!P123&lt;&gt;booking!Q123,booking!Q123&gt;0),booking!Q123,"-")</f>
        <v>-</v>
      </c>
      <c r="U123" s="86" t="str">
        <f>IFERROR(VLOOKUP(T123,Database!$A$2:$L$175,8,FALSE),"-")</f>
        <v>-</v>
      </c>
      <c r="V123" s="86" t="str">
        <f>IFERROR(VLOOKUP(T123,Database!$A$2:$L$175,6,FALSE),"-")</f>
        <v>-</v>
      </c>
      <c r="W123" s="90" t="str">
        <f>IFERROR(VLOOKUP(T123,Database!$A$2:$L$175,9,FALSE),"-")</f>
        <v>-</v>
      </c>
      <c r="X123" s="152" t="str">
        <f>IFERROR(VLOOKUP(T123,Database!$A$2:$S$175,19,FALSE),"-")</f>
        <v>-</v>
      </c>
      <c r="Y123" s="103" t="str">
        <f>IF(AND(D123="Y",booking!T123&lt;&gt;booking!U123,booking!U123&gt;0),booking!U123,"-")</f>
        <v>-</v>
      </c>
      <c r="Z123" s="87" t="str">
        <f>IFERROR(VLOOKUP(Y123,Database!$A$2:$L$175,8,FALSE),"-")</f>
        <v>-</v>
      </c>
      <c r="AA123" s="87" t="str">
        <f>IFERROR(VLOOKUP(Y123,Database!$A$2:$L$175,6,FALSE),"-")</f>
        <v>-</v>
      </c>
      <c r="AB123" s="99" t="str">
        <f>IFERROR(VLOOKUP(Y123,Database!$A$2:$L$175,9,FALSE),"-")</f>
        <v>-</v>
      </c>
      <c r="AC123" s="9" t="str">
        <f>IFERROR(VLOOKUP(Y123,Database!$A$2:$S$175,19,FALSE),"-")</f>
        <v>-</v>
      </c>
    </row>
    <row r="124" spans="1:29" ht="15" customHeight="1" thickBot="1" x14ac:dyDescent="0.4">
      <c r="A124" s="95" t="str">
        <f>rengøring!A124</f>
        <v>torsdag</v>
      </c>
      <c r="B124" s="93">
        <v>46625</v>
      </c>
      <c r="C124" s="10"/>
      <c r="D124" s="96" t="str">
        <f>IF(booking!AB124&gt;0,"Y","-")</f>
        <v>-</v>
      </c>
      <c r="E124" s="102" t="str">
        <f>IF(AND(D124="Y",booking!D124&lt;&gt;booking!E124,booking!E124&gt;0),booking!E124,"-")</f>
        <v>-</v>
      </c>
      <c r="F124" s="86" t="str">
        <f>IFERROR(VLOOKUP(E124,Database!$A$2:$L$175,8,FALSE),"-")</f>
        <v>-</v>
      </c>
      <c r="G124" s="86" t="str">
        <f>IFERROR(VLOOKUP(E124,Database!$A$2:$L$175,6,FALSE),"-")</f>
        <v>-</v>
      </c>
      <c r="H124" s="100" t="str">
        <f>IFERROR(VLOOKUP(E124,Database!$A$2:$L$175,9,FALSE),"-")</f>
        <v>-</v>
      </c>
      <c r="I124" s="120" t="str">
        <f>IFERROR(VLOOKUP(E124,Database!$A$2:$S$175,19,FALSE),"-")</f>
        <v>-</v>
      </c>
      <c r="J124" s="103" t="str">
        <f>IF(AND(D124="Y",booking!H124&lt;&gt;booking!I124,booking!I124&gt;0),booking!I124,"-")</f>
        <v>-</v>
      </c>
      <c r="K124" s="86" t="str">
        <f>IFERROR(VLOOKUP(J124,Database!$A$2:$L$175,8,FALSE),"-")</f>
        <v>-</v>
      </c>
      <c r="L124" s="86" t="str">
        <f>IFERROR(VLOOKUP(J124,Database!$A$2:$L$175,6,FALSE),"-")</f>
        <v>-</v>
      </c>
      <c r="M124" s="100" t="str">
        <f>IFERROR(VLOOKUP(J124,Database!$A$2:$L$175,9,FALSE),"-")</f>
        <v>-</v>
      </c>
      <c r="N124" s="152" t="str">
        <f>IFERROR(VLOOKUP(J124,Database!$A$2:$S$175,19,FALSE),"-")</f>
        <v>-</v>
      </c>
      <c r="O124" s="103" t="str">
        <f>IF(AND(D124="Y",booking!L124&lt;&gt;booking!M124,booking!M124&gt;0),booking!M124,"-")</f>
        <v>-</v>
      </c>
      <c r="P124" s="86" t="str">
        <f>IFERROR(VLOOKUP(O124,Database!$A$2:$L$175,8,FALSE),"-")</f>
        <v>-</v>
      </c>
      <c r="Q124" s="86" t="str">
        <f>IFERROR(VLOOKUP(O124,Database!$A$2:$L$175,6,FALSE),"-")</f>
        <v>-</v>
      </c>
      <c r="R124" s="90" t="str">
        <f>IFERROR(VLOOKUP(O124,Database!$A$2:$L$175,9,FALSE),"-")</f>
        <v>-</v>
      </c>
      <c r="S124" s="152" t="str">
        <f>IFERROR(VLOOKUP(O124,Database!$A$2:$S$175,19,FALSE),"-")</f>
        <v>-</v>
      </c>
      <c r="T124" s="104" t="str">
        <f>IF(AND(D124="Y",booking!P124&lt;&gt;booking!Q124,booking!Q124&gt;0),booking!Q124,"-")</f>
        <v>-</v>
      </c>
      <c r="U124" s="86" t="str">
        <f>IFERROR(VLOOKUP(T124,Database!$A$2:$L$175,8,FALSE),"-")</f>
        <v>-</v>
      </c>
      <c r="V124" s="86" t="str">
        <f>IFERROR(VLOOKUP(T124,Database!$A$2:$L$175,6,FALSE),"-")</f>
        <v>-</v>
      </c>
      <c r="W124" s="90" t="str">
        <f>IFERROR(VLOOKUP(T124,Database!$A$2:$L$175,9,FALSE),"-")</f>
        <v>-</v>
      </c>
      <c r="X124" s="152" t="str">
        <f>IFERROR(VLOOKUP(T124,Database!$A$2:$S$175,19,FALSE),"-")</f>
        <v>-</v>
      </c>
      <c r="Y124" s="103" t="str">
        <f>IF(AND(D124="Y",booking!T124&lt;&gt;booking!U124,booking!U124&gt;0),booking!U124,"-")</f>
        <v>-</v>
      </c>
      <c r="Z124" s="87" t="str">
        <f>IFERROR(VLOOKUP(Y124,Database!$A$2:$L$175,8,FALSE),"-")</f>
        <v>-</v>
      </c>
      <c r="AA124" s="87" t="str">
        <f>IFERROR(VLOOKUP(Y124,Database!$A$2:$L$175,6,FALSE),"-")</f>
        <v>-</v>
      </c>
      <c r="AB124" s="99" t="str">
        <f>IFERROR(VLOOKUP(Y124,Database!$A$2:$L$175,9,FALSE),"-")</f>
        <v>-</v>
      </c>
      <c r="AC124" s="9" t="str">
        <f>IFERROR(VLOOKUP(Y124,Database!$A$2:$S$175,19,FALSE),"-")</f>
        <v>-</v>
      </c>
    </row>
    <row r="125" spans="1:29" ht="15" customHeight="1" thickBot="1" x14ac:dyDescent="0.4">
      <c r="A125" s="95" t="str">
        <f>rengøring!A125</f>
        <v>fredag</v>
      </c>
      <c r="B125" s="93">
        <v>46626</v>
      </c>
      <c r="C125" s="10"/>
      <c r="D125" s="96" t="str">
        <f>IF(booking!AB125&gt;0,"Y","-")</f>
        <v>-</v>
      </c>
      <c r="E125" s="102" t="str">
        <f>IF(AND(D125="Y",booking!D125&lt;&gt;booking!E125,booking!E125&gt;0),booking!E125,"-")</f>
        <v>-</v>
      </c>
      <c r="F125" s="86" t="str">
        <f>IFERROR(VLOOKUP(E125,Database!$A$2:$L$175,8,FALSE),"-")</f>
        <v>-</v>
      </c>
      <c r="G125" s="86" t="str">
        <f>IFERROR(VLOOKUP(E125,Database!$A$2:$L$175,6,FALSE),"-")</f>
        <v>-</v>
      </c>
      <c r="H125" s="100" t="str">
        <f>IFERROR(VLOOKUP(E125,Database!$A$2:$L$175,9,FALSE),"-")</f>
        <v>-</v>
      </c>
      <c r="I125" s="120" t="str">
        <f>IFERROR(VLOOKUP(E125,Database!$A$2:$S$175,19,FALSE),"-")</f>
        <v>-</v>
      </c>
      <c r="J125" s="103" t="str">
        <f>IF(AND(D125="Y",booking!H125&lt;&gt;booking!I125,booking!I125&gt;0),booking!I125,"-")</f>
        <v>-</v>
      </c>
      <c r="K125" s="86" t="str">
        <f>IFERROR(VLOOKUP(J125,Database!$A$2:$L$175,8,FALSE),"-")</f>
        <v>-</v>
      </c>
      <c r="L125" s="86" t="str">
        <f>IFERROR(VLOOKUP(J125,Database!$A$2:$L$175,6,FALSE),"-")</f>
        <v>-</v>
      </c>
      <c r="M125" s="100" t="str">
        <f>IFERROR(VLOOKUP(J125,Database!$A$2:$L$175,9,FALSE),"-")</f>
        <v>-</v>
      </c>
      <c r="N125" s="152" t="str">
        <f>IFERROR(VLOOKUP(J125,Database!$A$2:$S$175,19,FALSE),"-")</f>
        <v>-</v>
      </c>
      <c r="O125" s="103" t="str">
        <f>IF(AND(D125="Y",booking!L125&lt;&gt;booking!M125,booking!M125&gt;0),booking!M125,"-")</f>
        <v>-</v>
      </c>
      <c r="P125" s="86" t="str">
        <f>IFERROR(VLOOKUP(O125,Database!$A$2:$L$175,8,FALSE),"-")</f>
        <v>-</v>
      </c>
      <c r="Q125" s="86" t="str">
        <f>IFERROR(VLOOKUP(O125,Database!$A$2:$L$175,6,FALSE),"-")</f>
        <v>-</v>
      </c>
      <c r="R125" s="90" t="str">
        <f>IFERROR(VLOOKUP(O125,Database!$A$2:$L$175,9,FALSE),"-")</f>
        <v>-</v>
      </c>
      <c r="S125" s="152" t="str">
        <f>IFERROR(VLOOKUP(O125,Database!$A$2:$S$175,19,FALSE),"-")</f>
        <v>-</v>
      </c>
      <c r="T125" s="104" t="str">
        <f>IF(AND(D125="Y",booking!P125&lt;&gt;booking!Q125,booking!Q125&gt;0),booking!Q125,"-")</f>
        <v>-</v>
      </c>
      <c r="U125" s="86" t="str">
        <f>IFERROR(VLOOKUP(T125,Database!$A$2:$L$175,8,FALSE),"-")</f>
        <v>-</v>
      </c>
      <c r="V125" s="86" t="str">
        <f>IFERROR(VLOOKUP(T125,Database!$A$2:$L$175,6,FALSE),"-")</f>
        <v>-</v>
      </c>
      <c r="W125" s="90" t="str">
        <f>IFERROR(VLOOKUP(T125,Database!$A$2:$L$175,9,FALSE),"-")</f>
        <v>-</v>
      </c>
      <c r="X125" s="152" t="str">
        <f>IFERROR(VLOOKUP(T125,Database!$A$2:$S$175,19,FALSE),"-")</f>
        <v>-</v>
      </c>
      <c r="Y125" s="103" t="str">
        <f>IF(AND(D125="Y",booking!T125&lt;&gt;booking!U125,booking!U125&gt;0),booking!U125,"-")</f>
        <v>-</v>
      </c>
      <c r="Z125" s="87" t="str">
        <f>IFERROR(VLOOKUP(Y125,Database!$A$2:$L$175,8,FALSE),"-")</f>
        <v>-</v>
      </c>
      <c r="AA125" s="87" t="str">
        <f>IFERROR(VLOOKUP(Y125,Database!$A$2:$L$175,6,FALSE),"-")</f>
        <v>-</v>
      </c>
      <c r="AB125" s="99" t="str">
        <f>IFERROR(VLOOKUP(Y125,Database!$A$2:$L$175,9,FALSE),"-")</f>
        <v>-</v>
      </c>
      <c r="AC125" s="9" t="str">
        <f>IFERROR(VLOOKUP(Y125,Database!$A$2:$S$175,19,FALSE),"-")</f>
        <v>-</v>
      </c>
    </row>
    <row r="126" spans="1:29" ht="15" customHeight="1" thickBot="1" x14ac:dyDescent="0.4">
      <c r="A126" s="95" t="str">
        <f>rengøring!A126</f>
        <v>lørdag</v>
      </c>
      <c r="B126" s="93">
        <v>46627</v>
      </c>
      <c r="C126" s="10"/>
      <c r="D126" s="96" t="str">
        <f>IF(booking!AB126&gt;0,"Y","-")</f>
        <v>-</v>
      </c>
      <c r="E126" s="102" t="str">
        <f>IF(AND(D126="Y",booking!D126&lt;&gt;booking!E126,booking!E126&gt;0),booking!E126,"-")</f>
        <v>-</v>
      </c>
      <c r="F126" s="86" t="str">
        <f>IFERROR(VLOOKUP(E126,Database!$A$2:$L$175,8,FALSE),"-")</f>
        <v>-</v>
      </c>
      <c r="G126" s="86" t="str">
        <f>IFERROR(VLOOKUP(E126,Database!$A$2:$L$175,6,FALSE),"-")</f>
        <v>-</v>
      </c>
      <c r="H126" s="100" t="str">
        <f>IFERROR(VLOOKUP(E126,Database!$A$2:$L$175,9,FALSE),"-")</f>
        <v>-</v>
      </c>
      <c r="I126" s="120" t="str">
        <f>IFERROR(VLOOKUP(E126,Database!$A$2:$S$175,19,FALSE),"-")</f>
        <v>-</v>
      </c>
      <c r="J126" s="103" t="str">
        <f>IF(AND(D126="Y",booking!H126&lt;&gt;booking!I126,booking!I126&gt;0),booking!I126,"-")</f>
        <v>-</v>
      </c>
      <c r="K126" s="86" t="str">
        <f>IFERROR(VLOOKUP(J126,Database!$A$2:$L$175,8,FALSE),"-")</f>
        <v>-</v>
      </c>
      <c r="L126" s="86" t="str">
        <f>IFERROR(VLOOKUP(J126,Database!$A$2:$L$175,6,FALSE),"-")</f>
        <v>-</v>
      </c>
      <c r="M126" s="100" t="str">
        <f>IFERROR(VLOOKUP(J126,Database!$A$2:$L$175,9,FALSE),"-")</f>
        <v>-</v>
      </c>
      <c r="N126" s="152" t="str">
        <f>IFERROR(VLOOKUP(J126,Database!$A$2:$S$175,19,FALSE),"-")</f>
        <v>-</v>
      </c>
      <c r="O126" s="103" t="str">
        <f>IF(AND(D126="Y",booking!L126&lt;&gt;booking!M126,booking!M126&gt;0),booking!M126,"-")</f>
        <v>-</v>
      </c>
      <c r="P126" s="86" t="str">
        <f>IFERROR(VLOOKUP(O126,Database!$A$2:$L$175,8,FALSE),"-")</f>
        <v>-</v>
      </c>
      <c r="Q126" s="86" t="str">
        <f>IFERROR(VLOOKUP(O126,Database!$A$2:$L$175,6,FALSE),"-")</f>
        <v>-</v>
      </c>
      <c r="R126" s="90" t="str">
        <f>IFERROR(VLOOKUP(O126,Database!$A$2:$L$175,9,FALSE),"-")</f>
        <v>-</v>
      </c>
      <c r="S126" s="152" t="str">
        <f>IFERROR(VLOOKUP(O126,Database!$A$2:$S$175,19,FALSE),"-")</f>
        <v>-</v>
      </c>
      <c r="T126" s="104" t="str">
        <f>IF(AND(D126="Y",booking!P126&lt;&gt;booking!Q126,booking!Q126&gt;0),booking!Q126,"-")</f>
        <v>-</v>
      </c>
      <c r="U126" s="86" t="str">
        <f>IFERROR(VLOOKUP(T126,Database!$A$2:$L$175,8,FALSE),"-")</f>
        <v>-</v>
      </c>
      <c r="V126" s="86" t="str">
        <f>IFERROR(VLOOKUP(T126,Database!$A$2:$L$175,6,FALSE),"-")</f>
        <v>-</v>
      </c>
      <c r="W126" s="90" t="str">
        <f>IFERROR(VLOOKUP(T126,Database!$A$2:$L$175,9,FALSE),"-")</f>
        <v>-</v>
      </c>
      <c r="X126" s="152" t="str">
        <f>IFERROR(VLOOKUP(T126,Database!$A$2:$S$175,19,FALSE),"-")</f>
        <v>-</v>
      </c>
      <c r="Y126" s="103" t="str">
        <f>IF(AND(D126="Y",booking!T126&lt;&gt;booking!U126,booking!U126&gt;0),booking!U126,"-")</f>
        <v>-</v>
      </c>
      <c r="Z126" s="87" t="str">
        <f>IFERROR(VLOOKUP(Y126,Database!$A$2:$L$175,8,FALSE),"-")</f>
        <v>-</v>
      </c>
      <c r="AA126" s="87" t="str">
        <f>IFERROR(VLOOKUP(Y126,Database!$A$2:$L$175,6,FALSE),"-")</f>
        <v>-</v>
      </c>
      <c r="AB126" s="99" t="str">
        <f>IFERROR(VLOOKUP(Y126,Database!$A$2:$L$175,9,FALSE),"-")</f>
        <v>-</v>
      </c>
      <c r="AC126" s="9" t="str">
        <f>IFERROR(VLOOKUP(Y126,Database!$A$2:$S$175,19,FALSE),"-")</f>
        <v>-</v>
      </c>
    </row>
    <row r="127" spans="1:29" ht="15" customHeight="1" thickBot="1" x14ac:dyDescent="0.4">
      <c r="A127" s="95" t="str">
        <f>rengøring!A127</f>
        <v>søndag</v>
      </c>
      <c r="B127" s="93">
        <v>46628</v>
      </c>
      <c r="C127" s="10"/>
      <c r="D127" s="96" t="str">
        <f>IF(booking!AB127&gt;0,"Y","-")</f>
        <v>-</v>
      </c>
      <c r="E127" s="102" t="str">
        <f>IF(AND(D127="Y",booking!D127&lt;&gt;booking!E127,booking!E127&gt;0),booking!E127,"-")</f>
        <v>-</v>
      </c>
      <c r="F127" s="86" t="str">
        <f>IFERROR(VLOOKUP(E127,Database!$A$2:$L$175,8,FALSE),"-")</f>
        <v>-</v>
      </c>
      <c r="G127" s="86" t="str">
        <f>IFERROR(VLOOKUP(E127,Database!$A$2:$L$175,6,FALSE),"-")</f>
        <v>-</v>
      </c>
      <c r="H127" s="100" t="str">
        <f>IFERROR(VLOOKUP(E127,Database!$A$2:$L$175,9,FALSE),"-")</f>
        <v>-</v>
      </c>
      <c r="I127" s="120" t="str">
        <f>IFERROR(VLOOKUP(E127,Database!$A$2:$S$175,19,FALSE),"-")</f>
        <v>-</v>
      </c>
      <c r="J127" s="103" t="str">
        <f>IF(AND(D127="Y",booking!H127&lt;&gt;booking!I127,booking!I127&gt;0),booking!I127,"-")</f>
        <v>-</v>
      </c>
      <c r="K127" s="86" t="str">
        <f>IFERROR(VLOOKUP(J127,Database!$A$2:$L$175,8,FALSE),"-")</f>
        <v>-</v>
      </c>
      <c r="L127" s="86" t="str">
        <f>IFERROR(VLOOKUP(J127,Database!$A$2:$L$175,6,FALSE),"-")</f>
        <v>-</v>
      </c>
      <c r="M127" s="100" t="str">
        <f>IFERROR(VLOOKUP(J127,Database!$A$2:$L$175,9,FALSE),"-")</f>
        <v>-</v>
      </c>
      <c r="N127" s="152" t="str">
        <f>IFERROR(VLOOKUP(J127,Database!$A$2:$S$175,19,FALSE),"-")</f>
        <v>-</v>
      </c>
      <c r="O127" s="103" t="str">
        <f>IF(AND(D127="Y",booking!L127&lt;&gt;booking!M127,booking!M127&gt;0),booking!M127,"-")</f>
        <v>-</v>
      </c>
      <c r="P127" s="86" t="str">
        <f>IFERROR(VLOOKUP(O127,Database!$A$2:$L$175,8,FALSE),"-")</f>
        <v>-</v>
      </c>
      <c r="Q127" s="86" t="str">
        <f>IFERROR(VLOOKUP(O127,Database!$A$2:$L$175,6,FALSE),"-")</f>
        <v>-</v>
      </c>
      <c r="R127" s="90" t="str">
        <f>IFERROR(VLOOKUP(O127,Database!$A$2:$L$175,9,FALSE),"-")</f>
        <v>-</v>
      </c>
      <c r="S127" s="152" t="str">
        <f>IFERROR(VLOOKUP(O127,Database!$A$2:$S$175,19,FALSE),"-")</f>
        <v>-</v>
      </c>
      <c r="T127" s="104" t="str">
        <f>IF(AND(D127="Y",booking!P127&lt;&gt;booking!Q127,booking!Q127&gt;0),booking!Q127,"-")</f>
        <v>-</v>
      </c>
      <c r="U127" s="86" t="str">
        <f>IFERROR(VLOOKUP(T127,Database!$A$2:$L$175,8,FALSE),"-")</f>
        <v>-</v>
      </c>
      <c r="V127" s="86" t="str">
        <f>IFERROR(VLOOKUP(T127,Database!$A$2:$L$175,6,FALSE),"-")</f>
        <v>-</v>
      </c>
      <c r="W127" s="90" t="str">
        <f>IFERROR(VLOOKUP(T127,Database!$A$2:$L$175,9,FALSE),"-")</f>
        <v>-</v>
      </c>
      <c r="X127" s="152" t="str">
        <f>IFERROR(VLOOKUP(T127,Database!$A$2:$S$175,19,FALSE),"-")</f>
        <v>-</v>
      </c>
      <c r="Y127" s="103" t="str">
        <f>IF(AND(D127="Y",booking!T127&lt;&gt;booking!U127,booking!U127&gt;0),booking!U127,"-")</f>
        <v>-</v>
      </c>
      <c r="Z127" s="87" t="str">
        <f>IFERROR(VLOOKUP(Y127,Database!$A$2:$L$175,8,FALSE),"-")</f>
        <v>-</v>
      </c>
      <c r="AA127" s="87" t="str">
        <f>IFERROR(VLOOKUP(Y127,Database!$A$2:$L$175,6,FALSE),"-")</f>
        <v>-</v>
      </c>
      <c r="AB127" s="99" t="str">
        <f>IFERROR(VLOOKUP(Y127,Database!$A$2:$L$175,9,FALSE),"-")</f>
        <v>-</v>
      </c>
      <c r="AC127" s="9" t="str">
        <f>IFERROR(VLOOKUP(Y127,Database!$A$2:$S$175,19,FALSE),"-")</f>
        <v>-</v>
      </c>
    </row>
    <row r="128" spans="1:29" ht="15" customHeight="1" thickBot="1" x14ac:dyDescent="0.4">
      <c r="A128" s="95" t="str">
        <f>rengøring!A128</f>
        <v>mandag</v>
      </c>
      <c r="B128" s="93">
        <v>46629</v>
      </c>
      <c r="C128" s="10"/>
      <c r="D128" s="96" t="str">
        <f>IF(booking!AB128&gt;0,"Y","-")</f>
        <v>-</v>
      </c>
      <c r="E128" s="102" t="str">
        <f>IF(AND(D128="Y",booking!D128&lt;&gt;booking!E128,booking!E128&gt;0),booking!E128,"-")</f>
        <v>-</v>
      </c>
      <c r="F128" s="86" t="str">
        <f>IFERROR(VLOOKUP(E128,Database!$A$2:$L$175,8,FALSE),"-")</f>
        <v>-</v>
      </c>
      <c r="G128" s="86" t="str">
        <f>IFERROR(VLOOKUP(E128,Database!$A$2:$L$175,6,FALSE),"-")</f>
        <v>-</v>
      </c>
      <c r="H128" s="100" t="str">
        <f>IFERROR(VLOOKUP(E128,Database!$A$2:$L$175,9,FALSE),"-")</f>
        <v>-</v>
      </c>
      <c r="I128" s="120" t="str">
        <f>IFERROR(VLOOKUP(E128,Database!$A$2:$S$175,19,FALSE),"-")</f>
        <v>-</v>
      </c>
      <c r="J128" s="103" t="str">
        <f>IF(AND(D128="Y",booking!H128&lt;&gt;booking!I128,booking!I128&gt;0),booking!I128,"-")</f>
        <v>-</v>
      </c>
      <c r="K128" s="86" t="str">
        <f>IFERROR(VLOOKUP(J128,Database!$A$2:$L$175,8,FALSE),"-")</f>
        <v>-</v>
      </c>
      <c r="L128" s="86" t="str">
        <f>IFERROR(VLOOKUP(J128,Database!$A$2:$L$175,6,FALSE),"-")</f>
        <v>-</v>
      </c>
      <c r="M128" s="100" t="str">
        <f>IFERROR(VLOOKUP(J128,Database!$A$2:$L$175,9,FALSE),"-")</f>
        <v>-</v>
      </c>
      <c r="N128" s="152" t="str">
        <f>IFERROR(VLOOKUP(J128,Database!$A$2:$S$175,19,FALSE),"-")</f>
        <v>-</v>
      </c>
      <c r="O128" s="103" t="str">
        <f>IF(AND(D128="Y",booking!L128&lt;&gt;booking!M128,booking!M128&gt;0),booking!M128,"-")</f>
        <v>-</v>
      </c>
      <c r="P128" s="86" t="str">
        <f>IFERROR(VLOOKUP(O128,Database!$A$2:$L$175,8,FALSE),"-")</f>
        <v>-</v>
      </c>
      <c r="Q128" s="86" t="str">
        <f>IFERROR(VLOOKUP(O128,Database!$A$2:$L$175,6,FALSE),"-")</f>
        <v>-</v>
      </c>
      <c r="R128" s="90" t="str">
        <f>IFERROR(VLOOKUP(O128,Database!$A$2:$L$175,9,FALSE),"-")</f>
        <v>-</v>
      </c>
      <c r="S128" s="152" t="str">
        <f>IFERROR(VLOOKUP(O128,Database!$A$2:$S$175,19,FALSE),"-")</f>
        <v>-</v>
      </c>
      <c r="T128" s="104" t="str">
        <f>IF(AND(D128="Y",booking!P128&lt;&gt;booking!Q128,booking!Q128&gt;0),booking!Q128,"-")</f>
        <v>-</v>
      </c>
      <c r="U128" s="86" t="str">
        <f>IFERROR(VLOOKUP(T128,Database!$A$2:$L$175,8,FALSE),"-")</f>
        <v>-</v>
      </c>
      <c r="V128" s="86" t="str">
        <f>IFERROR(VLOOKUP(T128,Database!$A$2:$L$175,6,FALSE),"-")</f>
        <v>-</v>
      </c>
      <c r="W128" s="90" t="str">
        <f>IFERROR(VLOOKUP(T128,Database!$A$2:$L$175,9,FALSE),"-")</f>
        <v>-</v>
      </c>
      <c r="X128" s="152" t="str">
        <f>IFERROR(VLOOKUP(T128,Database!$A$2:$S$175,19,FALSE),"-")</f>
        <v>-</v>
      </c>
      <c r="Y128" s="103" t="str">
        <f>IF(AND(D128="Y",booking!T128&lt;&gt;booking!U128,booking!U128&gt;0),booking!U128,"-")</f>
        <v>-</v>
      </c>
      <c r="Z128" s="87" t="str">
        <f>IFERROR(VLOOKUP(Y128,Database!$A$2:$L$175,8,FALSE),"-")</f>
        <v>-</v>
      </c>
      <c r="AA128" s="87" t="str">
        <f>IFERROR(VLOOKUP(Y128,Database!$A$2:$L$175,6,FALSE),"-")</f>
        <v>-</v>
      </c>
      <c r="AB128" s="99" t="str">
        <f>IFERROR(VLOOKUP(Y128,Database!$A$2:$L$175,9,FALSE),"-")</f>
        <v>-</v>
      </c>
      <c r="AC128" s="9" t="str">
        <f>IFERROR(VLOOKUP(Y128,Database!$A$2:$S$175,19,FALSE),"-")</f>
        <v>-</v>
      </c>
    </row>
    <row r="129" spans="1:29" ht="15" customHeight="1" thickBot="1" x14ac:dyDescent="0.4">
      <c r="A129" s="95" t="str">
        <f>rengøring!A129</f>
        <v>tirsdag</v>
      </c>
      <c r="B129" s="93">
        <v>46630</v>
      </c>
      <c r="C129" s="10"/>
      <c r="D129" s="96" t="str">
        <f>IF(booking!AB129&gt;0,"Y","-")</f>
        <v>-</v>
      </c>
      <c r="E129" s="102" t="str">
        <f>IF(AND(D129="Y",booking!D129&lt;&gt;booking!E129,booking!E129&gt;0),booking!E129,"-")</f>
        <v>-</v>
      </c>
      <c r="F129" s="86" t="str">
        <f>IFERROR(VLOOKUP(E129,Database!$A$2:$L$175,8,FALSE),"-")</f>
        <v>-</v>
      </c>
      <c r="G129" s="86" t="str">
        <f>IFERROR(VLOOKUP(E129,Database!$A$2:$L$175,6,FALSE),"-")</f>
        <v>-</v>
      </c>
      <c r="H129" s="100" t="str">
        <f>IFERROR(VLOOKUP(E129,Database!$A$2:$L$175,9,FALSE),"-")</f>
        <v>-</v>
      </c>
      <c r="I129" s="120" t="str">
        <f>IFERROR(VLOOKUP(E129,Database!$A$2:$S$175,19,FALSE),"-")</f>
        <v>-</v>
      </c>
      <c r="J129" s="103" t="str">
        <f>IF(AND(D129="Y",booking!H129&lt;&gt;booking!I129,booking!I129&gt;0),booking!I129,"-")</f>
        <v>-</v>
      </c>
      <c r="K129" s="86" t="str">
        <f>IFERROR(VLOOKUP(J129,Database!$A$2:$L$175,8,FALSE),"-")</f>
        <v>-</v>
      </c>
      <c r="L129" s="86" t="str">
        <f>IFERROR(VLOOKUP(J129,Database!$A$2:$L$175,6,FALSE),"-")</f>
        <v>-</v>
      </c>
      <c r="M129" s="100" t="str">
        <f>IFERROR(VLOOKUP(J129,Database!$A$2:$L$175,9,FALSE),"-")</f>
        <v>-</v>
      </c>
      <c r="N129" s="152" t="str">
        <f>IFERROR(VLOOKUP(J129,Database!$A$2:$S$175,19,FALSE),"-")</f>
        <v>-</v>
      </c>
      <c r="O129" s="103" t="str">
        <f>IF(AND(D129="Y",booking!L129&lt;&gt;booking!M129,booking!M129&gt;0),booking!M129,"-")</f>
        <v>-</v>
      </c>
      <c r="P129" s="86" t="str">
        <f>IFERROR(VLOOKUP(O129,Database!$A$2:$L$175,8,FALSE),"-")</f>
        <v>-</v>
      </c>
      <c r="Q129" s="86" t="str">
        <f>IFERROR(VLOOKUP(O129,Database!$A$2:$L$175,6,FALSE),"-")</f>
        <v>-</v>
      </c>
      <c r="R129" s="90" t="str">
        <f>IFERROR(VLOOKUP(O129,Database!$A$2:$L$175,9,FALSE),"-")</f>
        <v>-</v>
      </c>
      <c r="S129" s="152" t="str">
        <f>IFERROR(VLOOKUP(O129,Database!$A$2:$S$175,19,FALSE),"-")</f>
        <v>-</v>
      </c>
      <c r="T129" s="104" t="str">
        <f>IF(AND(D129="Y",booking!P129&lt;&gt;booking!Q129,booking!Q129&gt;0),booking!Q129,"-")</f>
        <v>-</v>
      </c>
      <c r="U129" s="86" t="str">
        <f>IFERROR(VLOOKUP(T129,Database!$A$2:$L$175,8,FALSE),"-")</f>
        <v>-</v>
      </c>
      <c r="V129" s="86" t="str">
        <f>IFERROR(VLOOKUP(T129,Database!$A$2:$L$175,6,FALSE),"-")</f>
        <v>-</v>
      </c>
      <c r="W129" s="90" t="str">
        <f>IFERROR(VLOOKUP(T129,Database!$A$2:$L$175,9,FALSE),"-")</f>
        <v>-</v>
      </c>
      <c r="X129" s="152" t="str">
        <f>IFERROR(VLOOKUP(T129,Database!$A$2:$S$175,19,FALSE),"-")</f>
        <v>-</v>
      </c>
      <c r="Y129" s="103" t="str">
        <f>IF(AND(D129="Y",booking!T129&lt;&gt;booking!U129,booking!U129&gt;0),booking!U129,"-")</f>
        <v>-</v>
      </c>
      <c r="Z129" s="87" t="str">
        <f>IFERROR(VLOOKUP(Y129,Database!$A$2:$L$175,8,FALSE),"-")</f>
        <v>-</v>
      </c>
      <c r="AA129" s="87" t="str">
        <f>IFERROR(VLOOKUP(Y129,Database!$A$2:$L$175,6,FALSE),"-")</f>
        <v>-</v>
      </c>
      <c r="AB129" s="99" t="str">
        <f>IFERROR(VLOOKUP(Y129,Database!$A$2:$L$175,9,FALSE),"-")</f>
        <v>-</v>
      </c>
      <c r="AC129" s="9" t="str">
        <f>IFERROR(VLOOKUP(Y129,Database!$A$2:$S$175,19,FALSE),"-")</f>
        <v>-</v>
      </c>
    </row>
    <row r="130" spans="1:29" ht="15" customHeight="1" thickBot="1" x14ac:dyDescent="0.4">
      <c r="A130" s="95" t="str">
        <f>rengøring!A130</f>
        <v>onsdag</v>
      </c>
      <c r="B130" s="93">
        <v>46631</v>
      </c>
      <c r="C130" s="10"/>
      <c r="D130" s="96" t="str">
        <f>IF(booking!AB130&gt;0,"Y","-")</f>
        <v>-</v>
      </c>
      <c r="E130" s="102" t="str">
        <f>IF(AND(D130="Y",booking!D130&lt;&gt;booking!E130,booking!E130&gt;0),booking!E130,"-")</f>
        <v>-</v>
      </c>
      <c r="F130" s="86" t="str">
        <f>IFERROR(VLOOKUP(E130,Database!$A$2:$L$175,8,FALSE),"-")</f>
        <v>-</v>
      </c>
      <c r="G130" s="86" t="str">
        <f>IFERROR(VLOOKUP(E130,Database!$A$2:$L$175,6,FALSE),"-")</f>
        <v>-</v>
      </c>
      <c r="H130" s="100" t="str">
        <f>IFERROR(VLOOKUP(E130,Database!$A$2:$L$175,9,FALSE),"-")</f>
        <v>-</v>
      </c>
      <c r="I130" s="120" t="str">
        <f>IFERROR(VLOOKUP(E130,Database!$A$2:$S$175,19,FALSE),"-")</f>
        <v>-</v>
      </c>
      <c r="J130" s="103" t="str">
        <f>IF(AND(D130="Y",booking!H130&lt;&gt;booking!I130,booking!I130&gt;0),booking!I130,"-")</f>
        <v>-</v>
      </c>
      <c r="K130" s="86" t="str">
        <f>IFERROR(VLOOKUP(J130,Database!$A$2:$L$175,8,FALSE),"-")</f>
        <v>-</v>
      </c>
      <c r="L130" s="86" t="str">
        <f>IFERROR(VLOOKUP(J130,Database!$A$2:$L$175,6,FALSE),"-")</f>
        <v>-</v>
      </c>
      <c r="M130" s="100" t="str">
        <f>IFERROR(VLOOKUP(J130,Database!$A$2:$L$175,9,FALSE),"-")</f>
        <v>-</v>
      </c>
      <c r="N130" s="152" t="str">
        <f>IFERROR(VLOOKUP(J130,Database!$A$2:$S$175,19,FALSE),"-")</f>
        <v>-</v>
      </c>
      <c r="O130" s="103" t="str">
        <f>IF(AND(D130="Y",booking!L130&lt;&gt;booking!M130,booking!M130&gt;0),booking!M130,"-")</f>
        <v>-</v>
      </c>
      <c r="P130" s="86" t="str">
        <f>IFERROR(VLOOKUP(O130,Database!$A$2:$L$175,8,FALSE),"-")</f>
        <v>-</v>
      </c>
      <c r="Q130" s="86" t="str">
        <f>IFERROR(VLOOKUP(O130,Database!$A$2:$L$175,6,FALSE),"-")</f>
        <v>-</v>
      </c>
      <c r="R130" s="90" t="str">
        <f>IFERROR(VLOOKUP(O130,Database!$A$2:$L$175,9,FALSE),"-")</f>
        <v>-</v>
      </c>
      <c r="S130" s="152" t="str">
        <f>IFERROR(VLOOKUP(O130,Database!$A$2:$S$175,19,FALSE),"-")</f>
        <v>-</v>
      </c>
      <c r="T130" s="104" t="str">
        <f>IF(AND(D130="Y",booking!P130&lt;&gt;booking!Q130,booking!Q130&gt;0),booking!Q130,"-")</f>
        <v>-</v>
      </c>
      <c r="U130" s="86" t="str">
        <f>IFERROR(VLOOKUP(T130,Database!$A$2:$L$175,8,FALSE),"-")</f>
        <v>-</v>
      </c>
      <c r="V130" s="86" t="str">
        <f>IFERROR(VLOOKUP(T130,Database!$A$2:$L$175,6,FALSE),"-")</f>
        <v>-</v>
      </c>
      <c r="W130" s="90" t="str">
        <f>IFERROR(VLOOKUP(T130,Database!$A$2:$L$175,9,FALSE),"-")</f>
        <v>-</v>
      </c>
      <c r="X130" s="152" t="str">
        <f>IFERROR(VLOOKUP(T130,Database!$A$2:$S$175,19,FALSE),"-")</f>
        <v>-</v>
      </c>
      <c r="Y130" s="103" t="str">
        <f>IF(AND(D130="Y",booking!T130&lt;&gt;booking!U130,booking!U130&gt;0),booking!U130,"-")</f>
        <v>-</v>
      </c>
      <c r="Z130" s="87" t="str">
        <f>IFERROR(VLOOKUP(Y130,Database!$A$2:$L$175,8,FALSE),"-")</f>
        <v>-</v>
      </c>
      <c r="AA130" s="87" t="str">
        <f>IFERROR(VLOOKUP(Y130,Database!$A$2:$L$175,6,FALSE),"-")</f>
        <v>-</v>
      </c>
      <c r="AB130" s="99" t="str">
        <f>IFERROR(VLOOKUP(Y130,Database!$A$2:$L$175,9,FALSE),"-")</f>
        <v>-</v>
      </c>
      <c r="AC130" s="9" t="str">
        <f>IFERROR(VLOOKUP(Y130,Database!$A$2:$S$175,19,FALSE),"-")</f>
        <v>-</v>
      </c>
    </row>
    <row r="131" spans="1:29" ht="15" customHeight="1" thickBot="1" x14ac:dyDescent="0.4">
      <c r="A131" s="95" t="str">
        <f>rengøring!A131</f>
        <v>torsdag</v>
      </c>
      <c r="B131" s="93">
        <v>46632</v>
      </c>
      <c r="C131" s="10"/>
      <c r="D131" s="96" t="str">
        <f>IF(booking!AB131&gt;0,"Y","-")</f>
        <v>-</v>
      </c>
      <c r="E131" s="102" t="str">
        <f>IF(AND(D131="Y",booking!D131&lt;&gt;booking!E131,booking!E131&gt;0),booking!E131,"-")</f>
        <v>-</v>
      </c>
      <c r="F131" s="86" t="str">
        <f>IFERROR(VLOOKUP(E131,Database!$A$2:$L$175,8,FALSE),"-")</f>
        <v>-</v>
      </c>
      <c r="G131" s="86" t="str">
        <f>IFERROR(VLOOKUP(E131,Database!$A$2:$L$175,6,FALSE),"-")</f>
        <v>-</v>
      </c>
      <c r="H131" s="100" t="str">
        <f>IFERROR(VLOOKUP(E131,Database!$A$2:$L$175,9,FALSE),"-")</f>
        <v>-</v>
      </c>
      <c r="I131" s="120" t="str">
        <f>IFERROR(VLOOKUP(E131,Database!$A$2:$S$175,19,FALSE),"-")</f>
        <v>-</v>
      </c>
      <c r="J131" s="103" t="str">
        <f>IF(AND(D131="Y",booking!H131&lt;&gt;booking!I131,booking!I131&gt;0),booking!I131,"-")</f>
        <v>-</v>
      </c>
      <c r="K131" s="86" t="str">
        <f>IFERROR(VLOOKUP(J131,Database!$A$2:$L$175,8,FALSE),"-")</f>
        <v>-</v>
      </c>
      <c r="L131" s="86" t="str">
        <f>IFERROR(VLOOKUP(J131,Database!$A$2:$L$175,6,FALSE),"-")</f>
        <v>-</v>
      </c>
      <c r="M131" s="100" t="str">
        <f>IFERROR(VLOOKUP(J131,Database!$A$2:$L$175,9,FALSE),"-")</f>
        <v>-</v>
      </c>
      <c r="N131" s="152" t="str">
        <f>IFERROR(VLOOKUP(J131,Database!$A$2:$S$175,19,FALSE),"-")</f>
        <v>-</v>
      </c>
      <c r="O131" s="103" t="str">
        <f>IF(AND(D131="Y",booking!L131&lt;&gt;booking!M131,booking!M131&gt;0),booking!M131,"-")</f>
        <v>-</v>
      </c>
      <c r="P131" s="86" t="str">
        <f>IFERROR(VLOOKUP(O131,Database!$A$2:$L$175,8,FALSE),"-")</f>
        <v>-</v>
      </c>
      <c r="Q131" s="86" t="str">
        <f>IFERROR(VLOOKUP(O131,Database!$A$2:$L$175,6,FALSE),"-")</f>
        <v>-</v>
      </c>
      <c r="R131" s="90" t="str">
        <f>IFERROR(VLOOKUP(O131,Database!$A$2:$L$175,9,FALSE),"-")</f>
        <v>-</v>
      </c>
      <c r="S131" s="152" t="str">
        <f>IFERROR(VLOOKUP(O131,Database!$A$2:$S$175,19,FALSE),"-")</f>
        <v>-</v>
      </c>
      <c r="T131" s="104" t="str">
        <f>IF(AND(D131="Y",booking!P131&lt;&gt;booking!Q131,booking!Q131&gt;0),booking!Q131,"-")</f>
        <v>-</v>
      </c>
      <c r="U131" s="86" t="str">
        <f>IFERROR(VLOOKUP(T131,Database!$A$2:$L$175,8,FALSE),"-")</f>
        <v>-</v>
      </c>
      <c r="V131" s="86" t="str">
        <f>IFERROR(VLOOKUP(T131,Database!$A$2:$L$175,6,FALSE),"-")</f>
        <v>-</v>
      </c>
      <c r="W131" s="90" t="str">
        <f>IFERROR(VLOOKUP(T131,Database!$A$2:$L$175,9,FALSE),"-")</f>
        <v>-</v>
      </c>
      <c r="X131" s="152" t="str">
        <f>IFERROR(VLOOKUP(T131,Database!$A$2:$S$175,19,FALSE),"-")</f>
        <v>-</v>
      </c>
      <c r="Y131" s="103" t="str">
        <f>IF(AND(D131="Y",booking!T131&lt;&gt;booking!U131,booking!U131&gt;0),booking!U131,"-")</f>
        <v>-</v>
      </c>
      <c r="Z131" s="87" t="str">
        <f>IFERROR(VLOOKUP(Y131,Database!$A$2:$L$175,8,FALSE),"-")</f>
        <v>-</v>
      </c>
      <c r="AA131" s="87" t="str">
        <f>IFERROR(VLOOKUP(Y131,Database!$A$2:$L$175,6,FALSE),"-")</f>
        <v>-</v>
      </c>
      <c r="AB131" s="99" t="str">
        <f>IFERROR(VLOOKUP(Y131,Database!$A$2:$L$175,9,FALSE),"-")</f>
        <v>-</v>
      </c>
      <c r="AC131" s="9" t="str">
        <f>IFERROR(VLOOKUP(Y131,Database!$A$2:$S$175,19,FALSE),"-")</f>
        <v>-</v>
      </c>
    </row>
    <row r="132" spans="1:29" ht="15" customHeight="1" thickBot="1" x14ac:dyDescent="0.4">
      <c r="A132" s="95" t="str">
        <f>rengøring!A132</f>
        <v>fredag</v>
      </c>
      <c r="B132" s="93">
        <v>46633</v>
      </c>
      <c r="C132" s="10"/>
      <c r="D132" s="96" t="str">
        <f>IF(booking!AB132&gt;0,"Y","-")</f>
        <v>-</v>
      </c>
      <c r="E132" s="102" t="str">
        <f>IF(AND(D132="Y",booking!D132&lt;&gt;booking!E132,booking!E132&gt;0),booking!E132,"-")</f>
        <v>-</v>
      </c>
      <c r="F132" s="86" t="str">
        <f>IFERROR(VLOOKUP(E132,Database!$A$2:$L$175,8,FALSE),"-")</f>
        <v>-</v>
      </c>
      <c r="G132" s="86" t="str">
        <f>IFERROR(VLOOKUP(E132,Database!$A$2:$L$175,6,FALSE),"-")</f>
        <v>-</v>
      </c>
      <c r="H132" s="100" t="str">
        <f>IFERROR(VLOOKUP(E132,Database!$A$2:$L$175,9,FALSE),"-")</f>
        <v>-</v>
      </c>
      <c r="I132" s="120" t="str">
        <f>IFERROR(VLOOKUP(E132,Database!$A$2:$S$175,19,FALSE),"-")</f>
        <v>-</v>
      </c>
      <c r="J132" s="103" t="str">
        <f>IF(AND(D132="Y",booking!H132&lt;&gt;booking!I132,booking!I132&gt;0),booking!I132,"-")</f>
        <v>-</v>
      </c>
      <c r="K132" s="86" t="str">
        <f>IFERROR(VLOOKUP(J132,Database!$A$2:$L$175,8,FALSE),"-")</f>
        <v>-</v>
      </c>
      <c r="L132" s="86" t="str">
        <f>IFERROR(VLOOKUP(J132,Database!$A$2:$L$175,6,FALSE),"-")</f>
        <v>-</v>
      </c>
      <c r="M132" s="100" t="str">
        <f>IFERROR(VLOOKUP(J132,Database!$A$2:$L$175,9,FALSE),"-")</f>
        <v>-</v>
      </c>
      <c r="N132" s="152" t="str">
        <f>IFERROR(VLOOKUP(J132,Database!$A$2:$S$175,19,FALSE),"-")</f>
        <v>-</v>
      </c>
      <c r="O132" s="103" t="str">
        <f>IF(AND(D132="Y",booking!L132&lt;&gt;booking!M132,booking!M132&gt;0),booking!M132,"-")</f>
        <v>-</v>
      </c>
      <c r="P132" s="86" t="str">
        <f>IFERROR(VLOOKUP(O132,Database!$A$2:$L$175,8,FALSE),"-")</f>
        <v>-</v>
      </c>
      <c r="Q132" s="86" t="str">
        <f>IFERROR(VLOOKUP(O132,Database!$A$2:$L$175,6,FALSE),"-")</f>
        <v>-</v>
      </c>
      <c r="R132" s="90" t="str">
        <f>IFERROR(VLOOKUP(O132,Database!$A$2:$L$175,9,FALSE),"-")</f>
        <v>-</v>
      </c>
      <c r="S132" s="152" t="str">
        <f>IFERROR(VLOOKUP(O132,Database!$A$2:$S$175,19,FALSE),"-")</f>
        <v>-</v>
      </c>
      <c r="T132" s="104" t="str">
        <f>IF(AND(D132="Y",booking!P132&lt;&gt;booking!Q132,booking!Q132&gt;0),booking!Q132,"-")</f>
        <v>-</v>
      </c>
      <c r="U132" s="86" t="str">
        <f>IFERROR(VLOOKUP(T132,Database!$A$2:$L$175,8,FALSE),"-")</f>
        <v>-</v>
      </c>
      <c r="V132" s="86" t="str">
        <f>IFERROR(VLOOKUP(T132,Database!$A$2:$L$175,6,FALSE),"-")</f>
        <v>-</v>
      </c>
      <c r="W132" s="90" t="str">
        <f>IFERROR(VLOOKUP(T132,Database!$A$2:$L$175,9,FALSE),"-")</f>
        <v>-</v>
      </c>
      <c r="X132" s="152" t="str">
        <f>IFERROR(VLOOKUP(T132,Database!$A$2:$S$175,19,FALSE),"-")</f>
        <v>-</v>
      </c>
      <c r="Y132" s="103" t="str">
        <f>IF(AND(D132="Y",booking!T132&lt;&gt;booking!U132,booking!U132&gt;0),booking!U132,"-")</f>
        <v>-</v>
      </c>
      <c r="Z132" s="87" t="str">
        <f>IFERROR(VLOOKUP(Y132,Database!$A$2:$L$175,8,FALSE),"-")</f>
        <v>-</v>
      </c>
      <c r="AA132" s="87" t="str">
        <f>IFERROR(VLOOKUP(Y132,Database!$A$2:$L$175,6,FALSE),"-")</f>
        <v>-</v>
      </c>
      <c r="AB132" s="99" t="str">
        <f>IFERROR(VLOOKUP(Y132,Database!$A$2:$L$175,9,FALSE),"-")</f>
        <v>-</v>
      </c>
      <c r="AC132" s="9" t="str">
        <f>IFERROR(VLOOKUP(Y132,Database!$A$2:$S$175,19,FALSE),"-")</f>
        <v>-</v>
      </c>
    </row>
    <row r="133" spans="1:29" ht="15" customHeight="1" thickBot="1" x14ac:dyDescent="0.4">
      <c r="A133" s="95" t="str">
        <f>rengøring!A133</f>
        <v>lørdag</v>
      </c>
      <c r="B133" s="93">
        <v>46634</v>
      </c>
      <c r="C133" s="10"/>
      <c r="D133" s="96" t="str">
        <f>IF(booking!AB133&gt;0,"Y","-")</f>
        <v>-</v>
      </c>
      <c r="E133" s="102" t="str">
        <f>IF(AND(D133="Y",booking!D133&lt;&gt;booking!E133,booking!E133&gt;0),booking!E133,"-")</f>
        <v>-</v>
      </c>
      <c r="F133" s="86" t="str">
        <f>IFERROR(VLOOKUP(E133,Database!$A$2:$L$175,8,FALSE),"-")</f>
        <v>-</v>
      </c>
      <c r="G133" s="86" t="str">
        <f>IFERROR(VLOOKUP(E133,Database!$A$2:$L$175,6,FALSE),"-")</f>
        <v>-</v>
      </c>
      <c r="H133" s="100" t="str">
        <f>IFERROR(VLOOKUP(E133,Database!$A$2:$L$175,9,FALSE),"-")</f>
        <v>-</v>
      </c>
      <c r="I133" s="120" t="str">
        <f>IFERROR(VLOOKUP(E133,Database!$A$2:$S$175,19,FALSE),"-")</f>
        <v>-</v>
      </c>
      <c r="J133" s="103" t="str">
        <f>IF(AND(D133="Y",booking!H133&lt;&gt;booking!I133,booking!I133&gt;0),booking!I133,"-")</f>
        <v>-</v>
      </c>
      <c r="K133" s="86" t="str">
        <f>IFERROR(VLOOKUP(J133,Database!$A$2:$L$175,8,FALSE),"-")</f>
        <v>-</v>
      </c>
      <c r="L133" s="86" t="str">
        <f>IFERROR(VLOOKUP(J133,Database!$A$2:$L$175,6,FALSE),"-")</f>
        <v>-</v>
      </c>
      <c r="M133" s="100" t="str">
        <f>IFERROR(VLOOKUP(J133,Database!$A$2:$L$175,9,FALSE),"-")</f>
        <v>-</v>
      </c>
      <c r="N133" s="152" t="str">
        <f>IFERROR(VLOOKUP(J133,Database!$A$2:$S$175,19,FALSE),"-")</f>
        <v>-</v>
      </c>
      <c r="O133" s="103" t="str">
        <f>IF(AND(D133="Y",booking!L133&lt;&gt;booking!M133,booking!M133&gt;0),booking!M133,"-")</f>
        <v>-</v>
      </c>
      <c r="P133" s="86" t="str">
        <f>IFERROR(VLOOKUP(O133,Database!$A$2:$L$175,8,FALSE),"-")</f>
        <v>-</v>
      </c>
      <c r="Q133" s="86" t="str">
        <f>IFERROR(VLOOKUP(O133,Database!$A$2:$L$175,6,FALSE),"-")</f>
        <v>-</v>
      </c>
      <c r="R133" s="90" t="str">
        <f>IFERROR(VLOOKUP(O133,Database!$A$2:$L$175,9,FALSE),"-")</f>
        <v>-</v>
      </c>
      <c r="S133" s="152" t="str">
        <f>IFERROR(VLOOKUP(O133,Database!$A$2:$S$175,19,FALSE),"-")</f>
        <v>-</v>
      </c>
      <c r="T133" s="104" t="str">
        <f>IF(AND(D133="Y",booking!P133&lt;&gt;booking!Q133,booking!Q133&gt;0),booking!Q133,"-")</f>
        <v>-</v>
      </c>
      <c r="U133" s="86" t="str">
        <f>IFERROR(VLOOKUP(T133,Database!$A$2:$L$175,8,FALSE),"-")</f>
        <v>-</v>
      </c>
      <c r="V133" s="86" t="str">
        <f>IFERROR(VLOOKUP(T133,Database!$A$2:$L$175,6,FALSE),"-")</f>
        <v>-</v>
      </c>
      <c r="W133" s="90" t="str">
        <f>IFERROR(VLOOKUP(T133,Database!$A$2:$L$175,9,FALSE),"-")</f>
        <v>-</v>
      </c>
      <c r="X133" s="152" t="str">
        <f>IFERROR(VLOOKUP(T133,Database!$A$2:$S$175,19,FALSE),"-")</f>
        <v>-</v>
      </c>
      <c r="Y133" s="103" t="str">
        <f>IF(AND(D133="Y",booking!T133&lt;&gt;booking!U133,booking!U133&gt;0),booking!U133,"-")</f>
        <v>-</v>
      </c>
      <c r="Z133" s="87" t="str">
        <f>IFERROR(VLOOKUP(Y133,Database!$A$2:$L$175,8,FALSE),"-")</f>
        <v>-</v>
      </c>
      <c r="AA133" s="87" t="str">
        <f>IFERROR(VLOOKUP(Y133,Database!$A$2:$L$175,6,FALSE),"-")</f>
        <v>-</v>
      </c>
      <c r="AB133" s="99" t="str">
        <f>IFERROR(VLOOKUP(Y133,Database!$A$2:$L$175,9,FALSE),"-")</f>
        <v>-</v>
      </c>
      <c r="AC133" s="9" t="str">
        <f>IFERROR(VLOOKUP(Y133,Database!$A$2:$S$175,19,FALSE),"-")</f>
        <v>-</v>
      </c>
    </row>
    <row r="134" spans="1:29" ht="15" customHeight="1" thickBot="1" x14ac:dyDescent="0.4">
      <c r="A134" s="95" t="str">
        <f>rengøring!A134</f>
        <v>søndag</v>
      </c>
      <c r="B134" s="93">
        <v>46635</v>
      </c>
      <c r="C134" s="10"/>
      <c r="D134" s="96" t="str">
        <f>IF(booking!AB134&gt;0,"Y","-")</f>
        <v>-</v>
      </c>
      <c r="E134" s="102" t="str">
        <f>IF(AND(D134="Y",booking!D134&lt;&gt;booking!E134,booking!E134&gt;0),booking!E134,"-")</f>
        <v>-</v>
      </c>
      <c r="F134" s="86" t="str">
        <f>IFERROR(VLOOKUP(E134,Database!$A$2:$L$175,8,FALSE),"-")</f>
        <v>-</v>
      </c>
      <c r="G134" s="86" t="str">
        <f>IFERROR(VLOOKUP(E134,Database!$A$2:$L$175,6,FALSE),"-")</f>
        <v>-</v>
      </c>
      <c r="H134" s="100" t="str">
        <f>IFERROR(VLOOKUP(E134,Database!$A$2:$L$175,9,FALSE),"-")</f>
        <v>-</v>
      </c>
      <c r="I134" s="120" t="str">
        <f>IFERROR(VLOOKUP(E134,Database!$A$2:$S$175,19,FALSE),"-")</f>
        <v>-</v>
      </c>
      <c r="J134" s="103" t="str">
        <f>IF(AND(D134="Y",booking!H134&lt;&gt;booking!I134,booking!I134&gt;0),booking!I134,"-")</f>
        <v>-</v>
      </c>
      <c r="K134" s="86" t="str">
        <f>IFERROR(VLOOKUP(J134,Database!$A$2:$L$175,8,FALSE),"-")</f>
        <v>-</v>
      </c>
      <c r="L134" s="86" t="str">
        <f>IFERROR(VLOOKUP(J134,Database!$A$2:$L$175,6,FALSE),"-")</f>
        <v>-</v>
      </c>
      <c r="M134" s="100" t="str">
        <f>IFERROR(VLOOKUP(J134,Database!$A$2:$L$175,9,FALSE),"-")</f>
        <v>-</v>
      </c>
      <c r="N134" s="152" t="str">
        <f>IFERROR(VLOOKUP(J134,Database!$A$2:$S$175,19,FALSE),"-")</f>
        <v>-</v>
      </c>
      <c r="O134" s="103" t="str">
        <f>IF(AND(D134="Y",booking!L134&lt;&gt;booking!M134,booking!M134&gt;0),booking!M134,"-")</f>
        <v>-</v>
      </c>
      <c r="P134" s="86" t="str">
        <f>IFERROR(VLOOKUP(O134,Database!$A$2:$L$175,8,FALSE),"-")</f>
        <v>-</v>
      </c>
      <c r="Q134" s="86" t="str">
        <f>IFERROR(VLOOKUP(O134,Database!$A$2:$L$175,6,FALSE),"-")</f>
        <v>-</v>
      </c>
      <c r="R134" s="90" t="str">
        <f>IFERROR(VLOOKUP(O134,Database!$A$2:$L$175,9,FALSE),"-")</f>
        <v>-</v>
      </c>
      <c r="S134" s="152" t="str">
        <f>IFERROR(VLOOKUP(O134,Database!$A$2:$S$175,19,FALSE),"-")</f>
        <v>-</v>
      </c>
      <c r="T134" s="104" t="str">
        <f>IF(AND(D134="Y",booking!P134&lt;&gt;booking!Q134,booking!Q134&gt;0),booking!Q134,"-")</f>
        <v>-</v>
      </c>
      <c r="U134" s="86" t="str">
        <f>IFERROR(VLOOKUP(T134,Database!$A$2:$L$175,8,FALSE),"-")</f>
        <v>-</v>
      </c>
      <c r="V134" s="86" t="str">
        <f>IFERROR(VLOOKUP(T134,Database!$A$2:$L$175,6,FALSE),"-")</f>
        <v>-</v>
      </c>
      <c r="W134" s="90" t="str">
        <f>IFERROR(VLOOKUP(T134,Database!$A$2:$L$175,9,FALSE),"-")</f>
        <v>-</v>
      </c>
      <c r="X134" s="152" t="str">
        <f>IFERROR(VLOOKUP(T134,Database!$A$2:$S$175,19,FALSE),"-")</f>
        <v>-</v>
      </c>
      <c r="Y134" s="103" t="str">
        <f>IF(AND(D134="Y",booking!T134&lt;&gt;booking!U134,booking!U134&gt;0),booking!U134,"-")</f>
        <v>-</v>
      </c>
      <c r="Z134" s="87" t="str">
        <f>IFERROR(VLOOKUP(Y134,Database!$A$2:$L$175,8,FALSE),"-")</f>
        <v>-</v>
      </c>
      <c r="AA134" s="87" t="str">
        <f>IFERROR(VLOOKUP(Y134,Database!$A$2:$L$175,6,FALSE),"-")</f>
        <v>-</v>
      </c>
      <c r="AB134" s="99" t="str">
        <f>IFERROR(VLOOKUP(Y134,Database!$A$2:$L$175,9,FALSE),"-")</f>
        <v>-</v>
      </c>
      <c r="AC134" s="9" t="str">
        <f>IFERROR(VLOOKUP(Y134,Database!$A$2:$S$175,19,FALSE),"-")</f>
        <v>-</v>
      </c>
    </row>
    <row r="135" spans="1:29" ht="15" customHeight="1" thickBot="1" x14ac:dyDescent="0.4">
      <c r="A135" s="95" t="str">
        <f>rengøring!A135</f>
        <v>mandag</v>
      </c>
      <c r="B135" s="93">
        <v>46636</v>
      </c>
      <c r="C135" s="10"/>
      <c r="D135" s="96" t="str">
        <f>IF(booking!AB135&gt;0,"Y","-")</f>
        <v>-</v>
      </c>
      <c r="E135" s="102" t="str">
        <f>IF(AND(D135="Y",booking!D135&lt;&gt;booking!E135,booking!E135&gt;0),booking!E135,"-")</f>
        <v>-</v>
      </c>
      <c r="F135" s="86" t="str">
        <f>IFERROR(VLOOKUP(E135,Database!$A$2:$L$175,8,FALSE),"-")</f>
        <v>-</v>
      </c>
      <c r="G135" s="86" t="str">
        <f>IFERROR(VLOOKUP(E135,Database!$A$2:$L$175,6,FALSE),"-")</f>
        <v>-</v>
      </c>
      <c r="H135" s="100" t="str">
        <f>IFERROR(VLOOKUP(E135,Database!$A$2:$L$175,9,FALSE),"-")</f>
        <v>-</v>
      </c>
      <c r="I135" s="120" t="str">
        <f>IFERROR(VLOOKUP(E135,Database!$A$2:$S$175,19,FALSE),"-")</f>
        <v>-</v>
      </c>
      <c r="J135" s="103" t="str">
        <f>IF(AND(D135="Y",booking!H135&lt;&gt;booking!I135,booking!I135&gt;0),booking!I135,"-")</f>
        <v>-</v>
      </c>
      <c r="K135" s="86" t="str">
        <f>IFERROR(VLOOKUP(J135,Database!$A$2:$L$175,8,FALSE),"-")</f>
        <v>-</v>
      </c>
      <c r="L135" s="86" t="str">
        <f>IFERROR(VLOOKUP(J135,Database!$A$2:$L$175,6,FALSE),"-")</f>
        <v>-</v>
      </c>
      <c r="M135" s="100" t="str">
        <f>IFERROR(VLOOKUP(J135,Database!$A$2:$L$175,9,FALSE),"-")</f>
        <v>-</v>
      </c>
      <c r="N135" s="152" t="str">
        <f>IFERROR(VLOOKUP(J135,Database!$A$2:$S$175,19,FALSE),"-")</f>
        <v>-</v>
      </c>
      <c r="O135" s="103" t="str">
        <f>IF(AND(D135="Y",booking!L135&lt;&gt;booking!M135,booking!M135&gt;0),booking!M135,"-")</f>
        <v>-</v>
      </c>
      <c r="P135" s="86" t="str">
        <f>IFERROR(VLOOKUP(O135,Database!$A$2:$L$175,8,FALSE),"-")</f>
        <v>-</v>
      </c>
      <c r="Q135" s="86" t="str">
        <f>IFERROR(VLOOKUP(O135,Database!$A$2:$L$175,6,FALSE),"-")</f>
        <v>-</v>
      </c>
      <c r="R135" s="90" t="str">
        <f>IFERROR(VLOOKUP(O135,Database!$A$2:$L$175,9,FALSE),"-")</f>
        <v>-</v>
      </c>
      <c r="S135" s="152" t="str">
        <f>IFERROR(VLOOKUP(O135,Database!$A$2:$S$175,19,FALSE),"-")</f>
        <v>-</v>
      </c>
      <c r="T135" s="104" t="str">
        <f>IF(AND(D135="Y",booking!P135&lt;&gt;booking!Q135,booking!Q135&gt;0),booking!Q135,"-")</f>
        <v>-</v>
      </c>
      <c r="U135" s="86" t="str">
        <f>IFERROR(VLOOKUP(T135,Database!$A$2:$L$175,8,FALSE),"-")</f>
        <v>-</v>
      </c>
      <c r="V135" s="86" t="str">
        <f>IFERROR(VLOOKUP(T135,Database!$A$2:$L$175,6,FALSE),"-")</f>
        <v>-</v>
      </c>
      <c r="W135" s="90" t="str">
        <f>IFERROR(VLOOKUP(T135,Database!$A$2:$L$175,9,FALSE),"-")</f>
        <v>-</v>
      </c>
      <c r="X135" s="152" t="str">
        <f>IFERROR(VLOOKUP(T135,Database!$A$2:$S$175,19,FALSE),"-")</f>
        <v>-</v>
      </c>
      <c r="Y135" s="103" t="str">
        <f>IF(AND(D135="Y",booking!T135&lt;&gt;booking!U135,booking!U135&gt;0),booking!U135,"-")</f>
        <v>-</v>
      </c>
      <c r="Z135" s="87" t="str">
        <f>IFERROR(VLOOKUP(Y135,Database!$A$2:$L$175,8,FALSE),"-")</f>
        <v>-</v>
      </c>
      <c r="AA135" s="87" t="str">
        <f>IFERROR(VLOOKUP(Y135,Database!$A$2:$L$175,6,FALSE),"-")</f>
        <v>-</v>
      </c>
      <c r="AB135" s="99" t="str">
        <f>IFERROR(VLOOKUP(Y135,Database!$A$2:$L$175,9,FALSE),"-")</f>
        <v>-</v>
      </c>
      <c r="AC135" s="9" t="str">
        <f>IFERROR(VLOOKUP(Y135,Database!$A$2:$S$175,19,FALSE),"-")</f>
        <v>-</v>
      </c>
    </row>
    <row r="136" spans="1:29" ht="15" customHeight="1" thickBot="1" x14ac:dyDescent="0.4">
      <c r="A136" s="95" t="str">
        <f>rengøring!A136</f>
        <v>tirsdag</v>
      </c>
      <c r="B136" s="93">
        <v>46637</v>
      </c>
      <c r="C136" s="10"/>
      <c r="D136" s="96" t="str">
        <f>IF(booking!AB136&gt;0,"Y","-")</f>
        <v>-</v>
      </c>
      <c r="E136" s="102" t="str">
        <f>IF(AND(D136="Y",booking!D136&lt;&gt;booking!E136,booking!E136&gt;0),booking!E136,"-")</f>
        <v>-</v>
      </c>
      <c r="F136" s="86" t="str">
        <f>IFERROR(VLOOKUP(E136,Database!$A$2:$L$175,8,FALSE),"-")</f>
        <v>-</v>
      </c>
      <c r="G136" s="86" t="str">
        <f>IFERROR(VLOOKUP(E136,Database!$A$2:$L$175,6,FALSE),"-")</f>
        <v>-</v>
      </c>
      <c r="H136" s="100" t="str">
        <f>IFERROR(VLOOKUP(E136,Database!$A$2:$L$175,9,FALSE),"-")</f>
        <v>-</v>
      </c>
      <c r="I136" s="120" t="str">
        <f>IFERROR(VLOOKUP(E136,Database!$A$2:$S$175,19,FALSE),"-")</f>
        <v>-</v>
      </c>
      <c r="J136" s="103" t="str">
        <f>IF(AND(D136="Y",booking!H136&lt;&gt;booking!I136,booking!I136&gt;0),booking!I136,"-")</f>
        <v>-</v>
      </c>
      <c r="K136" s="86" t="str">
        <f>IFERROR(VLOOKUP(J136,Database!$A$2:$L$175,8,FALSE),"-")</f>
        <v>-</v>
      </c>
      <c r="L136" s="86" t="str">
        <f>IFERROR(VLOOKUP(J136,Database!$A$2:$L$175,6,FALSE),"-")</f>
        <v>-</v>
      </c>
      <c r="M136" s="100" t="str">
        <f>IFERROR(VLOOKUP(J136,Database!$A$2:$L$175,9,FALSE),"-")</f>
        <v>-</v>
      </c>
      <c r="N136" s="152" t="str">
        <f>IFERROR(VLOOKUP(J136,Database!$A$2:$S$175,19,FALSE),"-")</f>
        <v>-</v>
      </c>
      <c r="O136" s="103" t="str">
        <f>IF(AND(D136="Y",booking!L136&lt;&gt;booking!M136,booking!M136&gt;0),booking!M136,"-")</f>
        <v>-</v>
      </c>
      <c r="P136" s="86" t="str">
        <f>IFERROR(VLOOKUP(O136,Database!$A$2:$L$175,8,FALSE),"-")</f>
        <v>-</v>
      </c>
      <c r="Q136" s="86" t="str">
        <f>IFERROR(VLOOKUP(O136,Database!$A$2:$L$175,6,FALSE),"-")</f>
        <v>-</v>
      </c>
      <c r="R136" s="90" t="str">
        <f>IFERROR(VLOOKUP(O136,Database!$A$2:$L$175,9,FALSE),"-")</f>
        <v>-</v>
      </c>
      <c r="S136" s="152" t="str">
        <f>IFERROR(VLOOKUP(O136,Database!$A$2:$S$175,19,FALSE),"-")</f>
        <v>-</v>
      </c>
      <c r="T136" s="104" t="str">
        <f>IF(AND(D136="Y",booking!P136&lt;&gt;booking!Q136,booking!Q136&gt;0),booking!Q136,"-")</f>
        <v>-</v>
      </c>
      <c r="U136" s="86" t="str">
        <f>IFERROR(VLOOKUP(T136,Database!$A$2:$L$175,8,FALSE),"-")</f>
        <v>-</v>
      </c>
      <c r="V136" s="86" t="str">
        <f>IFERROR(VLOOKUP(T136,Database!$A$2:$L$175,6,FALSE),"-")</f>
        <v>-</v>
      </c>
      <c r="W136" s="90" t="str">
        <f>IFERROR(VLOOKUP(T136,Database!$A$2:$L$175,9,FALSE),"-")</f>
        <v>-</v>
      </c>
      <c r="X136" s="152" t="str">
        <f>IFERROR(VLOOKUP(T136,Database!$A$2:$S$175,19,FALSE),"-")</f>
        <v>-</v>
      </c>
      <c r="Y136" s="103" t="str">
        <f>IF(AND(D136="Y",booking!T136&lt;&gt;booking!U136,booking!U136&gt;0),booking!U136,"-")</f>
        <v>-</v>
      </c>
      <c r="Z136" s="87" t="str">
        <f>IFERROR(VLOOKUP(Y136,Database!$A$2:$L$175,8,FALSE),"-")</f>
        <v>-</v>
      </c>
      <c r="AA136" s="87" t="str">
        <f>IFERROR(VLOOKUP(Y136,Database!$A$2:$L$175,6,FALSE),"-")</f>
        <v>-</v>
      </c>
      <c r="AB136" s="99" t="str">
        <f>IFERROR(VLOOKUP(Y136,Database!$A$2:$L$175,9,FALSE),"-")</f>
        <v>-</v>
      </c>
      <c r="AC136" s="9" t="str">
        <f>IFERROR(VLOOKUP(Y136,Database!$A$2:$S$175,19,FALSE),"-")</f>
        <v>-</v>
      </c>
    </row>
    <row r="137" spans="1:29" ht="15" customHeight="1" thickBot="1" x14ac:dyDescent="0.4">
      <c r="A137" s="95" t="str">
        <f>rengøring!A137</f>
        <v>onsdag</v>
      </c>
      <c r="B137" s="93">
        <v>46638</v>
      </c>
      <c r="C137" s="10"/>
      <c r="D137" s="96" t="str">
        <f>IF(booking!AB137&gt;0,"Y","-")</f>
        <v>-</v>
      </c>
      <c r="E137" s="102" t="str">
        <f>IF(AND(D137="Y",booking!D137&lt;&gt;booking!E137,booking!E137&gt;0),booking!E137,"-")</f>
        <v>-</v>
      </c>
      <c r="F137" s="86" t="str">
        <f>IFERROR(VLOOKUP(E137,Database!$A$2:$L$175,8,FALSE),"-")</f>
        <v>-</v>
      </c>
      <c r="G137" s="86" t="str">
        <f>IFERROR(VLOOKUP(E137,Database!$A$2:$L$175,6,FALSE),"-")</f>
        <v>-</v>
      </c>
      <c r="H137" s="100" t="str">
        <f>IFERROR(VLOOKUP(E137,Database!$A$2:$L$175,9,FALSE),"-")</f>
        <v>-</v>
      </c>
      <c r="I137" s="120" t="str">
        <f>IFERROR(VLOOKUP(E137,Database!$A$2:$S$175,19,FALSE),"-")</f>
        <v>-</v>
      </c>
      <c r="J137" s="103" t="str">
        <f>IF(AND(D137="Y",booking!H137&lt;&gt;booking!I137,booking!I137&gt;0),booking!I137,"-")</f>
        <v>-</v>
      </c>
      <c r="K137" s="86" t="str">
        <f>IFERROR(VLOOKUP(J137,Database!$A$2:$L$175,8,FALSE),"-")</f>
        <v>-</v>
      </c>
      <c r="L137" s="86" t="str">
        <f>IFERROR(VLOOKUP(J137,Database!$A$2:$L$175,6,FALSE),"-")</f>
        <v>-</v>
      </c>
      <c r="M137" s="100" t="str">
        <f>IFERROR(VLOOKUP(J137,Database!$A$2:$L$175,9,FALSE),"-")</f>
        <v>-</v>
      </c>
      <c r="N137" s="152" t="str">
        <f>IFERROR(VLOOKUP(J137,Database!$A$2:$S$175,19,FALSE),"-")</f>
        <v>-</v>
      </c>
      <c r="O137" s="103" t="str">
        <f>IF(AND(D137="Y",booking!L137&lt;&gt;booking!M137,booking!M137&gt;0),booking!M137,"-")</f>
        <v>-</v>
      </c>
      <c r="P137" s="86" t="str">
        <f>IFERROR(VLOOKUP(O137,Database!$A$2:$L$175,8,FALSE),"-")</f>
        <v>-</v>
      </c>
      <c r="Q137" s="86" t="str">
        <f>IFERROR(VLOOKUP(O137,Database!$A$2:$L$175,6,FALSE),"-")</f>
        <v>-</v>
      </c>
      <c r="R137" s="90" t="str">
        <f>IFERROR(VLOOKUP(O137,Database!$A$2:$L$175,9,FALSE),"-")</f>
        <v>-</v>
      </c>
      <c r="S137" s="152" t="str">
        <f>IFERROR(VLOOKUP(O137,Database!$A$2:$S$175,19,FALSE),"-")</f>
        <v>-</v>
      </c>
      <c r="T137" s="104" t="str">
        <f>IF(AND(D137="Y",booking!P137&lt;&gt;booking!Q137,booking!Q137&gt;0),booking!Q137,"-")</f>
        <v>-</v>
      </c>
      <c r="U137" s="86" t="str">
        <f>IFERROR(VLOOKUP(T137,Database!$A$2:$L$175,8,FALSE),"-")</f>
        <v>-</v>
      </c>
      <c r="V137" s="86" t="str">
        <f>IFERROR(VLOOKUP(T137,Database!$A$2:$L$175,6,FALSE),"-")</f>
        <v>-</v>
      </c>
      <c r="W137" s="90" t="str">
        <f>IFERROR(VLOOKUP(T137,Database!$A$2:$L$175,9,FALSE),"-")</f>
        <v>-</v>
      </c>
      <c r="X137" s="152" t="str">
        <f>IFERROR(VLOOKUP(T137,Database!$A$2:$S$175,19,FALSE),"-")</f>
        <v>-</v>
      </c>
      <c r="Y137" s="103" t="str">
        <f>IF(AND(D137="Y",booking!T137&lt;&gt;booking!U137,booking!U137&gt;0),booking!U137,"-")</f>
        <v>-</v>
      </c>
      <c r="Z137" s="87" t="str">
        <f>IFERROR(VLOOKUP(Y137,Database!$A$2:$L$175,8,FALSE),"-")</f>
        <v>-</v>
      </c>
      <c r="AA137" s="87" t="str">
        <f>IFERROR(VLOOKUP(Y137,Database!$A$2:$L$175,6,FALSE),"-")</f>
        <v>-</v>
      </c>
      <c r="AB137" s="99" t="str">
        <f>IFERROR(VLOOKUP(Y137,Database!$A$2:$L$175,9,FALSE),"-")</f>
        <v>-</v>
      </c>
      <c r="AC137" s="9" t="str">
        <f>IFERROR(VLOOKUP(Y137,Database!$A$2:$S$175,19,FALSE),"-")</f>
        <v>-</v>
      </c>
    </row>
    <row r="138" spans="1:29" ht="15" customHeight="1" thickBot="1" x14ac:dyDescent="0.4">
      <c r="A138" s="95" t="str">
        <f>rengøring!A138</f>
        <v>torsdag</v>
      </c>
      <c r="B138" s="93">
        <v>46639</v>
      </c>
      <c r="C138" s="10"/>
      <c r="D138" s="96" t="str">
        <f>IF(booking!AB138&gt;0,"Y","-")</f>
        <v>-</v>
      </c>
      <c r="E138" s="102" t="str">
        <f>IF(AND(D138="Y",booking!D138&lt;&gt;booking!E138,booking!E138&gt;0),booking!E138,"-")</f>
        <v>-</v>
      </c>
      <c r="F138" s="86" t="str">
        <f>IFERROR(VLOOKUP(E138,Database!$A$2:$L$175,8,FALSE),"-")</f>
        <v>-</v>
      </c>
      <c r="G138" s="86" t="str">
        <f>IFERROR(VLOOKUP(E138,Database!$A$2:$L$175,6,FALSE),"-")</f>
        <v>-</v>
      </c>
      <c r="H138" s="100" t="str">
        <f>IFERROR(VLOOKUP(E138,Database!$A$2:$L$175,9,FALSE),"-")</f>
        <v>-</v>
      </c>
      <c r="I138" s="120" t="str">
        <f>IFERROR(VLOOKUP(E138,Database!$A$2:$S$175,19,FALSE),"-")</f>
        <v>-</v>
      </c>
      <c r="J138" s="103" t="str">
        <f>IF(AND(D138="Y",booking!H138&lt;&gt;booking!I138,booking!I138&gt;0),booking!I138,"-")</f>
        <v>-</v>
      </c>
      <c r="K138" s="86" t="str">
        <f>IFERROR(VLOOKUP(J138,Database!$A$2:$L$175,8,FALSE),"-")</f>
        <v>-</v>
      </c>
      <c r="L138" s="86" t="str">
        <f>IFERROR(VLOOKUP(J138,Database!$A$2:$L$175,6,FALSE),"-")</f>
        <v>-</v>
      </c>
      <c r="M138" s="100" t="str">
        <f>IFERROR(VLOOKUP(J138,Database!$A$2:$L$175,9,FALSE),"-")</f>
        <v>-</v>
      </c>
      <c r="N138" s="152" t="str">
        <f>IFERROR(VLOOKUP(J138,Database!$A$2:$S$175,19,FALSE),"-")</f>
        <v>-</v>
      </c>
      <c r="O138" s="103" t="str">
        <f>IF(AND(D138="Y",booking!L138&lt;&gt;booking!M138,booking!M138&gt;0),booking!M138,"-")</f>
        <v>-</v>
      </c>
      <c r="P138" s="86" t="str">
        <f>IFERROR(VLOOKUP(O138,Database!$A$2:$L$175,8,FALSE),"-")</f>
        <v>-</v>
      </c>
      <c r="Q138" s="86" t="str">
        <f>IFERROR(VLOOKUP(O138,Database!$A$2:$L$175,6,FALSE),"-")</f>
        <v>-</v>
      </c>
      <c r="R138" s="90" t="str">
        <f>IFERROR(VLOOKUP(O138,Database!$A$2:$L$175,9,FALSE),"-")</f>
        <v>-</v>
      </c>
      <c r="S138" s="152" t="str">
        <f>IFERROR(VLOOKUP(O138,Database!$A$2:$S$175,19,FALSE),"-")</f>
        <v>-</v>
      </c>
      <c r="T138" s="104" t="str">
        <f>IF(AND(D138="Y",booking!P138&lt;&gt;booking!Q138,booking!Q138&gt;0),booking!Q138,"-")</f>
        <v>-</v>
      </c>
      <c r="U138" s="86" t="str">
        <f>IFERROR(VLOOKUP(T138,Database!$A$2:$L$175,8,FALSE),"-")</f>
        <v>-</v>
      </c>
      <c r="V138" s="86" t="str">
        <f>IFERROR(VLOOKUP(T138,Database!$A$2:$L$175,6,FALSE),"-")</f>
        <v>-</v>
      </c>
      <c r="W138" s="90" t="str">
        <f>IFERROR(VLOOKUP(T138,Database!$A$2:$L$175,9,FALSE),"-")</f>
        <v>-</v>
      </c>
      <c r="X138" s="152" t="str">
        <f>IFERROR(VLOOKUP(T138,Database!$A$2:$S$175,19,FALSE),"-")</f>
        <v>-</v>
      </c>
      <c r="Y138" s="103" t="str">
        <f>IF(AND(D138="Y",booking!T138&lt;&gt;booking!U138,booking!U138&gt;0),booking!U138,"-")</f>
        <v>-</v>
      </c>
      <c r="Z138" s="87" t="str">
        <f>IFERROR(VLOOKUP(Y138,Database!$A$2:$L$175,8,FALSE),"-")</f>
        <v>-</v>
      </c>
      <c r="AA138" s="87" t="str">
        <f>IFERROR(VLOOKUP(Y138,Database!$A$2:$L$175,6,FALSE),"-")</f>
        <v>-</v>
      </c>
      <c r="AB138" s="99" t="str">
        <f>IFERROR(VLOOKUP(Y138,Database!$A$2:$L$175,9,FALSE),"-")</f>
        <v>-</v>
      </c>
      <c r="AC138" s="9" t="str">
        <f>IFERROR(VLOOKUP(Y138,Database!$A$2:$S$175,19,FALSE),"-")</f>
        <v>-</v>
      </c>
    </row>
    <row r="139" spans="1:29" ht="15" customHeight="1" thickBot="1" x14ac:dyDescent="0.4">
      <c r="A139" s="95" t="str">
        <f>rengøring!A139</f>
        <v>fredag</v>
      </c>
      <c r="B139" s="93">
        <v>46640</v>
      </c>
      <c r="C139" s="10"/>
      <c r="D139" s="96" t="str">
        <f>IF(booking!AB139&gt;0,"Y","-")</f>
        <v>-</v>
      </c>
      <c r="E139" s="102" t="str">
        <f>IF(AND(D139="Y",booking!D139&lt;&gt;booking!E139,booking!E139&gt;0),booking!E139,"-")</f>
        <v>-</v>
      </c>
      <c r="F139" s="86" t="str">
        <f>IFERROR(VLOOKUP(E139,Database!$A$2:$L$175,8,FALSE),"-")</f>
        <v>-</v>
      </c>
      <c r="G139" s="86" t="str">
        <f>IFERROR(VLOOKUP(E139,Database!$A$2:$L$175,6,FALSE),"-")</f>
        <v>-</v>
      </c>
      <c r="H139" s="100" t="str">
        <f>IFERROR(VLOOKUP(E139,Database!$A$2:$L$175,9,FALSE),"-")</f>
        <v>-</v>
      </c>
      <c r="I139" s="120" t="str">
        <f>IFERROR(VLOOKUP(E139,Database!$A$2:$S$175,19,FALSE),"-")</f>
        <v>-</v>
      </c>
      <c r="J139" s="103" t="str">
        <f>IF(AND(D139="Y",booking!H139&lt;&gt;booking!I139,booking!I139&gt;0),booking!I139,"-")</f>
        <v>-</v>
      </c>
      <c r="K139" s="86" t="str">
        <f>IFERROR(VLOOKUP(J139,Database!$A$2:$L$175,8,FALSE),"-")</f>
        <v>-</v>
      </c>
      <c r="L139" s="86" t="str">
        <f>IFERROR(VLOOKUP(J139,Database!$A$2:$L$175,6,FALSE),"-")</f>
        <v>-</v>
      </c>
      <c r="M139" s="100" t="str">
        <f>IFERROR(VLOOKUP(J139,Database!$A$2:$L$175,9,FALSE),"-")</f>
        <v>-</v>
      </c>
      <c r="N139" s="152" t="str">
        <f>IFERROR(VLOOKUP(J139,Database!$A$2:$S$175,19,FALSE),"-")</f>
        <v>-</v>
      </c>
      <c r="O139" s="103" t="str">
        <f>IF(AND(D139="Y",booking!L139&lt;&gt;booking!M139,booking!M139&gt;0),booking!M139,"-")</f>
        <v>-</v>
      </c>
      <c r="P139" s="86" t="str">
        <f>IFERROR(VLOOKUP(O139,Database!$A$2:$L$175,8,FALSE),"-")</f>
        <v>-</v>
      </c>
      <c r="Q139" s="86" t="str">
        <f>IFERROR(VLOOKUP(O139,Database!$A$2:$L$175,6,FALSE),"-")</f>
        <v>-</v>
      </c>
      <c r="R139" s="90" t="str">
        <f>IFERROR(VLOOKUP(O139,Database!$A$2:$L$175,9,FALSE),"-")</f>
        <v>-</v>
      </c>
      <c r="S139" s="152" t="str">
        <f>IFERROR(VLOOKUP(O139,Database!$A$2:$S$175,19,FALSE),"-")</f>
        <v>-</v>
      </c>
      <c r="T139" s="104" t="str">
        <f>IF(AND(D139="Y",booking!P139&lt;&gt;booking!Q139,booking!Q139&gt;0),booking!Q139,"-")</f>
        <v>-</v>
      </c>
      <c r="U139" s="86" t="str">
        <f>IFERROR(VLOOKUP(T139,Database!$A$2:$L$175,8,FALSE),"-")</f>
        <v>-</v>
      </c>
      <c r="V139" s="86" t="str">
        <f>IFERROR(VLOOKUP(T139,Database!$A$2:$L$175,6,FALSE),"-")</f>
        <v>-</v>
      </c>
      <c r="W139" s="90" t="str">
        <f>IFERROR(VLOOKUP(T139,Database!$A$2:$L$175,9,FALSE),"-")</f>
        <v>-</v>
      </c>
      <c r="X139" s="152" t="str">
        <f>IFERROR(VLOOKUP(T139,Database!$A$2:$S$175,19,FALSE),"-")</f>
        <v>-</v>
      </c>
      <c r="Y139" s="103" t="str">
        <f>IF(AND(D139="Y",booking!T139&lt;&gt;booking!U139,booking!U139&gt;0),booking!U139,"-")</f>
        <v>-</v>
      </c>
      <c r="Z139" s="87" t="str">
        <f>IFERROR(VLOOKUP(Y139,Database!$A$2:$L$175,8,FALSE),"-")</f>
        <v>-</v>
      </c>
      <c r="AA139" s="87" t="str">
        <f>IFERROR(VLOOKUP(Y139,Database!$A$2:$L$175,6,FALSE),"-")</f>
        <v>-</v>
      </c>
      <c r="AB139" s="99" t="str">
        <f>IFERROR(VLOOKUP(Y139,Database!$A$2:$L$175,9,FALSE),"-")</f>
        <v>-</v>
      </c>
      <c r="AC139" s="9" t="str">
        <f>IFERROR(VLOOKUP(Y139,Database!$A$2:$S$175,19,FALSE),"-")</f>
        <v>-</v>
      </c>
    </row>
    <row r="140" spans="1:29" ht="15" customHeight="1" thickBot="1" x14ac:dyDescent="0.4">
      <c r="A140" s="95" t="str">
        <f>rengøring!A140</f>
        <v>lørdag</v>
      </c>
      <c r="B140" s="93">
        <v>46641</v>
      </c>
      <c r="C140" s="10"/>
      <c r="D140" s="96" t="str">
        <f>IF(booking!AB140&gt;0,"Y","-")</f>
        <v>-</v>
      </c>
      <c r="E140" s="102" t="str">
        <f>IF(AND(D140="Y",booking!D140&lt;&gt;booking!E140,booking!E140&gt;0),booking!E140,"-")</f>
        <v>-</v>
      </c>
      <c r="F140" s="86" t="str">
        <f>IFERROR(VLOOKUP(E140,Database!$A$2:$L$175,8,FALSE),"-")</f>
        <v>-</v>
      </c>
      <c r="G140" s="86" t="str">
        <f>IFERROR(VLOOKUP(E140,Database!$A$2:$L$175,6,FALSE),"-")</f>
        <v>-</v>
      </c>
      <c r="H140" s="100" t="str">
        <f>IFERROR(VLOOKUP(E140,Database!$A$2:$L$175,9,FALSE),"-")</f>
        <v>-</v>
      </c>
      <c r="I140" s="120" t="str">
        <f>IFERROR(VLOOKUP(E140,Database!$A$2:$S$175,19,FALSE),"-")</f>
        <v>-</v>
      </c>
      <c r="J140" s="103" t="str">
        <f>IF(AND(D140="Y",booking!H140&lt;&gt;booking!I140,booking!I140&gt;0),booking!I140,"-")</f>
        <v>-</v>
      </c>
      <c r="K140" s="86" t="str">
        <f>IFERROR(VLOOKUP(J140,Database!$A$2:$L$175,8,FALSE),"-")</f>
        <v>-</v>
      </c>
      <c r="L140" s="86" t="str">
        <f>IFERROR(VLOOKUP(J140,Database!$A$2:$L$175,6,FALSE),"-")</f>
        <v>-</v>
      </c>
      <c r="M140" s="100" t="str">
        <f>IFERROR(VLOOKUP(J140,Database!$A$2:$L$175,9,FALSE),"-")</f>
        <v>-</v>
      </c>
      <c r="N140" s="152" t="str">
        <f>IFERROR(VLOOKUP(J140,Database!$A$2:$S$175,19,FALSE),"-")</f>
        <v>-</v>
      </c>
      <c r="O140" s="103" t="str">
        <f>IF(AND(D140="Y",booking!L140&lt;&gt;booking!M140,booking!M140&gt;0),booking!M140,"-")</f>
        <v>-</v>
      </c>
      <c r="P140" s="86" t="str">
        <f>IFERROR(VLOOKUP(O140,Database!$A$2:$L$175,8,FALSE),"-")</f>
        <v>-</v>
      </c>
      <c r="Q140" s="86" t="str">
        <f>IFERROR(VLOOKUP(O140,Database!$A$2:$L$175,6,FALSE),"-")</f>
        <v>-</v>
      </c>
      <c r="R140" s="90" t="str">
        <f>IFERROR(VLOOKUP(O140,Database!$A$2:$L$175,9,FALSE),"-")</f>
        <v>-</v>
      </c>
      <c r="S140" s="152" t="str">
        <f>IFERROR(VLOOKUP(O140,Database!$A$2:$S$175,19,FALSE),"-")</f>
        <v>-</v>
      </c>
      <c r="T140" s="104" t="str">
        <f>IF(AND(D140="Y",booking!P140&lt;&gt;booking!Q140,booking!Q140&gt;0),booking!Q140,"-")</f>
        <v>-</v>
      </c>
      <c r="U140" s="86" t="str">
        <f>IFERROR(VLOOKUP(T140,Database!$A$2:$L$175,8,FALSE),"-")</f>
        <v>-</v>
      </c>
      <c r="V140" s="86" t="str">
        <f>IFERROR(VLOOKUP(T140,Database!$A$2:$L$175,6,FALSE),"-")</f>
        <v>-</v>
      </c>
      <c r="W140" s="90" t="str">
        <f>IFERROR(VLOOKUP(T140,Database!$A$2:$L$175,9,FALSE),"-")</f>
        <v>-</v>
      </c>
      <c r="X140" s="152" t="str">
        <f>IFERROR(VLOOKUP(T140,Database!$A$2:$S$175,19,FALSE),"-")</f>
        <v>-</v>
      </c>
      <c r="Y140" s="103" t="str">
        <f>IF(AND(D140="Y",booking!T140&lt;&gt;booking!U140,booking!U140&gt;0),booking!U140,"-")</f>
        <v>-</v>
      </c>
      <c r="Z140" s="87" t="str">
        <f>IFERROR(VLOOKUP(Y140,Database!$A$2:$L$175,8,FALSE),"-")</f>
        <v>-</v>
      </c>
      <c r="AA140" s="87" t="str">
        <f>IFERROR(VLOOKUP(Y140,Database!$A$2:$L$175,6,FALSE),"-")</f>
        <v>-</v>
      </c>
      <c r="AB140" s="99" t="str">
        <f>IFERROR(VLOOKUP(Y140,Database!$A$2:$L$175,9,FALSE),"-")</f>
        <v>-</v>
      </c>
      <c r="AC140" s="9" t="str">
        <f>IFERROR(VLOOKUP(Y140,Database!$A$2:$S$175,19,FALSE),"-")</f>
        <v>-</v>
      </c>
    </row>
    <row r="141" spans="1:29" ht="15" customHeight="1" thickBot="1" x14ac:dyDescent="0.4">
      <c r="A141" s="95" t="str">
        <f>rengøring!A141</f>
        <v>søndag</v>
      </c>
      <c r="B141" s="93">
        <v>46642</v>
      </c>
      <c r="C141" s="10"/>
      <c r="D141" s="96" t="str">
        <f>IF(booking!AB141&gt;0,"Y","-")</f>
        <v>-</v>
      </c>
      <c r="E141" s="102" t="str">
        <f>IF(AND(D141="Y",booking!D141&lt;&gt;booking!E141,booking!E141&gt;0),booking!E141,"-")</f>
        <v>-</v>
      </c>
      <c r="F141" s="86" t="str">
        <f>IFERROR(VLOOKUP(E141,Database!$A$2:$L$175,8,FALSE),"-")</f>
        <v>-</v>
      </c>
      <c r="G141" s="86" t="str">
        <f>IFERROR(VLOOKUP(E141,Database!$A$2:$L$175,6,FALSE),"-")</f>
        <v>-</v>
      </c>
      <c r="H141" s="100" t="str">
        <f>IFERROR(VLOOKUP(E141,Database!$A$2:$L$175,9,FALSE),"-")</f>
        <v>-</v>
      </c>
      <c r="I141" s="120" t="str">
        <f>IFERROR(VLOOKUP(E141,Database!$A$2:$S$175,19,FALSE),"-")</f>
        <v>-</v>
      </c>
      <c r="J141" s="103" t="str">
        <f>IF(AND(D141="Y",booking!H141&lt;&gt;booking!I141,booking!I141&gt;0),booking!I141,"-")</f>
        <v>-</v>
      </c>
      <c r="K141" s="86" t="str">
        <f>IFERROR(VLOOKUP(J141,Database!$A$2:$L$175,8,FALSE),"-")</f>
        <v>-</v>
      </c>
      <c r="L141" s="86" t="str">
        <f>IFERROR(VLOOKUP(J141,Database!$A$2:$L$175,6,FALSE),"-")</f>
        <v>-</v>
      </c>
      <c r="M141" s="100" t="str">
        <f>IFERROR(VLOOKUP(J141,Database!$A$2:$L$175,9,FALSE),"-")</f>
        <v>-</v>
      </c>
      <c r="N141" s="152" t="str">
        <f>IFERROR(VLOOKUP(J141,Database!$A$2:$S$175,19,FALSE),"-")</f>
        <v>-</v>
      </c>
      <c r="O141" s="103" t="str">
        <f>IF(AND(D141="Y",booking!L141&lt;&gt;booking!M141,booking!M141&gt;0),booking!M141,"-")</f>
        <v>-</v>
      </c>
      <c r="P141" s="86" t="str">
        <f>IFERROR(VLOOKUP(O141,Database!$A$2:$L$175,8,FALSE),"-")</f>
        <v>-</v>
      </c>
      <c r="Q141" s="86" t="str">
        <f>IFERROR(VLOOKUP(O141,Database!$A$2:$L$175,6,FALSE),"-")</f>
        <v>-</v>
      </c>
      <c r="R141" s="90" t="str">
        <f>IFERROR(VLOOKUP(O141,Database!$A$2:$L$175,9,FALSE),"-")</f>
        <v>-</v>
      </c>
      <c r="S141" s="152" t="str">
        <f>IFERROR(VLOOKUP(O141,Database!$A$2:$S$175,19,FALSE),"-")</f>
        <v>-</v>
      </c>
      <c r="T141" s="104" t="str">
        <f>IF(AND(D141="Y",booking!P141&lt;&gt;booking!Q141,booking!Q141&gt;0),booking!Q141,"-")</f>
        <v>-</v>
      </c>
      <c r="U141" s="86" t="str">
        <f>IFERROR(VLOOKUP(T141,Database!$A$2:$L$175,8,FALSE),"-")</f>
        <v>-</v>
      </c>
      <c r="V141" s="86" t="str">
        <f>IFERROR(VLOOKUP(T141,Database!$A$2:$L$175,6,FALSE),"-")</f>
        <v>-</v>
      </c>
      <c r="W141" s="90" t="str">
        <f>IFERROR(VLOOKUP(T141,Database!$A$2:$L$175,9,FALSE),"-")</f>
        <v>-</v>
      </c>
      <c r="X141" s="152" t="str">
        <f>IFERROR(VLOOKUP(T141,Database!$A$2:$S$175,19,FALSE),"-")</f>
        <v>-</v>
      </c>
      <c r="Y141" s="103" t="str">
        <f>IF(AND(D141="Y",booking!T141&lt;&gt;booking!U141,booking!U141&gt;0),booking!U141,"-")</f>
        <v>-</v>
      </c>
      <c r="Z141" s="87" t="str">
        <f>IFERROR(VLOOKUP(Y141,Database!$A$2:$L$175,8,FALSE),"-")</f>
        <v>-</v>
      </c>
      <c r="AA141" s="87" t="str">
        <f>IFERROR(VLOOKUP(Y141,Database!$A$2:$L$175,6,FALSE),"-")</f>
        <v>-</v>
      </c>
      <c r="AB141" s="99" t="str">
        <f>IFERROR(VLOOKUP(Y141,Database!$A$2:$L$175,9,FALSE),"-")</f>
        <v>-</v>
      </c>
      <c r="AC141" s="9" t="str">
        <f>IFERROR(VLOOKUP(Y141,Database!$A$2:$S$175,19,FALSE),"-")</f>
        <v>-</v>
      </c>
    </row>
    <row r="142" spans="1:29" ht="15" customHeight="1" thickBot="1" x14ac:dyDescent="0.4">
      <c r="A142" s="95" t="str">
        <f>rengøring!A142</f>
        <v>mandag</v>
      </c>
      <c r="B142" s="93">
        <v>46643</v>
      </c>
      <c r="C142" s="10"/>
      <c r="D142" s="96" t="str">
        <f>IF(booking!AB142&gt;0,"Y","-")</f>
        <v>-</v>
      </c>
      <c r="E142" s="102" t="str">
        <f>IF(AND(D142="Y",booking!D142&lt;&gt;booking!E142,booking!E142&gt;0),booking!E142,"-")</f>
        <v>-</v>
      </c>
      <c r="F142" s="86" t="str">
        <f>IFERROR(VLOOKUP(E142,Database!$A$2:$L$175,8,FALSE),"-")</f>
        <v>-</v>
      </c>
      <c r="G142" s="86" t="str">
        <f>IFERROR(VLOOKUP(E142,Database!$A$2:$L$175,6,FALSE),"-")</f>
        <v>-</v>
      </c>
      <c r="H142" s="100" t="str">
        <f>IFERROR(VLOOKUP(E142,Database!$A$2:$L$175,9,FALSE),"-")</f>
        <v>-</v>
      </c>
      <c r="I142" s="120" t="str">
        <f>IFERROR(VLOOKUP(E142,Database!$A$2:$S$175,19,FALSE),"-")</f>
        <v>-</v>
      </c>
      <c r="J142" s="103" t="str">
        <f>IF(AND(D142="Y",booking!H142&lt;&gt;booking!I142,booking!I142&gt;0),booking!I142,"-")</f>
        <v>-</v>
      </c>
      <c r="K142" s="86" t="str">
        <f>IFERROR(VLOOKUP(J142,Database!$A$2:$L$175,8,FALSE),"-")</f>
        <v>-</v>
      </c>
      <c r="L142" s="86" t="str">
        <f>IFERROR(VLOOKUP(J142,Database!$A$2:$L$175,6,FALSE),"-")</f>
        <v>-</v>
      </c>
      <c r="M142" s="100" t="str">
        <f>IFERROR(VLOOKUP(J142,Database!$A$2:$L$175,9,FALSE),"-")</f>
        <v>-</v>
      </c>
      <c r="N142" s="152" t="str">
        <f>IFERROR(VLOOKUP(J142,Database!$A$2:$S$175,19,FALSE),"-")</f>
        <v>-</v>
      </c>
      <c r="O142" s="103" t="str">
        <f>IF(AND(D142="Y",booking!L142&lt;&gt;booking!M142,booking!M142&gt;0),booking!M142,"-")</f>
        <v>-</v>
      </c>
      <c r="P142" s="86" t="str">
        <f>IFERROR(VLOOKUP(O142,Database!$A$2:$L$175,8,FALSE),"-")</f>
        <v>-</v>
      </c>
      <c r="Q142" s="86" t="str">
        <f>IFERROR(VLOOKUP(O142,Database!$A$2:$L$175,6,FALSE),"-")</f>
        <v>-</v>
      </c>
      <c r="R142" s="90" t="str">
        <f>IFERROR(VLOOKUP(O142,Database!$A$2:$L$175,9,FALSE),"-")</f>
        <v>-</v>
      </c>
      <c r="S142" s="152" t="str">
        <f>IFERROR(VLOOKUP(O142,Database!$A$2:$S$175,19,FALSE),"-")</f>
        <v>-</v>
      </c>
      <c r="T142" s="104" t="str">
        <f>IF(AND(D142="Y",booking!P142&lt;&gt;booking!Q142,booking!Q142&gt;0),booking!Q142,"-")</f>
        <v>-</v>
      </c>
      <c r="U142" s="86" t="str">
        <f>IFERROR(VLOOKUP(T142,Database!$A$2:$L$175,8,FALSE),"-")</f>
        <v>-</v>
      </c>
      <c r="V142" s="86" t="str">
        <f>IFERROR(VLOOKUP(T142,Database!$A$2:$L$175,6,FALSE),"-")</f>
        <v>-</v>
      </c>
      <c r="W142" s="90" t="str">
        <f>IFERROR(VLOOKUP(T142,Database!$A$2:$L$175,9,FALSE),"-")</f>
        <v>-</v>
      </c>
      <c r="X142" s="152" t="str">
        <f>IFERROR(VLOOKUP(T142,Database!$A$2:$S$175,19,FALSE),"-")</f>
        <v>-</v>
      </c>
      <c r="Y142" s="103" t="str">
        <f>IF(AND(D142="Y",booking!T142&lt;&gt;booking!U142,booking!U142&gt;0),booking!U142,"-")</f>
        <v>-</v>
      </c>
      <c r="Z142" s="87" t="str">
        <f>IFERROR(VLOOKUP(Y142,Database!$A$2:$L$175,8,FALSE),"-")</f>
        <v>-</v>
      </c>
      <c r="AA142" s="87" t="str">
        <f>IFERROR(VLOOKUP(Y142,Database!$A$2:$L$175,6,FALSE),"-")</f>
        <v>-</v>
      </c>
      <c r="AB142" s="99" t="str">
        <f>IFERROR(VLOOKUP(Y142,Database!$A$2:$L$175,9,FALSE),"-")</f>
        <v>-</v>
      </c>
      <c r="AC142" s="9" t="str">
        <f>IFERROR(VLOOKUP(Y142,Database!$A$2:$S$175,19,FALSE),"-")</f>
        <v>-</v>
      </c>
    </row>
    <row r="143" spans="1:29" ht="15" customHeight="1" thickBot="1" x14ac:dyDescent="0.4">
      <c r="A143" s="95" t="str">
        <f>rengøring!A143</f>
        <v>tirsdag</v>
      </c>
      <c r="B143" s="93">
        <v>46644</v>
      </c>
      <c r="C143" s="10"/>
      <c r="D143" s="96" t="str">
        <f>IF(booking!AB143&gt;0,"Y","-")</f>
        <v>-</v>
      </c>
      <c r="E143" s="102" t="str">
        <f>IF(AND(D143="Y",booking!D143&lt;&gt;booking!E143,booking!E143&gt;0),booking!E143,"-")</f>
        <v>-</v>
      </c>
      <c r="F143" s="86" t="str">
        <f>IFERROR(VLOOKUP(E143,Database!$A$2:$L$175,8,FALSE),"-")</f>
        <v>-</v>
      </c>
      <c r="G143" s="86" t="str">
        <f>IFERROR(VLOOKUP(E143,Database!$A$2:$L$175,6,FALSE),"-")</f>
        <v>-</v>
      </c>
      <c r="H143" s="100" t="str">
        <f>IFERROR(VLOOKUP(E143,Database!$A$2:$L$175,9,FALSE),"-")</f>
        <v>-</v>
      </c>
      <c r="I143" s="120" t="str">
        <f>IFERROR(VLOOKUP(E143,Database!$A$2:$S$175,19,FALSE),"-")</f>
        <v>-</v>
      </c>
      <c r="J143" s="103" t="str">
        <f>IF(AND(D143="Y",booking!H143&lt;&gt;booking!I143,booking!I143&gt;0),booking!I143,"-")</f>
        <v>-</v>
      </c>
      <c r="K143" s="86" t="str">
        <f>IFERROR(VLOOKUP(J143,Database!$A$2:$L$175,8,FALSE),"-")</f>
        <v>-</v>
      </c>
      <c r="L143" s="86" t="str">
        <f>IFERROR(VLOOKUP(J143,Database!$A$2:$L$175,6,FALSE),"-")</f>
        <v>-</v>
      </c>
      <c r="M143" s="100" t="str">
        <f>IFERROR(VLOOKUP(J143,Database!$A$2:$L$175,9,FALSE),"-")</f>
        <v>-</v>
      </c>
      <c r="N143" s="152" t="str">
        <f>IFERROR(VLOOKUP(J143,Database!$A$2:$S$175,19,FALSE),"-")</f>
        <v>-</v>
      </c>
      <c r="O143" s="103" t="str">
        <f>IF(AND(D143="Y",booking!L143&lt;&gt;booking!M143,booking!M143&gt;0),booking!M143,"-")</f>
        <v>-</v>
      </c>
      <c r="P143" s="86" t="str">
        <f>IFERROR(VLOOKUP(O143,Database!$A$2:$L$175,8,FALSE),"-")</f>
        <v>-</v>
      </c>
      <c r="Q143" s="86" t="str">
        <f>IFERROR(VLOOKUP(O143,Database!$A$2:$L$175,6,FALSE),"-")</f>
        <v>-</v>
      </c>
      <c r="R143" s="90" t="str">
        <f>IFERROR(VLOOKUP(O143,Database!$A$2:$L$175,9,FALSE),"-")</f>
        <v>-</v>
      </c>
      <c r="S143" s="152" t="str">
        <f>IFERROR(VLOOKUP(O143,Database!$A$2:$S$175,19,FALSE),"-")</f>
        <v>-</v>
      </c>
      <c r="T143" s="104" t="str">
        <f>IF(AND(D143="Y",booking!P143&lt;&gt;booking!Q143,booking!Q143&gt;0),booking!Q143,"-")</f>
        <v>-</v>
      </c>
      <c r="U143" s="86" t="str">
        <f>IFERROR(VLOOKUP(T143,Database!$A$2:$L$175,8,FALSE),"-")</f>
        <v>-</v>
      </c>
      <c r="V143" s="86" t="str">
        <f>IFERROR(VLOOKUP(T143,Database!$A$2:$L$175,6,FALSE),"-")</f>
        <v>-</v>
      </c>
      <c r="W143" s="90" t="str">
        <f>IFERROR(VLOOKUP(T143,Database!$A$2:$L$175,9,FALSE),"-")</f>
        <v>-</v>
      </c>
      <c r="X143" s="152" t="str">
        <f>IFERROR(VLOOKUP(T143,Database!$A$2:$S$175,19,FALSE),"-")</f>
        <v>-</v>
      </c>
      <c r="Y143" s="103" t="str">
        <f>IF(AND(D143="Y",booking!T143&lt;&gt;booking!U143,booking!U143&gt;0),booking!U143,"-")</f>
        <v>-</v>
      </c>
      <c r="Z143" s="87" t="str">
        <f>IFERROR(VLOOKUP(Y143,Database!$A$2:$L$175,8,FALSE),"-")</f>
        <v>-</v>
      </c>
      <c r="AA143" s="87" t="str">
        <f>IFERROR(VLOOKUP(Y143,Database!$A$2:$L$175,6,FALSE),"-")</f>
        <v>-</v>
      </c>
      <c r="AB143" s="99" t="str">
        <f>IFERROR(VLOOKUP(Y143,Database!$A$2:$L$175,9,FALSE),"-")</f>
        <v>-</v>
      </c>
      <c r="AC143" s="9" t="str">
        <f>IFERROR(VLOOKUP(Y143,Database!$A$2:$S$175,19,FALSE),"-")</f>
        <v>-</v>
      </c>
    </row>
    <row r="144" spans="1:29" ht="15" customHeight="1" thickBot="1" x14ac:dyDescent="0.4">
      <c r="A144" s="95" t="str">
        <f>rengøring!A144</f>
        <v>onsdag</v>
      </c>
      <c r="B144" s="93">
        <v>46645</v>
      </c>
      <c r="C144" s="10"/>
      <c r="D144" s="96" t="str">
        <f>IF(booking!AB144&gt;0,"Y","-")</f>
        <v>-</v>
      </c>
      <c r="E144" s="102" t="str">
        <f>IF(AND(D144="Y",booking!D144&lt;&gt;booking!E144,booking!E144&gt;0),booking!E144,"-")</f>
        <v>-</v>
      </c>
      <c r="F144" s="86" t="str">
        <f>IFERROR(VLOOKUP(E144,Database!$A$2:$L$175,8,FALSE),"-")</f>
        <v>-</v>
      </c>
      <c r="G144" s="86" t="str">
        <f>IFERROR(VLOOKUP(E144,Database!$A$2:$L$175,6,FALSE),"-")</f>
        <v>-</v>
      </c>
      <c r="H144" s="100" t="str">
        <f>IFERROR(VLOOKUP(E144,Database!$A$2:$L$175,9,FALSE),"-")</f>
        <v>-</v>
      </c>
      <c r="I144" s="120" t="str">
        <f>IFERROR(VLOOKUP(E144,Database!$A$2:$S$175,19,FALSE),"-")</f>
        <v>-</v>
      </c>
      <c r="J144" s="103" t="str">
        <f>IF(AND(D144="Y",booking!H144&lt;&gt;booking!I144,booking!I144&gt;0),booking!I144,"-")</f>
        <v>-</v>
      </c>
      <c r="K144" s="86" t="str">
        <f>IFERROR(VLOOKUP(J144,Database!$A$2:$L$175,8,FALSE),"-")</f>
        <v>-</v>
      </c>
      <c r="L144" s="86" t="str">
        <f>IFERROR(VLOOKUP(J144,Database!$A$2:$L$175,6,FALSE),"-")</f>
        <v>-</v>
      </c>
      <c r="M144" s="100" t="str">
        <f>IFERROR(VLOOKUP(J144,Database!$A$2:$L$175,9,FALSE),"-")</f>
        <v>-</v>
      </c>
      <c r="N144" s="152" t="str">
        <f>IFERROR(VLOOKUP(J144,Database!$A$2:$S$175,19,FALSE),"-")</f>
        <v>-</v>
      </c>
      <c r="O144" s="103" t="str">
        <f>IF(AND(D144="Y",booking!L144&lt;&gt;booking!M144,booking!M144&gt;0),booking!M144,"-")</f>
        <v>-</v>
      </c>
      <c r="P144" s="86" t="str">
        <f>IFERROR(VLOOKUP(O144,Database!$A$2:$L$175,8,FALSE),"-")</f>
        <v>-</v>
      </c>
      <c r="Q144" s="86" t="str">
        <f>IFERROR(VLOOKUP(O144,Database!$A$2:$L$175,6,FALSE),"-")</f>
        <v>-</v>
      </c>
      <c r="R144" s="90" t="str">
        <f>IFERROR(VLOOKUP(O144,Database!$A$2:$L$175,9,FALSE),"-")</f>
        <v>-</v>
      </c>
      <c r="S144" s="152" t="str">
        <f>IFERROR(VLOOKUP(O144,Database!$A$2:$S$175,19,FALSE),"-")</f>
        <v>-</v>
      </c>
      <c r="T144" s="104" t="str">
        <f>IF(AND(D144="Y",booking!P144&lt;&gt;booking!Q144,booking!Q144&gt;0),booking!Q144,"-")</f>
        <v>-</v>
      </c>
      <c r="U144" s="86" t="str">
        <f>IFERROR(VLOOKUP(T144,Database!$A$2:$L$175,8,FALSE),"-")</f>
        <v>-</v>
      </c>
      <c r="V144" s="86" t="str">
        <f>IFERROR(VLOOKUP(T144,Database!$A$2:$L$175,6,FALSE),"-")</f>
        <v>-</v>
      </c>
      <c r="W144" s="90" t="str">
        <f>IFERROR(VLOOKUP(T144,Database!$A$2:$L$175,9,FALSE),"-")</f>
        <v>-</v>
      </c>
      <c r="X144" s="152" t="str">
        <f>IFERROR(VLOOKUP(T144,Database!$A$2:$S$175,19,FALSE),"-")</f>
        <v>-</v>
      </c>
      <c r="Y144" s="103" t="str">
        <f>IF(AND(D144="Y",booking!T144&lt;&gt;booking!U144,booking!U144&gt;0),booking!U144,"-")</f>
        <v>-</v>
      </c>
      <c r="Z144" s="87" t="str">
        <f>IFERROR(VLOOKUP(Y144,Database!$A$2:$L$175,8,FALSE),"-")</f>
        <v>-</v>
      </c>
      <c r="AA144" s="87" t="str">
        <f>IFERROR(VLOOKUP(Y144,Database!$A$2:$L$175,6,FALSE),"-")</f>
        <v>-</v>
      </c>
      <c r="AB144" s="99" t="str">
        <f>IFERROR(VLOOKUP(Y144,Database!$A$2:$L$175,9,FALSE),"-")</f>
        <v>-</v>
      </c>
      <c r="AC144" s="9" t="str">
        <f>IFERROR(VLOOKUP(Y144,Database!$A$2:$S$175,19,FALSE),"-")</f>
        <v>-</v>
      </c>
    </row>
    <row r="145" spans="1:29" ht="15" customHeight="1" thickBot="1" x14ac:dyDescent="0.4">
      <c r="A145" s="95" t="str">
        <f>rengøring!A145</f>
        <v>torsdag</v>
      </c>
      <c r="B145" s="93">
        <v>46646</v>
      </c>
      <c r="C145" s="10"/>
      <c r="D145" s="96" t="str">
        <f>IF(booking!AB145&gt;0,"Y","-")</f>
        <v>-</v>
      </c>
      <c r="E145" s="102" t="str">
        <f>IF(AND(D145="Y",booking!D145&lt;&gt;booking!E145,booking!E145&gt;0),booking!E145,"-")</f>
        <v>-</v>
      </c>
      <c r="F145" s="86" t="str">
        <f>IFERROR(VLOOKUP(E145,Database!$A$2:$L$175,8,FALSE),"-")</f>
        <v>-</v>
      </c>
      <c r="G145" s="86" t="str">
        <f>IFERROR(VLOOKUP(E145,Database!$A$2:$L$175,6,FALSE),"-")</f>
        <v>-</v>
      </c>
      <c r="H145" s="100" t="str">
        <f>IFERROR(VLOOKUP(E145,Database!$A$2:$L$175,9,FALSE),"-")</f>
        <v>-</v>
      </c>
      <c r="I145" s="120" t="str">
        <f>IFERROR(VLOOKUP(E145,Database!$A$2:$S$175,19,FALSE),"-")</f>
        <v>-</v>
      </c>
      <c r="J145" s="103" t="str">
        <f>IF(AND(D145="Y",booking!H145&lt;&gt;booking!I145,booking!I145&gt;0),booking!I145,"-")</f>
        <v>-</v>
      </c>
      <c r="K145" s="86" t="str">
        <f>IFERROR(VLOOKUP(J145,Database!$A$2:$L$175,8,FALSE),"-")</f>
        <v>-</v>
      </c>
      <c r="L145" s="86" t="str">
        <f>IFERROR(VLOOKUP(J145,Database!$A$2:$L$175,6,FALSE),"-")</f>
        <v>-</v>
      </c>
      <c r="M145" s="100" t="str">
        <f>IFERROR(VLOOKUP(J145,Database!$A$2:$L$175,9,FALSE),"-")</f>
        <v>-</v>
      </c>
      <c r="N145" s="152" t="str">
        <f>IFERROR(VLOOKUP(J145,Database!$A$2:$S$175,19,FALSE),"-")</f>
        <v>-</v>
      </c>
      <c r="O145" s="103" t="str">
        <f>IF(AND(D145="Y",booking!L145&lt;&gt;booking!M145,booking!M145&gt;0),booking!M145,"-")</f>
        <v>-</v>
      </c>
      <c r="P145" s="86" t="str">
        <f>IFERROR(VLOOKUP(O145,Database!$A$2:$L$175,8,FALSE),"-")</f>
        <v>-</v>
      </c>
      <c r="Q145" s="86" t="str">
        <f>IFERROR(VLOOKUP(O145,Database!$A$2:$L$175,6,FALSE),"-")</f>
        <v>-</v>
      </c>
      <c r="R145" s="90" t="str">
        <f>IFERROR(VLOOKUP(O145,Database!$A$2:$L$175,9,FALSE),"-")</f>
        <v>-</v>
      </c>
      <c r="S145" s="152" t="str">
        <f>IFERROR(VLOOKUP(O145,Database!$A$2:$S$175,19,FALSE),"-")</f>
        <v>-</v>
      </c>
      <c r="T145" s="104" t="str">
        <f>IF(AND(D145="Y",booking!P145&lt;&gt;booking!Q145,booking!Q145&gt;0),booking!Q145,"-")</f>
        <v>-</v>
      </c>
      <c r="U145" s="86" t="str">
        <f>IFERROR(VLOOKUP(T145,Database!$A$2:$L$175,8,FALSE),"-")</f>
        <v>-</v>
      </c>
      <c r="V145" s="86" t="str">
        <f>IFERROR(VLOOKUP(T145,Database!$A$2:$L$175,6,FALSE),"-")</f>
        <v>-</v>
      </c>
      <c r="W145" s="90" t="str">
        <f>IFERROR(VLOOKUP(T145,Database!$A$2:$L$175,9,FALSE),"-")</f>
        <v>-</v>
      </c>
      <c r="X145" s="152" t="str">
        <f>IFERROR(VLOOKUP(T145,Database!$A$2:$S$175,19,FALSE),"-")</f>
        <v>-</v>
      </c>
      <c r="Y145" s="103" t="str">
        <f>IF(AND(D145="Y",booking!T145&lt;&gt;booking!U145,booking!U145&gt;0),booking!U145,"-")</f>
        <v>-</v>
      </c>
      <c r="Z145" s="87" t="str">
        <f>IFERROR(VLOOKUP(Y145,Database!$A$2:$L$175,8,FALSE),"-")</f>
        <v>-</v>
      </c>
      <c r="AA145" s="87" t="str">
        <f>IFERROR(VLOOKUP(Y145,Database!$A$2:$L$175,6,FALSE),"-")</f>
        <v>-</v>
      </c>
      <c r="AB145" s="99" t="str">
        <f>IFERROR(VLOOKUP(Y145,Database!$A$2:$L$175,9,FALSE),"-")</f>
        <v>-</v>
      </c>
      <c r="AC145" s="9" t="str">
        <f>IFERROR(VLOOKUP(Y145,Database!$A$2:$S$175,19,FALSE),"-")</f>
        <v>-</v>
      </c>
    </row>
    <row r="146" spans="1:29" ht="15" customHeight="1" thickBot="1" x14ac:dyDescent="0.4">
      <c r="A146" s="95" t="str">
        <f>rengøring!A146</f>
        <v>fredag</v>
      </c>
      <c r="B146" s="93">
        <v>46647</v>
      </c>
      <c r="C146" s="10"/>
      <c r="D146" s="96" t="str">
        <f>IF(booking!AB146&gt;0,"Y","-")</f>
        <v>-</v>
      </c>
      <c r="E146" s="102" t="str">
        <f>IF(AND(D146="Y",booking!D146&lt;&gt;booking!E146,booking!E146&gt;0),booking!E146,"-")</f>
        <v>-</v>
      </c>
      <c r="F146" s="86" t="str">
        <f>IFERROR(VLOOKUP(E146,Database!$A$2:$L$175,8,FALSE),"-")</f>
        <v>-</v>
      </c>
      <c r="G146" s="86" t="str">
        <f>IFERROR(VLOOKUP(E146,Database!$A$2:$L$175,6,FALSE),"-")</f>
        <v>-</v>
      </c>
      <c r="H146" s="100" t="str">
        <f>IFERROR(VLOOKUP(E146,Database!$A$2:$L$175,9,FALSE),"-")</f>
        <v>-</v>
      </c>
      <c r="I146" s="120" t="str">
        <f>IFERROR(VLOOKUP(E146,Database!$A$2:$S$175,19,FALSE),"-")</f>
        <v>-</v>
      </c>
      <c r="J146" s="103" t="str">
        <f>IF(AND(D146="Y",booking!H146&lt;&gt;booking!I146,booking!I146&gt;0),booking!I146,"-")</f>
        <v>-</v>
      </c>
      <c r="K146" s="86" t="str">
        <f>IFERROR(VLOOKUP(J146,Database!$A$2:$L$175,8,FALSE),"-")</f>
        <v>-</v>
      </c>
      <c r="L146" s="86" t="str">
        <f>IFERROR(VLOOKUP(J146,Database!$A$2:$L$175,6,FALSE),"-")</f>
        <v>-</v>
      </c>
      <c r="M146" s="100" t="str">
        <f>IFERROR(VLOOKUP(J146,Database!$A$2:$L$175,9,FALSE),"-")</f>
        <v>-</v>
      </c>
      <c r="N146" s="152" t="str">
        <f>IFERROR(VLOOKUP(J146,Database!$A$2:$S$175,19,FALSE),"-")</f>
        <v>-</v>
      </c>
      <c r="O146" s="103" t="str">
        <f>IF(AND(D146="Y",booking!L146&lt;&gt;booking!M146,booking!M146&gt;0),booking!M146,"-")</f>
        <v>-</v>
      </c>
      <c r="P146" s="86" t="str">
        <f>IFERROR(VLOOKUP(O146,Database!$A$2:$L$175,8,FALSE),"-")</f>
        <v>-</v>
      </c>
      <c r="Q146" s="86" t="str">
        <f>IFERROR(VLOOKUP(O146,Database!$A$2:$L$175,6,FALSE),"-")</f>
        <v>-</v>
      </c>
      <c r="R146" s="90" t="str">
        <f>IFERROR(VLOOKUP(O146,Database!$A$2:$L$175,9,FALSE),"-")</f>
        <v>-</v>
      </c>
      <c r="S146" s="152" t="str">
        <f>IFERROR(VLOOKUP(O146,Database!$A$2:$S$175,19,FALSE),"-")</f>
        <v>-</v>
      </c>
      <c r="T146" s="104" t="str">
        <f>IF(AND(D146="Y",booking!P146&lt;&gt;booking!Q146,booking!Q146&gt;0),booking!Q146,"-")</f>
        <v>-</v>
      </c>
      <c r="U146" s="86" t="str">
        <f>IFERROR(VLOOKUP(T146,Database!$A$2:$L$175,8,FALSE),"-")</f>
        <v>-</v>
      </c>
      <c r="V146" s="86" t="str">
        <f>IFERROR(VLOOKUP(T146,Database!$A$2:$L$175,6,FALSE),"-")</f>
        <v>-</v>
      </c>
      <c r="W146" s="90" t="str">
        <f>IFERROR(VLOOKUP(T146,Database!$A$2:$L$175,9,FALSE),"-")</f>
        <v>-</v>
      </c>
      <c r="X146" s="152" t="str">
        <f>IFERROR(VLOOKUP(T146,Database!$A$2:$S$175,19,FALSE),"-")</f>
        <v>-</v>
      </c>
      <c r="Y146" s="103" t="str">
        <f>IF(AND(D146="Y",booking!T146&lt;&gt;booking!U146,booking!U146&gt;0),booking!U146,"-")</f>
        <v>-</v>
      </c>
      <c r="Z146" s="87" t="str">
        <f>IFERROR(VLOOKUP(Y146,Database!$A$2:$L$175,8,FALSE),"-")</f>
        <v>-</v>
      </c>
      <c r="AA146" s="87" t="str">
        <f>IFERROR(VLOOKUP(Y146,Database!$A$2:$L$175,6,FALSE),"-")</f>
        <v>-</v>
      </c>
      <c r="AB146" s="99" t="str">
        <f>IFERROR(VLOOKUP(Y146,Database!$A$2:$L$175,9,FALSE),"-")</f>
        <v>-</v>
      </c>
      <c r="AC146" s="9" t="str">
        <f>IFERROR(VLOOKUP(Y146,Database!$A$2:$S$175,19,FALSE),"-")</f>
        <v>-</v>
      </c>
    </row>
    <row r="147" spans="1:29" ht="15" customHeight="1" thickBot="1" x14ac:dyDescent="0.4">
      <c r="A147" s="95" t="str">
        <f>rengøring!A147</f>
        <v>lørdag</v>
      </c>
      <c r="B147" s="93">
        <v>46648</v>
      </c>
      <c r="C147" s="10"/>
      <c r="D147" s="96" t="str">
        <f>IF(booking!AB147&gt;0,"Y","-")</f>
        <v>-</v>
      </c>
      <c r="E147" s="102" t="str">
        <f>IF(AND(D147="Y",booking!D147&lt;&gt;booking!E147,booking!E147&gt;0),booking!E147,"-")</f>
        <v>-</v>
      </c>
      <c r="F147" s="86" t="str">
        <f>IFERROR(VLOOKUP(E147,Database!$A$2:$L$175,8,FALSE),"-")</f>
        <v>-</v>
      </c>
      <c r="G147" s="86" t="str">
        <f>IFERROR(VLOOKUP(E147,Database!$A$2:$L$175,6,FALSE),"-")</f>
        <v>-</v>
      </c>
      <c r="H147" s="100" t="str">
        <f>IFERROR(VLOOKUP(E147,Database!$A$2:$L$175,9,FALSE),"-")</f>
        <v>-</v>
      </c>
      <c r="I147" s="120" t="str">
        <f>IFERROR(VLOOKUP(E147,Database!$A$2:$S$175,19,FALSE),"-")</f>
        <v>-</v>
      </c>
      <c r="J147" s="103" t="str">
        <f>IF(AND(D147="Y",booking!H147&lt;&gt;booking!I147,booking!I147&gt;0),booking!I147,"-")</f>
        <v>-</v>
      </c>
      <c r="K147" s="86" t="str">
        <f>IFERROR(VLOOKUP(J147,Database!$A$2:$L$175,8,FALSE),"-")</f>
        <v>-</v>
      </c>
      <c r="L147" s="86" t="str">
        <f>IFERROR(VLOOKUP(J147,Database!$A$2:$L$175,6,FALSE),"-")</f>
        <v>-</v>
      </c>
      <c r="M147" s="100" t="str">
        <f>IFERROR(VLOOKUP(J147,Database!$A$2:$L$175,9,FALSE),"-")</f>
        <v>-</v>
      </c>
      <c r="N147" s="152" t="str">
        <f>IFERROR(VLOOKUP(J147,Database!$A$2:$S$175,19,FALSE),"-")</f>
        <v>-</v>
      </c>
      <c r="O147" s="103" t="str">
        <f>IF(AND(D147="Y",booking!L147&lt;&gt;booking!M147,booking!M147&gt;0),booking!M147,"-")</f>
        <v>-</v>
      </c>
      <c r="P147" s="86" t="str">
        <f>IFERROR(VLOOKUP(O147,Database!$A$2:$L$175,8,FALSE),"-")</f>
        <v>-</v>
      </c>
      <c r="Q147" s="86" t="str">
        <f>IFERROR(VLOOKUP(O147,Database!$A$2:$L$175,6,FALSE),"-")</f>
        <v>-</v>
      </c>
      <c r="R147" s="90" t="str">
        <f>IFERROR(VLOOKUP(O147,Database!$A$2:$L$175,9,FALSE),"-")</f>
        <v>-</v>
      </c>
      <c r="S147" s="152" t="str">
        <f>IFERROR(VLOOKUP(O147,Database!$A$2:$S$175,19,FALSE),"-")</f>
        <v>-</v>
      </c>
      <c r="T147" s="104" t="str">
        <f>IF(AND(D147="Y",booking!P147&lt;&gt;booking!Q147,booking!Q147&gt;0),booking!Q147,"-")</f>
        <v>-</v>
      </c>
      <c r="U147" s="86" t="str">
        <f>IFERROR(VLOOKUP(T147,Database!$A$2:$L$175,8,FALSE),"-")</f>
        <v>-</v>
      </c>
      <c r="V147" s="86" t="str">
        <f>IFERROR(VLOOKUP(T147,Database!$A$2:$L$175,6,FALSE),"-")</f>
        <v>-</v>
      </c>
      <c r="W147" s="90" t="str">
        <f>IFERROR(VLOOKUP(T147,Database!$A$2:$L$175,9,FALSE),"-")</f>
        <v>-</v>
      </c>
      <c r="X147" s="152" t="str">
        <f>IFERROR(VLOOKUP(T147,Database!$A$2:$S$175,19,FALSE),"-")</f>
        <v>-</v>
      </c>
      <c r="Y147" s="103" t="str">
        <f>IF(AND(D147="Y",booking!T147&lt;&gt;booking!U147,booking!U147&gt;0),booking!U147,"-")</f>
        <v>-</v>
      </c>
      <c r="Z147" s="87" t="str">
        <f>IFERROR(VLOOKUP(Y147,Database!$A$2:$L$175,8,FALSE),"-")</f>
        <v>-</v>
      </c>
      <c r="AA147" s="87" t="str">
        <f>IFERROR(VLOOKUP(Y147,Database!$A$2:$L$175,6,FALSE),"-")</f>
        <v>-</v>
      </c>
      <c r="AB147" s="99" t="str">
        <f>IFERROR(VLOOKUP(Y147,Database!$A$2:$L$175,9,FALSE),"-")</f>
        <v>-</v>
      </c>
      <c r="AC147" s="9" t="str">
        <f>IFERROR(VLOOKUP(Y147,Database!$A$2:$S$175,19,FALSE),"-")</f>
        <v>-</v>
      </c>
    </row>
    <row r="148" spans="1:29" ht="15" customHeight="1" thickBot="1" x14ac:dyDescent="0.4">
      <c r="A148" s="95" t="str">
        <f>rengøring!A148</f>
        <v>søndag</v>
      </c>
      <c r="B148" s="93">
        <v>46649</v>
      </c>
      <c r="C148" s="10"/>
      <c r="D148" s="96" t="str">
        <f>IF(booking!AB148&gt;0,"Y","-")</f>
        <v>-</v>
      </c>
      <c r="E148" s="102" t="str">
        <f>IF(AND(D148="Y",booking!D148&lt;&gt;booking!E148,booking!E148&gt;0),booking!E148,"-")</f>
        <v>-</v>
      </c>
      <c r="F148" s="86" t="str">
        <f>IFERROR(VLOOKUP(E148,Database!$A$2:$L$175,8,FALSE),"-")</f>
        <v>-</v>
      </c>
      <c r="G148" s="86" t="str">
        <f>IFERROR(VLOOKUP(E148,Database!$A$2:$L$175,6,FALSE),"-")</f>
        <v>-</v>
      </c>
      <c r="H148" s="100" t="str">
        <f>IFERROR(VLOOKUP(E148,Database!$A$2:$L$175,9,FALSE),"-")</f>
        <v>-</v>
      </c>
      <c r="I148" s="120" t="str">
        <f>IFERROR(VLOOKUP(E148,Database!$A$2:$S$175,19,FALSE),"-")</f>
        <v>-</v>
      </c>
      <c r="J148" s="103" t="str">
        <f>IF(AND(D148="Y",booking!H148&lt;&gt;booking!I148,booking!I148&gt;0),booking!I148,"-")</f>
        <v>-</v>
      </c>
      <c r="K148" s="86" t="str">
        <f>IFERROR(VLOOKUP(J148,Database!$A$2:$L$175,8,FALSE),"-")</f>
        <v>-</v>
      </c>
      <c r="L148" s="86" t="str">
        <f>IFERROR(VLOOKUP(J148,Database!$A$2:$L$175,6,FALSE),"-")</f>
        <v>-</v>
      </c>
      <c r="M148" s="100" t="str">
        <f>IFERROR(VLOOKUP(J148,Database!$A$2:$L$175,9,FALSE),"-")</f>
        <v>-</v>
      </c>
      <c r="N148" s="152" t="str">
        <f>IFERROR(VLOOKUP(J148,Database!$A$2:$S$175,19,FALSE),"-")</f>
        <v>-</v>
      </c>
      <c r="O148" s="103" t="str">
        <f>IF(AND(D148="Y",booking!L148&lt;&gt;booking!M148,booking!M148&gt;0),booking!M148,"-")</f>
        <v>-</v>
      </c>
      <c r="P148" s="86" t="str">
        <f>IFERROR(VLOOKUP(O148,Database!$A$2:$L$175,8,FALSE),"-")</f>
        <v>-</v>
      </c>
      <c r="Q148" s="86" t="str">
        <f>IFERROR(VLOOKUP(O148,Database!$A$2:$L$175,6,FALSE),"-")</f>
        <v>-</v>
      </c>
      <c r="R148" s="90" t="str">
        <f>IFERROR(VLOOKUP(O148,Database!$A$2:$L$175,9,FALSE),"-")</f>
        <v>-</v>
      </c>
      <c r="S148" s="152" t="str">
        <f>IFERROR(VLOOKUP(O148,Database!$A$2:$S$175,19,FALSE),"-")</f>
        <v>-</v>
      </c>
      <c r="T148" s="104" t="str">
        <f>IF(AND(D148="Y",booking!P148&lt;&gt;booking!Q148,booking!Q148&gt;0),booking!Q148,"-")</f>
        <v>-</v>
      </c>
      <c r="U148" s="86" t="str">
        <f>IFERROR(VLOOKUP(T148,Database!$A$2:$L$175,8,FALSE),"-")</f>
        <v>-</v>
      </c>
      <c r="V148" s="86" t="str">
        <f>IFERROR(VLOOKUP(T148,Database!$A$2:$L$175,6,FALSE),"-")</f>
        <v>-</v>
      </c>
      <c r="W148" s="90" t="str">
        <f>IFERROR(VLOOKUP(T148,Database!$A$2:$L$175,9,FALSE),"-")</f>
        <v>-</v>
      </c>
      <c r="X148" s="152" t="str">
        <f>IFERROR(VLOOKUP(T148,Database!$A$2:$S$175,19,FALSE),"-")</f>
        <v>-</v>
      </c>
      <c r="Y148" s="103" t="str">
        <f>IF(AND(D148="Y",booking!T148&lt;&gt;booking!U148,booking!U148&gt;0),booking!U148,"-")</f>
        <v>-</v>
      </c>
      <c r="Z148" s="87" t="str">
        <f>IFERROR(VLOOKUP(Y148,Database!$A$2:$L$175,8,FALSE),"-")</f>
        <v>-</v>
      </c>
      <c r="AA148" s="87" t="str">
        <f>IFERROR(VLOOKUP(Y148,Database!$A$2:$L$175,6,FALSE),"-")</f>
        <v>-</v>
      </c>
      <c r="AB148" s="99" t="str">
        <f>IFERROR(VLOOKUP(Y148,Database!$A$2:$L$175,9,FALSE),"-")</f>
        <v>-</v>
      </c>
      <c r="AC148" s="9" t="str">
        <f>IFERROR(VLOOKUP(Y148,Database!$A$2:$S$175,19,FALSE),"-")</f>
        <v>-</v>
      </c>
    </row>
    <row r="149" spans="1:29" ht="15" customHeight="1" thickBot="1" x14ac:dyDescent="0.4">
      <c r="A149" s="95" t="str">
        <f>rengøring!A149</f>
        <v>mandag</v>
      </c>
      <c r="B149" s="93">
        <v>46650</v>
      </c>
      <c r="C149" s="10"/>
      <c r="D149" s="96" t="str">
        <f>IF(booking!AB149&gt;0,"Y","-")</f>
        <v>-</v>
      </c>
      <c r="E149" s="102" t="str">
        <f>IF(AND(D149="Y",booking!D149&lt;&gt;booking!E149,booking!E149&gt;0),booking!E149,"-")</f>
        <v>-</v>
      </c>
      <c r="F149" s="86" t="str">
        <f>IFERROR(VLOOKUP(E149,Database!$A$2:$L$175,8,FALSE),"-")</f>
        <v>-</v>
      </c>
      <c r="G149" s="86" t="str">
        <f>IFERROR(VLOOKUP(E149,Database!$A$2:$L$175,6,FALSE),"-")</f>
        <v>-</v>
      </c>
      <c r="H149" s="100" t="str">
        <f>IFERROR(VLOOKUP(E149,Database!$A$2:$L$175,9,FALSE),"-")</f>
        <v>-</v>
      </c>
      <c r="I149" s="120" t="str">
        <f>IFERROR(VLOOKUP(E149,Database!$A$2:$S$175,19,FALSE),"-")</f>
        <v>-</v>
      </c>
      <c r="J149" s="103" t="str">
        <f>IF(AND(D149="Y",booking!H149&lt;&gt;booking!I149,booking!I149&gt;0),booking!I149,"-")</f>
        <v>-</v>
      </c>
      <c r="K149" s="86" t="str">
        <f>IFERROR(VLOOKUP(J149,Database!$A$2:$L$175,8,FALSE),"-")</f>
        <v>-</v>
      </c>
      <c r="L149" s="86" t="str">
        <f>IFERROR(VLOOKUP(J149,Database!$A$2:$L$175,6,FALSE),"-")</f>
        <v>-</v>
      </c>
      <c r="M149" s="100" t="str">
        <f>IFERROR(VLOOKUP(J149,Database!$A$2:$L$175,9,FALSE),"-")</f>
        <v>-</v>
      </c>
      <c r="N149" s="152" t="str">
        <f>IFERROR(VLOOKUP(J149,Database!$A$2:$S$175,19,FALSE),"-")</f>
        <v>-</v>
      </c>
      <c r="O149" s="103" t="str">
        <f>IF(AND(D149="Y",booking!L149&lt;&gt;booking!M149,booking!M149&gt;0),booking!M149,"-")</f>
        <v>-</v>
      </c>
      <c r="P149" s="86" t="str">
        <f>IFERROR(VLOOKUP(O149,Database!$A$2:$L$175,8,FALSE),"-")</f>
        <v>-</v>
      </c>
      <c r="Q149" s="86" t="str">
        <f>IFERROR(VLOOKUP(O149,Database!$A$2:$L$175,6,FALSE),"-")</f>
        <v>-</v>
      </c>
      <c r="R149" s="90" t="str">
        <f>IFERROR(VLOOKUP(O149,Database!$A$2:$L$175,9,FALSE),"-")</f>
        <v>-</v>
      </c>
      <c r="S149" s="152" t="str">
        <f>IFERROR(VLOOKUP(O149,Database!$A$2:$S$175,19,FALSE),"-")</f>
        <v>-</v>
      </c>
      <c r="T149" s="104" t="str">
        <f>IF(AND(D149="Y",booking!P149&lt;&gt;booking!Q149,booking!Q149&gt;0),booking!Q149,"-")</f>
        <v>-</v>
      </c>
      <c r="U149" s="86" t="str">
        <f>IFERROR(VLOOKUP(T149,Database!$A$2:$L$175,8,FALSE),"-")</f>
        <v>-</v>
      </c>
      <c r="V149" s="86" t="str">
        <f>IFERROR(VLOOKUP(T149,Database!$A$2:$L$175,6,FALSE),"-")</f>
        <v>-</v>
      </c>
      <c r="W149" s="90" t="str">
        <f>IFERROR(VLOOKUP(T149,Database!$A$2:$L$175,9,FALSE),"-")</f>
        <v>-</v>
      </c>
      <c r="X149" s="152" t="str">
        <f>IFERROR(VLOOKUP(T149,Database!$A$2:$S$175,19,FALSE),"-")</f>
        <v>-</v>
      </c>
      <c r="Y149" s="103" t="str">
        <f>IF(AND(D149="Y",booking!T149&lt;&gt;booking!U149,booking!U149&gt;0),booking!U149,"-")</f>
        <v>-</v>
      </c>
      <c r="Z149" s="87" t="str">
        <f>IFERROR(VLOOKUP(Y149,Database!$A$2:$L$175,8,FALSE),"-")</f>
        <v>-</v>
      </c>
      <c r="AA149" s="87" t="str">
        <f>IFERROR(VLOOKUP(Y149,Database!$A$2:$L$175,6,FALSE),"-")</f>
        <v>-</v>
      </c>
      <c r="AB149" s="99" t="str">
        <f>IFERROR(VLOOKUP(Y149,Database!$A$2:$L$175,9,FALSE),"-")</f>
        <v>-</v>
      </c>
      <c r="AC149" s="9" t="str">
        <f>IFERROR(VLOOKUP(Y149,Database!$A$2:$S$175,19,FALSE),"-")</f>
        <v>-</v>
      </c>
    </row>
    <row r="150" spans="1:29" ht="15" customHeight="1" thickBot="1" x14ac:dyDescent="0.4">
      <c r="A150" s="95" t="str">
        <f>rengøring!A150</f>
        <v>tirsdag</v>
      </c>
      <c r="B150" s="93">
        <v>46651</v>
      </c>
      <c r="C150" s="10"/>
      <c r="D150" s="96" t="str">
        <f>IF(booking!AB150&gt;0,"Y","-")</f>
        <v>-</v>
      </c>
      <c r="E150" s="102" t="str">
        <f>IF(AND(D150="Y",booking!D150&lt;&gt;booking!E150,booking!E150&gt;0),booking!E150,"-")</f>
        <v>-</v>
      </c>
      <c r="F150" s="86" t="str">
        <f>IFERROR(VLOOKUP(E150,Database!$A$2:$L$175,8,FALSE),"-")</f>
        <v>-</v>
      </c>
      <c r="G150" s="86" t="str">
        <f>IFERROR(VLOOKUP(E150,Database!$A$2:$L$175,6,FALSE),"-")</f>
        <v>-</v>
      </c>
      <c r="H150" s="100" t="str">
        <f>IFERROR(VLOOKUP(E150,Database!$A$2:$L$175,9,FALSE),"-")</f>
        <v>-</v>
      </c>
      <c r="I150" s="120" t="str">
        <f>IFERROR(VLOOKUP(E150,Database!$A$2:$S$175,19,FALSE),"-")</f>
        <v>-</v>
      </c>
      <c r="J150" s="103" t="str">
        <f>IF(AND(D150="Y",booking!H150&lt;&gt;booking!I150,booking!I150&gt;0),booking!I150,"-")</f>
        <v>-</v>
      </c>
      <c r="K150" s="86" t="str">
        <f>IFERROR(VLOOKUP(J150,Database!$A$2:$L$175,8,FALSE),"-")</f>
        <v>-</v>
      </c>
      <c r="L150" s="86" t="str">
        <f>IFERROR(VLOOKUP(J150,Database!$A$2:$L$175,6,FALSE),"-")</f>
        <v>-</v>
      </c>
      <c r="M150" s="100" t="str">
        <f>IFERROR(VLOOKUP(J150,Database!$A$2:$L$175,9,FALSE),"-")</f>
        <v>-</v>
      </c>
      <c r="N150" s="152" t="str">
        <f>IFERROR(VLOOKUP(J150,Database!$A$2:$S$175,19,FALSE),"-")</f>
        <v>-</v>
      </c>
      <c r="O150" s="103" t="str">
        <f>IF(AND(D150="Y",booking!L150&lt;&gt;booking!M150,booking!M150&gt;0),booking!M150,"-")</f>
        <v>-</v>
      </c>
      <c r="P150" s="86" t="str">
        <f>IFERROR(VLOOKUP(O150,Database!$A$2:$L$175,8,FALSE),"-")</f>
        <v>-</v>
      </c>
      <c r="Q150" s="86" t="str">
        <f>IFERROR(VLOOKUP(O150,Database!$A$2:$L$175,6,FALSE),"-")</f>
        <v>-</v>
      </c>
      <c r="R150" s="90" t="str">
        <f>IFERROR(VLOOKUP(O150,Database!$A$2:$L$175,9,FALSE),"-")</f>
        <v>-</v>
      </c>
      <c r="S150" s="152" t="str">
        <f>IFERROR(VLOOKUP(O150,Database!$A$2:$S$175,19,FALSE),"-")</f>
        <v>-</v>
      </c>
      <c r="T150" s="104" t="str">
        <f>IF(AND(D150="Y",booking!P150&lt;&gt;booking!Q150,booking!Q150&gt;0),booking!Q150,"-")</f>
        <v>-</v>
      </c>
      <c r="U150" s="86" t="str">
        <f>IFERROR(VLOOKUP(T150,Database!$A$2:$L$175,8,FALSE),"-")</f>
        <v>-</v>
      </c>
      <c r="V150" s="86" t="str">
        <f>IFERROR(VLOOKUP(T150,Database!$A$2:$L$175,6,FALSE),"-")</f>
        <v>-</v>
      </c>
      <c r="W150" s="90" t="str">
        <f>IFERROR(VLOOKUP(T150,Database!$A$2:$L$175,9,FALSE),"-")</f>
        <v>-</v>
      </c>
      <c r="X150" s="152" t="str">
        <f>IFERROR(VLOOKUP(T150,Database!$A$2:$S$175,19,FALSE),"-")</f>
        <v>-</v>
      </c>
      <c r="Y150" s="103" t="str">
        <f>IF(AND(D150="Y",booking!T150&lt;&gt;booking!U150,booking!U150&gt;0),booking!U150,"-")</f>
        <v>-</v>
      </c>
      <c r="Z150" s="87" t="str">
        <f>IFERROR(VLOOKUP(Y150,Database!$A$2:$L$175,8,FALSE),"-")</f>
        <v>-</v>
      </c>
      <c r="AA150" s="87" t="str">
        <f>IFERROR(VLOOKUP(Y150,Database!$A$2:$L$175,6,FALSE),"-")</f>
        <v>-</v>
      </c>
      <c r="AB150" s="99" t="str">
        <f>IFERROR(VLOOKUP(Y150,Database!$A$2:$L$175,9,FALSE),"-")</f>
        <v>-</v>
      </c>
      <c r="AC150" s="9" t="str">
        <f>IFERROR(VLOOKUP(Y150,Database!$A$2:$S$175,19,FALSE),"-")</f>
        <v>-</v>
      </c>
    </row>
    <row r="151" spans="1:29" ht="15" customHeight="1" thickBot="1" x14ac:dyDescent="0.4">
      <c r="A151" s="95" t="str">
        <f>rengøring!A151</f>
        <v>onsdag</v>
      </c>
      <c r="B151" s="93">
        <v>46652</v>
      </c>
      <c r="C151" s="10"/>
      <c r="D151" s="96" t="str">
        <f>IF(booking!AB151&gt;0,"Y","-")</f>
        <v>-</v>
      </c>
      <c r="E151" s="102" t="str">
        <f>IF(AND(D151="Y",booking!D151&lt;&gt;booking!E151,booking!E151&gt;0),booking!E151,"-")</f>
        <v>-</v>
      </c>
      <c r="F151" s="86" t="str">
        <f>IFERROR(VLOOKUP(E151,Database!$A$2:$L$175,8,FALSE),"-")</f>
        <v>-</v>
      </c>
      <c r="G151" s="86" t="str">
        <f>IFERROR(VLOOKUP(E151,Database!$A$2:$L$175,6,FALSE),"-")</f>
        <v>-</v>
      </c>
      <c r="H151" s="100" t="str">
        <f>IFERROR(VLOOKUP(E151,Database!$A$2:$L$175,9,FALSE),"-")</f>
        <v>-</v>
      </c>
      <c r="I151" s="120" t="str">
        <f>IFERROR(VLOOKUP(E151,Database!$A$2:$S$175,19,FALSE),"-")</f>
        <v>-</v>
      </c>
      <c r="J151" s="103" t="str">
        <f>IF(AND(D151="Y",booking!H151&lt;&gt;booking!I151,booking!I151&gt;0),booking!I151,"-")</f>
        <v>-</v>
      </c>
      <c r="K151" s="86" t="str">
        <f>IFERROR(VLOOKUP(J151,Database!$A$2:$L$175,8,FALSE),"-")</f>
        <v>-</v>
      </c>
      <c r="L151" s="86" t="str">
        <f>IFERROR(VLOOKUP(J151,Database!$A$2:$L$175,6,FALSE),"-")</f>
        <v>-</v>
      </c>
      <c r="M151" s="100" t="str">
        <f>IFERROR(VLOOKUP(J151,Database!$A$2:$L$175,9,FALSE),"-")</f>
        <v>-</v>
      </c>
      <c r="N151" s="152" t="str">
        <f>IFERROR(VLOOKUP(J151,Database!$A$2:$S$175,19,FALSE),"-")</f>
        <v>-</v>
      </c>
      <c r="O151" s="103" t="str">
        <f>IF(AND(D151="Y",booking!L151&lt;&gt;booking!M151,booking!M151&gt;0),booking!M151,"-")</f>
        <v>-</v>
      </c>
      <c r="P151" s="86" t="str">
        <f>IFERROR(VLOOKUP(O151,Database!$A$2:$L$175,8,FALSE),"-")</f>
        <v>-</v>
      </c>
      <c r="Q151" s="86" t="str">
        <f>IFERROR(VLOOKUP(O151,Database!$A$2:$L$175,6,FALSE),"-")</f>
        <v>-</v>
      </c>
      <c r="R151" s="90" t="str">
        <f>IFERROR(VLOOKUP(O151,Database!$A$2:$L$175,9,FALSE),"-")</f>
        <v>-</v>
      </c>
      <c r="S151" s="152" t="str">
        <f>IFERROR(VLOOKUP(O151,Database!$A$2:$S$175,19,FALSE),"-")</f>
        <v>-</v>
      </c>
      <c r="T151" s="104" t="str">
        <f>IF(AND(D151="Y",booking!P151&lt;&gt;booking!Q151,booking!Q151&gt;0),booking!Q151,"-")</f>
        <v>-</v>
      </c>
      <c r="U151" s="86" t="str">
        <f>IFERROR(VLOOKUP(T151,Database!$A$2:$L$175,8,FALSE),"-")</f>
        <v>-</v>
      </c>
      <c r="V151" s="86" t="str">
        <f>IFERROR(VLOOKUP(T151,Database!$A$2:$L$175,6,FALSE),"-")</f>
        <v>-</v>
      </c>
      <c r="W151" s="90" t="str">
        <f>IFERROR(VLOOKUP(T151,Database!$A$2:$L$175,9,FALSE),"-")</f>
        <v>-</v>
      </c>
      <c r="X151" s="152" t="str">
        <f>IFERROR(VLOOKUP(T151,Database!$A$2:$S$175,19,FALSE),"-")</f>
        <v>-</v>
      </c>
      <c r="Y151" s="103" t="str">
        <f>IF(AND(D151="Y",booking!T151&lt;&gt;booking!U151,booking!U151&gt;0),booking!U151,"-")</f>
        <v>-</v>
      </c>
      <c r="Z151" s="87" t="str">
        <f>IFERROR(VLOOKUP(Y151,Database!$A$2:$L$175,8,FALSE),"-")</f>
        <v>-</v>
      </c>
      <c r="AA151" s="87" t="str">
        <f>IFERROR(VLOOKUP(Y151,Database!$A$2:$L$175,6,FALSE),"-")</f>
        <v>-</v>
      </c>
      <c r="AB151" s="99" t="str">
        <f>IFERROR(VLOOKUP(Y151,Database!$A$2:$L$175,9,FALSE),"-")</f>
        <v>-</v>
      </c>
      <c r="AC151" s="9" t="str">
        <f>IFERROR(VLOOKUP(Y151,Database!$A$2:$S$175,19,FALSE),"-")</f>
        <v>-</v>
      </c>
    </row>
    <row r="152" spans="1:29" ht="15" customHeight="1" thickBot="1" x14ac:dyDescent="0.4">
      <c r="A152" s="95" t="str">
        <f>rengøring!A152</f>
        <v>torsdag</v>
      </c>
      <c r="B152" s="93">
        <v>46653</v>
      </c>
      <c r="C152" s="10"/>
      <c r="D152" s="96" t="str">
        <f>IF(booking!AB152&gt;0,"Y","-")</f>
        <v>-</v>
      </c>
      <c r="E152" s="102" t="str">
        <f>IF(AND(D152="Y",booking!D152&lt;&gt;booking!E152,booking!E152&gt;0),booking!E152,"-")</f>
        <v>-</v>
      </c>
      <c r="F152" s="86" t="str">
        <f>IFERROR(VLOOKUP(E152,Database!$A$2:$L$175,8,FALSE),"-")</f>
        <v>-</v>
      </c>
      <c r="G152" s="86" t="str">
        <f>IFERROR(VLOOKUP(E152,Database!$A$2:$L$175,6,FALSE),"-")</f>
        <v>-</v>
      </c>
      <c r="H152" s="100" t="str">
        <f>IFERROR(VLOOKUP(E152,Database!$A$2:$L$175,9,FALSE),"-")</f>
        <v>-</v>
      </c>
      <c r="I152" s="120" t="str">
        <f>IFERROR(VLOOKUP(E152,Database!$A$2:$S$175,19,FALSE),"-")</f>
        <v>-</v>
      </c>
      <c r="J152" s="103" t="str">
        <f>IF(AND(D152="Y",booking!H152&lt;&gt;booking!I152,booking!I152&gt;0),booking!I152,"-")</f>
        <v>-</v>
      </c>
      <c r="K152" s="86" t="str">
        <f>IFERROR(VLOOKUP(J152,Database!$A$2:$L$175,8,FALSE),"-")</f>
        <v>-</v>
      </c>
      <c r="L152" s="86" t="str">
        <f>IFERROR(VLOOKUP(J152,Database!$A$2:$L$175,6,FALSE),"-")</f>
        <v>-</v>
      </c>
      <c r="M152" s="100" t="str">
        <f>IFERROR(VLOOKUP(J152,Database!$A$2:$L$175,9,FALSE),"-")</f>
        <v>-</v>
      </c>
      <c r="N152" s="152" t="str">
        <f>IFERROR(VLOOKUP(J152,Database!$A$2:$S$175,19,FALSE),"-")</f>
        <v>-</v>
      </c>
      <c r="O152" s="103" t="str">
        <f>IF(AND(D152="Y",booking!L152&lt;&gt;booking!M152,booking!M152&gt;0),booking!M152,"-")</f>
        <v>-</v>
      </c>
      <c r="P152" s="86" t="str">
        <f>IFERROR(VLOOKUP(O152,Database!$A$2:$L$175,8,FALSE),"-")</f>
        <v>-</v>
      </c>
      <c r="Q152" s="86" t="str">
        <f>IFERROR(VLOOKUP(O152,Database!$A$2:$L$175,6,FALSE),"-")</f>
        <v>-</v>
      </c>
      <c r="R152" s="90" t="str">
        <f>IFERROR(VLOOKUP(O152,Database!$A$2:$L$175,9,FALSE),"-")</f>
        <v>-</v>
      </c>
      <c r="S152" s="152" t="str">
        <f>IFERROR(VLOOKUP(O152,Database!$A$2:$S$175,19,FALSE),"-")</f>
        <v>-</v>
      </c>
      <c r="T152" s="104" t="str">
        <f>IF(AND(D152="Y",booking!P152&lt;&gt;booking!Q152,booking!Q152&gt;0),booking!Q152,"-")</f>
        <v>-</v>
      </c>
      <c r="U152" s="86" t="str">
        <f>IFERROR(VLOOKUP(T152,Database!$A$2:$L$175,8,FALSE),"-")</f>
        <v>-</v>
      </c>
      <c r="V152" s="86" t="str">
        <f>IFERROR(VLOOKUP(T152,Database!$A$2:$L$175,6,FALSE),"-")</f>
        <v>-</v>
      </c>
      <c r="W152" s="90" t="str">
        <f>IFERROR(VLOOKUP(T152,Database!$A$2:$L$175,9,FALSE),"-")</f>
        <v>-</v>
      </c>
      <c r="X152" s="152" t="str">
        <f>IFERROR(VLOOKUP(T152,Database!$A$2:$S$175,19,FALSE),"-")</f>
        <v>-</v>
      </c>
      <c r="Y152" s="103" t="str">
        <f>IF(AND(D152="Y",booking!T152&lt;&gt;booking!U152,booking!U152&gt;0),booking!U152,"-")</f>
        <v>-</v>
      </c>
      <c r="Z152" s="87" t="str">
        <f>IFERROR(VLOOKUP(Y152,Database!$A$2:$L$175,8,FALSE),"-")</f>
        <v>-</v>
      </c>
      <c r="AA152" s="87" t="str">
        <f>IFERROR(VLOOKUP(Y152,Database!$A$2:$L$175,6,FALSE),"-")</f>
        <v>-</v>
      </c>
      <c r="AB152" s="99" t="str">
        <f>IFERROR(VLOOKUP(Y152,Database!$A$2:$L$175,9,FALSE),"-")</f>
        <v>-</v>
      </c>
      <c r="AC152" s="9" t="str">
        <f>IFERROR(VLOOKUP(Y152,Database!$A$2:$S$175,19,FALSE),"-")</f>
        <v>-</v>
      </c>
    </row>
    <row r="153" spans="1:29" ht="15" customHeight="1" thickBot="1" x14ac:dyDescent="0.4">
      <c r="A153" s="95" t="str">
        <f>rengøring!A153</f>
        <v>fredag</v>
      </c>
      <c r="B153" s="93">
        <v>46654</v>
      </c>
      <c r="C153" s="10"/>
      <c r="D153" s="96" t="str">
        <f>IF(booking!AB153&gt;0,"Y","-")</f>
        <v>-</v>
      </c>
      <c r="E153" s="102" t="str">
        <f>IF(AND(D153="Y",booking!D153&lt;&gt;booking!E153,booking!E153&gt;0),booking!E153,"-")</f>
        <v>-</v>
      </c>
      <c r="F153" s="86" t="str">
        <f>IFERROR(VLOOKUP(E153,Database!$A$2:$L$175,8,FALSE),"-")</f>
        <v>-</v>
      </c>
      <c r="G153" s="86" t="str">
        <f>IFERROR(VLOOKUP(E153,Database!$A$2:$L$175,6,FALSE),"-")</f>
        <v>-</v>
      </c>
      <c r="H153" s="100" t="str">
        <f>IFERROR(VLOOKUP(E153,Database!$A$2:$L$175,9,FALSE),"-")</f>
        <v>-</v>
      </c>
      <c r="I153" s="120" t="str">
        <f>IFERROR(VLOOKUP(E153,Database!$A$2:$S$175,19,FALSE),"-")</f>
        <v>-</v>
      </c>
      <c r="J153" s="103" t="str">
        <f>IF(AND(D153="Y",booking!H153&lt;&gt;booking!I153,booking!I153&gt;0),booking!I153,"-")</f>
        <v>-</v>
      </c>
      <c r="K153" s="86" t="str">
        <f>IFERROR(VLOOKUP(J153,Database!$A$2:$L$175,8,FALSE),"-")</f>
        <v>-</v>
      </c>
      <c r="L153" s="86" t="str">
        <f>IFERROR(VLOOKUP(J153,Database!$A$2:$L$175,6,FALSE),"-")</f>
        <v>-</v>
      </c>
      <c r="M153" s="100" t="str">
        <f>IFERROR(VLOOKUP(J153,Database!$A$2:$L$175,9,FALSE),"-")</f>
        <v>-</v>
      </c>
      <c r="N153" s="152" t="str">
        <f>IFERROR(VLOOKUP(J153,Database!$A$2:$S$175,19,FALSE),"-")</f>
        <v>-</v>
      </c>
      <c r="O153" s="103" t="str">
        <f>IF(AND(D153="Y",booking!L153&lt;&gt;booking!M153,booking!M153&gt;0),booking!M153,"-")</f>
        <v>-</v>
      </c>
      <c r="P153" s="86" t="str">
        <f>IFERROR(VLOOKUP(O153,Database!$A$2:$L$175,8,FALSE),"-")</f>
        <v>-</v>
      </c>
      <c r="Q153" s="86" t="str">
        <f>IFERROR(VLOOKUP(O153,Database!$A$2:$L$175,6,FALSE),"-")</f>
        <v>-</v>
      </c>
      <c r="R153" s="90" t="str">
        <f>IFERROR(VLOOKUP(O153,Database!$A$2:$L$175,9,FALSE),"-")</f>
        <v>-</v>
      </c>
      <c r="S153" s="152" t="str">
        <f>IFERROR(VLOOKUP(O153,Database!$A$2:$S$175,19,FALSE),"-")</f>
        <v>-</v>
      </c>
      <c r="T153" s="104" t="str">
        <f>IF(AND(D153="Y",booking!P153&lt;&gt;booking!Q153,booking!Q153&gt;0),booking!Q153,"-")</f>
        <v>-</v>
      </c>
      <c r="U153" s="86" t="str">
        <f>IFERROR(VLOOKUP(T153,Database!$A$2:$L$175,8,FALSE),"-")</f>
        <v>-</v>
      </c>
      <c r="V153" s="86" t="str">
        <f>IFERROR(VLOOKUP(T153,Database!$A$2:$L$175,6,FALSE),"-")</f>
        <v>-</v>
      </c>
      <c r="W153" s="90" t="str">
        <f>IFERROR(VLOOKUP(T153,Database!$A$2:$L$175,9,FALSE),"-")</f>
        <v>-</v>
      </c>
      <c r="X153" s="152" t="str">
        <f>IFERROR(VLOOKUP(T153,Database!$A$2:$S$175,19,FALSE),"-")</f>
        <v>-</v>
      </c>
      <c r="Y153" s="103" t="str">
        <f>IF(AND(D153="Y",booking!T153&lt;&gt;booking!U153,booking!U153&gt;0),booking!U153,"-")</f>
        <v>-</v>
      </c>
      <c r="Z153" s="87" t="str">
        <f>IFERROR(VLOOKUP(Y153,Database!$A$2:$L$175,8,FALSE),"-")</f>
        <v>-</v>
      </c>
      <c r="AA153" s="87" t="str">
        <f>IFERROR(VLOOKUP(Y153,Database!$A$2:$L$175,6,FALSE),"-")</f>
        <v>-</v>
      </c>
      <c r="AB153" s="99" t="str">
        <f>IFERROR(VLOOKUP(Y153,Database!$A$2:$L$175,9,FALSE),"-")</f>
        <v>-</v>
      </c>
      <c r="AC153" s="9" t="str">
        <f>IFERROR(VLOOKUP(Y153,Database!$A$2:$S$175,19,FALSE),"-")</f>
        <v>-</v>
      </c>
    </row>
    <row r="154" spans="1:29" ht="15" customHeight="1" thickBot="1" x14ac:dyDescent="0.4">
      <c r="A154" s="95" t="str">
        <f>rengøring!A154</f>
        <v>lørdag</v>
      </c>
      <c r="B154" s="93">
        <v>46655</v>
      </c>
      <c r="C154" s="10"/>
      <c r="D154" s="96" t="str">
        <f>IF(booking!AB154&gt;0,"Y","-")</f>
        <v>-</v>
      </c>
      <c r="E154" s="102" t="str">
        <f>IF(AND(D154="Y",booking!D154&lt;&gt;booking!E154,booking!E154&gt;0),booking!E154,"-")</f>
        <v>-</v>
      </c>
      <c r="F154" s="86" t="str">
        <f>IFERROR(VLOOKUP(E154,Database!$A$2:$L$175,8,FALSE),"-")</f>
        <v>-</v>
      </c>
      <c r="G154" s="86" t="str">
        <f>IFERROR(VLOOKUP(E154,Database!$A$2:$L$175,6,FALSE),"-")</f>
        <v>-</v>
      </c>
      <c r="H154" s="100" t="str">
        <f>IFERROR(VLOOKUP(E154,Database!$A$2:$L$175,9,FALSE),"-")</f>
        <v>-</v>
      </c>
      <c r="I154" s="120" t="str">
        <f>IFERROR(VLOOKUP(E154,Database!$A$2:$S$175,19,FALSE),"-")</f>
        <v>-</v>
      </c>
      <c r="J154" s="103" t="str">
        <f>IF(AND(D154="Y",booking!H154&lt;&gt;booking!I154,booking!I154&gt;0),booking!I154,"-")</f>
        <v>-</v>
      </c>
      <c r="K154" s="86" t="str">
        <f>IFERROR(VLOOKUP(J154,Database!$A$2:$L$175,8,FALSE),"-")</f>
        <v>-</v>
      </c>
      <c r="L154" s="86" t="str">
        <f>IFERROR(VLOOKUP(J154,Database!$A$2:$L$175,6,FALSE),"-")</f>
        <v>-</v>
      </c>
      <c r="M154" s="100" t="str">
        <f>IFERROR(VLOOKUP(J154,Database!$A$2:$L$175,9,FALSE),"-")</f>
        <v>-</v>
      </c>
      <c r="N154" s="152" t="str">
        <f>IFERROR(VLOOKUP(J154,Database!$A$2:$S$175,19,FALSE),"-")</f>
        <v>-</v>
      </c>
      <c r="O154" s="103" t="str">
        <f>IF(AND(D154="Y",booking!L154&lt;&gt;booking!M154,booking!M154&gt;0),booking!M154,"-")</f>
        <v>-</v>
      </c>
      <c r="P154" s="86" t="str">
        <f>IFERROR(VLOOKUP(O154,Database!$A$2:$L$175,8,FALSE),"-")</f>
        <v>-</v>
      </c>
      <c r="Q154" s="86" t="str">
        <f>IFERROR(VLOOKUP(O154,Database!$A$2:$L$175,6,FALSE),"-")</f>
        <v>-</v>
      </c>
      <c r="R154" s="90" t="str">
        <f>IFERROR(VLOOKUP(O154,Database!$A$2:$L$175,9,FALSE),"-")</f>
        <v>-</v>
      </c>
      <c r="S154" s="152" t="str">
        <f>IFERROR(VLOOKUP(O154,Database!$A$2:$S$175,19,FALSE),"-")</f>
        <v>-</v>
      </c>
      <c r="T154" s="104" t="str">
        <f>IF(AND(D154="Y",booking!P154&lt;&gt;booking!Q154,booking!Q154&gt;0),booking!Q154,"-")</f>
        <v>-</v>
      </c>
      <c r="U154" s="86" t="str">
        <f>IFERROR(VLOOKUP(T154,Database!$A$2:$L$175,8,FALSE),"-")</f>
        <v>-</v>
      </c>
      <c r="V154" s="86" t="str">
        <f>IFERROR(VLOOKUP(T154,Database!$A$2:$L$175,6,FALSE),"-")</f>
        <v>-</v>
      </c>
      <c r="W154" s="90" t="str">
        <f>IFERROR(VLOOKUP(T154,Database!$A$2:$L$175,9,FALSE),"-")</f>
        <v>-</v>
      </c>
      <c r="X154" s="152" t="str">
        <f>IFERROR(VLOOKUP(T154,Database!$A$2:$S$175,19,FALSE),"-")</f>
        <v>-</v>
      </c>
      <c r="Y154" s="103" t="str">
        <f>IF(AND(D154="Y",booking!T154&lt;&gt;booking!U154,booking!U154&gt;0),booking!U154,"-")</f>
        <v>-</v>
      </c>
      <c r="Z154" s="87" t="str">
        <f>IFERROR(VLOOKUP(Y154,Database!$A$2:$L$175,8,FALSE),"-")</f>
        <v>-</v>
      </c>
      <c r="AA154" s="87" t="str">
        <f>IFERROR(VLOOKUP(Y154,Database!$A$2:$L$175,6,FALSE),"-")</f>
        <v>-</v>
      </c>
      <c r="AB154" s="99" t="str">
        <f>IFERROR(VLOOKUP(Y154,Database!$A$2:$L$175,9,FALSE),"-")</f>
        <v>-</v>
      </c>
      <c r="AC154" s="9" t="str">
        <f>IFERROR(VLOOKUP(Y154,Database!$A$2:$S$175,19,FALSE),"-")</f>
        <v>-</v>
      </c>
    </row>
    <row r="155" spans="1:29" ht="15" customHeight="1" thickBot="1" x14ac:dyDescent="0.4">
      <c r="A155" s="95" t="str">
        <f>rengøring!A155</f>
        <v>søndag</v>
      </c>
      <c r="B155" s="93">
        <v>46656</v>
      </c>
      <c r="C155" s="10"/>
      <c r="D155" s="96" t="str">
        <f>IF(booking!AB155&gt;0,"Y","-")</f>
        <v>-</v>
      </c>
      <c r="E155" s="102" t="str">
        <f>IF(AND(D155="Y",booking!D155&lt;&gt;booking!E155,booking!E155&gt;0),booking!E155,"-")</f>
        <v>-</v>
      </c>
      <c r="F155" s="86" t="str">
        <f>IFERROR(VLOOKUP(E155,Database!$A$2:$L$175,8,FALSE),"-")</f>
        <v>-</v>
      </c>
      <c r="G155" s="86" t="str">
        <f>IFERROR(VLOOKUP(E155,Database!$A$2:$L$175,6,FALSE),"-")</f>
        <v>-</v>
      </c>
      <c r="H155" s="100" t="str">
        <f>IFERROR(VLOOKUP(E155,Database!$A$2:$L$175,9,FALSE),"-")</f>
        <v>-</v>
      </c>
      <c r="I155" s="120" t="str">
        <f>IFERROR(VLOOKUP(E155,Database!$A$2:$S$175,19,FALSE),"-")</f>
        <v>-</v>
      </c>
      <c r="J155" s="103" t="str">
        <f>IF(AND(D155="Y",booking!H155&lt;&gt;booking!I155,booking!I155&gt;0),booking!I155,"-")</f>
        <v>-</v>
      </c>
      <c r="K155" s="86" t="str">
        <f>IFERROR(VLOOKUP(J155,Database!$A$2:$L$175,8,FALSE),"-")</f>
        <v>-</v>
      </c>
      <c r="L155" s="86" t="str">
        <f>IFERROR(VLOOKUP(J155,Database!$A$2:$L$175,6,FALSE),"-")</f>
        <v>-</v>
      </c>
      <c r="M155" s="100" t="str">
        <f>IFERROR(VLOOKUP(J155,Database!$A$2:$L$175,9,FALSE),"-")</f>
        <v>-</v>
      </c>
      <c r="N155" s="152" t="str">
        <f>IFERROR(VLOOKUP(J155,Database!$A$2:$S$175,19,FALSE),"-")</f>
        <v>-</v>
      </c>
      <c r="O155" s="103" t="str">
        <f>IF(AND(D155="Y",booking!L155&lt;&gt;booking!M155,booking!M155&gt;0),booking!M155,"-")</f>
        <v>-</v>
      </c>
      <c r="P155" s="86" t="str">
        <f>IFERROR(VLOOKUP(O155,Database!$A$2:$L$175,8,FALSE),"-")</f>
        <v>-</v>
      </c>
      <c r="Q155" s="86" t="str">
        <f>IFERROR(VLOOKUP(O155,Database!$A$2:$L$175,6,FALSE),"-")</f>
        <v>-</v>
      </c>
      <c r="R155" s="90" t="str">
        <f>IFERROR(VLOOKUP(O155,Database!$A$2:$L$175,9,FALSE),"-")</f>
        <v>-</v>
      </c>
      <c r="S155" s="152" t="str">
        <f>IFERROR(VLOOKUP(O155,Database!$A$2:$S$175,19,FALSE),"-")</f>
        <v>-</v>
      </c>
      <c r="T155" s="104" t="str">
        <f>IF(AND(D155="Y",booking!P155&lt;&gt;booking!Q155,booking!Q155&gt;0),booking!Q155,"-")</f>
        <v>-</v>
      </c>
      <c r="U155" s="86" t="str">
        <f>IFERROR(VLOOKUP(T155,Database!$A$2:$L$175,8,FALSE),"-")</f>
        <v>-</v>
      </c>
      <c r="V155" s="86" t="str">
        <f>IFERROR(VLOOKUP(T155,Database!$A$2:$L$175,6,FALSE),"-")</f>
        <v>-</v>
      </c>
      <c r="W155" s="90" t="str">
        <f>IFERROR(VLOOKUP(T155,Database!$A$2:$L$175,9,FALSE),"-")</f>
        <v>-</v>
      </c>
      <c r="X155" s="152" t="str">
        <f>IFERROR(VLOOKUP(T155,Database!$A$2:$S$175,19,FALSE),"-")</f>
        <v>-</v>
      </c>
      <c r="Y155" s="103" t="str">
        <f>IF(AND(D155="Y",booking!T155&lt;&gt;booking!U155,booking!U155&gt;0),booking!U155,"-")</f>
        <v>-</v>
      </c>
      <c r="Z155" s="87" t="str">
        <f>IFERROR(VLOOKUP(Y155,Database!$A$2:$L$175,8,FALSE),"-")</f>
        <v>-</v>
      </c>
      <c r="AA155" s="87" t="str">
        <f>IFERROR(VLOOKUP(Y155,Database!$A$2:$L$175,6,FALSE),"-")</f>
        <v>-</v>
      </c>
      <c r="AB155" s="99" t="str">
        <f>IFERROR(VLOOKUP(Y155,Database!$A$2:$L$175,9,FALSE),"-")</f>
        <v>-</v>
      </c>
      <c r="AC155" s="9" t="str">
        <f>IFERROR(VLOOKUP(Y155,Database!$A$2:$S$175,19,FALSE),"-")</f>
        <v>-</v>
      </c>
    </row>
    <row r="156" spans="1:29" ht="15" customHeight="1" thickBot="1" x14ac:dyDescent="0.4">
      <c r="A156" s="95" t="str">
        <f>rengøring!A156</f>
        <v>mandag</v>
      </c>
      <c r="B156" s="93">
        <v>46657</v>
      </c>
      <c r="C156" s="10"/>
      <c r="D156" s="96" t="str">
        <f>IF(booking!AB156&gt;0,"Y","-")</f>
        <v>-</v>
      </c>
      <c r="E156" s="102" t="str">
        <f>IF(AND(D156="Y",booking!D156&lt;&gt;booking!E156,booking!E156&gt;0),booking!E156,"-")</f>
        <v>-</v>
      </c>
      <c r="F156" s="86" t="str">
        <f>IFERROR(VLOOKUP(E156,Database!$A$2:$L$175,8,FALSE),"-")</f>
        <v>-</v>
      </c>
      <c r="G156" s="86" t="str">
        <f>IFERROR(VLOOKUP(E156,Database!$A$2:$L$175,6,FALSE),"-")</f>
        <v>-</v>
      </c>
      <c r="H156" s="100" t="str">
        <f>IFERROR(VLOOKUP(E156,Database!$A$2:$L$175,9,FALSE),"-")</f>
        <v>-</v>
      </c>
      <c r="I156" s="120" t="str">
        <f>IFERROR(VLOOKUP(E156,Database!$A$2:$S$175,19,FALSE),"-")</f>
        <v>-</v>
      </c>
      <c r="J156" s="103" t="str">
        <f>IF(AND(D156="Y",booking!H156&lt;&gt;booking!I156,booking!I156&gt;0),booking!I156,"-")</f>
        <v>-</v>
      </c>
      <c r="K156" s="86" t="str">
        <f>IFERROR(VLOOKUP(J156,Database!$A$2:$L$175,8,FALSE),"-")</f>
        <v>-</v>
      </c>
      <c r="L156" s="86" t="str">
        <f>IFERROR(VLOOKUP(J156,Database!$A$2:$L$175,6,FALSE),"-")</f>
        <v>-</v>
      </c>
      <c r="M156" s="100" t="str">
        <f>IFERROR(VLOOKUP(J156,Database!$A$2:$L$175,9,FALSE),"-")</f>
        <v>-</v>
      </c>
      <c r="N156" s="152" t="str">
        <f>IFERROR(VLOOKUP(J156,Database!$A$2:$S$175,19,FALSE),"-")</f>
        <v>-</v>
      </c>
      <c r="O156" s="103" t="str">
        <f>IF(AND(D156="Y",booking!L156&lt;&gt;booking!M156,booking!M156&gt;0),booking!M156,"-")</f>
        <v>-</v>
      </c>
      <c r="P156" s="86" t="str">
        <f>IFERROR(VLOOKUP(O156,Database!$A$2:$L$175,8,FALSE),"-")</f>
        <v>-</v>
      </c>
      <c r="Q156" s="86" t="str">
        <f>IFERROR(VLOOKUP(O156,Database!$A$2:$L$175,6,FALSE),"-")</f>
        <v>-</v>
      </c>
      <c r="R156" s="90" t="str">
        <f>IFERROR(VLOOKUP(O156,Database!$A$2:$L$175,9,FALSE),"-")</f>
        <v>-</v>
      </c>
      <c r="S156" s="152" t="str">
        <f>IFERROR(VLOOKUP(O156,Database!$A$2:$S$175,19,FALSE),"-")</f>
        <v>-</v>
      </c>
      <c r="T156" s="104" t="str">
        <f>IF(AND(D156="Y",booking!P156&lt;&gt;booking!Q156,booking!Q156&gt;0),booking!Q156,"-")</f>
        <v>-</v>
      </c>
      <c r="U156" s="86" t="str">
        <f>IFERROR(VLOOKUP(T156,Database!$A$2:$L$175,8,FALSE),"-")</f>
        <v>-</v>
      </c>
      <c r="V156" s="86" t="str">
        <f>IFERROR(VLOOKUP(T156,Database!$A$2:$L$175,6,FALSE),"-")</f>
        <v>-</v>
      </c>
      <c r="W156" s="90" t="str">
        <f>IFERROR(VLOOKUP(T156,Database!$A$2:$L$175,9,FALSE),"-")</f>
        <v>-</v>
      </c>
      <c r="X156" s="152" t="str">
        <f>IFERROR(VLOOKUP(T156,Database!$A$2:$S$175,19,FALSE),"-")</f>
        <v>-</v>
      </c>
      <c r="Y156" s="103" t="str">
        <f>IF(AND(D156="Y",booking!T156&lt;&gt;booking!U156,booking!U156&gt;0),booking!U156,"-")</f>
        <v>-</v>
      </c>
      <c r="Z156" s="87" t="str">
        <f>IFERROR(VLOOKUP(Y156,Database!$A$2:$L$175,8,FALSE),"-")</f>
        <v>-</v>
      </c>
      <c r="AA156" s="87" t="str">
        <f>IFERROR(VLOOKUP(Y156,Database!$A$2:$L$175,6,FALSE),"-")</f>
        <v>-</v>
      </c>
      <c r="AB156" s="99" t="str">
        <f>IFERROR(VLOOKUP(Y156,Database!$A$2:$L$175,9,FALSE),"-")</f>
        <v>-</v>
      </c>
      <c r="AC156" s="9" t="str">
        <f>IFERROR(VLOOKUP(Y156,Database!$A$2:$S$175,19,FALSE),"-")</f>
        <v>-</v>
      </c>
    </row>
    <row r="157" spans="1:29" ht="15" customHeight="1" thickBot="1" x14ac:dyDescent="0.4">
      <c r="A157" s="95" t="str">
        <f>rengøring!A157</f>
        <v>tirsdag</v>
      </c>
      <c r="B157" s="93">
        <v>46658</v>
      </c>
      <c r="C157" s="10"/>
      <c r="D157" s="96" t="str">
        <f>IF(booking!AB157&gt;0,"Y","-")</f>
        <v>-</v>
      </c>
      <c r="E157" s="102" t="str">
        <f>IF(AND(D157="Y",booking!D157&lt;&gt;booking!E157,booking!E157&gt;0),booking!E157,"-")</f>
        <v>-</v>
      </c>
      <c r="F157" s="86" t="str">
        <f>IFERROR(VLOOKUP(E157,Database!$A$2:$L$175,8,FALSE),"-")</f>
        <v>-</v>
      </c>
      <c r="G157" s="86" t="str">
        <f>IFERROR(VLOOKUP(E157,Database!$A$2:$L$175,6,FALSE),"-")</f>
        <v>-</v>
      </c>
      <c r="H157" s="100" t="str">
        <f>IFERROR(VLOOKUP(E157,Database!$A$2:$L$175,9,FALSE),"-")</f>
        <v>-</v>
      </c>
      <c r="I157" s="120" t="str">
        <f>IFERROR(VLOOKUP(E157,Database!$A$2:$S$175,19,FALSE),"-")</f>
        <v>-</v>
      </c>
      <c r="J157" s="103" t="str">
        <f>IF(AND(D157="Y",booking!H157&lt;&gt;booking!I157,booking!I157&gt;0),booking!I157,"-")</f>
        <v>-</v>
      </c>
      <c r="K157" s="86" t="str">
        <f>IFERROR(VLOOKUP(J157,Database!$A$2:$L$175,8,FALSE),"-")</f>
        <v>-</v>
      </c>
      <c r="L157" s="86" t="str">
        <f>IFERROR(VLOOKUP(J157,Database!$A$2:$L$175,6,FALSE),"-")</f>
        <v>-</v>
      </c>
      <c r="M157" s="100" t="str">
        <f>IFERROR(VLOOKUP(J157,Database!$A$2:$L$175,9,FALSE),"-")</f>
        <v>-</v>
      </c>
      <c r="N157" s="152" t="str">
        <f>IFERROR(VLOOKUP(J157,Database!$A$2:$S$175,19,FALSE),"-")</f>
        <v>-</v>
      </c>
      <c r="O157" s="103" t="str">
        <f>IF(AND(D157="Y",booking!L157&lt;&gt;booking!M157,booking!M157&gt;0),booking!M157,"-")</f>
        <v>-</v>
      </c>
      <c r="P157" s="86" t="str">
        <f>IFERROR(VLOOKUP(O157,Database!$A$2:$L$175,8,FALSE),"-")</f>
        <v>-</v>
      </c>
      <c r="Q157" s="86" t="str">
        <f>IFERROR(VLOOKUP(O157,Database!$A$2:$L$175,6,FALSE),"-")</f>
        <v>-</v>
      </c>
      <c r="R157" s="90" t="str">
        <f>IFERROR(VLOOKUP(O157,Database!$A$2:$L$175,9,FALSE),"-")</f>
        <v>-</v>
      </c>
      <c r="S157" s="152" t="str">
        <f>IFERROR(VLOOKUP(O157,Database!$A$2:$S$175,19,FALSE),"-")</f>
        <v>-</v>
      </c>
      <c r="T157" s="104" t="str">
        <f>IF(AND(D157="Y",booking!P157&lt;&gt;booking!Q157,booking!Q157&gt;0),booking!Q157,"-")</f>
        <v>-</v>
      </c>
      <c r="U157" s="86" t="str">
        <f>IFERROR(VLOOKUP(T157,Database!$A$2:$L$175,8,FALSE),"-")</f>
        <v>-</v>
      </c>
      <c r="V157" s="86" t="str">
        <f>IFERROR(VLOOKUP(T157,Database!$A$2:$L$175,6,FALSE),"-")</f>
        <v>-</v>
      </c>
      <c r="W157" s="90" t="str">
        <f>IFERROR(VLOOKUP(T157,Database!$A$2:$L$175,9,FALSE),"-")</f>
        <v>-</v>
      </c>
      <c r="X157" s="152" t="str">
        <f>IFERROR(VLOOKUP(T157,Database!$A$2:$S$175,19,FALSE),"-")</f>
        <v>-</v>
      </c>
      <c r="Y157" s="103" t="str">
        <f>IF(AND(D157="Y",booking!T157&lt;&gt;booking!U157,booking!U157&gt;0),booking!U157,"-")</f>
        <v>-</v>
      </c>
      <c r="Z157" s="87" t="str">
        <f>IFERROR(VLOOKUP(Y157,Database!$A$2:$L$175,8,FALSE),"-")</f>
        <v>-</v>
      </c>
      <c r="AA157" s="87" t="str">
        <f>IFERROR(VLOOKUP(Y157,Database!$A$2:$L$175,6,FALSE),"-")</f>
        <v>-</v>
      </c>
      <c r="AB157" s="99" t="str">
        <f>IFERROR(VLOOKUP(Y157,Database!$A$2:$L$175,9,FALSE),"-")</f>
        <v>-</v>
      </c>
      <c r="AC157" s="9" t="str">
        <f>IFERROR(VLOOKUP(Y157,Database!$A$2:$S$175,19,FALSE),"-")</f>
        <v>-</v>
      </c>
    </row>
    <row r="158" spans="1:29" ht="15" customHeight="1" thickBot="1" x14ac:dyDescent="0.4">
      <c r="A158" s="95" t="str">
        <f>rengøring!A158</f>
        <v>onsdag</v>
      </c>
      <c r="B158" s="93">
        <v>46659</v>
      </c>
      <c r="C158" s="10"/>
      <c r="D158" s="96" t="str">
        <f>IF(booking!AB158&gt;0,"Y","-")</f>
        <v>-</v>
      </c>
      <c r="E158" s="102" t="str">
        <f>IF(AND(D158="Y",booking!D158&lt;&gt;booking!E158,booking!E158&gt;0),booking!E158,"-")</f>
        <v>-</v>
      </c>
      <c r="F158" s="86" t="str">
        <f>IFERROR(VLOOKUP(E158,Database!$A$2:$L$175,8,FALSE),"-")</f>
        <v>-</v>
      </c>
      <c r="G158" s="86" t="str">
        <f>IFERROR(VLOOKUP(E158,Database!$A$2:$L$175,6,FALSE),"-")</f>
        <v>-</v>
      </c>
      <c r="H158" s="100" t="str">
        <f>IFERROR(VLOOKUP(E158,Database!$A$2:$L$175,9,FALSE),"-")</f>
        <v>-</v>
      </c>
      <c r="I158" s="120" t="str">
        <f>IFERROR(VLOOKUP(E158,Database!$A$2:$S$175,19,FALSE),"-")</f>
        <v>-</v>
      </c>
      <c r="J158" s="103" t="str">
        <f>IF(AND(D158="Y",booking!H158&lt;&gt;booking!I158,booking!I158&gt;0),booking!I158,"-")</f>
        <v>-</v>
      </c>
      <c r="K158" s="86" t="str">
        <f>IFERROR(VLOOKUP(J158,Database!$A$2:$L$175,8,FALSE),"-")</f>
        <v>-</v>
      </c>
      <c r="L158" s="86" t="str">
        <f>IFERROR(VLOOKUP(J158,Database!$A$2:$L$175,6,FALSE),"-")</f>
        <v>-</v>
      </c>
      <c r="M158" s="100" t="str">
        <f>IFERROR(VLOOKUP(J158,Database!$A$2:$L$175,9,FALSE),"-")</f>
        <v>-</v>
      </c>
      <c r="N158" s="152" t="str">
        <f>IFERROR(VLOOKUP(J158,Database!$A$2:$S$175,19,FALSE),"-")</f>
        <v>-</v>
      </c>
      <c r="O158" s="103" t="str">
        <f>IF(AND(D158="Y",booking!L158&lt;&gt;booking!M158,booking!M158&gt;0),booking!M158,"-")</f>
        <v>-</v>
      </c>
      <c r="P158" s="86" t="str">
        <f>IFERROR(VLOOKUP(O158,Database!$A$2:$L$175,8,FALSE),"-")</f>
        <v>-</v>
      </c>
      <c r="Q158" s="86" t="str">
        <f>IFERROR(VLOOKUP(O158,Database!$A$2:$L$175,6,FALSE),"-")</f>
        <v>-</v>
      </c>
      <c r="R158" s="90" t="str">
        <f>IFERROR(VLOOKUP(O158,Database!$A$2:$L$175,9,FALSE),"-")</f>
        <v>-</v>
      </c>
      <c r="S158" s="152" t="str">
        <f>IFERROR(VLOOKUP(O158,Database!$A$2:$S$175,19,FALSE),"-")</f>
        <v>-</v>
      </c>
      <c r="T158" s="104" t="str">
        <f>IF(AND(D158="Y",booking!P158&lt;&gt;booking!Q158,booking!Q158&gt;0),booking!Q158,"-")</f>
        <v>-</v>
      </c>
      <c r="U158" s="86" t="str">
        <f>IFERROR(VLOOKUP(T158,Database!$A$2:$L$175,8,FALSE),"-")</f>
        <v>-</v>
      </c>
      <c r="V158" s="86" t="str">
        <f>IFERROR(VLOOKUP(T158,Database!$A$2:$L$175,6,FALSE),"-")</f>
        <v>-</v>
      </c>
      <c r="W158" s="90" t="str">
        <f>IFERROR(VLOOKUP(T158,Database!$A$2:$L$175,9,FALSE),"-")</f>
        <v>-</v>
      </c>
      <c r="X158" s="152" t="str">
        <f>IFERROR(VLOOKUP(T158,Database!$A$2:$S$175,19,FALSE),"-")</f>
        <v>-</v>
      </c>
      <c r="Y158" s="103" t="str">
        <f>IF(AND(D158="Y",booking!T158&lt;&gt;booking!U158,booking!U158&gt;0),booking!U158,"-")</f>
        <v>-</v>
      </c>
      <c r="Z158" s="87" t="str">
        <f>IFERROR(VLOOKUP(Y158,Database!$A$2:$L$175,8,FALSE),"-")</f>
        <v>-</v>
      </c>
      <c r="AA158" s="87" t="str">
        <f>IFERROR(VLOOKUP(Y158,Database!$A$2:$L$175,6,FALSE),"-")</f>
        <v>-</v>
      </c>
      <c r="AB158" s="99" t="str">
        <f>IFERROR(VLOOKUP(Y158,Database!$A$2:$L$175,9,FALSE),"-")</f>
        <v>-</v>
      </c>
      <c r="AC158" s="9" t="str">
        <f>IFERROR(VLOOKUP(Y158,Database!$A$2:$S$175,19,FALSE),"-")</f>
        <v>-</v>
      </c>
    </row>
    <row r="159" spans="1:29" ht="15" customHeight="1" thickBot="1" x14ac:dyDescent="0.4">
      <c r="A159" s="95" t="str">
        <f>rengøring!A159</f>
        <v>torsdag</v>
      </c>
      <c r="B159" s="93">
        <v>46660</v>
      </c>
      <c r="C159" s="10"/>
      <c r="D159" s="96" t="str">
        <f>IF(booking!AB159&gt;0,"Y","-")</f>
        <v>-</v>
      </c>
      <c r="E159" s="102" t="str">
        <f>IF(AND(D159="Y",booking!D159&lt;&gt;booking!E159,booking!E159&gt;0),booking!E159,"-")</f>
        <v>-</v>
      </c>
      <c r="F159" s="86" t="str">
        <f>IFERROR(VLOOKUP(E159,Database!$A$2:$L$175,8,FALSE),"-")</f>
        <v>-</v>
      </c>
      <c r="G159" s="86" t="str">
        <f>IFERROR(VLOOKUP(E159,Database!$A$2:$L$175,6,FALSE),"-")</f>
        <v>-</v>
      </c>
      <c r="H159" s="100" t="str">
        <f>IFERROR(VLOOKUP(E159,Database!$A$2:$L$175,9,FALSE),"-")</f>
        <v>-</v>
      </c>
      <c r="I159" s="120" t="str">
        <f>IFERROR(VLOOKUP(E159,Database!$A$2:$S$175,19,FALSE),"-")</f>
        <v>-</v>
      </c>
      <c r="J159" s="103" t="str">
        <f>IF(AND(D159="Y",booking!H159&lt;&gt;booking!I159,booking!I159&gt;0),booking!I159,"-")</f>
        <v>-</v>
      </c>
      <c r="K159" s="86" t="str">
        <f>IFERROR(VLOOKUP(J159,Database!$A$2:$L$175,8,FALSE),"-")</f>
        <v>-</v>
      </c>
      <c r="L159" s="86" t="str">
        <f>IFERROR(VLOOKUP(J159,Database!$A$2:$L$175,6,FALSE),"-")</f>
        <v>-</v>
      </c>
      <c r="M159" s="100" t="str">
        <f>IFERROR(VLOOKUP(J159,Database!$A$2:$L$175,9,FALSE),"-")</f>
        <v>-</v>
      </c>
      <c r="N159" s="152" t="str">
        <f>IFERROR(VLOOKUP(J159,Database!$A$2:$S$175,19,FALSE),"-")</f>
        <v>-</v>
      </c>
      <c r="O159" s="103" t="str">
        <f>IF(AND(D159="Y",booking!L159&lt;&gt;booking!M159,booking!M159&gt;0),booking!M159,"-")</f>
        <v>-</v>
      </c>
      <c r="P159" s="86" t="str">
        <f>IFERROR(VLOOKUP(O159,Database!$A$2:$L$175,8,FALSE),"-")</f>
        <v>-</v>
      </c>
      <c r="Q159" s="86" t="str">
        <f>IFERROR(VLOOKUP(O159,Database!$A$2:$L$175,6,FALSE),"-")</f>
        <v>-</v>
      </c>
      <c r="R159" s="90" t="str">
        <f>IFERROR(VLOOKUP(O159,Database!$A$2:$L$175,9,FALSE),"-")</f>
        <v>-</v>
      </c>
      <c r="S159" s="152" t="str">
        <f>IFERROR(VLOOKUP(O159,Database!$A$2:$S$175,19,FALSE),"-")</f>
        <v>-</v>
      </c>
      <c r="T159" s="104" t="str">
        <f>IF(AND(D159="Y",booking!P159&lt;&gt;booking!Q159,booking!Q159&gt;0),booking!Q159,"-")</f>
        <v>-</v>
      </c>
      <c r="U159" s="86" t="str">
        <f>IFERROR(VLOOKUP(T159,Database!$A$2:$L$175,8,FALSE),"-")</f>
        <v>-</v>
      </c>
      <c r="V159" s="86" t="str">
        <f>IFERROR(VLOOKUP(T159,Database!$A$2:$L$175,6,FALSE),"-")</f>
        <v>-</v>
      </c>
      <c r="W159" s="90" t="str">
        <f>IFERROR(VLOOKUP(T159,Database!$A$2:$L$175,9,FALSE),"-")</f>
        <v>-</v>
      </c>
      <c r="X159" s="152" t="str">
        <f>IFERROR(VLOOKUP(T159,Database!$A$2:$S$175,19,FALSE),"-")</f>
        <v>-</v>
      </c>
      <c r="Y159" s="103" t="str">
        <f>IF(AND(D159="Y",booking!T159&lt;&gt;booking!U159,booking!U159&gt;0),booking!U159,"-")</f>
        <v>-</v>
      </c>
      <c r="Z159" s="87" t="str">
        <f>IFERROR(VLOOKUP(Y159,Database!$A$2:$L$175,8,FALSE),"-")</f>
        <v>-</v>
      </c>
      <c r="AA159" s="87" t="str">
        <f>IFERROR(VLOOKUP(Y159,Database!$A$2:$L$175,6,FALSE),"-")</f>
        <v>-</v>
      </c>
      <c r="AB159" s="99" t="str">
        <f>IFERROR(VLOOKUP(Y159,Database!$A$2:$L$175,9,FALSE),"-")</f>
        <v>-</v>
      </c>
      <c r="AC159" s="9" t="str">
        <f>IFERROR(VLOOKUP(Y159,Database!$A$2:$S$175,19,FALSE),"-")</f>
        <v>-</v>
      </c>
    </row>
    <row r="160" spans="1:29" ht="15" customHeight="1" thickBot="1" x14ac:dyDescent="0.4">
      <c r="A160" s="95" t="str">
        <f>rengøring!A160</f>
        <v>fredag</v>
      </c>
      <c r="B160" s="93">
        <v>46661</v>
      </c>
      <c r="C160" s="10"/>
      <c r="D160" s="96" t="str">
        <f>IF(booking!AB160&gt;0,"Y","-")</f>
        <v>-</v>
      </c>
      <c r="E160" s="102" t="str">
        <f>IF(AND(D160="Y",booking!D160&lt;&gt;booking!E160,booking!E160&gt;0),booking!E160,"-")</f>
        <v>-</v>
      </c>
      <c r="F160" s="86" t="str">
        <f>IFERROR(VLOOKUP(E160,Database!$A$2:$L$175,8,FALSE),"-")</f>
        <v>-</v>
      </c>
      <c r="G160" s="86" t="str">
        <f>IFERROR(VLOOKUP(E160,Database!$A$2:$L$175,6,FALSE),"-")</f>
        <v>-</v>
      </c>
      <c r="H160" s="100" t="str">
        <f>IFERROR(VLOOKUP(E160,Database!$A$2:$L$175,9,FALSE),"-")</f>
        <v>-</v>
      </c>
      <c r="I160" s="120" t="str">
        <f>IFERROR(VLOOKUP(E160,Database!$A$2:$S$175,19,FALSE),"-")</f>
        <v>-</v>
      </c>
      <c r="J160" s="103" t="str">
        <f>IF(AND(D160="Y",booking!H160&lt;&gt;booking!I160,booking!I160&gt;0),booking!I160,"-")</f>
        <v>-</v>
      </c>
      <c r="K160" s="86" t="str">
        <f>IFERROR(VLOOKUP(J160,Database!$A$2:$L$175,8,FALSE),"-")</f>
        <v>-</v>
      </c>
      <c r="L160" s="86" t="str">
        <f>IFERROR(VLOOKUP(J160,Database!$A$2:$L$175,6,FALSE),"-")</f>
        <v>-</v>
      </c>
      <c r="M160" s="100" t="str">
        <f>IFERROR(VLOOKUP(J160,Database!$A$2:$L$175,9,FALSE),"-")</f>
        <v>-</v>
      </c>
      <c r="N160" s="152" t="str">
        <f>IFERROR(VLOOKUP(J160,Database!$A$2:$S$175,19,FALSE),"-")</f>
        <v>-</v>
      </c>
      <c r="O160" s="103" t="str">
        <f>IF(AND(D160="Y",booking!L160&lt;&gt;booking!M160,booking!M160&gt;0),booking!M160,"-")</f>
        <v>-</v>
      </c>
      <c r="P160" s="86" t="str">
        <f>IFERROR(VLOOKUP(O160,Database!$A$2:$L$175,8,FALSE),"-")</f>
        <v>-</v>
      </c>
      <c r="Q160" s="86" t="str">
        <f>IFERROR(VLOOKUP(O160,Database!$A$2:$L$175,6,FALSE),"-")</f>
        <v>-</v>
      </c>
      <c r="R160" s="90" t="str">
        <f>IFERROR(VLOOKUP(O160,Database!$A$2:$L$175,9,FALSE),"-")</f>
        <v>-</v>
      </c>
      <c r="S160" s="152" t="str">
        <f>IFERROR(VLOOKUP(O160,Database!$A$2:$S$175,19,FALSE),"-")</f>
        <v>-</v>
      </c>
      <c r="T160" s="104" t="str">
        <f>IF(AND(D160="Y",booking!P160&lt;&gt;booking!Q160,booking!Q160&gt;0),booking!Q160,"-")</f>
        <v>-</v>
      </c>
      <c r="U160" s="86" t="str">
        <f>IFERROR(VLOOKUP(T160,Database!$A$2:$L$175,8,FALSE),"-")</f>
        <v>-</v>
      </c>
      <c r="V160" s="86" t="str">
        <f>IFERROR(VLOOKUP(T160,Database!$A$2:$L$175,6,FALSE),"-")</f>
        <v>-</v>
      </c>
      <c r="W160" s="90" t="str">
        <f>IFERROR(VLOOKUP(T160,Database!$A$2:$L$175,9,FALSE),"-")</f>
        <v>-</v>
      </c>
      <c r="X160" s="152" t="str">
        <f>IFERROR(VLOOKUP(T160,Database!$A$2:$S$175,19,FALSE),"-")</f>
        <v>-</v>
      </c>
      <c r="Y160" s="103" t="str">
        <f>IF(AND(D160="Y",booking!T160&lt;&gt;booking!U160,booking!U160&gt;0),booking!U160,"-")</f>
        <v>-</v>
      </c>
      <c r="Z160" s="87" t="str">
        <f>IFERROR(VLOOKUP(Y160,Database!$A$2:$L$175,8,FALSE),"-")</f>
        <v>-</v>
      </c>
      <c r="AA160" s="87" t="str">
        <f>IFERROR(VLOOKUP(Y160,Database!$A$2:$L$175,6,FALSE),"-")</f>
        <v>-</v>
      </c>
      <c r="AB160" s="99" t="str">
        <f>IFERROR(VLOOKUP(Y160,Database!$A$2:$L$175,9,FALSE),"-")</f>
        <v>-</v>
      </c>
      <c r="AC160" s="9" t="str">
        <f>IFERROR(VLOOKUP(Y160,Database!$A$2:$S$175,19,FALSE),"-")</f>
        <v>-</v>
      </c>
    </row>
    <row r="161" spans="1:29" ht="15" customHeight="1" thickBot="1" x14ac:dyDescent="0.4">
      <c r="A161" s="95" t="str">
        <f>rengøring!A161</f>
        <v>lørdag</v>
      </c>
      <c r="B161" s="93">
        <v>46662</v>
      </c>
      <c r="C161" s="10"/>
      <c r="D161" s="96" t="str">
        <f>IF(booking!AB161&gt;0,"Y","-")</f>
        <v>-</v>
      </c>
      <c r="E161" s="102" t="str">
        <f>IF(AND(D161="Y",booking!D161&lt;&gt;booking!E161,booking!E161&gt;0),booking!E161,"-")</f>
        <v>-</v>
      </c>
      <c r="F161" s="86" t="str">
        <f>IFERROR(VLOOKUP(E161,Database!$A$2:$L$175,8,FALSE),"-")</f>
        <v>-</v>
      </c>
      <c r="G161" s="86" t="str">
        <f>IFERROR(VLOOKUP(E161,Database!$A$2:$L$175,6,FALSE),"-")</f>
        <v>-</v>
      </c>
      <c r="H161" s="100" t="str">
        <f>IFERROR(VLOOKUP(E161,Database!$A$2:$L$175,9,FALSE),"-")</f>
        <v>-</v>
      </c>
      <c r="I161" s="120" t="str">
        <f>IFERROR(VLOOKUP(E161,Database!$A$2:$S$175,19,FALSE),"-")</f>
        <v>-</v>
      </c>
      <c r="J161" s="103" t="str">
        <f>IF(AND(D161="Y",booking!H161&lt;&gt;booking!I161,booking!I161&gt;0),booking!I161,"-")</f>
        <v>-</v>
      </c>
      <c r="K161" s="86" t="str">
        <f>IFERROR(VLOOKUP(J161,Database!$A$2:$L$175,8,FALSE),"-")</f>
        <v>-</v>
      </c>
      <c r="L161" s="86" t="str">
        <f>IFERROR(VLOOKUP(J161,Database!$A$2:$L$175,6,FALSE),"-")</f>
        <v>-</v>
      </c>
      <c r="M161" s="100" t="str">
        <f>IFERROR(VLOOKUP(J161,Database!$A$2:$L$175,9,FALSE),"-")</f>
        <v>-</v>
      </c>
      <c r="N161" s="152" t="str">
        <f>IFERROR(VLOOKUP(J161,Database!$A$2:$S$175,19,FALSE),"-")</f>
        <v>-</v>
      </c>
      <c r="O161" s="103" t="str">
        <f>IF(AND(D161="Y",booking!L161&lt;&gt;booking!M161,booking!M161&gt;0),booking!M161,"-")</f>
        <v>-</v>
      </c>
      <c r="P161" s="86" t="str">
        <f>IFERROR(VLOOKUP(O161,Database!$A$2:$L$175,8,FALSE),"-")</f>
        <v>-</v>
      </c>
      <c r="Q161" s="86" t="str">
        <f>IFERROR(VLOOKUP(O161,Database!$A$2:$L$175,6,FALSE),"-")</f>
        <v>-</v>
      </c>
      <c r="R161" s="90" t="str">
        <f>IFERROR(VLOOKUP(O161,Database!$A$2:$L$175,9,FALSE),"-")</f>
        <v>-</v>
      </c>
      <c r="S161" s="152" t="str">
        <f>IFERROR(VLOOKUP(O161,Database!$A$2:$S$175,19,FALSE),"-")</f>
        <v>-</v>
      </c>
      <c r="T161" s="104" t="str">
        <f>IF(AND(D161="Y",booking!P161&lt;&gt;booking!Q161,booking!Q161&gt;0),booking!Q161,"-")</f>
        <v>-</v>
      </c>
      <c r="U161" s="86" t="str">
        <f>IFERROR(VLOOKUP(T161,Database!$A$2:$L$175,8,FALSE),"-")</f>
        <v>-</v>
      </c>
      <c r="V161" s="86" t="str">
        <f>IFERROR(VLOOKUP(T161,Database!$A$2:$L$175,6,FALSE),"-")</f>
        <v>-</v>
      </c>
      <c r="W161" s="90" t="str">
        <f>IFERROR(VLOOKUP(T161,Database!$A$2:$L$175,9,FALSE),"-")</f>
        <v>-</v>
      </c>
      <c r="X161" s="152" t="str">
        <f>IFERROR(VLOOKUP(T161,Database!$A$2:$S$175,19,FALSE),"-")</f>
        <v>-</v>
      </c>
      <c r="Y161" s="103" t="str">
        <f>IF(AND(D161="Y",booking!T161&lt;&gt;booking!U161,booking!U161&gt;0),booking!U161,"-")</f>
        <v>-</v>
      </c>
      <c r="Z161" s="87" t="str">
        <f>IFERROR(VLOOKUP(Y161,Database!$A$2:$L$175,8,FALSE),"-")</f>
        <v>-</v>
      </c>
      <c r="AA161" s="87" t="str">
        <f>IFERROR(VLOOKUP(Y161,Database!$A$2:$L$175,6,FALSE),"-")</f>
        <v>-</v>
      </c>
      <c r="AB161" s="99" t="str">
        <f>IFERROR(VLOOKUP(Y161,Database!$A$2:$L$175,9,FALSE),"-")</f>
        <v>-</v>
      </c>
      <c r="AC161" s="9" t="str">
        <f>IFERROR(VLOOKUP(Y161,Database!$A$2:$S$175,19,FALSE),"-")</f>
        <v>-</v>
      </c>
    </row>
    <row r="162" spans="1:29" ht="15" customHeight="1" thickBot="1" x14ac:dyDescent="0.4">
      <c r="A162" s="95" t="str">
        <f>rengøring!A162</f>
        <v>søndag</v>
      </c>
      <c r="B162" s="93">
        <v>46663</v>
      </c>
      <c r="C162" s="10"/>
      <c r="D162" s="96" t="str">
        <f>IF(booking!AB162&gt;0,"Y","-")</f>
        <v>-</v>
      </c>
      <c r="E162" s="102" t="str">
        <f>IF(AND(D162="Y",booking!D162&lt;&gt;booking!E162,booking!E162&gt;0),booking!E162,"-")</f>
        <v>-</v>
      </c>
      <c r="F162" s="86" t="str">
        <f>IFERROR(VLOOKUP(E162,Database!$A$2:$L$175,8,FALSE),"-")</f>
        <v>-</v>
      </c>
      <c r="G162" s="86" t="str">
        <f>IFERROR(VLOOKUP(E162,Database!$A$2:$L$175,6,FALSE),"-")</f>
        <v>-</v>
      </c>
      <c r="H162" s="100" t="str">
        <f>IFERROR(VLOOKUP(E162,Database!$A$2:$L$175,9,FALSE),"-")</f>
        <v>-</v>
      </c>
      <c r="I162" s="120" t="str">
        <f>IFERROR(VLOOKUP(E162,Database!$A$2:$S$175,19,FALSE),"-")</f>
        <v>-</v>
      </c>
      <c r="J162" s="103" t="str">
        <f>IF(AND(D162="Y",booking!H162&lt;&gt;booking!I162,booking!I162&gt;0),booking!I162,"-")</f>
        <v>-</v>
      </c>
      <c r="K162" s="86" t="str">
        <f>IFERROR(VLOOKUP(J162,Database!$A$2:$L$175,8,FALSE),"-")</f>
        <v>-</v>
      </c>
      <c r="L162" s="86" t="str">
        <f>IFERROR(VLOOKUP(J162,Database!$A$2:$L$175,6,FALSE),"-")</f>
        <v>-</v>
      </c>
      <c r="M162" s="100" t="str">
        <f>IFERROR(VLOOKUP(J162,Database!$A$2:$L$175,9,FALSE),"-")</f>
        <v>-</v>
      </c>
      <c r="N162" s="152" t="str">
        <f>IFERROR(VLOOKUP(J162,Database!$A$2:$S$175,19,FALSE),"-")</f>
        <v>-</v>
      </c>
      <c r="O162" s="103" t="str">
        <f>IF(AND(D162="Y",booking!L162&lt;&gt;booking!M162,booking!M162&gt;0),booking!M162,"-")</f>
        <v>-</v>
      </c>
      <c r="P162" s="86" t="str">
        <f>IFERROR(VLOOKUP(O162,Database!$A$2:$L$175,8,FALSE),"-")</f>
        <v>-</v>
      </c>
      <c r="Q162" s="86" t="str">
        <f>IFERROR(VLOOKUP(O162,Database!$A$2:$L$175,6,FALSE),"-")</f>
        <v>-</v>
      </c>
      <c r="R162" s="90" t="str">
        <f>IFERROR(VLOOKUP(O162,Database!$A$2:$L$175,9,FALSE),"-")</f>
        <v>-</v>
      </c>
      <c r="S162" s="152" t="str">
        <f>IFERROR(VLOOKUP(O162,Database!$A$2:$S$175,19,FALSE),"-")</f>
        <v>-</v>
      </c>
      <c r="T162" s="104" t="str">
        <f>IF(AND(D162="Y",booking!P162&lt;&gt;booking!Q162,booking!Q162&gt;0),booking!Q162,"-")</f>
        <v>-</v>
      </c>
      <c r="U162" s="86" t="str">
        <f>IFERROR(VLOOKUP(T162,Database!$A$2:$L$175,8,FALSE),"-")</f>
        <v>-</v>
      </c>
      <c r="V162" s="86" t="str">
        <f>IFERROR(VLOOKUP(T162,Database!$A$2:$L$175,6,FALSE),"-")</f>
        <v>-</v>
      </c>
      <c r="W162" s="90" t="str">
        <f>IFERROR(VLOOKUP(T162,Database!$A$2:$L$175,9,FALSE),"-")</f>
        <v>-</v>
      </c>
      <c r="X162" s="152" t="str">
        <f>IFERROR(VLOOKUP(T162,Database!$A$2:$S$175,19,FALSE),"-")</f>
        <v>-</v>
      </c>
      <c r="Y162" s="103" t="str">
        <f>IF(AND(D162="Y",booking!T162&lt;&gt;booking!U162,booking!U162&gt;0),booking!U162,"-")</f>
        <v>-</v>
      </c>
      <c r="Z162" s="87" t="str">
        <f>IFERROR(VLOOKUP(Y162,Database!$A$2:$L$175,8,FALSE),"-")</f>
        <v>-</v>
      </c>
      <c r="AA162" s="87" t="str">
        <f>IFERROR(VLOOKUP(Y162,Database!$A$2:$L$175,6,FALSE),"-")</f>
        <v>-</v>
      </c>
      <c r="AB162" s="99" t="str">
        <f>IFERROR(VLOOKUP(Y162,Database!$A$2:$L$175,9,FALSE),"-")</f>
        <v>-</v>
      </c>
      <c r="AC162" s="9" t="str">
        <f>IFERROR(VLOOKUP(Y162,Database!$A$2:$S$175,19,FALSE),"-")</f>
        <v>-</v>
      </c>
    </row>
    <row r="163" spans="1:29" ht="15" customHeight="1" thickBot="1" x14ac:dyDescent="0.4">
      <c r="A163" s="95" t="str">
        <f>rengøring!A163</f>
        <v>mandag</v>
      </c>
      <c r="B163" s="93">
        <v>46664</v>
      </c>
      <c r="C163" s="10"/>
      <c r="D163" s="96" t="str">
        <f>IF(booking!AB163&gt;0,"Y","-")</f>
        <v>-</v>
      </c>
      <c r="E163" s="102" t="str">
        <f>IF(AND(D163="Y",booking!D163&lt;&gt;booking!E163,booking!E163&gt;0),booking!E163,"-")</f>
        <v>-</v>
      </c>
      <c r="F163" s="86" t="str">
        <f>IFERROR(VLOOKUP(E163,Database!$A$2:$L$175,8,FALSE),"-")</f>
        <v>-</v>
      </c>
      <c r="G163" s="86" t="str">
        <f>IFERROR(VLOOKUP(E163,Database!$A$2:$L$175,6,FALSE),"-")</f>
        <v>-</v>
      </c>
      <c r="H163" s="100" t="str">
        <f>IFERROR(VLOOKUP(E163,Database!$A$2:$L$175,9,FALSE),"-")</f>
        <v>-</v>
      </c>
      <c r="I163" s="120" t="str">
        <f>IFERROR(VLOOKUP(E163,Database!$A$2:$S$175,19,FALSE),"-")</f>
        <v>-</v>
      </c>
      <c r="J163" s="103" t="str">
        <f>IF(AND(D163="Y",booking!H163&lt;&gt;booking!I163,booking!I163&gt;0),booking!I163,"-")</f>
        <v>-</v>
      </c>
      <c r="K163" s="86" t="str">
        <f>IFERROR(VLOOKUP(J163,Database!$A$2:$L$175,8,FALSE),"-")</f>
        <v>-</v>
      </c>
      <c r="L163" s="86" t="str">
        <f>IFERROR(VLOOKUP(J163,Database!$A$2:$L$175,6,FALSE),"-")</f>
        <v>-</v>
      </c>
      <c r="M163" s="100" t="str">
        <f>IFERROR(VLOOKUP(J163,Database!$A$2:$L$175,9,FALSE),"-")</f>
        <v>-</v>
      </c>
      <c r="N163" s="152" t="str">
        <f>IFERROR(VLOOKUP(J163,Database!$A$2:$S$175,19,FALSE),"-")</f>
        <v>-</v>
      </c>
      <c r="O163" s="103" t="str">
        <f>IF(AND(D163="Y",booking!L163&lt;&gt;booking!M163,booking!M163&gt;0),booking!M163,"-")</f>
        <v>-</v>
      </c>
      <c r="P163" s="86" t="str">
        <f>IFERROR(VLOOKUP(O163,Database!$A$2:$L$175,8,FALSE),"-")</f>
        <v>-</v>
      </c>
      <c r="Q163" s="86" t="str">
        <f>IFERROR(VLOOKUP(O163,Database!$A$2:$L$175,6,FALSE),"-")</f>
        <v>-</v>
      </c>
      <c r="R163" s="90" t="str">
        <f>IFERROR(VLOOKUP(O163,Database!$A$2:$L$175,9,FALSE),"-")</f>
        <v>-</v>
      </c>
      <c r="S163" s="152" t="str">
        <f>IFERROR(VLOOKUP(O163,Database!$A$2:$S$175,19,FALSE),"-")</f>
        <v>-</v>
      </c>
      <c r="T163" s="104" t="str">
        <f>IF(AND(D163="Y",booking!P163&lt;&gt;booking!Q163,booking!Q163&gt;0),booking!Q163,"-")</f>
        <v>-</v>
      </c>
      <c r="U163" s="86" t="str">
        <f>IFERROR(VLOOKUP(T163,Database!$A$2:$L$175,8,FALSE),"-")</f>
        <v>-</v>
      </c>
      <c r="V163" s="86" t="str">
        <f>IFERROR(VLOOKUP(T163,Database!$A$2:$L$175,6,FALSE),"-")</f>
        <v>-</v>
      </c>
      <c r="W163" s="90" t="str">
        <f>IFERROR(VLOOKUP(T163,Database!$A$2:$L$175,9,FALSE),"-")</f>
        <v>-</v>
      </c>
      <c r="X163" s="152" t="str">
        <f>IFERROR(VLOOKUP(T163,Database!$A$2:$S$175,19,FALSE),"-")</f>
        <v>-</v>
      </c>
      <c r="Y163" s="103" t="str">
        <f>IF(AND(D163="Y",booking!T163&lt;&gt;booking!U163,booking!U163&gt;0),booking!U163,"-")</f>
        <v>-</v>
      </c>
      <c r="Z163" s="87" t="str">
        <f>IFERROR(VLOOKUP(Y163,Database!$A$2:$L$175,8,FALSE),"-")</f>
        <v>-</v>
      </c>
      <c r="AA163" s="87" t="str">
        <f>IFERROR(VLOOKUP(Y163,Database!$A$2:$L$175,6,FALSE),"-")</f>
        <v>-</v>
      </c>
      <c r="AB163" s="99" t="str">
        <f>IFERROR(VLOOKUP(Y163,Database!$A$2:$L$175,9,FALSE),"-")</f>
        <v>-</v>
      </c>
      <c r="AC163" s="9" t="str">
        <f>IFERROR(VLOOKUP(Y163,Database!$A$2:$S$175,19,FALSE),"-")</f>
        <v>-</v>
      </c>
    </row>
    <row r="164" spans="1:29" ht="15" customHeight="1" thickBot="1" x14ac:dyDescent="0.4">
      <c r="A164" s="95" t="str">
        <f>rengøring!A164</f>
        <v>tirsdag</v>
      </c>
      <c r="B164" s="93">
        <v>46665</v>
      </c>
      <c r="C164" s="10"/>
      <c r="D164" s="96" t="str">
        <f>IF(booking!AB164&gt;0,"Y","-")</f>
        <v>-</v>
      </c>
      <c r="E164" s="102" t="str">
        <f>IF(AND(D164="Y",booking!D164&lt;&gt;booking!E164,booking!E164&gt;0),booking!E164,"-")</f>
        <v>-</v>
      </c>
      <c r="F164" s="86" t="str">
        <f>IFERROR(VLOOKUP(E164,Database!$A$2:$L$175,8,FALSE),"-")</f>
        <v>-</v>
      </c>
      <c r="G164" s="86" t="str">
        <f>IFERROR(VLOOKUP(E164,Database!$A$2:$L$175,6,FALSE),"-")</f>
        <v>-</v>
      </c>
      <c r="H164" s="100" t="str">
        <f>IFERROR(VLOOKUP(E164,Database!$A$2:$L$175,9,FALSE),"-")</f>
        <v>-</v>
      </c>
      <c r="I164" s="120" t="str">
        <f>IFERROR(VLOOKUP(E164,Database!$A$2:$S$175,19,FALSE),"-")</f>
        <v>-</v>
      </c>
      <c r="J164" s="103" t="str">
        <f>IF(AND(D164="Y",booking!H164&lt;&gt;booking!I164,booking!I164&gt;0),booking!I164,"-")</f>
        <v>-</v>
      </c>
      <c r="K164" s="86" t="str">
        <f>IFERROR(VLOOKUP(J164,Database!$A$2:$L$175,8,FALSE),"-")</f>
        <v>-</v>
      </c>
      <c r="L164" s="86" t="str">
        <f>IFERROR(VLOOKUP(J164,Database!$A$2:$L$175,6,FALSE),"-")</f>
        <v>-</v>
      </c>
      <c r="M164" s="100" t="str">
        <f>IFERROR(VLOOKUP(J164,Database!$A$2:$L$175,9,FALSE),"-")</f>
        <v>-</v>
      </c>
      <c r="N164" s="152" t="str">
        <f>IFERROR(VLOOKUP(J164,Database!$A$2:$S$175,19,FALSE),"-")</f>
        <v>-</v>
      </c>
      <c r="O164" s="103" t="str">
        <f>IF(AND(D164="Y",booking!L164&lt;&gt;booking!M164,booking!M164&gt;0),booking!M164,"-")</f>
        <v>-</v>
      </c>
      <c r="P164" s="86" t="str">
        <f>IFERROR(VLOOKUP(O164,Database!$A$2:$L$175,8,FALSE),"-")</f>
        <v>-</v>
      </c>
      <c r="Q164" s="86" t="str">
        <f>IFERROR(VLOOKUP(O164,Database!$A$2:$L$175,6,FALSE),"-")</f>
        <v>-</v>
      </c>
      <c r="R164" s="90" t="str">
        <f>IFERROR(VLOOKUP(O164,Database!$A$2:$L$175,9,FALSE),"-")</f>
        <v>-</v>
      </c>
      <c r="S164" s="152" t="str">
        <f>IFERROR(VLOOKUP(O164,Database!$A$2:$S$175,19,FALSE),"-")</f>
        <v>-</v>
      </c>
      <c r="T164" s="104" t="str">
        <f>IF(AND(D164="Y",booking!P164&lt;&gt;booking!Q164,booking!Q164&gt;0),booking!Q164,"-")</f>
        <v>-</v>
      </c>
      <c r="U164" s="86" t="str">
        <f>IFERROR(VLOOKUP(T164,Database!$A$2:$L$175,8,FALSE),"-")</f>
        <v>-</v>
      </c>
      <c r="V164" s="86" t="str">
        <f>IFERROR(VLOOKUP(T164,Database!$A$2:$L$175,6,FALSE),"-")</f>
        <v>-</v>
      </c>
      <c r="W164" s="90" t="str">
        <f>IFERROR(VLOOKUP(T164,Database!$A$2:$L$175,9,FALSE),"-")</f>
        <v>-</v>
      </c>
      <c r="X164" s="152" t="str">
        <f>IFERROR(VLOOKUP(T164,Database!$A$2:$S$175,19,FALSE),"-")</f>
        <v>-</v>
      </c>
      <c r="Y164" s="103" t="str">
        <f>IF(AND(D164="Y",booking!T164&lt;&gt;booking!U164,booking!U164&gt;0),booking!U164,"-")</f>
        <v>-</v>
      </c>
      <c r="Z164" s="87" t="str">
        <f>IFERROR(VLOOKUP(Y164,Database!$A$2:$L$175,8,FALSE),"-")</f>
        <v>-</v>
      </c>
      <c r="AA164" s="87" t="str">
        <f>IFERROR(VLOOKUP(Y164,Database!$A$2:$L$175,6,FALSE),"-")</f>
        <v>-</v>
      </c>
      <c r="AB164" s="99" t="str">
        <f>IFERROR(VLOOKUP(Y164,Database!$A$2:$L$175,9,FALSE),"-")</f>
        <v>-</v>
      </c>
      <c r="AC164" s="9" t="str">
        <f>IFERROR(VLOOKUP(Y164,Database!$A$2:$S$175,19,FALSE),"-")</f>
        <v>-</v>
      </c>
    </row>
    <row r="165" spans="1:29" ht="15" customHeight="1" thickBot="1" x14ac:dyDescent="0.4">
      <c r="A165" s="95" t="str">
        <f>rengøring!A165</f>
        <v>onsdag</v>
      </c>
      <c r="B165" s="93">
        <v>46666</v>
      </c>
      <c r="C165" s="10"/>
      <c r="D165" s="96" t="str">
        <f>IF(booking!AB165&gt;0,"Y","-")</f>
        <v>-</v>
      </c>
      <c r="E165" s="102" t="str">
        <f>IF(AND(D165="Y",booking!D165&lt;&gt;booking!E165,booking!E165&gt;0),booking!E165,"-")</f>
        <v>-</v>
      </c>
      <c r="F165" s="86" t="str">
        <f>IFERROR(VLOOKUP(E165,Database!$A$2:$L$175,8,FALSE),"-")</f>
        <v>-</v>
      </c>
      <c r="G165" s="86" t="str">
        <f>IFERROR(VLOOKUP(E165,Database!$A$2:$L$175,6,FALSE),"-")</f>
        <v>-</v>
      </c>
      <c r="H165" s="100" t="str">
        <f>IFERROR(VLOOKUP(E165,Database!$A$2:$L$175,9,FALSE),"-")</f>
        <v>-</v>
      </c>
      <c r="I165" s="120" t="str">
        <f>IFERROR(VLOOKUP(E165,Database!$A$2:$S$175,19,FALSE),"-")</f>
        <v>-</v>
      </c>
      <c r="J165" s="103" t="str">
        <f>IF(AND(D165="Y",booking!H165&lt;&gt;booking!I165,booking!I165&gt;0),booking!I165,"-")</f>
        <v>-</v>
      </c>
      <c r="K165" s="86" t="str">
        <f>IFERROR(VLOOKUP(J165,Database!$A$2:$L$175,8,FALSE),"-")</f>
        <v>-</v>
      </c>
      <c r="L165" s="86" t="str">
        <f>IFERROR(VLOOKUP(J165,Database!$A$2:$L$175,6,FALSE),"-")</f>
        <v>-</v>
      </c>
      <c r="M165" s="100" t="str">
        <f>IFERROR(VLOOKUP(J165,Database!$A$2:$L$175,9,FALSE),"-")</f>
        <v>-</v>
      </c>
      <c r="N165" s="152" t="str">
        <f>IFERROR(VLOOKUP(J165,Database!$A$2:$S$175,19,FALSE),"-")</f>
        <v>-</v>
      </c>
      <c r="O165" s="103" t="str">
        <f>IF(AND(D165="Y",booking!L165&lt;&gt;booking!M165,booking!M165&gt;0),booking!M165,"-")</f>
        <v>-</v>
      </c>
      <c r="P165" s="86" t="str">
        <f>IFERROR(VLOOKUP(O165,Database!$A$2:$L$175,8,FALSE),"-")</f>
        <v>-</v>
      </c>
      <c r="Q165" s="86" t="str">
        <f>IFERROR(VLOOKUP(O165,Database!$A$2:$L$175,6,FALSE),"-")</f>
        <v>-</v>
      </c>
      <c r="R165" s="90" t="str">
        <f>IFERROR(VLOOKUP(O165,Database!$A$2:$L$175,9,FALSE),"-")</f>
        <v>-</v>
      </c>
      <c r="S165" s="152" t="str">
        <f>IFERROR(VLOOKUP(O165,Database!$A$2:$S$175,19,FALSE),"-")</f>
        <v>-</v>
      </c>
      <c r="T165" s="104" t="str">
        <f>IF(AND(D165="Y",booking!P165&lt;&gt;booking!Q165,booking!Q165&gt;0),booking!Q165,"-")</f>
        <v>-</v>
      </c>
      <c r="U165" s="86" t="str">
        <f>IFERROR(VLOOKUP(T165,Database!$A$2:$L$175,8,FALSE),"-")</f>
        <v>-</v>
      </c>
      <c r="V165" s="86" t="str">
        <f>IFERROR(VLOOKUP(T165,Database!$A$2:$L$175,6,FALSE),"-")</f>
        <v>-</v>
      </c>
      <c r="W165" s="90" t="str">
        <f>IFERROR(VLOOKUP(T165,Database!$A$2:$L$175,9,FALSE),"-")</f>
        <v>-</v>
      </c>
      <c r="X165" s="152" t="str">
        <f>IFERROR(VLOOKUP(T165,Database!$A$2:$S$175,19,FALSE),"-")</f>
        <v>-</v>
      </c>
      <c r="Y165" s="103" t="str">
        <f>IF(AND(D165="Y",booking!T165&lt;&gt;booking!U165,booking!U165&gt;0),booking!U165,"-")</f>
        <v>-</v>
      </c>
      <c r="Z165" s="87" t="str">
        <f>IFERROR(VLOOKUP(Y165,Database!$A$2:$L$175,8,FALSE),"-")</f>
        <v>-</v>
      </c>
      <c r="AA165" s="87" t="str">
        <f>IFERROR(VLOOKUP(Y165,Database!$A$2:$L$175,6,FALSE),"-")</f>
        <v>-</v>
      </c>
      <c r="AB165" s="99" t="str">
        <f>IFERROR(VLOOKUP(Y165,Database!$A$2:$L$175,9,FALSE),"-")</f>
        <v>-</v>
      </c>
      <c r="AC165" s="9" t="str">
        <f>IFERROR(VLOOKUP(Y165,Database!$A$2:$S$175,19,FALSE),"-")</f>
        <v>-</v>
      </c>
    </row>
    <row r="166" spans="1:29" ht="15" customHeight="1" thickBot="1" x14ac:dyDescent="0.4">
      <c r="A166" s="95" t="str">
        <f>rengøring!A166</f>
        <v>torsdag</v>
      </c>
      <c r="B166" s="93">
        <v>46667</v>
      </c>
      <c r="C166" s="10"/>
      <c r="D166" s="96" t="str">
        <f>IF(booking!AB166&gt;0,"Y","-")</f>
        <v>-</v>
      </c>
      <c r="E166" s="102" t="str">
        <f>IF(AND(D166="Y",booking!D166&lt;&gt;booking!E166,booking!E166&gt;0),booking!E166,"-")</f>
        <v>-</v>
      </c>
      <c r="F166" s="86" t="str">
        <f>IFERROR(VLOOKUP(E166,Database!$A$2:$L$175,8,FALSE),"-")</f>
        <v>-</v>
      </c>
      <c r="G166" s="86" t="str">
        <f>IFERROR(VLOOKUP(E166,Database!$A$2:$L$175,6,FALSE),"-")</f>
        <v>-</v>
      </c>
      <c r="H166" s="100" t="str">
        <f>IFERROR(VLOOKUP(E166,Database!$A$2:$L$175,9,FALSE),"-")</f>
        <v>-</v>
      </c>
      <c r="I166" s="120" t="str">
        <f>IFERROR(VLOOKUP(E166,Database!$A$2:$S$175,19,FALSE),"-")</f>
        <v>-</v>
      </c>
      <c r="J166" s="103" t="str">
        <f>IF(AND(D166="Y",booking!H166&lt;&gt;booking!I166,booking!I166&gt;0),booking!I166,"-")</f>
        <v>-</v>
      </c>
      <c r="K166" s="86" t="str">
        <f>IFERROR(VLOOKUP(J166,Database!$A$2:$L$175,8,FALSE),"-")</f>
        <v>-</v>
      </c>
      <c r="L166" s="86" t="str">
        <f>IFERROR(VLOOKUP(J166,Database!$A$2:$L$175,6,FALSE),"-")</f>
        <v>-</v>
      </c>
      <c r="M166" s="100" t="str">
        <f>IFERROR(VLOOKUP(J166,Database!$A$2:$L$175,9,FALSE),"-")</f>
        <v>-</v>
      </c>
      <c r="N166" s="152" t="str">
        <f>IFERROR(VLOOKUP(J166,Database!$A$2:$S$175,19,FALSE),"-")</f>
        <v>-</v>
      </c>
      <c r="O166" s="103" t="str">
        <f>IF(AND(D166="Y",booking!L166&lt;&gt;booking!M166,booking!M166&gt;0),booking!M166,"-")</f>
        <v>-</v>
      </c>
      <c r="P166" s="86" t="str">
        <f>IFERROR(VLOOKUP(O166,Database!$A$2:$L$175,8,FALSE),"-")</f>
        <v>-</v>
      </c>
      <c r="Q166" s="86" t="str">
        <f>IFERROR(VLOOKUP(O166,Database!$A$2:$L$175,6,FALSE),"-")</f>
        <v>-</v>
      </c>
      <c r="R166" s="90" t="str">
        <f>IFERROR(VLOOKUP(O166,Database!$A$2:$L$175,9,FALSE),"-")</f>
        <v>-</v>
      </c>
      <c r="S166" s="152" t="str">
        <f>IFERROR(VLOOKUP(O166,Database!$A$2:$S$175,19,FALSE),"-")</f>
        <v>-</v>
      </c>
      <c r="T166" s="104" t="str">
        <f>IF(AND(D166="Y",booking!P166&lt;&gt;booking!Q166,booking!Q166&gt;0),booking!Q166,"-")</f>
        <v>-</v>
      </c>
      <c r="U166" s="86" t="str">
        <f>IFERROR(VLOOKUP(T166,Database!$A$2:$L$175,8,FALSE),"-")</f>
        <v>-</v>
      </c>
      <c r="V166" s="86" t="str">
        <f>IFERROR(VLOOKUP(T166,Database!$A$2:$L$175,6,FALSE),"-")</f>
        <v>-</v>
      </c>
      <c r="W166" s="90" t="str">
        <f>IFERROR(VLOOKUP(T166,Database!$A$2:$L$175,9,FALSE),"-")</f>
        <v>-</v>
      </c>
      <c r="X166" s="152" t="str">
        <f>IFERROR(VLOOKUP(T166,Database!$A$2:$S$175,19,FALSE),"-")</f>
        <v>-</v>
      </c>
      <c r="Y166" s="103" t="str">
        <f>IF(AND(D166="Y",booking!T166&lt;&gt;booking!U166,booking!U166&gt;0),booking!U166,"-")</f>
        <v>-</v>
      </c>
      <c r="Z166" s="87" t="str">
        <f>IFERROR(VLOOKUP(Y166,Database!$A$2:$L$175,8,FALSE),"-")</f>
        <v>-</v>
      </c>
      <c r="AA166" s="87" t="str">
        <f>IFERROR(VLOOKUP(Y166,Database!$A$2:$L$175,6,FALSE),"-")</f>
        <v>-</v>
      </c>
      <c r="AB166" s="99" t="str">
        <f>IFERROR(VLOOKUP(Y166,Database!$A$2:$L$175,9,FALSE),"-")</f>
        <v>-</v>
      </c>
      <c r="AC166" s="9" t="str">
        <f>IFERROR(VLOOKUP(Y166,Database!$A$2:$S$175,19,FALSE),"-")</f>
        <v>-</v>
      </c>
    </row>
    <row r="167" spans="1:29" ht="15" customHeight="1" thickBot="1" x14ac:dyDescent="0.4">
      <c r="A167" s="95" t="str">
        <f>rengøring!A167</f>
        <v>fredag</v>
      </c>
      <c r="B167" s="93">
        <v>46668</v>
      </c>
      <c r="C167" s="10"/>
      <c r="D167" s="96" t="str">
        <f>IF(booking!AB167&gt;0,"Y","-")</f>
        <v>-</v>
      </c>
      <c r="E167" s="102" t="str">
        <f>IF(AND(D167="Y",booking!D167&lt;&gt;booking!E167,booking!E167&gt;0),booking!E167,"-")</f>
        <v>-</v>
      </c>
      <c r="F167" s="86" t="str">
        <f>IFERROR(VLOOKUP(E167,Database!$A$2:$L$175,8,FALSE),"-")</f>
        <v>-</v>
      </c>
      <c r="G167" s="86" t="str">
        <f>IFERROR(VLOOKUP(E167,Database!$A$2:$L$175,6,FALSE),"-")</f>
        <v>-</v>
      </c>
      <c r="H167" s="100" t="str">
        <f>IFERROR(VLOOKUP(E167,Database!$A$2:$L$175,9,FALSE),"-")</f>
        <v>-</v>
      </c>
      <c r="I167" s="120" t="str">
        <f>IFERROR(VLOOKUP(E167,Database!$A$2:$S$175,19,FALSE),"-")</f>
        <v>-</v>
      </c>
      <c r="J167" s="103" t="str">
        <f>IF(AND(D167="Y",booking!H167&lt;&gt;booking!I167,booking!I167&gt;0),booking!I167,"-")</f>
        <v>-</v>
      </c>
      <c r="K167" s="86" t="str">
        <f>IFERROR(VLOOKUP(J167,Database!$A$2:$L$175,8,FALSE),"-")</f>
        <v>-</v>
      </c>
      <c r="L167" s="86" t="str">
        <f>IFERROR(VLOOKUP(J167,Database!$A$2:$L$175,6,FALSE),"-")</f>
        <v>-</v>
      </c>
      <c r="M167" s="100" t="str">
        <f>IFERROR(VLOOKUP(J167,Database!$A$2:$L$175,9,FALSE),"-")</f>
        <v>-</v>
      </c>
      <c r="N167" s="152" t="str">
        <f>IFERROR(VLOOKUP(J167,Database!$A$2:$S$175,19,FALSE),"-")</f>
        <v>-</v>
      </c>
      <c r="O167" s="103" t="str">
        <f>IF(AND(D167="Y",booking!L167&lt;&gt;booking!M167,booking!M167&gt;0),booking!M167,"-")</f>
        <v>-</v>
      </c>
      <c r="P167" s="86" t="str">
        <f>IFERROR(VLOOKUP(O167,Database!$A$2:$L$175,8,FALSE),"-")</f>
        <v>-</v>
      </c>
      <c r="Q167" s="86" t="str">
        <f>IFERROR(VLOOKUP(O167,Database!$A$2:$L$175,6,FALSE),"-")</f>
        <v>-</v>
      </c>
      <c r="R167" s="90" t="str">
        <f>IFERROR(VLOOKUP(O167,Database!$A$2:$L$175,9,FALSE),"-")</f>
        <v>-</v>
      </c>
      <c r="S167" s="152" t="str">
        <f>IFERROR(VLOOKUP(O167,Database!$A$2:$S$175,19,FALSE),"-")</f>
        <v>-</v>
      </c>
      <c r="T167" s="104" t="str">
        <f>IF(AND(D167="Y",booking!P167&lt;&gt;booking!Q167,booking!Q167&gt;0),booking!Q167,"-")</f>
        <v>-</v>
      </c>
      <c r="U167" s="86" t="str">
        <f>IFERROR(VLOOKUP(T167,Database!$A$2:$L$175,8,FALSE),"-")</f>
        <v>-</v>
      </c>
      <c r="V167" s="86" t="str">
        <f>IFERROR(VLOOKUP(T167,Database!$A$2:$L$175,6,FALSE),"-")</f>
        <v>-</v>
      </c>
      <c r="W167" s="90" t="str">
        <f>IFERROR(VLOOKUP(T167,Database!$A$2:$L$175,9,FALSE),"-")</f>
        <v>-</v>
      </c>
      <c r="X167" s="152" t="str">
        <f>IFERROR(VLOOKUP(T167,Database!$A$2:$S$175,19,FALSE),"-")</f>
        <v>-</v>
      </c>
      <c r="Y167" s="103" t="str">
        <f>IF(AND(D167="Y",booking!T167&lt;&gt;booking!U167,booking!U167&gt;0),booking!U167,"-")</f>
        <v>-</v>
      </c>
      <c r="Z167" s="87" t="str">
        <f>IFERROR(VLOOKUP(Y167,Database!$A$2:$L$175,8,FALSE),"-")</f>
        <v>-</v>
      </c>
      <c r="AA167" s="87" t="str">
        <f>IFERROR(VLOOKUP(Y167,Database!$A$2:$L$175,6,FALSE),"-")</f>
        <v>-</v>
      </c>
      <c r="AB167" s="99" t="str">
        <f>IFERROR(VLOOKUP(Y167,Database!$A$2:$L$175,9,FALSE),"-")</f>
        <v>-</v>
      </c>
      <c r="AC167" s="9" t="str">
        <f>IFERROR(VLOOKUP(Y167,Database!$A$2:$S$175,19,FALSE),"-")</f>
        <v>-</v>
      </c>
    </row>
    <row r="168" spans="1:29" ht="15" customHeight="1" thickBot="1" x14ac:dyDescent="0.4">
      <c r="A168" s="95" t="str">
        <f>rengøring!A168</f>
        <v>lørdag</v>
      </c>
      <c r="B168" s="93">
        <v>46669</v>
      </c>
      <c r="C168" s="10"/>
      <c r="D168" s="96" t="str">
        <f>IF(booking!AB168&gt;0,"Y","-")</f>
        <v>-</v>
      </c>
      <c r="E168" s="102" t="str">
        <f>IF(AND(D168="Y",booking!D168&lt;&gt;booking!E168,booking!E168&gt;0),booking!E168,"-")</f>
        <v>-</v>
      </c>
      <c r="F168" s="86" t="str">
        <f>IFERROR(VLOOKUP(E168,Database!$A$2:$L$175,8,FALSE),"-")</f>
        <v>-</v>
      </c>
      <c r="G168" s="86" t="str">
        <f>IFERROR(VLOOKUP(E168,Database!$A$2:$L$175,6,FALSE),"-")</f>
        <v>-</v>
      </c>
      <c r="H168" s="100" t="str">
        <f>IFERROR(VLOOKUP(E168,Database!$A$2:$L$175,9,FALSE),"-")</f>
        <v>-</v>
      </c>
      <c r="I168" s="120" t="str">
        <f>IFERROR(VLOOKUP(E168,Database!$A$2:$S$175,19,FALSE),"-")</f>
        <v>-</v>
      </c>
      <c r="J168" s="103" t="str">
        <f>IF(AND(D168="Y",booking!H168&lt;&gt;booking!I168,booking!I168&gt;0),booking!I168,"-")</f>
        <v>-</v>
      </c>
      <c r="K168" s="86" t="str">
        <f>IFERROR(VLOOKUP(J168,Database!$A$2:$L$175,8,FALSE),"-")</f>
        <v>-</v>
      </c>
      <c r="L168" s="86" t="str">
        <f>IFERROR(VLOOKUP(J168,Database!$A$2:$L$175,6,FALSE),"-")</f>
        <v>-</v>
      </c>
      <c r="M168" s="100" t="str">
        <f>IFERROR(VLOOKUP(J168,Database!$A$2:$L$175,9,FALSE),"-")</f>
        <v>-</v>
      </c>
      <c r="N168" s="152" t="str">
        <f>IFERROR(VLOOKUP(J168,Database!$A$2:$S$175,19,FALSE),"-")</f>
        <v>-</v>
      </c>
      <c r="O168" s="103" t="str">
        <f>IF(AND(D168="Y",booking!L168&lt;&gt;booking!M168,booking!M168&gt;0),booking!M168,"-")</f>
        <v>-</v>
      </c>
      <c r="P168" s="86" t="str">
        <f>IFERROR(VLOOKUP(O168,Database!$A$2:$L$175,8,FALSE),"-")</f>
        <v>-</v>
      </c>
      <c r="Q168" s="86" t="str">
        <f>IFERROR(VLOOKUP(O168,Database!$A$2:$L$175,6,FALSE),"-")</f>
        <v>-</v>
      </c>
      <c r="R168" s="90" t="str">
        <f>IFERROR(VLOOKUP(O168,Database!$A$2:$L$175,9,FALSE),"-")</f>
        <v>-</v>
      </c>
      <c r="S168" s="152" t="str">
        <f>IFERROR(VLOOKUP(O168,Database!$A$2:$S$175,19,FALSE),"-")</f>
        <v>-</v>
      </c>
      <c r="T168" s="104" t="str">
        <f>IF(AND(D168="Y",booking!P168&lt;&gt;booking!Q168,booking!Q168&gt;0),booking!Q168,"-")</f>
        <v>-</v>
      </c>
      <c r="U168" s="86" t="str">
        <f>IFERROR(VLOOKUP(T168,Database!$A$2:$L$175,8,FALSE),"-")</f>
        <v>-</v>
      </c>
      <c r="V168" s="86" t="str">
        <f>IFERROR(VLOOKUP(T168,Database!$A$2:$L$175,6,FALSE),"-")</f>
        <v>-</v>
      </c>
      <c r="W168" s="90" t="str">
        <f>IFERROR(VLOOKUP(T168,Database!$A$2:$L$175,9,FALSE),"-")</f>
        <v>-</v>
      </c>
      <c r="X168" s="152" t="str">
        <f>IFERROR(VLOOKUP(T168,Database!$A$2:$S$175,19,FALSE),"-")</f>
        <v>-</v>
      </c>
      <c r="Y168" s="103" t="str">
        <f>IF(AND(D168="Y",booking!T168&lt;&gt;booking!U168,booking!U168&gt;0),booking!U168,"-")</f>
        <v>-</v>
      </c>
      <c r="Z168" s="87" t="str">
        <f>IFERROR(VLOOKUP(Y168,Database!$A$2:$L$175,8,FALSE),"-")</f>
        <v>-</v>
      </c>
      <c r="AA168" s="87" t="str">
        <f>IFERROR(VLOOKUP(Y168,Database!$A$2:$L$175,6,FALSE),"-")</f>
        <v>-</v>
      </c>
      <c r="AB168" s="99" t="str">
        <f>IFERROR(VLOOKUP(Y168,Database!$A$2:$L$175,9,FALSE),"-")</f>
        <v>-</v>
      </c>
      <c r="AC168" s="9" t="str">
        <f>IFERROR(VLOOKUP(Y168,Database!$A$2:$S$175,19,FALSE),"-")</f>
        <v>-</v>
      </c>
    </row>
    <row r="169" spans="1:29" ht="15" customHeight="1" thickBot="1" x14ac:dyDescent="0.4">
      <c r="A169" s="95" t="str">
        <f>rengøring!A169</f>
        <v>søndag</v>
      </c>
      <c r="B169" s="93">
        <v>46670</v>
      </c>
      <c r="C169" s="10"/>
      <c r="D169" s="96" t="str">
        <f>IF(booking!AB169&gt;0,"Y","-")</f>
        <v>-</v>
      </c>
      <c r="E169" s="102" t="str">
        <f>IF(AND(D169="Y",booking!D169&lt;&gt;booking!E169,booking!E169&gt;0),booking!E169,"-")</f>
        <v>-</v>
      </c>
      <c r="F169" s="86" t="str">
        <f>IFERROR(VLOOKUP(E169,Database!$A$2:$L$175,8,FALSE),"-")</f>
        <v>-</v>
      </c>
      <c r="G169" s="86" t="str">
        <f>IFERROR(VLOOKUP(E169,Database!$A$2:$L$175,6,FALSE),"-")</f>
        <v>-</v>
      </c>
      <c r="H169" s="100" t="str">
        <f>IFERROR(VLOOKUP(E169,Database!$A$2:$L$175,9,FALSE),"-")</f>
        <v>-</v>
      </c>
      <c r="I169" s="120" t="str">
        <f>IFERROR(VLOOKUP(E169,Database!$A$2:$S$175,19,FALSE),"-")</f>
        <v>-</v>
      </c>
      <c r="J169" s="103" t="str">
        <f>IF(AND(D169="Y",booking!H169&lt;&gt;booking!I169,booking!I169&gt;0),booking!I169,"-")</f>
        <v>-</v>
      </c>
      <c r="K169" s="86" t="str">
        <f>IFERROR(VLOOKUP(J169,Database!$A$2:$L$175,8,FALSE),"-")</f>
        <v>-</v>
      </c>
      <c r="L169" s="86" t="str">
        <f>IFERROR(VLOOKUP(J169,Database!$A$2:$L$175,6,FALSE),"-")</f>
        <v>-</v>
      </c>
      <c r="M169" s="100" t="str">
        <f>IFERROR(VLOOKUP(J169,Database!$A$2:$L$175,9,FALSE),"-")</f>
        <v>-</v>
      </c>
      <c r="N169" s="152" t="str">
        <f>IFERROR(VLOOKUP(J169,Database!$A$2:$S$175,19,FALSE),"-")</f>
        <v>-</v>
      </c>
      <c r="O169" s="103" t="str">
        <f>IF(AND(D169="Y",booking!L169&lt;&gt;booking!M169,booking!M169&gt;0),booking!M169,"-")</f>
        <v>-</v>
      </c>
      <c r="P169" s="86" t="str">
        <f>IFERROR(VLOOKUP(O169,Database!$A$2:$L$175,8,FALSE),"-")</f>
        <v>-</v>
      </c>
      <c r="Q169" s="86" t="str">
        <f>IFERROR(VLOOKUP(O169,Database!$A$2:$L$175,6,FALSE),"-")</f>
        <v>-</v>
      </c>
      <c r="R169" s="90" t="str">
        <f>IFERROR(VLOOKUP(O169,Database!$A$2:$L$175,9,FALSE),"-")</f>
        <v>-</v>
      </c>
      <c r="S169" s="152" t="str">
        <f>IFERROR(VLOOKUP(O169,Database!$A$2:$S$175,19,FALSE),"-")</f>
        <v>-</v>
      </c>
      <c r="T169" s="104" t="str">
        <f>IF(AND(D169="Y",booking!P169&lt;&gt;booking!Q169,booking!Q169&gt;0),booking!Q169,"-")</f>
        <v>-</v>
      </c>
      <c r="U169" s="86" t="str">
        <f>IFERROR(VLOOKUP(T169,Database!$A$2:$L$175,8,FALSE),"-")</f>
        <v>-</v>
      </c>
      <c r="V169" s="86" t="str">
        <f>IFERROR(VLOOKUP(T169,Database!$A$2:$L$175,6,FALSE),"-")</f>
        <v>-</v>
      </c>
      <c r="W169" s="90" t="str">
        <f>IFERROR(VLOOKUP(T169,Database!$A$2:$L$175,9,FALSE),"-")</f>
        <v>-</v>
      </c>
      <c r="X169" s="152" t="str">
        <f>IFERROR(VLOOKUP(T169,Database!$A$2:$S$175,19,FALSE),"-")</f>
        <v>-</v>
      </c>
      <c r="Y169" s="103" t="str">
        <f>IF(AND(D169="Y",booking!T169&lt;&gt;booking!U169,booking!U169&gt;0),booking!U169,"-")</f>
        <v>-</v>
      </c>
      <c r="Z169" s="87" t="str">
        <f>IFERROR(VLOOKUP(Y169,Database!$A$2:$L$175,8,FALSE),"-")</f>
        <v>-</v>
      </c>
      <c r="AA169" s="87" t="str">
        <f>IFERROR(VLOOKUP(Y169,Database!$A$2:$L$175,6,FALSE),"-")</f>
        <v>-</v>
      </c>
      <c r="AB169" s="99" t="str">
        <f>IFERROR(VLOOKUP(Y169,Database!$A$2:$L$175,9,FALSE),"-")</f>
        <v>-</v>
      </c>
      <c r="AC169" s="9" t="str">
        <f>IFERROR(VLOOKUP(Y169,Database!$A$2:$S$175,19,FALSE),"-")</f>
        <v>-</v>
      </c>
    </row>
    <row r="170" spans="1:29" ht="15" customHeight="1" thickBot="1" x14ac:dyDescent="0.4">
      <c r="A170" s="95" t="str">
        <f>rengøring!A170</f>
        <v>mandag</v>
      </c>
      <c r="B170" s="93">
        <v>46671</v>
      </c>
      <c r="C170" s="10"/>
      <c r="D170" s="96" t="str">
        <f>IF(booking!AB170&gt;0,"Y","-")</f>
        <v>-</v>
      </c>
      <c r="E170" s="102" t="str">
        <f>IF(AND(D170="Y",booking!D170&lt;&gt;booking!E170,booking!E170&gt;0),booking!E170,"-")</f>
        <v>-</v>
      </c>
      <c r="F170" s="86" t="str">
        <f>IFERROR(VLOOKUP(E170,Database!$A$2:$L$175,8,FALSE),"-")</f>
        <v>-</v>
      </c>
      <c r="G170" s="86" t="str">
        <f>IFERROR(VLOOKUP(E170,Database!$A$2:$L$175,6,FALSE),"-")</f>
        <v>-</v>
      </c>
      <c r="H170" s="100" t="str">
        <f>IFERROR(VLOOKUP(E170,Database!$A$2:$L$175,9,FALSE),"-")</f>
        <v>-</v>
      </c>
      <c r="I170" s="120" t="str">
        <f>IFERROR(VLOOKUP(E170,Database!$A$2:$S$175,19,FALSE),"-")</f>
        <v>-</v>
      </c>
      <c r="J170" s="103" t="str">
        <f>IF(AND(D170="Y",booking!H170&lt;&gt;booking!I170,booking!I170&gt;0),booking!I170,"-")</f>
        <v>-</v>
      </c>
      <c r="K170" s="86" t="str">
        <f>IFERROR(VLOOKUP(J170,Database!$A$2:$L$175,8,FALSE),"-")</f>
        <v>-</v>
      </c>
      <c r="L170" s="86" t="str">
        <f>IFERROR(VLOOKUP(J170,Database!$A$2:$L$175,6,FALSE),"-")</f>
        <v>-</v>
      </c>
      <c r="M170" s="100" t="str">
        <f>IFERROR(VLOOKUP(J170,Database!$A$2:$L$175,9,FALSE),"-")</f>
        <v>-</v>
      </c>
      <c r="N170" s="152" t="str">
        <f>IFERROR(VLOOKUP(J170,Database!$A$2:$S$175,19,FALSE),"-")</f>
        <v>-</v>
      </c>
      <c r="O170" s="103" t="str">
        <f>IF(AND(D170="Y",booking!L170&lt;&gt;booking!M170,booking!M170&gt;0),booking!M170,"-")</f>
        <v>-</v>
      </c>
      <c r="P170" s="86" t="str">
        <f>IFERROR(VLOOKUP(O170,Database!$A$2:$L$175,8,FALSE),"-")</f>
        <v>-</v>
      </c>
      <c r="Q170" s="86" t="str">
        <f>IFERROR(VLOOKUP(O170,Database!$A$2:$L$175,6,FALSE),"-")</f>
        <v>-</v>
      </c>
      <c r="R170" s="90" t="str">
        <f>IFERROR(VLOOKUP(O170,Database!$A$2:$L$175,9,FALSE),"-")</f>
        <v>-</v>
      </c>
      <c r="S170" s="152" t="str">
        <f>IFERROR(VLOOKUP(O170,Database!$A$2:$S$175,19,FALSE),"-")</f>
        <v>-</v>
      </c>
      <c r="T170" s="104" t="str">
        <f>IF(AND(D170="Y",booking!P170&lt;&gt;booking!Q170,booking!Q170&gt;0),booking!Q170,"-")</f>
        <v>-</v>
      </c>
      <c r="U170" s="86" t="str">
        <f>IFERROR(VLOOKUP(T170,Database!$A$2:$L$175,8,FALSE),"-")</f>
        <v>-</v>
      </c>
      <c r="V170" s="86" t="str">
        <f>IFERROR(VLOOKUP(T170,Database!$A$2:$L$175,6,FALSE),"-")</f>
        <v>-</v>
      </c>
      <c r="W170" s="90" t="str">
        <f>IFERROR(VLOOKUP(T170,Database!$A$2:$L$175,9,FALSE),"-")</f>
        <v>-</v>
      </c>
      <c r="X170" s="152" t="str">
        <f>IFERROR(VLOOKUP(T170,Database!$A$2:$S$175,19,FALSE),"-")</f>
        <v>-</v>
      </c>
      <c r="Y170" s="103" t="str">
        <f>IF(AND(D170="Y",booking!T170&lt;&gt;booking!U170,booking!U170&gt;0),booking!U170,"-")</f>
        <v>-</v>
      </c>
      <c r="Z170" s="87" t="str">
        <f>IFERROR(VLOOKUP(Y170,Database!$A$2:$L$175,8,FALSE),"-")</f>
        <v>-</v>
      </c>
      <c r="AA170" s="87" t="str">
        <f>IFERROR(VLOOKUP(Y170,Database!$A$2:$L$175,6,FALSE),"-")</f>
        <v>-</v>
      </c>
      <c r="AB170" s="99" t="str">
        <f>IFERROR(VLOOKUP(Y170,Database!$A$2:$L$175,9,FALSE),"-")</f>
        <v>-</v>
      </c>
      <c r="AC170" s="9" t="str">
        <f>IFERROR(VLOOKUP(Y170,Database!$A$2:$S$175,19,FALSE),"-")</f>
        <v>-</v>
      </c>
    </row>
    <row r="171" spans="1:29" ht="15" customHeight="1" thickBot="1" x14ac:dyDescent="0.4">
      <c r="A171" s="97" t="str">
        <f>rengøring!A171</f>
        <v>tirsdag</v>
      </c>
      <c r="B171" s="93">
        <v>46672</v>
      </c>
      <c r="C171" s="15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8" t="str">
        <f>IFERROR(VLOOKUP(E171,Database!$A$2:$L$175,8,FALSE),"-")</f>
        <v>-</v>
      </c>
      <c r="G171" s="88" t="str">
        <f>IFERROR(VLOOKUP(E171,Database!$A$2:$L$175,6,FALSE),"-")</f>
        <v>-</v>
      </c>
      <c r="H171" s="101" t="str">
        <f>IFERROR(VLOOKUP(E171,Database!$A$2:$L$175,9,FALSE),"-")</f>
        <v>-</v>
      </c>
      <c r="I171" s="120" t="str">
        <f>IFERROR(VLOOKUP(E171,Database!$A$2:$S$175,19,FALSE),"-")</f>
        <v>-</v>
      </c>
      <c r="J171" s="103" t="str">
        <f>IF(AND(D171="Y",booking!H171&lt;&gt;booking!I171,booking!I171&gt;0),booking!I171,"-")</f>
        <v>-</v>
      </c>
      <c r="K171" s="88" t="str">
        <f>IFERROR(VLOOKUP(J171,Database!$A$2:$L$175,8,FALSE),"-")</f>
        <v>-</v>
      </c>
      <c r="L171" s="88" t="str">
        <f>IFERROR(VLOOKUP(J171,Database!$A$2:$L$175,6,FALSE),"-")</f>
        <v>-</v>
      </c>
      <c r="M171" s="101" t="str">
        <f>IFERROR(VLOOKUP(J171,Database!$A$2:$L$175,9,FALSE),"-")</f>
        <v>-</v>
      </c>
      <c r="N171" s="152" t="str">
        <f>IFERROR(VLOOKUP(J171,Database!$A$2:$S$175,19,FALSE),"-")</f>
        <v>-</v>
      </c>
      <c r="O171" s="103" t="str">
        <f>IF(AND(D171="Y",booking!L171&lt;&gt;booking!M171,booking!M171&gt;0),booking!M171,"-")</f>
        <v>-</v>
      </c>
      <c r="P171" s="88" t="str">
        <f>IFERROR(VLOOKUP(O171,Database!$A$2:$L$175,8,FALSE),"-")</f>
        <v>-</v>
      </c>
      <c r="Q171" s="88" t="str">
        <f>IFERROR(VLOOKUP(O171,Database!$A$2:$L$175,6,FALSE),"-")</f>
        <v>-</v>
      </c>
      <c r="R171" s="91" t="str">
        <f>IFERROR(VLOOKUP(O171,Database!$A$2:$L$175,9,FALSE),"-")</f>
        <v>-</v>
      </c>
      <c r="S171" s="152" t="str">
        <f>IFERROR(VLOOKUP(O171,Database!$A$2:$S$175,19,FALSE),"-")</f>
        <v>-</v>
      </c>
      <c r="T171" s="104" t="str">
        <f>IF(AND(D171="Y",booking!P171&lt;&gt;booking!Q171,booking!Q171&gt;0),booking!Q171,"-")</f>
        <v>-</v>
      </c>
      <c r="U171" s="88" t="str">
        <f>IFERROR(VLOOKUP(T171,Database!$A$2:$L$175,8,FALSE),"-")</f>
        <v>-</v>
      </c>
      <c r="V171" s="88" t="str">
        <f>IFERROR(VLOOKUP(T171,Database!$A$2:$L$175,6,FALSE),"-")</f>
        <v>-</v>
      </c>
      <c r="W171" s="91" t="str">
        <f>IFERROR(VLOOKUP(T171,Database!$A$2:$L$175,9,FALSE),"-")</f>
        <v>-</v>
      </c>
      <c r="X171" s="152" t="str">
        <f>IFERROR(VLOOKUP(T171,Database!$A$2:$S$175,19,FALSE),"-")</f>
        <v>-</v>
      </c>
      <c r="Y171" s="103" t="str">
        <f>IF(AND(D171="Y",booking!T171&lt;&gt;booking!U171,booking!U171&gt;0),booking!U171,"-")</f>
        <v>-</v>
      </c>
      <c r="Z171" s="87" t="str">
        <f>IFERROR(VLOOKUP(Y171,Database!$A$2:$L$175,8,FALSE),"-")</f>
        <v>-</v>
      </c>
      <c r="AA171" s="87" t="str">
        <f>IFERROR(VLOOKUP(Y171,Database!$A$2:$L$175,6,FALSE),"-")</f>
        <v>-</v>
      </c>
      <c r="AB171" s="99" t="str">
        <f>IFERROR(VLOOKUP(Y171,Database!$A$2:$L$175,9,FALSE),"-")</f>
        <v>-</v>
      </c>
      <c r="AC171" s="9" t="str">
        <f>IFERROR(VLOOKUP(Y171,Database!$A$2:$S$175,19,FALSE),"-")</f>
        <v>-</v>
      </c>
    </row>
    <row r="172" spans="1:29" x14ac:dyDescent="0.35">
      <c r="A172">
        <f>rengøring!A172</f>
        <v>0</v>
      </c>
      <c r="B172" s="26">
        <f>rengøring!B172</f>
        <v>0</v>
      </c>
      <c r="D172" s="78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9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6">
        <f>rengøring!B173</f>
        <v>0</v>
      </c>
      <c r="D173" s="78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9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6">
        <f>rengøring!B174</f>
        <v>0</v>
      </c>
      <c r="D174" s="78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9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6">
        <f>rengøring!B175</f>
        <v>0</v>
      </c>
      <c r="D175" s="78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9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8"/>
      <c r="F176" s="1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9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E61A-478E-470D-AE44-7C931A604F73}">
  <dimension ref="A1:M171"/>
  <sheetViews>
    <sheetView topLeftCell="A13" workbookViewId="0">
      <selection activeCell="D3" sqref="D3"/>
    </sheetView>
  </sheetViews>
  <sheetFormatPr defaultRowHeight="14.5" x14ac:dyDescent="0.35"/>
  <sheetData>
    <row r="1" spans="1:13" x14ac:dyDescent="0.35">
      <c r="A1" s="26" t="s">
        <v>116</v>
      </c>
      <c r="B1" t="s">
        <v>132</v>
      </c>
      <c r="C1" t="s">
        <v>160</v>
      </c>
      <c r="D1" t="s">
        <v>185</v>
      </c>
      <c r="E1" t="s">
        <v>186</v>
      </c>
      <c r="F1" t="s">
        <v>187</v>
      </c>
      <c r="G1" t="s">
        <v>188</v>
      </c>
      <c r="H1" t="s">
        <v>189</v>
      </c>
      <c r="I1" t="s">
        <v>190</v>
      </c>
      <c r="J1" t="s">
        <v>191</v>
      </c>
      <c r="K1" t="s">
        <v>192</v>
      </c>
      <c r="L1" t="s">
        <v>193</v>
      </c>
      <c r="M1" t="s">
        <v>194</v>
      </c>
    </row>
    <row r="2" spans="1:13" x14ac:dyDescent="0.35">
      <c r="A2" s="26">
        <v>46139</v>
      </c>
      <c r="B2" t="str">
        <f>[1]ankomster!A2</f>
        <v>mandag</v>
      </c>
      <c r="C2" t="str">
        <f>ankomster!D2</f>
        <v>-</v>
      </c>
      <c r="D2" t="str">
        <f>ankomster!E2</f>
        <v>-</v>
      </c>
      <c r="E2" t="str">
        <f>IFERROR(VLOOKUP(D2,[1]Database!$A$2:$L$175,2,FALSE),"-")</f>
        <v>-</v>
      </c>
      <c r="F2" t="str">
        <f>[1]ankomster!J2</f>
        <v>-</v>
      </c>
      <c r="G2" t="str">
        <f>IFERROR(VLOOKUP(F2,[1]Database!$A$2:$L$175,2,FALSE),"-")</f>
        <v>-</v>
      </c>
      <c r="H2" t="str">
        <f>[1]ankomster!O2</f>
        <v>-</v>
      </c>
      <c r="I2" t="str">
        <f>IFERROR(VLOOKUP(H2,[1]Database!$A$2:$L$175,2,FALSE),"-")</f>
        <v>-</v>
      </c>
      <c r="J2" s="79" t="str">
        <f>[1]ankomster!T2</f>
        <v>-</v>
      </c>
      <c r="K2" t="str">
        <f>IFERROR(VLOOKUP(J2,[1]Database!$A$2:$L$175,2,FALSE),"-")</f>
        <v>-</v>
      </c>
      <c r="L2" t="str">
        <f>[1]ankomster!Y2</f>
        <v>-</v>
      </c>
      <c r="M2" t="str">
        <f>IFERROR(VLOOKUP(L2,[1]Database!$A$2:$L$175,2,FALSE),"-")</f>
        <v>-</v>
      </c>
    </row>
    <row r="3" spans="1:13" x14ac:dyDescent="0.35">
      <c r="A3" s="26">
        <v>46140</v>
      </c>
      <c r="B3" t="str">
        <f>[1]ankomster!A3</f>
        <v>tirsdag</v>
      </c>
      <c r="C3" t="str">
        <f>ankomster!D3</f>
        <v>-</v>
      </c>
      <c r="D3" t="str">
        <f>[1]ankomster!E3</f>
        <v>-</v>
      </c>
      <c r="E3" t="str">
        <f>IFERROR(VLOOKUP(D3,[1]Database!$A$2:$L$175,2,FALSE),"-")</f>
        <v>-</v>
      </c>
      <c r="F3" t="str">
        <f>[1]ankomster!J3</f>
        <v>-</v>
      </c>
      <c r="G3" t="str">
        <f>IFERROR(VLOOKUP(F3,[1]Database!$A$2:$L$175,2,FALSE),"-")</f>
        <v>-</v>
      </c>
      <c r="H3" t="str">
        <f>[1]ankomster!O3</f>
        <v>-</v>
      </c>
      <c r="I3" t="str">
        <f>IFERROR(VLOOKUP(H3,[1]Database!$A$2:$L$175,2,FALSE),"-")</f>
        <v>-</v>
      </c>
      <c r="J3" s="79" t="str">
        <f>[1]ankomster!T3</f>
        <v>-</v>
      </c>
      <c r="K3" t="str">
        <f>IFERROR(VLOOKUP(J3,[1]Database!$A$2:$L$175,2,FALSE),"-")</f>
        <v>-</v>
      </c>
      <c r="L3" t="str">
        <f>[1]ankomster!Y3</f>
        <v>-</v>
      </c>
      <c r="M3" t="str">
        <f>IFERROR(VLOOKUP(L3,[1]Database!$A$2:$L$175,2,FALSE),"-")</f>
        <v>-</v>
      </c>
    </row>
    <row r="4" spans="1:13" x14ac:dyDescent="0.35">
      <c r="A4" s="26">
        <v>46141</v>
      </c>
      <c r="B4" t="str">
        <f>[1]ankomster!A4</f>
        <v>onsdag</v>
      </c>
      <c r="C4" t="str">
        <f>ankomster!D4</f>
        <v>-</v>
      </c>
      <c r="D4" t="str">
        <f>[1]ankomster!E4</f>
        <v>-</v>
      </c>
      <c r="E4" t="str">
        <f>IFERROR(VLOOKUP(D4,[1]Database!$A$2:$L$175,2,FALSE),"-")</f>
        <v>-</v>
      </c>
      <c r="F4" t="str">
        <f>[1]ankomster!J4</f>
        <v>-</v>
      </c>
      <c r="G4" t="str">
        <f>IFERROR(VLOOKUP(F4,[1]Database!$A$2:$L$175,2,FALSE),"-")</f>
        <v>-</v>
      </c>
      <c r="H4" t="str">
        <f>[1]ankomster!O4</f>
        <v>-</v>
      </c>
      <c r="I4" t="str">
        <f>IFERROR(VLOOKUP(H4,[1]Database!$A$2:$L$175,2,FALSE),"-")</f>
        <v>-</v>
      </c>
      <c r="J4" s="79" t="str">
        <f>[1]ankomster!T4</f>
        <v>-</v>
      </c>
      <c r="K4" t="str">
        <f>IFERROR(VLOOKUP(J4,[1]Database!$A$2:$L$175,2,FALSE),"-")</f>
        <v>-</v>
      </c>
      <c r="L4" t="str">
        <f>[1]ankomster!Y4</f>
        <v>-</v>
      </c>
      <c r="M4" t="str">
        <f>IFERROR(VLOOKUP(L4,[1]Database!$A$2:$L$175,2,FALSE),"-")</f>
        <v>-</v>
      </c>
    </row>
    <row r="5" spans="1:13" x14ac:dyDescent="0.35">
      <c r="A5" s="26">
        <v>46142</v>
      </c>
      <c r="B5" t="str">
        <f>[1]ankomster!A5</f>
        <v>torsdag</v>
      </c>
      <c r="C5" t="str">
        <f>ankomster!D5</f>
        <v>-</v>
      </c>
      <c r="D5" t="str">
        <f>[1]ankomster!E5</f>
        <v>-</v>
      </c>
      <c r="E5" t="str">
        <f>IFERROR(VLOOKUP(D5,[1]Database!$A$2:$L$175,2,FALSE),"-")</f>
        <v>-</v>
      </c>
      <c r="F5" t="str">
        <f>[1]ankomster!J5</f>
        <v>-</v>
      </c>
      <c r="G5" t="str">
        <f>IFERROR(VLOOKUP(F5,[1]Database!$A$2:$L$175,2,FALSE),"-")</f>
        <v>-</v>
      </c>
      <c r="H5" t="str">
        <f>[1]ankomster!O5</f>
        <v>-</v>
      </c>
      <c r="I5" t="str">
        <f>IFERROR(VLOOKUP(H5,[1]Database!$A$2:$L$175,2,FALSE),"-")</f>
        <v>-</v>
      </c>
      <c r="J5" s="79" t="str">
        <f>[1]ankomster!T5</f>
        <v>-</v>
      </c>
      <c r="K5" t="str">
        <f>IFERROR(VLOOKUP(J5,[1]Database!$A$2:$L$175,2,FALSE),"-")</f>
        <v>-</v>
      </c>
      <c r="L5" t="str">
        <f>[1]ankomster!Y5</f>
        <v>-</v>
      </c>
      <c r="M5" t="str">
        <f>IFERROR(VLOOKUP(L5,[1]Database!$A$2:$L$175,2,FALSE),"-")</f>
        <v>-</v>
      </c>
    </row>
    <row r="6" spans="1:13" x14ac:dyDescent="0.35">
      <c r="A6" s="26">
        <v>46143</v>
      </c>
      <c r="B6" t="str">
        <f>[1]ankomster!A6</f>
        <v>fredag</v>
      </c>
      <c r="C6" t="str">
        <f>ankomster!D6</f>
        <v>-</v>
      </c>
      <c r="D6">
        <f>[1]ankomster!E6</f>
        <v>85</v>
      </c>
      <c r="E6" t="str">
        <f>IFERROR(VLOOKUP(D6,[1]Database!$A$2:$L$175,2,FALSE),"-")</f>
        <v>Stine Yndgaard</v>
      </c>
      <c r="F6">
        <f>[1]ankomster!J6</f>
        <v>110</v>
      </c>
      <c r="G6" t="str">
        <f>IFERROR(VLOOKUP(F6,[1]Database!$A$2:$L$175,2,FALSE),"-")</f>
        <v>Francesca Giraudo</v>
      </c>
      <c r="H6">
        <f>[1]ankomster!O6</f>
        <v>68</v>
      </c>
      <c r="I6" t="str">
        <f>IFERROR(VLOOKUP(H6,[1]Database!$A$2:$L$175,2,FALSE),"-")</f>
        <v>Danny Bukh Almstrup</v>
      </c>
      <c r="J6" s="79">
        <f>[1]ankomster!T6</f>
        <v>28</v>
      </c>
      <c r="K6" t="str">
        <f>IFERROR(VLOOKUP(J6,[1]Database!$A$2:$L$175,2,FALSE),"-")</f>
        <v>Alex Nielsen</v>
      </c>
      <c r="L6">
        <f>[1]ankomster!Y6</f>
        <v>28</v>
      </c>
      <c r="M6" t="str">
        <f>IFERROR(VLOOKUP(L6,[1]Database!$A$2:$L$175,2,FALSE),"-")</f>
        <v>Alex Nielsen</v>
      </c>
    </row>
    <row r="7" spans="1:13" x14ac:dyDescent="0.35">
      <c r="A7" s="26">
        <v>46144</v>
      </c>
      <c r="B7" t="str">
        <f>[1]ankomster!A7</f>
        <v>lørdag</v>
      </c>
      <c r="C7" t="str">
        <f>ankomster!D7</f>
        <v>-</v>
      </c>
      <c r="D7" t="str">
        <f>[1]ankomster!E7</f>
        <v>-</v>
      </c>
      <c r="E7" t="str">
        <f>IFERROR(VLOOKUP(D7,[1]Database!$A$2:$L$175,2,FALSE),"-")</f>
        <v>-</v>
      </c>
      <c r="F7" t="str">
        <f>[1]ankomster!J7</f>
        <v>-</v>
      </c>
      <c r="G7" t="str">
        <f>IFERROR(VLOOKUP(F7,[1]Database!$A$2:$L$175,2,FALSE),"-")</f>
        <v>-</v>
      </c>
      <c r="H7" t="str">
        <f>[1]ankomster!O7</f>
        <v>-</v>
      </c>
      <c r="I7" t="str">
        <f>IFERROR(VLOOKUP(H7,[1]Database!$A$2:$L$175,2,FALSE),"-")</f>
        <v>-</v>
      </c>
      <c r="J7" s="79" t="str">
        <f>[1]ankomster!T7</f>
        <v>-</v>
      </c>
      <c r="K7" t="str">
        <f>IFERROR(VLOOKUP(J7,[1]Database!$A$2:$L$175,2,FALSE),"-")</f>
        <v>-</v>
      </c>
      <c r="L7" t="str">
        <f>[1]ankomster!Y7</f>
        <v>-</v>
      </c>
      <c r="M7" t="str">
        <f>IFERROR(VLOOKUP(L7,[1]Database!$A$2:$L$175,2,FALSE),"-")</f>
        <v>-</v>
      </c>
    </row>
    <row r="8" spans="1:13" x14ac:dyDescent="0.35">
      <c r="A8" s="26">
        <v>46145</v>
      </c>
      <c r="B8" t="str">
        <f>[1]ankomster!A8</f>
        <v>søndag</v>
      </c>
      <c r="C8" t="str">
        <f>ankomster!D8</f>
        <v>-</v>
      </c>
      <c r="D8" t="str">
        <f>[1]ankomster!E8</f>
        <v>-</v>
      </c>
      <c r="E8" t="str">
        <f>IFERROR(VLOOKUP(D8,[1]Database!$A$2:$L$175,2,FALSE),"-")</f>
        <v>-</v>
      </c>
      <c r="F8" t="str">
        <f>[1]ankomster!J8</f>
        <v>-</v>
      </c>
      <c r="G8" t="str">
        <f>IFERROR(VLOOKUP(F8,[1]Database!$A$2:$L$175,2,FALSE),"-")</f>
        <v>-</v>
      </c>
      <c r="H8" t="str">
        <f>[1]ankomster!O8</f>
        <v>-</v>
      </c>
      <c r="I8" t="str">
        <f>IFERROR(VLOOKUP(H8,[1]Database!$A$2:$L$175,2,FALSE),"-")</f>
        <v>-</v>
      </c>
      <c r="J8" s="79">
        <f>[1]ankomster!T8</f>
        <v>72</v>
      </c>
      <c r="K8" t="str">
        <f>IFERROR(VLOOKUP(J8,[1]Database!$A$2:$L$175,2,FALSE),"-")</f>
        <v>Anders Andersen</v>
      </c>
      <c r="L8" t="str">
        <f>[1]ankomster!Y8</f>
        <v>-</v>
      </c>
      <c r="M8" t="str">
        <f>IFERROR(VLOOKUP(L8,[1]Database!$A$2:$L$175,2,FALSE),"-")</f>
        <v>-</v>
      </c>
    </row>
    <row r="9" spans="1:13" x14ac:dyDescent="0.35">
      <c r="A9" s="26">
        <v>46146</v>
      </c>
      <c r="B9" t="str">
        <f>[1]ankomster!A9</f>
        <v>mandag</v>
      </c>
      <c r="C9" t="str">
        <f>ankomster!D9</f>
        <v>-</v>
      </c>
      <c r="D9" t="str">
        <f>[1]ankomster!E9</f>
        <v>-</v>
      </c>
      <c r="E9" t="str">
        <f>IFERROR(VLOOKUP(D9,[1]Database!$A$2:$L$175,2,FALSE),"-")</f>
        <v>-</v>
      </c>
      <c r="F9" t="str">
        <f>[1]ankomster!J9</f>
        <v>-</v>
      </c>
      <c r="G9" t="str">
        <f>IFERROR(VLOOKUP(F9,[1]Database!$A$2:$L$175,2,FALSE),"-")</f>
        <v>-</v>
      </c>
      <c r="H9" t="str">
        <f>[1]ankomster!O9</f>
        <v>-</v>
      </c>
      <c r="I9" t="str">
        <f>IFERROR(VLOOKUP(H9,[1]Database!$A$2:$L$175,2,FALSE),"-")</f>
        <v>-</v>
      </c>
      <c r="J9" s="79" t="str">
        <f>[1]ankomster!T9</f>
        <v>-</v>
      </c>
      <c r="K9" t="str">
        <f>IFERROR(VLOOKUP(J9,[1]Database!$A$2:$L$175,2,FALSE),"-")</f>
        <v>-</v>
      </c>
      <c r="L9" t="str">
        <f>[1]ankomster!Y9</f>
        <v>-</v>
      </c>
      <c r="M9" t="str">
        <f>IFERROR(VLOOKUP(L9,[1]Database!$A$2:$L$175,2,FALSE),"-")</f>
        <v>-</v>
      </c>
    </row>
    <row r="10" spans="1:13" x14ac:dyDescent="0.35">
      <c r="A10" s="26">
        <v>46147</v>
      </c>
      <c r="B10" t="str">
        <f>[1]ankomster!A10</f>
        <v>tirsdag</v>
      </c>
      <c r="C10" t="str">
        <f>ankomster!D10</f>
        <v>-</v>
      </c>
      <c r="D10" t="str">
        <f>[1]ankomster!E10</f>
        <v>-</v>
      </c>
      <c r="E10" t="str">
        <f>IFERROR(VLOOKUP(D10,[1]Database!$A$2:$L$175,2,FALSE),"-")</f>
        <v>-</v>
      </c>
      <c r="F10" t="str">
        <f>[1]ankomster!J10</f>
        <v>-</v>
      </c>
      <c r="G10" t="str">
        <f>IFERROR(VLOOKUP(F10,[1]Database!$A$2:$L$175,2,FALSE),"-")</f>
        <v>-</v>
      </c>
      <c r="H10" t="str">
        <f>[1]ankomster!O10</f>
        <v>-</v>
      </c>
      <c r="I10" t="str">
        <f>IFERROR(VLOOKUP(H10,[1]Database!$A$2:$L$175,2,FALSE),"-")</f>
        <v>-</v>
      </c>
      <c r="J10" s="79" t="str">
        <f>[1]ankomster!T10</f>
        <v>-</v>
      </c>
      <c r="K10" t="str">
        <f>IFERROR(VLOOKUP(J10,[1]Database!$A$2:$L$175,2,FALSE),"-")</f>
        <v>-</v>
      </c>
      <c r="L10" t="str">
        <f>[1]ankomster!Y10</f>
        <v>-</v>
      </c>
      <c r="M10" t="str">
        <f>IFERROR(VLOOKUP(L10,[1]Database!$A$2:$L$175,2,FALSE),"-")</f>
        <v>-</v>
      </c>
    </row>
    <row r="11" spans="1:13" x14ac:dyDescent="0.35">
      <c r="A11" s="26">
        <v>46148</v>
      </c>
      <c r="B11" t="str">
        <f>[1]ankomster!A11</f>
        <v>onsdag</v>
      </c>
      <c r="C11" t="str">
        <f>ankomster!D11</f>
        <v>-</v>
      </c>
      <c r="D11" t="str">
        <f>[1]ankomster!E11</f>
        <v>-</v>
      </c>
      <c r="E11" t="str">
        <f>IFERROR(VLOOKUP(D11,[1]Database!$A$2:$L$175,2,FALSE),"-")</f>
        <v>-</v>
      </c>
      <c r="F11" t="str">
        <f>[1]ankomster!J11</f>
        <v>-</v>
      </c>
      <c r="G11" t="str">
        <f>IFERROR(VLOOKUP(F11,[1]Database!$A$2:$L$175,2,FALSE),"-")</f>
        <v>-</v>
      </c>
      <c r="H11" t="str">
        <f>[1]ankomster!O11</f>
        <v>-</v>
      </c>
      <c r="I11" t="str">
        <f>IFERROR(VLOOKUP(H11,[1]Database!$A$2:$L$175,2,FALSE),"-")</f>
        <v>-</v>
      </c>
      <c r="J11" s="79" t="str">
        <f>[1]ankomster!T11</f>
        <v>-</v>
      </c>
      <c r="K11" t="str">
        <f>IFERROR(VLOOKUP(J11,[1]Database!$A$2:$L$175,2,FALSE),"-")</f>
        <v>-</v>
      </c>
      <c r="L11" t="str">
        <f>[1]ankomster!Y11</f>
        <v>-</v>
      </c>
      <c r="M11" t="str">
        <f>IFERROR(VLOOKUP(L11,[1]Database!$A$2:$L$175,2,FALSE),"-")</f>
        <v>-</v>
      </c>
    </row>
    <row r="12" spans="1:13" x14ac:dyDescent="0.35">
      <c r="A12" s="26">
        <v>46149</v>
      </c>
      <c r="B12" t="str">
        <f>[1]ankomster!A12</f>
        <v>torsdag</v>
      </c>
      <c r="C12" t="str">
        <f>ankomster!D12</f>
        <v>-</v>
      </c>
      <c r="D12" t="str">
        <f>[1]ankomster!E12</f>
        <v>-</v>
      </c>
      <c r="E12" t="str">
        <f>IFERROR(VLOOKUP(D12,[1]Database!$A$2:$L$175,2,FALSE),"-")</f>
        <v>-</v>
      </c>
      <c r="F12">
        <f>[1]ankomster!J12</f>
        <v>80</v>
      </c>
      <c r="G12" t="str">
        <f>IFERROR(VLOOKUP(F12,[1]Database!$A$2:$L$175,2,FALSE),"-")</f>
        <v>Finn Müllertz</v>
      </c>
      <c r="H12">
        <f>[1]ankomster!O12</f>
        <v>80</v>
      </c>
      <c r="I12" t="str">
        <f>IFERROR(VLOOKUP(H12,[1]Database!$A$2:$L$175,2,FALSE),"-")</f>
        <v>Finn Müllertz</v>
      </c>
      <c r="J12" s="79" t="str">
        <f>[1]ankomster!T12</f>
        <v>-</v>
      </c>
      <c r="K12" t="str">
        <f>IFERROR(VLOOKUP(J12,[1]Database!$A$2:$L$175,2,FALSE),"-")</f>
        <v>-</v>
      </c>
      <c r="L12" t="str">
        <f>[1]ankomster!Y12</f>
        <v>-</v>
      </c>
      <c r="M12" t="str">
        <f>IFERROR(VLOOKUP(L12,[1]Database!$A$2:$L$175,2,FALSE),"-")</f>
        <v>-</v>
      </c>
    </row>
    <row r="13" spans="1:13" x14ac:dyDescent="0.35">
      <c r="A13" s="26">
        <v>46150</v>
      </c>
      <c r="B13" t="str">
        <f>[1]ankomster!A13</f>
        <v>fredag</v>
      </c>
      <c r="C13" t="str">
        <f>ankomster!D13</f>
        <v>-</v>
      </c>
      <c r="D13" t="str">
        <f>[1]ankomster!E13</f>
        <v>-</v>
      </c>
      <c r="E13" t="str">
        <f>IFERROR(VLOOKUP(D13,[1]Database!$A$2:$L$175,2,FALSE),"-")</f>
        <v>-</v>
      </c>
      <c r="F13" t="str">
        <f>[1]ankomster!J13</f>
        <v>-</v>
      </c>
      <c r="G13" t="str">
        <f>IFERROR(VLOOKUP(F13,[1]Database!$A$2:$L$175,2,FALSE),"-")</f>
        <v>-</v>
      </c>
      <c r="H13" t="str">
        <f>[1]ankomster!O13</f>
        <v>-</v>
      </c>
      <c r="I13" t="str">
        <f>IFERROR(VLOOKUP(H13,[1]Database!$A$2:$L$175,2,FALSE),"-")</f>
        <v>-</v>
      </c>
      <c r="J13" s="79" t="str">
        <f>[1]ankomster!T13</f>
        <v>-</v>
      </c>
      <c r="K13" t="str">
        <f>IFERROR(VLOOKUP(J13,[1]Database!$A$2:$L$175,2,FALSE),"-")</f>
        <v>-</v>
      </c>
      <c r="L13" t="str">
        <f>[1]ankomster!Y13</f>
        <v>-</v>
      </c>
      <c r="M13" t="str">
        <f>IFERROR(VLOOKUP(L13,[1]Database!$A$2:$L$175,2,FALSE),"-")</f>
        <v>-</v>
      </c>
    </row>
    <row r="14" spans="1:13" x14ac:dyDescent="0.35">
      <c r="A14" s="26">
        <v>46151</v>
      </c>
      <c r="B14" t="str">
        <f>[1]ankomster!A14</f>
        <v>lørdag</v>
      </c>
      <c r="C14" t="str">
        <f>ankomster!D14</f>
        <v>-</v>
      </c>
      <c r="D14" t="str">
        <f>[1]ankomster!E14</f>
        <v>-</v>
      </c>
      <c r="E14" t="str">
        <f>IFERROR(VLOOKUP(D14,[1]Database!$A$2:$L$175,2,FALSE),"-")</f>
        <v>-</v>
      </c>
      <c r="F14" t="str">
        <f>[1]ankomster!J14</f>
        <v>-</v>
      </c>
      <c r="G14" t="str">
        <f>IFERROR(VLOOKUP(F14,[1]Database!$A$2:$L$175,2,FALSE),"-")</f>
        <v>-</v>
      </c>
      <c r="H14" t="str">
        <f>[1]ankomster!O14</f>
        <v>-</v>
      </c>
      <c r="I14" t="str">
        <f>IFERROR(VLOOKUP(H14,[1]Database!$A$2:$L$175,2,FALSE),"-")</f>
        <v>-</v>
      </c>
      <c r="J14" s="79" t="str">
        <f>[1]ankomster!T14</f>
        <v>-</v>
      </c>
      <c r="K14" t="str">
        <f>IFERROR(VLOOKUP(J14,[1]Database!$A$2:$L$175,2,FALSE),"-")</f>
        <v>-</v>
      </c>
      <c r="L14" t="str">
        <f>[1]ankomster!Y14</f>
        <v>-</v>
      </c>
      <c r="M14" t="str">
        <f>IFERROR(VLOOKUP(L14,[1]Database!$A$2:$L$175,2,FALSE),"-")</f>
        <v>-</v>
      </c>
    </row>
    <row r="15" spans="1:13" x14ac:dyDescent="0.35">
      <c r="A15" s="26">
        <v>46152</v>
      </c>
      <c r="B15" t="str">
        <f>[1]ankomster!A15</f>
        <v>søndag</v>
      </c>
      <c r="C15" t="str">
        <f>ankomster!D15</f>
        <v>-</v>
      </c>
      <c r="D15" t="str">
        <f>[1]ankomster!E15</f>
        <v>-</v>
      </c>
      <c r="E15" t="str">
        <f>IFERROR(VLOOKUP(D15,[1]Database!$A$2:$L$175,2,FALSE),"-")</f>
        <v>-</v>
      </c>
      <c r="F15" t="str">
        <f>[1]ankomster!J15</f>
        <v>-</v>
      </c>
      <c r="G15" t="str">
        <f>IFERROR(VLOOKUP(F15,[1]Database!$A$2:$L$175,2,FALSE),"-")</f>
        <v>-</v>
      </c>
      <c r="H15" t="str">
        <f>[1]ankomster!O15</f>
        <v>-</v>
      </c>
      <c r="I15" t="str">
        <f>IFERROR(VLOOKUP(H15,[1]Database!$A$2:$L$175,2,FALSE),"-")</f>
        <v>-</v>
      </c>
      <c r="J15" s="79" t="str">
        <f>[1]ankomster!T15</f>
        <v>-</v>
      </c>
      <c r="K15" t="str">
        <f>IFERROR(VLOOKUP(J15,[1]Database!$A$2:$L$175,2,FALSE),"-")</f>
        <v>-</v>
      </c>
      <c r="L15" t="str">
        <f>[1]ankomster!Y15</f>
        <v>-</v>
      </c>
      <c r="M15" t="str">
        <f>IFERROR(VLOOKUP(L15,[1]Database!$A$2:$L$175,2,FALSE),"-")</f>
        <v>-</v>
      </c>
    </row>
    <row r="16" spans="1:13" x14ac:dyDescent="0.35">
      <c r="A16" s="26">
        <v>46153</v>
      </c>
      <c r="B16" t="str">
        <f>[1]ankomster!A16</f>
        <v>mandag</v>
      </c>
      <c r="C16" t="str">
        <f>ankomster!D16</f>
        <v>-</v>
      </c>
      <c r="D16" t="str">
        <f>[1]ankomster!E16</f>
        <v>-</v>
      </c>
      <c r="E16" t="str">
        <f>IFERROR(VLOOKUP(D16,[1]Database!$A$2:$L$175,2,FALSE),"-")</f>
        <v>-</v>
      </c>
      <c r="F16" t="str">
        <f>[1]ankomster!J16</f>
        <v>-</v>
      </c>
      <c r="G16" t="str">
        <f>IFERROR(VLOOKUP(F16,[1]Database!$A$2:$L$175,2,FALSE),"-")</f>
        <v>-</v>
      </c>
      <c r="H16" t="str">
        <f>[1]ankomster!O16</f>
        <v>-</v>
      </c>
      <c r="I16" t="str">
        <f>IFERROR(VLOOKUP(H16,[1]Database!$A$2:$L$175,2,FALSE),"-")</f>
        <v>-</v>
      </c>
      <c r="J16" s="79" t="str">
        <f>[1]ankomster!T16</f>
        <v>-</v>
      </c>
      <c r="K16" t="str">
        <f>IFERROR(VLOOKUP(J16,[1]Database!$A$2:$L$175,2,FALSE),"-")</f>
        <v>-</v>
      </c>
      <c r="L16">
        <f>[1]ankomster!Y16</f>
        <v>63</v>
      </c>
      <c r="M16" t="str">
        <f>IFERROR(VLOOKUP(L16,[1]Database!$A$2:$L$175,2,FALSE),"-")</f>
        <v>Tommy Thunberg</v>
      </c>
    </row>
    <row r="17" spans="1:13" x14ac:dyDescent="0.35">
      <c r="A17" s="26">
        <v>46154</v>
      </c>
      <c r="B17" t="str">
        <f>[1]ankomster!A17</f>
        <v>tirsdag</v>
      </c>
      <c r="C17" t="str">
        <f>ankomster!D17</f>
        <v>-</v>
      </c>
      <c r="D17" t="str">
        <f>[1]ankomster!E17</f>
        <v>-</v>
      </c>
      <c r="E17" t="str">
        <f>IFERROR(VLOOKUP(D17,[1]Database!$A$2:$L$175,2,FALSE),"-")</f>
        <v>-</v>
      </c>
      <c r="F17" t="str">
        <f>[1]ankomster!J17</f>
        <v>-</v>
      </c>
      <c r="G17" t="str">
        <f>IFERROR(VLOOKUP(F17,[1]Database!$A$2:$L$175,2,FALSE),"-")</f>
        <v>-</v>
      </c>
      <c r="H17" t="str">
        <f>[1]ankomster!O17</f>
        <v>-</v>
      </c>
      <c r="I17" t="str">
        <f>IFERROR(VLOOKUP(H17,[1]Database!$A$2:$L$175,2,FALSE),"-")</f>
        <v>-</v>
      </c>
      <c r="J17" s="79" t="str">
        <f>[1]ankomster!T17</f>
        <v>-</v>
      </c>
      <c r="K17" t="str">
        <f>IFERROR(VLOOKUP(J17,[1]Database!$A$2:$L$175,2,FALSE),"-")</f>
        <v>-</v>
      </c>
      <c r="L17" t="str">
        <f>[1]ankomster!Y17</f>
        <v>-</v>
      </c>
      <c r="M17" t="str">
        <f>IFERROR(VLOOKUP(L17,[1]Database!$A$2:$L$175,2,FALSE),"-")</f>
        <v>-</v>
      </c>
    </row>
    <row r="18" spans="1:13" x14ac:dyDescent="0.35">
      <c r="A18" s="26">
        <v>46155</v>
      </c>
      <c r="B18" t="str">
        <f>[1]ankomster!A18</f>
        <v>onsdag</v>
      </c>
      <c r="C18" t="str">
        <f>ankomster!D18</f>
        <v>-</v>
      </c>
      <c r="D18">
        <f>[1]ankomster!E18</f>
        <v>53</v>
      </c>
      <c r="E18" t="str">
        <f>IFERROR(VLOOKUP(D18,[1]Database!$A$2:$L$175,2,FALSE),"-")</f>
        <v>Claus Nyeland</v>
      </c>
      <c r="F18" t="str">
        <f>[1]ankomster!J18</f>
        <v>-</v>
      </c>
      <c r="G18" t="str">
        <f>IFERROR(VLOOKUP(F18,[1]Database!$A$2:$L$175,2,FALSE),"-")</f>
        <v>-</v>
      </c>
      <c r="H18" t="str">
        <f>[1]ankomster!O18</f>
        <v>-</v>
      </c>
      <c r="I18" t="str">
        <f>IFERROR(VLOOKUP(H18,[1]Database!$A$2:$L$175,2,FALSE),"-")</f>
        <v>-</v>
      </c>
      <c r="J18" s="79" t="str">
        <f>[1]ankomster!T18</f>
        <v>-</v>
      </c>
      <c r="K18" t="str">
        <f>IFERROR(VLOOKUP(J18,[1]Database!$A$2:$L$175,2,FALSE),"-")</f>
        <v>-</v>
      </c>
      <c r="L18" t="str">
        <f>[1]ankomster!Y18</f>
        <v>-</v>
      </c>
      <c r="M18" t="str">
        <f>IFERROR(VLOOKUP(L18,[1]Database!$A$2:$L$175,2,FALSE),"-")</f>
        <v>-</v>
      </c>
    </row>
    <row r="19" spans="1:13" x14ac:dyDescent="0.35">
      <c r="A19" s="26">
        <v>46156</v>
      </c>
      <c r="B19" t="str">
        <f>[1]ankomster!A19</f>
        <v>torsdag</v>
      </c>
      <c r="C19" t="str">
        <f>ankomster!D19</f>
        <v>-</v>
      </c>
      <c r="D19" t="str">
        <f>[1]ankomster!E19</f>
        <v>-</v>
      </c>
      <c r="E19" t="str">
        <f>IFERROR(VLOOKUP(D19,[1]Database!$A$2:$L$175,2,FALSE),"-")</f>
        <v>-</v>
      </c>
      <c r="F19" t="str">
        <f>[1]ankomster!J19</f>
        <v>-</v>
      </c>
      <c r="G19" t="str">
        <f>IFERROR(VLOOKUP(F19,[1]Database!$A$2:$L$175,2,FALSE),"-")</f>
        <v>-</v>
      </c>
      <c r="H19">
        <f>[1]ankomster!O19</f>
        <v>95</v>
      </c>
      <c r="I19" t="str">
        <f>IFERROR(VLOOKUP(H19,[1]Database!$A$2:$L$175,2,FALSE),"-")</f>
        <v>Klas Sjödahl</v>
      </c>
      <c r="J19" s="79">
        <f>[1]ankomster!T19</f>
        <v>97</v>
      </c>
      <c r="K19" t="str">
        <f>IFERROR(VLOOKUP(J19,[1]Database!$A$2:$L$175,2,FALSE),"-")</f>
        <v>Calin Durnea</v>
      </c>
      <c r="L19">
        <f>[1]ankomster!Y19</f>
        <v>90</v>
      </c>
      <c r="M19" t="str">
        <f>IFERROR(VLOOKUP(L19,[1]Database!$A$2:$L$175,2,FALSE),"-")</f>
        <v>Kjell Karlsson</v>
      </c>
    </row>
    <row r="20" spans="1:13" x14ac:dyDescent="0.35">
      <c r="A20" s="26">
        <v>46157</v>
      </c>
      <c r="B20" t="str">
        <f>[1]ankomster!A20</f>
        <v>fredag</v>
      </c>
      <c r="C20" t="str">
        <f>ankomster!D20</f>
        <v>-</v>
      </c>
      <c r="D20" t="str">
        <f>[1]ankomster!E20</f>
        <v>-</v>
      </c>
      <c r="E20" t="str">
        <f>IFERROR(VLOOKUP(D20,[1]Database!$A$2:$L$175,2,FALSE),"-")</f>
        <v>-</v>
      </c>
      <c r="F20">
        <f>[1]ankomster!J20</f>
        <v>91</v>
      </c>
      <c r="G20" t="str">
        <f>IFERROR(VLOOKUP(F20,[1]Database!$A$2:$L$175,2,FALSE),"-")</f>
        <v>Lars Erik Phorelli</v>
      </c>
      <c r="H20" t="str">
        <f>[1]ankomster!O20</f>
        <v>-</v>
      </c>
      <c r="I20" t="str">
        <f>IFERROR(VLOOKUP(H20,[1]Database!$A$2:$L$175,2,FALSE),"-")</f>
        <v>-</v>
      </c>
      <c r="J20" s="79" t="str">
        <f>[1]ankomster!T20</f>
        <v>-</v>
      </c>
      <c r="K20" t="str">
        <f>IFERROR(VLOOKUP(J20,[1]Database!$A$2:$L$175,2,FALSE),"-")</f>
        <v>-</v>
      </c>
      <c r="L20" t="str">
        <f>[1]ankomster!Y20</f>
        <v>-</v>
      </c>
      <c r="M20" t="str">
        <f>IFERROR(VLOOKUP(L20,[1]Database!$A$2:$L$175,2,FALSE),"-")</f>
        <v>-</v>
      </c>
    </row>
    <row r="21" spans="1:13" x14ac:dyDescent="0.35">
      <c r="A21" s="26">
        <v>46158</v>
      </c>
      <c r="B21" t="str">
        <f>[1]ankomster!A21</f>
        <v>lørdag</v>
      </c>
      <c r="C21" t="str">
        <f>ankomster!D21</f>
        <v>-</v>
      </c>
      <c r="D21">
        <f>[1]ankomster!E21</f>
        <v>8</v>
      </c>
      <c r="E21" t="str">
        <f>IFERROR(VLOOKUP(D21,[1]Database!$A$2:$L$175,2,FALSE),"-")</f>
        <v>Hans-Dieter Lange</v>
      </c>
      <c r="F21" t="str">
        <f>[1]ankomster!J21</f>
        <v>-</v>
      </c>
      <c r="G21" t="str">
        <f>IFERROR(VLOOKUP(F21,[1]Database!$A$2:$L$175,2,FALSE),"-")</f>
        <v>-</v>
      </c>
      <c r="H21" t="str">
        <f>[1]ankomster!O21</f>
        <v>-</v>
      </c>
      <c r="I21" t="str">
        <f>IFERROR(VLOOKUP(H21,[1]Database!$A$2:$L$175,2,FALSE),"-")</f>
        <v>-</v>
      </c>
      <c r="J21" s="79" t="str">
        <f>[1]ankomster!T21</f>
        <v>-</v>
      </c>
      <c r="K21" t="str">
        <f>IFERROR(VLOOKUP(J21,[1]Database!$A$2:$L$175,2,FALSE),"-")</f>
        <v>-</v>
      </c>
      <c r="L21" t="str">
        <f>[1]ankomster!Y21</f>
        <v>-</v>
      </c>
      <c r="M21" t="str">
        <f>IFERROR(VLOOKUP(L21,[1]Database!$A$2:$L$175,2,FALSE),"-")</f>
        <v>-</v>
      </c>
    </row>
    <row r="22" spans="1:13" x14ac:dyDescent="0.35">
      <c r="A22" s="26">
        <v>46159</v>
      </c>
      <c r="B22" t="str">
        <f>[1]ankomster!A22</f>
        <v>søndag</v>
      </c>
      <c r="C22" t="str">
        <f>ankomster!D22</f>
        <v>-</v>
      </c>
      <c r="D22" t="str">
        <f>[1]ankomster!E22</f>
        <v>-</v>
      </c>
      <c r="E22" t="str">
        <f>IFERROR(VLOOKUP(D22,[1]Database!$A$2:$L$175,2,FALSE),"-")</f>
        <v>-</v>
      </c>
      <c r="F22">
        <f>[1]ankomster!J22</f>
        <v>108</v>
      </c>
      <c r="G22" t="str">
        <f>IFERROR(VLOOKUP(F22,[1]Database!$A$2:$L$175,2,FALSE),"-")</f>
        <v>Kurt Bergen</v>
      </c>
      <c r="H22" t="str">
        <f>[1]ankomster!O22</f>
        <v>-</v>
      </c>
      <c r="I22" t="str">
        <f>IFERROR(VLOOKUP(H22,[1]Database!$A$2:$L$175,2,FALSE),"-")</f>
        <v>-</v>
      </c>
      <c r="J22" s="79">
        <f>[1]ankomster!T22</f>
        <v>96</v>
      </c>
      <c r="K22" t="str">
        <f>IFERROR(VLOOKUP(J22,[1]Database!$A$2:$L$175,2,FALSE),"-")</f>
        <v>Thomas Schimmer</v>
      </c>
      <c r="L22">
        <f>[1]ankomster!Y22</f>
        <v>9</v>
      </c>
      <c r="M22" t="str">
        <f>IFERROR(VLOOKUP(L22,[1]Database!$A$2:$L$175,2,FALSE),"-")</f>
        <v>Erik Friis</v>
      </c>
    </row>
    <row r="23" spans="1:13" x14ac:dyDescent="0.35">
      <c r="A23" s="26">
        <v>46160</v>
      </c>
      <c r="B23" t="str">
        <f>[1]ankomster!A23</f>
        <v>mandag</v>
      </c>
      <c r="C23" t="str">
        <f>ankomster!D23</f>
        <v>-</v>
      </c>
      <c r="D23" t="str">
        <f>[1]ankomster!E23</f>
        <v>-</v>
      </c>
      <c r="E23" t="str">
        <f>IFERROR(VLOOKUP(D23,[1]Database!$A$2:$L$175,2,FALSE),"-")</f>
        <v>-</v>
      </c>
      <c r="F23" t="str">
        <f>[1]ankomster!J23</f>
        <v>-</v>
      </c>
      <c r="G23" t="str">
        <f>IFERROR(VLOOKUP(F23,[1]Database!$A$2:$L$175,2,FALSE),"-")</f>
        <v>-</v>
      </c>
      <c r="H23">
        <f>[1]ankomster!O23</f>
        <v>107</v>
      </c>
      <c r="I23" t="str">
        <f>IFERROR(VLOOKUP(H23,[1]Database!$A$2:$L$175,2,FALSE),"-")</f>
        <v>Marcia Swinney-Shay</v>
      </c>
      <c r="J23" s="79" t="str">
        <f>[1]ankomster!T23</f>
        <v>-</v>
      </c>
      <c r="K23" t="str">
        <f>IFERROR(VLOOKUP(J23,[1]Database!$A$2:$L$175,2,FALSE),"-")</f>
        <v>-</v>
      </c>
      <c r="L23" t="str">
        <f>[1]ankomster!Y23</f>
        <v>-</v>
      </c>
      <c r="M23" t="str">
        <f>IFERROR(VLOOKUP(L23,[1]Database!$A$2:$L$175,2,FALSE),"-")</f>
        <v>-</v>
      </c>
    </row>
    <row r="24" spans="1:13" x14ac:dyDescent="0.35">
      <c r="A24" s="26">
        <v>46161</v>
      </c>
      <c r="B24" t="str">
        <f>[1]ankomster!A24</f>
        <v>tirsdag</v>
      </c>
      <c r="C24" t="str">
        <f>ankomster!D24</f>
        <v>-</v>
      </c>
      <c r="D24" t="str">
        <f>[1]ankomster!E24</f>
        <v>-</v>
      </c>
      <c r="E24" t="str">
        <f>IFERROR(VLOOKUP(D24,[1]Database!$A$2:$L$175,2,FALSE),"-")</f>
        <v>-</v>
      </c>
      <c r="F24" t="str">
        <f>[1]ankomster!J24</f>
        <v>-</v>
      </c>
      <c r="G24" t="str">
        <f>IFERROR(VLOOKUP(F24,[1]Database!$A$2:$L$175,2,FALSE),"-")</f>
        <v>-</v>
      </c>
      <c r="H24" t="str">
        <f>[1]ankomster!O24</f>
        <v>-</v>
      </c>
      <c r="I24" t="str">
        <f>IFERROR(VLOOKUP(H24,[1]Database!$A$2:$L$175,2,FALSE),"-")</f>
        <v>-</v>
      </c>
      <c r="J24" s="79" t="str">
        <f>[1]ankomster!T24</f>
        <v>-</v>
      </c>
      <c r="K24" t="str">
        <f>IFERROR(VLOOKUP(J24,[1]Database!$A$2:$L$175,2,FALSE),"-")</f>
        <v>-</v>
      </c>
      <c r="L24" t="str">
        <f>[1]ankomster!Y24</f>
        <v>-</v>
      </c>
      <c r="M24" t="str">
        <f>IFERROR(VLOOKUP(L24,[1]Database!$A$2:$L$175,2,FALSE),"-")</f>
        <v>-</v>
      </c>
    </row>
    <row r="25" spans="1:13" x14ac:dyDescent="0.35">
      <c r="A25" s="26">
        <v>46162</v>
      </c>
      <c r="B25" t="str">
        <f>[1]ankomster!A25</f>
        <v>onsdag</v>
      </c>
      <c r="C25" t="str">
        <f>ankomster!D25</f>
        <v>-</v>
      </c>
      <c r="D25" t="str">
        <f>[1]ankomster!E25</f>
        <v>-</v>
      </c>
      <c r="E25" t="str">
        <f>IFERROR(VLOOKUP(D25,[1]Database!$A$2:$L$175,2,FALSE),"-")</f>
        <v>-</v>
      </c>
      <c r="F25" t="str">
        <f>[1]ankomster!J25</f>
        <v>-</v>
      </c>
      <c r="G25" t="str">
        <f>IFERROR(VLOOKUP(F25,[1]Database!$A$2:$L$175,2,FALSE),"-")</f>
        <v>-</v>
      </c>
      <c r="H25" t="str">
        <f>[1]ankomster!O25</f>
        <v>-</v>
      </c>
      <c r="I25" t="str">
        <f>IFERROR(VLOOKUP(H25,[1]Database!$A$2:$L$175,2,FALSE),"-")</f>
        <v>-</v>
      </c>
      <c r="J25" s="79" t="str">
        <f>[1]ankomster!T25</f>
        <v>-</v>
      </c>
      <c r="K25" t="str">
        <f>IFERROR(VLOOKUP(J25,[1]Database!$A$2:$L$175,2,FALSE),"-")</f>
        <v>-</v>
      </c>
      <c r="L25" t="str">
        <f>[1]ankomster!Y25</f>
        <v>-</v>
      </c>
      <c r="M25" t="str">
        <f>IFERROR(VLOOKUP(L25,[1]Database!$A$2:$L$175,2,FALSE),"-")</f>
        <v>-</v>
      </c>
    </row>
    <row r="26" spans="1:13" x14ac:dyDescent="0.35">
      <c r="A26" s="26">
        <v>46163</v>
      </c>
      <c r="B26" t="str">
        <f>[1]ankomster!A26</f>
        <v>torsdag</v>
      </c>
      <c r="C26" t="str">
        <f>ankomster!D26</f>
        <v>-</v>
      </c>
      <c r="D26">
        <f>[1]ankomster!E26</f>
        <v>20</v>
      </c>
      <c r="E26" t="str">
        <f>IFERROR(VLOOKUP(D26,[1]Database!$A$2:$L$175,2,FALSE),"-")</f>
        <v>Susan Hart</v>
      </c>
      <c r="F26">
        <f>[1]ankomster!J26</f>
        <v>20</v>
      </c>
      <c r="G26" t="str">
        <f>IFERROR(VLOOKUP(F26,[1]Database!$A$2:$L$175,2,FALSE),"-")</f>
        <v>Susan Hart</v>
      </c>
      <c r="H26" t="str">
        <f>[1]ankomster!O26</f>
        <v>-</v>
      </c>
      <c r="I26" t="str">
        <f>IFERROR(VLOOKUP(H26,[1]Database!$A$2:$L$175,2,FALSE),"-")</f>
        <v>-</v>
      </c>
      <c r="J26" s="79">
        <f>[1]ankomster!T26</f>
        <v>20</v>
      </c>
      <c r="K26" t="str">
        <f>IFERROR(VLOOKUP(J26,[1]Database!$A$2:$L$175,2,FALSE),"-")</f>
        <v>Susan Hart</v>
      </c>
      <c r="L26" t="str">
        <f>[1]ankomster!Y26</f>
        <v>-</v>
      </c>
      <c r="M26" t="str">
        <f>IFERROR(VLOOKUP(L26,[1]Database!$A$2:$L$175,2,FALSE),"-")</f>
        <v>-</v>
      </c>
    </row>
    <row r="27" spans="1:13" x14ac:dyDescent="0.35">
      <c r="A27" s="26">
        <v>46164</v>
      </c>
      <c r="B27" t="str">
        <f>[1]ankomster!A27</f>
        <v>fredag</v>
      </c>
      <c r="C27" t="str">
        <f>ankomster!D27</f>
        <v>-</v>
      </c>
      <c r="D27" t="str">
        <f>[1]ankomster!E27</f>
        <v>-</v>
      </c>
      <c r="E27" t="str">
        <f>IFERROR(VLOOKUP(D27,[1]Database!$A$2:$L$175,2,FALSE),"-")</f>
        <v>-</v>
      </c>
      <c r="F27" t="str">
        <f>[1]ankomster!J27</f>
        <v>-</v>
      </c>
      <c r="G27" t="str">
        <f>IFERROR(VLOOKUP(F27,[1]Database!$A$2:$L$175,2,FALSE),"-")</f>
        <v>-</v>
      </c>
      <c r="H27" t="str">
        <f>[1]ankomster!O27</f>
        <v>-</v>
      </c>
      <c r="I27" t="str">
        <f>IFERROR(VLOOKUP(H27,[1]Database!$A$2:$L$175,2,FALSE),"-")</f>
        <v>-</v>
      </c>
      <c r="J27" s="79" t="str">
        <f>[1]ankomster!T27</f>
        <v>-</v>
      </c>
      <c r="K27" t="str">
        <f>IFERROR(VLOOKUP(J27,[1]Database!$A$2:$L$175,2,FALSE),"-")</f>
        <v>-</v>
      </c>
      <c r="L27" t="str">
        <f>[1]ankomster!Y27</f>
        <v>-</v>
      </c>
      <c r="M27" t="str">
        <f>IFERROR(VLOOKUP(L27,[1]Database!$A$2:$L$175,2,FALSE),"-")</f>
        <v>-</v>
      </c>
    </row>
    <row r="28" spans="1:13" x14ac:dyDescent="0.35">
      <c r="A28" s="26">
        <v>46165</v>
      </c>
      <c r="B28" t="str">
        <f>[1]ankomster!A28</f>
        <v>lørdag</v>
      </c>
      <c r="C28" t="str">
        <f>ankomster!D28</f>
        <v>-</v>
      </c>
      <c r="D28" t="str">
        <f>[1]ankomster!E28</f>
        <v>-</v>
      </c>
      <c r="E28" t="str">
        <f>IFERROR(VLOOKUP(D28,[1]Database!$A$2:$L$175,2,FALSE),"-")</f>
        <v>-</v>
      </c>
      <c r="F28" t="str">
        <f>[1]ankomster!J28</f>
        <v>-</v>
      </c>
      <c r="G28" t="str">
        <f>IFERROR(VLOOKUP(F28,[1]Database!$A$2:$L$175,2,FALSE),"-")</f>
        <v>-</v>
      </c>
      <c r="H28" t="str">
        <f>[1]ankomster!O28</f>
        <v>-</v>
      </c>
      <c r="I28" t="str">
        <f>IFERROR(VLOOKUP(H28,[1]Database!$A$2:$L$175,2,FALSE),"-")</f>
        <v>-</v>
      </c>
      <c r="J28" s="79" t="str">
        <f>[1]ankomster!T28</f>
        <v>-</v>
      </c>
      <c r="K28" t="str">
        <f>IFERROR(VLOOKUP(J28,[1]Database!$A$2:$L$175,2,FALSE),"-")</f>
        <v>-</v>
      </c>
      <c r="L28" t="str">
        <f>[1]ankomster!Y28</f>
        <v>-</v>
      </c>
      <c r="M28" t="str">
        <f>IFERROR(VLOOKUP(L28,[1]Database!$A$2:$L$175,2,FALSE),"-")</f>
        <v>-</v>
      </c>
    </row>
    <row r="29" spans="1:13" x14ac:dyDescent="0.35">
      <c r="A29" s="26">
        <v>46166</v>
      </c>
      <c r="B29" t="str">
        <f>[1]ankomster!A29</f>
        <v>søndag</v>
      </c>
      <c r="C29" t="str">
        <f>ankomster!D29</f>
        <v>-</v>
      </c>
      <c r="D29" t="str">
        <f>[1]ankomster!E29</f>
        <v>-</v>
      </c>
      <c r="E29" t="str">
        <f>IFERROR(VLOOKUP(D29,[1]Database!$A$2:$L$175,2,FALSE),"-")</f>
        <v>-</v>
      </c>
      <c r="F29" t="str">
        <f>[1]ankomster!J29</f>
        <v>-</v>
      </c>
      <c r="G29" t="str">
        <f>IFERROR(VLOOKUP(F29,[1]Database!$A$2:$L$175,2,FALSE),"-")</f>
        <v>-</v>
      </c>
      <c r="H29" t="str">
        <f>[1]ankomster!O29</f>
        <v>-</v>
      </c>
      <c r="I29" t="str">
        <f>IFERROR(VLOOKUP(H29,[1]Database!$A$2:$L$175,2,FALSE),"-")</f>
        <v>-</v>
      </c>
      <c r="J29" s="79" t="str">
        <f>[1]ankomster!T29</f>
        <v>-</v>
      </c>
      <c r="K29" t="str">
        <f>IFERROR(VLOOKUP(J29,[1]Database!$A$2:$L$175,2,FALSE),"-")</f>
        <v>-</v>
      </c>
      <c r="L29" t="str">
        <f>[1]ankomster!Y29</f>
        <v>-</v>
      </c>
      <c r="M29" t="str">
        <f>IFERROR(VLOOKUP(L29,[1]Database!$A$2:$L$175,2,FALSE),"-")</f>
        <v>-</v>
      </c>
    </row>
    <row r="30" spans="1:13" x14ac:dyDescent="0.35">
      <c r="A30" s="26">
        <v>46167</v>
      </c>
      <c r="B30" t="str">
        <f>[1]ankomster!A30</f>
        <v>mandag</v>
      </c>
      <c r="C30" t="str">
        <f>ankomster!D30</f>
        <v>-</v>
      </c>
      <c r="D30" t="str">
        <f>[1]ankomster!E30</f>
        <v>-</v>
      </c>
      <c r="E30" t="str">
        <f>IFERROR(VLOOKUP(D30,[1]Database!$A$2:$L$175,2,FALSE),"-")</f>
        <v>-</v>
      </c>
      <c r="F30" t="str">
        <f>[1]ankomster!J30</f>
        <v>-</v>
      </c>
      <c r="G30" t="str">
        <f>IFERROR(VLOOKUP(F30,[1]Database!$A$2:$L$175,2,FALSE),"-")</f>
        <v>-</v>
      </c>
      <c r="H30" t="str">
        <f>[1]ankomster!O30</f>
        <v>-</v>
      </c>
      <c r="I30" t="str">
        <f>IFERROR(VLOOKUP(H30,[1]Database!$A$2:$L$175,2,FALSE),"-")</f>
        <v>-</v>
      </c>
      <c r="J30" s="79" t="str">
        <f>[1]ankomster!T30</f>
        <v>-</v>
      </c>
      <c r="K30" t="str">
        <f>IFERROR(VLOOKUP(J30,[1]Database!$A$2:$L$175,2,FALSE),"-")</f>
        <v>-</v>
      </c>
      <c r="L30" t="str">
        <f>[1]ankomster!Y30</f>
        <v>-</v>
      </c>
      <c r="M30" t="str">
        <f>IFERROR(VLOOKUP(L30,[1]Database!$A$2:$L$175,2,FALSE),"-")</f>
        <v>-</v>
      </c>
    </row>
    <row r="31" spans="1:13" x14ac:dyDescent="0.35">
      <c r="A31" s="26">
        <v>46168</v>
      </c>
      <c r="B31" t="str">
        <f>[1]ankomster!A31</f>
        <v>tirsdag</v>
      </c>
      <c r="C31" t="str">
        <f>ankomster!D31</f>
        <v>-</v>
      </c>
      <c r="D31" t="str">
        <f>[1]ankomster!E31</f>
        <v>-</v>
      </c>
      <c r="E31" t="str">
        <f>IFERROR(VLOOKUP(D31,[1]Database!$A$2:$L$175,2,FALSE),"-")</f>
        <v>-</v>
      </c>
      <c r="F31" t="str">
        <f>[1]ankomster!J31</f>
        <v>-</v>
      </c>
      <c r="G31" t="str">
        <f>IFERROR(VLOOKUP(F31,[1]Database!$A$2:$L$175,2,FALSE),"-")</f>
        <v>-</v>
      </c>
      <c r="H31" t="str">
        <f>[1]ankomster!O31</f>
        <v>-</v>
      </c>
      <c r="I31" t="str">
        <f>IFERROR(VLOOKUP(H31,[1]Database!$A$2:$L$175,2,FALSE),"-")</f>
        <v>-</v>
      </c>
      <c r="J31" s="79" t="str">
        <f>[1]ankomster!T31</f>
        <v>-</v>
      </c>
      <c r="K31" t="str">
        <f>IFERROR(VLOOKUP(J31,[1]Database!$A$2:$L$175,2,FALSE),"-")</f>
        <v>-</v>
      </c>
      <c r="L31" t="str">
        <f>[1]ankomster!Y31</f>
        <v>-</v>
      </c>
      <c r="M31" t="str">
        <f>IFERROR(VLOOKUP(L31,[1]Database!$A$2:$L$175,2,FALSE),"-")</f>
        <v>-</v>
      </c>
    </row>
    <row r="32" spans="1:13" x14ac:dyDescent="0.35">
      <c r="A32" s="26">
        <v>46169</v>
      </c>
      <c r="B32" t="str">
        <f>[1]ankomster!A32</f>
        <v>onsdag</v>
      </c>
      <c r="C32" t="str">
        <f>ankomster!D32</f>
        <v>-</v>
      </c>
      <c r="D32" t="str">
        <f>[1]ankomster!E32</f>
        <v>-</v>
      </c>
      <c r="E32" t="str">
        <f>IFERROR(VLOOKUP(D32,[1]Database!$A$2:$L$175,2,FALSE),"-")</f>
        <v>-</v>
      </c>
      <c r="F32" t="str">
        <f>[1]ankomster!J32</f>
        <v>-</v>
      </c>
      <c r="G32" t="str">
        <f>IFERROR(VLOOKUP(F32,[1]Database!$A$2:$L$175,2,FALSE),"-")</f>
        <v>-</v>
      </c>
      <c r="H32">
        <f>[1]ankomster!O32</f>
        <v>5</v>
      </c>
      <c r="I32" t="str">
        <f>IFERROR(VLOOKUP(H32,[1]Database!$A$2:$L$175,2,FALSE),"-")</f>
        <v>Birgitte Poulsen</v>
      </c>
      <c r="J32" s="79" t="str">
        <f>[1]ankomster!T32</f>
        <v>-</v>
      </c>
      <c r="K32" t="str">
        <f>IFERROR(VLOOKUP(J32,[1]Database!$A$2:$L$175,2,FALSE),"-")</f>
        <v>-</v>
      </c>
      <c r="L32" t="str">
        <f>[1]ankomster!Y32</f>
        <v>-</v>
      </c>
      <c r="M32" t="str">
        <f>IFERROR(VLOOKUP(L32,[1]Database!$A$2:$L$175,2,FALSE),"-")</f>
        <v>-</v>
      </c>
    </row>
    <row r="33" spans="1:13" x14ac:dyDescent="0.35">
      <c r="A33" s="26">
        <v>46170</v>
      </c>
      <c r="B33" t="str">
        <f>[1]ankomster!A33</f>
        <v>torsdag</v>
      </c>
      <c r="C33" t="str">
        <f>ankomster!D33</f>
        <v>-</v>
      </c>
      <c r="D33" t="str">
        <f>[1]ankomster!E33</f>
        <v>-</v>
      </c>
      <c r="E33" t="str">
        <f>IFERROR(VLOOKUP(D33,[1]Database!$A$2:$L$175,2,FALSE),"-")</f>
        <v>-</v>
      </c>
      <c r="F33" t="str">
        <f>[1]ankomster!J33</f>
        <v>-</v>
      </c>
      <c r="G33" t="str">
        <f>IFERROR(VLOOKUP(F33,[1]Database!$A$2:$L$175,2,FALSE),"-")</f>
        <v>-</v>
      </c>
      <c r="H33" t="str">
        <f>[1]ankomster!O33</f>
        <v>-</v>
      </c>
      <c r="I33" t="str">
        <f>IFERROR(VLOOKUP(H33,[1]Database!$A$2:$L$175,2,FALSE),"-")</f>
        <v>-</v>
      </c>
      <c r="J33" s="79" t="str">
        <f>[1]ankomster!T33</f>
        <v>-</v>
      </c>
      <c r="K33" t="str">
        <f>IFERROR(VLOOKUP(J33,[1]Database!$A$2:$L$175,2,FALSE),"-")</f>
        <v>-</v>
      </c>
      <c r="L33" t="str">
        <f>[1]ankomster!Y33</f>
        <v>-</v>
      </c>
      <c r="M33" t="str">
        <f>IFERROR(VLOOKUP(L33,[1]Database!$A$2:$L$175,2,FALSE),"-")</f>
        <v>-</v>
      </c>
    </row>
    <row r="34" spans="1:13" x14ac:dyDescent="0.35">
      <c r="A34" s="26">
        <v>46171</v>
      </c>
      <c r="B34" t="str">
        <f>[1]ankomster!A34</f>
        <v>fredag</v>
      </c>
      <c r="C34" t="str">
        <f>ankomster!D34</f>
        <v>-</v>
      </c>
      <c r="D34" t="str">
        <f>[1]ankomster!E34</f>
        <v>-</v>
      </c>
      <c r="E34" t="str">
        <f>IFERROR(VLOOKUP(D34,[1]Database!$A$2:$L$175,2,FALSE),"-")</f>
        <v>-</v>
      </c>
      <c r="F34" t="str">
        <f>[1]ankomster!J34</f>
        <v>-</v>
      </c>
      <c r="G34" t="str">
        <f>IFERROR(VLOOKUP(F34,[1]Database!$A$2:$L$175,2,FALSE),"-")</f>
        <v>-</v>
      </c>
      <c r="H34" t="str">
        <f>[1]ankomster!O34</f>
        <v>-</v>
      </c>
      <c r="I34" t="str">
        <f>IFERROR(VLOOKUP(H34,[1]Database!$A$2:$L$175,2,FALSE),"-")</f>
        <v>-</v>
      </c>
      <c r="J34" s="79" t="str">
        <f>[1]ankomster!T34</f>
        <v>-</v>
      </c>
      <c r="K34" t="str">
        <f>IFERROR(VLOOKUP(J34,[1]Database!$A$2:$L$175,2,FALSE),"-")</f>
        <v>-</v>
      </c>
      <c r="L34">
        <f>[1]ankomster!Y34</f>
        <v>99</v>
      </c>
      <c r="M34" t="str">
        <f>IFERROR(VLOOKUP(L34,[1]Database!$A$2:$L$175,2,FALSE),"-")</f>
        <v>Torben Sømberg</v>
      </c>
    </row>
    <row r="35" spans="1:13" x14ac:dyDescent="0.35">
      <c r="A35" s="26">
        <v>46172</v>
      </c>
      <c r="B35" t="str">
        <f>[1]ankomster!A35</f>
        <v>lørdag</v>
      </c>
      <c r="C35" t="str">
        <f>ankomster!D35</f>
        <v>-</v>
      </c>
      <c r="D35" t="str">
        <f>[1]ankomster!E35</f>
        <v>-</v>
      </c>
      <c r="E35" t="str">
        <f>IFERROR(VLOOKUP(D35,[1]Database!$A$2:$L$175,2,FALSE),"-")</f>
        <v>-</v>
      </c>
      <c r="F35" t="str">
        <f>[1]ankomster!J35</f>
        <v>-</v>
      </c>
      <c r="G35" t="str">
        <f>IFERROR(VLOOKUP(F35,[1]Database!$A$2:$L$175,2,FALSE),"-")</f>
        <v>-</v>
      </c>
      <c r="H35" t="str">
        <f>[1]ankomster!O35</f>
        <v>-</v>
      </c>
      <c r="I35" t="str">
        <f>IFERROR(VLOOKUP(H35,[1]Database!$A$2:$L$175,2,FALSE),"-")</f>
        <v>-</v>
      </c>
      <c r="J35" s="79" t="str">
        <f>[1]ankomster!T35</f>
        <v>-</v>
      </c>
      <c r="K35" t="str">
        <f>IFERROR(VLOOKUP(J35,[1]Database!$A$2:$L$175,2,FALSE),"-")</f>
        <v>-</v>
      </c>
      <c r="L35" t="str">
        <f>[1]ankomster!Y35</f>
        <v>-</v>
      </c>
      <c r="M35" t="str">
        <f>IFERROR(VLOOKUP(L35,[1]Database!$A$2:$L$175,2,FALSE),"-")</f>
        <v>-</v>
      </c>
    </row>
    <row r="36" spans="1:13" x14ac:dyDescent="0.35">
      <c r="A36" s="26">
        <v>46173</v>
      </c>
      <c r="B36" t="str">
        <f>[1]ankomster!A36</f>
        <v>søndag</v>
      </c>
      <c r="C36" t="str">
        <f>ankomster!D36</f>
        <v>-</v>
      </c>
      <c r="D36">
        <f>[1]ankomster!E36</f>
        <v>117</v>
      </c>
      <c r="E36" t="str">
        <f>IFERROR(VLOOKUP(D36,[1]Database!$A$2:$L$175,2,FALSE),"-")</f>
        <v>Jette Hansen</v>
      </c>
      <c r="F36">
        <f>[1]ankomster!J36</f>
        <v>79</v>
      </c>
      <c r="G36" t="str">
        <f>IFERROR(VLOOKUP(F36,[1]Database!$A$2:$L$175,2,FALSE),"-")</f>
        <v>Claus Kaae</v>
      </c>
      <c r="H36" t="str">
        <f>[1]ankomster!O36</f>
        <v>-</v>
      </c>
      <c r="I36" t="str">
        <f>IFERROR(VLOOKUP(H36,[1]Database!$A$2:$L$175,2,FALSE),"-")</f>
        <v>-</v>
      </c>
      <c r="J36" s="79" t="str">
        <f>[1]ankomster!T36</f>
        <v>-</v>
      </c>
      <c r="K36" t="str">
        <f>IFERROR(VLOOKUP(J36,[1]Database!$A$2:$L$175,2,FALSE),"-")</f>
        <v>-</v>
      </c>
      <c r="L36" t="str">
        <f>[1]ankomster!Y36</f>
        <v>-</v>
      </c>
      <c r="M36" t="str">
        <f>IFERROR(VLOOKUP(L36,[1]Database!$A$2:$L$175,2,FALSE),"-")</f>
        <v>-</v>
      </c>
    </row>
    <row r="37" spans="1:13" x14ac:dyDescent="0.35">
      <c r="A37" s="26">
        <v>46174</v>
      </c>
      <c r="B37" t="str">
        <f>[1]ankomster!A37</f>
        <v>mandag</v>
      </c>
      <c r="C37" t="str">
        <f>ankomster!D37</f>
        <v>-</v>
      </c>
      <c r="D37" t="str">
        <f>[1]ankomster!E37</f>
        <v>-</v>
      </c>
      <c r="E37" t="str">
        <f>IFERROR(VLOOKUP(D37,[1]Database!$A$2:$L$175,2,FALSE),"-")</f>
        <v>-</v>
      </c>
      <c r="F37" t="str">
        <f>[1]ankomster!J37</f>
        <v>-</v>
      </c>
      <c r="G37" t="str">
        <f>IFERROR(VLOOKUP(F37,[1]Database!$A$2:$L$175,2,FALSE),"-")</f>
        <v>-</v>
      </c>
      <c r="H37" t="str">
        <f>[1]ankomster!O37</f>
        <v>-</v>
      </c>
      <c r="I37" t="str">
        <f>IFERROR(VLOOKUP(H37,[1]Database!$A$2:$L$175,2,FALSE),"-")</f>
        <v>-</v>
      </c>
      <c r="J37" s="79" t="str">
        <f>[1]ankomster!T37</f>
        <v>-</v>
      </c>
      <c r="K37" t="str">
        <f>IFERROR(VLOOKUP(J37,[1]Database!$A$2:$L$175,2,FALSE),"-")</f>
        <v>-</v>
      </c>
      <c r="L37" t="str">
        <f>[1]ankomster!Y37</f>
        <v>-</v>
      </c>
      <c r="M37" t="str">
        <f>IFERROR(VLOOKUP(L37,[1]Database!$A$2:$L$175,2,FALSE),"-")</f>
        <v>-</v>
      </c>
    </row>
    <row r="38" spans="1:13" x14ac:dyDescent="0.35">
      <c r="A38" s="26">
        <v>46175</v>
      </c>
      <c r="B38" t="str">
        <f>[1]ankomster!A38</f>
        <v>tirsdag</v>
      </c>
      <c r="C38" t="str">
        <f>ankomster!D38</f>
        <v>-</v>
      </c>
      <c r="D38" t="str">
        <f>[1]ankomster!E38</f>
        <v>-</v>
      </c>
      <c r="E38" t="str">
        <f>IFERROR(VLOOKUP(D38,[1]Database!$A$2:$L$175,2,FALSE),"-")</f>
        <v>-</v>
      </c>
      <c r="F38" t="str">
        <f>[1]ankomster!J38</f>
        <v>-</v>
      </c>
      <c r="G38" t="str">
        <f>IFERROR(VLOOKUP(F38,[1]Database!$A$2:$L$175,2,FALSE),"-")</f>
        <v>-</v>
      </c>
      <c r="H38" t="str">
        <f>[1]ankomster!O38</f>
        <v>-</v>
      </c>
      <c r="I38" t="str">
        <f>IFERROR(VLOOKUP(H38,[1]Database!$A$2:$L$175,2,FALSE),"-")</f>
        <v>-</v>
      </c>
      <c r="J38" s="79" t="str">
        <f>[1]ankomster!T38</f>
        <v>-</v>
      </c>
      <c r="K38" t="str">
        <f>IFERROR(VLOOKUP(J38,[1]Database!$A$2:$L$175,2,FALSE),"-")</f>
        <v>-</v>
      </c>
      <c r="L38">
        <f>[1]ankomster!Y38</f>
        <v>12</v>
      </c>
      <c r="M38" t="str">
        <f>IFERROR(VLOOKUP(L38,[1]Database!$A$2:$L$175,2,FALSE),"-")</f>
        <v>Stig Prehn</v>
      </c>
    </row>
    <row r="39" spans="1:13" x14ac:dyDescent="0.35">
      <c r="A39" s="26">
        <v>46176</v>
      </c>
      <c r="B39" t="str">
        <f>[1]ankomster!A39</f>
        <v>onsdag</v>
      </c>
      <c r="C39" t="str">
        <f>ankomster!D39</f>
        <v>-</v>
      </c>
      <c r="D39" t="str">
        <f>[1]ankomster!E39</f>
        <v>-</v>
      </c>
      <c r="E39" t="str">
        <f>IFERROR(VLOOKUP(D39,[1]Database!$A$2:$L$175,2,FALSE),"-")</f>
        <v>-</v>
      </c>
      <c r="F39" t="str">
        <f>[1]ankomster!J39</f>
        <v>-</v>
      </c>
      <c r="G39" t="str">
        <f>IFERROR(VLOOKUP(F39,[1]Database!$A$2:$L$175,2,FALSE),"-")</f>
        <v>-</v>
      </c>
      <c r="H39">
        <f>[1]ankomster!O39</f>
        <v>27</v>
      </c>
      <c r="I39" t="str">
        <f>IFERROR(VLOOKUP(H39,[1]Database!$A$2:$L$175,2,FALSE),"-")</f>
        <v>Eigil Holm Nielsen</v>
      </c>
      <c r="J39" s="79" t="str">
        <f>[1]ankomster!T39</f>
        <v>-</v>
      </c>
      <c r="K39" t="str">
        <f>IFERROR(VLOOKUP(J39,[1]Database!$A$2:$L$175,2,FALSE),"-")</f>
        <v>-</v>
      </c>
      <c r="L39" t="str">
        <f>[1]ankomster!Y39</f>
        <v>-</v>
      </c>
      <c r="M39" t="str">
        <f>IFERROR(VLOOKUP(L39,[1]Database!$A$2:$L$175,2,FALSE),"-")</f>
        <v>-</v>
      </c>
    </row>
    <row r="40" spans="1:13" x14ac:dyDescent="0.35">
      <c r="A40" s="26">
        <v>46177</v>
      </c>
      <c r="B40" t="str">
        <f>[1]ankomster!A40</f>
        <v>torsdag</v>
      </c>
      <c r="C40" t="str">
        <f>ankomster!D40</f>
        <v>-</v>
      </c>
      <c r="D40" t="str">
        <f>[1]ankomster!E40</f>
        <v>-</v>
      </c>
      <c r="E40" t="str">
        <f>IFERROR(VLOOKUP(D40,[1]Database!$A$2:$L$175,2,FALSE),"-")</f>
        <v>-</v>
      </c>
      <c r="F40" t="str">
        <f>[1]ankomster!J40</f>
        <v>-</v>
      </c>
      <c r="G40" t="str">
        <f>IFERROR(VLOOKUP(F40,[1]Database!$A$2:$L$175,2,FALSE),"-")</f>
        <v>-</v>
      </c>
      <c r="H40" t="str">
        <f>[1]ankomster!O40</f>
        <v>-</v>
      </c>
      <c r="I40" t="str">
        <f>IFERROR(VLOOKUP(H40,[1]Database!$A$2:$L$175,2,FALSE),"-")</f>
        <v>-</v>
      </c>
      <c r="J40" s="79">
        <f>[1]ankomster!T40</f>
        <v>116</v>
      </c>
      <c r="K40" t="str">
        <f>IFERROR(VLOOKUP(J40,[1]Database!$A$2:$L$175,2,FALSE),"-")</f>
        <v>Lucas Larsen</v>
      </c>
      <c r="L40" t="str">
        <f>[1]ankomster!Y40</f>
        <v>-</v>
      </c>
      <c r="M40" t="str">
        <f>IFERROR(VLOOKUP(L40,[1]Database!$A$2:$L$175,2,FALSE),"-")</f>
        <v>-</v>
      </c>
    </row>
    <row r="41" spans="1:13" x14ac:dyDescent="0.35">
      <c r="A41" s="26">
        <v>46178</v>
      </c>
      <c r="B41" t="str">
        <f>[1]ankomster!A41</f>
        <v>fredag</v>
      </c>
      <c r="C41" t="str">
        <f>ankomster!D41</f>
        <v>-</v>
      </c>
      <c r="D41">
        <f>[1]ankomster!E41</f>
        <v>6</v>
      </c>
      <c r="E41" t="str">
        <f>IFERROR(VLOOKUP(D41,[1]Database!$A$2:$L$175,2,FALSE),"-")</f>
        <v>Sanne Østrup</v>
      </c>
      <c r="F41">
        <f>[1]ankomster!J41</f>
        <v>6</v>
      </c>
      <c r="G41" t="str">
        <f>IFERROR(VLOOKUP(F41,[1]Database!$A$2:$L$175,2,FALSE),"-")</f>
        <v>Sanne Østrup</v>
      </c>
      <c r="H41" t="str">
        <f>[1]ankomster!O41</f>
        <v>-</v>
      </c>
      <c r="I41" t="str">
        <f>IFERROR(VLOOKUP(H41,[1]Database!$A$2:$L$175,2,FALSE),"-")</f>
        <v>-</v>
      </c>
      <c r="J41" s="79" t="str">
        <f>[1]ankomster!T41</f>
        <v>-</v>
      </c>
      <c r="K41" t="str">
        <f>IFERROR(VLOOKUP(J41,[1]Database!$A$2:$L$175,2,FALSE),"-")</f>
        <v>-</v>
      </c>
      <c r="L41" t="str">
        <f>[1]ankomster!Y41</f>
        <v>-</v>
      </c>
      <c r="M41" t="str">
        <f>IFERROR(VLOOKUP(L41,[1]Database!$A$2:$L$175,2,FALSE),"-")</f>
        <v>-</v>
      </c>
    </row>
    <row r="42" spans="1:13" x14ac:dyDescent="0.35">
      <c r="A42" s="26">
        <v>46179</v>
      </c>
      <c r="B42" t="str">
        <f>[1]ankomster!A42</f>
        <v>lørdag</v>
      </c>
      <c r="C42" t="str">
        <f>ankomster!D42</f>
        <v>-</v>
      </c>
      <c r="D42" t="str">
        <f>[1]ankomster!E42</f>
        <v>-</v>
      </c>
      <c r="E42" t="str">
        <f>IFERROR(VLOOKUP(D42,[1]Database!$A$2:$L$175,2,FALSE),"-")</f>
        <v>-</v>
      </c>
      <c r="F42" t="str">
        <f>[1]ankomster!J42</f>
        <v>-</v>
      </c>
      <c r="G42" t="str">
        <f>IFERROR(VLOOKUP(F42,[1]Database!$A$2:$L$175,2,FALSE),"-")</f>
        <v>-</v>
      </c>
      <c r="H42" t="str">
        <f>[1]ankomster!O42</f>
        <v>-</v>
      </c>
      <c r="I42" t="str">
        <f>IFERROR(VLOOKUP(H42,[1]Database!$A$2:$L$175,2,FALSE),"-")</f>
        <v>-</v>
      </c>
      <c r="J42" s="79" t="str">
        <f>[1]ankomster!T42</f>
        <v>-</v>
      </c>
      <c r="K42" t="str">
        <f>IFERROR(VLOOKUP(J42,[1]Database!$A$2:$L$175,2,FALSE),"-")</f>
        <v>-</v>
      </c>
      <c r="L42">
        <f>[1]ankomster!Y42</f>
        <v>119</v>
      </c>
      <c r="M42" t="str">
        <f>IFERROR(VLOOKUP(L42,[1]Database!$A$2:$L$175,2,FALSE),"-")</f>
        <v>Thomas Negrini</v>
      </c>
    </row>
    <row r="43" spans="1:13" x14ac:dyDescent="0.35">
      <c r="A43" s="26">
        <v>46180</v>
      </c>
      <c r="B43" t="str">
        <f>[1]ankomster!A43</f>
        <v>søndag</v>
      </c>
      <c r="C43" t="str">
        <f>ankomster!D43</f>
        <v>-</v>
      </c>
      <c r="D43" t="str">
        <f>[1]ankomster!E43</f>
        <v>-</v>
      </c>
      <c r="E43" t="str">
        <f>IFERROR(VLOOKUP(D43,[1]Database!$A$2:$L$175,2,FALSE),"-")</f>
        <v>-</v>
      </c>
      <c r="F43" t="str">
        <f>[1]ankomster!J43</f>
        <v>-</v>
      </c>
      <c r="G43" t="str">
        <f>IFERROR(VLOOKUP(F43,[1]Database!$A$2:$L$175,2,FALSE),"-")</f>
        <v>-</v>
      </c>
      <c r="H43" t="str">
        <f>[1]ankomster!O43</f>
        <v>-</v>
      </c>
      <c r="I43" t="str">
        <f>IFERROR(VLOOKUP(H43,[1]Database!$A$2:$L$175,2,FALSE),"-")</f>
        <v>-</v>
      </c>
      <c r="J43" s="79" t="str">
        <f>[1]ankomster!T43</f>
        <v>-</v>
      </c>
      <c r="K43" t="str">
        <f>IFERROR(VLOOKUP(J43,[1]Database!$A$2:$L$175,2,FALSE),"-")</f>
        <v>-</v>
      </c>
      <c r="L43" t="str">
        <f>[1]ankomster!Y43</f>
        <v>-</v>
      </c>
      <c r="M43" t="str">
        <f>IFERROR(VLOOKUP(L43,[1]Database!$A$2:$L$175,2,FALSE),"-")</f>
        <v>-</v>
      </c>
    </row>
    <row r="44" spans="1:13" x14ac:dyDescent="0.35">
      <c r="A44" s="26">
        <v>46181</v>
      </c>
      <c r="B44" t="str">
        <f>[1]ankomster!A44</f>
        <v>mandag</v>
      </c>
      <c r="C44" t="str">
        <f>ankomster!D44</f>
        <v>-</v>
      </c>
      <c r="D44" t="str">
        <f>[1]ankomster!E44</f>
        <v>-</v>
      </c>
      <c r="E44" t="str">
        <f>IFERROR(VLOOKUP(D44,[1]Database!$A$2:$L$175,2,FALSE),"-")</f>
        <v>-</v>
      </c>
      <c r="F44">
        <f>[1]ankomster!J44</f>
        <v>17</v>
      </c>
      <c r="G44" t="str">
        <f>IFERROR(VLOOKUP(F44,[1]Database!$A$2:$L$175,2,FALSE),"-")</f>
        <v>Lars Thaarbøl</v>
      </c>
      <c r="H44" t="str">
        <f>[1]ankomster!O44</f>
        <v>-</v>
      </c>
      <c r="I44" t="str">
        <f>IFERROR(VLOOKUP(H44,[1]Database!$A$2:$L$175,2,FALSE),"-")</f>
        <v>-</v>
      </c>
      <c r="J44" s="79">
        <f>[1]ankomster!T44</f>
        <v>15</v>
      </c>
      <c r="K44" t="str">
        <f>IFERROR(VLOOKUP(J44,[1]Database!$A$2:$L$175,2,FALSE),"-")</f>
        <v>Niels Kaalund</v>
      </c>
      <c r="L44" t="str">
        <f>[1]ankomster!Y44</f>
        <v>-</v>
      </c>
      <c r="M44" t="str">
        <f>IFERROR(VLOOKUP(L44,[1]Database!$A$2:$L$175,2,FALSE),"-")</f>
        <v>-</v>
      </c>
    </row>
    <row r="45" spans="1:13" x14ac:dyDescent="0.35">
      <c r="A45" s="26">
        <v>46182</v>
      </c>
      <c r="B45" t="str">
        <f>[1]ankomster!A45</f>
        <v>tirsdag</v>
      </c>
      <c r="C45" t="str">
        <f>ankomster!D45</f>
        <v>-</v>
      </c>
      <c r="D45">
        <f>[1]ankomster!E45</f>
        <v>16</v>
      </c>
      <c r="E45" t="str">
        <f>IFERROR(VLOOKUP(D45,[1]Database!$A$2:$L$175,2,FALSE),"-")</f>
        <v>Gitte Horup</v>
      </c>
      <c r="F45" t="str">
        <f>[1]ankomster!J45</f>
        <v>-</v>
      </c>
      <c r="G45" t="str">
        <f>IFERROR(VLOOKUP(F45,[1]Database!$A$2:$L$175,2,FALSE),"-")</f>
        <v>-</v>
      </c>
      <c r="H45">
        <f>[1]ankomster!O45</f>
        <v>18</v>
      </c>
      <c r="I45" t="str">
        <f>IFERROR(VLOOKUP(H45,[1]Database!$A$2:$L$175,2,FALSE),"-")</f>
        <v>Dorte Strøm</v>
      </c>
      <c r="J45" s="79" t="str">
        <f>[1]ankomster!T45</f>
        <v>-</v>
      </c>
      <c r="K45" t="str">
        <f>IFERROR(VLOOKUP(J45,[1]Database!$A$2:$L$175,2,FALSE),"-")</f>
        <v>-</v>
      </c>
      <c r="L45">
        <f>[1]ankomster!Y45</f>
        <v>16</v>
      </c>
      <c r="M45" t="str">
        <f>IFERROR(VLOOKUP(L45,[1]Database!$A$2:$L$175,2,FALSE),"-")</f>
        <v>Gitte Horup</v>
      </c>
    </row>
    <row r="46" spans="1:13" x14ac:dyDescent="0.35">
      <c r="A46" s="26">
        <v>46183</v>
      </c>
      <c r="B46" t="str">
        <f>[1]ankomster!A46</f>
        <v>onsdag</v>
      </c>
      <c r="C46" t="str">
        <f>ankomster!D46</f>
        <v>-</v>
      </c>
      <c r="D46" t="str">
        <f>[1]ankomster!E46</f>
        <v>-</v>
      </c>
      <c r="E46" t="str">
        <f>IFERROR(VLOOKUP(D46,[1]Database!$A$2:$L$175,2,FALSE),"-")</f>
        <v>-</v>
      </c>
      <c r="F46" t="str">
        <f>[1]ankomster!J46</f>
        <v>-</v>
      </c>
      <c r="G46" t="str">
        <f>IFERROR(VLOOKUP(F46,[1]Database!$A$2:$L$175,2,FALSE),"-")</f>
        <v>-</v>
      </c>
      <c r="H46" t="str">
        <f>[1]ankomster!O46</f>
        <v>-</v>
      </c>
      <c r="I46" t="str">
        <f>IFERROR(VLOOKUP(H46,[1]Database!$A$2:$L$175,2,FALSE),"-")</f>
        <v>-</v>
      </c>
      <c r="J46" s="79" t="str">
        <f>[1]ankomster!T46</f>
        <v>-</v>
      </c>
      <c r="K46" t="str">
        <f>IFERROR(VLOOKUP(J46,[1]Database!$A$2:$L$175,2,FALSE),"-")</f>
        <v>-</v>
      </c>
      <c r="L46" t="str">
        <f>[1]ankomster!Y46</f>
        <v>-</v>
      </c>
      <c r="M46" t="str">
        <f>IFERROR(VLOOKUP(L46,[1]Database!$A$2:$L$175,2,FALSE),"-")</f>
        <v>-</v>
      </c>
    </row>
    <row r="47" spans="1:13" x14ac:dyDescent="0.35">
      <c r="A47" s="26">
        <v>46184</v>
      </c>
      <c r="B47" t="str">
        <f>[1]ankomster!A47</f>
        <v>torsdag</v>
      </c>
      <c r="C47" t="str">
        <f>ankomster!D47</f>
        <v>-</v>
      </c>
      <c r="D47" t="str">
        <f>[1]ankomster!E47</f>
        <v>-</v>
      </c>
      <c r="E47" t="str">
        <f>IFERROR(VLOOKUP(D47,[1]Database!$A$2:$L$175,2,FALSE),"-")</f>
        <v>-</v>
      </c>
      <c r="F47" t="str">
        <f>[1]ankomster!J47</f>
        <v>-</v>
      </c>
      <c r="G47" t="str">
        <f>IFERROR(VLOOKUP(F47,[1]Database!$A$2:$L$175,2,FALSE),"-")</f>
        <v>-</v>
      </c>
      <c r="H47" t="str">
        <f>[1]ankomster!O47</f>
        <v>-</v>
      </c>
      <c r="I47" t="str">
        <f>IFERROR(VLOOKUP(H47,[1]Database!$A$2:$L$175,2,FALSE),"-")</f>
        <v>-</v>
      </c>
      <c r="J47" s="79" t="str">
        <f>[1]ankomster!T47</f>
        <v>-</v>
      </c>
      <c r="K47" t="str">
        <f>IFERROR(VLOOKUP(J47,[1]Database!$A$2:$L$175,2,FALSE),"-")</f>
        <v>-</v>
      </c>
      <c r="L47" t="str">
        <f>[1]ankomster!Y47</f>
        <v>-</v>
      </c>
      <c r="M47" t="str">
        <f>IFERROR(VLOOKUP(L47,[1]Database!$A$2:$L$175,2,FALSE),"-")</f>
        <v>-</v>
      </c>
    </row>
    <row r="48" spans="1:13" x14ac:dyDescent="0.35">
      <c r="A48" s="26">
        <v>46185</v>
      </c>
      <c r="B48" t="str">
        <f>[1]ankomster!A48</f>
        <v>fredag</v>
      </c>
      <c r="C48" t="str">
        <f>ankomster!D48</f>
        <v>-</v>
      </c>
      <c r="D48" t="str">
        <f>[1]ankomster!E48</f>
        <v>-</v>
      </c>
      <c r="E48" t="str">
        <f>IFERROR(VLOOKUP(D48,[1]Database!$A$2:$L$175,2,FALSE),"-")</f>
        <v>-</v>
      </c>
      <c r="F48" t="str">
        <f>[1]ankomster!J48</f>
        <v>-</v>
      </c>
      <c r="G48" t="str">
        <f>IFERROR(VLOOKUP(F48,[1]Database!$A$2:$L$175,2,FALSE),"-")</f>
        <v>-</v>
      </c>
      <c r="H48" t="str">
        <f>[1]ankomster!O48</f>
        <v>-</v>
      </c>
      <c r="I48" t="str">
        <f>IFERROR(VLOOKUP(H48,[1]Database!$A$2:$L$175,2,FALSE),"-")</f>
        <v>-</v>
      </c>
      <c r="J48" s="79" t="str">
        <f>[1]ankomster!T48</f>
        <v>-</v>
      </c>
      <c r="K48" t="str">
        <f>IFERROR(VLOOKUP(J48,[1]Database!$A$2:$L$175,2,FALSE),"-")</f>
        <v>-</v>
      </c>
      <c r="L48" t="str">
        <f>[1]ankomster!Y48</f>
        <v>-</v>
      </c>
      <c r="M48" t="str">
        <f>IFERROR(VLOOKUP(L48,[1]Database!$A$2:$L$175,2,FALSE),"-")</f>
        <v>-</v>
      </c>
    </row>
    <row r="49" spans="1:13" x14ac:dyDescent="0.35">
      <c r="A49" s="26">
        <v>46186</v>
      </c>
      <c r="B49" t="str">
        <f>[1]ankomster!A49</f>
        <v>lørdag</v>
      </c>
      <c r="C49" t="str">
        <f>ankomster!D49</f>
        <v>-</v>
      </c>
      <c r="D49" t="str">
        <f>[1]ankomster!E49</f>
        <v>-</v>
      </c>
      <c r="E49" t="str">
        <f>IFERROR(VLOOKUP(D49,[1]Database!$A$2:$L$175,2,FALSE),"-")</f>
        <v>-</v>
      </c>
      <c r="F49" t="str">
        <f>[1]ankomster!J49</f>
        <v>-</v>
      </c>
      <c r="G49" t="str">
        <f>IFERROR(VLOOKUP(F49,[1]Database!$A$2:$L$175,2,FALSE),"-")</f>
        <v>-</v>
      </c>
      <c r="H49" t="str">
        <f>[1]ankomster!O49</f>
        <v>-</v>
      </c>
      <c r="I49" t="str">
        <f>IFERROR(VLOOKUP(H49,[1]Database!$A$2:$L$175,2,FALSE),"-")</f>
        <v>-</v>
      </c>
      <c r="J49" s="79" t="str">
        <f>[1]ankomster!T49</f>
        <v>-</v>
      </c>
      <c r="K49" t="str">
        <f>IFERROR(VLOOKUP(J49,[1]Database!$A$2:$L$175,2,FALSE),"-")</f>
        <v>-</v>
      </c>
      <c r="L49" t="str">
        <f>[1]ankomster!Y49</f>
        <v>-</v>
      </c>
      <c r="M49" t="str">
        <f>IFERROR(VLOOKUP(L49,[1]Database!$A$2:$L$175,2,FALSE),"-")</f>
        <v>-</v>
      </c>
    </row>
    <row r="50" spans="1:13" x14ac:dyDescent="0.35">
      <c r="A50" s="26">
        <v>46187</v>
      </c>
      <c r="B50" t="str">
        <f>[1]ankomster!A50</f>
        <v>søndag</v>
      </c>
      <c r="C50" t="str">
        <f>ankomster!D50</f>
        <v>-</v>
      </c>
      <c r="D50" t="str">
        <f>[1]ankomster!E50</f>
        <v>-</v>
      </c>
      <c r="E50" t="str">
        <f>IFERROR(VLOOKUP(D50,[1]Database!$A$2:$L$175,2,FALSE),"-")</f>
        <v>-</v>
      </c>
      <c r="F50" t="str">
        <f>[1]ankomster!J50</f>
        <v>-</v>
      </c>
      <c r="G50" t="str">
        <f>IFERROR(VLOOKUP(F50,[1]Database!$A$2:$L$175,2,FALSE),"-")</f>
        <v>-</v>
      </c>
      <c r="H50">
        <f>[1]ankomster!O50</f>
        <v>83</v>
      </c>
      <c r="I50" t="str">
        <f>IFERROR(VLOOKUP(H50,[1]Database!$A$2:$L$175,2,FALSE),"-")</f>
        <v>Charlotte Søder</v>
      </c>
      <c r="J50" s="79" t="str">
        <f>[1]ankomster!T50</f>
        <v>-</v>
      </c>
      <c r="K50" t="str">
        <f>IFERROR(VLOOKUP(J50,[1]Database!$A$2:$L$175,2,FALSE),"-")</f>
        <v>-</v>
      </c>
      <c r="L50" t="str">
        <f>[1]ankomster!Y50</f>
        <v>-</v>
      </c>
      <c r="M50" t="str">
        <f>IFERROR(VLOOKUP(L50,[1]Database!$A$2:$L$175,2,FALSE),"-")</f>
        <v>-</v>
      </c>
    </row>
    <row r="51" spans="1:13" x14ac:dyDescent="0.35">
      <c r="A51" s="26">
        <v>46188</v>
      </c>
      <c r="B51" t="str">
        <f>[1]ankomster!A51</f>
        <v>mandag</v>
      </c>
      <c r="C51" t="str">
        <f>ankomster!D51</f>
        <v>-</v>
      </c>
      <c r="D51" t="str">
        <f>[1]ankomster!E51</f>
        <v>-</v>
      </c>
      <c r="E51" t="str">
        <f>IFERROR(VLOOKUP(D51,[1]Database!$A$2:$L$175,2,FALSE),"-")</f>
        <v>-</v>
      </c>
      <c r="F51" t="str">
        <f>[1]ankomster!J51</f>
        <v>-</v>
      </c>
      <c r="G51" t="str">
        <f>IFERROR(VLOOKUP(F51,[1]Database!$A$2:$L$175,2,FALSE),"-")</f>
        <v>-</v>
      </c>
      <c r="H51" t="str">
        <f>[1]ankomster!O51</f>
        <v>-</v>
      </c>
      <c r="I51" t="str">
        <f>IFERROR(VLOOKUP(H51,[1]Database!$A$2:$L$175,2,FALSE),"-")</f>
        <v>-</v>
      </c>
      <c r="J51" s="79">
        <f>[1]ankomster!T51</f>
        <v>70</v>
      </c>
      <c r="K51" t="str">
        <f>IFERROR(VLOOKUP(J51,[1]Database!$A$2:$L$175,2,FALSE),"-")</f>
        <v>Jan Andersen</v>
      </c>
      <c r="L51">
        <f>[1]ankomster!Y51</f>
        <v>86</v>
      </c>
      <c r="M51" t="str">
        <f>IFERROR(VLOOKUP(L51,[1]Database!$A$2:$L$175,2,FALSE),"-")</f>
        <v>Peter Baberowski</v>
      </c>
    </row>
    <row r="52" spans="1:13" x14ac:dyDescent="0.35">
      <c r="A52" s="26">
        <v>46189</v>
      </c>
      <c r="B52" t="str">
        <f>[1]ankomster!A52</f>
        <v>tirsdag</v>
      </c>
      <c r="C52" t="str">
        <f>ankomster!D52</f>
        <v>-</v>
      </c>
      <c r="D52" t="str">
        <f>[1]ankomster!E52</f>
        <v>-</v>
      </c>
      <c r="E52" t="str">
        <f>IFERROR(VLOOKUP(D52,[1]Database!$A$2:$L$175,2,FALSE),"-")</f>
        <v>-</v>
      </c>
      <c r="F52" t="str">
        <f>[1]ankomster!J52</f>
        <v>-</v>
      </c>
      <c r="G52" t="str">
        <f>IFERROR(VLOOKUP(F52,[1]Database!$A$2:$L$175,2,FALSE),"-")</f>
        <v>-</v>
      </c>
      <c r="H52" t="str">
        <f>[1]ankomster!O52</f>
        <v>-</v>
      </c>
      <c r="I52" t="str">
        <f>IFERROR(VLOOKUP(H52,[1]Database!$A$2:$L$175,2,FALSE),"-")</f>
        <v>-</v>
      </c>
      <c r="J52" s="79" t="str">
        <f>[1]ankomster!T52</f>
        <v>-</v>
      </c>
      <c r="K52" t="str">
        <f>IFERROR(VLOOKUP(J52,[1]Database!$A$2:$L$175,2,FALSE),"-")</f>
        <v>-</v>
      </c>
      <c r="L52" t="str">
        <f>[1]ankomster!Y52</f>
        <v>-</v>
      </c>
      <c r="M52" t="str">
        <f>IFERROR(VLOOKUP(L52,[1]Database!$A$2:$L$175,2,FALSE),"-")</f>
        <v>-</v>
      </c>
    </row>
    <row r="53" spans="1:13" x14ac:dyDescent="0.35">
      <c r="A53" s="26">
        <v>46190</v>
      </c>
      <c r="B53" t="str">
        <f>[1]ankomster!A53</f>
        <v>onsdag</v>
      </c>
      <c r="C53" t="str">
        <f>ankomster!D53</f>
        <v>-</v>
      </c>
      <c r="D53">
        <f>[1]ankomster!E53</f>
        <v>31</v>
      </c>
      <c r="E53" t="str">
        <f>IFERROR(VLOOKUP(D53,[1]Database!$A$2:$L$175,2,FALSE),"-")</f>
        <v>Kaj Henriksen</v>
      </c>
      <c r="F53" t="str">
        <f>[1]ankomster!J53</f>
        <v>-</v>
      </c>
      <c r="G53" t="str">
        <f>IFERROR(VLOOKUP(F53,[1]Database!$A$2:$L$175,2,FALSE),"-")</f>
        <v>-</v>
      </c>
      <c r="H53" t="str">
        <f>[1]ankomster!O53</f>
        <v>-</v>
      </c>
      <c r="I53" t="str">
        <f>IFERROR(VLOOKUP(H53,[1]Database!$A$2:$L$175,2,FALSE),"-")</f>
        <v>-</v>
      </c>
      <c r="J53" s="79" t="str">
        <f>[1]ankomster!T53</f>
        <v>-</v>
      </c>
      <c r="K53" t="str">
        <f>IFERROR(VLOOKUP(J53,[1]Database!$A$2:$L$175,2,FALSE),"-")</f>
        <v>-</v>
      </c>
      <c r="L53" t="str">
        <f>[1]ankomster!Y53</f>
        <v>-</v>
      </c>
      <c r="M53" t="str">
        <f>IFERROR(VLOOKUP(L53,[1]Database!$A$2:$L$175,2,FALSE),"-")</f>
        <v>-</v>
      </c>
    </row>
    <row r="54" spans="1:13" x14ac:dyDescent="0.35">
      <c r="A54" s="26">
        <v>46191</v>
      </c>
      <c r="B54" t="str">
        <f>[1]ankomster!A54</f>
        <v>torsdag</v>
      </c>
      <c r="C54" t="str">
        <f>ankomster!D54</f>
        <v>-</v>
      </c>
      <c r="D54" t="str">
        <f>[1]ankomster!E54</f>
        <v>-</v>
      </c>
      <c r="E54" t="str">
        <f>IFERROR(VLOOKUP(D54,[1]Database!$A$2:$L$175,2,FALSE),"-")</f>
        <v>-</v>
      </c>
      <c r="F54" t="str">
        <f>[1]ankomster!J54</f>
        <v>-</v>
      </c>
      <c r="G54" t="str">
        <f>IFERROR(VLOOKUP(F54,[1]Database!$A$2:$L$175,2,FALSE),"-")</f>
        <v>-</v>
      </c>
      <c r="H54" t="str">
        <f>[1]ankomster!O54</f>
        <v>-</v>
      </c>
      <c r="I54" t="str">
        <f>IFERROR(VLOOKUP(H54,[1]Database!$A$2:$L$175,2,FALSE),"-")</f>
        <v>-</v>
      </c>
      <c r="J54" s="79" t="str">
        <f>[1]ankomster!T54</f>
        <v>-</v>
      </c>
      <c r="K54" t="str">
        <f>IFERROR(VLOOKUP(J54,[1]Database!$A$2:$L$175,2,FALSE),"-")</f>
        <v>-</v>
      </c>
      <c r="L54" t="str">
        <f>[1]ankomster!Y54</f>
        <v>-</v>
      </c>
      <c r="M54" t="str">
        <f>IFERROR(VLOOKUP(L54,[1]Database!$A$2:$L$175,2,FALSE),"-")</f>
        <v>-</v>
      </c>
    </row>
    <row r="55" spans="1:13" x14ac:dyDescent="0.35">
      <c r="A55" s="26">
        <v>46192</v>
      </c>
      <c r="B55" t="str">
        <f>[1]ankomster!A55</f>
        <v>fredag</v>
      </c>
      <c r="C55" t="str">
        <f>ankomster!D55</f>
        <v>-</v>
      </c>
      <c r="D55" t="str">
        <f>[1]ankomster!E55</f>
        <v>-</v>
      </c>
      <c r="E55" t="str">
        <f>IFERROR(VLOOKUP(D55,[1]Database!$A$2:$L$175,2,FALSE),"-")</f>
        <v>-</v>
      </c>
      <c r="F55">
        <f>[1]ankomster!J55</f>
        <v>109</v>
      </c>
      <c r="G55" t="str">
        <f>IFERROR(VLOOKUP(F55,[1]Database!$A$2:$L$175,2,FALSE),"-")</f>
        <v>Soeren Tetzner</v>
      </c>
      <c r="H55">
        <f>[1]ankomster!O55</f>
        <v>56</v>
      </c>
      <c r="I55" t="str">
        <f>IFERROR(VLOOKUP(H55,[1]Database!$A$2:$L$175,2,FALSE),"-")</f>
        <v>Tage Ebbensgaard</v>
      </c>
      <c r="J55" s="79" t="str">
        <f>[1]ankomster!T55</f>
        <v>-</v>
      </c>
      <c r="K55" t="str">
        <f>IFERROR(VLOOKUP(J55,[1]Database!$A$2:$L$175,2,FALSE),"-")</f>
        <v>-</v>
      </c>
      <c r="L55" t="str">
        <f>[1]ankomster!Y55</f>
        <v>-</v>
      </c>
      <c r="M55" t="str">
        <f>IFERROR(VLOOKUP(L55,[1]Database!$A$2:$L$175,2,FALSE),"-")</f>
        <v>-</v>
      </c>
    </row>
    <row r="56" spans="1:13" x14ac:dyDescent="0.35">
      <c r="A56" s="26">
        <v>46193</v>
      </c>
      <c r="B56" t="str">
        <f>[1]ankomster!A56</f>
        <v>lørdag</v>
      </c>
      <c r="C56" t="str">
        <f>ankomster!D56</f>
        <v>-</v>
      </c>
      <c r="D56" t="str">
        <f>[1]ankomster!E56</f>
        <v>-</v>
      </c>
      <c r="E56" t="str">
        <f>IFERROR(VLOOKUP(D56,[1]Database!$A$2:$L$175,2,FALSE),"-")</f>
        <v>-</v>
      </c>
      <c r="F56" t="str">
        <f>[1]ankomster!J56</f>
        <v>-</v>
      </c>
      <c r="G56" t="str">
        <f>IFERROR(VLOOKUP(F56,[1]Database!$A$2:$L$175,2,FALSE),"-")</f>
        <v>-</v>
      </c>
      <c r="H56" t="str">
        <f>[1]ankomster!O56</f>
        <v>-</v>
      </c>
      <c r="I56" t="str">
        <f>IFERROR(VLOOKUP(H56,[1]Database!$A$2:$L$175,2,FALSE),"-")</f>
        <v>-</v>
      </c>
      <c r="J56" s="79" t="str">
        <f>[1]ankomster!T56</f>
        <v>-</v>
      </c>
      <c r="K56" t="str">
        <f>IFERROR(VLOOKUP(J56,[1]Database!$A$2:$L$175,2,FALSE),"-")</f>
        <v>-</v>
      </c>
      <c r="L56" t="str">
        <f>[1]ankomster!Y56</f>
        <v>-</v>
      </c>
      <c r="M56" t="str">
        <f>IFERROR(VLOOKUP(L56,[1]Database!$A$2:$L$175,2,FALSE),"-")</f>
        <v>-</v>
      </c>
    </row>
    <row r="57" spans="1:13" x14ac:dyDescent="0.35">
      <c r="A57" s="26">
        <v>46194</v>
      </c>
      <c r="B57" t="str">
        <f>[1]ankomster!A57</f>
        <v>søndag</v>
      </c>
      <c r="C57" t="str">
        <f>ankomster!D57</f>
        <v>-</v>
      </c>
      <c r="D57" t="str">
        <f>[1]ankomster!E57</f>
        <v>-</v>
      </c>
      <c r="E57" t="str">
        <f>IFERROR(VLOOKUP(D57,[1]Database!$A$2:$L$175,2,FALSE),"-")</f>
        <v>-</v>
      </c>
      <c r="F57" t="str">
        <f>[1]ankomster!J57</f>
        <v>-</v>
      </c>
      <c r="G57" t="str">
        <f>IFERROR(VLOOKUP(F57,[1]Database!$A$2:$L$175,2,FALSE),"-")</f>
        <v>-</v>
      </c>
      <c r="H57" t="str">
        <f>[1]ankomster!O57</f>
        <v>-</v>
      </c>
      <c r="I57" t="str">
        <f>IFERROR(VLOOKUP(H57,[1]Database!$A$2:$L$175,2,FALSE),"-")</f>
        <v>-</v>
      </c>
      <c r="J57" s="79" t="str">
        <f>[1]ankomster!T57</f>
        <v>-</v>
      </c>
      <c r="K57" t="str">
        <f>IFERROR(VLOOKUP(J57,[1]Database!$A$2:$L$175,2,FALSE),"-")</f>
        <v>-</v>
      </c>
      <c r="L57" t="str">
        <f>[1]ankomster!Y57</f>
        <v>-</v>
      </c>
      <c r="M57" t="str">
        <f>IFERROR(VLOOKUP(L57,[1]Database!$A$2:$L$175,2,FALSE),"-")</f>
        <v>-</v>
      </c>
    </row>
    <row r="58" spans="1:13" x14ac:dyDescent="0.35">
      <c r="A58" s="26">
        <v>46195</v>
      </c>
      <c r="B58" t="str">
        <f>[1]ankomster!A58</f>
        <v>mandag</v>
      </c>
      <c r="C58" t="str">
        <f>ankomster!D58</f>
        <v>-</v>
      </c>
      <c r="D58" t="str">
        <f>[1]ankomster!E58</f>
        <v>-</v>
      </c>
      <c r="E58" t="str">
        <f>IFERROR(VLOOKUP(D58,[1]Database!$A$2:$L$175,2,FALSE),"-")</f>
        <v>-</v>
      </c>
      <c r="F58">
        <f>[1]ankomster!J58</f>
        <v>112</v>
      </c>
      <c r="G58" t="str">
        <f>IFERROR(VLOOKUP(F58,[1]Database!$A$2:$L$175,2,FALSE),"-")</f>
        <v>Jytte Nielsen</v>
      </c>
      <c r="H58" t="str">
        <f>[1]ankomster!O58</f>
        <v>-</v>
      </c>
      <c r="I58" t="str">
        <f>IFERROR(VLOOKUP(H58,[1]Database!$A$2:$L$175,2,FALSE),"-")</f>
        <v>-</v>
      </c>
      <c r="J58" s="79">
        <f>[1]ankomster!T58</f>
        <v>37</v>
      </c>
      <c r="K58" t="str">
        <f>IFERROR(VLOOKUP(J58,[1]Database!$A$2:$L$175,2,FALSE),"-")</f>
        <v>Lene Fuglevig</v>
      </c>
      <c r="L58" t="str">
        <f>[1]ankomster!Y58</f>
        <v>-</v>
      </c>
      <c r="M58" t="str">
        <f>IFERROR(VLOOKUP(L58,[1]Database!$A$2:$L$175,2,FALSE),"-")</f>
        <v>-</v>
      </c>
    </row>
    <row r="59" spans="1:13" x14ac:dyDescent="0.35">
      <c r="A59" s="26">
        <v>46196</v>
      </c>
      <c r="B59" t="str">
        <f>[1]ankomster!A59</f>
        <v>tirsdag</v>
      </c>
      <c r="C59" t="str">
        <f>ankomster!D59</f>
        <v>-</v>
      </c>
      <c r="D59" t="str">
        <f>[1]ankomster!E59</f>
        <v>-</v>
      </c>
      <c r="E59" t="str">
        <f>IFERROR(VLOOKUP(D59,[1]Database!$A$2:$L$175,2,FALSE),"-")</f>
        <v>-</v>
      </c>
      <c r="F59" t="str">
        <f>[1]ankomster!J59</f>
        <v>-</v>
      </c>
      <c r="G59" t="str">
        <f>IFERROR(VLOOKUP(F59,[1]Database!$A$2:$L$175,2,FALSE),"-")</f>
        <v>-</v>
      </c>
      <c r="H59" t="str">
        <f>[1]ankomster!O59</f>
        <v>-</v>
      </c>
      <c r="I59" t="str">
        <f>IFERROR(VLOOKUP(H59,[1]Database!$A$2:$L$175,2,FALSE),"-")</f>
        <v>-</v>
      </c>
      <c r="J59" s="79" t="str">
        <f>[1]ankomster!T59</f>
        <v>-</v>
      </c>
      <c r="K59" t="str">
        <f>IFERROR(VLOOKUP(J59,[1]Database!$A$2:$L$175,2,FALSE),"-")</f>
        <v>-</v>
      </c>
      <c r="L59" t="str">
        <f>[1]ankomster!Y59</f>
        <v>-</v>
      </c>
      <c r="M59" t="str">
        <f>IFERROR(VLOOKUP(L59,[1]Database!$A$2:$L$175,2,FALSE),"-")</f>
        <v>-</v>
      </c>
    </row>
    <row r="60" spans="1:13" x14ac:dyDescent="0.35">
      <c r="A60" s="26">
        <v>46197</v>
      </c>
      <c r="B60" t="str">
        <f>[1]ankomster!A60</f>
        <v>onsdag</v>
      </c>
      <c r="C60" t="str">
        <f>ankomster!D60</f>
        <v>-</v>
      </c>
      <c r="D60" t="str">
        <f>[1]ankomster!E60</f>
        <v>-</v>
      </c>
      <c r="E60" t="str">
        <f>IFERROR(VLOOKUP(D60,[1]Database!$A$2:$L$175,2,FALSE),"-")</f>
        <v>-</v>
      </c>
      <c r="F60" t="str">
        <f>[1]ankomster!J60</f>
        <v>-</v>
      </c>
      <c r="G60" t="str">
        <f>IFERROR(VLOOKUP(F60,[1]Database!$A$2:$L$175,2,FALSE),"-")</f>
        <v>-</v>
      </c>
      <c r="H60" t="str">
        <f>[1]ankomster!O60</f>
        <v>-</v>
      </c>
      <c r="I60" t="str">
        <f>IFERROR(VLOOKUP(H60,[1]Database!$A$2:$L$175,2,FALSE),"-")</f>
        <v>-</v>
      </c>
      <c r="J60" s="79" t="str">
        <f>[1]ankomster!T60</f>
        <v>-</v>
      </c>
      <c r="K60" t="str">
        <f>IFERROR(VLOOKUP(J60,[1]Database!$A$2:$L$175,2,FALSE),"-")</f>
        <v>-</v>
      </c>
      <c r="L60" t="str">
        <f>[1]ankomster!Y60</f>
        <v>-</v>
      </c>
      <c r="M60" t="str">
        <f>IFERROR(VLOOKUP(L60,[1]Database!$A$2:$L$175,2,FALSE),"-")</f>
        <v>-</v>
      </c>
    </row>
    <row r="61" spans="1:13" x14ac:dyDescent="0.35">
      <c r="A61" s="26">
        <v>46198</v>
      </c>
      <c r="B61" t="str">
        <f>[1]ankomster!A61</f>
        <v>torsdag</v>
      </c>
      <c r="C61" t="str">
        <f>ankomster!D61</f>
        <v>-</v>
      </c>
      <c r="D61" t="str">
        <f>[1]ankomster!E61</f>
        <v>-</v>
      </c>
      <c r="E61" t="str">
        <f>IFERROR(VLOOKUP(D61,[1]Database!$A$2:$L$175,2,FALSE),"-")</f>
        <v>-</v>
      </c>
      <c r="F61" t="str">
        <f>[1]ankomster!J61</f>
        <v>-</v>
      </c>
      <c r="G61" t="str">
        <f>IFERROR(VLOOKUP(F61,[1]Database!$A$2:$L$175,2,FALSE),"-")</f>
        <v>-</v>
      </c>
      <c r="H61">
        <f>[1]ankomster!O61</f>
        <v>34</v>
      </c>
      <c r="I61" t="str">
        <f>IFERROR(VLOOKUP(H61,[1]Database!$A$2:$L$175,2,FALSE),"-")</f>
        <v>Fred Pergande</v>
      </c>
      <c r="J61" s="79">
        <f>[1]ankomster!T61</f>
        <v>64</v>
      </c>
      <c r="K61" t="str">
        <f>IFERROR(VLOOKUP(J61,[1]Database!$A$2:$L$175,2,FALSE),"-")</f>
        <v>Elonor Skog</v>
      </c>
      <c r="L61" t="str">
        <f>[1]ankomster!Y61</f>
        <v>-</v>
      </c>
      <c r="M61" t="str">
        <f>IFERROR(VLOOKUP(L61,[1]Database!$A$2:$L$175,2,FALSE),"-")</f>
        <v>-</v>
      </c>
    </row>
    <row r="62" spans="1:13" x14ac:dyDescent="0.35">
      <c r="A62" s="26">
        <v>46199</v>
      </c>
      <c r="B62" t="str">
        <f>[1]ankomster!A62</f>
        <v>fredag</v>
      </c>
      <c r="C62" t="str">
        <f>ankomster!D62</f>
        <v>-</v>
      </c>
      <c r="D62">
        <f>[1]ankomster!E62</f>
        <v>87</v>
      </c>
      <c r="E62" t="str">
        <f>IFERROR(VLOOKUP(D62,[1]Database!$A$2:$L$175,2,FALSE),"-")</f>
        <v>Matthias Jaeger</v>
      </c>
      <c r="F62">
        <f>[1]ankomster!J62</f>
        <v>61</v>
      </c>
      <c r="G62" t="str">
        <f>IFERROR(VLOOKUP(F62,[1]Database!$A$2:$L$175,2,FALSE),"-")</f>
        <v>Hans-Peter Könitzer</v>
      </c>
      <c r="H62" t="str">
        <f>[1]ankomster!O62</f>
        <v>-</v>
      </c>
      <c r="I62" t="str">
        <f>IFERROR(VLOOKUP(H62,[1]Database!$A$2:$L$175,2,FALSE),"-")</f>
        <v>-</v>
      </c>
      <c r="J62" s="79" t="str">
        <f>[1]ankomster!T62</f>
        <v>-</v>
      </c>
      <c r="K62" t="str">
        <f>IFERROR(VLOOKUP(J62,[1]Database!$A$2:$L$175,2,FALSE),"-")</f>
        <v>-</v>
      </c>
      <c r="L62" t="str">
        <f>[1]ankomster!Y62</f>
        <v>-</v>
      </c>
      <c r="M62" t="str">
        <f>IFERROR(VLOOKUP(L62,[1]Database!$A$2:$L$175,2,FALSE),"-")</f>
        <v>-</v>
      </c>
    </row>
    <row r="63" spans="1:13" x14ac:dyDescent="0.35">
      <c r="A63" s="26">
        <v>46200</v>
      </c>
      <c r="B63" t="str">
        <f>[1]ankomster!A63</f>
        <v>lørdag</v>
      </c>
      <c r="C63" t="str">
        <f>ankomster!D63</f>
        <v>-</v>
      </c>
      <c r="D63" t="str">
        <f>[1]ankomster!E63</f>
        <v>-</v>
      </c>
      <c r="E63" t="str">
        <f>IFERROR(VLOOKUP(D63,[1]Database!$A$2:$L$175,2,FALSE),"-")</f>
        <v>-</v>
      </c>
      <c r="F63" t="str">
        <f>[1]ankomster!J63</f>
        <v>-</v>
      </c>
      <c r="G63" t="str">
        <f>IFERROR(VLOOKUP(F63,[1]Database!$A$2:$L$175,2,FALSE),"-")</f>
        <v>-</v>
      </c>
      <c r="H63" t="str">
        <f>[1]ankomster!O63</f>
        <v>-</v>
      </c>
      <c r="I63" t="str">
        <f>IFERROR(VLOOKUP(H63,[1]Database!$A$2:$L$175,2,FALSE),"-")</f>
        <v>-</v>
      </c>
      <c r="J63" s="79" t="str">
        <f>[1]ankomster!T63</f>
        <v>-</v>
      </c>
      <c r="K63" t="str">
        <f>IFERROR(VLOOKUP(J63,[1]Database!$A$2:$L$175,2,FALSE),"-")</f>
        <v>-</v>
      </c>
      <c r="L63">
        <f>[1]ankomster!Y63</f>
        <v>77</v>
      </c>
      <c r="M63" t="str">
        <f>IFERROR(VLOOKUP(L63,[1]Database!$A$2:$L$175,2,FALSE),"-")</f>
        <v>Stig Ravnkilde Erichsen</v>
      </c>
    </row>
    <row r="64" spans="1:13" x14ac:dyDescent="0.35">
      <c r="A64" s="26">
        <v>46201</v>
      </c>
      <c r="B64" t="str">
        <f>[1]ankomster!A64</f>
        <v>søndag</v>
      </c>
      <c r="C64" t="str">
        <f>ankomster!D64</f>
        <v>-</v>
      </c>
      <c r="D64" t="str">
        <f>[1]ankomster!E64</f>
        <v>-</v>
      </c>
      <c r="E64" t="str">
        <f>IFERROR(VLOOKUP(D64,[1]Database!$A$2:$L$175,2,FALSE),"-")</f>
        <v>-</v>
      </c>
      <c r="F64" t="str">
        <f>[1]ankomster!J64</f>
        <v>-</v>
      </c>
      <c r="G64" t="str">
        <f>IFERROR(VLOOKUP(F64,[1]Database!$A$2:$L$175,2,FALSE),"-")</f>
        <v>-</v>
      </c>
      <c r="H64" t="str">
        <f>[1]ankomster!O64</f>
        <v>-</v>
      </c>
      <c r="I64" t="str">
        <f>IFERROR(VLOOKUP(H64,[1]Database!$A$2:$L$175,2,FALSE),"-")</f>
        <v>-</v>
      </c>
      <c r="J64" s="79" t="str">
        <f>[1]ankomster!T64</f>
        <v>-</v>
      </c>
      <c r="K64" t="str">
        <f>IFERROR(VLOOKUP(J64,[1]Database!$A$2:$L$175,2,FALSE),"-")</f>
        <v>-</v>
      </c>
      <c r="L64" t="str">
        <f>[1]ankomster!Y64</f>
        <v>-</v>
      </c>
      <c r="M64" t="str">
        <f>IFERROR(VLOOKUP(L64,[1]Database!$A$2:$L$175,2,FALSE),"-")</f>
        <v>-</v>
      </c>
    </row>
    <row r="65" spans="1:13" x14ac:dyDescent="0.35">
      <c r="A65" s="26">
        <v>46202</v>
      </c>
      <c r="B65" t="str">
        <f>[1]ankomster!A65</f>
        <v>mandag</v>
      </c>
      <c r="C65" t="str">
        <f>ankomster!D65</f>
        <v>-</v>
      </c>
      <c r="D65" t="str">
        <f>[1]ankomster!E65</f>
        <v>-</v>
      </c>
      <c r="E65" t="str">
        <f>IFERROR(VLOOKUP(D65,[1]Database!$A$2:$L$175,2,FALSE),"-")</f>
        <v>-</v>
      </c>
      <c r="F65" t="str">
        <f>[1]ankomster!J65</f>
        <v>-</v>
      </c>
      <c r="G65" t="str">
        <f>IFERROR(VLOOKUP(F65,[1]Database!$A$2:$L$175,2,FALSE),"-")</f>
        <v>-</v>
      </c>
      <c r="H65" t="str">
        <f>[1]ankomster!O65</f>
        <v>-</v>
      </c>
      <c r="I65" t="str">
        <f>IFERROR(VLOOKUP(H65,[1]Database!$A$2:$L$175,2,FALSE),"-")</f>
        <v>-</v>
      </c>
      <c r="J65" s="79">
        <f>[1]ankomster!T65</f>
        <v>76</v>
      </c>
      <c r="K65" t="str">
        <f>IFERROR(VLOOKUP(J65,[1]Database!$A$2:$L$175,2,FALSE),"-")</f>
        <v>Karin Nielsen</v>
      </c>
      <c r="L65" t="str">
        <f>[1]ankomster!Y65</f>
        <v>-</v>
      </c>
      <c r="M65" t="str">
        <f>IFERROR(VLOOKUP(L65,[1]Database!$A$2:$L$175,2,FALSE),"-")</f>
        <v>-</v>
      </c>
    </row>
    <row r="66" spans="1:13" x14ac:dyDescent="0.35">
      <c r="A66" s="26">
        <v>46203</v>
      </c>
      <c r="B66" t="str">
        <f>[1]ankomster!A66</f>
        <v>tirsdag</v>
      </c>
      <c r="C66" t="str">
        <f>ankomster!D66</f>
        <v>-</v>
      </c>
      <c r="D66" t="str">
        <f>[1]ankomster!E66</f>
        <v>-</v>
      </c>
      <c r="E66" t="str">
        <f>IFERROR(VLOOKUP(D66,[1]Database!$A$2:$L$175,2,FALSE),"-")</f>
        <v>-</v>
      </c>
      <c r="F66" t="str">
        <f>[1]ankomster!J66</f>
        <v>-</v>
      </c>
      <c r="G66" t="str">
        <f>IFERROR(VLOOKUP(F66,[1]Database!$A$2:$L$175,2,FALSE),"-")</f>
        <v>-</v>
      </c>
      <c r="H66" t="str">
        <f>[1]ankomster!O66</f>
        <v>-</v>
      </c>
      <c r="I66" t="str">
        <f>IFERROR(VLOOKUP(H66,[1]Database!$A$2:$L$175,2,FALSE),"-")</f>
        <v>-</v>
      </c>
      <c r="J66" s="79" t="str">
        <f>[1]ankomster!T66</f>
        <v>-</v>
      </c>
      <c r="K66" t="str">
        <f>IFERROR(VLOOKUP(J66,[1]Database!$A$2:$L$175,2,FALSE),"-")</f>
        <v>-</v>
      </c>
      <c r="L66" t="str">
        <f>[1]ankomster!Y66</f>
        <v>-</v>
      </c>
      <c r="M66" t="str">
        <f>IFERROR(VLOOKUP(L66,[1]Database!$A$2:$L$175,2,FALSE),"-")</f>
        <v>-</v>
      </c>
    </row>
    <row r="67" spans="1:13" x14ac:dyDescent="0.35">
      <c r="A67" s="26">
        <v>46204</v>
      </c>
      <c r="B67" t="str">
        <f>[1]ankomster!A67</f>
        <v>onsdag</v>
      </c>
      <c r="C67" t="str">
        <f>ankomster!D67</f>
        <v>-</v>
      </c>
      <c r="D67" t="str">
        <f>[1]ankomster!E67</f>
        <v>-</v>
      </c>
      <c r="E67" t="str">
        <f>IFERROR(VLOOKUP(D67,[1]Database!$A$2:$L$175,2,FALSE),"-")</f>
        <v>-</v>
      </c>
      <c r="F67">
        <f>[1]ankomster!J67</f>
        <v>104</v>
      </c>
      <c r="G67" t="str">
        <f>IFERROR(VLOOKUP(F67,[1]Database!$A$2:$L$175,2,FALSE),"-")</f>
        <v>Jette Frederiksen</v>
      </c>
      <c r="H67" t="str">
        <f>[1]ankomster!O67</f>
        <v>-</v>
      </c>
      <c r="I67" t="str">
        <f>IFERROR(VLOOKUP(H67,[1]Database!$A$2:$L$175,2,FALSE),"-")</f>
        <v>-</v>
      </c>
      <c r="J67" s="79" t="str">
        <f>[1]ankomster!T67</f>
        <v>-</v>
      </c>
      <c r="K67" t="str">
        <f>IFERROR(VLOOKUP(J67,[1]Database!$A$2:$L$175,2,FALSE),"-")</f>
        <v>-</v>
      </c>
      <c r="L67" t="str">
        <f>[1]ankomster!Y67</f>
        <v>-</v>
      </c>
      <c r="M67" t="str">
        <f>IFERROR(VLOOKUP(L67,[1]Database!$A$2:$L$175,2,FALSE),"-")</f>
        <v>-</v>
      </c>
    </row>
    <row r="68" spans="1:13" x14ac:dyDescent="0.35">
      <c r="A68" s="26">
        <v>46205</v>
      </c>
      <c r="B68" t="str">
        <f>[1]ankomster!A68</f>
        <v>torsdag</v>
      </c>
      <c r="C68" t="str">
        <f>ankomster!D68</f>
        <v>-</v>
      </c>
      <c r="D68">
        <f>[1]ankomster!E68</f>
        <v>24</v>
      </c>
      <c r="E68" t="str">
        <f>IFERROR(VLOOKUP(D68,[1]Database!$A$2:$L$175,2,FALSE),"-")</f>
        <v>Malin Hällblad</v>
      </c>
      <c r="F68" t="str">
        <f>[1]ankomster!J68</f>
        <v>-</v>
      </c>
      <c r="G68" t="str">
        <f>IFERROR(VLOOKUP(F68,[1]Database!$A$2:$L$175,2,FALSE),"-")</f>
        <v>-</v>
      </c>
      <c r="H68" t="str">
        <f>[1]ankomster!O68</f>
        <v>-</v>
      </c>
      <c r="I68" t="str">
        <f>IFERROR(VLOOKUP(H68,[1]Database!$A$2:$L$175,2,FALSE),"-")</f>
        <v>-</v>
      </c>
      <c r="J68" s="79" t="str">
        <f>[1]ankomster!T68</f>
        <v>-</v>
      </c>
      <c r="K68" t="str">
        <f>IFERROR(VLOOKUP(J68,[1]Database!$A$2:$L$175,2,FALSE),"-")</f>
        <v>-</v>
      </c>
      <c r="L68" t="str">
        <f>[1]ankomster!Y68</f>
        <v>-</v>
      </c>
      <c r="M68" t="str">
        <f>IFERROR(VLOOKUP(L68,[1]Database!$A$2:$L$175,2,FALSE),"-")</f>
        <v>-</v>
      </c>
    </row>
    <row r="69" spans="1:13" x14ac:dyDescent="0.35">
      <c r="A69" s="26">
        <v>46206</v>
      </c>
      <c r="B69" t="str">
        <f>[1]ankomster!A69</f>
        <v>fredag</v>
      </c>
      <c r="C69" t="str">
        <f>ankomster!D69</f>
        <v>-</v>
      </c>
      <c r="D69" t="str">
        <f>[1]ankomster!E69</f>
        <v>-</v>
      </c>
      <c r="E69" t="str">
        <f>IFERROR(VLOOKUP(D69,[1]Database!$A$2:$L$175,2,FALSE),"-")</f>
        <v>-</v>
      </c>
      <c r="F69" t="str">
        <f>[1]ankomster!J69</f>
        <v>-</v>
      </c>
      <c r="G69" t="str">
        <f>IFERROR(VLOOKUP(F69,[1]Database!$A$2:$L$175,2,FALSE),"-")</f>
        <v>-</v>
      </c>
      <c r="H69" t="str">
        <f>[1]ankomster!O69</f>
        <v>-</v>
      </c>
      <c r="I69" t="str">
        <f>IFERROR(VLOOKUP(H69,[1]Database!$A$2:$L$175,2,FALSE),"-")</f>
        <v>-</v>
      </c>
      <c r="J69" s="79">
        <f>[1]ankomster!T69</f>
        <v>14</v>
      </c>
      <c r="K69" t="str">
        <f>IFERROR(VLOOKUP(J69,[1]Database!$A$2:$L$175,2,FALSE),"-")</f>
        <v>Grete Bossenmeyer</v>
      </c>
      <c r="L69" t="str">
        <f>[1]ankomster!Y69</f>
        <v>-</v>
      </c>
      <c r="M69" t="str">
        <f>IFERROR(VLOOKUP(L69,[1]Database!$A$2:$L$175,2,FALSE),"-")</f>
        <v>-</v>
      </c>
    </row>
    <row r="70" spans="1:13" x14ac:dyDescent="0.35">
      <c r="A70" s="26">
        <v>46207</v>
      </c>
      <c r="B70" t="str">
        <f>[1]ankomster!A70</f>
        <v>lørdag</v>
      </c>
      <c r="C70" t="str">
        <f>ankomster!D70</f>
        <v>-</v>
      </c>
      <c r="D70" t="str">
        <f>[1]ankomster!E70</f>
        <v>-</v>
      </c>
      <c r="E70" t="str">
        <f>IFERROR(VLOOKUP(D70,[1]Database!$A$2:$L$175,2,FALSE),"-")</f>
        <v>-</v>
      </c>
      <c r="F70">
        <f>[1]ankomster!J70</f>
        <v>106</v>
      </c>
      <c r="G70" t="str">
        <f>IFERROR(VLOOKUP(F70,[1]Database!$A$2:$L$175,2,FALSE),"-")</f>
        <v>Bolette Olsen</v>
      </c>
      <c r="H70" t="str">
        <f>[1]ankomster!O70</f>
        <v>-</v>
      </c>
      <c r="I70" t="str">
        <f>IFERROR(VLOOKUP(H70,[1]Database!$A$2:$L$175,2,FALSE),"-")</f>
        <v>-</v>
      </c>
      <c r="J70" s="79" t="str">
        <f>[1]ankomster!T70</f>
        <v>-</v>
      </c>
      <c r="K70" t="str">
        <f>IFERROR(VLOOKUP(J70,[1]Database!$A$2:$L$175,2,FALSE),"-")</f>
        <v>-</v>
      </c>
      <c r="L70">
        <f>[1]ankomster!Y70</f>
        <v>7</v>
      </c>
      <c r="M70" t="str">
        <f>IFERROR(VLOOKUP(L70,[1]Database!$A$2:$L$175,2,FALSE),"-")</f>
        <v>Erik Petersen</v>
      </c>
    </row>
    <row r="71" spans="1:13" x14ac:dyDescent="0.35">
      <c r="A71" s="26">
        <v>46208</v>
      </c>
      <c r="B71" t="str">
        <f>[1]ankomster!A71</f>
        <v>søndag</v>
      </c>
      <c r="C71" t="str">
        <f>ankomster!D71</f>
        <v>-</v>
      </c>
      <c r="D71" t="str">
        <f>[1]ankomster!E71</f>
        <v>-</v>
      </c>
      <c r="E71" t="str">
        <f>IFERROR(VLOOKUP(D71,[1]Database!$A$2:$L$175,2,FALSE),"-")</f>
        <v>-</v>
      </c>
      <c r="F71" t="str">
        <f>[1]ankomster!J71</f>
        <v>-</v>
      </c>
      <c r="G71" t="str">
        <f>IFERROR(VLOOKUP(F71,[1]Database!$A$2:$L$175,2,FALSE),"-")</f>
        <v>-</v>
      </c>
      <c r="H71" t="str">
        <f>[1]ankomster!O71</f>
        <v>-</v>
      </c>
      <c r="I71" t="str">
        <f>IFERROR(VLOOKUP(H71,[1]Database!$A$2:$L$175,2,FALSE),"-")</f>
        <v>-</v>
      </c>
      <c r="J71" s="79" t="str">
        <f>[1]ankomster!T71</f>
        <v>-</v>
      </c>
      <c r="K71" t="str">
        <f>IFERROR(VLOOKUP(J71,[1]Database!$A$2:$L$175,2,FALSE),"-")</f>
        <v>-</v>
      </c>
      <c r="L71" t="str">
        <f>[1]ankomster!Y71</f>
        <v>-</v>
      </c>
      <c r="M71" t="str">
        <f>IFERROR(VLOOKUP(L71,[1]Database!$A$2:$L$175,2,FALSE),"-")</f>
        <v>-</v>
      </c>
    </row>
    <row r="72" spans="1:13" x14ac:dyDescent="0.35">
      <c r="A72" s="26">
        <v>46209</v>
      </c>
      <c r="B72" t="str">
        <f>[1]ankomster!A72</f>
        <v>mandag</v>
      </c>
      <c r="C72" t="str">
        <f>ankomster!D72</f>
        <v>-</v>
      </c>
      <c r="D72">
        <f>[1]ankomster!E72</f>
        <v>36</v>
      </c>
      <c r="E72" t="str">
        <f>IFERROR(VLOOKUP(D72,[1]Database!$A$2:$L$175,2,FALSE),"-")</f>
        <v>Henrik Tillebeck</v>
      </c>
      <c r="F72" t="str">
        <f>[1]ankomster!J72</f>
        <v>-</v>
      </c>
      <c r="G72" t="str">
        <f>IFERROR(VLOOKUP(F72,[1]Database!$A$2:$L$175,2,FALSE),"-")</f>
        <v>-</v>
      </c>
      <c r="H72">
        <f>[1]ankomster!O72</f>
        <v>36</v>
      </c>
      <c r="I72" t="str">
        <f>IFERROR(VLOOKUP(H72,[1]Database!$A$2:$L$175,2,FALSE),"-")</f>
        <v>Henrik Tillebeck</v>
      </c>
      <c r="J72" s="79" t="str">
        <f>[1]ankomster!T72</f>
        <v>-</v>
      </c>
      <c r="K72" t="str">
        <f>IFERROR(VLOOKUP(J72,[1]Database!$A$2:$L$175,2,FALSE),"-")</f>
        <v>-</v>
      </c>
      <c r="L72" t="str">
        <f>[1]ankomster!Y72</f>
        <v>-</v>
      </c>
      <c r="M72" t="str">
        <f>IFERROR(VLOOKUP(L72,[1]Database!$A$2:$L$175,2,FALSE),"-")</f>
        <v>-</v>
      </c>
    </row>
    <row r="73" spans="1:13" x14ac:dyDescent="0.35">
      <c r="A73" s="26">
        <v>46210</v>
      </c>
      <c r="B73" t="str">
        <f>[1]ankomster!A73</f>
        <v>tirsdag</v>
      </c>
      <c r="C73" t="str">
        <f>ankomster!D73</f>
        <v>-</v>
      </c>
      <c r="D73" t="str">
        <f>[1]ankomster!E73</f>
        <v>-</v>
      </c>
      <c r="E73" t="str">
        <f>IFERROR(VLOOKUP(D73,[1]Database!$A$2:$L$175,2,FALSE),"-")</f>
        <v>-</v>
      </c>
      <c r="F73" t="str">
        <f>[1]ankomster!J73</f>
        <v>-</v>
      </c>
      <c r="G73" t="str">
        <f>IFERROR(VLOOKUP(F73,[1]Database!$A$2:$L$175,2,FALSE),"-")</f>
        <v>-</v>
      </c>
      <c r="H73" t="str">
        <f>[1]ankomster!O73</f>
        <v>-</v>
      </c>
      <c r="I73" t="str">
        <f>IFERROR(VLOOKUP(H73,[1]Database!$A$2:$L$175,2,FALSE),"-")</f>
        <v>-</v>
      </c>
      <c r="J73" s="79" t="str">
        <f>[1]ankomster!T73</f>
        <v>-</v>
      </c>
      <c r="K73" t="str">
        <f>IFERROR(VLOOKUP(J73,[1]Database!$A$2:$L$175,2,FALSE),"-")</f>
        <v>-</v>
      </c>
      <c r="L73" t="str">
        <f>[1]ankomster!Y73</f>
        <v>-</v>
      </c>
      <c r="M73" t="str">
        <f>IFERROR(VLOOKUP(L73,[1]Database!$A$2:$L$175,2,FALSE),"-")</f>
        <v>-</v>
      </c>
    </row>
    <row r="74" spans="1:13" x14ac:dyDescent="0.35">
      <c r="A74" s="26">
        <v>46211</v>
      </c>
      <c r="B74" t="str">
        <f>[1]ankomster!A74</f>
        <v>onsdag</v>
      </c>
      <c r="C74" t="str">
        <f>ankomster!D74</f>
        <v>-</v>
      </c>
      <c r="D74" t="str">
        <f>[1]ankomster!E74</f>
        <v>-</v>
      </c>
      <c r="E74" t="str">
        <f>IFERROR(VLOOKUP(D74,[1]Database!$A$2:$L$175,2,FALSE),"-")</f>
        <v>-</v>
      </c>
      <c r="F74">
        <f>[1]ankomster!J74</f>
        <v>13</v>
      </c>
      <c r="G74" t="str">
        <f>IFERROR(VLOOKUP(F74,[1]Database!$A$2:$L$175,2,FALSE),"-")</f>
        <v>Jan Gubbertsen</v>
      </c>
      <c r="H74" t="str">
        <f>[1]ankomster!O74</f>
        <v>-</v>
      </c>
      <c r="I74" t="str">
        <f>IFERROR(VLOOKUP(H74,[1]Database!$A$2:$L$175,2,FALSE),"-")</f>
        <v>-</v>
      </c>
      <c r="J74" s="79" t="str">
        <f>[1]ankomster!T74</f>
        <v>-</v>
      </c>
      <c r="K74" t="str">
        <f>IFERROR(VLOOKUP(J74,[1]Database!$A$2:$L$175,2,FALSE),"-")</f>
        <v>-</v>
      </c>
      <c r="L74" t="str">
        <f>[1]ankomster!Y74</f>
        <v>-</v>
      </c>
      <c r="M74" t="str">
        <f>IFERROR(VLOOKUP(L74,[1]Database!$A$2:$L$175,2,FALSE),"-")</f>
        <v>-</v>
      </c>
    </row>
    <row r="75" spans="1:13" x14ac:dyDescent="0.35">
      <c r="A75" s="26">
        <v>46212</v>
      </c>
      <c r="B75" t="str">
        <f>[1]ankomster!A75</f>
        <v>torsdag</v>
      </c>
      <c r="C75" t="str">
        <f>ankomster!D75</f>
        <v>-</v>
      </c>
      <c r="D75">
        <f>[1]ankomster!E75</f>
        <v>69</v>
      </c>
      <c r="E75" t="str">
        <f>IFERROR(VLOOKUP(D75,[1]Database!$A$2:$L$175,2,FALSE),"-")</f>
        <v>Issam Saou</v>
      </c>
      <c r="F75" t="str">
        <f>[1]ankomster!J75</f>
        <v>-</v>
      </c>
      <c r="G75" t="str">
        <f>IFERROR(VLOOKUP(F75,[1]Database!$A$2:$L$175,2,FALSE),"-")</f>
        <v>-</v>
      </c>
      <c r="H75">
        <f>[1]ankomster!O75</f>
        <v>84</v>
      </c>
      <c r="I75" t="str">
        <f>IFERROR(VLOOKUP(H75,[1]Database!$A$2:$L$175,2,FALSE),"-")</f>
        <v>Bjarne List Nissen</v>
      </c>
      <c r="J75" s="79" t="str">
        <f>[1]ankomster!T75</f>
        <v>-</v>
      </c>
      <c r="K75" t="str">
        <f>IFERROR(VLOOKUP(J75,[1]Database!$A$2:$L$175,2,FALSE),"-")</f>
        <v>-</v>
      </c>
      <c r="L75" t="str">
        <f>[1]ankomster!Y75</f>
        <v>-</v>
      </c>
      <c r="M75" t="str">
        <f>IFERROR(VLOOKUP(L75,[1]Database!$A$2:$L$175,2,FALSE),"-")</f>
        <v>-</v>
      </c>
    </row>
    <row r="76" spans="1:13" x14ac:dyDescent="0.35">
      <c r="A76" s="26">
        <v>46213</v>
      </c>
      <c r="B76" t="str">
        <f>[1]ankomster!A76</f>
        <v>fredag</v>
      </c>
      <c r="C76" t="str">
        <f>ankomster!D76</f>
        <v>-</v>
      </c>
      <c r="D76" t="str">
        <f>[1]ankomster!E76</f>
        <v>-</v>
      </c>
      <c r="E76" t="str">
        <f>IFERROR(VLOOKUP(D76,[1]Database!$A$2:$L$175,2,FALSE),"-")</f>
        <v>-</v>
      </c>
      <c r="F76" t="str">
        <f>[1]ankomster!J76</f>
        <v>-</v>
      </c>
      <c r="G76" t="str">
        <f>IFERROR(VLOOKUP(F76,[1]Database!$A$2:$L$175,2,FALSE),"-")</f>
        <v>-</v>
      </c>
      <c r="H76" t="str">
        <f>[1]ankomster!O76</f>
        <v>-</v>
      </c>
      <c r="I76" t="str">
        <f>IFERROR(VLOOKUP(H76,[1]Database!$A$2:$L$175,2,FALSE),"-")</f>
        <v>-</v>
      </c>
      <c r="J76" s="79" t="str">
        <f>[1]ankomster!T76</f>
        <v>-</v>
      </c>
      <c r="K76" t="str">
        <f>IFERROR(VLOOKUP(J76,[1]Database!$A$2:$L$175,2,FALSE),"-")</f>
        <v>-</v>
      </c>
      <c r="L76" t="str">
        <f>[1]ankomster!Y76</f>
        <v>-</v>
      </c>
      <c r="M76" t="str">
        <f>IFERROR(VLOOKUP(L76,[1]Database!$A$2:$L$175,2,FALSE),"-")</f>
        <v>-</v>
      </c>
    </row>
    <row r="77" spans="1:13" x14ac:dyDescent="0.35">
      <c r="A77" s="26">
        <v>46214</v>
      </c>
      <c r="B77" t="str">
        <f>[1]ankomster!A77</f>
        <v>lørdag</v>
      </c>
      <c r="C77" t="str">
        <f>ankomster!D77</f>
        <v>-</v>
      </c>
      <c r="D77" t="str">
        <f>[1]ankomster!E77</f>
        <v>-</v>
      </c>
      <c r="E77" t="str">
        <f>IFERROR(VLOOKUP(D77,[1]Database!$A$2:$L$175,2,FALSE),"-")</f>
        <v>-</v>
      </c>
      <c r="F77" t="str">
        <f>[1]ankomster!J77</f>
        <v>-</v>
      </c>
      <c r="G77" t="str">
        <f>IFERROR(VLOOKUP(F77,[1]Database!$A$2:$L$175,2,FALSE),"-")</f>
        <v>-</v>
      </c>
      <c r="H77" t="str">
        <f>[1]ankomster!O77</f>
        <v>-</v>
      </c>
      <c r="I77" t="str">
        <f>IFERROR(VLOOKUP(H77,[1]Database!$A$2:$L$175,2,FALSE),"-")</f>
        <v>-</v>
      </c>
      <c r="J77" s="79">
        <f>[1]ankomster!T77</f>
        <v>66</v>
      </c>
      <c r="K77" t="str">
        <f>IFERROR(VLOOKUP(J77,[1]Database!$A$2:$L$175,2,FALSE),"-")</f>
        <v>Martin Jørn Simonsen</v>
      </c>
      <c r="L77">
        <f>[1]ankomster!Y77</f>
        <v>62</v>
      </c>
      <c r="M77" t="str">
        <f>IFERROR(VLOOKUP(L77,[1]Database!$A$2:$L$175,2,FALSE),"-")</f>
        <v>Sigrid Marie Poulsen</v>
      </c>
    </row>
    <row r="78" spans="1:13" x14ac:dyDescent="0.35">
      <c r="A78" s="26">
        <v>46215</v>
      </c>
      <c r="B78" t="str">
        <f>[1]ankomster!A78</f>
        <v>søndag</v>
      </c>
      <c r="C78" t="str">
        <f>ankomster!D78</f>
        <v>-</v>
      </c>
      <c r="D78">
        <f>[1]ankomster!E78</f>
        <v>19</v>
      </c>
      <c r="E78" t="str">
        <f>IFERROR(VLOOKUP(D78,[1]Database!$A$2:$L$175,2,FALSE),"-")</f>
        <v>Henrik Sørensen</v>
      </c>
      <c r="F78" t="str">
        <f>[1]ankomster!J78</f>
        <v>-</v>
      </c>
      <c r="G78" t="str">
        <f>IFERROR(VLOOKUP(F78,[1]Database!$A$2:$L$175,2,FALSE),"-")</f>
        <v>-</v>
      </c>
      <c r="H78" t="str">
        <f>[1]ankomster!O78</f>
        <v>-</v>
      </c>
      <c r="I78" t="str">
        <f>IFERROR(VLOOKUP(H78,[1]Database!$A$2:$L$175,2,FALSE),"-")</f>
        <v>-</v>
      </c>
      <c r="J78" s="79" t="str">
        <f>[1]ankomster!T78</f>
        <v>-</v>
      </c>
      <c r="K78" t="str">
        <f>IFERROR(VLOOKUP(J78,[1]Database!$A$2:$L$175,2,FALSE),"-")</f>
        <v>-</v>
      </c>
      <c r="L78" t="str">
        <f>[1]ankomster!Y78</f>
        <v>-</v>
      </c>
      <c r="M78" t="str">
        <f>IFERROR(VLOOKUP(L78,[1]Database!$A$2:$L$175,2,FALSE),"-")</f>
        <v>-</v>
      </c>
    </row>
    <row r="79" spans="1:13" x14ac:dyDescent="0.35">
      <c r="A79" s="26">
        <v>46216</v>
      </c>
      <c r="B79" t="str">
        <f>[1]ankomster!A79</f>
        <v>mandag</v>
      </c>
      <c r="C79" t="str">
        <f>ankomster!D79</f>
        <v>-</v>
      </c>
      <c r="D79" t="str">
        <f>[1]ankomster!E79</f>
        <v>-</v>
      </c>
      <c r="E79" t="str">
        <f>IFERROR(VLOOKUP(D79,[1]Database!$A$2:$L$175,2,FALSE),"-")</f>
        <v>-</v>
      </c>
      <c r="F79" t="str">
        <f>[1]ankomster!J79</f>
        <v>-</v>
      </c>
      <c r="G79" t="str">
        <f>IFERROR(VLOOKUP(F79,[1]Database!$A$2:$L$175,2,FALSE),"-")</f>
        <v>-</v>
      </c>
      <c r="H79">
        <f>[1]ankomster!O79</f>
        <v>43</v>
      </c>
      <c r="I79" t="str">
        <f>IFERROR(VLOOKUP(H79,[1]Database!$A$2:$L$175,2,FALSE),"-")</f>
        <v>Ulla Ringgård</v>
      </c>
      <c r="J79" s="79" t="str">
        <f>[1]ankomster!T79</f>
        <v>-</v>
      </c>
      <c r="K79" t="str">
        <f>IFERROR(VLOOKUP(J79,[1]Database!$A$2:$L$175,2,FALSE),"-")</f>
        <v>-</v>
      </c>
      <c r="L79" t="str">
        <f>[1]ankomster!Y79</f>
        <v>-</v>
      </c>
      <c r="M79" t="str">
        <f>IFERROR(VLOOKUP(L79,[1]Database!$A$2:$L$175,2,FALSE),"-")</f>
        <v>-</v>
      </c>
    </row>
    <row r="80" spans="1:13" x14ac:dyDescent="0.35">
      <c r="A80" s="26">
        <v>46217</v>
      </c>
      <c r="B80" t="str">
        <f>[1]ankomster!A80</f>
        <v>tirsdag</v>
      </c>
      <c r="C80" t="str">
        <f>ankomster!D80</f>
        <v>-</v>
      </c>
      <c r="D80" t="str">
        <f>[1]ankomster!E80</f>
        <v>-</v>
      </c>
      <c r="E80" t="str">
        <f>IFERROR(VLOOKUP(D80,[1]Database!$A$2:$L$175,2,FALSE),"-")</f>
        <v>-</v>
      </c>
      <c r="F80" t="str">
        <f>[1]ankomster!J80</f>
        <v>-</v>
      </c>
      <c r="G80" t="str">
        <f>IFERROR(VLOOKUP(F80,[1]Database!$A$2:$L$175,2,FALSE),"-")</f>
        <v>-</v>
      </c>
      <c r="H80" t="str">
        <f>[1]ankomster!O80</f>
        <v>-</v>
      </c>
      <c r="I80" t="str">
        <f>IFERROR(VLOOKUP(H80,[1]Database!$A$2:$L$175,2,FALSE),"-")</f>
        <v>-</v>
      </c>
      <c r="J80" s="79" t="str">
        <f>[1]ankomster!T80</f>
        <v>-</v>
      </c>
      <c r="K80" t="str">
        <f>IFERROR(VLOOKUP(J80,[1]Database!$A$2:$L$175,2,FALSE),"-")</f>
        <v>-</v>
      </c>
      <c r="L80" t="str">
        <f>[1]ankomster!Y80</f>
        <v>-</v>
      </c>
      <c r="M80" t="str">
        <f>IFERROR(VLOOKUP(L80,[1]Database!$A$2:$L$175,2,FALSE),"-")</f>
        <v>-</v>
      </c>
    </row>
    <row r="81" spans="1:13" x14ac:dyDescent="0.35">
      <c r="A81" s="26">
        <v>46218</v>
      </c>
      <c r="B81" t="str">
        <f>[1]ankomster!A81</f>
        <v>onsdag</v>
      </c>
      <c r="C81" t="str">
        <f>ankomster!D81</f>
        <v>-</v>
      </c>
      <c r="D81" t="str">
        <f>[1]ankomster!E81</f>
        <v>-</v>
      </c>
      <c r="E81" t="str">
        <f>IFERROR(VLOOKUP(D81,[1]Database!$A$2:$L$175,2,FALSE),"-")</f>
        <v>-</v>
      </c>
      <c r="F81">
        <f>[1]ankomster!J81</f>
        <v>81</v>
      </c>
      <c r="G81" t="str">
        <f>IFERROR(VLOOKUP(F81,[1]Database!$A$2:$L$175,2,FALSE),"-")</f>
        <v>Torben Juul Nielsen</v>
      </c>
      <c r="H81" t="str">
        <f>[1]ankomster!O81</f>
        <v>-</v>
      </c>
      <c r="I81" t="str">
        <f>IFERROR(VLOOKUP(H81,[1]Database!$A$2:$L$175,2,FALSE),"-")</f>
        <v>-</v>
      </c>
      <c r="J81" s="79" t="str">
        <f>[1]ankomster!T81</f>
        <v>-</v>
      </c>
      <c r="K81" t="str">
        <f>IFERROR(VLOOKUP(J81,[1]Database!$A$2:$L$175,2,FALSE),"-")</f>
        <v>-</v>
      </c>
      <c r="L81" t="str">
        <f>[1]ankomster!Y81</f>
        <v>-</v>
      </c>
      <c r="M81" t="str">
        <f>IFERROR(VLOOKUP(L81,[1]Database!$A$2:$L$175,2,FALSE),"-")</f>
        <v>-</v>
      </c>
    </row>
    <row r="82" spans="1:13" x14ac:dyDescent="0.35">
      <c r="A82" s="26">
        <v>46219</v>
      </c>
      <c r="B82" t="str">
        <f>[1]ankomster!A82</f>
        <v>torsdag</v>
      </c>
      <c r="C82" t="str">
        <f>ankomster!D82</f>
        <v>-</v>
      </c>
      <c r="D82" t="str">
        <f>[1]ankomster!E82</f>
        <v>-</v>
      </c>
      <c r="E82" t="str">
        <f>IFERROR(VLOOKUP(D82,[1]Database!$A$2:$L$175,2,FALSE),"-")</f>
        <v>-</v>
      </c>
      <c r="F82" t="str">
        <f>[1]ankomster!J82</f>
        <v>-</v>
      </c>
      <c r="G82" t="str">
        <f>IFERROR(VLOOKUP(F82,[1]Database!$A$2:$L$175,2,FALSE),"-")</f>
        <v>-</v>
      </c>
      <c r="H82" t="str">
        <f>[1]ankomster!O82</f>
        <v>-</v>
      </c>
      <c r="I82" t="str">
        <f>IFERROR(VLOOKUP(H82,[1]Database!$A$2:$L$175,2,FALSE),"-")</f>
        <v>-</v>
      </c>
      <c r="J82" s="79" t="str">
        <f>[1]ankomster!T82</f>
        <v>-</v>
      </c>
      <c r="K82" t="str">
        <f>IFERROR(VLOOKUP(J82,[1]Database!$A$2:$L$175,2,FALSE),"-")</f>
        <v>-</v>
      </c>
      <c r="L82" t="str">
        <f>[1]ankomster!Y82</f>
        <v>-</v>
      </c>
      <c r="M82" t="str">
        <f>IFERROR(VLOOKUP(L82,[1]Database!$A$2:$L$175,2,FALSE),"-")</f>
        <v>-</v>
      </c>
    </row>
    <row r="83" spans="1:13" x14ac:dyDescent="0.35">
      <c r="A83" s="26">
        <v>46220</v>
      </c>
      <c r="B83" t="str">
        <f>[1]ankomster!A83</f>
        <v>fredag</v>
      </c>
      <c r="C83" t="str">
        <f>ankomster!D83</f>
        <v>-</v>
      </c>
      <c r="D83" t="str">
        <f>[1]ankomster!E83</f>
        <v>-</v>
      </c>
      <c r="E83" t="str">
        <f>IFERROR(VLOOKUP(D83,[1]Database!$A$2:$L$175,2,FALSE),"-")</f>
        <v>-</v>
      </c>
      <c r="F83" t="str">
        <f>[1]ankomster!J83</f>
        <v>-</v>
      </c>
      <c r="G83" t="str">
        <f>IFERROR(VLOOKUP(F83,[1]Database!$A$2:$L$175,2,FALSE),"-")</f>
        <v>-</v>
      </c>
      <c r="H83" t="str">
        <f>[1]ankomster!O83</f>
        <v>-</v>
      </c>
      <c r="I83" t="str">
        <f>IFERROR(VLOOKUP(H83,[1]Database!$A$2:$L$175,2,FALSE),"-")</f>
        <v>-</v>
      </c>
      <c r="J83" s="79" t="str">
        <f>[1]ankomster!T83</f>
        <v>-</v>
      </c>
      <c r="K83" t="str">
        <f>IFERROR(VLOOKUP(J83,[1]Database!$A$2:$L$175,2,FALSE),"-")</f>
        <v>-</v>
      </c>
      <c r="L83" t="str">
        <f>[1]ankomster!Y83</f>
        <v>-</v>
      </c>
      <c r="M83" t="str">
        <f>IFERROR(VLOOKUP(L83,[1]Database!$A$2:$L$175,2,FALSE),"-")</f>
        <v>-</v>
      </c>
    </row>
    <row r="84" spans="1:13" x14ac:dyDescent="0.35">
      <c r="A84" s="26">
        <v>46221</v>
      </c>
      <c r="B84" t="str">
        <f>[1]ankomster!A84</f>
        <v>lørdag</v>
      </c>
      <c r="C84" t="str">
        <f>ankomster!D84</f>
        <v>-</v>
      </c>
      <c r="D84" t="str">
        <f>[1]ankomster!E84</f>
        <v>-</v>
      </c>
      <c r="E84" t="str">
        <f>IFERROR(VLOOKUP(D84,[1]Database!$A$2:$L$175,2,FALSE),"-")</f>
        <v>-</v>
      </c>
      <c r="F84" t="str">
        <f>[1]ankomster!J84</f>
        <v>-</v>
      </c>
      <c r="G84" t="str">
        <f>IFERROR(VLOOKUP(F84,[1]Database!$A$2:$L$175,2,FALSE),"-")</f>
        <v>-</v>
      </c>
      <c r="H84">
        <f>[1]ankomster!O84</f>
        <v>38</v>
      </c>
      <c r="I84" t="str">
        <f>IFERROR(VLOOKUP(H84,[1]Database!$A$2:$L$175,2,FALSE),"-")</f>
        <v>Werner Strehmel</v>
      </c>
      <c r="J84" s="79" t="str">
        <f>[1]ankomster!T84</f>
        <v>-</v>
      </c>
      <c r="K84" t="str">
        <f>IFERROR(VLOOKUP(J84,[1]Database!$A$2:$L$175,2,FALSE),"-")</f>
        <v>-</v>
      </c>
      <c r="L84" t="str">
        <f>[1]ankomster!Y84</f>
        <v>-</v>
      </c>
      <c r="M84" t="str">
        <f>IFERROR(VLOOKUP(L84,[1]Database!$A$2:$L$175,2,FALSE),"-")</f>
        <v>-</v>
      </c>
    </row>
    <row r="85" spans="1:13" x14ac:dyDescent="0.35">
      <c r="A85" s="26">
        <v>46222</v>
      </c>
      <c r="B85" t="str">
        <f>[1]ankomster!A85</f>
        <v>søndag</v>
      </c>
      <c r="C85" t="str">
        <f>ankomster!D85</f>
        <v>-</v>
      </c>
      <c r="D85" t="str">
        <f>[1]ankomster!E85</f>
        <v>-</v>
      </c>
      <c r="E85" t="str">
        <f>IFERROR(VLOOKUP(D85,[1]Database!$A$2:$L$175,2,FALSE),"-")</f>
        <v>-</v>
      </c>
      <c r="F85">
        <f>[1]ankomster!J85</f>
        <v>44</v>
      </c>
      <c r="G85" t="str">
        <f>IFERROR(VLOOKUP(F85,[1]Database!$A$2:$L$175,2,FALSE),"-")</f>
        <v>Jan Uxa</v>
      </c>
      <c r="H85" t="str">
        <f>[1]ankomster!O85</f>
        <v>-</v>
      </c>
      <c r="I85" t="str">
        <f>IFERROR(VLOOKUP(H85,[1]Database!$A$2:$L$175,2,FALSE),"-")</f>
        <v>-</v>
      </c>
      <c r="J85" s="79">
        <f>[1]ankomster!T85</f>
        <v>1</v>
      </c>
      <c r="K85" t="str">
        <f>IFERROR(VLOOKUP(J85,[1]Database!$A$2:$L$175,2,FALSE),"-")</f>
        <v>Lars Grundfør</v>
      </c>
      <c r="L85" t="str">
        <f>[1]ankomster!Y85</f>
        <v>-</v>
      </c>
      <c r="M85" t="str">
        <f>IFERROR(VLOOKUP(L85,[1]Database!$A$2:$L$175,2,FALSE),"-")</f>
        <v>-</v>
      </c>
    </row>
    <row r="86" spans="1:13" x14ac:dyDescent="0.35">
      <c r="A86" s="26">
        <v>46223</v>
      </c>
      <c r="B86" t="str">
        <f>[1]ankomster!A86</f>
        <v>mandag</v>
      </c>
      <c r="C86" t="str">
        <f>ankomster!D86</f>
        <v>-</v>
      </c>
      <c r="D86" t="str">
        <f>[1]ankomster!E86</f>
        <v>-</v>
      </c>
      <c r="E86" t="str">
        <f>IFERROR(VLOOKUP(D86,[1]Database!$A$2:$L$175,2,FALSE),"-")</f>
        <v>-</v>
      </c>
      <c r="F86" t="str">
        <f>[1]ankomster!J86</f>
        <v>-</v>
      </c>
      <c r="G86" t="str">
        <f>IFERROR(VLOOKUP(F86,[1]Database!$A$2:$L$175,2,FALSE),"-")</f>
        <v>-</v>
      </c>
      <c r="H86" t="str">
        <f>[1]ankomster!O86</f>
        <v>-</v>
      </c>
      <c r="I86" t="str">
        <f>IFERROR(VLOOKUP(H86,[1]Database!$A$2:$L$175,2,FALSE),"-")</f>
        <v>-</v>
      </c>
      <c r="J86" s="79" t="str">
        <f>[1]ankomster!T86</f>
        <v>-</v>
      </c>
      <c r="K86" t="str">
        <f>IFERROR(VLOOKUP(J86,[1]Database!$A$2:$L$175,2,FALSE),"-")</f>
        <v>-</v>
      </c>
      <c r="L86" t="str">
        <f>[1]ankomster!Y86</f>
        <v>-</v>
      </c>
      <c r="M86" t="str">
        <f>IFERROR(VLOOKUP(L86,[1]Database!$A$2:$L$175,2,FALSE),"-")</f>
        <v>-</v>
      </c>
    </row>
    <row r="87" spans="1:13" x14ac:dyDescent="0.35">
      <c r="A87" s="26">
        <v>46224</v>
      </c>
      <c r="B87" t="str">
        <f>[1]ankomster!A87</f>
        <v>tirsdag</v>
      </c>
      <c r="C87" t="str">
        <f>ankomster!D87</f>
        <v>-</v>
      </c>
      <c r="D87" t="str">
        <f>[1]ankomster!E87</f>
        <v>-</v>
      </c>
      <c r="E87" t="str">
        <f>IFERROR(VLOOKUP(D87,[1]Database!$A$2:$L$175,2,FALSE),"-")</f>
        <v>-</v>
      </c>
      <c r="F87" t="str">
        <f>[1]ankomster!J87</f>
        <v>-</v>
      </c>
      <c r="G87" t="str">
        <f>IFERROR(VLOOKUP(F87,[1]Database!$A$2:$L$175,2,FALSE),"-")</f>
        <v>-</v>
      </c>
      <c r="H87" t="str">
        <f>[1]ankomster!O87</f>
        <v>-</v>
      </c>
      <c r="I87" t="str">
        <f>IFERROR(VLOOKUP(H87,[1]Database!$A$2:$L$175,2,FALSE),"-")</f>
        <v>-</v>
      </c>
      <c r="J87" s="79" t="str">
        <f>[1]ankomster!T87</f>
        <v>-</v>
      </c>
      <c r="K87" t="str">
        <f>IFERROR(VLOOKUP(J87,[1]Database!$A$2:$L$175,2,FALSE),"-")</f>
        <v>-</v>
      </c>
      <c r="L87" t="str">
        <f>[1]ankomster!Y87</f>
        <v>-</v>
      </c>
      <c r="M87" t="str">
        <f>IFERROR(VLOOKUP(L87,[1]Database!$A$2:$L$175,2,FALSE),"-")</f>
        <v>-</v>
      </c>
    </row>
    <row r="88" spans="1:13" x14ac:dyDescent="0.35">
      <c r="A88" s="26">
        <v>46225</v>
      </c>
      <c r="B88" t="str">
        <f>[1]ankomster!A88</f>
        <v>onsdag</v>
      </c>
      <c r="C88" t="str">
        <f>ankomster!D88</f>
        <v>-</v>
      </c>
      <c r="D88" t="str">
        <f>[1]ankomster!E88</f>
        <v>-</v>
      </c>
      <c r="E88" t="str">
        <f>IFERROR(VLOOKUP(D88,[1]Database!$A$2:$L$175,2,FALSE),"-")</f>
        <v>-</v>
      </c>
      <c r="F88" t="str">
        <f>[1]ankomster!J88</f>
        <v>-</v>
      </c>
      <c r="G88" t="str">
        <f>IFERROR(VLOOKUP(F88,[1]Database!$A$2:$L$175,2,FALSE),"-")</f>
        <v>-</v>
      </c>
      <c r="H88" t="str">
        <f>[1]ankomster!O88</f>
        <v>-</v>
      </c>
      <c r="I88" t="str">
        <f>IFERROR(VLOOKUP(H88,[1]Database!$A$2:$L$175,2,FALSE),"-")</f>
        <v>-</v>
      </c>
      <c r="J88" s="79" t="str">
        <f>[1]ankomster!T88</f>
        <v>-</v>
      </c>
      <c r="K88" t="str">
        <f>IFERROR(VLOOKUP(J88,[1]Database!$A$2:$L$175,2,FALSE),"-")</f>
        <v>-</v>
      </c>
      <c r="L88">
        <f>[1]ankomster!Y88</f>
        <v>10</v>
      </c>
      <c r="M88" t="str">
        <f>IFERROR(VLOOKUP(L88,[1]Database!$A$2:$L$175,2,FALSE),"-")</f>
        <v>Susanne Føgh Sørensen</v>
      </c>
    </row>
    <row r="89" spans="1:13" x14ac:dyDescent="0.35">
      <c r="A89" s="26">
        <v>46226</v>
      </c>
      <c r="B89" t="str">
        <f>[1]ankomster!A89</f>
        <v>torsdag</v>
      </c>
      <c r="C89" t="str">
        <f>ankomster!D89</f>
        <v>-</v>
      </c>
      <c r="D89" t="str">
        <f>[1]ankomster!E89</f>
        <v>-</v>
      </c>
      <c r="E89" t="str">
        <f>IFERROR(VLOOKUP(D89,[1]Database!$A$2:$L$175,2,FALSE),"-")</f>
        <v>-</v>
      </c>
      <c r="F89" t="str">
        <f>[1]ankomster!J89</f>
        <v>-</v>
      </c>
      <c r="G89" t="str">
        <f>IFERROR(VLOOKUP(F89,[1]Database!$A$2:$L$175,2,FALSE),"-")</f>
        <v>-</v>
      </c>
      <c r="H89" t="str">
        <f>[1]ankomster!O89</f>
        <v>-</v>
      </c>
      <c r="I89" t="str">
        <f>IFERROR(VLOOKUP(H89,[1]Database!$A$2:$L$175,2,FALSE),"-")</f>
        <v>-</v>
      </c>
      <c r="J89" s="79" t="str">
        <f>[1]ankomster!T89</f>
        <v>-</v>
      </c>
      <c r="K89" t="str">
        <f>IFERROR(VLOOKUP(J89,[1]Database!$A$2:$L$175,2,FALSE),"-")</f>
        <v>-</v>
      </c>
      <c r="L89" t="str">
        <f>[1]ankomster!Y89</f>
        <v>-</v>
      </c>
      <c r="M89" t="str">
        <f>IFERROR(VLOOKUP(L89,[1]Database!$A$2:$L$175,2,FALSE),"-")</f>
        <v>-</v>
      </c>
    </row>
    <row r="90" spans="1:13" x14ac:dyDescent="0.35">
      <c r="A90" s="26">
        <v>46227</v>
      </c>
      <c r="B90" t="str">
        <f>[1]ankomster!A90</f>
        <v>fredag</v>
      </c>
      <c r="C90" t="str">
        <f>ankomster!D90</f>
        <v>-</v>
      </c>
      <c r="D90" t="str">
        <f>[1]ankomster!E90</f>
        <v>-</v>
      </c>
      <c r="E90" t="str">
        <f>IFERROR(VLOOKUP(D90,[1]Database!$A$2:$L$175,2,FALSE),"-")</f>
        <v>-</v>
      </c>
      <c r="F90" t="str">
        <f>[1]ankomster!J90</f>
        <v>-</v>
      </c>
      <c r="G90" t="str">
        <f>IFERROR(VLOOKUP(F90,[1]Database!$A$2:$L$175,2,FALSE),"-")</f>
        <v>-</v>
      </c>
      <c r="H90" t="str">
        <f>[1]ankomster!O90</f>
        <v>-</v>
      </c>
      <c r="I90" t="str">
        <f>IFERROR(VLOOKUP(H90,[1]Database!$A$2:$L$175,2,FALSE),"-")</f>
        <v>-</v>
      </c>
      <c r="J90" s="79" t="str">
        <f>[1]ankomster!T90</f>
        <v>-</v>
      </c>
      <c r="K90" t="str">
        <f>IFERROR(VLOOKUP(J90,[1]Database!$A$2:$L$175,2,FALSE),"-")</f>
        <v>-</v>
      </c>
      <c r="L90" t="str">
        <f>[1]ankomster!Y90</f>
        <v>-</v>
      </c>
      <c r="M90" t="str">
        <f>IFERROR(VLOOKUP(L90,[1]Database!$A$2:$L$175,2,FALSE),"-")</f>
        <v>-</v>
      </c>
    </row>
    <row r="91" spans="1:13" x14ac:dyDescent="0.35">
      <c r="A91" s="26">
        <v>46228</v>
      </c>
      <c r="B91" t="str">
        <f>[1]ankomster!A91</f>
        <v>lørdag</v>
      </c>
      <c r="C91" t="str">
        <f>ankomster!D91</f>
        <v>-</v>
      </c>
      <c r="D91" t="str">
        <f>[1]ankomster!E91</f>
        <v>-</v>
      </c>
      <c r="E91" t="str">
        <f>IFERROR(VLOOKUP(D91,[1]Database!$A$2:$L$175,2,FALSE),"-")</f>
        <v>-</v>
      </c>
      <c r="F91" t="str">
        <f>[1]ankomster!J91</f>
        <v>-</v>
      </c>
      <c r="G91" t="str">
        <f>IFERROR(VLOOKUP(F91,[1]Database!$A$2:$L$175,2,FALSE),"-")</f>
        <v>-</v>
      </c>
      <c r="H91" t="str">
        <f>[1]ankomster!O91</f>
        <v>-</v>
      </c>
      <c r="I91" t="str">
        <f>IFERROR(VLOOKUP(H91,[1]Database!$A$2:$L$175,2,FALSE),"-")</f>
        <v>-</v>
      </c>
      <c r="J91" s="79" t="str">
        <f>[1]ankomster!T91</f>
        <v>-</v>
      </c>
      <c r="K91" t="str">
        <f>IFERROR(VLOOKUP(J91,[1]Database!$A$2:$L$175,2,FALSE),"-")</f>
        <v>-</v>
      </c>
      <c r="L91">
        <f>[1]ankomster!Y91</f>
        <v>49</v>
      </c>
      <c r="M91" t="str">
        <f>IFERROR(VLOOKUP(L91,[1]Database!$A$2:$L$175,2,FALSE),"-")</f>
        <v>Jens Olesen</v>
      </c>
    </row>
    <row r="92" spans="1:13" x14ac:dyDescent="0.35">
      <c r="A92" s="26">
        <v>46229</v>
      </c>
      <c r="B92" t="str">
        <f>[1]ankomster!A92</f>
        <v>søndag</v>
      </c>
      <c r="C92" t="str">
        <f>ankomster!D92</f>
        <v>-</v>
      </c>
      <c r="D92" t="str">
        <f>[1]ankomster!E92</f>
        <v>-</v>
      </c>
      <c r="E92" t="str">
        <f>IFERROR(VLOOKUP(D92,[1]Database!$A$2:$L$175,2,FALSE),"-")</f>
        <v>-</v>
      </c>
      <c r="F92" t="str">
        <f>[1]ankomster!J92</f>
        <v>-</v>
      </c>
      <c r="G92" t="str">
        <f>IFERROR(VLOOKUP(F92,[1]Database!$A$2:$L$175,2,FALSE),"-")</f>
        <v>-</v>
      </c>
      <c r="H92">
        <f>[1]ankomster!O92</f>
        <v>58</v>
      </c>
      <c r="I92" t="str">
        <f>IFERROR(VLOOKUP(H92,[1]Database!$A$2:$L$175,2,FALSE),"-")</f>
        <v>Rikke Schwartz</v>
      </c>
      <c r="J92" s="79">
        <f>[1]ankomster!T92</f>
        <v>58</v>
      </c>
      <c r="K92" t="str">
        <f>IFERROR(VLOOKUP(J92,[1]Database!$A$2:$L$175,2,FALSE),"-")</f>
        <v>Rikke Schwartz</v>
      </c>
      <c r="L92" t="str">
        <f>[1]ankomster!Y92</f>
        <v>-</v>
      </c>
      <c r="M92" t="str">
        <f>IFERROR(VLOOKUP(L92,[1]Database!$A$2:$L$175,2,FALSE),"-")</f>
        <v>-</v>
      </c>
    </row>
    <row r="93" spans="1:13" x14ac:dyDescent="0.35">
      <c r="A93" s="26">
        <v>46230</v>
      </c>
      <c r="B93" t="str">
        <f>[1]ankomster!A93</f>
        <v>mandag</v>
      </c>
      <c r="C93" t="str">
        <f>ankomster!D93</f>
        <v>-</v>
      </c>
      <c r="D93">
        <f>[1]ankomster!E93</f>
        <v>55</v>
      </c>
      <c r="E93" t="str">
        <f>IFERROR(VLOOKUP(D93,[1]Database!$A$2:$L$175,2,FALSE),"-")</f>
        <v>Jette Jensen</v>
      </c>
      <c r="F93">
        <f>[1]ankomster!J93</f>
        <v>30</v>
      </c>
      <c r="G93" t="str">
        <f>IFERROR(VLOOKUP(F93,[1]Database!$A$2:$L$175,2,FALSE),"-")</f>
        <v>Annemarie Muller</v>
      </c>
      <c r="H93" t="str">
        <f>[1]ankomster!O93</f>
        <v>-</v>
      </c>
      <c r="I93" t="str">
        <f>IFERROR(VLOOKUP(H93,[1]Database!$A$2:$L$175,2,FALSE),"-")</f>
        <v>-</v>
      </c>
      <c r="J93" s="79" t="str">
        <f>[1]ankomster!T93</f>
        <v>-</v>
      </c>
      <c r="K93" t="str">
        <f>IFERROR(VLOOKUP(J93,[1]Database!$A$2:$L$175,2,FALSE),"-")</f>
        <v>-</v>
      </c>
      <c r="L93" t="str">
        <f>[1]ankomster!Y93</f>
        <v>-</v>
      </c>
      <c r="M93" t="str">
        <f>IFERROR(VLOOKUP(L93,[1]Database!$A$2:$L$175,2,FALSE),"-")</f>
        <v>-</v>
      </c>
    </row>
    <row r="94" spans="1:13" x14ac:dyDescent="0.35">
      <c r="A94" s="26">
        <v>46231</v>
      </c>
      <c r="B94" t="str">
        <f>[1]ankomster!A94</f>
        <v>tirsdag</v>
      </c>
      <c r="C94" t="str">
        <f>ankomster!D94</f>
        <v>-</v>
      </c>
      <c r="D94" t="str">
        <f>[1]ankomster!E94</f>
        <v>-</v>
      </c>
      <c r="E94" t="str">
        <f>IFERROR(VLOOKUP(D94,[1]Database!$A$2:$L$175,2,FALSE),"-")</f>
        <v>-</v>
      </c>
      <c r="F94" t="str">
        <f>[1]ankomster!J94</f>
        <v>-</v>
      </c>
      <c r="G94" t="str">
        <f>IFERROR(VLOOKUP(F94,[1]Database!$A$2:$L$175,2,FALSE),"-")</f>
        <v>-</v>
      </c>
      <c r="H94" t="str">
        <f>[1]ankomster!O94</f>
        <v>-</v>
      </c>
      <c r="I94" t="str">
        <f>IFERROR(VLOOKUP(H94,[1]Database!$A$2:$L$175,2,FALSE),"-")</f>
        <v>-</v>
      </c>
      <c r="J94" s="79" t="str">
        <f>[1]ankomster!T94</f>
        <v>-</v>
      </c>
      <c r="K94" t="str">
        <f>IFERROR(VLOOKUP(J94,[1]Database!$A$2:$L$175,2,FALSE),"-")</f>
        <v>-</v>
      </c>
      <c r="L94" t="str">
        <f>[1]ankomster!Y94</f>
        <v>-</v>
      </c>
      <c r="M94" t="str">
        <f>IFERROR(VLOOKUP(L94,[1]Database!$A$2:$L$175,2,FALSE),"-")</f>
        <v>-</v>
      </c>
    </row>
    <row r="95" spans="1:13" x14ac:dyDescent="0.35">
      <c r="A95" s="26">
        <v>46232</v>
      </c>
      <c r="B95" t="str">
        <f>[1]ankomster!A95</f>
        <v>onsdag</v>
      </c>
      <c r="C95" t="str">
        <f>ankomster!D95</f>
        <v>-</v>
      </c>
      <c r="D95" t="str">
        <f>[1]ankomster!E95</f>
        <v>-</v>
      </c>
      <c r="E95" t="str">
        <f>IFERROR(VLOOKUP(D95,[1]Database!$A$2:$L$175,2,FALSE),"-")</f>
        <v>-</v>
      </c>
      <c r="F95" t="str">
        <f>[1]ankomster!J95</f>
        <v>-</v>
      </c>
      <c r="G95" t="str">
        <f>IFERROR(VLOOKUP(F95,[1]Database!$A$2:$L$175,2,FALSE),"-")</f>
        <v>-</v>
      </c>
      <c r="H95" t="str">
        <f>[1]ankomster!O95</f>
        <v>-</v>
      </c>
      <c r="I95" t="str">
        <f>IFERROR(VLOOKUP(H95,[1]Database!$A$2:$L$175,2,FALSE),"-")</f>
        <v>-</v>
      </c>
      <c r="J95" s="79">
        <f>[1]ankomster!T95</f>
        <v>57</v>
      </c>
      <c r="K95" t="str">
        <f>IFERROR(VLOOKUP(J95,[1]Database!$A$2:$L$175,2,FALSE),"-")</f>
        <v>Cecilia Löfgren</v>
      </c>
      <c r="L95" t="str">
        <f>[1]ankomster!Y95</f>
        <v>-</v>
      </c>
      <c r="M95" t="str">
        <f>IFERROR(VLOOKUP(L95,[1]Database!$A$2:$L$175,2,FALSE),"-")</f>
        <v>-</v>
      </c>
    </row>
    <row r="96" spans="1:13" x14ac:dyDescent="0.35">
      <c r="A96" s="26">
        <v>46233</v>
      </c>
      <c r="B96" t="str">
        <f>[1]ankomster!A96</f>
        <v>torsdag</v>
      </c>
      <c r="C96" t="str">
        <f>ankomster!D96</f>
        <v>-</v>
      </c>
      <c r="D96" t="str">
        <f>[1]ankomster!E96</f>
        <v>-</v>
      </c>
      <c r="E96" t="str">
        <f>IFERROR(VLOOKUP(D96,[1]Database!$A$2:$L$175,2,FALSE),"-")</f>
        <v>-</v>
      </c>
      <c r="F96" t="str">
        <f>[1]ankomster!J96</f>
        <v>-</v>
      </c>
      <c r="G96" t="str">
        <f>IFERROR(VLOOKUP(F96,[1]Database!$A$2:$L$175,2,FALSE),"-")</f>
        <v>-</v>
      </c>
      <c r="H96">
        <f>[1]ankomster!O96</f>
        <v>115</v>
      </c>
      <c r="I96" t="str">
        <f>IFERROR(VLOOKUP(H96,[1]Database!$A$2:$L$175,2,FALSE),"-")</f>
        <v>Lene Lei Jensen</v>
      </c>
      <c r="J96" s="79" t="str">
        <f>[1]ankomster!T96</f>
        <v>-</v>
      </c>
      <c r="K96" t="str">
        <f>IFERROR(VLOOKUP(J96,[1]Database!$A$2:$L$175,2,FALSE),"-")</f>
        <v>-</v>
      </c>
      <c r="L96" t="str">
        <f>[1]ankomster!Y96</f>
        <v>-</v>
      </c>
      <c r="M96" t="str">
        <f>IFERROR(VLOOKUP(L96,[1]Database!$A$2:$L$175,2,FALSE),"-")</f>
        <v>-</v>
      </c>
    </row>
    <row r="97" spans="1:13" x14ac:dyDescent="0.35">
      <c r="A97" s="26">
        <v>46234</v>
      </c>
      <c r="B97" t="str">
        <f>[1]ankomster!A97</f>
        <v>fredag</v>
      </c>
      <c r="C97" t="str">
        <f>ankomster!D97</f>
        <v>-</v>
      </c>
      <c r="D97">
        <f>[1]ankomster!E97</f>
        <v>94</v>
      </c>
      <c r="E97" t="str">
        <f>IFERROR(VLOOKUP(D97,[1]Database!$A$2:$L$175,2,FALSE),"-")</f>
        <v>Barbara Lobinger</v>
      </c>
      <c r="F97" t="str">
        <f>[1]ankomster!J97</f>
        <v>-</v>
      </c>
      <c r="G97" t="str">
        <f>IFERROR(VLOOKUP(F97,[1]Database!$A$2:$L$175,2,FALSE),"-")</f>
        <v>-</v>
      </c>
      <c r="H97" t="str">
        <f>[1]ankomster!O97</f>
        <v>-</v>
      </c>
      <c r="I97" t="str">
        <f>IFERROR(VLOOKUP(H97,[1]Database!$A$2:$L$175,2,FALSE),"-")</f>
        <v>-</v>
      </c>
      <c r="J97" s="79" t="str">
        <f>[1]ankomster!T97</f>
        <v>-</v>
      </c>
      <c r="K97" t="str">
        <f>IFERROR(VLOOKUP(J97,[1]Database!$A$2:$L$175,2,FALSE),"-")</f>
        <v>-</v>
      </c>
      <c r="L97" t="str">
        <f>[1]ankomster!Y97</f>
        <v>-</v>
      </c>
      <c r="M97" t="str">
        <f>IFERROR(VLOOKUP(L97,[1]Database!$A$2:$L$175,2,FALSE),"-")</f>
        <v>-</v>
      </c>
    </row>
    <row r="98" spans="1:13" x14ac:dyDescent="0.35">
      <c r="A98" s="26">
        <v>46235</v>
      </c>
      <c r="B98" t="str">
        <f>[1]ankomster!A98</f>
        <v>lørdag</v>
      </c>
      <c r="C98" t="str">
        <f>ankomster!D98</f>
        <v>-</v>
      </c>
      <c r="D98" t="str">
        <f>[1]ankomster!E98</f>
        <v>-</v>
      </c>
      <c r="E98" t="str">
        <f>IFERROR(VLOOKUP(D98,[1]Database!$A$2:$L$175,2,FALSE),"-")</f>
        <v>-</v>
      </c>
      <c r="F98" t="str">
        <f>[1]ankomster!J98</f>
        <v>-</v>
      </c>
      <c r="G98" t="str">
        <f>IFERROR(VLOOKUP(F98,[1]Database!$A$2:$L$175,2,FALSE),"-")</f>
        <v>-</v>
      </c>
      <c r="H98" t="str">
        <f>[1]ankomster!O98</f>
        <v>-</v>
      </c>
      <c r="I98" t="str">
        <f>IFERROR(VLOOKUP(H98,[1]Database!$A$2:$L$175,2,FALSE),"-")</f>
        <v>-</v>
      </c>
      <c r="J98" s="79" t="str">
        <f>[1]ankomster!T98</f>
        <v>-</v>
      </c>
      <c r="K98" t="str">
        <f>IFERROR(VLOOKUP(J98,[1]Database!$A$2:$L$175,2,FALSE),"-")</f>
        <v>-</v>
      </c>
      <c r="L98" t="str">
        <f>[1]ankomster!Y98</f>
        <v>-</v>
      </c>
      <c r="M98" t="str">
        <f>IFERROR(VLOOKUP(L98,[1]Database!$A$2:$L$175,2,FALSE),"-")</f>
        <v>-</v>
      </c>
    </row>
    <row r="99" spans="1:13" x14ac:dyDescent="0.35">
      <c r="A99" s="26">
        <v>46236</v>
      </c>
      <c r="B99" t="str">
        <f>[1]ankomster!A99</f>
        <v>søndag</v>
      </c>
      <c r="C99" t="str">
        <f>ankomster!D99</f>
        <v>-</v>
      </c>
      <c r="D99" t="str">
        <f>[1]ankomster!E99</f>
        <v>-</v>
      </c>
      <c r="E99" t="str">
        <f>IFERROR(VLOOKUP(D99,[1]Database!$A$2:$L$175,2,FALSE),"-")</f>
        <v>-</v>
      </c>
      <c r="F99">
        <f>[1]ankomster!J99</f>
        <v>74</v>
      </c>
      <c r="G99" t="str">
        <f>IFERROR(VLOOKUP(F99,[1]Database!$A$2:$L$175,2,FALSE),"-")</f>
        <v>Anne Hastrup Poulsen</v>
      </c>
      <c r="H99">
        <f>[1]ankomster!O99</f>
        <v>74</v>
      </c>
      <c r="I99" t="str">
        <f>IFERROR(VLOOKUP(H99,[1]Database!$A$2:$L$175,2,FALSE),"-")</f>
        <v>Anne Hastrup Poulsen</v>
      </c>
      <c r="J99" s="79" t="str">
        <f>[1]ankomster!T99</f>
        <v>-</v>
      </c>
      <c r="K99" t="str">
        <f>IFERROR(VLOOKUP(J99,[1]Database!$A$2:$L$175,2,FALSE),"-")</f>
        <v>-</v>
      </c>
      <c r="L99" t="str">
        <f>[1]ankomster!Y99</f>
        <v>-</v>
      </c>
      <c r="M99" t="str">
        <f>IFERROR(VLOOKUP(L99,[1]Database!$A$2:$L$175,2,FALSE),"-")</f>
        <v>-</v>
      </c>
    </row>
    <row r="100" spans="1:13" x14ac:dyDescent="0.35">
      <c r="A100" s="26">
        <v>46237</v>
      </c>
      <c r="B100" t="str">
        <f>[1]ankomster!A100</f>
        <v>mandag</v>
      </c>
      <c r="C100" t="str">
        <f>ankomster!D100</f>
        <v>-</v>
      </c>
      <c r="D100">
        <f>[1]ankomster!E100</f>
        <v>11</v>
      </c>
      <c r="E100" t="str">
        <f>IFERROR(VLOOKUP(D100,[1]Database!$A$2:$L$175,2,FALSE),"-")</f>
        <v>Kathrin Leupold</v>
      </c>
      <c r="F100" t="str">
        <f>[1]ankomster!J100</f>
        <v>-</v>
      </c>
      <c r="G100" t="str">
        <f>IFERROR(VLOOKUP(F100,[1]Database!$A$2:$L$175,2,FALSE),"-")</f>
        <v>-</v>
      </c>
      <c r="H100" t="str">
        <f>[1]ankomster!O100</f>
        <v>-</v>
      </c>
      <c r="I100" t="str">
        <f>IFERROR(VLOOKUP(H100,[1]Database!$A$2:$L$175,2,FALSE),"-")</f>
        <v>-</v>
      </c>
      <c r="J100" s="79" t="str">
        <f>[1]ankomster!T100</f>
        <v>-</v>
      </c>
      <c r="K100" t="str">
        <f>IFERROR(VLOOKUP(J100,[1]Database!$A$2:$L$175,2,FALSE),"-")</f>
        <v>-</v>
      </c>
      <c r="L100">
        <f>[1]ankomster!Y100</f>
        <v>50</v>
      </c>
      <c r="M100" t="str">
        <f>IFERROR(VLOOKUP(L100,[1]Database!$A$2:$L$175,2,FALSE),"-")</f>
        <v>Lone Dybdahl</v>
      </c>
    </row>
    <row r="101" spans="1:13" x14ac:dyDescent="0.35">
      <c r="A101" s="26">
        <v>46238</v>
      </c>
      <c r="B101" t="str">
        <f>[1]ankomster!A101</f>
        <v>tirsdag</v>
      </c>
      <c r="C101" t="str">
        <f>ankomster!D101</f>
        <v>-</v>
      </c>
      <c r="D101" t="str">
        <f>[1]ankomster!E101</f>
        <v>-</v>
      </c>
      <c r="E101" t="str">
        <f>IFERROR(VLOOKUP(D101,[1]Database!$A$2:$L$175,2,FALSE),"-")</f>
        <v>-</v>
      </c>
      <c r="F101" t="str">
        <f>[1]ankomster!J101</f>
        <v>-</v>
      </c>
      <c r="G101" t="str">
        <f>IFERROR(VLOOKUP(F101,[1]Database!$A$2:$L$175,2,FALSE),"-")</f>
        <v>-</v>
      </c>
      <c r="H101" t="str">
        <f>[1]ankomster!O101</f>
        <v>-</v>
      </c>
      <c r="I101" t="str">
        <f>IFERROR(VLOOKUP(H101,[1]Database!$A$2:$L$175,2,FALSE),"-")</f>
        <v>-</v>
      </c>
      <c r="J101" s="79" t="str">
        <f>[1]ankomster!T101</f>
        <v>-</v>
      </c>
      <c r="K101" t="str">
        <f>IFERROR(VLOOKUP(J101,[1]Database!$A$2:$L$175,2,FALSE),"-")</f>
        <v>-</v>
      </c>
      <c r="L101" t="str">
        <f>[1]ankomster!Y101</f>
        <v>-</v>
      </c>
      <c r="M101" t="str">
        <f>IFERROR(VLOOKUP(L101,[1]Database!$A$2:$L$175,2,FALSE),"-")</f>
        <v>-</v>
      </c>
    </row>
    <row r="102" spans="1:13" x14ac:dyDescent="0.35">
      <c r="A102" s="26">
        <v>46239</v>
      </c>
      <c r="B102" t="str">
        <f>[1]ankomster!A102</f>
        <v>onsdag</v>
      </c>
      <c r="C102" t="str">
        <f>ankomster!D102</f>
        <v>-</v>
      </c>
      <c r="D102" t="str">
        <f>[1]ankomster!E102</f>
        <v>-</v>
      </c>
      <c r="E102" t="str">
        <f>IFERROR(VLOOKUP(D102,[1]Database!$A$2:$L$175,2,FALSE),"-")</f>
        <v>-</v>
      </c>
      <c r="F102" t="str">
        <f>[1]ankomster!J102</f>
        <v>-</v>
      </c>
      <c r="G102" t="str">
        <f>IFERROR(VLOOKUP(F102,[1]Database!$A$2:$L$175,2,FALSE),"-")</f>
        <v>-</v>
      </c>
      <c r="H102" t="str">
        <f>[1]ankomster!O102</f>
        <v>-</v>
      </c>
      <c r="I102" t="str">
        <f>IFERROR(VLOOKUP(H102,[1]Database!$A$2:$L$175,2,FALSE),"-")</f>
        <v>-</v>
      </c>
      <c r="J102" s="79" t="str">
        <f>[1]ankomster!T102</f>
        <v>-</v>
      </c>
      <c r="K102" t="str">
        <f>IFERROR(VLOOKUP(J102,[1]Database!$A$2:$L$175,2,FALSE),"-")</f>
        <v>-</v>
      </c>
      <c r="L102" t="str">
        <f>[1]ankomster!Y102</f>
        <v>-</v>
      </c>
      <c r="M102" t="str">
        <f>IFERROR(VLOOKUP(L102,[1]Database!$A$2:$L$175,2,FALSE),"-")</f>
        <v>-</v>
      </c>
    </row>
    <row r="103" spans="1:13" x14ac:dyDescent="0.35">
      <c r="A103" s="26">
        <v>46240</v>
      </c>
      <c r="B103" t="str">
        <f>[1]ankomster!A103</f>
        <v>torsdag</v>
      </c>
      <c r="C103" t="str">
        <f>ankomster!D103</f>
        <v>-</v>
      </c>
      <c r="D103" t="str">
        <f>[1]ankomster!E103</f>
        <v>-</v>
      </c>
      <c r="E103" t="str">
        <f>IFERROR(VLOOKUP(D103,[1]Database!$A$2:$L$175,2,FALSE),"-")</f>
        <v>-</v>
      </c>
      <c r="F103">
        <f>[1]ankomster!J103</f>
        <v>32</v>
      </c>
      <c r="G103" t="str">
        <f>IFERROR(VLOOKUP(F103,[1]Database!$A$2:$L$175,2,FALSE),"-")</f>
        <v>Wolf Adrian</v>
      </c>
      <c r="H103">
        <f>[1]ankomster!O103</f>
        <v>33</v>
      </c>
      <c r="I103" t="str">
        <f>IFERROR(VLOOKUP(H103,[1]Database!$A$2:$L$175,2,FALSE),"-")</f>
        <v>Jörg Wolf</v>
      </c>
      <c r="J103" s="79">
        <f>[1]ankomster!T103</f>
        <v>45</v>
      </c>
      <c r="K103" t="str">
        <f>IFERROR(VLOOKUP(J103,[1]Database!$A$2:$L$175,2,FALSE),"-")</f>
        <v>Birgitta Björkroth</v>
      </c>
      <c r="L103" t="str">
        <f>[1]ankomster!Y103</f>
        <v>-</v>
      </c>
      <c r="M103" t="str">
        <f>IFERROR(VLOOKUP(L103,[1]Database!$A$2:$L$175,2,FALSE),"-")</f>
        <v>-</v>
      </c>
    </row>
    <row r="104" spans="1:13" x14ac:dyDescent="0.35">
      <c r="A104" s="26">
        <v>46241</v>
      </c>
      <c r="B104" t="str">
        <f>[1]ankomster!A104</f>
        <v>fredag</v>
      </c>
      <c r="C104" t="str">
        <f>ankomster!D104</f>
        <v>-</v>
      </c>
      <c r="D104" t="str">
        <f>[1]ankomster!E104</f>
        <v>-</v>
      </c>
      <c r="E104" t="str">
        <f>IFERROR(VLOOKUP(D104,[1]Database!$A$2:$L$175,2,FALSE),"-")</f>
        <v>-</v>
      </c>
      <c r="F104" t="str">
        <f>[1]ankomster!J104</f>
        <v>-</v>
      </c>
      <c r="G104" t="str">
        <f>IFERROR(VLOOKUP(F104,[1]Database!$A$2:$L$175,2,FALSE),"-")</f>
        <v>-</v>
      </c>
      <c r="H104" t="str">
        <f>[1]ankomster!O104</f>
        <v>-</v>
      </c>
      <c r="I104" t="str">
        <f>IFERROR(VLOOKUP(H104,[1]Database!$A$2:$L$175,2,FALSE),"-")</f>
        <v>-</v>
      </c>
      <c r="J104" s="79" t="str">
        <f>[1]ankomster!T104</f>
        <v>-</v>
      </c>
      <c r="K104" t="str">
        <f>IFERROR(VLOOKUP(J104,[1]Database!$A$2:$L$175,2,FALSE),"-")</f>
        <v>-</v>
      </c>
      <c r="L104">
        <f>[1]ankomster!Y104</f>
        <v>92</v>
      </c>
      <c r="M104" t="str">
        <f>IFERROR(VLOOKUP(L104,[1]Database!$A$2:$L$175,2,FALSE),"-")</f>
        <v>Carsten Mejer</v>
      </c>
    </row>
    <row r="105" spans="1:13" x14ac:dyDescent="0.35">
      <c r="A105" s="26">
        <v>46242</v>
      </c>
      <c r="B105" t="str">
        <f>[1]ankomster!A105</f>
        <v>lørdag</v>
      </c>
      <c r="C105" t="str">
        <f>ankomster!D105</f>
        <v>-</v>
      </c>
      <c r="D105" t="str">
        <f>[1]ankomster!E105</f>
        <v>-</v>
      </c>
      <c r="E105" t="str">
        <f>IFERROR(VLOOKUP(D105,[1]Database!$A$2:$L$175,2,FALSE),"-")</f>
        <v>-</v>
      </c>
      <c r="F105" t="str">
        <f>[1]ankomster!J105</f>
        <v>-</v>
      </c>
      <c r="G105" t="str">
        <f>IFERROR(VLOOKUP(F105,[1]Database!$A$2:$L$175,2,FALSE),"-")</f>
        <v>-</v>
      </c>
      <c r="H105" t="str">
        <f>[1]ankomster!O105</f>
        <v>-</v>
      </c>
      <c r="I105" t="str">
        <f>IFERROR(VLOOKUP(H105,[1]Database!$A$2:$L$175,2,FALSE),"-")</f>
        <v>-</v>
      </c>
      <c r="J105" s="79" t="str">
        <f>[1]ankomster!T105</f>
        <v>-</v>
      </c>
      <c r="K105" t="str">
        <f>IFERROR(VLOOKUP(J105,[1]Database!$A$2:$L$175,2,FALSE),"-")</f>
        <v>-</v>
      </c>
      <c r="L105" t="str">
        <f>[1]ankomster!Y105</f>
        <v>-</v>
      </c>
      <c r="M105" t="str">
        <f>IFERROR(VLOOKUP(L105,[1]Database!$A$2:$L$175,2,FALSE),"-")</f>
        <v>-</v>
      </c>
    </row>
    <row r="106" spans="1:13" x14ac:dyDescent="0.35">
      <c r="A106" s="26">
        <v>46243</v>
      </c>
      <c r="B106" t="str">
        <f>[1]ankomster!A106</f>
        <v>søndag</v>
      </c>
      <c r="C106" t="str">
        <f>ankomster!D106</f>
        <v>-</v>
      </c>
      <c r="D106" t="str">
        <f>[1]ankomster!E106</f>
        <v>-</v>
      </c>
      <c r="E106" t="str">
        <f>IFERROR(VLOOKUP(D106,[1]Database!$A$2:$L$175,2,FALSE),"-")</f>
        <v>-</v>
      </c>
      <c r="F106" t="str">
        <f>[1]ankomster!J106</f>
        <v>-</v>
      </c>
      <c r="G106" t="str">
        <f>IFERROR(VLOOKUP(F106,[1]Database!$A$2:$L$175,2,FALSE),"-")</f>
        <v>-</v>
      </c>
      <c r="H106" t="str">
        <f>[1]ankomster!O106</f>
        <v>-</v>
      </c>
      <c r="I106" t="str">
        <f>IFERROR(VLOOKUP(H106,[1]Database!$A$2:$L$175,2,FALSE),"-")</f>
        <v>-</v>
      </c>
      <c r="J106" s="79">
        <f>[1]ankomster!T106</f>
        <v>114</v>
      </c>
      <c r="K106" t="str">
        <f>IFERROR(VLOOKUP(J106,[1]Database!$A$2:$L$175,2,FALSE),"-")</f>
        <v>Janne Malberg</v>
      </c>
      <c r="L106" t="str">
        <f>[1]ankomster!Y106</f>
        <v>-</v>
      </c>
      <c r="M106" t="str">
        <f>IFERROR(VLOOKUP(L106,[1]Database!$A$2:$L$175,2,FALSE),"-")</f>
        <v>-</v>
      </c>
    </row>
    <row r="107" spans="1:13" x14ac:dyDescent="0.35">
      <c r="A107" s="26">
        <v>46244</v>
      </c>
      <c r="B107" t="str">
        <f>[1]ankomster!A107</f>
        <v>mandag</v>
      </c>
      <c r="C107" t="str">
        <f>ankomster!D107</f>
        <v>-</v>
      </c>
      <c r="D107">
        <f>[1]ankomster!E107</f>
        <v>59</v>
      </c>
      <c r="E107" t="str">
        <f>IFERROR(VLOOKUP(D107,[1]Database!$A$2:$L$175,2,FALSE),"-")</f>
        <v>Jutta Fogh</v>
      </c>
      <c r="F107" t="str">
        <f>[1]ankomster!J107</f>
        <v>-</v>
      </c>
      <c r="G107" t="str">
        <f>IFERROR(VLOOKUP(F107,[1]Database!$A$2:$L$175,2,FALSE),"-")</f>
        <v>-</v>
      </c>
      <c r="H107" t="str">
        <f>[1]ankomster!O107</f>
        <v>-</v>
      </c>
      <c r="I107" t="str">
        <f>IFERROR(VLOOKUP(H107,[1]Database!$A$2:$L$175,2,FALSE),"-")</f>
        <v>-</v>
      </c>
      <c r="J107" s="79" t="str">
        <f>[1]ankomster!T107</f>
        <v>-</v>
      </c>
      <c r="K107" t="str">
        <f>IFERROR(VLOOKUP(J107,[1]Database!$A$2:$L$175,2,FALSE),"-")</f>
        <v>-</v>
      </c>
      <c r="L107" t="str">
        <f>[1]ankomster!Y107</f>
        <v>-</v>
      </c>
      <c r="M107" t="str">
        <f>IFERROR(VLOOKUP(L107,[1]Database!$A$2:$L$175,2,FALSE),"-")</f>
        <v>-</v>
      </c>
    </row>
    <row r="108" spans="1:13" x14ac:dyDescent="0.35">
      <c r="A108" s="26">
        <v>46245</v>
      </c>
      <c r="B108" t="str">
        <f>[1]ankomster!A108</f>
        <v>tirsdag</v>
      </c>
      <c r="C108" t="str">
        <f>ankomster!D108</f>
        <v>-</v>
      </c>
      <c r="D108" t="str">
        <f>[1]ankomster!E108</f>
        <v>-</v>
      </c>
      <c r="E108" t="str">
        <f>IFERROR(VLOOKUP(D108,[1]Database!$A$2:$L$175,2,FALSE),"-")</f>
        <v>-</v>
      </c>
      <c r="F108" t="str">
        <f>[1]ankomster!J108</f>
        <v>-</v>
      </c>
      <c r="G108" t="str">
        <f>IFERROR(VLOOKUP(F108,[1]Database!$A$2:$L$175,2,FALSE),"-")</f>
        <v>-</v>
      </c>
      <c r="H108" t="str">
        <f>[1]ankomster!O108</f>
        <v>-</v>
      </c>
      <c r="I108" t="str">
        <f>IFERROR(VLOOKUP(H108,[1]Database!$A$2:$L$175,2,FALSE),"-")</f>
        <v>-</v>
      </c>
      <c r="J108" s="79" t="str">
        <f>[1]ankomster!T108</f>
        <v>-</v>
      </c>
      <c r="K108" t="str">
        <f>IFERROR(VLOOKUP(J108,[1]Database!$A$2:$L$175,2,FALSE),"-")</f>
        <v>-</v>
      </c>
      <c r="L108" t="str">
        <f>[1]ankomster!Y108</f>
        <v>-</v>
      </c>
      <c r="M108" t="str">
        <f>IFERROR(VLOOKUP(L108,[1]Database!$A$2:$L$175,2,FALSE),"-")</f>
        <v>-</v>
      </c>
    </row>
    <row r="109" spans="1:13" x14ac:dyDescent="0.35">
      <c r="A109" s="26">
        <v>46246</v>
      </c>
      <c r="B109" t="str">
        <f>[1]ankomster!A109</f>
        <v>onsdag</v>
      </c>
      <c r="C109" t="str">
        <f>ankomster!D109</f>
        <v>-</v>
      </c>
      <c r="D109" t="str">
        <f>[1]ankomster!E109</f>
        <v>-</v>
      </c>
      <c r="E109" t="str">
        <f>IFERROR(VLOOKUP(D109,[1]Database!$A$2:$L$175,2,FALSE),"-")</f>
        <v>-</v>
      </c>
      <c r="F109" t="str">
        <f>[1]ankomster!J109</f>
        <v>-</v>
      </c>
      <c r="G109" t="str">
        <f>IFERROR(VLOOKUP(F109,[1]Database!$A$2:$L$175,2,FALSE),"-")</f>
        <v>-</v>
      </c>
      <c r="H109" t="str">
        <f>[1]ankomster!O109</f>
        <v>-</v>
      </c>
      <c r="I109" t="str">
        <f>IFERROR(VLOOKUP(H109,[1]Database!$A$2:$L$175,2,FALSE),"-")</f>
        <v>-</v>
      </c>
      <c r="J109" s="79">
        <f>[1]ankomster!T109</f>
        <v>4</v>
      </c>
      <c r="K109" t="str">
        <f>IFERROR(VLOOKUP(J109,[1]Database!$A$2:$L$175,2,FALSE),"-")</f>
        <v>Stine Plæhn</v>
      </c>
      <c r="L109">
        <f>[1]ankomster!Y109</f>
        <v>4</v>
      </c>
      <c r="M109" t="str">
        <f>IFERROR(VLOOKUP(L109,[1]Database!$A$2:$L$175,2,FALSE),"-")</f>
        <v>Stine Plæhn</v>
      </c>
    </row>
    <row r="110" spans="1:13" x14ac:dyDescent="0.35">
      <c r="A110" s="26">
        <v>46247</v>
      </c>
      <c r="B110" t="str">
        <f>[1]ankomster!A110</f>
        <v>torsdag</v>
      </c>
      <c r="C110" t="str">
        <f>ankomster!D110</f>
        <v>-</v>
      </c>
      <c r="D110" t="str">
        <f>[1]ankomster!E110</f>
        <v>-</v>
      </c>
      <c r="E110" t="str">
        <f>IFERROR(VLOOKUP(D110,[1]Database!$A$2:$L$175,2,FALSE),"-")</f>
        <v>-</v>
      </c>
      <c r="F110">
        <f>[1]ankomster!J110</f>
        <v>46</v>
      </c>
      <c r="G110" t="str">
        <f>IFERROR(VLOOKUP(F110,[1]Database!$A$2:$L$175,2,FALSE),"-")</f>
        <v>Kathrine Moelgaard Nielsen</v>
      </c>
      <c r="H110">
        <f>[1]ankomster!O110</f>
        <v>23</v>
      </c>
      <c r="I110" t="str">
        <f>IFERROR(VLOOKUP(H110,[1]Database!$A$2:$L$175,2,FALSE),"-")</f>
        <v>Stine Jespersen</v>
      </c>
      <c r="J110" s="79" t="str">
        <f>[1]ankomster!T110</f>
        <v>-</v>
      </c>
      <c r="K110" t="str">
        <f>IFERROR(VLOOKUP(J110,[1]Database!$A$2:$L$175,2,FALSE),"-")</f>
        <v>-</v>
      </c>
      <c r="L110" t="str">
        <f>[1]ankomster!Y110</f>
        <v>-</v>
      </c>
      <c r="M110" t="str">
        <f>IFERROR(VLOOKUP(L110,[1]Database!$A$2:$L$175,2,FALSE),"-")</f>
        <v>-</v>
      </c>
    </row>
    <row r="111" spans="1:13" x14ac:dyDescent="0.35">
      <c r="A111" s="26">
        <v>46248</v>
      </c>
      <c r="B111" t="str">
        <f>[1]ankomster!A111</f>
        <v>fredag</v>
      </c>
      <c r="C111" t="str">
        <f>ankomster!D111</f>
        <v>-</v>
      </c>
      <c r="D111">
        <f>[1]ankomster!E111</f>
        <v>121</v>
      </c>
      <c r="E111" t="str">
        <f>IFERROR(VLOOKUP(D111,[1]Database!$A$2:$L$175,2,FALSE),"-")</f>
        <v>-</v>
      </c>
      <c r="F111" t="str">
        <f>[1]ankomster!J111</f>
        <v>-</v>
      </c>
      <c r="G111" t="str">
        <f>IFERROR(VLOOKUP(F111,[1]Database!$A$2:$L$175,2,FALSE),"-")</f>
        <v>-</v>
      </c>
      <c r="H111" t="str">
        <f>[1]ankomster!O111</f>
        <v>-</v>
      </c>
      <c r="I111" t="str">
        <f>IFERROR(VLOOKUP(H111,[1]Database!$A$2:$L$175,2,FALSE),"-")</f>
        <v>-</v>
      </c>
      <c r="J111" s="79" t="str">
        <f>[1]ankomster!T111</f>
        <v>-</v>
      </c>
      <c r="K111" t="str">
        <f>IFERROR(VLOOKUP(J111,[1]Database!$A$2:$L$175,2,FALSE),"-")</f>
        <v>-</v>
      </c>
      <c r="L111" t="str">
        <f>[1]ankomster!Y111</f>
        <v>-</v>
      </c>
      <c r="M111" t="str">
        <f>IFERROR(VLOOKUP(L111,[1]Database!$A$2:$L$175,2,FALSE),"-")</f>
        <v>-</v>
      </c>
    </row>
    <row r="112" spans="1:13" x14ac:dyDescent="0.35">
      <c r="A112" s="26">
        <v>46249</v>
      </c>
      <c r="B112" t="str">
        <f>[1]ankomster!A112</f>
        <v>lørdag</v>
      </c>
      <c r="C112" t="str">
        <f>ankomster!D112</f>
        <v>-</v>
      </c>
      <c r="D112" t="str">
        <f>[1]ankomster!E112</f>
        <v>-</v>
      </c>
      <c r="E112" t="str">
        <f>IFERROR(VLOOKUP(D112,[1]Database!$A$2:$L$175,2,FALSE),"-")</f>
        <v>-</v>
      </c>
      <c r="F112" t="str">
        <f>[1]ankomster!J112</f>
        <v>-</v>
      </c>
      <c r="G112" t="str">
        <f>IFERROR(VLOOKUP(F112,[1]Database!$A$2:$L$175,2,FALSE),"-")</f>
        <v>-</v>
      </c>
      <c r="H112" t="str">
        <f>[1]ankomster!O112</f>
        <v>-</v>
      </c>
      <c r="I112" t="str">
        <f>IFERROR(VLOOKUP(H112,[1]Database!$A$2:$L$175,2,FALSE),"-")</f>
        <v>-</v>
      </c>
      <c r="J112" s="79" t="str">
        <f>[1]ankomster!T112</f>
        <v>-</v>
      </c>
      <c r="K112" t="str">
        <f>IFERROR(VLOOKUP(J112,[1]Database!$A$2:$L$175,2,FALSE),"-")</f>
        <v>-</v>
      </c>
      <c r="L112" t="str">
        <f>[1]ankomster!Y112</f>
        <v>-</v>
      </c>
      <c r="M112" t="str">
        <f>IFERROR(VLOOKUP(L112,[1]Database!$A$2:$L$175,2,FALSE),"-")</f>
        <v>-</v>
      </c>
    </row>
    <row r="113" spans="1:13" x14ac:dyDescent="0.35">
      <c r="A113" s="26">
        <v>46250</v>
      </c>
      <c r="B113" t="str">
        <f>[1]ankomster!A113</f>
        <v>søndag</v>
      </c>
      <c r="C113" t="str">
        <f>ankomster!D113</f>
        <v>-</v>
      </c>
      <c r="D113" t="str">
        <f>[1]ankomster!E113</f>
        <v>-</v>
      </c>
      <c r="E113" t="str">
        <f>IFERROR(VLOOKUP(D113,[1]Database!$A$2:$L$175,2,FALSE),"-")</f>
        <v>-</v>
      </c>
      <c r="F113" t="str">
        <f>[1]ankomster!J113</f>
        <v>-</v>
      </c>
      <c r="G113" t="str">
        <f>IFERROR(VLOOKUP(F113,[1]Database!$A$2:$L$175,2,FALSE),"-")</f>
        <v>-</v>
      </c>
      <c r="H113" t="str">
        <f>[1]ankomster!O113</f>
        <v>-</v>
      </c>
      <c r="I113" t="str">
        <f>IFERROR(VLOOKUP(H113,[1]Database!$A$2:$L$175,2,FALSE),"-")</f>
        <v>-</v>
      </c>
      <c r="J113" s="79">
        <f>[1]ankomster!T113</f>
        <v>51</v>
      </c>
      <c r="K113" t="str">
        <f>IFERROR(VLOOKUP(J113,[1]Database!$A$2:$L$175,2,FALSE),"-")</f>
        <v>Mikael Holst</v>
      </c>
      <c r="L113" t="str">
        <f>[1]ankomster!Y113</f>
        <v>-</v>
      </c>
      <c r="M113" t="str">
        <f>IFERROR(VLOOKUP(L113,[1]Database!$A$2:$L$175,2,FALSE),"-")</f>
        <v>-</v>
      </c>
    </row>
    <row r="114" spans="1:13" x14ac:dyDescent="0.35">
      <c r="A114" s="26">
        <v>46251</v>
      </c>
      <c r="B114" t="str">
        <f>[1]ankomster!A114</f>
        <v>mandag</v>
      </c>
      <c r="C114" t="str">
        <f>ankomster!D114</f>
        <v>-</v>
      </c>
      <c r="D114">
        <f>[1]ankomster!E114</f>
        <v>26</v>
      </c>
      <c r="E114" t="str">
        <f>IFERROR(VLOOKUP(D114,[1]Database!$A$2:$L$175,2,FALSE),"-")</f>
        <v>Holger Tygesen</v>
      </c>
      <c r="F114" t="str">
        <f>[1]ankomster!J114</f>
        <v>-</v>
      </c>
      <c r="G114" t="str">
        <f>IFERROR(VLOOKUP(F114,[1]Database!$A$2:$L$175,2,FALSE),"-")</f>
        <v>-</v>
      </c>
      <c r="H114">
        <f>[1]ankomster!O114</f>
        <v>52</v>
      </c>
      <c r="I114" t="str">
        <f>IFERROR(VLOOKUP(H114,[1]Database!$A$2:$L$175,2,FALSE),"-")</f>
        <v>Gitte Zebitz</v>
      </c>
      <c r="J114" s="79" t="str">
        <f>[1]ankomster!T114</f>
        <v>-</v>
      </c>
      <c r="K114" t="str">
        <f>IFERROR(VLOOKUP(J114,[1]Database!$A$2:$L$175,2,FALSE),"-")</f>
        <v>-</v>
      </c>
      <c r="L114">
        <f>[1]ankomster!Y114</f>
        <v>21</v>
      </c>
      <c r="M114" t="str">
        <f>IFERROR(VLOOKUP(L114,[1]Database!$A$2:$L$175,2,FALSE),"-")</f>
        <v>Arne Sahlstedt</v>
      </c>
    </row>
    <row r="115" spans="1:13" x14ac:dyDescent="0.35">
      <c r="A115" s="26">
        <v>46252</v>
      </c>
      <c r="B115" t="str">
        <f>[1]ankomster!A115</f>
        <v>tirsdag</v>
      </c>
      <c r="C115" t="str">
        <f>ankomster!D115</f>
        <v>-</v>
      </c>
      <c r="D115" t="str">
        <f>[1]ankomster!E115</f>
        <v>-</v>
      </c>
      <c r="E115" t="str">
        <f>IFERROR(VLOOKUP(D115,[1]Database!$A$2:$L$175,2,FALSE),"-")</f>
        <v>-</v>
      </c>
      <c r="F115" t="str">
        <f>[1]ankomster!J115</f>
        <v>-</v>
      </c>
      <c r="G115" t="str">
        <f>IFERROR(VLOOKUP(F115,[1]Database!$A$2:$L$175,2,FALSE),"-")</f>
        <v>-</v>
      </c>
      <c r="H115" t="str">
        <f>[1]ankomster!O115</f>
        <v>-</v>
      </c>
      <c r="I115" t="str">
        <f>IFERROR(VLOOKUP(H115,[1]Database!$A$2:$L$175,2,FALSE),"-")</f>
        <v>-</v>
      </c>
      <c r="J115" s="79" t="str">
        <f>[1]ankomster!T115</f>
        <v>-</v>
      </c>
      <c r="K115" t="str">
        <f>IFERROR(VLOOKUP(J115,[1]Database!$A$2:$L$175,2,FALSE),"-")</f>
        <v>-</v>
      </c>
      <c r="L115" t="str">
        <f>[1]ankomster!Y115</f>
        <v>-</v>
      </c>
      <c r="M115" t="str">
        <f>IFERROR(VLOOKUP(L115,[1]Database!$A$2:$L$175,2,FALSE),"-")</f>
        <v>-</v>
      </c>
    </row>
    <row r="116" spans="1:13" x14ac:dyDescent="0.35">
      <c r="A116" s="26">
        <v>46253</v>
      </c>
      <c r="B116" t="str">
        <f>[1]ankomster!A116</f>
        <v>onsdag</v>
      </c>
      <c r="C116" t="str">
        <f>ankomster!D116</f>
        <v>-</v>
      </c>
      <c r="D116" t="str">
        <f>[1]ankomster!E116</f>
        <v>-</v>
      </c>
      <c r="E116" t="str">
        <f>IFERROR(VLOOKUP(D116,[1]Database!$A$2:$L$175,2,FALSE),"-")</f>
        <v>-</v>
      </c>
      <c r="F116" t="str">
        <f>[1]ankomster!J116</f>
        <v>-</v>
      </c>
      <c r="G116" t="str">
        <f>IFERROR(VLOOKUP(F116,[1]Database!$A$2:$L$175,2,FALSE),"-")</f>
        <v>-</v>
      </c>
      <c r="H116" t="str">
        <f>[1]ankomster!O116</f>
        <v>-</v>
      </c>
      <c r="I116" t="str">
        <f>IFERROR(VLOOKUP(H116,[1]Database!$A$2:$L$175,2,FALSE),"-")</f>
        <v>-</v>
      </c>
      <c r="J116" s="79" t="str">
        <f>[1]ankomster!T116</f>
        <v>-</v>
      </c>
      <c r="K116" t="str">
        <f>IFERROR(VLOOKUP(J116,[1]Database!$A$2:$L$175,2,FALSE),"-")</f>
        <v>-</v>
      </c>
      <c r="L116" t="str">
        <f>[1]ankomster!Y116</f>
        <v>-</v>
      </c>
      <c r="M116" t="str">
        <f>IFERROR(VLOOKUP(L116,[1]Database!$A$2:$L$175,2,FALSE),"-")</f>
        <v>-</v>
      </c>
    </row>
    <row r="117" spans="1:13" x14ac:dyDescent="0.35">
      <c r="A117" s="26">
        <v>46254</v>
      </c>
      <c r="B117" t="str">
        <f>[1]ankomster!A117</f>
        <v>torsdag</v>
      </c>
      <c r="C117" t="str">
        <f>ankomster!D117</f>
        <v>-</v>
      </c>
      <c r="D117" t="str">
        <f>[1]ankomster!E117</f>
        <v>-</v>
      </c>
      <c r="E117" t="str">
        <f>IFERROR(VLOOKUP(D117,[1]Database!$A$2:$L$175,2,FALSE),"-")</f>
        <v>-</v>
      </c>
      <c r="F117">
        <f>[1]ankomster!J117</f>
        <v>54</v>
      </c>
      <c r="G117" t="str">
        <f>IFERROR(VLOOKUP(F117,[1]Database!$A$2:$L$175,2,FALSE),"-")</f>
        <v>Anita Steffensen</v>
      </c>
      <c r="H117" t="str">
        <f>[1]ankomster!O117</f>
        <v>-</v>
      </c>
      <c r="I117" t="str">
        <f>IFERROR(VLOOKUP(H117,[1]Database!$A$2:$L$175,2,FALSE),"-")</f>
        <v>-</v>
      </c>
      <c r="J117" s="79" t="str">
        <f>[1]ankomster!T117</f>
        <v>-</v>
      </c>
      <c r="K117" t="str">
        <f>IFERROR(VLOOKUP(J117,[1]Database!$A$2:$L$175,2,FALSE),"-")</f>
        <v>-</v>
      </c>
      <c r="L117" t="str">
        <f>[1]ankomster!Y117</f>
        <v>-</v>
      </c>
      <c r="M117" t="str">
        <f>IFERROR(VLOOKUP(L117,[1]Database!$A$2:$L$175,2,FALSE),"-")</f>
        <v>-</v>
      </c>
    </row>
    <row r="118" spans="1:13" x14ac:dyDescent="0.35">
      <c r="A118" s="26">
        <v>46255</v>
      </c>
      <c r="B118" t="str">
        <f>[1]ankomster!A118</f>
        <v>fredag</v>
      </c>
      <c r="C118" t="str">
        <f>ankomster!D118</f>
        <v>-</v>
      </c>
      <c r="D118" t="str">
        <f>[1]ankomster!E118</f>
        <v>-</v>
      </c>
      <c r="E118" t="str">
        <f>IFERROR(VLOOKUP(D118,[1]Database!$A$2:$L$175,2,FALSE),"-")</f>
        <v>-</v>
      </c>
      <c r="F118" t="str">
        <f>[1]ankomster!J118</f>
        <v>-</v>
      </c>
      <c r="G118" t="str">
        <f>IFERROR(VLOOKUP(F118,[1]Database!$A$2:$L$175,2,FALSE),"-")</f>
        <v>-</v>
      </c>
      <c r="H118">
        <f>[1]ankomster!O118</f>
        <v>54</v>
      </c>
      <c r="I118" t="str">
        <f>IFERROR(VLOOKUP(H118,[1]Database!$A$2:$L$175,2,FALSE),"-")</f>
        <v>Anita Steffensen</v>
      </c>
      <c r="J118" s="79">
        <f>[1]ankomster!T118</f>
        <v>93</v>
      </c>
      <c r="K118" t="str">
        <f>IFERROR(VLOOKUP(J118,[1]Database!$A$2:$L$175,2,FALSE),"-")</f>
        <v>Jens Käding</v>
      </c>
      <c r="L118" t="str">
        <f>[1]ankomster!Y118</f>
        <v>-</v>
      </c>
      <c r="M118" t="str">
        <f>IFERROR(VLOOKUP(L118,[1]Database!$A$2:$L$175,2,FALSE),"-")</f>
        <v>-</v>
      </c>
    </row>
    <row r="119" spans="1:13" x14ac:dyDescent="0.35">
      <c r="A119" s="26">
        <v>46256</v>
      </c>
      <c r="B119" t="str">
        <f>[1]ankomster!A119</f>
        <v>lørdag</v>
      </c>
      <c r="C119" t="str">
        <f>ankomster!D119</f>
        <v>-</v>
      </c>
      <c r="D119">
        <f>[1]ankomster!E119</f>
        <v>65</v>
      </c>
      <c r="E119" t="str">
        <f>IFERROR(VLOOKUP(D119,[1]Database!$A$2:$L$175,2,FALSE),"-")</f>
        <v>Pia Jensen</v>
      </c>
      <c r="F119" t="str">
        <f>[1]ankomster!J119</f>
        <v>-</v>
      </c>
      <c r="G119" t="str">
        <f>IFERROR(VLOOKUP(F119,[1]Database!$A$2:$L$175,2,FALSE),"-")</f>
        <v>-</v>
      </c>
      <c r="H119" t="str">
        <f>[1]ankomster!O119</f>
        <v>-</v>
      </c>
      <c r="I119" t="str">
        <f>IFERROR(VLOOKUP(H119,[1]Database!$A$2:$L$175,2,FALSE),"-")</f>
        <v>-</v>
      </c>
      <c r="J119" s="79" t="str">
        <f>[1]ankomster!T119</f>
        <v>-</v>
      </c>
      <c r="K119" t="str">
        <f>IFERROR(VLOOKUP(J119,[1]Database!$A$2:$L$175,2,FALSE),"-")</f>
        <v>-</v>
      </c>
      <c r="L119">
        <f>[1]ankomster!Y119</f>
        <v>25</v>
      </c>
      <c r="M119" t="str">
        <f>IFERROR(VLOOKUP(L119,[1]Database!$A$2:$L$175,2,FALSE),"-")</f>
        <v>Liliane Schenker</v>
      </c>
    </row>
    <row r="120" spans="1:13" x14ac:dyDescent="0.35">
      <c r="A120" s="26">
        <v>46257</v>
      </c>
      <c r="B120" t="str">
        <f>[1]ankomster!A120</f>
        <v>søndag</v>
      </c>
      <c r="C120" t="str">
        <f>ankomster!D120</f>
        <v>-</v>
      </c>
      <c r="D120" t="str">
        <f>[1]ankomster!E120</f>
        <v>-</v>
      </c>
      <c r="E120" t="str">
        <f>IFERROR(VLOOKUP(D120,[1]Database!$A$2:$L$175,2,FALSE),"-")</f>
        <v>-</v>
      </c>
      <c r="F120">
        <f>[1]ankomster!J120</f>
        <v>120</v>
      </c>
      <c r="G120" t="str">
        <f>IFERROR(VLOOKUP(F120,[1]Database!$A$2:$L$175,2,FALSE),"-")</f>
        <v>-</v>
      </c>
      <c r="H120">
        <f>[1]ankomster!O120</f>
        <v>122</v>
      </c>
      <c r="I120" t="str">
        <f>IFERROR(VLOOKUP(H120,[1]Database!$A$2:$L$175,2,FALSE),"-")</f>
        <v>-</v>
      </c>
      <c r="J120" s="79" t="str">
        <f>[1]ankomster!T120</f>
        <v>-</v>
      </c>
      <c r="K120" t="str">
        <f>IFERROR(VLOOKUP(J120,[1]Database!$A$2:$L$175,2,FALSE),"-")</f>
        <v>-</v>
      </c>
      <c r="L120" t="str">
        <f>[1]ankomster!Y120</f>
        <v>-</v>
      </c>
      <c r="M120" t="str">
        <f>IFERROR(VLOOKUP(L120,[1]Database!$A$2:$L$175,2,FALSE),"-")</f>
        <v>-</v>
      </c>
    </row>
    <row r="121" spans="1:13" x14ac:dyDescent="0.35">
      <c r="A121" s="26">
        <v>46258</v>
      </c>
      <c r="B121" t="str">
        <f>[1]ankomster!A121</f>
        <v>mandag</v>
      </c>
      <c r="C121" t="str">
        <f>ankomster!D121</f>
        <v>-</v>
      </c>
      <c r="D121" t="str">
        <f>[1]ankomster!E121</f>
        <v>-</v>
      </c>
      <c r="E121" t="str">
        <f>IFERROR(VLOOKUP(D121,[1]Database!$A$2:$L$175,2,FALSE),"-")</f>
        <v>-</v>
      </c>
      <c r="F121" t="str">
        <f>[1]ankomster!J121</f>
        <v>-</v>
      </c>
      <c r="G121" t="str">
        <f>IFERROR(VLOOKUP(F121,[1]Database!$A$2:$L$175,2,FALSE),"-")</f>
        <v>-</v>
      </c>
      <c r="H121" t="str">
        <f>[1]ankomster!O121</f>
        <v>-</v>
      </c>
      <c r="I121" t="str">
        <f>IFERROR(VLOOKUP(H121,[1]Database!$A$2:$L$175,2,FALSE),"-")</f>
        <v>-</v>
      </c>
      <c r="J121" s="79">
        <f>[1]ankomster!T121</f>
        <v>60</v>
      </c>
      <c r="K121" t="str">
        <f>IFERROR(VLOOKUP(J121,[1]Database!$A$2:$L$175,2,FALSE),"-")</f>
        <v>Linda Henriksen</v>
      </c>
      <c r="L121" t="str">
        <f>[1]ankomster!Y121</f>
        <v>-</v>
      </c>
      <c r="M121" t="str">
        <f>IFERROR(VLOOKUP(L121,[1]Database!$A$2:$L$175,2,FALSE),"-")</f>
        <v>-</v>
      </c>
    </row>
    <row r="122" spans="1:13" x14ac:dyDescent="0.35">
      <c r="A122" s="26">
        <v>46259</v>
      </c>
      <c r="B122" t="str">
        <f>[1]ankomster!A122</f>
        <v>tirsdag</v>
      </c>
      <c r="C122" t="str">
        <f>ankomster!D122</f>
        <v>-</v>
      </c>
      <c r="D122" t="str">
        <f>[1]ankomster!E122</f>
        <v>-</v>
      </c>
      <c r="E122" t="str">
        <f>IFERROR(VLOOKUP(D122,[1]Database!$A$2:$L$175,2,FALSE),"-")</f>
        <v>-</v>
      </c>
      <c r="F122" t="str">
        <f>[1]ankomster!J122</f>
        <v>-</v>
      </c>
      <c r="G122" t="str">
        <f>IFERROR(VLOOKUP(F122,[1]Database!$A$2:$L$175,2,FALSE),"-")</f>
        <v>-</v>
      </c>
      <c r="H122" t="str">
        <f>[1]ankomster!O122</f>
        <v>-</v>
      </c>
      <c r="I122" t="str">
        <f>IFERROR(VLOOKUP(H122,[1]Database!$A$2:$L$175,2,FALSE),"-")</f>
        <v>-</v>
      </c>
      <c r="J122" s="79" t="str">
        <f>[1]ankomster!T122</f>
        <v>-</v>
      </c>
      <c r="K122" t="str">
        <f>IFERROR(VLOOKUP(J122,[1]Database!$A$2:$L$175,2,FALSE),"-")</f>
        <v>-</v>
      </c>
      <c r="L122" t="str">
        <f>[1]ankomster!Y122</f>
        <v>-</v>
      </c>
      <c r="M122" t="str">
        <f>IFERROR(VLOOKUP(L122,[1]Database!$A$2:$L$175,2,FALSE),"-")</f>
        <v>-</v>
      </c>
    </row>
    <row r="123" spans="1:13" x14ac:dyDescent="0.35">
      <c r="A123" s="26">
        <v>46260</v>
      </c>
      <c r="B123" t="str">
        <f>[1]ankomster!A123</f>
        <v>onsdag</v>
      </c>
      <c r="C123" t="str">
        <f>ankomster!D123</f>
        <v>-</v>
      </c>
      <c r="D123">
        <f>[1]ankomster!E123</f>
        <v>67</v>
      </c>
      <c r="E123" t="str">
        <f>IFERROR(VLOOKUP(D123,[1]Database!$A$2:$L$175,2,FALSE),"-")</f>
        <v>Christian Struck</v>
      </c>
      <c r="F123">
        <f>[1]ankomster!J123</f>
        <v>105</v>
      </c>
      <c r="G123" t="str">
        <f>IFERROR(VLOOKUP(F123,[1]Database!$A$2:$L$175,2,FALSE),"-")</f>
        <v>Tina Hildebrandt</v>
      </c>
      <c r="H123">
        <f>[1]ankomster!O123</f>
        <v>78</v>
      </c>
      <c r="I123" t="str">
        <f>IFERROR(VLOOKUP(H123,[1]Database!$A$2:$L$175,2,FALSE),"-")</f>
        <v>Kim Friedrichs</v>
      </c>
      <c r="J123" s="79" t="str">
        <f>[1]ankomster!T123</f>
        <v>-</v>
      </c>
      <c r="K123" t="str">
        <f>IFERROR(VLOOKUP(J123,[1]Database!$A$2:$L$175,2,FALSE),"-")</f>
        <v>-</v>
      </c>
      <c r="L123" t="str">
        <f>[1]ankomster!Y123</f>
        <v>-</v>
      </c>
      <c r="M123" t="str">
        <f>IFERROR(VLOOKUP(L123,[1]Database!$A$2:$L$175,2,FALSE),"-")</f>
        <v>-</v>
      </c>
    </row>
    <row r="124" spans="1:13" x14ac:dyDescent="0.35">
      <c r="A124" s="26">
        <v>46261</v>
      </c>
      <c r="B124" t="str">
        <f>[1]ankomster!A124</f>
        <v>torsdag</v>
      </c>
      <c r="C124" t="str">
        <f>ankomster!D124</f>
        <v>-</v>
      </c>
      <c r="D124" t="str">
        <f>[1]ankomster!E124</f>
        <v>-</v>
      </c>
      <c r="E124" t="str">
        <f>IFERROR(VLOOKUP(D124,[1]Database!$A$2:$L$175,2,FALSE),"-")</f>
        <v>-</v>
      </c>
      <c r="F124" t="str">
        <f>[1]ankomster!J124</f>
        <v>-</v>
      </c>
      <c r="G124" t="str">
        <f>IFERROR(VLOOKUP(F124,[1]Database!$A$2:$L$175,2,FALSE),"-")</f>
        <v>-</v>
      </c>
      <c r="H124" t="str">
        <f>[1]ankomster!O124</f>
        <v>-</v>
      </c>
      <c r="I124" t="str">
        <f>IFERROR(VLOOKUP(H124,[1]Database!$A$2:$L$175,2,FALSE),"-")</f>
        <v>-</v>
      </c>
      <c r="J124" s="79" t="str">
        <f>[1]ankomster!T124</f>
        <v>-</v>
      </c>
      <c r="K124" t="str">
        <f>IFERROR(VLOOKUP(J124,[1]Database!$A$2:$L$175,2,FALSE),"-")</f>
        <v>-</v>
      </c>
      <c r="L124">
        <f>[1]ankomster!Y124</f>
        <v>35</v>
      </c>
      <c r="M124" t="str">
        <f>IFERROR(VLOOKUP(L124,[1]Database!$A$2:$L$175,2,FALSE),"-")</f>
        <v>Ken Lentonsson</v>
      </c>
    </row>
    <row r="125" spans="1:13" x14ac:dyDescent="0.35">
      <c r="A125" s="26">
        <v>46262</v>
      </c>
      <c r="B125" t="str">
        <f>[1]ankomster!A125</f>
        <v>fredag</v>
      </c>
      <c r="C125" t="str">
        <f>ankomster!D125</f>
        <v>-</v>
      </c>
      <c r="D125" t="str">
        <f>[1]ankomster!E125</f>
        <v>-</v>
      </c>
      <c r="E125" t="str">
        <f>IFERROR(VLOOKUP(D125,[1]Database!$A$2:$L$175,2,FALSE),"-")</f>
        <v>-</v>
      </c>
      <c r="F125" t="str">
        <f>[1]ankomster!J125</f>
        <v>-</v>
      </c>
      <c r="G125" t="str">
        <f>IFERROR(VLOOKUP(F125,[1]Database!$A$2:$L$175,2,FALSE),"-")</f>
        <v>-</v>
      </c>
      <c r="H125" t="str">
        <f>[1]ankomster!O125</f>
        <v>-</v>
      </c>
      <c r="I125" t="str">
        <f>IFERROR(VLOOKUP(H125,[1]Database!$A$2:$L$175,2,FALSE),"-")</f>
        <v>-</v>
      </c>
      <c r="J125" s="79" t="str">
        <f>[1]ankomster!T125</f>
        <v>-</v>
      </c>
      <c r="K125" t="str">
        <f>IFERROR(VLOOKUP(J125,[1]Database!$A$2:$L$175,2,FALSE),"-")</f>
        <v>-</v>
      </c>
      <c r="L125" t="str">
        <f>[1]ankomster!Y125</f>
        <v>-</v>
      </c>
      <c r="M125" t="str">
        <f>IFERROR(VLOOKUP(L125,[1]Database!$A$2:$L$175,2,FALSE),"-")</f>
        <v>-</v>
      </c>
    </row>
    <row r="126" spans="1:13" x14ac:dyDescent="0.35">
      <c r="A126" s="26">
        <v>46263</v>
      </c>
      <c r="B126" t="str">
        <f>[1]ankomster!A126</f>
        <v>lørdag</v>
      </c>
      <c r="C126" t="str">
        <f>ankomster!D126</f>
        <v>-</v>
      </c>
      <c r="D126" t="str">
        <f>[1]ankomster!E126</f>
        <v>-</v>
      </c>
      <c r="E126" t="str">
        <f>IFERROR(VLOOKUP(D126,[1]Database!$A$2:$L$175,2,FALSE),"-")</f>
        <v>-</v>
      </c>
      <c r="F126" t="str">
        <f>[1]ankomster!J126</f>
        <v>-</v>
      </c>
      <c r="G126" t="str">
        <f>IFERROR(VLOOKUP(F126,[1]Database!$A$2:$L$175,2,FALSE),"-")</f>
        <v>-</v>
      </c>
      <c r="H126" t="str">
        <f>[1]ankomster!O126</f>
        <v>-</v>
      </c>
      <c r="I126" t="str">
        <f>IFERROR(VLOOKUP(H126,[1]Database!$A$2:$L$175,2,FALSE),"-")</f>
        <v>-</v>
      </c>
      <c r="J126" s="79" t="str">
        <f>[1]ankomster!T126</f>
        <v>-</v>
      </c>
      <c r="K126" t="str">
        <f>IFERROR(VLOOKUP(J126,[1]Database!$A$2:$L$175,2,FALSE),"-")</f>
        <v>-</v>
      </c>
      <c r="L126" t="str">
        <f>[1]ankomster!Y126</f>
        <v>-</v>
      </c>
      <c r="M126" t="str">
        <f>IFERROR(VLOOKUP(L126,[1]Database!$A$2:$L$175,2,FALSE),"-")</f>
        <v>-</v>
      </c>
    </row>
    <row r="127" spans="1:13" x14ac:dyDescent="0.35">
      <c r="A127" s="26">
        <v>46264</v>
      </c>
      <c r="B127" t="str">
        <f>[1]ankomster!A127</f>
        <v>søndag</v>
      </c>
      <c r="C127" t="str">
        <f>ankomster!D127</f>
        <v>-</v>
      </c>
      <c r="D127" t="str">
        <f>[1]ankomster!E127</f>
        <v>-</v>
      </c>
      <c r="E127" t="str">
        <f>IFERROR(VLOOKUP(D127,[1]Database!$A$2:$L$175,2,FALSE),"-")</f>
        <v>-</v>
      </c>
      <c r="F127" t="str">
        <f>[1]ankomster!J127</f>
        <v>-</v>
      </c>
      <c r="G127" t="str">
        <f>IFERROR(VLOOKUP(F127,[1]Database!$A$2:$L$175,2,FALSE),"-")</f>
        <v>-</v>
      </c>
      <c r="H127" t="str">
        <f>[1]ankomster!O127</f>
        <v>-</v>
      </c>
      <c r="I127" t="str">
        <f>IFERROR(VLOOKUP(H127,[1]Database!$A$2:$L$175,2,FALSE),"-")</f>
        <v>-</v>
      </c>
      <c r="J127" s="79" t="str">
        <f>[1]ankomster!T127</f>
        <v>-</v>
      </c>
      <c r="K127" t="str">
        <f>IFERROR(VLOOKUP(J127,[1]Database!$A$2:$L$175,2,FALSE),"-")</f>
        <v>-</v>
      </c>
      <c r="L127" t="str">
        <f>[1]ankomster!Y127</f>
        <v>-</v>
      </c>
      <c r="M127" t="str">
        <f>IFERROR(VLOOKUP(L127,[1]Database!$A$2:$L$175,2,FALSE),"-")</f>
        <v>-</v>
      </c>
    </row>
    <row r="128" spans="1:13" x14ac:dyDescent="0.35">
      <c r="A128" s="26">
        <v>46265</v>
      </c>
      <c r="B128" t="str">
        <f>[1]ankomster!A128</f>
        <v>mandag</v>
      </c>
      <c r="C128" t="str">
        <f>ankomster!D128</f>
        <v>-</v>
      </c>
      <c r="D128" t="str">
        <f>[1]ankomster!E128</f>
        <v>-</v>
      </c>
      <c r="E128" t="str">
        <f>IFERROR(VLOOKUP(D128,[1]Database!$A$2:$L$175,2,FALSE),"-")</f>
        <v>-</v>
      </c>
      <c r="F128" t="str">
        <f>[1]ankomster!J128</f>
        <v>-</v>
      </c>
      <c r="G128" t="str">
        <f>IFERROR(VLOOKUP(F128,[1]Database!$A$2:$L$175,2,FALSE),"-")</f>
        <v>-</v>
      </c>
      <c r="H128" t="str">
        <f>[1]ankomster!O128</f>
        <v>-</v>
      </c>
      <c r="I128" t="str">
        <f>IFERROR(VLOOKUP(H128,[1]Database!$A$2:$L$175,2,FALSE),"-")</f>
        <v>-</v>
      </c>
      <c r="J128" s="79" t="str">
        <f>[1]ankomster!T128</f>
        <v>-</v>
      </c>
      <c r="K128" t="str">
        <f>IFERROR(VLOOKUP(J128,[1]Database!$A$2:$L$175,2,FALSE),"-")</f>
        <v>-</v>
      </c>
      <c r="L128" t="str">
        <f>[1]ankomster!Y128</f>
        <v>-</v>
      </c>
      <c r="M128" t="str">
        <f>IFERROR(VLOOKUP(L128,[1]Database!$A$2:$L$175,2,FALSE),"-")</f>
        <v>-</v>
      </c>
    </row>
    <row r="129" spans="1:13" x14ac:dyDescent="0.35">
      <c r="A129" s="26">
        <v>46266</v>
      </c>
      <c r="B129" t="str">
        <f>[1]ankomster!A129</f>
        <v>tirsdag</v>
      </c>
      <c r="C129" t="str">
        <f>ankomster!D129</f>
        <v>-</v>
      </c>
      <c r="D129" t="str">
        <f>[1]ankomster!E129</f>
        <v>-</v>
      </c>
      <c r="E129" t="str">
        <f>IFERROR(VLOOKUP(D129,[1]Database!$A$2:$L$175,2,FALSE),"-")</f>
        <v>-</v>
      </c>
      <c r="F129" t="str">
        <f>[1]ankomster!J129</f>
        <v>-</v>
      </c>
      <c r="G129" t="str">
        <f>IFERROR(VLOOKUP(F129,[1]Database!$A$2:$L$175,2,FALSE),"-")</f>
        <v>-</v>
      </c>
      <c r="H129" t="str">
        <f>[1]ankomster!O129</f>
        <v>-</v>
      </c>
      <c r="I129" t="str">
        <f>IFERROR(VLOOKUP(H129,[1]Database!$A$2:$L$175,2,FALSE),"-")</f>
        <v>-</v>
      </c>
      <c r="J129" s="79" t="str">
        <f>[1]ankomster!T129</f>
        <v>-</v>
      </c>
      <c r="K129" t="str">
        <f>IFERROR(VLOOKUP(J129,[1]Database!$A$2:$L$175,2,FALSE),"-")</f>
        <v>-</v>
      </c>
      <c r="L129" t="str">
        <f>[1]ankomster!Y129</f>
        <v>-</v>
      </c>
      <c r="M129" t="str">
        <f>IFERROR(VLOOKUP(L129,[1]Database!$A$2:$L$175,2,FALSE),"-")</f>
        <v>-</v>
      </c>
    </row>
    <row r="130" spans="1:13" x14ac:dyDescent="0.35">
      <c r="A130" s="26">
        <v>46267</v>
      </c>
      <c r="B130" t="str">
        <f>[1]ankomster!A130</f>
        <v>onsdag</v>
      </c>
      <c r="C130" t="str">
        <f>ankomster!D130</f>
        <v>-</v>
      </c>
      <c r="D130" t="str">
        <f>[1]ankomster!E130</f>
        <v>-</v>
      </c>
      <c r="E130" t="str">
        <f>IFERROR(VLOOKUP(D130,[1]Database!$A$2:$L$175,2,FALSE),"-")</f>
        <v>-</v>
      </c>
      <c r="F130" t="str">
        <f>[1]ankomster!J130</f>
        <v>-</v>
      </c>
      <c r="G130" t="str">
        <f>IFERROR(VLOOKUP(F130,[1]Database!$A$2:$L$175,2,FALSE),"-")</f>
        <v>-</v>
      </c>
      <c r="H130" t="str">
        <f>[1]ankomster!O130</f>
        <v>-</v>
      </c>
      <c r="I130" t="str">
        <f>IFERROR(VLOOKUP(H130,[1]Database!$A$2:$L$175,2,FALSE),"-")</f>
        <v>-</v>
      </c>
      <c r="J130" s="79" t="str">
        <f>[1]ankomster!T130</f>
        <v>-</v>
      </c>
      <c r="K130" t="str">
        <f>IFERROR(VLOOKUP(J130,[1]Database!$A$2:$L$175,2,FALSE),"-")</f>
        <v>-</v>
      </c>
      <c r="L130" t="str">
        <f>[1]ankomster!Y130</f>
        <v>-</v>
      </c>
      <c r="M130" t="str">
        <f>IFERROR(VLOOKUP(L130,[1]Database!$A$2:$L$175,2,FALSE),"-")</f>
        <v>-</v>
      </c>
    </row>
    <row r="131" spans="1:13" x14ac:dyDescent="0.35">
      <c r="A131" s="26">
        <v>46268</v>
      </c>
      <c r="B131" t="str">
        <f>[1]ankomster!A131</f>
        <v>torsdag</v>
      </c>
      <c r="C131" t="str">
        <f>ankomster!D131</f>
        <v>-</v>
      </c>
      <c r="D131" t="str">
        <f>[1]ankomster!E131</f>
        <v>-</v>
      </c>
      <c r="E131" t="str">
        <f>IFERROR(VLOOKUP(D131,[1]Database!$A$2:$L$175,2,FALSE),"-")</f>
        <v>-</v>
      </c>
      <c r="F131" t="str">
        <f>[1]ankomster!J131</f>
        <v>-</v>
      </c>
      <c r="G131" t="str">
        <f>IFERROR(VLOOKUP(F131,[1]Database!$A$2:$L$175,2,FALSE),"-")</f>
        <v>-</v>
      </c>
      <c r="H131" t="str">
        <f>[1]ankomster!O131</f>
        <v>-</v>
      </c>
      <c r="I131" t="str">
        <f>IFERROR(VLOOKUP(H131,[1]Database!$A$2:$L$175,2,FALSE),"-")</f>
        <v>-</v>
      </c>
      <c r="J131" s="79" t="str">
        <f>[1]ankomster!T131</f>
        <v>-</v>
      </c>
      <c r="K131" t="str">
        <f>IFERROR(VLOOKUP(J131,[1]Database!$A$2:$L$175,2,FALSE),"-")</f>
        <v>-</v>
      </c>
      <c r="L131" t="str">
        <f>[1]ankomster!Y131</f>
        <v>-</v>
      </c>
      <c r="M131" t="str">
        <f>IFERROR(VLOOKUP(L131,[1]Database!$A$2:$L$175,2,FALSE),"-")</f>
        <v>-</v>
      </c>
    </row>
    <row r="132" spans="1:13" x14ac:dyDescent="0.35">
      <c r="A132" s="26">
        <v>46269</v>
      </c>
      <c r="B132" t="str">
        <f>[1]ankomster!A132</f>
        <v>fredag</v>
      </c>
      <c r="C132" t="str">
        <f>ankomster!D132</f>
        <v>-</v>
      </c>
      <c r="D132" t="str">
        <f>[1]ankomster!E132</f>
        <v>-</v>
      </c>
      <c r="E132" t="str">
        <f>IFERROR(VLOOKUP(D132,[1]Database!$A$2:$L$175,2,FALSE),"-")</f>
        <v>-</v>
      </c>
      <c r="F132" t="str">
        <f>[1]ankomster!J132</f>
        <v>-</v>
      </c>
      <c r="G132" t="str">
        <f>IFERROR(VLOOKUP(F132,[1]Database!$A$2:$L$175,2,FALSE),"-")</f>
        <v>-</v>
      </c>
      <c r="H132" t="str">
        <f>[1]ankomster!O132</f>
        <v>-</v>
      </c>
      <c r="I132" t="str">
        <f>IFERROR(VLOOKUP(H132,[1]Database!$A$2:$L$175,2,FALSE),"-")</f>
        <v>-</v>
      </c>
      <c r="J132" s="79">
        <f>[1]ankomster!T132</f>
        <v>113</v>
      </c>
      <c r="K132" t="str">
        <f>IFERROR(VLOOKUP(J132,[1]Database!$A$2:$L$175,2,FALSE),"-")</f>
        <v>Maria Friis Jensen</v>
      </c>
      <c r="L132" t="str">
        <f>[1]ankomster!Y132</f>
        <v>-</v>
      </c>
      <c r="M132" t="str">
        <f>IFERROR(VLOOKUP(L132,[1]Database!$A$2:$L$175,2,FALSE),"-")</f>
        <v>-</v>
      </c>
    </row>
    <row r="133" spans="1:13" x14ac:dyDescent="0.35">
      <c r="A133" s="26">
        <v>46270</v>
      </c>
      <c r="B133" t="str">
        <f>[1]ankomster!A133</f>
        <v>lørdag</v>
      </c>
      <c r="C133" t="str">
        <f>ankomster!D133</f>
        <v>-</v>
      </c>
      <c r="D133" t="str">
        <f>[1]ankomster!E133</f>
        <v>-</v>
      </c>
      <c r="E133" t="str">
        <f>IFERROR(VLOOKUP(D133,[1]Database!$A$2:$L$175,2,FALSE),"-")</f>
        <v>-</v>
      </c>
      <c r="F133" t="str">
        <f>[1]ankomster!J133</f>
        <v>-</v>
      </c>
      <c r="G133" t="str">
        <f>IFERROR(VLOOKUP(F133,[1]Database!$A$2:$L$175,2,FALSE),"-")</f>
        <v>-</v>
      </c>
      <c r="H133" t="str">
        <f>[1]ankomster!O133</f>
        <v>-</v>
      </c>
      <c r="I133" t="str">
        <f>IFERROR(VLOOKUP(H133,[1]Database!$A$2:$L$175,2,FALSE),"-")</f>
        <v>-</v>
      </c>
      <c r="J133" s="79" t="str">
        <f>[1]ankomster!T133</f>
        <v>-</v>
      </c>
      <c r="K133" t="str">
        <f>IFERROR(VLOOKUP(J133,[1]Database!$A$2:$L$175,2,FALSE),"-")</f>
        <v>-</v>
      </c>
      <c r="L133" t="str">
        <f>[1]ankomster!Y133</f>
        <v>-</v>
      </c>
      <c r="M133" t="str">
        <f>IFERROR(VLOOKUP(L133,[1]Database!$A$2:$L$175,2,FALSE),"-")</f>
        <v>-</v>
      </c>
    </row>
    <row r="134" spans="1:13" x14ac:dyDescent="0.35">
      <c r="A134" s="26">
        <v>46271</v>
      </c>
      <c r="B134" t="str">
        <f>[1]ankomster!A134</f>
        <v>søndag</v>
      </c>
      <c r="C134" t="str">
        <f>ankomster!D134</f>
        <v>-</v>
      </c>
      <c r="D134" t="str">
        <f>[1]ankomster!E134</f>
        <v>-</v>
      </c>
      <c r="E134" t="str">
        <f>IFERROR(VLOOKUP(D134,[1]Database!$A$2:$L$175,2,FALSE),"-")</f>
        <v>-</v>
      </c>
      <c r="F134" t="str">
        <f>[1]ankomster!J134</f>
        <v>-</v>
      </c>
      <c r="G134" t="str">
        <f>IFERROR(VLOOKUP(F134,[1]Database!$A$2:$L$175,2,FALSE),"-")</f>
        <v>-</v>
      </c>
      <c r="H134" t="str">
        <f>[1]ankomster!O134</f>
        <v>-</v>
      </c>
      <c r="I134" t="str">
        <f>IFERROR(VLOOKUP(H134,[1]Database!$A$2:$L$175,2,FALSE),"-")</f>
        <v>-</v>
      </c>
      <c r="J134" s="79" t="str">
        <f>[1]ankomster!T134</f>
        <v>-</v>
      </c>
      <c r="K134" t="str">
        <f>IFERROR(VLOOKUP(J134,[1]Database!$A$2:$L$175,2,FALSE),"-")</f>
        <v>-</v>
      </c>
      <c r="L134">
        <f>[1]ankomster!Y134</f>
        <v>22</v>
      </c>
      <c r="M134" t="str">
        <f>IFERROR(VLOOKUP(L134,[1]Database!$A$2:$L$175,2,FALSE),"-")</f>
        <v>Schroll Lothar</v>
      </c>
    </row>
    <row r="135" spans="1:13" x14ac:dyDescent="0.35">
      <c r="A135" s="26">
        <v>46272</v>
      </c>
      <c r="B135" t="str">
        <f>[1]ankomster!A135</f>
        <v>mandag</v>
      </c>
      <c r="C135" t="str">
        <f>ankomster!D135</f>
        <v>-</v>
      </c>
      <c r="D135" t="str">
        <f>[1]ankomster!E135</f>
        <v>-</v>
      </c>
      <c r="E135" t="str">
        <f>IFERROR(VLOOKUP(D135,[1]Database!$A$2:$L$175,2,FALSE),"-")</f>
        <v>-</v>
      </c>
      <c r="F135" t="str">
        <f>[1]ankomster!J135</f>
        <v>-</v>
      </c>
      <c r="G135" t="str">
        <f>IFERROR(VLOOKUP(F135,[1]Database!$A$2:$L$175,2,FALSE),"-")</f>
        <v>-</v>
      </c>
      <c r="H135" t="str">
        <f>[1]ankomster!O135</f>
        <v>-</v>
      </c>
      <c r="I135" t="str">
        <f>IFERROR(VLOOKUP(H135,[1]Database!$A$2:$L$175,2,FALSE),"-")</f>
        <v>-</v>
      </c>
      <c r="J135" s="79">
        <f>[1]ankomster!T135</f>
        <v>118</v>
      </c>
      <c r="K135" t="str">
        <f>IFERROR(VLOOKUP(J135,[1]Database!$A$2:$L$175,2,FALSE),"-")</f>
        <v>Børge Nordstrand</v>
      </c>
      <c r="L135" t="str">
        <f>[1]ankomster!Y135</f>
        <v>-</v>
      </c>
      <c r="M135" t="str">
        <f>IFERROR(VLOOKUP(L135,[1]Database!$A$2:$L$175,2,FALSE),"-")</f>
        <v>-</v>
      </c>
    </row>
    <row r="136" spans="1:13" x14ac:dyDescent="0.35">
      <c r="A136" s="26">
        <v>46273</v>
      </c>
      <c r="B136" t="str">
        <f>[1]ankomster!A136</f>
        <v>tirsdag</v>
      </c>
      <c r="C136" t="str">
        <f>ankomster!D136</f>
        <v>-</v>
      </c>
      <c r="D136" t="str">
        <f>[1]ankomster!E136</f>
        <v>-</v>
      </c>
      <c r="E136" t="str">
        <f>IFERROR(VLOOKUP(D136,[1]Database!$A$2:$L$175,2,FALSE),"-")</f>
        <v>-</v>
      </c>
      <c r="F136" t="str">
        <f>[1]ankomster!J136</f>
        <v>-</v>
      </c>
      <c r="G136" t="str">
        <f>IFERROR(VLOOKUP(F136,[1]Database!$A$2:$L$175,2,FALSE),"-")</f>
        <v>-</v>
      </c>
      <c r="H136" t="str">
        <f>[1]ankomster!O136</f>
        <v>-</v>
      </c>
      <c r="I136" t="str">
        <f>IFERROR(VLOOKUP(H136,[1]Database!$A$2:$L$175,2,FALSE),"-")</f>
        <v>-</v>
      </c>
      <c r="J136" s="79" t="str">
        <f>[1]ankomster!T136</f>
        <v>-</v>
      </c>
      <c r="K136" t="str">
        <f>IFERROR(VLOOKUP(J136,[1]Database!$A$2:$L$175,2,FALSE),"-")</f>
        <v>-</v>
      </c>
      <c r="L136" t="str">
        <f>[1]ankomster!Y136</f>
        <v>-</v>
      </c>
      <c r="M136" t="str">
        <f>IFERROR(VLOOKUP(L136,[1]Database!$A$2:$L$175,2,FALSE),"-")</f>
        <v>-</v>
      </c>
    </row>
    <row r="137" spans="1:13" x14ac:dyDescent="0.35">
      <c r="A137" s="26">
        <v>46274</v>
      </c>
      <c r="B137" t="str">
        <f>[1]ankomster!A137</f>
        <v>onsdag</v>
      </c>
      <c r="C137" t="str">
        <f>ankomster!D137</f>
        <v>-</v>
      </c>
      <c r="D137" t="str">
        <f>[1]ankomster!E137</f>
        <v>-</v>
      </c>
      <c r="E137" t="str">
        <f>IFERROR(VLOOKUP(D137,[1]Database!$A$2:$L$175,2,FALSE),"-")</f>
        <v>-</v>
      </c>
      <c r="F137" t="str">
        <f>[1]ankomster!J137</f>
        <v>-</v>
      </c>
      <c r="G137" t="str">
        <f>IFERROR(VLOOKUP(F137,[1]Database!$A$2:$L$175,2,FALSE),"-")</f>
        <v>-</v>
      </c>
      <c r="H137" t="str">
        <f>[1]ankomster!O137</f>
        <v>-</v>
      </c>
      <c r="I137" t="str">
        <f>IFERROR(VLOOKUP(H137,[1]Database!$A$2:$L$175,2,FALSE),"-")</f>
        <v>-</v>
      </c>
      <c r="J137" s="79" t="str">
        <f>[1]ankomster!T137</f>
        <v>-</v>
      </c>
      <c r="K137" t="str">
        <f>IFERROR(VLOOKUP(J137,[1]Database!$A$2:$L$175,2,FALSE),"-")</f>
        <v>-</v>
      </c>
      <c r="L137" t="str">
        <f>[1]ankomster!Y137</f>
        <v>-</v>
      </c>
      <c r="M137" t="str">
        <f>IFERROR(VLOOKUP(L137,[1]Database!$A$2:$L$175,2,FALSE),"-")</f>
        <v>-</v>
      </c>
    </row>
    <row r="138" spans="1:13" x14ac:dyDescent="0.35">
      <c r="A138" s="26">
        <v>46275</v>
      </c>
      <c r="B138" t="str">
        <f>[1]ankomster!A138</f>
        <v>torsdag</v>
      </c>
      <c r="C138" t="str">
        <f>ankomster!D138</f>
        <v>-</v>
      </c>
      <c r="D138" t="str">
        <f>[1]ankomster!E138</f>
        <v>-</v>
      </c>
      <c r="E138" t="str">
        <f>IFERROR(VLOOKUP(D138,[1]Database!$A$2:$L$175,2,FALSE),"-")</f>
        <v>-</v>
      </c>
      <c r="F138" t="str">
        <f>[1]ankomster!J138</f>
        <v>-</v>
      </c>
      <c r="G138" t="str">
        <f>IFERROR(VLOOKUP(F138,[1]Database!$A$2:$L$175,2,FALSE),"-")</f>
        <v>-</v>
      </c>
      <c r="H138" t="str">
        <f>[1]ankomster!O138</f>
        <v>-</v>
      </c>
      <c r="I138" t="str">
        <f>IFERROR(VLOOKUP(H138,[1]Database!$A$2:$L$175,2,FALSE),"-")</f>
        <v>-</v>
      </c>
      <c r="J138" s="79" t="str">
        <f>[1]ankomster!T138</f>
        <v>-</v>
      </c>
      <c r="K138" t="str">
        <f>IFERROR(VLOOKUP(J138,[1]Database!$A$2:$L$175,2,FALSE),"-")</f>
        <v>-</v>
      </c>
      <c r="L138" t="str">
        <f>[1]ankomster!Y138</f>
        <v>-</v>
      </c>
      <c r="M138" t="str">
        <f>IFERROR(VLOOKUP(L138,[1]Database!$A$2:$L$175,2,FALSE),"-")</f>
        <v>-</v>
      </c>
    </row>
    <row r="139" spans="1:13" x14ac:dyDescent="0.35">
      <c r="A139" s="26">
        <v>46276</v>
      </c>
      <c r="B139" t="str">
        <f>[1]ankomster!A139</f>
        <v>fredag</v>
      </c>
      <c r="C139" t="str">
        <f>ankomster!D139</f>
        <v>-</v>
      </c>
      <c r="D139">
        <f>[1]ankomster!E139</f>
        <v>89</v>
      </c>
      <c r="E139" t="str">
        <f>IFERROR(VLOOKUP(D139,[1]Database!$A$2:$L$175,2,FALSE),"-")</f>
        <v>Helle jacobsen</v>
      </c>
      <c r="F139">
        <f>[1]ankomster!J139</f>
        <v>89</v>
      </c>
      <c r="G139" t="str">
        <f>IFERROR(VLOOKUP(F139,[1]Database!$A$2:$L$175,2,FALSE),"-")</f>
        <v>Helle jacobsen</v>
      </c>
      <c r="H139" t="str">
        <f>[1]ankomster!O139</f>
        <v>-</v>
      </c>
      <c r="I139" t="str">
        <f>IFERROR(VLOOKUP(H139,[1]Database!$A$2:$L$175,2,FALSE),"-")</f>
        <v>-</v>
      </c>
      <c r="J139" s="79" t="str">
        <f>[1]ankomster!T139</f>
        <v>-</v>
      </c>
      <c r="K139" t="str">
        <f>IFERROR(VLOOKUP(J139,[1]Database!$A$2:$L$175,2,FALSE),"-")</f>
        <v>-</v>
      </c>
      <c r="L139" t="str">
        <f>[1]ankomster!Y139</f>
        <v>-</v>
      </c>
      <c r="M139" t="str">
        <f>IFERROR(VLOOKUP(L139,[1]Database!$A$2:$L$175,2,FALSE),"-")</f>
        <v>-</v>
      </c>
    </row>
    <row r="140" spans="1:13" x14ac:dyDescent="0.35">
      <c r="A140" s="26">
        <v>46277</v>
      </c>
      <c r="B140" t="str">
        <f>[1]ankomster!A140</f>
        <v>lørdag</v>
      </c>
      <c r="C140" t="str">
        <f>ankomster!D140</f>
        <v>-</v>
      </c>
      <c r="D140" t="str">
        <f>[1]ankomster!E140</f>
        <v>-</v>
      </c>
      <c r="E140" t="str">
        <f>IFERROR(VLOOKUP(D140,[1]Database!$A$2:$L$175,2,FALSE),"-")</f>
        <v>-</v>
      </c>
      <c r="F140" t="str">
        <f>[1]ankomster!J140</f>
        <v>-</v>
      </c>
      <c r="G140" t="str">
        <f>IFERROR(VLOOKUP(F140,[1]Database!$A$2:$L$175,2,FALSE),"-")</f>
        <v>-</v>
      </c>
      <c r="H140">
        <f>[1]ankomster!O140</f>
        <v>103</v>
      </c>
      <c r="I140" t="str">
        <f>IFERROR(VLOOKUP(H140,[1]Database!$A$2:$L$175,2,FALSE),"-")</f>
        <v>Heidi Rose</v>
      </c>
      <c r="J140" s="79" t="str">
        <f>[1]ankomster!T140</f>
        <v>-</v>
      </c>
      <c r="K140" t="str">
        <f>IFERROR(VLOOKUP(J140,[1]Database!$A$2:$L$175,2,FALSE),"-")</f>
        <v>-</v>
      </c>
      <c r="L140" t="str">
        <f>[1]ankomster!Y140</f>
        <v>-</v>
      </c>
      <c r="M140" t="str">
        <f>IFERROR(VLOOKUP(L140,[1]Database!$A$2:$L$175,2,FALSE),"-")</f>
        <v>-</v>
      </c>
    </row>
    <row r="141" spans="1:13" x14ac:dyDescent="0.35">
      <c r="A141" s="26">
        <v>46278</v>
      </c>
      <c r="B141" t="str">
        <f>[1]ankomster!A141</f>
        <v>søndag</v>
      </c>
      <c r="C141" t="str">
        <f>ankomster!D141</f>
        <v>-</v>
      </c>
      <c r="D141" t="str">
        <f>[1]ankomster!E141</f>
        <v>-</v>
      </c>
      <c r="E141" t="str">
        <f>IFERROR(VLOOKUP(D141,[1]Database!$A$2:$L$175,2,FALSE),"-")</f>
        <v>-</v>
      </c>
      <c r="F141" t="str">
        <f>[1]ankomster!J141</f>
        <v>-</v>
      </c>
      <c r="G141" t="str">
        <f>IFERROR(VLOOKUP(F141,[1]Database!$A$2:$L$175,2,FALSE),"-")</f>
        <v>-</v>
      </c>
      <c r="H141" t="str">
        <f>[1]ankomster!O141</f>
        <v>-</v>
      </c>
      <c r="I141" t="str">
        <f>IFERROR(VLOOKUP(H141,[1]Database!$A$2:$L$175,2,FALSE),"-")</f>
        <v>-</v>
      </c>
      <c r="J141" s="79" t="str">
        <f>[1]ankomster!T141</f>
        <v>-</v>
      </c>
      <c r="K141" t="str">
        <f>IFERROR(VLOOKUP(J141,[1]Database!$A$2:$L$175,2,FALSE),"-")</f>
        <v>-</v>
      </c>
      <c r="L141" t="str">
        <f>[1]ankomster!Y141</f>
        <v>-</v>
      </c>
      <c r="M141" t="str">
        <f>IFERROR(VLOOKUP(L141,[1]Database!$A$2:$L$175,2,FALSE),"-")</f>
        <v>-</v>
      </c>
    </row>
    <row r="142" spans="1:13" x14ac:dyDescent="0.35">
      <c r="A142" s="26">
        <v>46279</v>
      </c>
      <c r="B142" t="str">
        <f>[1]ankomster!A142</f>
        <v>mandag</v>
      </c>
      <c r="C142" t="str">
        <f>ankomster!D142</f>
        <v>-</v>
      </c>
      <c r="D142">
        <f>[1]ankomster!E142</f>
        <v>100</v>
      </c>
      <c r="E142" t="str">
        <f>IFERROR(VLOOKUP(D142,[1]Database!$A$2:$L$175,2,FALSE),"-")</f>
        <v>Lene Larsen</v>
      </c>
      <c r="F142" t="str">
        <f>[1]ankomster!J142</f>
        <v>-</v>
      </c>
      <c r="G142" t="str">
        <f>IFERROR(VLOOKUP(F142,[1]Database!$A$2:$L$175,2,FALSE),"-")</f>
        <v>-</v>
      </c>
      <c r="H142" t="str">
        <f>[1]ankomster!O142</f>
        <v>-</v>
      </c>
      <c r="I142" t="str">
        <f>IFERROR(VLOOKUP(H142,[1]Database!$A$2:$L$175,2,FALSE),"-")</f>
        <v>-</v>
      </c>
      <c r="J142" s="79">
        <f>[1]ankomster!T142</f>
        <v>101</v>
      </c>
      <c r="K142" t="str">
        <f>IFERROR(VLOOKUP(J142,[1]Database!$A$2:$L$175,2,FALSE),"-")</f>
        <v>Kirsten Nørgård Pedersen</v>
      </c>
      <c r="L142" t="str">
        <f>[1]ankomster!Y142</f>
        <v>-</v>
      </c>
      <c r="M142" t="str">
        <f>IFERROR(VLOOKUP(L142,[1]Database!$A$2:$L$175,2,FALSE),"-")</f>
        <v>-</v>
      </c>
    </row>
    <row r="143" spans="1:13" x14ac:dyDescent="0.35">
      <c r="A143" s="26">
        <v>46280</v>
      </c>
      <c r="B143" t="str">
        <f>[1]ankomster!A143</f>
        <v>tirsdag</v>
      </c>
      <c r="C143" t="str">
        <f>ankomster!D143</f>
        <v>-</v>
      </c>
      <c r="D143" t="str">
        <f>[1]ankomster!E143</f>
        <v>-</v>
      </c>
      <c r="E143" t="str">
        <f>IFERROR(VLOOKUP(D143,[1]Database!$A$2:$L$175,2,FALSE),"-")</f>
        <v>-</v>
      </c>
      <c r="F143" t="str">
        <f>[1]ankomster!J143</f>
        <v>-</v>
      </c>
      <c r="G143" t="str">
        <f>IFERROR(VLOOKUP(F143,[1]Database!$A$2:$L$175,2,FALSE),"-")</f>
        <v>-</v>
      </c>
      <c r="H143" t="str">
        <f>[1]ankomster!O143</f>
        <v>-</v>
      </c>
      <c r="I143" t="str">
        <f>IFERROR(VLOOKUP(H143,[1]Database!$A$2:$L$175,2,FALSE),"-")</f>
        <v>-</v>
      </c>
      <c r="J143" s="79" t="str">
        <f>[1]ankomster!T143</f>
        <v>-</v>
      </c>
      <c r="K143" t="str">
        <f>IFERROR(VLOOKUP(J143,[1]Database!$A$2:$L$175,2,FALSE),"-")</f>
        <v>-</v>
      </c>
      <c r="L143" t="str">
        <f>[1]ankomster!Y143</f>
        <v>-</v>
      </c>
      <c r="M143" t="str">
        <f>IFERROR(VLOOKUP(L143,[1]Database!$A$2:$L$175,2,FALSE),"-")</f>
        <v>-</v>
      </c>
    </row>
    <row r="144" spans="1:13" x14ac:dyDescent="0.35">
      <c r="A144" s="26">
        <v>46281</v>
      </c>
      <c r="B144" t="str">
        <f>[1]ankomster!A144</f>
        <v>onsdag</v>
      </c>
      <c r="C144" t="str">
        <f>ankomster!D144</f>
        <v>-</v>
      </c>
      <c r="D144" t="str">
        <f>[1]ankomster!E144</f>
        <v>-</v>
      </c>
      <c r="E144" t="str">
        <f>IFERROR(VLOOKUP(D144,[1]Database!$A$2:$L$175,2,FALSE),"-")</f>
        <v>-</v>
      </c>
      <c r="F144">
        <f>[1]ankomster!J144</f>
        <v>47</v>
      </c>
      <c r="G144" t="str">
        <f>IFERROR(VLOOKUP(F144,[1]Database!$A$2:$L$175,2,FALSE),"-")</f>
        <v>Dorte Strøm</v>
      </c>
      <c r="H144" t="str">
        <f>[1]ankomster!O144</f>
        <v>-</v>
      </c>
      <c r="I144" t="str">
        <f>IFERROR(VLOOKUP(H144,[1]Database!$A$2:$L$175,2,FALSE),"-")</f>
        <v>-</v>
      </c>
      <c r="J144" s="79" t="str">
        <f>[1]ankomster!T144</f>
        <v>-</v>
      </c>
      <c r="K144" t="str">
        <f>IFERROR(VLOOKUP(J144,[1]Database!$A$2:$L$175,2,FALSE),"-")</f>
        <v>-</v>
      </c>
      <c r="L144" t="str">
        <f>[1]ankomster!Y144</f>
        <v>-</v>
      </c>
      <c r="M144" t="str">
        <f>IFERROR(VLOOKUP(L144,[1]Database!$A$2:$L$175,2,FALSE),"-")</f>
        <v>-</v>
      </c>
    </row>
    <row r="145" spans="1:13" x14ac:dyDescent="0.35">
      <c r="A145" s="26">
        <v>46282</v>
      </c>
      <c r="B145" t="str">
        <f>[1]ankomster!A145</f>
        <v>torsdag</v>
      </c>
      <c r="C145" t="str">
        <f>ankomster!D145</f>
        <v>-</v>
      </c>
      <c r="D145">
        <f>[1]ankomster!E145</f>
        <v>41</v>
      </c>
      <c r="E145" t="str">
        <f>IFERROR(VLOOKUP(D145,[1]Database!$A$2:$L$175,2,FALSE),"-")</f>
        <v>Mette Sandvig</v>
      </c>
      <c r="F145" t="str">
        <f>[1]ankomster!J145</f>
        <v>-</v>
      </c>
      <c r="G145" t="str">
        <f>IFERROR(VLOOKUP(F145,[1]Database!$A$2:$L$175,2,FALSE),"-")</f>
        <v>-</v>
      </c>
      <c r="H145" t="str">
        <f>[1]ankomster!O145</f>
        <v>-</v>
      </c>
      <c r="I145" t="str">
        <f>IFERROR(VLOOKUP(H145,[1]Database!$A$2:$L$175,2,FALSE),"-")</f>
        <v>-</v>
      </c>
      <c r="J145" s="79">
        <f>[1]ankomster!T145</f>
        <v>42</v>
      </c>
      <c r="K145" t="str">
        <f>IFERROR(VLOOKUP(J145,[1]Database!$A$2:$L$175,2,FALSE),"-")</f>
        <v>Lisbeth Helbl</v>
      </c>
      <c r="L145" t="str">
        <f>[1]ankomster!Y145</f>
        <v>-</v>
      </c>
      <c r="M145" t="str">
        <f>IFERROR(VLOOKUP(L145,[1]Database!$A$2:$L$175,2,FALSE),"-")</f>
        <v>-</v>
      </c>
    </row>
    <row r="146" spans="1:13" x14ac:dyDescent="0.35">
      <c r="A146" s="26">
        <v>46283</v>
      </c>
      <c r="B146" t="str">
        <f>[1]ankomster!A146</f>
        <v>fredag</v>
      </c>
      <c r="C146" t="str">
        <f>ankomster!D146</f>
        <v>-</v>
      </c>
      <c r="D146" t="str">
        <f>[1]ankomster!E146</f>
        <v>-</v>
      </c>
      <c r="E146" t="str">
        <f>IFERROR(VLOOKUP(D146,[1]Database!$A$2:$L$175,2,FALSE),"-")</f>
        <v>-</v>
      </c>
      <c r="F146" t="str">
        <f>[1]ankomster!J146</f>
        <v>-</v>
      </c>
      <c r="G146" t="str">
        <f>IFERROR(VLOOKUP(F146,[1]Database!$A$2:$L$175,2,FALSE),"-")</f>
        <v>-</v>
      </c>
      <c r="H146" t="str">
        <f>[1]ankomster!O146</f>
        <v>-</v>
      </c>
      <c r="I146" t="str">
        <f>IFERROR(VLOOKUP(H146,[1]Database!$A$2:$L$175,2,FALSE),"-")</f>
        <v>-</v>
      </c>
      <c r="J146" s="79" t="str">
        <f>[1]ankomster!T146</f>
        <v>-</v>
      </c>
      <c r="K146" t="str">
        <f>IFERROR(VLOOKUP(J146,[1]Database!$A$2:$L$175,2,FALSE),"-")</f>
        <v>-</v>
      </c>
      <c r="L146">
        <f>[1]ankomster!Y146</f>
        <v>3</v>
      </c>
      <c r="M146" t="str">
        <f>IFERROR(VLOOKUP(L146,[1]Database!$A$2:$L$175,2,FALSE),"-")</f>
        <v>Jan Gaard</v>
      </c>
    </row>
    <row r="147" spans="1:13" x14ac:dyDescent="0.35">
      <c r="A147" s="26">
        <v>46284</v>
      </c>
      <c r="B147" t="str">
        <f>[1]ankomster!A147</f>
        <v>lørdag</v>
      </c>
      <c r="C147" t="str">
        <f>ankomster!D147</f>
        <v>-</v>
      </c>
      <c r="D147" t="str">
        <f>[1]ankomster!E147</f>
        <v>-</v>
      </c>
      <c r="E147" t="str">
        <f>IFERROR(VLOOKUP(D147,[1]Database!$A$2:$L$175,2,FALSE),"-")</f>
        <v>-</v>
      </c>
      <c r="F147" t="str">
        <f>[1]ankomster!J147</f>
        <v>-</v>
      </c>
      <c r="G147" t="str">
        <f>IFERROR(VLOOKUP(F147,[1]Database!$A$2:$L$175,2,FALSE),"-")</f>
        <v>-</v>
      </c>
      <c r="H147" t="str">
        <f>[1]ankomster!O147</f>
        <v>-</v>
      </c>
      <c r="I147" t="str">
        <f>IFERROR(VLOOKUP(H147,[1]Database!$A$2:$L$175,2,FALSE),"-")</f>
        <v>-</v>
      </c>
      <c r="J147" s="79" t="str">
        <f>[1]ankomster!T147</f>
        <v>-</v>
      </c>
      <c r="K147" t="str">
        <f>IFERROR(VLOOKUP(J147,[1]Database!$A$2:$L$175,2,FALSE),"-")</f>
        <v>-</v>
      </c>
      <c r="L147" t="str">
        <f>[1]ankomster!Y147</f>
        <v>-</v>
      </c>
      <c r="M147" t="str">
        <f>IFERROR(VLOOKUP(L147,[1]Database!$A$2:$L$175,2,FALSE),"-")</f>
        <v>-</v>
      </c>
    </row>
    <row r="148" spans="1:13" x14ac:dyDescent="0.35">
      <c r="A148" s="26">
        <v>46285</v>
      </c>
      <c r="B148" t="str">
        <f>[1]ankomster!A148</f>
        <v>søndag</v>
      </c>
      <c r="C148" t="str">
        <f>ankomster!D148</f>
        <v>-</v>
      </c>
      <c r="D148" t="str">
        <f>[1]ankomster!E148</f>
        <v>-</v>
      </c>
      <c r="E148" t="str">
        <f>IFERROR(VLOOKUP(D148,[1]Database!$A$2:$L$175,2,FALSE),"-")</f>
        <v>-</v>
      </c>
      <c r="F148" t="str">
        <f>[1]ankomster!J148</f>
        <v>-</v>
      </c>
      <c r="G148" t="str">
        <f>IFERROR(VLOOKUP(F148,[1]Database!$A$2:$L$175,2,FALSE),"-")</f>
        <v>-</v>
      </c>
      <c r="H148" t="str">
        <f>[1]ankomster!O148</f>
        <v>-</v>
      </c>
      <c r="I148" t="str">
        <f>IFERROR(VLOOKUP(H148,[1]Database!$A$2:$L$175,2,FALSE),"-")</f>
        <v>-</v>
      </c>
      <c r="J148" s="79" t="str">
        <f>[1]ankomster!T148</f>
        <v>-</v>
      </c>
      <c r="K148" t="str">
        <f>IFERROR(VLOOKUP(J148,[1]Database!$A$2:$L$175,2,FALSE),"-")</f>
        <v>-</v>
      </c>
      <c r="L148" t="str">
        <f>[1]ankomster!Y148</f>
        <v>-</v>
      </c>
      <c r="M148" t="str">
        <f>IFERROR(VLOOKUP(L148,[1]Database!$A$2:$L$175,2,FALSE),"-")</f>
        <v>-</v>
      </c>
    </row>
    <row r="149" spans="1:13" x14ac:dyDescent="0.35">
      <c r="A149" s="26">
        <v>46286</v>
      </c>
      <c r="B149" t="str">
        <f>[1]ankomster!A149</f>
        <v>mandag</v>
      </c>
      <c r="C149" t="str">
        <f>ankomster!D149</f>
        <v>-</v>
      </c>
      <c r="D149" t="str">
        <f>[1]ankomster!E149</f>
        <v>-</v>
      </c>
      <c r="E149" t="str">
        <f>IFERROR(VLOOKUP(D149,[1]Database!$A$2:$L$175,2,FALSE),"-")</f>
        <v>-</v>
      </c>
      <c r="F149" t="str">
        <f>[1]ankomster!J149</f>
        <v>-</v>
      </c>
      <c r="G149" t="str">
        <f>IFERROR(VLOOKUP(F149,[1]Database!$A$2:$L$175,2,FALSE),"-")</f>
        <v>-</v>
      </c>
      <c r="H149" t="str">
        <f>[1]ankomster!O149</f>
        <v>-</v>
      </c>
      <c r="I149" t="str">
        <f>IFERROR(VLOOKUP(H149,[1]Database!$A$2:$L$175,2,FALSE),"-")</f>
        <v>-</v>
      </c>
      <c r="J149" s="79" t="str">
        <f>[1]ankomster!T149</f>
        <v>-</v>
      </c>
      <c r="K149" t="str">
        <f>IFERROR(VLOOKUP(J149,[1]Database!$A$2:$L$175,2,FALSE),"-")</f>
        <v>-</v>
      </c>
      <c r="L149" t="str">
        <f>[1]ankomster!Y149</f>
        <v>-</v>
      </c>
      <c r="M149" t="str">
        <f>IFERROR(VLOOKUP(L149,[1]Database!$A$2:$L$175,2,FALSE),"-")</f>
        <v>-</v>
      </c>
    </row>
    <row r="150" spans="1:13" x14ac:dyDescent="0.35">
      <c r="A150" s="26">
        <v>46287</v>
      </c>
      <c r="B150" t="str">
        <f>[1]ankomster!A150</f>
        <v>tirsdag</v>
      </c>
      <c r="C150" t="str">
        <f>ankomster!D150</f>
        <v>-</v>
      </c>
      <c r="D150" t="str">
        <f>[1]ankomster!E150</f>
        <v>-</v>
      </c>
      <c r="E150" t="str">
        <f>IFERROR(VLOOKUP(D150,[1]Database!$A$2:$L$175,2,FALSE),"-")</f>
        <v>-</v>
      </c>
      <c r="F150" t="str">
        <f>[1]ankomster!J150</f>
        <v>-</v>
      </c>
      <c r="G150" t="str">
        <f>IFERROR(VLOOKUP(F150,[1]Database!$A$2:$L$175,2,FALSE),"-")</f>
        <v>-</v>
      </c>
      <c r="H150" t="str">
        <f>[1]ankomster!O150</f>
        <v>-</v>
      </c>
      <c r="I150" t="str">
        <f>IFERROR(VLOOKUP(H150,[1]Database!$A$2:$L$175,2,FALSE),"-")</f>
        <v>-</v>
      </c>
      <c r="J150" s="79" t="str">
        <f>[1]ankomster!T150</f>
        <v>-</v>
      </c>
      <c r="K150" t="str">
        <f>IFERROR(VLOOKUP(J150,[1]Database!$A$2:$L$175,2,FALSE),"-")</f>
        <v>-</v>
      </c>
      <c r="L150" t="str">
        <f>[1]ankomster!Y150</f>
        <v>-</v>
      </c>
      <c r="M150" t="str">
        <f>IFERROR(VLOOKUP(L150,[1]Database!$A$2:$L$175,2,FALSE),"-")</f>
        <v>-</v>
      </c>
    </row>
    <row r="151" spans="1:13" x14ac:dyDescent="0.35">
      <c r="A151" s="26">
        <v>46288</v>
      </c>
      <c r="B151" t="str">
        <f>[1]ankomster!A151</f>
        <v>onsdag</v>
      </c>
      <c r="C151" t="str">
        <f>ankomster!D151</f>
        <v>-</v>
      </c>
      <c r="D151" t="str">
        <f>[1]ankomster!E151</f>
        <v>-</v>
      </c>
      <c r="E151" t="str">
        <f>IFERROR(VLOOKUP(D151,[1]Database!$A$2:$L$175,2,FALSE),"-")</f>
        <v>-</v>
      </c>
      <c r="F151" t="str">
        <f>[1]ankomster!J151</f>
        <v>-</v>
      </c>
      <c r="G151" t="str">
        <f>IFERROR(VLOOKUP(F151,[1]Database!$A$2:$L$175,2,FALSE),"-")</f>
        <v>-</v>
      </c>
      <c r="H151" t="str">
        <f>[1]ankomster!O151</f>
        <v>-</v>
      </c>
      <c r="I151" t="str">
        <f>IFERROR(VLOOKUP(H151,[1]Database!$A$2:$L$175,2,FALSE),"-")</f>
        <v>-</v>
      </c>
      <c r="J151" s="79" t="str">
        <f>[1]ankomster!T151</f>
        <v>-</v>
      </c>
      <c r="K151" t="str">
        <f>IFERROR(VLOOKUP(J151,[1]Database!$A$2:$L$175,2,FALSE),"-")</f>
        <v>-</v>
      </c>
      <c r="L151" t="str">
        <f>[1]ankomster!Y151</f>
        <v>-</v>
      </c>
      <c r="M151" t="str">
        <f>IFERROR(VLOOKUP(L151,[1]Database!$A$2:$L$175,2,FALSE),"-")</f>
        <v>-</v>
      </c>
    </row>
    <row r="152" spans="1:13" x14ac:dyDescent="0.35">
      <c r="A152" s="26">
        <v>46289</v>
      </c>
      <c r="B152" t="str">
        <f>[1]ankomster!A152</f>
        <v>torsdag</v>
      </c>
      <c r="C152" t="str">
        <f>ankomster!D152</f>
        <v>-</v>
      </c>
      <c r="D152" t="str">
        <f>[1]ankomster!E152</f>
        <v>-</v>
      </c>
      <c r="E152" t="str">
        <f>IFERROR(VLOOKUP(D152,[1]Database!$A$2:$L$175,2,FALSE),"-")</f>
        <v>-</v>
      </c>
      <c r="F152" t="str">
        <f>[1]ankomster!J152</f>
        <v>-</v>
      </c>
      <c r="G152" t="str">
        <f>IFERROR(VLOOKUP(F152,[1]Database!$A$2:$L$175,2,FALSE),"-")</f>
        <v>-</v>
      </c>
      <c r="H152" t="str">
        <f>[1]ankomster!O152</f>
        <v>-</v>
      </c>
      <c r="I152" t="str">
        <f>IFERROR(VLOOKUP(H152,[1]Database!$A$2:$L$175,2,FALSE),"-")</f>
        <v>-</v>
      </c>
      <c r="J152" s="79" t="str">
        <f>[1]ankomster!T152</f>
        <v>-</v>
      </c>
      <c r="K152" t="str">
        <f>IFERROR(VLOOKUP(J152,[1]Database!$A$2:$L$175,2,FALSE),"-")</f>
        <v>-</v>
      </c>
      <c r="L152" t="str">
        <f>[1]ankomster!Y152</f>
        <v>-</v>
      </c>
      <c r="M152" t="str">
        <f>IFERROR(VLOOKUP(L152,[1]Database!$A$2:$L$175,2,FALSE),"-")</f>
        <v>-</v>
      </c>
    </row>
    <row r="153" spans="1:13" x14ac:dyDescent="0.35">
      <c r="A153" s="26">
        <v>46290</v>
      </c>
      <c r="B153" t="str">
        <f>[1]ankomster!A153</f>
        <v>fredag</v>
      </c>
      <c r="C153" t="str">
        <f>ankomster!D153</f>
        <v>-</v>
      </c>
      <c r="D153" t="str">
        <f>[1]ankomster!E153</f>
        <v>-</v>
      </c>
      <c r="E153" t="str">
        <f>IFERROR(VLOOKUP(D153,[1]Database!$A$2:$L$175,2,FALSE),"-")</f>
        <v>-</v>
      </c>
      <c r="F153" t="str">
        <f>[1]ankomster!J153</f>
        <v>-</v>
      </c>
      <c r="G153" t="str">
        <f>IFERROR(VLOOKUP(F153,[1]Database!$A$2:$L$175,2,FALSE),"-")</f>
        <v>-</v>
      </c>
      <c r="H153" t="str">
        <f>[1]ankomster!O153</f>
        <v>-</v>
      </c>
      <c r="I153" t="str">
        <f>IFERROR(VLOOKUP(H153,[1]Database!$A$2:$L$175,2,FALSE),"-")</f>
        <v>-</v>
      </c>
      <c r="J153" s="79" t="str">
        <f>[1]ankomster!T153</f>
        <v>-</v>
      </c>
      <c r="K153" t="str">
        <f>IFERROR(VLOOKUP(J153,[1]Database!$A$2:$L$175,2,FALSE),"-")</f>
        <v>-</v>
      </c>
      <c r="L153" t="str">
        <f>[1]ankomster!Y153</f>
        <v>-</v>
      </c>
      <c r="M153" t="str">
        <f>IFERROR(VLOOKUP(L153,[1]Database!$A$2:$L$175,2,FALSE),"-")</f>
        <v>-</v>
      </c>
    </row>
    <row r="154" spans="1:13" x14ac:dyDescent="0.35">
      <c r="A154" s="26">
        <v>46291</v>
      </c>
      <c r="B154" t="str">
        <f>[1]ankomster!A154</f>
        <v>lørdag</v>
      </c>
      <c r="C154" t="str">
        <f>ankomster!D154</f>
        <v>-</v>
      </c>
      <c r="D154" t="str">
        <f>[1]ankomster!E154</f>
        <v>-</v>
      </c>
      <c r="E154" t="str">
        <f>IFERROR(VLOOKUP(D154,[1]Database!$A$2:$L$175,2,FALSE),"-")</f>
        <v>-</v>
      </c>
      <c r="F154" t="str">
        <f>[1]ankomster!J154</f>
        <v>-</v>
      </c>
      <c r="G154" t="str">
        <f>IFERROR(VLOOKUP(F154,[1]Database!$A$2:$L$175,2,FALSE),"-")</f>
        <v>-</v>
      </c>
      <c r="H154" t="str">
        <f>[1]ankomster!O154</f>
        <v>-</v>
      </c>
      <c r="I154" t="str">
        <f>IFERROR(VLOOKUP(H154,[1]Database!$A$2:$L$175,2,FALSE),"-")</f>
        <v>-</v>
      </c>
      <c r="J154" s="79" t="str">
        <f>[1]ankomster!T154</f>
        <v>-</v>
      </c>
      <c r="K154" t="str">
        <f>IFERROR(VLOOKUP(J154,[1]Database!$A$2:$L$175,2,FALSE),"-")</f>
        <v>-</v>
      </c>
      <c r="L154" t="str">
        <f>[1]ankomster!Y154</f>
        <v>-</v>
      </c>
      <c r="M154" t="str">
        <f>IFERROR(VLOOKUP(L154,[1]Database!$A$2:$L$175,2,FALSE),"-")</f>
        <v>-</v>
      </c>
    </row>
    <row r="155" spans="1:13" x14ac:dyDescent="0.35">
      <c r="A155" s="26">
        <v>46292</v>
      </c>
      <c r="B155" t="str">
        <f>[1]ankomster!A155</f>
        <v>søndag</v>
      </c>
      <c r="C155" t="str">
        <f>ankomster!D155</f>
        <v>-</v>
      </c>
      <c r="D155" t="str">
        <f>[1]ankomster!E155</f>
        <v>-</v>
      </c>
      <c r="E155" t="str">
        <f>IFERROR(VLOOKUP(D155,[1]Database!$A$2:$L$175,2,FALSE),"-")</f>
        <v>-</v>
      </c>
      <c r="F155" t="str">
        <f>[1]ankomster!J155</f>
        <v>-</v>
      </c>
      <c r="G155" t="str">
        <f>IFERROR(VLOOKUP(F155,[1]Database!$A$2:$L$175,2,FALSE),"-")</f>
        <v>-</v>
      </c>
      <c r="H155" t="str">
        <f>[1]ankomster!O155</f>
        <v>-</v>
      </c>
      <c r="I155" t="str">
        <f>IFERROR(VLOOKUP(H155,[1]Database!$A$2:$L$175,2,FALSE),"-")</f>
        <v>-</v>
      </c>
      <c r="J155" s="79" t="str">
        <f>[1]ankomster!T155</f>
        <v>-</v>
      </c>
      <c r="K155" t="str">
        <f>IFERROR(VLOOKUP(J155,[1]Database!$A$2:$L$175,2,FALSE),"-")</f>
        <v>-</v>
      </c>
      <c r="L155" t="str">
        <f>[1]ankomster!Y155</f>
        <v>-</v>
      </c>
      <c r="M155" t="str">
        <f>IFERROR(VLOOKUP(L155,[1]Database!$A$2:$L$175,2,FALSE),"-")</f>
        <v>-</v>
      </c>
    </row>
    <row r="156" spans="1:13" x14ac:dyDescent="0.35">
      <c r="A156" s="26">
        <v>46293</v>
      </c>
      <c r="B156" t="str">
        <f>[1]ankomster!A156</f>
        <v>mandag</v>
      </c>
      <c r="C156" t="str">
        <f>ankomster!D156</f>
        <v>-</v>
      </c>
      <c r="D156" t="str">
        <f>[1]ankomster!E156</f>
        <v>-</v>
      </c>
      <c r="E156" t="str">
        <f>IFERROR(VLOOKUP(D156,[1]Database!$A$2:$L$175,2,FALSE),"-")</f>
        <v>-</v>
      </c>
      <c r="F156" t="str">
        <f>[1]ankomster!J156</f>
        <v>-</v>
      </c>
      <c r="G156" t="str">
        <f>IFERROR(VLOOKUP(F156,[1]Database!$A$2:$L$175,2,FALSE),"-")</f>
        <v>-</v>
      </c>
      <c r="H156" t="str">
        <f>[1]ankomster!O156</f>
        <v>-</v>
      </c>
      <c r="I156" t="str">
        <f>IFERROR(VLOOKUP(H156,[1]Database!$A$2:$L$175,2,FALSE),"-")</f>
        <v>-</v>
      </c>
      <c r="J156" s="79" t="str">
        <f>[1]ankomster!T156</f>
        <v>-</v>
      </c>
      <c r="K156" t="str">
        <f>IFERROR(VLOOKUP(J156,[1]Database!$A$2:$L$175,2,FALSE),"-")</f>
        <v>-</v>
      </c>
      <c r="L156" t="str">
        <f>[1]ankomster!Y156</f>
        <v>-</v>
      </c>
      <c r="M156" t="str">
        <f>IFERROR(VLOOKUP(L156,[1]Database!$A$2:$L$175,2,FALSE),"-")</f>
        <v>-</v>
      </c>
    </row>
    <row r="157" spans="1:13" x14ac:dyDescent="0.35">
      <c r="A157" s="26">
        <v>46294</v>
      </c>
      <c r="B157" t="str">
        <f>[1]ankomster!A157</f>
        <v>tirsdag</v>
      </c>
      <c r="C157" t="str">
        <f>ankomster!D157</f>
        <v>-</v>
      </c>
      <c r="D157" t="str">
        <f>[1]ankomster!E157</f>
        <v>-</v>
      </c>
      <c r="E157" t="str">
        <f>IFERROR(VLOOKUP(D157,[1]Database!$A$2:$L$175,2,FALSE),"-")</f>
        <v>-</v>
      </c>
      <c r="F157" t="str">
        <f>[1]ankomster!J157</f>
        <v>-</v>
      </c>
      <c r="G157" t="str">
        <f>IFERROR(VLOOKUP(F157,[1]Database!$A$2:$L$175,2,FALSE),"-")</f>
        <v>-</v>
      </c>
      <c r="H157" t="str">
        <f>[1]ankomster!O157</f>
        <v>-</v>
      </c>
      <c r="I157" t="str">
        <f>IFERROR(VLOOKUP(H157,[1]Database!$A$2:$L$175,2,FALSE),"-")</f>
        <v>-</v>
      </c>
      <c r="J157" s="79" t="str">
        <f>[1]ankomster!T157</f>
        <v>-</v>
      </c>
      <c r="K157" t="str">
        <f>IFERROR(VLOOKUP(J157,[1]Database!$A$2:$L$175,2,FALSE),"-")</f>
        <v>-</v>
      </c>
      <c r="L157" t="str">
        <f>[1]ankomster!Y157</f>
        <v>-</v>
      </c>
      <c r="M157" t="str">
        <f>IFERROR(VLOOKUP(L157,[1]Database!$A$2:$L$175,2,FALSE),"-")</f>
        <v>-</v>
      </c>
    </row>
    <row r="158" spans="1:13" x14ac:dyDescent="0.35">
      <c r="A158" s="26">
        <v>46295</v>
      </c>
      <c r="B158" t="str">
        <f>[1]ankomster!A158</f>
        <v>onsdag</v>
      </c>
      <c r="C158" t="str">
        <f>ankomster!D158</f>
        <v>-</v>
      </c>
      <c r="D158" t="str">
        <f>[1]ankomster!E158</f>
        <v>-</v>
      </c>
      <c r="E158" t="str">
        <f>IFERROR(VLOOKUP(D158,[1]Database!$A$2:$L$175,2,FALSE),"-")</f>
        <v>-</v>
      </c>
      <c r="F158" t="str">
        <f>[1]ankomster!J158</f>
        <v>-</v>
      </c>
      <c r="G158" t="str">
        <f>IFERROR(VLOOKUP(F158,[1]Database!$A$2:$L$175,2,FALSE),"-")</f>
        <v>-</v>
      </c>
      <c r="H158" t="str">
        <f>[1]ankomster!O158</f>
        <v>-</v>
      </c>
      <c r="I158" t="str">
        <f>IFERROR(VLOOKUP(H158,[1]Database!$A$2:$L$175,2,FALSE),"-")</f>
        <v>-</v>
      </c>
      <c r="J158" s="79" t="str">
        <f>[1]ankomster!T158</f>
        <v>-</v>
      </c>
      <c r="K158" t="str">
        <f>IFERROR(VLOOKUP(J158,[1]Database!$A$2:$L$175,2,FALSE),"-")</f>
        <v>-</v>
      </c>
      <c r="L158" t="str">
        <f>[1]ankomster!Y158</f>
        <v>-</v>
      </c>
      <c r="M158" t="str">
        <f>IFERROR(VLOOKUP(L158,[1]Database!$A$2:$L$175,2,FALSE),"-")</f>
        <v>-</v>
      </c>
    </row>
    <row r="159" spans="1:13" x14ac:dyDescent="0.35">
      <c r="A159" s="26">
        <v>46296</v>
      </c>
      <c r="B159" t="str">
        <f>[1]ankomster!A159</f>
        <v>torsdag</v>
      </c>
      <c r="C159" t="str">
        <f>ankomster!D159</f>
        <v>-</v>
      </c>
      <c r="D159" t="str">
        <f>[1]ankomster!E159</f>
        <v>-</v>
      </c>
      <c r="E159" t="str">
        <f>IFERROR(VLOOKUP(D159,[1]Database!$A$2:$L$175,2,FALSE),"-")</f>
        <v>-</v>
      </c>
      <c r="F159" t="str">
        <f>[1]ankomster!J159</f>
        <v>-</v>
      </c>
      <c r="G159" t="str">
        <f>IFERROR(VLOOKUP(F159,[1]Database!$A$2:$L$175,2,FALSE),"-")</f>
        <v>-</v>
      </c>
      <c r="H159" t="str">
        <f>[1]ankomster!O159</f>
        <v>-</v>
      </c>
      <c r="I159" t="str">
        <f>IFERROR(VLOOKUP(H159,[1]Database!$A$2:$L$175,2,FALSE),"-")</f>
        <v>-</v>
      </c>
      <c r="J159" s="79" t="str">
        <f>[1]ankomster!T159</f>
        <v>-</v>
      </c>
      <c r="K159" t="str">
        <f>IFERROR(VLOOKUP(J159,[1]Database!$A$2:$L$175,2,FALSE),"-")</f>
        <v>-</v>
      </c>
      <c r="L159" t="str">
        <f>[1]ankomster!Y159</f>
        <v>-</v>
      </c>
      <c r="M159" t="str">
        <f>IFERROR(VLOOKUP(L159,[1]Database!$A$2:$L$175,2,FALSE),"-")</f>
        <v>-</v>
      </c>
    </row>
    <row r="160" spans="1:13" x14ac:dyDescent="0.35">
      <c r="A160" s="26">
        <v>46297</v>
      </c>
      <c r="B160" t="str">
        <f>[1]ankomster!A160</f>
        <v>fredag</v>
      </c>
      <c r="C160" t="str">
        <f>ankomster!D160</f>
        <v>-</v>
      </c>
      <c r="D160" t="str">
        <f>[1]ankomster!E160</f>
        <v>-</v>
      </c>
      <c r="E160" t="str">
        <f>IFERROR(VLOOKUP(D160,[1]Database!$A$2:$L$175,2,FALSE),"-")</f>
        <v>-</v>
      </c>
      <c r="F160" t="str">
        <f>[1]ankomster!J160</f>
        <v>-</v>
      </c>
      <c r="G160" t="str">
        <f>IFERROR(VLOOKUP(F160,[1]Database!$A$2:$L$175,2,FALSE),"-")</f>
        <v>-</v>
      </c>
      <c r="H160" t="str">
        <f>[1]ankomster!O160</f>
        <v>-</v>
      </c>
      <c r="I160" t="str">
        <f>IFERROR(VLOOKUP(H160,[1]Database!$A$2:$L$175,2,FALSE),"-")</f>
        <v>-</v>
      </c>
      <c r="J160" s="79" t="str">
        <f>[1]ankomster!T160</f>
        <v>-</v>
      </c>
      <c r="K160" t="str">
        <f>IFERROR(VLOOKUP(J160,[1]Database!$A$2:$L$175,2,FALSE),"-")</f>
        <v>-</v>
      </c>
      <c r="L160" t="str">
        <f>[1]ankomster!Y160</f>
        <v>-</v>
      </c>
      <c r="M160" t="str">
        <f>IFERROR(VLOOKUP(L160,[1]Database!$A$2:$L$175,2,FALSE),"-")</f>
        <v>-</v>
      </c>
    </row>
    <row r="161" spans="1:13" x14ac:dyDescent="0.35">
      <c r="A161" s="26">
        <v>46298</v>
      </c>
      <c r="B161" t="str">
        <f>[1]ankomster!A161</f>
        <v>lørdag</v>
      </c>
      <c r="C161" t="str">
        <f>ankomster!D161</f>
        <v>-</v>
      </c>
      <c r="D161" t="str">
        <f>[1]ankomster!E161</f>
        <v>-</v>
      </c>
      <c r="E161" t="str">
        <f>IFERROR(VLOOKUP(D161,[1]Database!$A$2:$L$175,2,FALSE),"-")</f>
        <v>-</v>
      </c>
      <c r="F161" t="str">
        <f>[1]ankomster!J161</f>
        <v>-</v>
      </c>
      <c r="G161" t="str">
        <f>IFERROR(VLOOKUP(F161,[1]Database!$A$2:$L$175,2,FALSE),"-")</f>
        <v>-</v>
      </c>
      <c r="H161" t="str">
        <f>[1]ankomster!O161</f>
        <v>-</v>
      </c>
      <c r="I161" t="str">
        <f>IFERROR(VLOOKUP(H161,[1]Database!$A$2:$L$175,2,FALSE),"-")</f>
        <v>-</v>
      </c>
      <c r="J161" s="79" t="str">
        <f>[1]ankomster!T161</f>
        <v>-</v>
      </c>
      <c r="K161" t="str">
        <f>IFERROR(VLOOKUP(J161,[1]Database!$A$2:$L$175,2,FALSE),"-")</f>
        <v>-</v>
      </c>
      <c r="L161" t="str">
        <f>[1]ankomster!Y161</f>
        <v>-</v>
      </c>
      <c r="M161" t="str">
        <f>IFERROR(VLOOKUP(L161,[1]Database!$A$2:$L$175,2,FALSE),"-")</f>
        <v>-</v>
      </c>
    </row>
    <row r="162" spans="1:13" x14ac:dyDescent="0.35">
      <c r="A162" s="26">
        <v>46299</v>
      </c>
      <c r="B162" t="str">
        <f>[1]ankomster!A162</f>
        <v>søndag</v>
      </c>
      <c r="C162" t="str">
        <f>ankomster!D162</f>
        <v>-</v>
      </c>
      <c r="D162" t="str">
        <f>[1]ankomster!E162</f>
        <v>-</v>
      </c>
      <c r="E162" t="str">
        <f>IFERROR(VLOOKUP(D162,[1]Database!$A$2:$L$175,2,FALSE),"-")</f>
        <v>-</v>
      </c>
      <c r="F162" t="str">
        <f>[1]ankomster!J162</f>
        <v>-</v>
      </c>
      <c r="G162" t="str">
        <f>IFERROR(VLOOKUP(F162,[1]Database!$A$2:$L$175,2,FALSE),"-")</f>
        <v>-</v>
      </c>
      <c r="H162" t="str">
        <f>[1]ankomster!O162</f>
        <v>-</v>
      </c>
      <c r="I162" t="str">
        <f>IFERROR(VLOOKUP(H162,[1]Database!$A$2:$L$175,2,FALSE),"-")</f>
        <v>-</v>
      </c>
      <c r="J162" s="79" t="str">
        <f>[1]ankomster!T162</f>
        <v>-</v>
      </c>
      <c r="K162" t="str">
        <f>IFERROR(VLOOKUP(J162,[1]Database!$A$2:$L$175,2,FALSE),"-")</f>
        <v>-</v>
      </c>
      <c r="L162" t="str">
        <f>[1]ankomster!Y162</f>
        <v>-</v>
      </c>
      <c r="M162" t="str">
        <f>IFERROR(VLOOKUP(L162,[1]Database!$A$2:$L$175,2,FALSE),"-")</f>
        <v>-</v>
      </c>
    </row>
    <row r="163" spans="1:13" x14ac:dyDescent="0.35">
      <c r="A163" s="26">
        <v>46300</v>
      </c>
      <c r="B163" t="str">
        <f>[1]ankomster!A163</f>
        <v>mandag</v>
      </c>
      <c r="C163" t="str">
        <f>ankomster!D163</f>
        <v>-</v>
      </c>
      <c r="D163" t="str">
        <f>[1]ankomster!E163</f>
        <v>-</v>
      </c>
      <c r="E163" t="str">
        <f>IFERROR(VLOOKUP(D163,[1]Database!$A$2:$L$175,2,FALSE),"-")</f>
        <v>-</v>
      </c>
      <c r="F163" t="str">
        <f>[1]ankomster!J163</f>
        <v>-</v>
      </c>
      <c r="G163" t="str">
        <f>IFERROR(VLOOKUP(F163,[1]Database!$A$2:$L$175,2,FALSE),"-")</f>
        <v>-</v>
      </c>
      <c r="H163" t="str">
        <f>[1]ankomster!O163</f>
        <v>-</v>
      </c>
      <c r="I163" t="str">
        <f>IFERROR(VLOOKUP(H163,[1]Database!$A$2:$L$175,2,FALSE),"-")</f>
        <v>-</v>
      </c>
      <c r="J163" s="79" t="str">
        <f>[1]ankomster!T163</f>
        <v>-</v>
      </c>
      <c r="K163" t="str">
        <f>IFERROR(VLOOKUP(J163,[1]Database!$A$2:$L$175,2,FALSE),"-")</f>
        <v>-</v>
      </c>
      <c r="L163" t="str">
        <f>[1]ankomster!Y163</f>
        <v>-</v>
      </c>
      <c r="M163" t="str">
        <f>IFERROR(VLOOKUP(L163,[1]Database!$A$2:$L$175,2,FALSE),"-")</f>
        <v>-</v>
      </c>
    </row>
    <row r="164" spans="1:13" x14ac:dyDescent="0.35">
      <c r="A164" s="26">
        <v>46301</v>
      </c>
      <c r="B164" t="str">
        <f>[1]ankomster!A164</f>
        <v>tirsdag</v>
      </c>
      <c r="C164" t="str">
        <f>ankomster!D164</f>
        <v>-</v>
      </c>
      <c r="D164" t="str">
        <f>[1]ankomster!E164</f>
        <v>-</v>
      </c>
      <c r="E164" t="str">
        <f>IFERROR(VLOOKUP(D164,[1]Database!$A$2:$L$175,2,FALSE),"-")</f>
        <v>-</v>
      </c>
      <c r="F164" t="str">
        <f>[1]ankomster!J164</f>
        <v>-</v>
      </c>
      <c r="G164" t="str">
        <f>IFERROR(VLOOKUP(F164,[1]Database!$A$2:$L$175,2,FALSE),"-")</f>
        <v>-</v>
      </c>
      <c r="H164" t="str">
        <f>[1]ankomster!O164</f>
        <v>-</v>
      </c>
      <c r="I164" t="str">
        <f>IFERROR(VLOOKUP(H164,[1]Database!$A$2:$L$175,2,FALSE),"-")</f>
        <v>-</v>
      </c>
      <c r="J164" s="79" t="str">
        <f>[1]ankomster!T164</f>
        <v>-</v>
      </c>
      <c r="K164" t="str">
        <f>IFERROR(VLOOKUP(J164,[1]Database!$A$2:$L$175,2,FALSE),"-")</f>
        <v>-</v>
      </c>
      <c r="L164" t="str">
        <f>[1]ankomster!Y164</f>
        <v>-</v>
      </c>
      <c r="M164" t="str">
        <f>IFERROR(VLOOKUP(L164,[1]Database!$A$2:$L$175,2,FALSE),"-")</f>
        <v>-</v>
      </c>
    </row>
    <row r="165" spans="1:13" x14ac:dyDescent="0.35">
      <c r="A165" s="26">
        <v>46302</v>
      </c>
      <c r="B165" t="str">
        <f>[1]ankomster!A165</f>
        <v>onsdag</v>
      </c>
      <c r="C165" t="str">
        <f>ankomster!D165</f>
        <v>-</v>
      </c>
      <c r="D165" t="str">
        <f>[1]ankomster!E165</f>
        <v>-</v>
      </c>
      <c r="E165" t="str">
        <f>IFERROR(VLOOKUP(D165,[1]Database!$A$2:$L$175,2,FALSE),"-")</f>
        <v>-</v>
      </c>
      <c r="F165" t="str">
        <f>[1]ankomster!J165</f>
        <v>-</v>
      </c>
      <c r="G165" t="str">
        <f>IFERROR(VLOOKUP(F165,[1]Database!$A$2:$L$175,2,FALSE),"-")</f>
        <v>-</v>
      </c>
      <c r="H165" t="str">
        <f>[1]ankomster!O165</f>
        <v>-</v>
      </c>
      <c r="I165" t="str">
        <f>IFERROR(VLOOKUP(H165,[1]Database!$A$2:$L$175,2,FALSE),"-")</f>
        <v>-</v>
      </c>
      <c r="J165" s="79" t="str">
        <f>[1]ankomster!T165</f>
        <v>-</v>
      </c>
      <c r="K165" t="str">
        <f>IFERROR(VLOOKUP(J165,[1]Database!$A$2:$L$175,2,FALSE),"-")</f>
        <v>-</v>
      </c>
      <c r="L165" t="str">
        <f>[1]ankomster!Y165</f>
        <v>-</v>
      </c>
      <c r="M165" t="str">
        <f>IFERROR(VLOOKUP(L165,[1]Database!$A$2:$L$175,2,FALSE),"-")</f>
        <v>-</v>
      </c>
    </row>
    <row r="166" spans="1:13" x14ac:dyDescent="0.35">
      <c r="A166" s="26">
        <v>46303</v>
      </c>
      <c r="B166" t="str">
        <f>[1]ankomster!A166</f>
        <v>torsdag</v>
      </c>
      <c r="C166" t="str">
        <f>ankomster!D166</f>
        <v>-</v>
      </c>
      <c r="D166" t="str">
        <f>[1]ankomster!E166</f>
        <v>-</v>
      </c>
      <c r="E166" t="str">
        <f>IFERROR(VLOOKUP(D166,[1]Database!$A$2:$L$175,2,FALSE),"-")</f>
        <v>-</v>
      </c>
      <c r="F166" t="str">
        <f>[1]ankomster!J166</f>
        <v>-</v>
      </c>
      <c r="G166" t="str">
        <f>IFERROR(VLOOKUP(F166,[1]Database!$A$2:$L$175,2,FALSE),"-")</f>
        <v>-</v>
      </c>
      <c r="H166" t="str">
        <f>[1]ankomster!O166</f>
        <v>-</v>
      </c>
      <c r="I166" t="str">
        <f>IFERROR(VLOOKUP(H166,[1]Database!$A$2:$L$175,2,FALSE),"-")</f>
        <v>-</v>
      </c>
      <c r="J166" s="79" t="str">
        <f>[1]ankomster!T166</f>
        <v>-</v>
      </c>
      <c r="K166" t="str">
        <f>IFERROR(VLOOKUP(J166,[1]Database!$A$2:$L$175,2,FALSE),"-")</f>
        <v>-</v>
      </c>
      <c r="L166" t="str">
        <f>[1]ankomster!Y166</f>
        <v>-</v>
      </c>
      <c r="M166" t="str">
        <f>IFERROR(VLOOKUP(L166,[1]Database!$A$2:$L$175,2,FALSE),"-")</f>
        <v>-</v>
      </c>
    </row>
    <row r="167" spans="1:13" x14ac:dyDescent="0.35">
      <c r="A167" s="26">
        <v>46304</v>
      </c>
      <c r="B167" t="str">
        <f>[1]ankomster!A167</f>
        <v>fredag</v>
      </c>
      <c r="C167" t="str">
        <f>ankomster!D167</f>
        <v>-</v>
      </c>
      <c r="D167" t="str">
        <f>[1]ankomster!E167</f>
        <v>-</v>
      </c>
      <c r="E167" t="str">
        <f>IFERROR(VLOOKUP(D167,[1]Database!$A$2:$L$175,2,FALSE),"-")</f>
        <v>-</v>
      </c>
      <c r="F167" t="str">
        <f>[1]ankomster!J167</f>
        <v>-</v>
      </c>
      <c r="G167" t="str">
        <f>IFERROR(VLOOKUP(F167,[1]Database!$A$2:$L$175,2,FALSE),"-")</f>
        <v>-</v>
      </c>
      <c r="H167" t="str">
        <f>[1]ankomster!O167</f>
        <v>-</v>
      </c>
      <c r="I167" t="str">
        <f>IFERROR(VLOOKUP(H167,[1]Database!$A$2:$L$175,2,FALSE),"-")</f>
        <v>-</v>
      </c>
      <c r="J167" s="79" t="str">
        <f>[1]ankomster!T167</f>
        <v>-</v>
      </c>
      <c r="K167" t="str">
        <f>IFERROR(VLOOKUP(J167,[1]Database!$A$2:$L$175,2,FALSE),"-")</f>
        <v>-</v>
      </c>
      <c r="L167" t="str">
        <f>[1]ankomster!Y167</f>
        <v>-</v>
      </c>
      <c r="M167" t="str">
        <f>IFERROR(VLOOKUP(L167,[1]Database!$A$2:$L$175,2,FALSE),"-")</f>
        <v>-</v>
      </c>
    </row>
    <row r="168" spans="1:13" x14ac:dyDescent="0.35">
      <c r="A168" s="26">
        <v>46305</v>
      </c>
      <c r="B168" t="str">
        <f>[1]ankomster!A168</f>
        <v>lørdag</v>
      </c>
      <c r="C168" t="str">
        <f>ankomster!D168</f>
        <v>-</v>
      </c>
      <c r="D168" t="str">
        <f>[1]ankomster!E168</f>
        <v>-</v>
      </c>
      <c r="E168" t="str">
        <f>IFERROR(VLOOKUP(D168,[1]Database!$A$2:$L$175,2,FALSE),"-")</f>
        <v>-</v>
      </c>
      <c r="F168" t="str">
        <f>[1]ankomster!J168</f>
        <v>-</v>
      </c>
      <c r="G168" t="str">
        <f>IFERROR(VLOOKUP(F168,[1]Database!$A$2:$L$175,2,FALSE),"-")</f>
        <v>-</v>
      </c>
      <c r="H168" t="str">
        <f>[1]ankomster!O168</f>
        <v>-</v>
      </c>
      <c r="I168" t="str">
        <f>IFERROR(VLOOKUP(H168,[1]Database!$A$2:$L$175,2,FALSE),"-")</f>
        <v>-</v>
      </c>
      <c r="J168" s="79" t="str">
        <f>[1]ankomster!T168</f>
        <v>-</v>
      </c>
      <c r="K168" t="str">
        <f>IFERROR(VLOOKUP(J168,[1]Database!$A$2:$L$175,2,FALSE),"-")</f>
        <v>-</v>
      </c>
      <c r="L168" t="str">
        <f>[1]ankomster!Y168</f>
        <v>-</v>
      </c>
      <c r="M168" t="str">
        <f>IFERROR(VLOOKUP(L168,[1]Database!$A$2:$L$175,2,FALSE),"-")</f>
        <v>-</v>
      </c>
    </row>
    <row r="169" spans="1:13" x14ac:dyDescent="0.35">
      <c r="A169" s="26">
        <v>46306</v>
      </c>
      <c r="B169" t="str">
        <f>[1]ankomster!A169</f>
        <v>søndag</v>
      </c>
      <c r="C169" t="str">
        <f>ankomster!D169</f>
        <v>-</v>
      </c>
      <c r="D169" t="str">
        <f>[1]ankomster!E169</f>
        <v>-</v>
      </c>
      <c r="E169" t="str">
        <f>IFERROR(VLOOKUP(D169,[1]Database!$A$2:$L$175,2,FALSE),"-")</f>
        <v>-</v>
      </c>
      <c r="F169" t="str">
        <f>[1]ankomster!J169</f>
        <v>-</v>
      </c>
      <c r="G169" t="str">
        <f>IFERROR(VLOOKUP(F169,[1]Database!$A$2:$L$175,2,FALSE),"-")</f>
        <v>-</v>
      </c>
      <c r="H169" t="str">
        <f>[1]ankomster!O169</f>
        <v>-</v>
      </c>
      <c r="I169" t="str">
        <f>IFERROR(VLOOKUP(H169,[1]Database!$A$2:$L$175,2,FALSE),"-")</f>
        <v>-</v>
      </c>
      <c r="J169" s="79" t="str">
        <f>[1]ankomster!T169</f>
        <v>-</v>
      </c>
      <c r="K169" t="str">
        <f>IFERROR(VLOOKUP(J169,[1]Database!$A$2:$L$175,2,FALSE),"-")</f>
        <v>-</v>
      </c>
      <c r="L169" t="str">
        <f>[1]ankomster!Y169</f>
        <v>-</v>
      </c>
      <c r="M169" t="str">
        <f>IFERROR(VLOOKUP(L169,[1]Database!$A$2:$L$175,2,FALSE),"-")</f>
        <v>-</v>
      </c>
    </row>
    <row r="170" spans="1:13" x14ac:dyDescent="0.35">
      <c r="A170" s="26">
        <v>46307</v>
      </c>
      <c r="B170" t="str">
        <f>[1]ankomster!A170</f>
        <v>mandag</v>
      </c>
      <c r="C170" t="str">
        <f>ankomster!D170</f>
        <v>-</v>
      </c>
      <c r="D170" t="str">
        <f>[1]ankomster!E170</f>
        <v>-</v>
      </c>
      <c r="E170" t="str">
        <f>IFERROR(VLOOKUP(D170,[1]Database!$A$2:$L$175,2,FALSE),"-")</f>
        <v>-</v>
      </c>
      <c r="F170" t="str">
        <f>[1]ankomster!J170</f>
        <v>-</v>
      </c>
      <c r="G170" t="str">
        <f>IFERROR(VLOOKUP(F170,[1]Database!$A$2:$L$175,2,FALSE),"-")</f>
        <v>-</v>
      </c>
      <c r="H170" t="str">
        <f>[1]ankomster!O170</f>
        <v>-</v>
      </c>
      <c r="I170" t="str">
        <f>IFERROR(VLOOKUP(H170,[1]Database!$A$2:$L$175,2,FALSE),"-")</f>
        <v>-</v>
      </c>
      <c r="J170" s="79" t="str">
        <f>[1]ankomster!T170</f>
        <v>-</v>
      </c>
      <c r="K170" t="str">
        <f>IFERROR(VLOOKUP(J170,[1]Database!$A$2:$L$175,2,FALSE),"-")</f>
        <v>-</v>
      </c>
      <c r="L170" t="str">
        <f>[1]ankomster!Y170</f>
        <v>-</v>
      </c>
      <c r="M170" t="str">
        <f>IFERROR(VLOOKUP(L170,[1]Database!$A$2:$L$175,2,FALSE),"-")</f>
        <v>-</v>
      </c>
    </row>
    <row r="171" spans="1:13" x14ac:dyDescent="0.35">
      <c r="A171" s="26">
        <v>46308</v>
      </c>
      <c r="B171" t="str">
        <f>[1]ankomster!A171</f>
        <v>tirsdag</v>
      </c>
      <c r="C171" t="str">
        <f>ankomster!D171</f>
        <v>-</v>
      </c>
      <c r="D171" t="str">
        <f>[1]ankomster!E171</f>
        <v>-</v>
      </c>
      <c r="E171" t="str">
        <f>IFERROR(VLOOKUP(D171,[1]Database!$A$2:$L$175,2,FALSE),"-")</f>
        <v>-</v>
      </c>
      <c r="F171" t="str">
        <f>[1]ankomster!J171</f>
        <v>-</v>
      </c>
      <c r="G171" t="str">
        <f>IFERROR(VLOOKUP(F171,[1]Database!$A$2:$L$175,2,FALSE),"-")</f>
        <v>-</v>
      </c>
      <c r="H171" t="str">
        <f>[1]ankomster!O171</f>
        <v>-</v>
      </c>
      <c r="I171" t="str">
        <f>IFERROR(VLOOKUP(H171,[1]Database!$A$2:$L$175,2,FALSE),"-")</f>
        <v>-</v>
      </c>
      <c r="J171" s="79" t="str">
        <f>[1]ankomster!T171</f>
        <v>-</v>
      </c>
      <c r="K171" t="str">
        <f>IFERROR(VLOOKUP(J171,[1]Database!$A$2:$L$175,2,FALSE),"-")</f>
        <v>-</v>
      </c>
      <c r="L171" t="str">
        <f>[1]ankomster!Y171</f>
        <v>-</v>
      </c>
      <c r="M171" t="str">
        <f>IFERROR(VLOOKUP(L171,[1]Database!$A$2:$L$175,2,FALSE),"-")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>
        <f>Database!Q2</f>
        <v>0</v>
      </c>
      <c r="C2" s="2">
        <f>IF(B2="Y",E2,)</f>
        <v>0</v>
      </c>
      <c r="D2" s="2" t="str">
        <f>IF(B2="Y",Database!K2,"-")</f>
        <v>-</v>
      </c>
      <c r="E2" s="2">
        <f>IF(AND(D2&gt;1,B2="Y"),Database!L2/D2,Database!L2)</f>
        <v>0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>
        <f>Database!Q5</f>
        <v>0</v>
      </c>
      <c r="C5" s="2" t="str">
        <f t="shared" si="0"/>
        <v>-</v>
      </c>
      <c r="D5" s="2" t="str">
        <f>IF(B5="Y",Database!K5,"-")</f>
        <v>-</v>
      </c>
      <c r="E5" s="2">
        <f>IF(AND(D5&gt;1,B5="Y"),Database!L5/D5,Database!L5)</f>
        <v>0</v>
      </c>
    </row>
    <row r="6" spans="1:5" x14ac:dyDescent="0.35">
      <c r="A6">
        <f>Database!A6</f>
        <v>5</v>
      </c>
      <c r="B6" s="2">
        <f>Database!Q6</f>
        <v>0</v>
      </c>
      <c r="C6" s="2" t="str">
        <f t="shared" si="0"/>
        <v>-</v>
      </c>
      <c r="D6" s="2" t="str">
        <f>IF(B6="Y",Database!K6,"-")</f>
        <v>-</v>
      </c>
      <c r="E6" s="2">
        <f>IF(AND(D6&gt;1,B6="Y"),Database!L6/D6,Database!L6)</f>
        <v>0</v>
      </c>
    </row>
    <row r="7" spans="1:5" x14ac:dyDescent="0.35">
      <c r="A7">
        <f>Database!A7</f>
        <v>6</v>
      </c>
      <c r="B7" s="2">
        <f>Database!Q7</f>
        <v>0</v>
      </c>
      <c r="C7" s="2" t="str">
        <f t="shared" si="0"/>
        <v>-</v>
      </c>
      <c r="D7" s="2" t="str">
        <f>IF(B7="Y",Database!K7,"-")</f>
        <v>-</v>
      </c>
      <c r="E7" s="2">
        <f>IF(AND(D7&gt;1,B7="Y"),Database!L7/D7,Database!L7)</f>
        <v>0</v>
      </c>
    </row>
    <row r="8" spans="1:5" x14ac:dyDescent="0.35">
      <c r="A8">
        <f>Database!A8</f>
        <v>7</v>
      </c>
      <c r="B8" s="2">
        <f>Database!Q8</f>
        <v>0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0</v>
      </c>
    </row>
    <row r="9" spans="1:5" x14ac:dyDescent="0.35">
      <c r="A9">
        <f>Database!A9</f>
        <v>8</v>
      </c>
      <c r="B9" s="2">
        <f>Database!Q9</f>
        <v>0</v>
      </c>
      <c r="C9" s="2" t="str">
        <f t="shared" si="0"/>
        <v>-</v>
      </c>
      <c r="D9" s="2" t="str">
        <f>IF(B9="Y",Database!K9,"-")</f>
        <v>-</v>
      </c>
      <c r="E9" s="2">
        <f>IF(AND(D9&gt;1,B9="Y"),Database!L9/D9,Database!L9)</f>
        <v>0</v>
      </c>
    </row>
    <row r="10" spans="1:5" x14ac:dyDescent="0.35">
      <c r="A10">
        <f>Database!A10</f>
        <v>9</v>
      </c>
      <c r="B10" s="2">
        <f>Database!Q10</f>
        <v>0</v>
      </c>
      <c r="C10" s="2" t="str">
        <f t="shared" si="0"/>
        <v>-</v>
      </c>
      <c r="D10" s="2" t="str">
        <f>IF(B10="Y",Database!K10,"-")</f>
        <v>-</v>
      </c>
      <c r="E10" s="2">
        <f>IF(AND(D10&gt;1,B10="Y"),Database!L10/D10,Database!L10)</f>
        <v>0</v>
      </c>
    </row>
    <row r="11" spans="1:5" x14ac:dyDescent="0.35">
      <c r="A11">
        <f>Database!A11</f>
        <v>10</v>
      </c>
      <c r="B11" s="2">
        <f>Database!Q11</f>
        <v>0</v>
      </c>
      <c r="C11" s="2" t="str">
        <f t="shared" si="0"/>
        <v>-</v>
      </c>
      <c r="D11" s="2" t="str">
        <f>IF(B11="Y",Database!K11,"-")</f>
        <v>-</v>
      </c>
      <c r="E11" s="2">
        <f>IF(AND(D11&gt;1,B11="Y"),Database!L11/D11,Database!L11)</f>
        <v>0</v>
      </c>
    </row>
    <row r="12" spans="1:5" x14ac:dyDescent="0.35">
      <c r="A12">
        <f>Database!A12</f>
        <v>11</v>
      </c>
      <c r="B12" s="2">
        <f>Database!Q12</f>
        <v>0</v>
      </c>
      <c r="C12" s="2" t="str">
        <f t="shared" si="0"/>
        <v>-</v>
      </c>
      <c r="D12" s="2" t="str">
        <f>IF(B12="Y",Database!K12,"-")</f>
        <v>-</v>
      </c>
      <c r="E12" s="2">
        <f>IF(AND(D12&gt;1,B12="Y"),Database!L12/D12,Database!L12)</f>
        <v>0</v>
      </c>
    </row>
    <row r="13" spans="1:5" x14ac:dyDescent="0.35">
      <c r="A13">
        <f>Database!A13</f>
        <v>12</v>
      </c>
      <c r="B13" s="2">
        <f>Database!Q13</f>
        <v>0</v>
      </c>
      <c r="C13" s="2" t="str">
        <f t="shared" si="0"/>
        <v>-</v>
      </c>
      <c r="D13" s="2" t="str">
        <f>IF(B13="Y",Database!K13,"-")</f>
        <v>-</v>
      </c>
      <c r="E13" s="2">
        <f>IF(AND(D13&gt;1,B13="Y"),Database!L13/D13,Database!L13)</f>
        <v>0</v>
      </c>
    </row>
    <row r="14" spans="1:5" x14ac:dyDescent="0.35">
      <c r="A14">
        <f>Database!A14</f>
        <v>13</v>
      </c>
      <c r="B14" s="2">
        <f>Database!Q14</f>
        <v>0</v>
      </c>
      <c r="C14" s="2" t="str">
        <f t="shared" si="0"/>
        <v>-</v>
      </c>
      <c r="D14" s="2" t="str">
        <f>IF(B14="Y",Database!K14,"-")</f>
        <v>-</v>
      </c>
      <c r="E14" s="2">
        <f>IF(AND(D14&gt;1,B14="Y"),Database!L14/D14,Database!L14)</f>
        <v>0</v>
      </c>
    </row>
    <row r="15" spans="1:5" x14ac:dyDescent="0.35">
      <c r="A15">
        <f>Database!A15</f>
        <v>14</v>
      </c>
      <c r="B15" s="2">
        <f>Database!Q15</f>
        <v>0</v>
      </c>
      <c r="C15" s="2" t="str">
        <f t="shared" si="0"/>
        <v>-</v>
      </c>
      <c r="D15" s="2" t="str">
        <f>IF(B15="Y",Database!K15,"-")</f>
        <v>-</v>
      </c>
      <c r="E15" s="2">
        <f>IF(AND(D15&gt;1,B15="Y"),Database!L15/D15,Database!L15)</f>
        <v>0</v>
      </c>
    </row>
    <row r="16" spans="1:5" x14ac:dyDescent="0.35">
      <c r="A16">
        <f>Database!A16</f>
        <v>15</v>
      </c>
      <c r="B16" s="2">
        <f>Database!Q16</f>
        <v>0</v>
      </c>
      <c r="C16" s="2" t="str">
        <f t="shared" si="0"/>
        <v>-</v>
      </c>
      <c r="D16" s="2" t="str">
        <f>IF(B16="Y",Database!K16,"-")</f>
        <v>-</v>
      </c>
      <c r="E16" s="2">
        <f>IF(AND(D16&gt;1,B16="Y"),Database!L16/D16,Database!L16)</f>
        <v>0</v>
      </c>
    </row>
    <row r="17" spans="1:5" x14ac:dyDescent="0.35">
      <c r="A17">
        <f>Database!A17</f>
        <v>16</v>
      </c>
      <c r="B17" s="2">
        <f>Database!Q17</f>
        <v>0</v>
      </c>
      <c r="C17" s="2" t="str">
        <f t="shared" si="0"/>
        <v>-</v>
      </c>
      <c r="D17" s="2" t="str">
        <f>IF(B17="Y",Database!K17,"-")</f>
        <v>-</v>
      </c>
      <c r="E17" s="2">
        <f>IF(AND(D17&gt;1,B17="Y"),Database!L17/D17,Database!L17)</f>
        <v>0</v>
      </c>
    </row>
    <row r="18" spans="1:5" x14ac:dyDescent="0.35">
      <c r="A18">
        <f>Database!A18</f>
        <v>17</v>
      </c>
      <c r="B18" s="2">
        <f>Database!Q18</f>
        <v>0</v>
      </c>
      <c r="C18" s="2" t="str">
        <f t="shared" si="0"/>
        <v>-</v>
      </c>
      <c r="D18" s="2" t="str">
        <f>IF(B18="Y",Database!K18,"-")</f>
        <v>-</v>
      </c>
      <c r="E18" s="2">
        <f>IF(AND(D18&gt;1,B18="Y"),Database!L18/D18,Database!L18)</f>
        <v>0</v>
      </c>
    </row>
    <row r="19" spans="1:5" x14ac:dyDescent="0.35">
      <c r="A19">
        <f>Database!A19</f>
        <v>18</v>
      </c>
      <c r="B19" s="2">
        <f>Database!Q19</f>
        <v>0</v>
      </c>
      <c r="C19" s="2" t="str">
        <f t="shared" si="0"/>
        <v>-</v>
      </c>
      <c r="D19" s="2" t="str">
        <f>IF(B19="Y",Database!K19,"-")</f>
        <v>-</v>
      </c>
      <c r="E19" s="2">
        <f>IF(AND(D19&gt;1,B19="Y"),Database!L19/D19,Database!L19)</f>
        <v>0</v>
      </c>
    </row>
    <row r="20" spans="1:5" x14ac:dyDescent="0.35">
      <c r="A20">
        <f>Database!A20</f>
        <v>19</v>
      </c>
      <c r="B20" s="2">
        <f>Database!Q20</f>
        <v>0</v>
      </c>
      <c r="C20" s="2" t="str">
        <f t="shared" si="0"/>
        <v>-</v>
      </c>
      <c r="D20" s="2" t="str">
        <f>IF(B20="Y",Database!K20,"-")</f>
        <v>-</v>
      </c>
      <c r="E20" s="2">
        <f>IF(AND(D20&gt;1,B20="Y"),Database!L20/D20,Database!L20)</f>
        <v>0</v>
      </c>
    </row>
    <row r="21" spans="1:5" x14ac:dyDescent="0.35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5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5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5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5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5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5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5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5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5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5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5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5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5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5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5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5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5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5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5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5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5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5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5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5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5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5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tabSelected="1" workbookViewId="0">
      <pane ySplit="1" topLeftCell="A71" activePane="bottomLeft" state="frozen"/>
      <selection pane="bottomLeft" activeCell="P167" sqref="P167"/>
    </sheetView>
  </sheetViews>
  <sheetFormatPr defaultRowHeight="14.5" x14ac:dyDescent="0.35"/>
  <cols>
    <col min="1" max="1" width="10.08984375" bestFit="1" customWidth="1"/>
    <col min="2" max="2" width="10.08984375" style="159" customWidth="1"/>
    <col min="3" max="3" width="3.54296875" style="19" customWidth="1"/>
    <col min="4" max="14" width="3.54296875" style="2" customWidth="1"/>
  </cols>
  <sheetData>
    <row r="1" spans="1:14" ht="15" customHeight="1" thickBot="1" x14ac:dyDescent="0.4">
      <c r="A1" s="77" t="str">
        <f>booking!C1</f>
        <v>dato</v>
      </c>
      <c r="B1" s="158" t="s">
        <v>195</v>
      </c>
      <c r="C1" s="106" t="s">
        <v>143</v>
      </c>
      <c r="D1" s="107" t="s">
        <v>144</v>
      </c>
      <c r="E1" s="108" t="s">
        <v>145</v>
      </c>
      <c r="F1" s="105" t="s">
        <v>146</v>
      </c>
      <c r="G1" s="108" t="s">
        <v>147</v>
      </c>
      <c r="H1" s="105" t="s">
        <v>148</v>
      </c>
      <c r="I1" s="108" t="s">
        <v>149</v>
      </c>
      <c r="J1" s="105" t="s">
        <v>150</v>
      </c>
      <c r="K1" s="108" t="s">
        <v>151</v>
      </c>
      <c r="L1" s="105" t="s">
        <v>152</v>
      </c>
      <c r="M1" s="108" t="s">
        <v>153</v>
      </c>
      <c r="N1" s="105" t="s">
        <v>154</v>
      </c>
    </row>
    <row r="2" spans="1:14" x14ac:dyDescent="0.35">
      <c r="A2" s="5">
        <f>booking!C2</f>
        <v>46503</v>
      </c>
      <c r="B2" s="159">
        <f>IF(booking!A2=0,"",booking!A2)</f>
        <v>18</v>
      </c>
      <c r="C2" s="138" t="str">
        <f>IF(booking!D2&gt;0,"oc","va")</f>
        <v>va</v>
      </c>
      <c r="D2" s="139" t="str">
        <f>IF(booking!E2&gt;0,"oc","va")</f>
        <v>va</v>
      </c>
      <c r="E2" s="138" t="str">
        <f>IF(booking!H2&gt;0,"oc","va")</f>
        <v>va</v>
      </c>
      <c r="F2" s="139" t="str">
        <f>IF(booking!I2&gt;0,"oc","va")</f>
        <v>va</v>
      </c>
      <c r="G2" s="138" t="str">
        <f>IF(booking!L2&gt;0,"oc","va")</f>
        <v>va</v>
      </c>
      <c r="H2" s="139" t="str">
        <f>IF(booking!M2&gt;0,"oc","va")</f>
        <v>va</v>
      </c>
      <c r="I2" s="138" t="str">
        <f>IF(booking!P2&gt;0,"oc","va")</f>
        <v>va</v>
      </c>
      <c r="J2" s="139" t="str">
        <f>IF(booking!Q2&gt;0,"oc","va")</f>
        <v>va</v>
      </c>
      <c r="K2" s="138" t="str">
        <f>IF(booking!T2&gt;0,"oc","va")</f>
        <v>va</v>
      </c>
      <c r="L2" s="139" t="str">
        <f>IF(booking!U2&gt;0,"oc","va")</f>
        <v>va</v>
      </c>
      <c r="M2" s="138" t="str">
        <f>IF(booking!X2&gt;0,"oc","va")</f>
        <v>va</v>
      </c>
      <c r="N2" s="139" t="str">
        <f>IF(booking!Y2&gt;0,"oc","va")</f>
        <v>va</v>
      </c>
    </row>
    <row r="3" spans="1:14" x14ac:dyDescent="0.35">
      <c r="A3" s="5">
        <f>booking!C3</f>
        <v>46504</v>
      </c>
      <c r="B3" s="159" t="str">
        <f>IF(booking!A3=0,"",booking!A3)</f>
        <v/>
      </c>
      <c r="C3" s="138" t="str">
        <f>IF(booking!D3&gt;0,"oc","va")</f>
        <v>va</v>
      </c>
      <c r="D3" s="139" t="str">
        <f>IF(booking!E3&gt;0,"oc","va")</f>
        <v>va</v>
      </c>
      <c r="E3" s="138" t="str">
        <f>IF(booking!H3&gt;0,"oc","va")</f>
        <v>va</v>
      </c>
      <c r="F3" s="139" t="str">
        <f>IF(booking!I3&gt;0,"oc","va")</f>
        <v>va</v>
      </c>
      <c r="G3" s="138" t="str">
        <f>IF(booking!L3&gt;0,"oc","va")</f>
        <v>va</v>
      </c>
      <c r="H3" s="139" t="str">
        <f>IF(booking!M3&gt;0,"oc","va")</f>
        <v>va</v>
      </c>
      <c r="I3" s="138" t="str">
        <f>IF(booking!P3&gt;0,"oc","va")</f>
        <v>va</v>
      </c>
      <c r="J3" s="139" t="str">
        <f>IF(booking!Q3&gt;0,"oc","va")</f>
        <v>va</v>
      </c>
      <c r="K3" s="138" t="str">
        <f>IF(booking!T3&gt;0,"oc","va")</f>
        <v>va</v>
      </c>
      <c r="L3" s="139" t="str">
        <f>IF(booking!U3&gt;0,"oc","va")</f>
        <v>va</v>
      </c>
      <c r="M3" s="138" t="str">
        <f>IF(booking!X3&gt;0,"oc","va")</f>
        <v>va</v>
      </c>
      <c r="N3" s="139" t="str">
        <f>IF(booking!Y3&gt;0,"oc","va")</f>
        <v>va</v>
      </c>
    </row>
    <row r="4" spans="1:14" x14ac:dyDescent="0.35">
      <c r="A4" s="5">
        <f>booking!C4</f>
        <v>46505</v>
      </c>
      <c r="B4" s="159" t="str">
        <f>IF(booking!A4=0,"",booking!A4)</f>
        <v/>
      </c>
      <c r="C4" s="138" t="str">
        <f>IF(booking!D4&gt;0,"oc","va")</f>
        <v>va</v>
      </c>
      <c r="D4" s="139" t="str">
        <f>IF(booking!E4&gt;0,"oc","va")</f>
        <v>va</v>
      </c>
      <c r="E4" s="138" t="str">
        <f>IF(booking!H4&gt;0,"oc","va")</f>
        <v>va</v>
      </c>
      <c r="F4" s="139" t="str">
        <f>IF(booking!I4&gt;0,"oc","va")</f>
        <v>va</v>
      </c>
      <c r="G4" s="138" t="str">
        <f>IF(booking!L4&gt;0,"oc","va")</f>
        <v>va</v>
      </c>
      <c r="H4" s="139" t="str">
        <f>IF(booking!M4&gt;0,"oc","va")</f>
        <v>va</v>
      </c>
      <c r="I4" s="138" t="str">
        <f>IF(booking!P4&gt;0,"oc","va")</f>
        <v>va</v>
      </c>
      <c r="J4" s="139" t="str">
        <f>IF(booking!Q4&gt;0,"oc","va")</f>
        <v>va</v>
      </c>
      <c r="K4" s="138" t="str">
        <f>IF(booking!T4&gt;0,"oc","va")</f>
        <v>va</v>
      </c>
      <c r="L4" s="139" t="str">
        <f>IF(booking!U4&gt;0,"oc","va")</f>
        <v>va</v>
      </c>
      <c r="M4" s="138" t="str">
        <f>IF(booking!X4&gt;0,"oc","va")</f>
        <v>va</v>
      </c>
      <c r="N4" s="139" t="str">
        <f>IF(booking!Y4&gt;0,"oc","va")</f>
        <v>va</v>
      </c>
    </row>
    <row r="5" spans="1:14" x14ac:dyDescent="0.35">
      <c r="A5" s="5">
        <f>booking!C5</f>
        <v>46506</v>
      </c>
      <c r="B5" s="159" t="str">
        <f>IF(booking!A5=0,"",booking!A5)</f>
        <v/>
      </c>
      <c r="C5" s="138" t="str">
        <f>IF(booking!D5&gt;0,"oc","va")</f>
        <v>va</v>
      </c>
      <c r="D5" s="139" t="str">
        <f>IF(booking!E5&gt;0,"oc","va")</f>
        <v>va</v>
      </c>
      <c r="E5" s="138" t="str">
        <f>IF(booking!H5&gt;0,"oc","va")</f>
        <v>va</v>
      </c>
      <c r="F5" s="139" t="str">
        <f>IF(booking!I5&gt;0,"oc","va")</f>
        <v>va</v>
      </c>
      <c r="G5" s="138" t="str">
        <f>IF(booking!L5&gt;0,"oc","va")</f>
        <v>va</v>
      </c>
      <c r="H5" s="139" t="str">
        <f>IF(booking!M5&gt;0,"oc","va")</f>
        <v>va</v>
      </c>
      <c r="I5" s="138" t="str">
        <f>IF(booking!P5&gt;0,"oc","va")</f>
        <v>va</v>
      </c>
      <c r="J5" s="139" t="str">
        <f>IF(booking!Q5&gt;0,"oc","va")</f>
        <v>va</v>
      </c>
      <c r="K5" s="138" t="str">
        <f>IF(booking!T5&gt;0,"oc","va")</f>
        <v>va</v>
      </c>
      <c r="L5" s="139" t="str">
        <f>IF(booking!U5&gt;0,"oc","va")</f>
        <v>va</v>
      </c>
      <c r="M5" s="138" t="str">
        <f>IF(booking!X5&gt;0,"oc","va")</f>
        <v>va</v>
      </c>
      <c r="N5" s="139" t="str">
        <f>IF(booking!Y5&gt;0,"oc","va")</f>
        <v>va</v>
      </c>
    </row>
    <row r="6" spans="1:14" x14ac:dyDescent="0.35">
      <c r="A6" s="5">
        <f>booking!C6</f>
        <v>46507</v>
      </c>
      <c r="B6" s="159" t="str">
        <f>IF(booking!A6=0,"",booking!A6)</f>
        <v/>
      </c>
      <c r="C6" s="138" t="str">
        <f>IF(booking!D6&gt;0,"oc","va")</f>
        <v>va</v>
      </c>
      <c r="D6" s="139" t="str">
        <f>IF(booking!E6&gt;0,"oc","va")</f>
        <v>va</v>
      </c>
      <c r="E6" s="138" t="str">
        <f>IF(booking!H6&gt;0,"oc","va")</f>
        <v>va</v>
      </c>
      <c r="F6" s="139" t="str">
        <f>IF(booking!I6&gt;0,"oc","va")</f>
        <v>va</v>
      </c>
      <c r="G6" s="138" t="str">
        <f>IF(booking!L6&gt;0,"oc","va")</f>
        <v>va</v>
      </c>
      <c r="H6" s="139" t="str">
        <f>IF(booking!M6&gt;0,"oc","va")</f>
        <v>va</v>
      </c>
      <c r="I6" s="138" t="str">
        <f>IF(booking!P6&gt;0,"oc","va")</f>
        <v>va</v>
      </c>
      <c r="J6" s="139" t="str">
        <f>IF(booking!Q6&gt;0,"oc","va")</f>
        <v>va</v>
      </c>
      <c r="K6" s="138" t="str">
        <f>IF(booking!T6&gt;0,"oc","va")</f>
        <v>va</v>
      </c>
      <c r="L6" s="139" t="str">
        <f>IF(booking!U6&gt;0,"oc","va")</f>
        <v>va</v>
      </c>
      <c r="M6" s="138" t="str">
        <f>IF(booking!X6&gt;0,"oc","va")</f>
        <v>va</v>
      </c>
      <c r="N6" s="139" t="str">
        <f>IF(booking!Y6&gt;0,"oc","va")</f>
        <v>va</v>
      </c>
    </row>
    <row r="7" spans="1:14" x14ac:dyDescent="0.35">
      <c r="A7" s="5">
        <f>booking!C7</f>
        <v>46508</v>
      </c>
      <c r="B7" s="159" t="str">
        <f>IF(booking!A7=0,"",booking!A7)</f>
        <v/>
      </c>
      <c r="C7" s="138" t="str">
        <f>IF(booking!D7&gt;0,"oc","va")</f>
        <v>va</v>
      </c>
      <c r="D7" s="139" t="str">
        <f>IF(booking!E7&gt;0,"oc","va")</f>
        <v>va</v>
      </c>
      <c r="E7" s="138" t="str">
        <f>IF(booking!H7&gt;0,"oc","va")</f>
        <v>va</v>
      </c>
      <c r="F7" s="139" t="str">
        <f>IF(booking!I7&gt;0,"oc","va")</f>
        <v>va</v>
      </c>
      <c r="G7" s="138" t="str">
        <f>IF(booking!L7&gt;0,"oc","va")</f>
        <v>va</v>
      </c>
      <c r="H7" s="139" t="str">
        <f>IF(booking!M7&gt;0,"oc","va")</f>
        <v>va</v>
      </c>
      <c r="I7" s="138" t="str">
        <f>IF(booking!P7&gt;0,"oc","va")</f>
        <v>va</v>
      </c>
      <c r="J7" s="139" t="str">
        <f>IF(booking!Q7&gt;0,"oc","va")</f>
        <v>va</v>
      </c>
      <c r="K7" s="138" t="str">
        <f>IF(booking!T7&gt;0,"oc","va")</f>
        <v>va</v>
      </c>
      <c r="L7" s="139" t="str">
        <f>IF(booking!U7&gt;0,"oc","va")</f>
        <v>va</v>
      </c>
      <c r="M7" s="138" t="str">
        <f>IF(booking!X7&gt;0,"oc","va")</f>
        <v>va</v>
      </c>
      <c r="N7" s="139" t="str">
        <f>IF(booking!Y7&gt;0,"oc","va")</f>
        <v>va</v>
      </c>
    </row>
    <row r="8" spans="1:14" x14ac:dyDescent="0.35">
      <c r="A8" s="5">
        <f>booking!C8</f>
        <v>46509</v>
      </c>
      <c r="B8" s="159" t="str">
        <f>IF(booking!A8=0,"",booking!A8)</f>
        <v/>
      </c>
      <c r="C8" s="138" t="str">
        <f>IF(booking!D8&gt;0,"oc","va")</f>
        <v>va</v>
      </c>
      <c r="D8" s="139" t="str">
        <f>IF(booking!E8&gt;0,"oc","va")</f>
        <v>va</v>
      </c>
      <c r="E8" s="138" t="str">
        <f>IF(booking!H8&gt;0,"oc","va")</f>
        <v>va</v>
      </c>
      <c r="F8" s="139" t="str">
        <f>IF(booking!I8&gt;0,"oc","va")</f>
        <v>va</v>
      </c>
      <c r="G8" s="138" t="str">
        <f>IF(booking!L8&gt;0,"oc","va")</f>
        <v>va</v>
      </c>
      <c r="H8" s="139" t="str">
        <f>IF(booking!M8&gt;0,"oc","va")</f>
        <v>va</v>
      </c>
      <c r="I8" s="138" t="str">
        <f>IF(booking!P8&gt;0,"oc","va")</f>
        <v>va</v>
      </c>
      <c r="J8" s="139" t="str">
        <f>IF(booking!Q8&gt;0,"oc","va")</f>
        <v>va</v>
      </c>
      <c r="K8" s="138" t="str">
        <f>IF(booking!T8&gt;0,"oc","va")</f>
        <v>va</v>
      </c>
      <c r="L8" s="139" t="str">
        <f>IF(booking!U8&gt;0,"oc","va")</f>
        <v>va</v>
      </c>
      <c r="M8" s="138" t="str">
        <f>IF(booking!X8&gt;0,"oc","va")</f>
        <v>va</v>
      </c>
      <c r="N8" s="139" t="str">
        <f>IF(booking!Y8&gt;0,"oc","va")</f>
        <v>va</v>
      </c>
    </row>
    <row r="9" spans="1:14" x14ac:dyDescent="0.35">
      <c r="A9" s="5">
        <f>booking!C9</f>
        <v>46510</v>
      </c>
      <c r="B9" s="159">
        <f>IF(booking!A9=0,"",booking!A9)</f>
        <v>19</v>
      </c>
      <c r="C9" s="138" t="str">
        <f>IF(booking!D9&gt;0,"oc","va")</f>
        <v>va</v>
      </c>
      <c r="D9" s="139" t="str">
        <f>IF(booking!E9&gt;0,"oc","va")</f>
        <v>va</v>
      </c>
      <c r="E9" s="138" t="str">
        <f>IF(booking!H9&gt;0,"oc","va")</f>
        <v>va</v>
      </c>
      <c r="F9" s="139" t="str">
        <f>IF(booking!I9&gt;0,"oc","va")</f>
        <v>va</v>
      </c>
      <c r="G9" s="138" t="str">
        <f>IF(booking!L9&gt;0,"oc","va")</f>
        <v>va</v>
      </c>
      <c r="H9" s="139" t="str">
        <f>IF(booking!M9&gt;0,"oc","va")</f>
        <v>va</v>
      </c>
      <c r="I9" s="138" t="str">
        <f>IF(booking!P9&gt;0,"oc","va")</f>
        <v>va</v>
      </c>
      <c r="J9" s="139" t="str">
        <f>IF(booking!Q9&gt;0,"oc","va")</f>
        <v>va</v>
      </c>
      <c r="K9" s="138" t="str">
        <f>IF(booking!T9&gt;0,"oc","va")</f>
        <v>va</v>
      </c>
      <c r="L9" s="139" t="str">
        <f>IF(booking!U9&gt;0,"oc","va")</f>
        <v>va</v>
      </c>
      <c r="M9" s="138" t="str">
        <f>IF(booking!X9&gt;0,"oc","va")</f>
        <v>va</v>
      </c>
      <c r="N9" s="139" t="str">
        <f>IF(booking!Y9&gt;0,"oc","va")</f>
        <v>va</v>
      </c>
    </row>
    <row r="10" spans="1:14" x14ac:dyDescent="0.35">
      <c r="A10" s="5">
        <f>booking!C10</f>
        <v>46511</v>
      </c>
      <c r="B10" s="159" t="str">
        <f>IF(booking!A10=0,"",booking!A10)</f>
        <v/>
      </c>
      <c r="C10" s="138" t="str">
        <f>IF(booking!D10&gt;0,"oc","va")</f>
        <v>va</v>
      </c>
      <c r="D10" s="139" t="str">
        <f>IF(booking!E10&gt;0,"oc","va")</f>
        <v>va</v>
      </c>
      <c r="E10" s="138" t="str">
        <f>IF(booking!H10&gt;0,"oc","va")</f>
        <v>va</v>
      </c>
      <c r="F10" s="139" t="str">
        <f>IF(booking!I10&gt;0,"oc","va")</f>
        <v>va</v>
      </c>
      <c r="G10" s="138" t="str">
        <f>IF(booking!L10&gt;0,"oc","va")</f>
        <v>va</v>
      </c>
      <c r="H10" s="139" t="str">
        <f>IF(booking!M10&gt;0,"oc","va")</f>
        <v>va</v>
      </c>
      <c r="I10" s="138" t="str">
        <f>IF(booking!P10&gt;0,"oc","va")</f>
        <v>va</v>
      </c>
      <c r="J10" s="139" t="str">
        <f>IF(booking!Q10&gt;0,"oc","va")</f>
        <v>va</v>
      </c>
      <c r="K10" s="138" t="str">
        <f>IF(booking!T10&gt;0,"oc","va")</f>
        <v>va</v>
      </c>
      <c r="L10" s="139" t="str">
        <f>IF(booking!U10&gt;0,"oc","va")</f>
        <v>va</v>
      </c>
      <c r="M10" s="138" t="str">
        <f>IF(booking!X10&gt;0,"oc","va")</f>
        <v>va</v>
      </c>
      <c r="N10" s="139" t="str">
        <f>IF(booking!Y10&gt;0,"oc","va")</f>
        <v>va</v>
      </c>
    </row>
    <row r="11" spans="1:14" x14ac:dyDescent="0.35">
      <c r="A11" s="5">
        <f>booking!C11</f>
        <v>46512</v>
      </c>
      <c r="B11" s="159" t="str">
        <f>IF(booking!A11=0,"",booking!A11)</f>
        <v/>
      </c>
      <c r="C11" s="138" t="str">
        <f>IF(booking!D11&gt;0,"oc","va")</f>
        <v>va</v>
      </c>
      <c r="D11" s="139" t="str">
        <f>IF(booking!E11&gt;0,"oc","va")</f>
        <v>va</v>
      </c>
      <c r="E11" s="138" t="str">
        <f>IF(booking!H11&gt;0,"oc","va")</f>
        <v>va</v>
      </c>
      <c r="F11" s="139" t="str">
        <f>IF(booking!I11&gt;0,"oc","va")</f>
        <v>va</v>
      </c>
      <c r="G11" s="138" t="str">
        <f>IF(booking!L11&gt;0,"oc","va")</f>
        <v>va</v>
      </c>
      <c r="H11" s="139" t="str">
        <f>IF(booking!M11&gt;0,"oc","va")</f>
        <v>va</v>
      </c>
      <c r="I11" s="138" t="str">
        <f>IF(booking!P11&gt;0,"oc","va")</f>
        <v>va</v>
      </c>
      <c r="J11" s="139" t="str">
        <f>IF(booking!Q11&gt;0,"oc","va")</f>
        <v>va</v>
      </c>
      <c r="K11" s="138" t="str">
        <f>IF(booking!T11&gt;0,"oc","va")</f>
        <v>va</v>
      </c>
      <c r="L11" s="139" t="str">
        <f>IF(booking!U11&gt;0,"oc","va")</f>
        <v>va</v>
      </c>
      <c r="M11" s="138" t="str">
        <f>IF(booking!X11&gt;0,"oc","va")</f>
        <v>va</v>
      </c>
      <c r="N11" s="139" t="str">
        <f>IF(booking!Y11&gt;0,"oc","va")</f>
        <v>va</v>
      </c>
    </row>
    <row r="12" spans="1:14" x14ac:dyDescent="0.35">
      <c r="A12" s="5">
        <f>booking!C12</f>
        <v>46513</v>
      </c>
      <c r="B12" s="159" t="str">
        <f>IF(booking!A12=0,"",booking!A12)</f>
        <v>Kristi himmel</v>
      </c>
      <c r="C12" s="138" t="str">
        <f>IF(booking!D12&gt;0,"oc","va")</f>
        <v>va</v>
      </c>
      <c r="D12" s="139" t="str">
        <f>IF(booking!E12&gt;0,"oc","va")</f>
        <v>va</v>
      </c>
      <c r="E12" s="138" t="str">
        <f>IF(booking!H12&gt;0,"oc","va")</f>
        <v>va</v>
      </c>
      <c r="F12" s="139" t="str">
        <f>IF(booking!I12&gt;0,"oc","va")</f>
        <v>va</v>
      </c>
      <c r="G12" s="138" t="str">
        <f>IF(booking!L12&gt;0,"oc","va")</f>
        <v>va</v>
      </c>
      <c r="H12" s="139" t="str">
        <f>IF(booking!M12&gt;0,"oc","va")</f>
        <v>va</v>
      </c>
      <c r="I12" s="138" t="str">
        <f>IF(booking!P12&gt;0,"oc","va")</f>
        <v>va</v>
      </c>
      <c r="J12" s="139" t="str">
        <f>IF(booking!Q12&gt;0,"oc","va")</f>
        <v>va</v>
      </c>
      <c r="K12" s="138" t="str">
        <f>IF(booking!T12&gt;0,"oc","va")</f>
        <v>va</v>
      </c>
      <c r="L12" s="139" t="str">
        <f>IF(booking!U12&gt;0,"oc","va")</f>
        <v>va</v>
      </c>
      <c r="M12" s="138" t="str">
        <f>IF(booking!X12&gt;0,"oc","va")</f>
        <v>va</v>
      </c>
      <c r="N12" s="139" t="str">
        <f>IF(booking!Y12&gt;0,"oc","va")</f>
        <v>va</v>
      </c>
    </row>
    <row r="13" spans="1:14" x14ac:dyDescent="0.35">
      <c r="A13" s="5">
        <f>booking!C13</f>
        <v>46514</v>
      </c>
      <c r="B13" s="159" t="str">
        <f>IF(booking!A13=0,"",booking!A13)</f>
        <v/>
      </c>
      <c r="C13" s="138" t="str">
        <f>IF(booking!D13&gt;0,"oc","va")</f>
        <v>va</v>
      </c>
      <c r="D13" s="139" t="str">
        <f>IF(booking!E13&gt;0,"oc","va")</f>
        <v>va</v>
      </c>
      <c r="E13" s="138" t="str">
        <f>IF(booking!H13&gt;0,"oc","va")</f>
        <v>va</v>
      </c>
      <c r="F13" s="139" t="str">
        <f>IF(booking!I13&gt;0,"oc","va")</f>
        <v>va</v>
      </c>
      <c r="G13" s="138" t="str">
        <f>IF(booking!L13&gt;0,"oc","va")</f>
        <v>va</v>
      </c>
      <c r="H13" s="139" t="str">
        <f>IF(booking!M13&gt;0,"oc","va")</f>
        <v>va</v>
      </c>
      <c r="I13" s="138" t="str">
        <f>IF(booking!P13&gt;0,"oc","va")</f>
        <v>va</v>
      </c>
      <c r="J13" s="139" t="str">
        <f>IF(booking!Q13&gt;0,"oc","va")</f>
        <v>va</v>
      </c>
      <c r="K13" s="138" t="str">
        <f>IF(booking!T13&gt;0,"oc","va")</f>
        <v>va</v>
      </c>
      <c r="L13" s="139" t="str">
        <f>IF(booking!U13&gt;0,"oc","va")</f>
        <v>va</v>
      </c>
      <c r="M13" s="138" t="str">
        <f>IF(booking!X13&gt;0,"oc","va")</f>
        <v>va</v>
      </c>
      <c r="N13" s="139" t="str">
        <f>IF(booking!Y13&gt;0,"oc","va")</f>
        <v>va</v>
      </c>
    </row>
    <row r="14" spans="1:14" x14ac:dyDescent="0.35">
      <c r="A14" s="5">
        <f>booking!C14</f>
        <v>46515</v>
      </c>
      <c r="B14" s="159" t="str">
        <f>IF(booking!A14=0,"",booking!A14)</f>
        <v/>
      </c>
      <c r="C14" s="138" t="str">
        <f>IF(booking!D14&gt;0,"oc","va")</f>
        <v>va</v>
      </c>
      <c r="D14" s="139" t="str">
        <f>IF(booking!E14&gt;0,"oc","va")</f>
        <v>va</v>
      </c>
      <c r="E14" s="138" t="str">
        <f>IF(booking!H14&gt;0,"oc","va")</f>
        <v>va</v>
      </c>
      <c r="F14" s="139" t="str">
        <f>IF(booking!I14&gt;0,"oc","va")</f>
        <v>va</v>
      </c>
      <c r="G14" s="138" t="str">
        <f>IF(booking!L14&gt;0,"oc","va")</f>
        <v>va</v>
      </c>
      <c r="H14" s="139" t="str">
        <f>IF(booking!M14&gt;0,"oc","va")</f>
        <v>va</v>
      </c>
      <c r="I14" s="138" t="str">
        <f>IF(booking!P14&gt;0,"oc","va")</f>
        <v>va</v>
      </c>
      <c r="J14" s="139" t="str">
        <f>IF(booking!Q14&gt;0,"oc","va")</f>
        <v>va</v>
      </c>
      <c r="K14" s="138" t="str">
        <f>IF(booking!T14&gt;0,"oc","va")</f>
        <v>va</v>
      </c>
      <c r="L14" s="139" t="str">
        <f>IF(booking!U14&gt;0,"oc","va")</f>
        <v>va</v>
      </c>
      <c r="M14" s="138" t="str">
        <f>IF(booking!X14&gt;0,"oc","va")</f>
        <v>va</v>
      </c>
      <c r="N14" s="139" t="str">
        <f>IF(booking!Y14&gt;0,"oc","va")</f>
        <v>va</v>
      </c>
    </row>
    <row r="15" spans="1:14" x14ac:dyDescent="0.35">
      <c r="A15" s="5">
        <f>booking!C15</f>
        <v>46516</v>
      </c>
      <c r="B15" s="159" t="str">
        <f>IF(booking!A15=0,"",booking!A15)</f>
        <v/>
      </c>
      <c r="C15" s="138" t="str">
        <f>IF(booking!D15&gt;0,"oc","va")</f>
        <v>va</v>
      </c>
      <c r="D15" s="139" t="str">
        <f>IF(booking!E15&gt;0,"oc","va")</f>
        <v>va</v>
      </c>
      <c r="E15" s="138" t="str">
        <f>IF(booking!H15&gt;0,"oc","va")</f>
        <v>va</v>
      </c>
      <c r="F15" s="139" t="str">
        <f>IF(booking!I15&gt;0,"oc","va")</f>
        <v>va</v>
      </c>
      <c r="G15" s="138" t="str">
        <f>IF(booking!L15&gt;0,"oc","va")</f>
        <v>va</v>
      </c>
      <c r="H15" s="139" t="str">
        <f>IF(booking!M15&gt;0,"oc","va")</f>
        <v>va</v>
      </c>
      <c r="I15" s="138" t="str">
        <f>IF(booking!P15&gt;0,"oc","va")</f>
        <v>va</v>
      </c>
      <c r="J15" s="139" t="str">
        <f>IF(booking!Q15&gt;0,"oc","va")</f>
        <v>va</v>
      </c>
      <c r="K15" s="138" t="str">
        <f>IF(booking!T15&gt;0,"oc","va")</f>
        <v>va</v>
      </c>
      <c r="L15" s="139" t="str">
        <f>IF(booking!U15&gt;0,"oc","va")</f>
        <v>va</v>
      </c>
      <c r="M15" s="138" t="str">
        <f>IF(booking!X15&gt;0,"oc","va")</f>
        <v>va</v>
      </c>
      <c r="N15" s="139" t="str">
        <f>IF(booking!Y15&gt;0,"oc","va")</f>
        <v>va</v>
      </c>
    </row>
    <row r="16" spans="1:14" x14ac:dyDescent="0.35">
      <c r="A16" s="5">
        <f>booking!C16</f>
        <v>46517</v>
      </c>
      <c r="B16" s="159">
        <f>IF(booking!A16=0,"",booking!A16)</f>
        <v>20</v>
      </c>
      <c r="C16" s="138" t="str">
        <f>IF(booking!D16&gt;0,"oc","va")</f>
        <v>va</v>
      </c>
      <c r="D16" s="139" t="str">
        <f>IF(booking!E16&gt;0,"oc","va")</f>
        <v>va</v>
      </c>
      <c r="E16" s="138" t="str">
        <f>IF(booking!H16&gt;0,"oc","va")</f>
        <v>va</v>
      </c>
      <c r="F16" s="139" t="str">
        <f>IF(booking!I16&gt;0,"oc","va")</f>
        <v>va</v>
      </c>
      <c r="G16" s="138" t="str">
        <f>IF(booking!L16&gt;0,"oc","va")</f>
        <v>va</v>
      </c>
      <c r="H16" s="139" t="str">
        <f>IF(booking!M16&gt;0,"oc","va")</f>
        <v>va</v>
      </c>
      <c r="I16" s="138" t="str">
        <f>IF(booking!P16&gt;0,"oc","va")</f>
        <v>va</v>
      </c>
      <c r="J16" s="139" t="str">
        <f>IF(booking!Q16&gt;0,"oc","va")</f>
        <v>va</v>
      </c>
      <c r="K16" s="138" t="str">
        <f>IF(booking!T16&gt;0,"oc","va")</f>
        <v>va</v>
      </c>
      <c r="L16" s="139" t="str">
        <f>IF(booking!U16&gt;0,"oc","va")</f>
        <v>va</v>
      </c>
      <c r="M16" s="138" t="str">
        <f>IF(booking!X16&gt;0,"oc","va")</f>
        <v>va</v>
      </c>
      <c r="N16" s="139" t="str">
        <f>IF(booking!Y16&gt;0,"oc","va")</f>
        <v>va</v>
      </c>
    </row>
    <row r="17" spans="1:14" x14ac:dyDescent="0.35">
      <c r="A17" s="5">
        <f>booking!C17</f>
        <v>46518</v>
      </c>
      <c r="B17" s="159" t="str">
        <f>IF(booking!A17=0,"",booking!A17)</f>
        <v/>
      </c>
      <c r="C17" s="138" t="str">
        <f>IF(booking!D17&gt;0,"oc","va")</f>
        <v>va</v>
      </c>
      <c r="D17" s="139" t="str">
        <f>IF(booking!E17&gt;0,"oc","va")</f>
        <v>va</v>
      </c>
      <c r="E17" s="138" t="str">
        <f>IF(booking!H17&gt;0,"oc","va")</f>
        <v>va</v>
      </c>
      <c r="F17" s="139" t="str">
        <f>IF(booking!I17&gt;0,"oc","va")</f>
        <v>va</v>
      </c>
      <c r="G17" s="138" t="str">
        <f>IF(booking!L17&gt;0,"oc","va")</f>
        <v>va</v>
      </c>
      <c r="H17" s="139" t="str">
        <f>IF(booking!M17&gt;0,"oc","va")</f>
        <v>va</v>
      </c>
      <c r="I17" s="138" t="str">
        <f>IF(booking!P17&gt;0,"oc","va")</f>
        <v>va</v>
      </c>
      <c r="J17" s="139" t="str">
        <f>IF(booking!Q17&gt;0,"oc","va")</f>
        <v>va</v>
      </c>
      <c r="K17" s="138" t="str">
        <f>IF(booking!T17&gt;0,"oc","va")</f>
        <v>va</v>
      </c>
      <c r="L17" s="139" t="str">
        <f>IF(booking!U17&gt;0,"oc","va")</f>
        <v>va</v>
      </c>
      <c r="M17" s="138" t="str">
        <f>IF(booking!X17&gt;0,"oc","va")</f>
        <v>va</v>
      </c>
      <c r="N17" s="139" t="str">
        <f>IF(booking!Y17&gt;0,"oc","va")</f>
        <v>va</v>
      </c>
    </row>
    <row r="18" spans="1:14" x14ac:dyDescent="0.35">
      <c r="A18" s="5">
        <f>booking!C18</f>
        <v>46519</v>
      </c>
      <c r="B18" s="159" t="str">
        <f>IF(booking!A18=0,"",booking!A18)</f>
        <v/>
      </c>
      <c r="C18" s="138" t="str">
        <f>IF(booking!D18&gt;0,"oc","va")</f>
        <v>va</v>
      </c>
      <c r="D18" s="139" t="str">
        <f>IF(booking!E18&gt;0,"oc","va")</f>
        <v>va</v>
      </c>
      <c r="E18" s="138" t="str">
        <f>IF(booking!H18&gt;0,"oc","va")</f>
        <v>va</v>
      </c>
      <c r="F18" s="139" t="str">
        <f>IF(booking!I18&gt;0,"oc","va")</f>
        <v>va</v>
      </c>
      <c r="G18" s="138" t="str">
        <f>IF(booking!L18&gt;0,"oc","va")</f>
        <v>va</v>
      </c>
      <c r="H18" s="139" t="str">
        <f>IF(booking!M18&gt;0,"oc","va")</f>
        <v>va</v>
      </c>
      <c r="I18" s="138" t="str">
        <f>IF(booking!P18&gt;0,"oc","va")</f>
        <v>va</v>
      </c>
      <c r="J18" s="139" t="str">
        <f>IF(booking!Q18&gt;0,"oc","va")</f>
        <v>va</v>
      </c>
      <c r="K18" s="138" t="str">
        <f>IF(booking!T18&gt;0,"oc","va")</f>
        <v>va</v>
      </c>
      <c r="L18" s="139" t="str">
        <f>IF(booking!U18&gt;0,"oc","va")</f>
        <v>va</v>
      </c>
      <c r="M18" s="138" t="str">
        <f>IF(booking!X18&gt;0,"oc","va")</f>
        <v>va</v>
      </c>
      <c r="N18" s="139" t="str">
        <f>IF(booking!Y18&gt;0,"oc","va")</f>
        <v>va</v>
      </c>
    </row>
    <row r="19" spans="1:14" x14ac:dyDescent="0.35">
      <c r="A19" s="5">
        <f>booking!C19</f>
        <v>46520</v>
      </c>
      <c r="B19" s="159" t="str">
        <f>IF(booking!A19=0,"",booking!A19)</f>
        <v/>
      </c>
      <c r="C19" s="138" t="str">
        <f>IF(booking!D19&gt;0,"oc","va")</f>
        <v>va</v>
      </c>
      <c r="D19" s="139" t="str">
        <f>IF(booking!E19&gt;0,"oc","va")</f>
        <v>va</v>
      </c>
      <c r="E19" s="138" t="str">
        <f>IF(booking!H19&gt;0,"oc","va")</f>
        <v>va</v>
      </c>
      <c r="F19" s="139" t="str">
        <f>IF(booking!I19&gt;0,"oc","va")</f>
        <v>va</v>
      </c>
      <c r="G19" s="138" t="str">
        <f>IF(booking!L19&gt;0,"oc","va")</f>
        <v>va</v>
      </c>
      <c r="H19" s="139" t="str">
        <f>IF(booking!M19&gt;0,"oc","va")</f>
        <v>va</v>
      </c>
      <c r="I19" s="138" t="str">
        <f>IF(booking!P19&gt;0,"oc","va")</f>
        <v>va</v>
      </c>
      <c r="J19" s="139" t="str">
        <f>IF(booking!Q19&gt;0,"oc","va")</f>
        <v>va</v>
      </c>
      <c r="K19" s="138" t="str">
        <f>IF(booking!T19&gt;0,"oc","va")</f>
        <v>va</v>
      </c>
      <c r="L19" s="139" t="str">
        <f>IF(booking!U19&gt;0,"oc","va")</f>
        <v>va</v>
      </c>
      <c r="M19" s="138" t="str">
        <f>IF(booking!X19&gt;0,"oc","va")</f>
        <v>va</v>
      </c>
      <c r="N19" s="139" t="str">
        <f>IF(booking!Y19&gt;0,"oc","va")</f>
        <v>va</v>
      </c>
    </row>
    <row r="20" spans="1:14" x14ac:dyDescent="0.35">
      <c r="A20" s="5">
        <f>booking!C20</f>
        <v>46521</v>
      </c>
      <c r="B20" s="159" t="str">
        <f>IF(booking!A20=0,"",booking!A20)</f>
        <v/>
      </c>
      <c r="C20" s="138" t="str">
        <f>IF(booking!D20&gt;0,"oc","va")</f>
        <v>va</v>
      </c>
      <c r="D20" s="139" t="str">
        <f>IF(booking!E20&gt;0,"oc","va")</f>
        <v>va</v>
      </c>
      <c r="E20" s="138" t="str">
        <f>IF(booking!H20&gt;0,"oc","va")</f>
        <v>va</v>
      </c>
      <c r="F20" s="139" t="str">
        <f>IF(booking!I20&gt;0,"oc","va")</f>
        <v>va</v>
      </c>
      <c r="G20" s="138" t="str">
        <f>IF(booking!L20&gt;0,"oc","va")</f>
        <v>va</v>
      </c>
      <c r="H20" s="139" t="str">
        <f>IF(booking!M20&gt;0,"oc","va")</f>
        <v>va</v>
      </c>
      <c r="I20" s="138" t="str">
        <f>IF(booking!P20&gt;0,"oc","va")</f>
        <v>va</v>
      </c>
      <c r="J20" s="139" t="str">
        <f>IF(booking!Q20&gt;0,"oc","va")</f>
        <v>va</v>
      </c>
      <c r="K20" s="138" t="str">
        <f>IF(booking!T20&gt;0,"oc","va")</f>
        <v>va</v>
      </c>
      <c r="L20" s="139" t="str">
        <f>IF(booking!U20&gt;0,"oc","va")</f>
        <v>va</v>
      </c>
      <c r="M20" s="138" t="str">
        <f>IF(booking!X20&gt;0,"oc","va")</f>
        <v>va</v>
      </c>
      <c r="N20" s="139" t="str">
        <f>IF(booking!Y20&gt;0,"oc","va")</f>
        <v>va</v>
      </c>
    </row>
    <row r="21" spans="1:14" x14ac:dyDescent="0.35">
      <c r="A21" s="5">
        <f>booking!C21</f>
        <v>46522</v>
      </c>
      <c r="B21" s="159" t="str">
        <f>IF(booking!A21=0,"",booking!A21)</f>
        <v/>
      </c>
      <c r="C21" s="138" t="str">
        <f>IF(booking!D21&gt;0,"oc","va")</f>
        <v>va</v>
      </c>
      <c r="D21" s="139" t="str">
        <f>IF(booking!E21&gt;0,"oc","va")</f>
        <v>va</v>
      </c>
      <c r="E21" s="138" t="str">
        <f>IF(booking!H21&gt;0,"oc","va")</f>
        <v>va</v>
      </c>
      <c r="F21" s="139" t="str">
        <f>IF(booking!I21&gt;0,"oc","va")</f>
        <v>va</v>
      </c>
      <c r="G21" s="138" t="str">
        <f>IF(booking!L21&gt;0,"oc","va")</f>
        <v>va</v>
      </c>
      <c r="H21" s="139" t="str">
        <f>IF(booking!M21&gt;0,"oc","va")</f>
        <v>va</v>
      </c>
      <c r="I21" s="138" t="str">
        <f>IF(booking!P21&gt;0,"oc","va")</f>
        <v>va</v>
      </c>
      <c r="J21" s="139" t="str">
        <f>IF(booking!Q21&gt;0,"oc","va")</f>
        <v>va</v>
      </c>
      <c r="K21" s="138" t="str">
        <f>IF(booking!T21&gt;0,"oc","va")</f>
        <v>va</v>
      </c>
      <c r="L21" s="139" t="str">
        <f>IF(booking!U21&gt;0,"oc","va")</f>
        <v>va</v>
      </c>
      <c r="M21" s="138" t="str">
        <f>IF(booking!X21&gt;0,"oc","va")</f>
        <v>va</v>
      </c>
      <c r="N21" s="139" t="str">
        <f>IF(booking!Y21&gt;0,"oc","va")</f>
        <v>va</v>
      </c>
    </row>
    <row r="22" spans="1:14" x14ac:dyDescent="0.35">
      <c r="A22" s="5">
        <f>booking!C22</f>
        <v>46523</v>
      </c>
      <c r="B22" s="159" t="str">
        <f>IF(booking!A22=0,"",booking!A22)</f>
        <v>Pinse</v>
      </c>
      <c r="C22" s="138" t="str">
        <f>IF(booking!D22&gt;0,"oc","va")</f>
        <v>va</v>
      </c>
      <c r="D22" s="139" t="str">
        <f>IF(booking!E22&gt;0,"oc","va")</f>
        <v>va</v>
      </c>
      <c r="E22" s="138" t="str">
        <f>IF(booking!H22&gt;0,"oc","va")</f>
        <v>va</v>
      </c>
      <c r="F22" s="139" t="str">
        <f>IF(booking!I22&gt;0,"oc","va")</f>
        <v>va</v>
      </c>
      <c r="G22" s="138" t="str">
        <f>IF(booking!L22&gt;0,"oc","va")</f>
        <v>va</v>
      </c>
      <c r="H22" s="139" t="str">
        <f>IF(booking!M22&gt;0,"oc","va")</f>
        <v>va</v>
      </c>
      <c r="I22" s="138" t="str">
        <f>IF(booking!P22&gt;0,"oc","va")</f>
        <v>va</v>
      </c>
      <c r="J22" s="139" t="str">
        <f>IF(booking!Q22&gt;0,"oc","va")</f>
        <v>va</v>
      </c>
      <c r="K22" s="138" t="str">
        <f>IF(booking!T22&gt;0,"oc","va")</f>
        <v>va</v>
      </c>
      <c r="L22" s="139" t="str">
        <f>IF(booking!U22&gt;0,"oc","va")</f>
        <v>va</v>
      </c>
      <c r="M22" s="138" t="str">
        <f>IF(booking!X22&gt;0,"oc","va")</f>
        <v>va</v>
      </c>
      <c r="N22" s="139" t="str">
        <f>IF(booking!Y22&gt;0,"oc","va")</f>
        <v>va</v>
      </c>
    </row>
    <row r="23" spans="1:14" x14ac:dyDescent="0.35">
      <c r="A23" s="5">
        <f>booking!C23</f>
        <v>46524</v>
      </c>
      <c r="B23" s="159" t="str">
        <f>IF(booking!A23=0,"",booking!A23)</f>
        <v>2 pinsedag</v>
      </c>
      <c r="C23" s="138" t="str">
        <f>IF(booking!D23&gt;0,"oc","va")</f>
        <v>va</v>
      </c>
      <c r="D23" s="139" t="str">
        <f>IF(booking!E23&gt;0,"oc","va")</f>
        <v>va</v>
      </c>
      <c r="E23" s="138" t="str">
        <f>IF(booking!H23&gt;0,"oc","va")</f>
        <v>va</v>
      </c>
      <c r="F23" s="139" t="str">
        <f>IF(booking!I23&gt;0,"oc","va")</f>
        <v>va</v>
      </c>
      <c r="G23" s="138" t="str">
        <f>IF(booking!L23&gt;0,"oc","va")</f>
        <v>va</v>
      </c>
      <c r="H23" s="139" t="str">
        <f>IF(booking!M23&gt;0,"oc","va")</f>
        <v>va</v>
      </c>
      <c r="I23" s="138" t="str">
        <f>IF(booking!P23&gt;0,"oc","va")</f>
        <v>va</v>
      </c>
      <c r="J23" s="139" t="str">
        <f>IF(booking!Q23&gt;0,"oc","va")</f>
        <v>va</v>
      </c>
      <c r="K23" s="138" t="str">
        <f>IF(booking!T23&gt;0,"oc","va")</f>
        <v>va</v>
      </c>
      <c r="L23" s="139" t="str">
        <f>IF(booking!U23&gt;0,"oc","va")</f>
        <v>va</v>
      </c>
      <c r="M23" s="138" t="str">
        <f>IF(booking!X23&gt;0,"oc","va")</f>
        <v>va</v>
      </c>
      <c r="N23" s="139" t="str">
        <f>IF(booking!Y23&gt;0,"oc","va")</f>
        <v>va</v>
      </c>
    </row>
    <row r="24" spans="1:14" x14ac:dyDescent="0.35">
      <c r="A24" s="5">
        <f>booking!C24</f>
        <v>46525</v>
      </c>
      <c r="B24" s="159" t="str">
        <f>IF(booking!A24=0,"",booking!A24)</f>
        <v/>
      </c>
      <c r="C24" s="138" t="str">
        <f>IF(booking!D24&gt;0,"oc","va")</f>
        <v>va</v>
      </c>
      <c r="D24" s="139" t="str">
        <f>IF(booking!E24&gt;0,"oc","va")</f>
        <v>va</v>
      </c>
      <c r="E24" s="138" t="str">
        <f>IF(booking!H24&gt;0,"oc","va")</f>
        <v>va</v>
      </c>
      <c r="F24" s="139" t="str">
        <f>IF(booking!I24&gt;0,"oc","va")</f>
        <v>va</v>
      </c>
      <c r="G24" s="138" t="str">
        <f>IF(booking!L24&gt;0,"oc","va")</f>
        <v>va</v>
      </c>
      <c r="H24" s="139" t="str">
        <f>IF(booking!M24&gt;0,"oc","va")</f>
        <v>va</v>
      </c>
      <c r="I24" s="138" t="str">
        <f>IF(booking!P24&gt;0,"oc","va")</f>
        <v>va</v>
      </c>
      <c r="J24" s="139" t="str">
        <f>IF(booking!Q24&gt;0,"oc","va")</f>
        <v>va</v>
      </c>
      <c r="K24" s="138" t="str">
        <f>IF(booking!T24&gt;0,"oc","va")</f>
        <v>va</v>
      </c>
      <c r="L24" s="139" t="str">
        <f>IF(booking!U24&gt;0,"oc","va")</f>
        <v>va</v>
      </c>
      <c r="M24" s="138" t="str">
        <f>IF(booking!X24&gt;0,"oc","va")</f>
        <v>va</v>
      </c>
      <c r="N24" s="139" t="str">
        <f>IF(booking!Y24&gt;0,"oc","va")</f>
        <v>va</v>
      </c>
    </row>
    <row r="25" spans="1:14" x14ac:dyDescent="0.35">
      <c r="A25" s="5">
        <f>booking!C25</f>
        <v>46526</v>
      </c>
      <c r="B25" s="159" t="str">
        <f>IF(booking!A25=0,"",booking!A25)</f>
        <v/>
      </c>
      <c r="C25" s="138" t="str">
        <f>IF(booking!D25&gt;0,"oc","va")</f>
        <v>va</v>
      </c>
      <c r="D25" s="139" t="str">
        <f>IF(booking!E25&gt;0,"oc","va")</f>
        <v>va</v>
      </c>
      <c r="E25" s="138" t="str">
        <f>IF(booking!H25&gt;0,"oc","va")</f>
        <v>va</v>
      </c>
      <c r="F25" s="139" t="str">
        <f>IF(booking!I25&gt;0,"oc","va")</f>
        <v>va</v>
      </c>
      <c r="G25" s="138" t="str">
        <f>IF(booking!L25&gt;0,"oc","va")</f>
        <v>va</v>
      </c>
      <c r="H25" s="139" t="str">
        <f>IF(booking!M25&gt;0,"oc","va")</f>
        <v>va</v>
      </c>
      <c r="I25" s="138" t="str">
        <f>IF(booking!P25&gt;0,"oc","va")</f>
        <v>va</v>
      </c>
      <c r="J25" s="139" t="str">
        <f>IF(booking!Q25&gt;0,"oc","va")</f>
        <v>va</v>
      </c>
      <c r="K25" s="138" t="str">
        <f>IF(booking!T25&gt;0,"oc","va")</f>
        <v>va</v>
      </c>
      <c r="L25" s="139" t="str">
        <f>IF(booking!U25&gt;0,"oc","va")</f>
        <v>va</v>
      </c>
      <c r="M25" s="138" t="str">
        <f>IF(booking!X25&gt;0,"oc","va")</f>
        <v>va</v>
      </c>
      <c r="N25" s="139" t="str">
        <f>IF(booking!Y25&gt;0,"oc","va")</f>
        <v>va</v>
      </c>
    </row>
    <row r="26" spans="1:14" x14ac:dyDescent="0.35">
      <c r="A26" s="5">
        <f>booking!C26</f>
        <v>46527</v>
      </c>
      <c r="B26" s="159" t="str">
        <f>IF(booking!A26=0,"",booking!A26)</f>
        <v/>
      </c>
      <c r="C26" s="138" t="str">
        <f>IF(booking!D26&gt;0,"oc","va")</f>
        <v>va</v>
      </c>
      <c r="D26" s="139" t="str">
        <f>IF(booking!E26&gt;0,"oc","va")</f>
        <v>va</v>
      </c>
      <c r="E26" s="138" t="str">
        <f>IF(booking!H26&gt;0,"oc","va")</f>
        <v>va</v>
      </c>
      <c r="F26" s="139" t="str">
        <f>IF(booking!I26&gt;0,"oc","va")</f>
        <v>va</v>
      </c>
      <c r="G26" s="138" t="str">
        <f>IF(booking!L26&gt;0,"oc","va")</f>
        <v>va</v>
      </c>
      <c r="H26" s="139" t="str">
        <f>IF(booking!M26&gt;0,"oc","va")</f>
        <v>va</v>
      </c>
      <c r="I26" s="138" t="str">
        <f>IF(booking!P26&gt;0,"oc","va")</f>
        <v>va</v>
      </c>
      <c r="J26" s="139" t="str">
        <f>IF(booking!Q26&gt;0,"oc","va")</f>
        <v>va</v>
      </c>
      <c r="K26" s="138" t="str">
        <f>IF(booking!T26&gt;0,"oc","va")</f>
        <v>va</v>
      </c>
      <c r="L26" s="139" t="str">
        <f>IF(booking!U26&gt;0,"oc","va")</f>
        <v>va</v>
      </c>
      <c r="M26" s="138" t="str">
        <f>IF(booking!X26&gt;0,"oc","va")</f>
        <v>va</v>
      </c>
      <c r="N26" s="139" t="str">
        <f>IF(booking!Y26&gt;0,"oc","va")</f>
        <v>va</v>
      </c>
    </row>
    <row r="27" spans="1:14" x14ac:dyDescent="0.35">
      <c r="A27" s="5">
        <f>booking!C27</f>
        <v>46528</v>
      </c>
      <c r="B27" s="159" t="str">
        <f>IF(booking!A27=0,"",booking!A27)</f>
        <v/>
      </c>
      <c r="C27" s="138" t="str">
        <f>IF(booking!D27&gt;0,"oc","va")</f>
        <v>va</v>
      </c>
      <c r="D27" s="139" t="str">
        <f>IF(booking!E27&gt;0,"oc","va")</f>
        <v>va</v>
      </c>
      <c r="E27" s="138" t="str">
        <f>IF(booking!H27&gt;0,"oc","va")</f>
        <v>va</v>
      </c>
      <c r="F27" s="139" t="str">
        <f>IF(booking!I27&gt;0,"oc","va")</f>
        <v>va</v>
      </c>
      <c r="G27" s="138" t="str">
        <f>IF(booking!L27&gt;0,"oc","va")</f>
        <v>va</v>
      </c>
      <c r="H27" s="139" t="str">
        <f>IF(booking!M27&gt;0,"oc","va")</f>
        <v>va</v>
      </c>
      <c r="I27" s="138" t="str">
        <f>IF(booking!P27&gt;0,"oc","va")</f>
        <v>va</v>
      </c>
      <c r="J27" s="139" t="str">
        <f>IF(booking!Q27&gt;0,"oc","va")</f>
        <v>va</v>
      </c>
      <c r="K27" s="138" t="str">
        <f>IF(booking!T27&gt;0,"oc","va")</f>
        <v>va</v>
      </c>
      <c r="L27" s="139" t="str">
        <f>IF(booking!U27&gt;0,"oc","va")</f>
        <v>va</v>
      </c>
      <c r="M27" s="138" t="str">
        <f>IF(booking!X27&gt;0,"oc","va")</f>
        <v>va</v>
      </c>
      <c r="N27" s="139" t="str">
        <f>IF(booking!Y27&gt;0,"oc","va")</f>
        <v>va</v>
      </c>
    </row>
    <row r="28" spans="1:14" x14ac:dyDescent="0.35">
      <c r="A28" s="5">
        <f>booking!C28</f>
        <v>46529</v>
      </c>
      <c r="B28" s="159" t="str">
        <f>IF(booking!A28=0,"",booking!A28)</f>
        <v/>
      </c>
      <c r="C28" s="138" t="str">
        <f>IF(booking!D28&gt;0,"oc","va")</f>
        <v>va</v>
      </c>
      <c r="D28" s="139" t="str">
        <f>IF(booking!E28&gt;0,"oc","va")</f>
        <v>va</v>
      </c>
      <c r="E28" s="138" t="str">
        <f>IF(booking!H28&gt;0,"oc","va")</f>
        <v>va</v>
      </c>
      <c r="F28" s="139" t="str">
        <f>IF(booking!I28&gt;0,"oc","va")</f>
        <v>va</v>
      </c>
      <c r="G28" s="138" t="str">
        <f>IF(booking!L28&gt;0,"oc","va")</f>
        <v>va</v>
      </c>
      <c r="H28" s="139" t="str">
        <f>IF(booking!M28&gt;0,"oc","va")</f>
        <v>va</v>
      </c>
      <c r="I28" s="138" t="str">
        <f>IF(booking!P28&gt;0,"oc","va")</f>
        <v>va</v>
      </c>
      <c r="J28" s="139" t="str">
        <f>IF(booking!Q28&gt;0,"oc","va")</f>
        <v>va</v>
      </c>
      <c r="K28" s="138" t="str">
        <f>IF(booking!T28&gt;0,"oc","va")</f>
        <v>va</v>
      </c>
      <c r="L28" s="139" t="str">
        <f>IF(booking!U28&gt;0,"oc","va")</f>
        <v>va</v>
      </c>
      <c r="M28" s="138" t="str">
        <f>IF(booking!X28&gt;0,"oc","va")</f>
        <v>va</v>
      </c>
      <c r="N28" s="139" t="str">
        <f>IF(booking!Y28&gt;0,"oc","va")</f>
        <v>va</v>
      </c>
    </row>
    <row r="29" spans="1:14" x14ac:dyDescent="0.35">
      <c r="A29" s="5">
        <f>booking!C29</f>
        <v>46530</v>
      </c>
      <c r="B29" s="159" t="str">
        <f>IF(booking!A29=0,"",booking!A29)</f>
        <v/>
      </c>
      <c r="C29" s="138" t="str">
        <f>IF(booking!D29&gt;0,"oc","va")</f>
        <v>va</v>
      </c>
      <c r="D29" s="139" t="str">
        <f>IF(booking!E29&gt;0,"oc","va")</f>
        <v>va</v>
      </c>
      <c r="E29" s="138" t="str">
        <f>IF(booking!H29&gt;0,"oc","va")</f>
        <v>va</v>
      </c>
      <c r="F29" s="139" t="str">
        <f>IF(booking!I29&gt;0,"oc","va")</f>
        <v>va</v>
      </c>
      <c r="G29" s="138" t="str">
        <f>IF(booking!L29&gt;0,"oc","va")</f>
        <v>va</v>
      </c>
      <c r="H29" s="139" t="str">
        <f>IF(booking!M29&gt;0,"oc","va")</f>
        <v>va</v>
      </c>
      <c r="I29" s="138" t="str">
        <f>IF(booking!P29&gt;0,"oc","va")</f>
        <v>va</v>
      </c>
      <c r="J29" s="139" t="str">
        <f>IF(booking!Q29&gt;0,"oc","va")</f>
        <v>va</v>
      </c>
      <c r="K29" s="138" t="str">
        <f>IF(booking!T29&gt;0,"oc","va")</f>
        <v>va</v>
      </c>
      <c r="L29" s="139" t="str">
        <f>IF(booking!U29&gt;0,"oc","va")</f>
        <v>va</v>
      </c>
      <c r="M29" s="138" t="str">
        <f>IF(booking!X29&gt;0,"oc","va")</f>
        <v>va</v>
      </c>
      <c r="N29" s="139" t="str">
        <f>IF(booking!Y29&gt;0,"oc","va")</f>
        <v>va</v>
      </c>
    </row>
    <row r="30" spans="1:14" x14ac:dyDescent="0.35">
      <c r="A30" s="5">
        <f>booking!C30</f>
        <v>46531</v>
      </c>
      <c r="B30" s="159">
        <f>IF(booking!A30=0,"",booking!A30)</f>
        <v>22</v>
      </c>
      <c r="C30" s="138" t="str">
        <f>IF(booking!D30&gt;0,"oc","va")</f>
        <v>va</v>
      </c>
      <c r="D30" s="139" t="str">
        <f>IF(booking!E30&gt;0,"oc","va")</f>
        <v>va</v>
      </c>
      <c r="E30" s="138" t="str">
        <f>IF(booking!H30&gt;0,"oc","va")</f>
        <v>va</v>
      </c>
      <c r="F30" s="139" t="str">
        <f>IF(booking!I30&gt;0,"oc","va")</f>
        <v>va</v>
      </c>
      <c r="G30" s="138" t="str">
        <f>IF(booking!L30&gt;0,"oc","va")</f>
        <v>va</v>
      </c>
      <c r="H30" s="139" t="str">
        <f>IF(booking!M30&gt;0,"oc","va")</f>
        <v>va</v>
      </c>
      <c r="I30" s="138" t="str">
        <f>IF(booking!P30&gt;0,"oc","va")</f>
        <v>va</v>
      </c>
      <c r="J30" s="139" t="str">
        <f>IF(booking!Q30&gt;0,"oc","va")</f>
        <v>va</v>
      </c>
      <c r="K30" s="138" t="str">
        <f>IF(booking!T30&gt;0,"oc","va")</f>
        <v>va</v>
      </c>
      <c r="L30" s="139" t="str">
        <f>IF(booking!U30&gt;0,"oc","va")</f>
        <v>va</v>
      </c>
      <c r="M30" s="138" t="str">
        <f>IF(booking!X30&gt;0,"oc","va")</f>
        <v>va</v>
      </c>
      <c r="N30" s="139" t="str">
        <f>IF(booking!Y30&gt;0,"oc","va")</f>
        <v>va</v>
      </c>
    </row>
    <row r="31" spans="1:14" x14ac:dyDescent="0.35">
      <c r="A31" s="5">
        <f>booking!C31</f>
        <v>46532</v>
      </c>
      <c r="B31" s="159" t="str">
        <f>IF(booking!A31=0,"",booking!A31)</f>
        <v/>
      </c>
      <c r="C31" s="138" t="str">
        <f>IF(booking!D31&gt;0,"oc","va")</f>
        <v>va</v>
      </c>
      <c r="D31" s="139" t="str">
        <f>IF(booking!E31&gt;0,"oc","va")</f>
        <v>va</v>
      </c>
      <c r="E31" s="138" t="str">
        <f>IF(booking!H31&gt;0,"oc","va")</f>
        <v>va</v>
      </c>
      <c r="F31" s="139" t="str">
        <f>IF(booking!I31&gt;0,"oc","va")</f>
        <v>va</v>
      </c>
      <c r="G31" s="138" t="str">
        <f>IF(booking!L31&gt;0,"oc","va")</f>
        <v>va</v>
      </c>
      <c r="H31" s="139" t="str">
        <f>IF(booking!M31&gt;0,"oc","va")</f>
        <v>va</v>
      </c>
      <c r="I31" s="138" t="str">
        <f>IF(booking!P31&gt;0,"oc","va")</f>
        <v>va</v>
      </c>
      <c r="J31" s="139" t="str">
        <f>IF(booking!Q31&gt;0,"oc","va")</f>
        <v>va</v>
      </c>
      <c r="K31" s="138" t="str">
        <f>IF(booking!T31&gt;0,"oc","va")</f>
        <v>va</v>
      </c>
      <c r="L31" s="139" t="str">
        <f>IF(booking!U31&gt;0,"oc","va")</f>
        <v>va</v>
      </c>
      <c r="M31" s="138" t="str">
        <f>IF(booking!X31&gt;0,"oc","va")</f>
        <v>va</v>
      </c>
      <c r="N31" s="139" t="str">
        <f>IF(booking!Y31&gt;0,"oc","va")</f>
        <v>va</v>
      </c>
    </row>
    <row r="32" spans="1:14" x14ac:dyDescent="0.35">
      <c r="A32" s="5">
        <f>booking!C32</f>
        <v>46533</v>
      </c>
      <c r="B32" s="159" t="str">
        <f>IF(booking!A32=0,"",booking!A32)</f>
        <v/>
      </c>
      <c r="C32" s="138" t="str">
        <f>IF(booking!D32&gt;0,"oc","va")</f>
        <v>va</v>
      </c>
      <c r="D32" s="139" t="str">
        <f>IF(booking!E32&gt;0,"oc","va")</f>
        <v>va</v>
      </c>
      <c r="E32" s="138" t="str">
        <f>IF(booking!H32&gt;0,"oc","va")</f>
        <v>va</v>
      </c>
      <c r="F32" s="139" t="str">
        <f>IF(booking!I32&gt;0,"oc","va")</f>
        <v>va</v>
      </c>
      <c r="G32" s="138" t="str">
        <f>IF(booking!L32&gt;0,"oc","va")</f>
        <v>va</v>
      </c>
      <c r="H32" s="139" t="str">
        <f>IF(booking!M32&gt;0,"oc","va")</f>
        <v>va</v>
      </c>
      <c r="I32" s="138" t="str">
        <f>IF(booking!P32&gt;0,"oc","va")</f>
        <v>va</v>
      </c>
      <c r="J32" s="139" t="str">
        <f>IF(booking!Q32&gt;0,"oc","va")</f>
        <v>va</v>
      </c>
      <c r="K32" s="138" t="str">
        <f>IF(booking!T32&gt;0,"oc","va")</f>
        <v>va</v>
      </c>
      <c r="L32" s="139" t="str">
        <f>IF(booking!U32&gt;0,"oc","va")</f>
        <v>va</v>
      </c>
      <c r="M32" s="138" t="str">
        <f>IF(booking!X32&gt;0,"oc","va")</f>
        <v>va</v>
      </c>
      <c r="N32" s="139" t="str">
        <f>IF(booking!Y32&gt;0,"oc","va")</f>
        <v>va</v>
      </c>
    </row>
    <row r="33" spans="1:14" x14ac:dyDescent="0.35">
      <c r="A33" s="5">
        <f>booking!C33</f>
        <v>46534</v>
      </c>
      <c r="B33" s="159" t="str">
        <f>IF(booking!A33=0,"",booking!A33)</f>
        <v/>
      </c>
      <c r="C33" s="138" t="str">
        <f>IF(booking!D33&gt;0,"oc","va")</f>
        <v>va</v>
      </c>
      <c r="D33" s="139" t="str">
        <f>IF(booking!E33&gt;0,"oc","va")</f>
        <v>va</v>
      </c>
      <c r="E33" s="138" t="str">
        <f>IF(booking!H33&gt;0,"oc","va")</f>
        <v>va</v>
      </c>
      <c r="F33" s="139" t="str">
        <f>IF(booking!I33&gt;0,"oc","va")</f>
        <v>va</v>
      </c>
      <c r="G33" s="138" t="str">
        <f>IF(booking!L33&gt;0,"oc","va")</f>
        <v>va</v>
      </c>
      <c r="H33" s="139" t="str">
        <f>IF(booking!M33&gt;0,"oc","va")</f>
        <v>va</v>
      </c>
      <c r="I33" s="138" t="str">
        <f>IF(booking!P33&gt;0,"oc","va")</f>
        <v>va</v>
      </c>
      <c r="J33" s="139" t="str">
        <f>IF(booking!Q33&gt;0,"oc","va")</f>
        <v>va</v>
      </c>
      <c r="K33" s="138" t="str">
        <f>IF(booking!T33&gt;0,"oc","va")</f>
        <v>va</v>
      </c>
      <c r="L33" s="139" t="str">
        <f>IF(booking!U33&gt;0,"oc","va")</f>
        <v>va</v>
      </c>
      <c r="M33" s="138" t="str">
        <f>IF(booking!X33&gt;0,"oc","va")</f>
        <v>va</v>
      </c>
      <c r="N33" s="139" t="str">
        <f>IF(booking!Y33&gt;0,"oc","va")</f>
        <v>va</v>
      </c>
    </row>
    <row r="34" spans="1:14" x14ac:dyDescent="0.35">
      <c r="A34" s="5">
        <f>booking!C34</f>
        <v>46535</v>
      </c>
      <c r="B34" s="159" t="str">
        <f>IF(booking!A34=0,"",booking!A34)</f>
        <v/>
      </c>
      <c r="C34" s="138" t="str">
        <f>IF(booking!D34&gt;0,"oc","va")</f>
        <v>va</v>
      </c>
      <c r="D34" s="139" t="str">
        <f>IF(booking!E34&gt;0,"oc","va")</f>
        <v>va</v>
      </c>
      <c r="E34" s="138" t="str">
        <f>IF(booking!H34&gt;0,"oc","va")</f>
        <v>va</v>
      </c>
      <c r="F34" s="139" t="str">
        <f>IF(booking!I34&gt;0,"oc","va")</f>
        <v>va</v>
      </c>
      <c r="G34" s="138" t="str">
        <f>IF(booking!L34&gt;0,"oc","va")</f>
        <v>va</v>
      </c>
      <c r="H34" s="139" t="str">
        <f>IF(booking!M34&gt;0,"oc","va")</f>
        <v>va</v>
      </c>
      <c r="I34" s="138" t="str">
        <f>IF(booking!P34&gt;0,"oc","va")</f>
        <v>va</v>
      </c>
      <c r="J34" s="139" t="str">
        <f>IF(booking!Q34&gt;0,"oc","va")</f>
        <v>va</v>
      </c>
      <c r="K34" s="138" t="str">
        <f>IF(booking!T34&gt;0,"oc","va")</f>
        <v>va</v>
      </c>
      <c r="L34" s="139" t="str">
        <f>IF(booking!U34&gt;0,"oc","va")</f>
        <v>va</v>
      </c>
      <c r="M34" s="138" t="str">
        <f>IF(booking!X34&gt;0,"oc","va")</f>
        <v>va</v>
      </c>
      <c r="N34" s="139" t="str">
        <f>IF(booking!Y34&gt;0,"oc","va")</f>
        <v>va</v>
      </c>
    </row>
    <row r="35" spans="1:14" x14ac:dyDescent="0.35">
      <c r="A35" s="5">
        <f>booking!C35</f>
        <v>46536</v>
      </c>
      <c r="B35" s="159" t="str">
        <f>IF(booking!A35=0,"",booking!A35)</f>
        <v/>
      </c>
      <c r="C35" s="138" t="str">
        <f>IF(booking!D35&gt;0,"oc","va")</f>
        <v>va</v>
      </c>
      <c r="D35" s="139" t="str">
        <f>IF(booking!E35&gt;0,"oc","va")</f>
        <v>va</v>
      </c>
      <c r="E35" s="138" t="str">
        <f>IF(booking!H35&gt;0,"oc","va")</f>
        <v>va</v>
      </c>
      <c r="F35" s="139" t="str">
        <f>IF(booking!I35&gt;0,"oc","va")</f>
        <v>va</v>
      </c>
      <c r="G35" s="138" t="str">
        <f>IF(booking!L35&gt;0,"oc","va")</f>
        <v>va</v>
      </c>
      <c r="H35" s="139" t="str">
        <f>IF(booking!M35&gt;0,"oc","va")</f>
        <v>va</v>
      </c>
      <c r="I35" s="138" t="str">
        <f>IF(booking!P35&gt;0,"oc","va")</f>
        <v>va</v>
      </c>
      <c r="J35" s="139" t="str">
        <f>IF(booking!Q35&gt;0,"oc","va")</f>
        <v>va</v>
      </c>
      <c r="K35" s="138" t="str">
        <f>IF(booking!T35&gt;0,"oc","va")</f>
        <v>va</v>
      </c>
      <c r="L35" s="139" t="str">
        <f>IF(booking!U35&gt;0,"oc","va")</f>
        <v>va</v>
      </c>
      <c r="M35" s="138" t="str">
        <f>IF(booking!X35&gt;0,"oc","va")</f>
        <v>va</v>
      </c>
      <c r="N35" s="139" t="str">
        <f>IF(booking!Y35&gt;0,"oc","va")</f>
        <v>va</v>
      </c>
    </row>
    <row r="36" spans="1:14" x14ac:dyDescent="0.35">
      <c r="A36" s="5">
        <f>booking!C36</f>
        <v>46537</v>
      </c>
      <c r="B36" s="159" t="str">
        <f>IF(booking!A36=0,"",booking!A36)</f>
        <v/>
      </c>
      <c r="C36" s="138" t="str">
        <f>IF(booking!D36&gt;0,"oc","va")</f>
        <v>va</v>
      </c>
      <c r="D36" s="139" t="str">
        <f>IF(booking!E36&gt;0,"oc","va")</f>
        <v>va</v>
      </c>
      <c r="E36" s="138" t="str">
        <f>IF(booking!H36&gt;0,"oc","va")</f>
        <v>va</v>
      </c>
      <c r="F36" s="139" t="str">
        <f>IF(booking!I36&gt;0,"oc","va")</f>
        <v>va</v>
      </c>
      <c r="G36" s="138" t="str">
        <f>IF(booking!L36&gt;0,"oc","va")</f>
        <v>va</v>
      </c>
      <c r="H36" s="139" t="str">
        <f>IF(booking!M36&gt;0,"oc","va")</f>
        <v>va</v>
      </c>
      <c r="I36" s="138" t="str">
        <f>IF(booking!P36&gt;0,"oc","va")</f>
        <v>va</v>
      </c>
      <c r="J36" s="139" t="str">
        <f>IF(booking!Q36&gt;0,"oc","va")</f>
        <v>va</v>
      </c>
      <c r="K36" s="138" t="str">
        <f>IF(booking!T36&gt;0,"oc","va")</f>
        <v>va</v>
      </c>
      <c r="L36" s="139" t="str">
        <f>IF(booking!U36&gt;0,"oc","va")</f>
        <v>va</v>
      </c>
      <c r="M36" s="138" t="str">
        <f>IF(booking!X36&gt;0,"oc","va")</f>
        <v>va</v>
      </c>
      <c r="N36" s="139" t="str">
        <f>IF(booking!Y36&gt;0,"oc","va")</f>
        <v>va</v>
      </c>
    </row>
    <row r="37" spans="1:14" x14ac:dyDescent="0.35">
      <c r="A37" s="5">
        <f>booking!C37</f>
        <v>46538</v>
      </c>
      <c r="B37" s="159">
        <f>IF(booking!A37=0,"",booking!A37)</f>
        <v>23</v>
      </c>
      <c r="C37" s="138" t="str">
        <f>IF(booking!D37&gt;0,"oc","va")</f>
        <v>va</v>
      </c>
      <c r="D37" s="139" t="str">
        <f>IF(booking!E37&gt;0,"oc","va")</f>
        <v>va</v>
      </c>
      <c r="E37" s="138" t="str">
        <f>IF(booking!H37&gt;0,"oc","va")</f>
        <v>va</v>
      </c>
      <c r="F37" s="139" t="str">
        <f>IF(booking!I37&gt;0,"oc","va")</f>
        <v>va</v>
      </c>
      <c r="G37" s="138" t="str">
        <f>IF(booking!L37&gt;0,"oc","va")</f>
        <v>va</v>
      </c>
      <c r="H37" s="139" t="str">
        <f>IF(booking!M37&gt;0,"oc","va")</f>
        <v>va</v>
      </c>
      <c r="I37" s="138" t="str">
        <f>IF(booking!P37&gt;0,"oc","va")</f>
        <v>va</v>
      </c>
      <c r="J37" s="139" t="str">
        <f>IF(booking!Q37&gt;0,"oc","va")</f>
        <v>va</v>
      </c>
      <c r="K37" s="138" t="str">
        <f>IF(booking!T37&gt;0,"oc","va")</f>
        <v>va</v>
      </c>
      <c r="L37" s="139" t="str">
        <f>IF(booking!U37&gt;0,"oc","va")</f>
        <v>va</v>
      </c>
      <c r="M37" s="138" t="str">
        <f>IF(booking!X37&gt;0,"oc","va")</f>
        <v>va</v>
      </c>
      <c r="N37" s="139" t="str">
        <f>IF(booking!Y37&gt;0,"oc","va")</f>
        <v>va</v>
      </c>
    </row>
    <row r="38" spans="1:14" x14ac:dyDescent="0.35">
      <c r="A38" s="5">
        <f>booking!C38</f>
        <v>46539</v>
      </c>
      <c r="B38" s="159" t="str">
        <f>IF(booking!A38=0,"",booking!A38)</f>
        <v/>
      </c>
      <c r="C38" s="138" t="str">
        <f>IF(booking!D38&gt;0,"oc","va")</f>
        <v>va</v>
      </c>
      <c r="D38" s="139" t="str">
        <f>IF(booking!E38&gt;0,"oc","va")</f>
        <v>va</v>
      </c>
      <c r="E38" s="138" t="str">
        <f>IF(booking!H38&gt;0,"oc","va")</f>
        <v>va</v>
      </c>
      <c r="F38" s="139" t="str">
        <f>IF(booking!I38&gt;0,"oc","va")</f>
        <v>va</v>
      </c>
      <c r="G38" s="138" t="str">
        <f>IF(booking!L38&gt;0,"oc","va")</f>
        <v>va</v>
      </c>
      <c r="H38" s="139" t="str">
        <f>IF(booking!M38&gt;0,"oc","va")</f>
        <v>va</v>
      </c>
      <c r="I38" s="138" t="str">
        <f>IF(booking!P38&gt;0,"oc","va")</f>
        <v>va</v>
      </c>
      <c r="J38" s="139" t="str">
        <f>IF(booking!Q38&gt;0,"oc","va")</f>
        <v>va</v>
      </c>
      <c r="K38" s="138" t="str">
        <f>IF(booking!T38&gt;0,"oc","va")</f>
        <v>va</v>
      </c>
      <c r="L38" s="139" t="str">
        <f>IF(booking!U38&gt;0,"oc","va")</f>
        <v>va</v>
      </c>
      <c r="M38" s="138" t="str">
        <f>IF(booking!X38&gt;0,"oc","va")</f>
        <v>va</v>
      </c>
      <c r="N38" s="139" t="str">
        <f>IF(booking!Y38&gt;0,"oc","va")</f>
        <v>va</v>
      </c>
    </row>
    <row r="39" spans="1:14" x14ac:dyDescent="0.35">
      <c r="A39" s="5">
        <f>booking!C39</f>
        <v>46540</v>
      </c>
      <c r="B39" s="159" t="str">
        <f>IF(booking!A39=0,"",booking!A39)</f>
        <v/>
      </c>
      <c r="C39" s="138" t="str">
        <f>IF(booking!D39&gt;0,"oc","va")</f>
        <v>va</v>
      </c>
      <c r="D39" s="139" t="str">
        <f>IF(booking!E39&gt;0,"oc","va")</f>
        <v>va</v>
      </c>
      <c r="E39" s="138" t="str">
        <f>IF(booking!H39&gt;0,"oc","va")</f>
        <v>va</v>
      </c>
      <c r="F39" s="139" t="str">
        <f>IF(booking!I39&gt;0,"oc","va")</f>
        <v>va</v>
      </c>
      <c r="G39" s="138" t="str">
        <f>IF(booking!L39&gt;0,"oc","va")</f>
        <v>va</v>
      </c>
      <c r="H39" s="139" t="str">
        <f>IF(booking!M39&gt;0,"oc","va")</f>
        <v>va</v>
      </c>
      <c r="I39" s="138" t="str">
        <f>IF(booking!P39&gt;0,"oc","va")</f>
        <v>va</v>
      </c>
      <c r="J39" s="139" t="str">
        <f>IF(booking!Q39&gt;0,"oc","va")</f>
        <v>va</v>
      </c>
      <c r="K39" s="138" t="str">
        <f>IF(booking!T39&gt;0,"oc","va")</f>
        <v>va</v>
      </c>
      <c r="L39" s="139" t="str">
        <f>IF(booking!U39&gt;0,"oc","va")</f>
        <v>va</v>
      </c>
      <c r="M39" s="138" t="str">
        <f>IF(booking!X39&gt;0,"oc","va")</f>
        <v>va</v>
      </c>
      <c r="N39" s="139" t="str">
        <f>IF(booking!Y39&gt;0,"oc","va")</f>
        <v>va</v>
      </c>
    </row>
    <row r="40" spans="1:14" x14ac:dyDescent="0.35">
      <c r="A40" s="5">
        <f>booking!C40</f>
        <v>46541</v>
      </c>
      <c r="B40" s="159" t="str">
        <f>IF(booking!A40=0,"",booking!A40)</f>
        <v/>
      </c>
      <c r="C40" s="138" t="str">
        <f>IF(booking!D40&gt;0,"oc","va")</f>
        <v>va</v>
      </c>
      <c r="D40" s="139" t="str">
        <f>IF(booking!E40&gt;0,"oc","va")</f>
        <v>va</v>
      </c>
      <c r="E40" s="138" t="str">
        <f>IF(booking!H40&gt;0,"oc","va")</f>
        <v>va</v>
      </c>
      <c r="F40" s="139" t="str">
        <f>IF(booking!I40&gt;0,"oc","va")</f>
        <v>va</v>
      </c>
      <c r="G40" s="138" t="str">
        <f>IF(booking!L40&gt;0,"oc","va")</f>
        <v>va</v>
      </c>
      <c r="H40" s="139" t="str">
        <f>IF(booking!M40&gt;0,"oc","va")</f>
        <v>va</v>
      </c>
      <c r="I40" s="138" t="str">
        <f>IF(booking!P40&gt;0,"oc","va")</f>
        <v>va</v>
      </c>
      <c r="J40" s="139" t="str">
        <f>IF(booking!Q40&gt;0,"oc","va")</f>
        <v>va</v>
      </c>
      <c r="K40" s="138" t="str">
        <f>IF(booking!T40&gt;0,"oc","va")</f>
        <v>va</v>
      </c>
      <c r="L40" s="139" t="str">
        <f>IF(booking!U40&gt;0,"oc","va")</f>
        <v>va</v>
      </c>
      <c r="M40" s="138" t="str">
        <f>IF(booking!X40&gt;0,"oc","va")</f>
        <v>va</v>
      </c>
      <c r="N40" s="139" t="str">
        <f>IF(booking!Y40&gt;0,"oc","va")</f>
        <v>va</v>
      </c>
    </row>
    <row r="41" spans="1:14" x14ac:dyDescent="0.35">
      <c r="A41" s="5">
        <f>booking!C41</f>
        <v>46542</v>
      </c>
      <c r="B41" s="159" t="str">
        <f>IF(booking!A41=0,"",booking!A41)</f>
        <v/>
      </c>
      <c r="C41" s="138" t="str">
        <f>IF(booking!D41&gt;0,"oc","va")</f>
        <v>va</v>
      </c>
      <c r="D41" s="139" t="str">
        <f>IF(booking!E41&gt;0,"oc","va")</f>
        <v>va</v>
      </c>
      <c r="E41" s="138" t="str">
        <f>IF(booking!H41&gt;0,"oc","va")</f>
        <v>va</v>
      </c>
      <c r="F41" s="139" t="str">
        <f>IF(booking!I41&gt;0,"oc","va")</f>
        <v>va</v>
      </c>
      <c r="G41" s="138" t="str">
        <f>IF(booking!L41&gt;0,"oc","va")</f>
        <v>va</v>
      </c>
      <c r="H41" s="139" t="str">
        <f>IF(booking!M41&gt;0,"oc","va")</f>
        <v>va</v>
      </c>
      <c r="I41" s="138" t="str">
        <f>IF(booking!P41&gt;0,"oc","va")</f>
        <v>va</v>
      </c>
      <c r="J41" s="139" t="str">
        <f>IF(booking!Q41&gt;0,"oc","va")</f>
        <v>va</v>
      </c>
      <c r="K41" s="138" t="str">
        <f>IF(booking!T41&gt;0,"oc","va")</f>
        <v>va</v>
      </c>
      <c r="L41" s="139" t="str">
        <f>IF(booking!U41&gt;0,"oc","va")</f>
        <v>va</v>
      </c>
      <c r="M41" s="138" t="str">
        <f>IF(booking!X41&gt;0,"oc","va")</f>
        <v>va</v>
      </c>
      <c r="N41" s="139" t="str">
        <f>IF(booking!Y41&gt;0,"oc","va")</f>
        <v>va</v>
      </c>
    </row>
    <row r="42" spans="1:14" x14ac:dyDescent="0.35">
      <c r="A42" s="5">
        <f>booking!C42</f>
        <v>46543</v>
      </c>
      <c r="B42" s="159" t="str">
        <f>IF(booking!A42=0,"",booking!A42)</f>
        <v>grundlovsdag</v>
      </c>
      <c r="C42" s="138" t="str">
        <f>IF(booking!D42&gt;0,"oc","va")</f>
        <v>va</v>
      </c>
      <c r="D42" s="139" t="str">
        <f>IF(booking!E42&gt;0,"oc","va")</f>
        <v>va</v>
      </c>
      <c r="E42" s="138" t="str">
        <f>IF(booking!H42&gt;0,"oc","va")</f>
        <v>va</v>
      </c>
      <c r="F42" s="139" t="str">
        <f>IF(booking!I42&gt;0,"oc","va")</f>
        <v>va</v>
      </c>
      <c r="G42" s="138" t="str">
        <f>IF(booking!L42&gt;0,"oc","va")</f>
        <v>va</v>
      </c>
      <c r="H42" s="139" t="str">
        <f>IF(booking!M42&gt;0,"oc","va")</f>
        <v>va</v>
      </c>
      <c r="I42" s="138" t="str">
        <f>IF(booking!P42&gt;0,"oc","va")</f>
        <v>va</v>
      </c>
      <c r="J42" s="139" t="str">
        <f>IF(booking!Q42&gt;0,"oc","va")</f>
        <v>va</v>
      </c>
      <c r="K42" s="138" t="str">
        <f>IF(booking!T42&gt;0,"oc","va")</f>
        <v>va</v>
      </c>
      <c r="L42" s="139" t="str">
        <f>IF(booking!U42&gt;0,"oc","va")</f>
        <v>va</v>
      </c>
      <c r="M42" s="138" t="str">
        <f>IF(booking!X42&gt;0,"oc","va")</f>
        <v>va</v>
      </c>
      <c r="N42" s="139" t="str">
        <f>IF(booking!Y42&gt;0,"oc","va")</f>
        <v>va</v>
      </c>
    </row>
    <row r="43" spans="1:14" x14ac:dyDescent="0.35">
      <c r="A43" s="5">
        <f>booking!C43</f>
        <v>46544</v>
      </c>
      <c r="B43" s="159" t="str">
        <f>IF(booking!A43=0,"",booking!A43)</f>
        <v/>
      </c>
      <c r="C43" s="138" t="str">
        <f>IF(booking!D43&gt;0,"oc","va")</f>
        <v>va</v>
      </c>
      <c r="D43" s="139" t="str">
        <f>IF(booking!E43&gt;0,"oc","va")</f>
        <v>va</v>
      </c>
      <c r="E43" s="138" t="str">
        <f>IF(booking!H43&gt;0,"oc","va")</f>
        <v>va</v>
      </c>
      <c r="F43" s="139" t="str">
        <f>IF(booking!I43&gt;0,"oc","va")</f>
        <v>va</v>
      </c>
      <c r="G43" s="138" t="str">
        <f>IF(booking!L43&gt;0,"oc","va")</f>
        <v>va</v>
      </c>
      <c r="H43" s="139" t="str">
        <f>IF(booking!M43&gt;0,"oc","va")</f>
        <v>va</v>
      </c>
      <c r="I43" s="138" t="str">
        <f>IF(booking!P43&gt;0,"oc","va")</f>
        <v>va</v>
      </c>
      <c r="J43" s="139" t="str">
        <f>IF(booking!Q43&gt;0,"oc","va")</f>
        <v>va</v>
      </c>
      <c r="K43" s="138" t="str">
        <f>IF(booking!T43&gt;0,"oc","va")</f>
        <v>va</v>
      </c>
      <c r="L43" s="139" t="str">
        <f>IF(booking!U43&gt;0,"oc","va")</f>
        <v>va</v>
      </c>
      <c r="M43" s="138" t="str">
        <f>IF(booking!X43&gt;0,"oc","va")</f>
        <v>va</v>
      </c>
      <c r="N43" s="139" t="str">
        <f>IF(booking!Y43&gt;0,"oc","va")</f>
        <v>va</v>
      </c>
    </row>
    <row r="44" spans="1:14" x14ac:dyDescent="0.35">
      <c r="A44" s="5">
        <f>booking!C44</f>
        <v>46545</v>
      </c>
      <c r="B44" s="159" t="str">
        <f>IF(booking!A44=0,"",booking!A44)</f>
        <v/>
      </c>
      <c r="C44" s="138" t="str">
        <f>IF(booking!D44&gt;0,"oc","va")</f>
        <v>va</v>
      </c>
      <c r="D44" s="139" t="str">
        <f>IF(booking!E44&gt;0,"oc","va")</f>
        <v>va</v>
      </c>
      <c r="E44" s="138" t="str">
        <f>IF(booking!H44&gt;0,"oc","va")</f>
        <v>va</v>
      </c>
      <c r="F44" s="139" t="str">
        <f>IF(booking!I44&gt;0,"oc","va")</f>
        <v>va</v>
      </c>
      <c r="G44" s="138" t="str">
        <f>IF(booking!L44&gt;0,"oc","va")</f>
        <v>va</v>
      </c>
      <c r="H44" s="139" t="str">
        <f>IF(booking!M44&gt;0,"oc","va")</f>
        <v>va</v>
      </c>
      <c r="I44" s="138" t="str">
        <f>IF(booking!P44&gt;0,"oc","va")</f>
        <v>va</v>
      </c>
      <c r="J44" s="139" t="str">
        <f>IF(booking!Q44&gt;0,"oc","va")</f>
        <v>va</v>
      </c>
      <c r="K44" s="138" t="str">
        <f>IF(booking!T44&gt;0,"oc","va")</f>
        <v>va</v>
      </c>
      <c r="L44" s="139" t="str">
        <f>IF(booking!U44&gt;0,"oc","va")</f>
        <v>va</v>
      </c>
      <c r="M44" s="138" t="str">
        <f>IF(booking!X44&gt;0,"oc","va")</f>
        <v>va</v>
      </c>
      <c r="N44" s="139" t="str">
        <f>IF(booking!Y44&gt;0,"oc","va")</f>
        <v>va</v>
      </c>
    </row>
    <row r="45" spans="1:14" x14ac:dyDescent="0.35">
      <c r="A45" s="5">
        <f>booking!C45</f>
        <v>46546</v>
      </c>
      <c r="B45" s="159" t="str">
        <f>IF(booking!A45=0,"",booking!A45)</f>
        <v/>
      </c>
      <c r="C45" s="138" t="str">
        <f>IF(booking!D45&gt;0,"oc","va")</f>
        <v>va</v>
      </c>
      <c r="D45" s="139" t="str">
        <f>IF(booking!E45&gt;0,"oc","va")</f>
        <v>va</v>
      </c>
      <c r="E45" s="138" t="str">
        <f>IF(booking!H45&gt;0,"oc","va")</f>
        <v>va</v>
      </c>
      <c r="F45" s="139" t="str">
        <f>IF(booking!I45&gt;0,"oc","va")</f>
        <v>va</v>
      </c>
      <c r="G45" s="138" t="str">
        <f>IF(booking!L45&gt;0,"oc","va")</f>
        <v>va</v>
      </c>
      <c r="H45" s="139" t="str">
        <f>IF(booking!M45&gt;0,"oc","va")</f>
        <v>va</v>
      </c>
      <c r="I45" s="138" t="str">
        <f>IF(booking!P45&gt;0,"oc","va")</f>
        <v>va</v>
      </c>
      <c r="J45" s="139" t="str">
        <f>IF(booking!Q45&gt;0,"oc","va")</f>
        <v>va</v>
      </c>
      <c r="K45" s="138" t="str">
        <f>IF(booking!T45&gt;0,"oc","va")</f>
        <v>va</v>
      </c>
      <c r="L45" s="139" t="str">
        <f>IF(booking!U45&gt;0,"oc","va")</f>
        <v>va</v>
      </c>
      <c r="M45" s="138" t="str">
        <f>IF(booking!X45&gt;0,"oc","va")</f>
        <v>va</v>
      </c>
      <c r="N45" s="139" t="str">
        <f>IF(booking!Y45&gt;0,"oc","va")</f>
        <v>va</v>
      </c>
    </row>
    <row r="46" spans="1:14" x14ac:dyDescent="0.35">
      <c r="A46" s="5">
        <f>booking!C46</f>
        <v>46547</v>
      </c>
      <c r="B46" s="159" t="str">
        <f>IF(booking!A46=0,"",booking!A46)</f>
        <v/>
      </c>
      <c r="C46" s="138" t="str">
        <f>IF(booking!D46&gt;0,"oc","va")</f>
        <v>va</v>
      </c>
      <c r="D46" s="139" t="str">
        <f>IF(booking!E46&gt;0,"oc","va")</f>
        <v>va</v>
      </c>
      <c r="E46" s="138" t="str">
        <f>IF(booking!H46&gt;0,"oc","va")</f>
        <v>va</v>
      </c>
      <c r="F46" s="139" t="str">
        <f>IF(booking!I46&gt;0,"oc","va")</f>
        <v>va</v>
      </c>
      <c r="G46" s="138" t="str">
        <f>IF(booking!L46&gt;0,"oc","va")</f>
        <v>va</v>
      </c>
      <c r="H46" s="139" t="str">
        <f>IF(booking!M46&gt;0,"oc","va")</f>
        <v>va</v>
      </c>
      <c r="I46" s="138" t="str">
        <f>IF(booking!P46&gt;0,"oc","va")</f>
        <v>va</v>
      </c>
      <c r="J46" s="139" t="str">
        <f>IF(booking!Q46&gt;0,"oc","va")</f>
        <v>va</v>
      </c>
      <c r="K46" s="138" t="str">
        <f>IF(booking!T46&gt;0,"oc","va")</f>
        <v>va</v>
      </c>
      <c r="L46" s="139" t="str">
        <f>IF(booking!U46&gt;0,"oc","va")</f>
        <v>va</v>
      </c>
      <c r="M46" s="138" t="str">
        <f>IF(booking!X46&gt;0,"oc","va")</f>
        <v>va</v>
      </c>
      <c r="N46" s="139" t="str">
        <f>IF(booking!Y46&gt;0,"oc","va")</f>
        <v>va</v>
      </c>
    </row>
    <row r="47" spans="1:14" x14ac:dyDescent="0.35">
      <c r="A47" s="5">
        <f>booking!C47</f>
        <v>46548</v>
      </c>
      <c r="B47" s="159" t="str">
        <f>IF(booking!A47=0,"",booking!A47)</f>
        <v>FM</v>
      </c>
      <c r="C47" s="138" t="str">
        <f>IF(booking!D47&gt;0,"oc","va")</f>
        <v>va</v>
      </c>
      <c r="D47" s="139" t="str">
        <f>IF(booking!E47&gt;0,"oc","va")</f>
        <v>va</v>
      </c>
      <c r="E47" s="138" t="str">
        <f>IF(booking!H47&gt;0,"oc","va")</f>
        <v>va</v>
      </c>
      <c r="F47" s="139" t="str">
        <f>IF(booking!I47&gt;0,"oc","va")</f>
        <v>va</v>
      </c>
      <c r="G47" s="138" t="str">
        <f>IF(booking!L47&gt;0,"oc","va")</f>
        <v>va</v>
      </c>
      <c r="H47" s="139" t="str">
        <f>IF(booking!M47&gt;0,"oc","va")</f>
        <v>va</v>
      </c>
      <c r="I47" s="138" t="str">
        <f>IF(booking!P47&gt;0,"oc","va")</f>
        <v>va</v>
      </c>
      <c r="J47" s="139" t="str">
        <f>IF(booking!Q47&gt;0,"oc","va")</f>
        <v>va</v>
      </c>
      <c r="K47" s="138" t="str">
        <f>IF(booking!T47&gt;0,"oc","va")</f>
        <v>va</v>
      </c>
      <c r="L47" s="139" t="str">
        <f>IF(booking!U47&gt;0,"oc","va")</f>
        <v>va</v>
      </c>
      <c r="M47" s="138" t="str">
        <f>IF(booking!X47&gt;0,"oc","va")</f>
        <v>va</v>
      </c>
      <c r="N47" s="139" t="str">
        <f>IF(booking!Y47&gt;0,"oc","va")</f>
        <v>va</v>
      </c>
    </row>
    <row r="48" spans="1:14" x14ac:dyDescent="0.35">
      <c r="A48" s="5">
        <f>booking!C48</f>
        <v>46549</v>
      </c>
      <c r="B48" s="159" t="str">
        <f>IF(booking!A48=0,"",booking!A48)</f>
        <v>FM</v>
      </c>
      <c r="C48" s="138" t="str">
        <f>IF(booking!D48&gt;0,"oc","va")</f>
        <v>va</v>
      </c>
      <c r="D48" s="139" t="str">
        <f>IF(booking!E48&gt;0,"oc","va")</f>
        <v>va</v>
      </c>
      <c r="E48" s="138" t="str">
        <f>IF(booking!H48&gt;0,"oc","va")</f>
        <v>va</v>
      </c>
      <c r="F48" s="139" t="str">
        <f>IF(booking!I48&gt;0,"oc","va")</f>
        <v>va</v>
      </c>
      <c r="G48" s="138" t="str">
        <f>IF(booking!L48&gt;0,"oc","va")</f>
        <v>va</v>
      </c>
      <c r="H48" s="139" t="str">
        <f>IF(booking!M48&gt;0,"oc","va")</f>
        <v>va</v>
      </c>
      <c r="I48" s="138" t="str">
        <f>IF(booking!P48&gt;0,"oc","va")</f>
        <v>va</v>
      </c>
      <c r="J48" s="139" t="str">
        <f>IF(booking!Q48&gt;0,"oc","va")</f>
        <v>va</v>
      </c>
      <c r="K48" s="138" t="str">
        <f>IF(booking!T48&gt;0,"oc","va")</f>
        <v>va</v>
      </c>
      <c r="L48" s="139" t="str">
        <f>IF(booking!U48&gt;0,"oc","va")</f>
        <v>va</v>
      </c>
      <c r="M48" s="138" t="str">
        <f>IF(booking!X48&gt;0,"oc","va")</f>
        <v>va</v>
      </c>
      <c r="N48" s="139" t="str">
        <f>IF(booking!Y48&gt;0,"oc","va")</f>
        <v>va</v>
      </c>
    </row>
    <row r="49" spans="1:14" x14ac:dyDescent="0.35">
      <c r="A49" s="5">
        <f>booking!C49</f>
        <v>46550</v>
      </c>
      <c r="B49" s="159" t="str">
        <f>IF(booking!A49=0,"",booking!A49)</f>
        <v>FM</v>
      </c>
      <c r="C49" s="138" t="str">
        <f>IF(booking!D49&gt;0,"oc","va")</f>
        <v>va</v>
      </c>
      <c r="D49" s="139" t="str">
        <f>IF(booking!E49&gt;0,"oc","va")</f>
        <v>va</v>
      </c>
      <c r="E49" s="138" t="str">
        <f>IF(booking!H49&gt;0,"oc","va")</f>
        <v>va</v>
      </c>
      <c r="F49" s="139" t="str">
        <f>IF(booking!I49&gt;0,"oc","va")</f>
        <v>va</v>
      </c>
      <c r="G49" s="138" t="str">
        <f>IF(booking!L49&gt;0,"oc","va")</f>
        <v>va</v>
      </c>
      <c r="H49" s="139" t="str">
        <f>IF(booking!M49&gt;0,"oc","va")</f>
        <v>va</v>
      </c>
      <c r="I49" s="138" t="str">
        <f>IF(booking!P49&gt;0,"oc","va")</f>
        <v>va</v>
      </c>
      <c r="J49" s="139" t="str">
        <f>IF(booking!Q49&gt;0,"oc","va")</f>
        <v>va</v>
      </c>
      <c r="K49" s="138" t="str">
        <f>IF(booking!T49&gt;0,"oc","va")</f>
        <v>va</v>
      </c>
      <c r="L49" s="139" t="str">
        <f>IF(booking!U49&gt;0,"oc","va")</f>
        <v>va</v>
      </c>
      <c r="M49" s="138" t="str">
        <f>IF(booking!X49&gt;0,"oc","va")</f>
        <v>va</v>
      </c>
      <c r="N49" s="139" t="str">
        <f>IF(booking!Y49&gt;0,"oc","va")</f>
        <v>va</v>
      </c>
    </row>
    <row r="50" spans="1:14" x14ac:dyDescent="0.35">
      <c r="A50" s="5">
        <f>booking!C50</f>
        <v>46551</v>
      </c>
      <c r="B50" s="159" t="str">
        <f>IF(booking!A50=0,"",booking!A50)</f>
        <v>FM</v>
      </c>
      <c r="C50" s="138" t="str">
        <f>IF(booking!D50&gt;0,"oc","va")</f>
        <v>va</v>
      </c>
      <c r="D50" s="139" t="str">
        <f>IF(booking!E50&gt;0,"oc","va")</f>
        <v>va</v>
      </c>
      <c r="E50" s="138" t="str">
        <f>IF(booking!H50&gt;0,"oc","va")</f>
        <v>va</v>
      </c>
      <c r="F50" s="139" t="str">
        <f>IF(booking!I50&gt;0,"oc","va")</f>
        <v>va</v>
      </c>
      <c r="G50" s="138" t="str">
        <f>IF(booking!L50&gt;0,"oc","va")</f>
        <v>va</v>
      </c>
      <c r="H50" s="139" t="str">
        <f>IF(booking!M50&gt;0,"oc","va")</f>
        <v>va</v>
      </c>
      <c r="I50" s="138" t="str">
        <f>IF(booking!P50&gt;0,"oc","va")</f>
        <v>va</v>
      </c>
      <c r="J50" s="139" t="str">
        <f>IF(booking!Q50&gt;0,"oc","va")</f>
        <v>va</v>
      </c>
      <c r="K50" s="138" t="str">
        <f>IF(booking!T50&gt;0,"oc","va")</f>
        <v>va</v>
      </c>
      <c r="L50" s="139" t="str">
        <f>IF(booking!U50&gt;0,"oc","va")</f>
        <v>va</v>
      </c>
      <c r="M50" s="138" t="str">
        <f>IF(booking!X50&gt;0,"oc","va")</f>
        <v>va</v>
      </c>
      <c r="N50" s="139" t="str">
        <f>IF(booking!Y50&gt;0,"oc","va")</f>
        <v>va</v>
      </c>
    </row>
    <row r="51" spans="1:14" x14ac:dyDescent="0.35">
      <c r="A51" s="5">
        <f>booking!C51</f>
        <v>46552</v>
      </c>
      <c r="B51" s="159">
        <f>IF(booking!A51=0,"",booking!A51)</f>
        <v>25</v>
      </c>
      <c r="C51" s="138" t="str">
        <f>IF(booking!D51&gt;0,"oc","va")</f>
        <v>va</v>
      </c>
      <c r="D51" s="139" t="str">
        <f>IF(booking!E51&gt;0,"oc","va")</f>
        <v>va</v>
      </c>
      <c r="E51" s="138" t="str">
        <f>IF(booking!H51&gt;0,"oc","va")</f>
        <v>va</v>
      </c>
      <c r="F51" s="139" t="str">
        <f>IF(booking!I51&gt;0,"oc","va")</f>
        <v>va</v>
      </c>
      <c r="G51" s="138" t="str">
        <f>IF(booking!L51&gt;0,"oc","va")</f>
        <v>va</v>
      </c>
      <c r="H51" s="139" t="str">
        <f>IF(booking!M51&gt;0,"oc","va")</f>
        <v>va</v>
      </c>
      <c r="I51" s="138" t="str">
        <f>IF(booking!P51&gt;0,"oc","va")</f>
        <v>va</v>
      </c>
      <c r="J51" s="139" t="str">
        <f>IF(booking!Q51&gt;0,"oc","va")</f>
        <v>va</v>
      </c>
      <c r="K51" s="138" t="str">
        <f>IF(booking!T51&gt;0,"oc","va")</f>
        <v>va</v>
      </c>
      <c r="L51" s="139" t="str">
        <f>IF(booking!U51&gt;0,"oc","va")</f>
        <v>va</v>
      </c>
      <c r="M51" s="138" t="str">
        <f>IF(booking!X51&gt;0,"oc","va")</f>
        <v>va</v>
      </c>
      <c r="N51" s="139" t="str">
        <f>IF(booking!Y51&gt;0,"oc","va")</f>
        <v>va</v>
      </c>
    </row>
    <row r="52" spans="1:14" x14ac:dyDescent="0.35">
      <c r="A52" s="5">
        <f>booking!C52</f>
        <v>46553</v>
      </c>
      <c r="B52" s="159" t="str">
        <f>IF(booking!A52=0,"",booking!A52)</f>
        <v/>
      </c>
      <c r="C52" s="138" t="str">
        <f>IF(booking!D52&gt;0,"oc","va")</f>
        <v>va</v>
      </c>
      <c r="D52" s="139" t="str">
        <f>IF(booking!E52&gt;0,"oc","va")</f>
        <v>va</v>
      </c>
      <c r="E52" s="138" t="str">
        <f>IF(booking!H52&gt;0,"oc","va")</f>
        <v>va</v>
      </c>
      <c r="F52" s="139" t="str">
        <f>IF(booking!I52&gt;0,"oc","va")</f>
        <v>va</v>
      </c>
      <c r="G52" s="138" t="str">
        <f>IF(booking!L52&gt;0,"oc","va")</f>
        <v>va</v>
      </c>
      <c r="H52" s="139" t="str">
        <f>IF(booking!M52&gt;0,"oc","va")</f>
        <v>va</v>
      </c>
      <c r="I52" s="138" t="str">
        <f>IF(booking!P52&gt;0,"oc","va")</f>
        <v>va</v>
      </c>
      <c r="J52" s="139" t="str">
        <f>IF(booking!Q52&gt;0,"oc","va")</f>
        <v>va</v>
      </c>
      <c r="K52" s="138" t="str">
        <f>IF(booking!T52&gt;0,"oc","va")</f>
        <v>va</v>
      </c>
      <c r="L52" s="139" t="str">
        <f>IF(booking!U52&gt;0,"oc","va")</f>
        <v>va</v>
      </c>
      <c r="M52" s="138" t="str">
        <f>IF(booking!X52&gt;0,"oc","va")</f>
        <v>va</v>
      </c>
      <c r="N52" s="139" t="str">
        <f>IF(booking!Y52&gt;0,"oc","va")</f>
        <v>va</v>
      </c>
    </row>
    <row r="53" spans="1:14" x14ac:dyDescent="0.35">
      <c r="A53" s="5">
        <f>booking!C53</f>
        <v>46554</v>
      </c>
      <c r="B53" s="159" t="str">
        <f>IF(booking!A53=0,"",booking!A53)</f>
        <v/>
      </c>
      <c r="C53" s="138" t="str">
        <f>IF(booking!D53&gt;0,"oc","va")</f>
        <v>va</v>
      </c>
      <c r="D53" s="139" t="str">
        <f>IF(booking!E53&gt;0,"oc","va")</f>
        <v>va</v>
      </c>
      <c r="E53" s="138" t="str">
        <f>IF(booking!H53&gt;0,"oc","va")</f>
        <v>va</v>
      </c>
      <c r="F53" s="139" t="str">
        <f>IF(booking!I53&gt;0,"oc","va")</f>
        <v>va</v>
      </c>
      <c r="G53" s="138" t="str">
        <f>IF(booking!L53&gt;0,"oc","va")</f>
        <v>va</v>
      </c>
      <c r="H53" s="139" t="str">
        <f>IF(booking!M53&gt;0,"oc","va")</f>
        <v>va</v>
      </c>
      <c r="I53" s="138" t="str">
        <f>IF(booking!P53&gt;0,"oc","va")</f>
        <v>va</v>
      </c>
      <c r="J53" s="139" t="str">
        <f>IF(booking!Q53&gt;0,"oc","va")</f>
        <v>va</v>
      </c>
      <c r="K53" s="138" t="str">
        <f>IF(booking!T53&gt;0,"oc","va")</f>
        <v>va</v>
      </c>
      <c r="L53" s="139" t="str">
        <f>IF(booking!U53&gt;0,"oc","va")</f>
        <v>va</v>
      </c>
      <c r="M53" s="138" t="str">
        <f>IF(booking!X53&gt;0,"oc","va")</f>
        <v>va</v>
      </c>
      <c r="N53" s="139" t="str">
        <f>IF(booking!Y53&gt;0,"oc","va")</f>
        <v>va</v>
      </c>
    </row>
    <row r="54" spans="1:14" x14ac:dyDescent="0.35">
      <c r="A54" s="5">
        <f>booking!C54</f>
        <v>46555</v>
      </c>
      <c r="B54" s="159" t="str">
        <f>IF(booking!A54=0,"",booking!A54)</f>
        <v/>
      </c>
      <c r="C54" s="138" t="str">
        <f>IF(booking!D54&gt;0,"oc","va")</f>
        <v>va</v>
      </c>
      <c r="D54" s="139" t="str">
        <f>IF(booking!E54&gt;0,"oc","va")</f>
        <v>va</v>
      </c>
      <c r="E54" s="138" t="str">
        <f>IF(booking!H54&gt;0,"oc","va")</f>
        <v>va</v>
      </c>
      <c r="F54" s="139" t="str">
        <f>IF(booking!I54&gt;0,"oc","va")</f>
        <v>va</v>
      </c>
      <c r="G54" s="138" t="str">
        <f>IF(booking!L54&gt;0,"oc","va")</f>
        <v>va</v>
      </c>
      <c r="H54" s="139" t="str">
        <f>IF(booking!M54&gt;0,"oc","va")</f>
        <v>va</v>
      </c>
      <c r="I54" s="138" t="str">
        <f>IF(booking!P54&gt;0,"oc","va")</f>
        <v>va</v>
      </c>
      <c r="J54" s="139" t="str">
        <f>IF(booking!Q54&gt;0,"oc","va")</f>
        <v>va</v>
      </c>
      <c r="K54" s="138" t="str">
        <f>IF(booking!T54&gt;0,"oc","va")</f>
        <v>va</v>
      </c>
      <c r="L54" s="139" t="str">
        <f>IF(booking!U54&gt;0,"oc","va")</f>
        <v>va</v>
      </c>
      <c r="M54" s="138" t="str">
        <f>IF(booking!X54&gt;0,"oc","va")</f>
        <v>va</v>
      </c>
      <c r="N54" s="139" t="str">
        <f>IF(booking!Y54&gt;0,"oc","va")</f>
        <v>va</v>
      </c>
    </row>
    <row r="55" spans="1:14" x14ac:dyDescent="0.35">
      <c r="A55" s="5">
        <f>booking!C55</f>
        <v>46556</v>
      </c>
      <c r="B55" s="159" t="str">
        <f>IF(booking!A55=0,"",booking!A55)</f>
        <v/>
      </c>
      <c r="C55" s="138" t="str">
        <f>IF(booking!D55&gt;0,"oc","va")</f>
        <v>va</v>
      </c>
      <c r="D55" s="139" t="str">
        <f>IF(booking!E55&gt;0,"oc","va")</f>
        <v>va</v>
      </c>
      <c r="E55" s="138" t="str">
        <f>IF(booking!H55&gt;0,"oc","va")</f>
        <v>va</v>
      </c>
      <c r="F55" s="139" t="str">
        <f>IF(booking!I55&gt;0,"oc","va")</f>
        <v>va</v>
      </c>
      <c r="G55" s="138" t="str">
        <f>IF(booking!L55&gt;0,"oc","va")</f>
        <v>va</v>
      </c>
      <c r="H55" s="139" t="str">
        <f>IF(booking!M55&gt;0,"oc","va")</f>
        <v>va</v>
      </c>
      <c r="I55" s="138" t="str">
        <f>IF(booking!P55&gt;0,"oc","va")</f>
        <v>va</v>
      </c>
      <c r="J55" s="139" t="str">
        <f>IF(booking!Q55&gt;0,"oc","va")</f>
        <v>va</v>
      </c>
      <c r="K55" s="138" t="str">
        <f>IF(booking!T55&gt;0,"oc","va")</f>
        <v>va</v>
      </c>
      <c r="L55" s="139" t="str">
        <f>IF(booking!U55&gt;0,"oc","va")</f>
        <v>va</v>
      </c>
      <c r="M55" s="138" t="str">
        <f>IF(booking!X55&gt;0,"oc","va")</f>
        <v>va</v>
      </c>
      <c r="N55" s="139" t="str">
        <f>IF(booking!Y55&gt;0,"oc","va")</f>
        <v>va</v>
      </c>
    </row>
    <row r="56" spans="1:14" x14ac:dyDescent="0.35">
      <c r="A56" s="5">
        <f>booking!C56</f>
        <v>46557</v>
      </c>
      <c r="B56" s="159" t="str">
        <f>IF(booking!A56=0,"",booking!A56)</f>
        <v/>
      </c>
      <c r="C56" s="138" t="str">
        <f>IF(booking!D56&gt;0,"oc","va")</f>
        <v>va</v>
      </c>
      <c r="D56" s="139" t="str">
        <f>IF(booking!E56&gt;0,"oc","va")</f>
        <v>va</v>
      </c>
      <c r="E56" s="138" t="str">
        <f>IF(booking!H56&gt;0,"oc","va")</f>
        <v>va</v>
      </c>
      <c r="F56" s="139" t="str">
        <f>IF(booking!I56&gt;0,"oc","va")</f>
        <v>va</v>
      </c>
      <c r="G56" s="138" t="str">
        <f>IF(booking!L56&gt;0,"oc","va")</f>
        <v>va</v>
      </c>
      <c r="H56" s="139" t="str">
        <f>IF(booking!M56&gt;0,"oc","va")</f>
        <v>va</v>
      </c>
      <c r="I56" s="138" t="str">
        <f>IF(booking!P56&gt;0,"oc","va")</f>
        <v>va</v>
      </c>
      <c r="J56" s="139" t="str">
        <f>IF(booking!Q56&gt;0,"oc","va")</f>
        <v>va</v>
      </c>
      <c r="K56" s="138" t="str">
        <f>IF(booking!T56&gt;0,"oc","va")</f>
        <v>va</v>
      </c>
      <c r="L56" s="139" t="str">
        <f>IF(booking!U56&gt;0,"oc","va")</f>
        <v>va</v>
      </c>
      <c r="M56" s="138" t="str">
        <f>IF(booking!X56&gt;0,"oc","va")</f>
        <v>va</v>
      </c>
      <c r="N56" s="139" t="str">
        <f>IF(booking!Y56&gt;0,"oc","va")</f>
        <v>va</v>
      </c>
    </row>
    <row r="57" spans="1:14" x14ac:dyDescent="0.35">
      <c r="A57" s="5">
        <f>booking!C57</f>
        <v>46558</v>
      </c>
      <c r="B57" s="159" t="str">
        <f>IF(booking!A57=0,"",booking!A57)</f>
        <v/>
      </c>
      <c r="C57" s="138" t="str">
        <f>IF(booking!D57&gt;0,"oc","va")</f>
        <v>va</v>
      </c>
      <c r="D57" s="139" t="str">
        <f>IF(booking!E57&gt;0,"oc","va")</f>
        <v>va</v>
      </c>
      <c r="E57" s="138" t="str">
        <f>IF(booking!H57&gt;0,"oc","va")</f>
        <v>va</v>
      </c>
      <c r="F57" s="139" t="str">
        <f>IF(booking!I57&gt;0,"oc","va")</f>
        <v>va</v>
      </c>
      <c r="G57" s="138" t="str">
        <f>IF(booking!L57&gt;0,"oc","va")</f>
        <v>va</v>
      </c>
      <c r="H57" s="139" t="str">
        <f>IF(booking!M57&gt;0,"oc","va")</f>
        <v>va</v>
      </c>
      <c r="I57" s="138" t="str">
        <f>IF(booking!P57&gt;0,"oc","va")</f>
        <v>va</v>
      </c>
      <c r="J57" s="139" t="str">
        <f>IF(booking!Q57&gt;0,"oc","va")</f>
        <v>va</v>
      </c>
      <c r="K57" s="138" t="str">
        <f>IF(booking!T57&gt;0,"oc","va")</f>
        <v>va</v>
      </c>
      <c r="L57" s="139" t="str">
        <f>IF(booking!U57&gt;0,"oc","va")</f>
        <v>va</v>
      </c>
      <c r="M57" s="138" t="str">
        <f>IF(booking!X57&gt;0,"oc","va")</f>
        <v>va</v>
      </c>
      <c r="N57" s="139" t="str">
        <f>IF(booking!Y57&gt;0,"oc","va")</f>
        <v>va</v>
      </c>
    </row>
    <row r="58" spans="1:14" x14ac:dyDescent="0.35">
      <c r="A58" s="5">
        <f>booking!C58</f>
        <v>46559</v>
      </c>
      <c r="B58" s="159">
        <f>IF(booking!A58=0,"",booking!A58)</f>
        <v>26</v>
      </c>
      <c r="C58" s="138" t="str">
        <f>IF(booking!D58&gt;0,"oc","va")</f>
        <v>va</v>
      </c>
      <c r="D58" s="139" t="str">
        <f>IF(booking!E58&gt;0,"oc","va")</f>
        <v>va</v>
      </c>
      <c r="E58" s="138" t="str">
        <f>IF(booking!H58&gt;0,"oc","va")</f>
        <v>va</v>
      </c>
      <c r="F58" s="139" t="str">
        <f>IF(booking!I58&gt;0,"oc","va")</f>
        <v>va</v>
      </c>
      <c r="G58" s="138" t="str">
        <f>IF(booking!L58&gt;0,"oc","va")</f>
        <v>va</v>
      </c>
      <c r="H58" s="139" t="str">
        <f>IF(booking!M58&gt;0,"oc","va")</f>
        <v>va</v>
      </c>
      <c r="I58" s="138" t="str">
        <f>IF(booking!P58&gt;0,"oc","va")</f>
        <v>va</v>
      </c>
      <c r="J58" s="139" t="str">
        <f>IF(booking!Q58&gt;0,"oc","va")</f>
        <v>va</v>
      </c>
      <c r="K58" s="138" t="str">
        <f>IF(booking!T58&gt;0,"oc","va")</f>
        <v>va</v>
      </c>
      <c r="L58" s="139" t="str">
        <f>IF(booking!U58&gt;0,"oc","va")</f>
        <v>va</v>
      </c>
      <c r="M58" s="138" t="str">
        <f>IF(booking!X58&gt;0,"oc","va")</f>
        <v>va</v>
      </c>
      <c r="N58" s="139" t="str">
        <f>IF(booking!Y58&gt;0,"oc","va")</f>
        <v>va</v>
      </c>
    </row>
    <row r="59" spans="1:14" x14ac:dyDescent="0.35">
      <c r="A59" s="5">
        <f>booking!C59</f>
        <v>46560</v>
      </c>
      <c r="B59" s="159" t="str">
        <f>IF(booking!A59=0,"",booking!A59)</f>
        <v/>
      </c>
      <c r="C59" s="138" t="str">
        <f>IF(booking!D59&gt;0,"oc","va")</f>
        <v>va</v>
      </c>
      <c r="D59" s="139" t="str">
        <f>IF(booking!E59&gt;0,"oc","va")</f>
        <v>va</v>
      </c>
      <c r="E59" s="138" t="str">
        <f>IF(booking!H59&gt;0,"oc","va")</f>
        <v>va</v>
      </c>
      <c r="F59" s="139" t="str">
        <f>IF(booking!I59&gt;0,"oc","va")</f>
        <v>va</v>
      </c>
      <c r="G59" s="138" t="str">
        <f>IF(booking!L59&gt;0,"oc","va")</f>
        <v>va</v>
      </c>
      <c r="H59" s="139" t="str">
        <f>IF(booking!M59&gt;0,"oc","va")</f>
        <v>va</v>
      </c>
      <c r="I59" s="138" t="str">
        <f>IF(booking!P59&gt;0,"oc","va")</f>
        <v>va</v>
      </c>
      <c r="J59" s="139" t="str">
        <f>IF(booking!Q59&gt;0,"oc","va")</f>
        <v>va</v>
      </c>
      <c r="K59" s="138" t="str">
        <f>IF(booking!T59&gt;0,"oc","va")</f>
        <v>va</v>
      </c>
      <c r="L59" s="139" t="str">
        <f>IF(booking!U59&gt;0,"oc","va")</f>
        <v>va</v>
      </c>
      <c r="M59" s="138" t="str">
        <f>IF(booking!X59&gt;0,"oc","va")</f>
        <v>va</v>
      </c>
      <c r="N59" s="139" t="str">
        <f>IF(booking!Y59&gt;0,"oc","va")</f>
        <v>va</v>
      </c>
    </row>
    <row r="60" spans="1:14" x14ac:dyDescent="0.35">
      <c r="A60" s="5">
        <f>booking!C60</f>
        <v>46561</v>
      </c>
      <c r="B60" s="159" t="str">
        <f>IF(booking!A60=0,"",booking!A60)</f>
        <v/>
      </c>
      <c r="C60" s="138" t="str">
        <f>IF(booking!D60&gt;0,"oc","va")</f>
        <v>va</v>
      </c>
      <c r="D60" s="139" t="str">
        <f>IF(booking!E60&gt;0,"oc","va")</f>
        <v>va</v>
      </c>
      <c r="E60" s="138" t="str">
        <f>IF(booking!H60&gt;0,"oc","va")</f>
        <v>va</v>
      </c>
      <c r="F60" s="139" t="str">
        <f>IF(booking!I60&gt;0,"oc","va")</f>
        <v>va</v>
      </c>
      <c r="G60" s="138" t="str">
        <f>IF(booking!L60&gt;0,"oc","va")</f>
        <v>va</v>
      </c>
      <c r="H60" s="139" t="str">
        <f>IF(booking!M60&gt;0,"oc","va")</f>
        <v>va</v>
      </c>
      <c r="I60" s="138" t="str">
        <f>IF(booking!P60&gt;0,"oc","va")</f>
        <v>va</v>
      </c>
      <c r="J60" s="139" t="str">
        <f>IF(booking!Q60&gt;0,"oc","va")</f>
        <v>va</v>
      </c>
      <c r="K60" s="138" t="str">
        <f>IF(booking!T60&gt;0,"oc","va")</f>
        <v>va</v>
      </c>
      <c r="L60" s="139" t="str">
        <f>IF(booking!U60&gt;0,"oc","va")</f>
        <v>va</v>
      </c>
      <c r="M60" s="138" t="str">
        <f>IF(booking!X60&gt;0,"oc","va")</f>
        <v>va</v>
      </c>
      <c r="N60" s="139" t="str">
        <f>IF(booking!Y60&gt;0,"oc","va")</f>
        <v>va</v>
      </c>
    </row>
    <row r="61" spans="1:14" x14ac:dyDescent="0.35">
      <c r="A61" s="5">
        <f>booking!C61</f>
        <v>46562</v>
      </c>
      <c r="B61" s="159" t="str">
        <f>IF(booking!A61=0,"",booking!A61)</f>
        <v/>
      </c>
      <c r="C61" s="138" t="str">
        <f>IF(booking!D61&gt;0,"oc","va")</f>
        <v>va</v>
      </c>
      <c r="D61" s="139" t="str">
        <f>IF(booking!E61&gt;0,"oc","va")</f>
        <v>va</v>
      </c>
      <c r="E61" s="138" t="str">
        <f>IF(booking!H61&gt;0,"oc","va")</f>
        <v>va</v>
      </c>
      <c r="F61" s="139" t="str">
        <f>IF(booking!I61&gt;0,"oc","va")</f>
        <v>va</v>
      </c>
      <c r="G61" s="138" t="str">
        <f>IF(booking!L61&gt;0,"oc","va")</f>
        <v>va</v>
      </c>
      <c r="H61" s="139" t="str">
        <f>IF(booking!M61&gt;0,"oc","va")</f>
        <v>va</v>
      </c>
      <c r="I61" s="138" t="str">
        <f>IF(booking!P61&gt;0,"oc","va")</f>
        <v>va</v>
      </c>
      <c r="J61" s="139" t="str">
        <f>IF(booking!Q61&gt;0,"oc","va")</f>
        <v>va</v>
      </c>
      <c r="K61" s="138" t="str">
        <f>IF(booking!T61&gt;0,"oc","va")</f>
        <v>va</v>
      </c>
      <c r="L61" s="139" t="str">
        <f>IF(booking!U61&gt;0,"oc","va")</f>
        <v>va</v>
      </c>
      <c r="M61" s="138" t="str">
        <f>IF(booking!X61&gt;0,"oc","va")</f>
        <v>va</v>
      </c>
      <c r="N61" s="139" t="str">
        <f>IF(booking!Y61&gt;0,"oc","va")</f>
        <v>va</v>
      </c>
    </row>
    <row r="62" spans="1:14" x14ac:dyDescent="0.35">
      <c r="A62" s="5">
        <f>booking!C62</f>
        <v>46563</v>
      </c>
      <c r="B62" s="159" t="str">
        <f>IF(booking!A62=0,"",booking!A62)</f>
        <v/>
      </c>
      <c r="C62" s="138" t="str">
        <f>IF(booking!D62&gt;0,"oc","va")</f>
        <v>va</v>
      </c>
      <c r="D62" s="139" t="str">
        <f>IF(booking!E62&gt;0,"oc","va")</f>
        <v>va</v>
      </c>
      <c r="E62" s="138" t="str">
        <f>IF(booking!H62&gt;0,"oc","va")</f>
        <v>va</v>
      </c>
      <c r="F62" s="139" t="str">
        <f>IF(booking!I62&gt;0,"oc","va")</f>
        <v>va</v>
      </c>
      <c r="G62" s="138" t="str">
        <f>IF(booking!L62&gt;0,"oc","va")</f>
        <v>va</v>
      </c>
      <c r="H62" s="139" t="str">
        <f>IF(booking!M62&gt;0,"oc","va")</f>
        <v>va</v>
      </c>
      <c r="I62" s="138" t="str">
        <f>IF(booking!P62&gt;0,"oc","va")</f>
        <v>va</v>
      </c>
      <c r="J62" s="139" t="str">
        <f>IF(booking!Q62&gt;0,"oc","va")</f>
        <v>va</v>
      </c>
      <c r="K62" s="138" t="str">
        <f>IF(booking!T62&gt;0,"oc","va")</f>
        <v>va</v>
      </c>
      <c r="L62" s="139" t="str">
        <f>IF(booking!U62&gt;0,"oc","va")</f>
        <v>va</v>
      </c>
      <c r="M62" s="138" t="str">
        <f>IF(booking!X62&gt;0,"oc","va")</f>
        <v>va</v>
      </c>
      <c r="N62" s="139" t="str">
        <f>IF(booking!Y62&gt;0,"oc","va")</f>
        <v>va</v>
      </c>
    </row>
    <row r="63" spans="1:14" x14ac:dyDescent="0.35">
      <c r="A63" s="5">
        <f>booking!C63</f>
        <v>46564</v>
      </c>
      <c r="B63" s="159" t="str">
        <f>IF(booking!A63=0,"",booking!A63)</f>
        <v/>
      </c>
      <c r="C63" s="138" t="str">
        <f>IF(booking!D63&gt;0,"oc","va")</f>
        <v>va</v>
      </c>
      <c r="D63" s="139" t="str">
        <f>IF(booking!E63&gt;0,"oc","va")</f>
        <v>va</v>
      </c>
      <c r="E63" s="138" t="str">
        <f>IF(booking!H63&gt;0,"oc","va")</f>
        <v>va</v>
      </c>
      <c r="F63" s="139" t="str">
        <f>IF(booking!I63&gt;0,"oc","va")</f>
        <v>va</v>
      </c>
      <c r="G63" s="138" t="str">
        <f>IF(booking!L63&gt;0,"oc","va")</f>
        <v>va</v>
      </c>
      <c r="H63" s="139" t="str">
        <f>IF(booking!M63&gt;0,"oc","va")</f>
        <v>va</v>
      </c>
      <c r="I63" s="138" t="str">
        <f>IF(booking!P63&gt;0,"oc","va")</f>
        <v>va</v>
      </c>
      <c r="J63" s="139" t="str">
        <f>IF(booking!Q63&gt;0,"oc","va")</f>
        <v>va</v>
      </c>
      <c r="K63" s="138" t="str">
        <f>IF(booking!T63&gt;0,"oc","va")</f>
        <v>va</v>
      </c>
      <c r="L63" s="139" t="str">
        <f>IF(booking!U63&gt;0,"oc","va")</f>
        <v>va</v>
      </c>
      <c r="M63" s="138" t="str">
        <f>IF(booking!X63&gt;0,"oc","va")</f>
        <v>va</v>
      </c>
      <c r="N63" s="139" t="str">
        <f>IF(booking!Y63&gt;0,"oc","va")</f>
        <v>va</v>
      </c>
    </row>
    <row r="64" spans="1:14" x14ac:dyDescent="0.35">
      <c r="A64" s="5">
        <f>booking!C64</f>
        <v>46565</v>
      </c>
      <c r="B64" s="159" t="str">
        <f>IF(booking!A64=0,"",booking!A64)</f>
        <v/>
      </c>
      <c r="C64" s="138" t="str">
        <f>IF(booking!D64&gt;0,"oc","va")</f>
        <v>va</v>
      </c>
      <c r="D64" s="139" t="str">
        <f>IF(booking!E64&gt;0,"oc","va")</f>
        <v>va</v>
      </c>
      <c r="E64" s="138" t="str">
        <f>IF(booking!H64&gt;0,"oc","va")</f>
        <v>va</v>
      </c>
      <c r="F64" s="139" t="str">
        <f>IF(booking!I64&gt;0,"oc","va")</f>
        <v>va</v>
      </c>
      <c r="G64" s="138" t="str">
        <f>IF(booking!L64&gt;0,"oc","va")</f>
        <v>va</v>
      </c>
      <c r="H64" s="139" t="str">
        <f>IF(booking!M64&gt;0,"oc","va")</f>
        <v>va</v>
      </c>
      <c r="I64" s="138" t="str">
        <f>IF(booking!P64&gt;0,"oc","va")</f>
        <v>va</v>
      </c>
      <c r="J64" s="139" t="str">
        <f>IF(booking!Q64&gt;0,"oc","va")</f>
        <v>va</v>
      </c>
      <c r="K64" s="138" t="str">
        <f>IF(booking!T64&gt;0,"oc","va")</f>
        <v>va</v>
      </c>
      <c r="L64" s="139" t="str">
        <f>IF(booking!U64&gt;0,"oc","va")</f>
        <v>va</v>
      </c>
      <c r="M64" s="138" t="str">
        <f>IF(booking!X64&gt;0,"oc","va")</f>
        <v>va</v>
      </c>
      <c r="N64" s="139" t="str">
        <f>IF(booking!Y64&gt;0,"oc","va")</f>
        <v>va</v>
      </c>
    </row>
    <row r="65" spans="1:14" x14ac:dyDescent="0.35">
      <c r="A65" s="5">
        <f>booking!C65</f>
        <v>46566</v>
      </c>
      <c r="B65" s="159">
        <f>IF(booking!A65=0,"",booking!A65)</f>
        <v>27</v>
      </c>
      <c r="C65" s="138" t="str">
        <f>IF(booking!D65&gt;0,"oc","va")</f>
        <v>va</v>
      </c>
      <c r="D65" s="139" t="str">
        <f>IF(booking!E65&gt;0,"oc","va")</f>
        <v>va</v>
      </c>
      <c r="E65" s="138" t="str">
        <f>IF(booking!H65&gt;0,"oc","va")</f>
        <v>va</v>
      </c>
      <c r="F65" s="139" t="str">
        <f>IF(booking!I65&gt;0,"oc","va")</f>
        <v>va</v>
      </c>
      <c r="G65" s="138" t="str">
        <f>IF(booking!L65&gt;0,"oc","va")</f>
        <v>va</v>
      </c>
      <c r="H65" s="139" t="str">
        <f>IF(booking!M65&gt;0,"oc","va")</f>
        <v>va</v>
      </c>
      <c r="I65" s="138" t="str">
        <f>IF(booking!P65&gt;0,"oc","va")</f>
        <v>va</v>
      </c>
      <c r="J65" s="139" t="str">
        <f>IF(booking!Q65&gt;0,"oc","va")</f>
        <v>va</v>
      </c>
      <c r="K65" s="138" t="str">
        <f>IF(booking!T65&gt;0,"oc","va")</f>
        <v>va</v>
      </c>
      <c r="L65" s="139" t="str">
        <f>IF(booking!U65&gt;0,"oc","va")</f>
        <v>va</v>
      </c>
      <c r="M65" s="138" t="str">
        <f>IF(booking!X65&gt;0,"oc","va")</f>
        <v>va</v>
      </c>
      <c r="N65" s="139" t="str">
        <f>IF(booking!Y65&gt;0,"oc","va")</f>
        <v>va</v>
      </c>
    </row>
    <row r="66" spans="1:14" x14ac:dyDescent="0.35">
      <c r="A66" s="5">
        <f>booking!C66</f>
        <v>46567</v>
      </c>
      <c r="B66" s="159" t="str">
        <f>IF(booking!A66=0,"",booking!A66)</f>
        <v/>
      </c>
      <c r="C66" s="138" t="str">
        <f>IF(booking!D66&gt;0,"oc","va")</f>
        <v>va</v>
      </c>
      <c r="D66" s="139" t="str">
        <f>IF(booking!E66&gt;0,"oc","va")</f>
        <v>va</v>
      </c>
      <c r="E66" s="138" t="str">
        <f>IF(booking!H66&gt;0,"oc","va")</f>
        <v>va</v>
      </c>
      <c r="F66" s="139" t="str">
        <f>IF(booking!I66&gt;0,"oc","va")</f>
        <v>va</v>
      </c>
      <c r="G66" s="138" t="str">
        <f>IF(booking!L66&gt;0,"oc","va")</f>
        <v>va</v>
      </c>
      <c r="H66" s="139" t="str">
        <f>IF(booking!M66&gt;0,"oc","va")</f>
        <v>va</v>
      </c>
      <c r="I66" s="138" t="str">
        <f>IF(booking!P66&gt;0,"oc","va")</f>
        <v>va</v>
      </c>
      <c r="J66" s="139" t="str">
        <f>IF(booking!Q66&gt;0,"oc","va")</f>
        <v>va</v>
      </c>
      <c r="K66" s="138" t="str">
        <f>IF(booking!T66&gt;0,"oc","va")</f>
        <v>va</v>
      </c>
      <c r="L66" s="139" t="str">
        <f>IF(booking!U66&gt;0,"oc","va")</f>
        <v>va</v>
      </c>
      <c r="M66" s="138" t="str">
        <f>IF(booking!X66&gt;0,"oc","va")</f>
        <v>va</v>
      </c>
      <c r="N66" s="139" t="str">
        <f>IF(booking!Y66&gt;0,"oc","va")</f>
        <v>va</v>
      </c>
    </row>
    <row r="67" spans="1:14" x14ac:dyDescent="0.35">
      <c r="A67" s="5">
        <f>booking!C67</f>
        <v>46568</v>
      </c>
      <c r="B67" s="159" t="str">
        <f>IF(booking!A67=0,"",booking!A67)</f>
        <v/>
      </c>
      <c r="C67" s="138" t="str">
        <f>IF(booking!D67&gt;0,"oc","va")</f>
        <v>va</v>
      </c>
      <c r="D67" s="139" t="str">
        <f>IF(booking!E67&gt;0,"oc","va")</f>
        <v>va</v>
      </c>
      <c r="E67" s="138" t="str">
        <f>IF(booking!H67&gt;0,"oc","va")</f>
        <v>va</v>
      </c>
      <c r="F67" s="139" t="str">
        <f>IF(booking!I67&gt;0,"oc","va")</f>
        <v>va</v>
      </c>
      <c r="G67" s="138" t="str">
        <f>IF(booking!L67&gt;0,"oc","va")</f>
        <v>va</v>
      </c>
      <c r="H67" s="139" t="str">
        <f>IF(booking!M67&gt;0,"oc","va")</f>
        <v>va</v>
      </c>
      <c r="I67" s="138" t="str">
        <f>IF(booking!P67&gt;0,"oc","va")</f>
        <v>va</v>
      </c>
      <c r="J67" s="139" t="str">
        <f>IF(booking!Q67&gt;0,"oc","va")</f>
        <v>va</v>
      </c>
      <c r="K67" s="138" t="str">
        <f>IF(booking!T67&gt;0,"oc","va")</f>
        <v>va</v>
      </c>
      <c r="L67" s="139" t="str">
        <f>IF(booking!U67&gt;0,"oc","va")</f>
        <v>va</v>
      </c>
      <c r="M67" s="138" t="str">
        <f>IF(booking!X67&gt;0,"oc","va")</f>
        <v>va</v>
      </c>
      <c r="N67" s="139" t="str">
        <f>IF(booking!Y67&gt;0,"oc","va")</f>
        <v>va</v>
      </c>
    </row>
    <row r="68" spans="1:14" x14ac:dyDescent="0.35">
      <c r="A68" s="5">
        <f>booking!C68</f>
        <v>46569</v>
      </c>
      <c r="B68" s="159" t="str">
        <f>IF(booking!A68=0,"",booking!A68)</f>
        <v/>
      </c>
      <c r="C68" s="138" t="str">
        <f>IF(booking!D68&gt;0,"oc","va")</f>
        <v>va</v>
      </c>
      <c r="D68" s="139" t="str">
        <f>IF(booking!E68&gt;0,"oc","va")</f>
        <v>va</v>
      </c>
      <c r="E68" s="138" t="str">
        <f>IF(booking!H68&gt;0,"oc","va")</f>
        <v>va</v>
      </c>
      <c r="F68" s="139" t="str">
        <f>IF(booking!I68&gt;0,"oc","va")</f>
        <v>va</v>
      </c>
      <c r="G68" s="138" t="str">
        <f>IF(booking!L68&gt;0,"oc","va")</f>
        <v>va</v>
      </c>
      <c r="H68" s="139" t="str">
        <f>IF(booking!M68&gt;0,"oc","va")</f>
        <v>va</v>
      </c>
      <c r="I68" s="138" t="str">
        <f>IF(booking!P68&gt;0,"oc","va")</f>
        <v>va</v>
      </c>
      <c r="J68" s="139" t="str">
        <f>IF(booking!Q68&gt;0,"oc","va")</f>
        <v>va</v>
      </c>
      <c r="K68" s="138" t="str">
        <f>IF(booking!T68&gt;0,"oc","va")</f>
        <v>va</v>
      </c>
      <c r="L68" s="139" t="str">
        <f>IF(booking!U68&gt;0,"oc","va")</f>
        <v>va</v>
      </c>
      <c r="M68" s="138" t="str">
        <f>IF(booking!X68&gt;0,"oc","va")</f>
        <v>va</v>
      </c>
      <c r="N68" s="139" t="str">
        <f>IF(booking!Y68&gt;0,"oc","va")</f>
        <v>va</v>
      </c>
    </row>
    <row r="69" spans="1:14" x14ac:dyDescent="0.35">
      <c r="A69" s="5">
        <f>booking!C69</f>
        <v>46570</v>
      </c>
      <c r="B69" s="159" t="str">
        <f>IF(booking!A69=0,"",booking!A69)</f>
        <v/>
      </c>
      <c r="C69" s="138" t="str">
        <f>IF(booking!D69&gt;0,"oc","va")</f>
        <v>va</v>
      </c>
      <c r="D69" s="139" t="str">
        <f>IF(booking!E69&gt;0,"oc","va")</f>
        <v>va</v>
      </c>
      <c r="E69" s="138" t="str">
        <f>IF(booking!H69&gt;0,"oc","va")</f>
        <v>va</v>
      </c>
      <c r="F69" s="139" t="str">
        <f>IF(booking!I69&gt;0,"oc","va")</f>
        <v>va</v>
      </c>
      <c r="G69" s="138" t="str">
        <f>IF(booking!L69&gt;0,"oc","va")</f>
        <v>va</v>
      </c>
      <c r="H69" s="139" t="str">
        <f>IF(booking!M69&gt;0,"oc","va")</f>
        <v>va</v>
      </c>
      <c r="I69" s="138" t="str">
        <f>IF(booking!P69&gt;0,"oc","va")</f>
        <v>va</v>
      </c>
      <c r="J69" s="139" t="str">
        <f>IF(booking!Q69&gt;0,"oc","va")</f>
        <v>va</v>
      </c>
      <c r="K69" s="138" t="str">
        <f>IF(booking!T69&gt;0,"oc","va")</f>
        <v>va</v>
      </c>
      <c r="L69" s="139" t="str">
        <f>IF(booking!U69&gt;0,"oc","va")</f>
        <v>va</v>
      </c>
      <c r="M69" s="138" t="str">
        <f>IF(booking!X69&gt;0,"oc","va")</f>
        <v>va</v>
      </c>
      <c r="N69" s="139" t="str">
        <f>IF(booking!Y69&gt;0,"oc","va")</f>
        <v>va</v>
      </c>
    </row>
    <row r="70" spans="1:14" x14ac:dyDescent="0.35">
      <c r="A70" s="5">
        <f>booking!C70</f>
        <v>46571</v>
      </c>
      <c r="B70" s="159" t="str">
        <f>IF(booking!A70=0,"",booking!A70)</f>
        <v/>
      </c>
      <c r="C70" s="138" t="str">
        <f>IF(booking!D70&gt;0,"oc","va")</f>
        <v>va</v>
      </c>
      <c r="D70" s="139" t="str">
        <f>IF(booking!E70&gt;0,"oc","va")</f>
        <v>va</v>
      </c>
      <c r="E70" s="138" t="str">
        <f>IF(booking!H70&gt;0,"oc","va")</f>
        <v>va</v>
      </c>
      <c r="F70" s="139" t="str">
        <f>IF(booking!I70&gt;0,"oc","va")</f>
        <v>va</v>
      </c>
      <c r="G70" s="138" t="str">
        <f>IF(booking!L70&gt;0,"oc","va")</f>
        <v>va</v>
      </c>
      <c r="H70" s="139" t="str">
        <f>IF(booking!M70&gt;0,"oc","va")</f>
        <v>va</v>
      </c>
      <c r="I70" s="138" t="str">
        <f>IF(booking!P70&gt;0,"oc","va")</f>
        <v>va</v>
      </c>
      <c r="J70" s="139" t="str">
        <f>IF(booking!Q70&gt;0,"oc","va")</f>
        <v>va</v>
      </c>
      <c r="K70" s="138" t="str">
        <f>IF(booking!T70&gt;0,"oc","va")</f>
        <v>va</v>
      </c>
      <c r="L70" s="139" t="str">
        <f>IF(booking!U70&gt;0,"oc","va")</f>
        <v>va</v>
      </c>
      <c r="M70" s="138" t="str">
        <f>IF(booking!X70&gt;0,"oc","va")</f>
        <v>va</v>
      </c>
      <c r="N70" s="139" t="str">
        <f>IF(booking!Y70&gt;0,"oc","va")</f>
        <v>va</v>
      </c>
    </row>
    <row r="71" spans="1:14" x14ac:dyDescent="0.35">
      <c r="A71" s="5">
        <f>booking!C71</f>
        <v>46572</v>
      </c>
      <c r="B71" s="159" t="str">
        <f>IF(booking!A71=0,"",booking!A71)</f>
        <v/>
      </c>
      <c r="C71" s="138" t="str">
        <f>IF(booking!D71&gt;0,"oc","va")</f>
        <v>va</v>
      </c>
      <c r="D71" s="139" t="str">
        <f>IF(booking!E71&gt;0,"oc","va")</f>
        <v>va</v>
      </c>
      <c r="E71" s="138" t="str">
        <f>IF(booking!H71&gt;0,"oc","va")</f>
        <v>va</v>
      </c>
      <c r="F71" s="139" t="str">
        <f>IF(booking!I71&gt;0,"oc","va")</f>
        <v>va</v>
      </c>
      <c r="G71" s="138" t="str">
        <f>IF(booking!L71&gt;0,"oc","va")</f>
        <v>va</v>
      </c>
      <c r="H71" s="139" t="str">
        <f>IF(booking!M71&gt;0,"oc","va")</f>
        <v>va</v>
      </c>
      <c r="I71" s="138" t="str">
        <f>IF(booking!P71&gt;0,"oc","va")</f>
        <v>va</v>
      </c>
      <c r="J71" s="139" t="str">
        <f>IF(booking!Q71&gt;0,"oc","va")</f>
        <v>va</v>
      </c>
      <c r="K71" s="138" t="str">
        <f>IF(booking!T71&gt;0,"oc","va")</f>
        <v>va</v>
      </c>
      <c r="L71" s="139" t="str">
        <f>IF(booking!U71&gt;0,"oc","va")</f>
        <v>va</v>
      </c>
      <c r="M71" s="138" t="str">
        <f>IF(booking!X71&gt;0,"oc","va")</f>
        <v>va</v>
      </c>
      <c r="N71" s="139" t="str">
        <f>IF(booking!Y71&gt;0,"oc","va")</f>
        <v>va</v>
      </c>
    </row>
    <row r="72" spans="1:14" x14ac:dyDescent="0.35">
      <c r="A72" s="5">
        <f>booking!C72</f>
        <v>46573</v>
      </c>
      <c r="B72" s="159">
        <f>IF(booking!A72=0,"",booking!A72)</f>
        <v>28</v>
      </c>
      <c r="C72" s="138" t="str">
        <f>IF(booking!D72&gt;0,"oc","va")</f>
        <v>va</v>
      </c>
      <c r="D72" s="139" t="str">
        <f>IF(booking!E72&gt;0,"oc","va")</f>
        <v>va</v>
      </c>
      <c r="E72" s="138" t="str">
        <f>IF(booking!H72&gt;0,"oc","va")</f>
        <v>va</v>
      </c>
      <c r="F72" s="139" t="str">
        <f>IF(booking!I72&gt;0,"oc","va")</f>
        <v>va</v>
      </c>
      <c r="G72" s="138" t="str">
        <f>IF(booking!L72&gt;0,"oc","va")</f>
        <v>va</v>
      </c>
      <c r="H72" s="139" t="str">
        <f>IF(booking!M72&gt;0,"oc","va")</f>
        <v>va</v>
      </c>
      <c r="I72" s="138" t="str">
        <f>IF(booking!P72&gt;0,"oc","va")</f>
        <v>va</v>
      </c>
      <c r="J72" s="139" t="str">
        <f>IF(booking!Q72&gt;0,"oc","va")</f>
        <v>va</v>
      </c>
      <c r="K72" s="138" t="str">
        <f>IF(booking!T72&gt;0,"oc","va")</f>
        <v>va</v>
      </c>
      <c r="L72" s="139" t="str">
        <f>IF(booking!U72&gt;0,"oc","va")</f>
        <v>va</v>
      </c>
      <c r="M72" s="138" t="str">
        <f>IF(booking!X72&gt;0,"oc","va")</f>
        <v>va</v>
      </c>
      <c r="N72" s="139" t="str">
        <f>IF(booking!Y72&gt;0,"oc","va")</f>
        <v>va</v>
      </c>
    </row>
    <row r="73" spans="1:14" x14ac:dyDescent="0.35">
      <c r="A73" s="5">
        <f>booking!C73</f>
        <v>46574</v>
      </c>
      <c r="B73" s="159" t="str">
        <f>IF(booking!A73=0,"",booking!A73)</f>
        <v/>
      </c>
      <c r="C73" s="138" t="str">
        <f>IF(booking!D73&gt;0,"oc","va")</f>
        <v>va</v>
      </c>
      <c r="D73" s="139" t="str">
        <f>IF(booking!E73&gt;0,"oc","va")</f>
        <v>va</v>
      </c>
      <c r="E73" s="138" t="str">
        <f>IF(booking!H73&gt;0,"oc","va")</f>
        <v>va</v>
      </c>
      <c r="F73" s="139" t="str">
        <f>IF(booking!I73&gt;0,"oc","va")</f>
        <v>va</v>
      </c>
      <c r="G73" s="138" t="str">
        <f>IF(booking!L73&gt;0,"oc","va")</f>
        <v>va</v>
      </c>
      <c r="H73" s="139" t="str">
        <f>IF(booking!M73&gt;0,"oc","va")</f>
        <v>va</v>
      </c>
      <c r="I73" s="138" t="str">
        <f>IF(booking!P73&gt;0,"oc","va")</f>
        <v>va</v>
      </c>
      <c r="J73" s="139" t="str">
        <f>IF(booking!Q73&gt;0,"oc","va")</f>
        <v>va</v>
      </c>
      <c r="K73" s="138" t="str">
        <f>IF(booking!T73&gt;0,"oc","va")</f>
        <v>va</v>
      </c>
      <c r="L73" s="139" t="str">
        <f>IF(booking!U73&gt;0,"oc","va")</f>
        <v>va</v>
      </c>
      <c r="M73" s="138" t="str">
        <f>IF(booking!X73&gt;0,"oc","va")</f>
        <v>va</v>
      </c>
      <c r="N73" s="139" t="str">
        <f>IF(booking!Y73&gt;0,"oc","va")</f>
        <v>va</v>
      </c>
    </row>
    <row r="74" spans="1:14" x14ac:dyDescent="0.35">
      <c r="A74" s="5">
        <f>booking!C74</f>
        <v>46575</v>
      </c>
      <c r="B74" s="159" t="str">
        <f>IF(booking!A74=0,"",booking!A74)</f>
        <v/>
      </c>
      <c r="C74" s="138" t="str">
        <f>IF(booking!D74&gt;0,"oc","va")</f>
        <v>va</v>
      </c>
      <c r="D74" s="139" t="str">
        <f>IF(booking!E74&gt;0,"oc","va")</f>
        <v>va</v>
      </c>
      <c r="E74" s="138" t="str">
        <f>IF(booking!H74&gt;0,"oc","va")</f>
        <v>va</v>
      </c>
      <c r="F74" s="139" t="str">
        <f>IF(booking!I74&gt;0,"oc","va")</f>
        <v>va</v>
      </c>
      <c r="G74" s="138" t="str">
        <f>IF(booking!L74&gt;0,"oc","va")</f>
        <v>va</v>
      </c>
      <c r="H74" s="139" t="str">
        <f>IF(booking!M74&gt;0,"oc","va")</f>
        <v>va</v>
      </c>
      <c r="I74" s="138" t="str">
        <f>IF(booking!P74&gt;0,"oc","va")</f>
        <v>va</v>
      </c>
      <c r="J74" s="139" t="str">
        <f>IF(booking!Q74&gt;0,"oc","va")</f>
        <v>va</v>
      </c>
      <c r="K74" s="138" t="str">
        <f>IF(booking!T74&gt;0,"oc","va")</f>
        <v>va</v>
      </c>
      <c r="L74" s="139" t="str">
        <f>IF(booking!U74&gt;0,"oc","va")</f>
        <v>va</v>
      </c>
      <c r="M74" s="138" t="str">
        <f>IF(booking!X74&gt;0,"oc","va")</f>
        <v>va</v>
      </c>
      <c r="N74" s="139" t="str">
        <f>IF(booking!Y74&gt;0,"oc","va")</f>
        <v>va</v>
      </c>
    </row>
    <row r="75" spans="1:14" x14ac:dyDescent="0.35">
      <c r="A75" s="5">
        <f>booking!C75</f>
        <v>46576</v>
      </c>
      <c r="B75" s="159" t="str">
        <f>IF(booking!A75=0,"",booking!A75)</f>
        <v/>
      </c>
      <c r="C75" s="138" t="str">
        <f>IF(booking!D75&gt;0,"oc","va")</f>
        <v>va</v>
      </c>
      <c r="D75" s="139" t="str">
        <f>IF(booking!E75&gt;0,"oc","va")</f>
        <v>va</v>
      </c>
      <c r="E75" s="138" t="str">
        <f>IF(booking!H75&gt;0,"oc","va")</f>
        <v>va</v>
      </c>
      <c r="F75" s="139" t="str">
        <f>IF(booking!I75&gt;0,"oc","va")</f>
        <v>va</v>
      </c>
      <c r="G75" s="138" t="str">
        <f>IF(booking!L75&gt;0,"oc","va")</f>
        <v>va</v>
      </c>
      <c r="H75" s="139" t="str">
        <f>IF(booking!M75&gt;0,"oc","va")</f>
        <v>va</v>
      </c>
      <c r="I75" s="138" t="str">
        <f>IF(booking!P75&gt;0,"oc","va")</f>
        <v>va</v>
      </c>
      <c r="J75" s="139" t="str">
        <f>IF(booking!Q75&gt;0,"oc","va")</f>
        <v>va</v>
      </c>
      <c r="K75" s="138" t="str">
        <f>IF(booking!T75&gt;0,"oc","va")</f>
        <v>va</v>
      </c>
      <c r="L75" s="139" t="str">
        <f>IF(booking!U75&gt;0,"oc","va")</f>
        <v>va</v>
      </c>
      <c r="M75" s="138" t="str">
        <f>IF(booking!X75&gt;0,"oc","va")</f>
        <v>va</v>
      </c>
      <c r="N75" s="139" t="str">
        <f>IF(booking!Y75&gt;0,"oc","va")</f>
        <v>va</v>
      </c>
    </row>
    <row r="76" spans="1:14" x14ac:dyDescent="0.35">
      <c r="A76" s="5">
        <f>booking!C76</f>
        <v>46577</v>
      </c>
      <c r="B76" s="159" t="str">
        <f>IF(booking!A76=0,"",booking!A76)</f>
        <v/>
      </c>
      <c r="C76" s="138" t="str">
        <f>IF(booking!D76&gt;0,"oc","va")</f>
        <v>va</v>
      </c>
      <c r="D76" s="139" t="str">
        <f>IF(booking!E76&gt;0,"oc","va")</f>
        <v>va</v>
      </c>
      <c r="E76" s="138" t="str">
        <f>IF(booking!H76&gt;0,"oc","va")</f>
        <v>va</v>
      </c>
      <c r="F76" s="139" t="str">
        <f>IF(booking!I76&gt;0,"oc","va")</f>
        <v>va</v>
      </c>
      <c r="G76" s="138" t="str">
        <f>IF(booking!L76&gt;0,"oc","va")</f>
        <v>va</v>
      </c>
      <c r="H76" s="139" t="str">
        <f>IF(booking!M76&gt;0,"oc","va")</f>
        <v>va</v>
      </c>
      <c r="I76" s="138" t="str">
        <f>IF(booking!P76&gt;0,"oc","va")</f>
        <v>va</v>
      </c>
      <c r="J76" s="139" t="str">
        <f>IF(booking!Q76&gt;0,"oc","va")</f>
        <v>va</v>
      </c>
      <c r="K76" s="138" t="str">
        <f>IF(booking!T76&gt;0,"oc","va")</f>
        <v>va</v>
      </c>
      <c r="L76" s="139" t="str">
        <f>IF(booking!U76&gt;0,"oc","va")</f>
        <v>va</v>
      </c>
      <c r="M76" s="138" t="str">
        <f>IF(booking!X76&gt;0,"oc","va")</f>
        <v>va</v>
      </c>
      <c r="N76" s="139" t="str">
        <f>IF(booking!Y76&gt;0,"oc","va")</f>
        <v>va</v>
      </c>
    </row>
    <row r="77" spans="1:14" x14ac:dyDescent="0.35">
      <c r="A77" s="5">
        <f>booking!C77</f>
        <v>46578</v>
      </c>
      <c r="B77" s="159" t="str">
        <f>IF(booking!A77=0,"",booking!A77)</f>
        <v/>
      </c>
      <c r="C77" s="138" t="str">
        <f>IF(booking!D77&gt;0,"oc","va")</f>
        <v>va</v>
      </c>
      <c r="D77" s="139" t="str">
        <f>IF(booking!E77&gt;0,"oc","va")</f>
        <v>va</v>
      </c>
      <c r="E77" s="138" t="str">
        <f>IF(booking!H77&gt;0,"oc","va")</f>
        <v>va</v>
      </c>
      <c r="F77" s="139" t="str">
        <f>IF(booking!I77&gt;0,"oc","va")</f>
        <v>va</v>
      </c>
      <c r="G77" s="138" t="str">
        <f>IF(booking!L77&gt;0,"oc","va")</f>
        <v>va</v>
      </c>
      <c r="H77" s="139" t="str">
        <f>IF(booking!M77&gt;0,"oc","va")</f>
        <v>va</v>
      </c>
      <c r="I77" s="138" t="str">
        <f>IF(booking!P77&gt;0,"oc","va")</f>
        <v>va</v>
      </c>
      <c r="J77" s="139" t="str">
        <f>IF(booking!Q77&gt;0,"oc","va")</f>
        <v>va</v>
      </c>
      <c r="K77" s="138" t="str">
        <f>IF(booking!T77&gt;0,"oc","va")</f>
        <v>va</v>
      </c>
      <c r="L77" s="139" t="str">
        <f>IF(booking!U77&gt;0,"oc","va")</f>
        <v>va</v>
      </c>
      <c r="M77" s="138" t="str">
        <f>IF(booking!X77&gt;0,"oc","va")</f>
        <v>va</v>
      </c>
      <c r="N77" s="139" t="str">
        <f>IF(booking!Y77&gt;0,"oc","va")</f>
        <v>va</v>
      </c>
    </row>
    <row r="78" spans="1:14" x14ac:dyDescent="0.35">
      <c r="A78" s="5">
        <f>booking!C78</f>
        <v>46579</v>
      </c>
      <c r="B78" s="159" t="str">
        <f>IF(booking!A78=0,"",booking!A78)</f>
        <v/>
      </c>
      <c r="C78" s="138" t="str">
        <f>IF(booking!D78&gt;0,"oc","va")</f>
        <v>va</v>
      </c>
      <c r="D78" s="139" t="str">
        <f>IF(booking!E78&gt;0,"oc","va")</f>
        <v>va</v>
      </c>
      <c r="E78" s="138" t="str">
        <f>IF(booking!H78&gt;0,"oc","va")</f>
        <v>va</v>
      </c>
      <c r="F78" s="139" t="str">
        <f>IF(booking!I78&gt;0,"oc","va")</f>
        <v>va</v>
      </c>
      <c r="G78" s="138" t="str">
        <f>IF(booking!L78&gt;0,"oc","va")</f>
        <v>va</v>
      </c>
      <c r="H78" s="139" t="str">
        <f>IF(booking!M78&gt;0,"oc","va")</f>
        <v>va</v>
      </c>
      <c r="I78" s="138" t="str">
        <f>IF(booking!P78&gt;0,"oc","va")</f>
        <v>va</v>
      </c>
      <c r="J78" s="139" t="str">
        <f>IF(booking!Q78&gt;0,"oc","va")</f>
        <v>va</v>
      </c>
      <c r="K78" s="138" t="str">
        <f>IF(booking!T78&gt;0,"oc","va")</f>
        <v>va</v>
      </c>
      <c r="L78" s="139" t="str">
        <f>IF(booking!U78&gt;0,"oc","va")</f>
        <v>va</v>
      </c>
      <c r="M78" s="138" t="str">
        <f>IF(booking!X78&gt;0,"oc","va")</f>
        <v>va</v>
      </c>
      <c r="N78" s="139" t="str">
        <f>IF(booking!Y78&gt;0,"oc","va")</f>
        <v>va</v>
      </c>
    </row>
    <row r="79" spans="1:14" x14ac:dyDescent="0.35">
      <c r="A79" s="5">
        <f>booking!C79</f>
        <v>46580</v>
      </c>
      <c r="B79" s="159">
        <f>IF(booking!A79=0,"",booking!A79)</f>
        <v>29</v>
      </c>
      <c r="C79" s="138" t="str">
        <f>IF(booking!D79&gt;0,"oc","va")</f>
        <v>va</v>
      </c>
      <c r="D79" s="139" t="str">
        <f>IF(booking!E79&gt;0,"oc","va")</f>
        <v>va</v>
      </c>
      <c r="E79" s="138" t="str">
        <f>IF(booking!H79&gt;0,"oc","va")</f>
        <v>va</v>
      </c>
      <c r="F79" s="139" t="str">
        <f>IF(booking!I79&gt;0,"oc","va")</f>
        <v>va</v>
      </c>
      <c r="G79" s="138" t="str">
        <f>IF(booking!L79&gt;0,"oc","va")</f>
        <v>va</v>
      </c>
      <c r="H79" s="139" t="str">
        <f>IF(booking!M79&gt;0,"oc","va")</f>
        <v>va</v>
      </c>
      <c r="I79" s="138" t="str">
        <f>IF(booking!P79&gt;0,"oc","va")</f>
        <v>va</v>
      </c>
      <c r="J79" s="139" t="str">
        <f>IF(booking!Q79&gt;0,"oc","va")</f>
        <v>va</v>
      </c>
      <c r="K79" s="138" t="str">
        <f>IF(booking!T79&gt;0,"oc","va")</f>
        <v>va</v>
      </c>
      <c r="L79" s="139" t="str">
        <f>IF(booking!U79&gt;0,"oc","va")</f>
        <v>va</v>
      </c>
      <c r="M79" s="138" t="str">
        <f>IF(booking!X79&gt;0,"oc","va")</f>
        <v>va</v>
      </c>
      <c r="N79" s="139" t="str">
        <f>IF(booking!Y79&gt;0,"oc","va")</f>
        <v>va</v>
      </c>
    </row>
    <row r="80" spans="1:14" x14ac:dyDescent="0.35">
      <c r="A80" s="5">
        <f>booking!C80</f>
        <v>46581</v>
      </c>
      <c r="B80" s="159" t="str">
        <f>IF(booking!A80=0,"",booking!A80)</f>
        <v/>
      </c>
      <c r="C80" s="138" t="str">
        <f>IF(booking!D80&gt;0,"oc","va")</f>
        <v>va</v>
      </c>
      <c r="D80" s="139" t="str">
        <f>IF(booking!E80&gt;0,"oc","va")</f>
        <v>va</v>
      </c>
      <c r="E80" s="138" t="str">
        <f>IF(booking!H80&gt;0,"oc","va")</f>
        <v>va</v>
      </c>
      <c r="F80" s="139" t="str">
        <f>IF(booking!I80&gt;0,"oc","va")</f>
        <v>va</v>
      </c>
      <c r="G80" s="138" t="str">
        <f>IF(booking!L80&gt;0,"oc","va")</f>
        <v>va</v>
      </c>
      <c r="H80" s="139" t="str">
        <f>IF(booking!M80&gt;0,"oc","va")</f>
        <v>va</v>
      </c>
      <c r="I80" s="138" t="str">
        <f>IF(booking!P80&gt;0,"oc","va")</f>
        <v>va</v>
      </c>
      <c r="J80" s="139" t="str">
        <f>IF(booking!Q80&gt;0,"oc","va")</f>
        <v>va</v>
      </c>
      <c r="K80" s="138" t="str">
        <f>IF(booking!T80&gt;0,"oc","va")</f>
        <v>va</v>
      </c>
      <c r="L80" s="139" t="str">
        <f>IF(booking!U80&gt;0,"oc","va")</f>
        <v>va</v>
      </c>
      <c r="M80" s="138" t="str">
        <f>IF(booking!X80&gt;0,"oc","va")</f>
        <v>va</v>
      </c>
      <c r="N80" s="139" t="str">
        <f>IF(booking!Y80&gt;0,"oc","va")</f>
        <v>va</v>
      </c>
    </row>
    <row r="81" spans="1:14" x14ac:dyDescent="0.35">
      <c r="A81" s="5">
        <f>booking!C81</f>
        <v>46582</v>
      </c>
      <c r="B81" s="159" t="str">
        <f>IF(booking!A81=0,"",booking!A81)</f>
        <v/>
      </c>
      <c r="C81" s="138" t="str">
        <f>IF(booking!D81&gt;0,"oc","va")</f>
        <v>va</v>
      </c>
      <c r="D81" s="139" t="str">
        <f>IF(booking!E81&gt;0,"oc","va")</f>
        <v>va</v>
      </c>
      <c r="E81" s="138" t="str">
        <f>IF(booking!H81&gt;0,"oc","va")</f>
        <v>va</v>
      </c>
      <c r="F81" s="139" t="str">
        <f>IF(booking!I81&gt;0,"oc","va")</f>
        <v>va</v>
      </c>
      <c r="G81" s="138" t="str">
        <f>IF(booking!L81&gt;0,"oc","va")</f>
        <v>va</v>
      </c>
      <c r="H81" s="139" t="str">
        <f>IF(booking!M81&gt;0,"oc","va")</f>
        <v>va</v>
      </c>
      <c r="I81" s="138" t="str">
        <f>IF(booking!P81&gt;0,"oc","va")</f>
        <v>va</v>
      </c>
      <c r="J81" s="139" t="str">
        <f>IF(booking!Q81&gt;0,"oc","va")</f>
        <v>va</v>
      </c>
      <c r="K81" s="138" t="str">
        <f>IF(booking!T81&gt;0,"oc","va")</f>
        <v>va</v>
      </c>
      <c r="L81" s="139" t="str">
        <f>IF(booking!U81&gt;0,"oc","va")</f>
        <v>va</v>
      </c>
      <c r="M81" s="138" t="str">
        <f>IF(booking!X81&gt;0,"oc","va")</f>
        <v>va</v>
      </c>
      <c r="N81" s="139" t="str">
        <f>IF(booking!Y81&gt;0,"oc","va")</f>
        <v>va</v>
      </c>
    </row>
    <row r="82" spans="1:14" x14ac:dyDescent="0.35">
      <c r="A82" s="5">
        <f>booking!C82</f>
        <v>46583</v>
      </c>
      <c r="B82" s="159" t="str">
        <f>IF(booking!A82=0,"",booking!A82)</f>
        <v/>
      </c>
      <c r="C82" s="138" t="str">
        <f>IF(booking!D82&gt;0,"oc","va")</f>
        <v>va</v>
      </c>
      <c r="D82" s="139" t="str">
        <f>IF(booking!E82&gt;0,"oc","va")</f>
        <v>va</v>
      </c>
      <c r="E82" s="138" t="str">
        <f>IF(booking!H82&gt;0,"oc","va")</f>
        <v>va</v>
      </c>
      <c r="F82" s="139" t="str">
        <f>IF(booking!I82&gt;0,"oc","va")</f>
        <v>va</v>
      </c>
      <c r="G82" s="138" t="str">
        <f>IF(booking!L82&gt;0,"oc","va")</f>
        <v>va</v>
      </c>
      <c r="H82" s="139" t="str">
        <f>IF(booking!M82&gt;0,"oc","va")</f>
        <v>va</v>
      </c>
      <c r="I82" s="138" t="str">
        <f>IF(booking!P82&gt;0,"oc","va")</f>
        <v>va</v>
      </c>
      <c r="J82" s="139" t="str">
        <f>IF(booking!Q82&gt;0,"oc","va")</f>
        <v>va</v>
      </c>
      <c r="K82" s="138" t="str">
        <f>IF(booking!T82&gt;0,"oc","va")</f>
        <v>va</v>
      </c>
      <c r="L82" s="139" t="str">
        <f>IF(booking!U82&gt;0,"oc","va")</f>
        <v>va</v>
      </c>
      <c r="M82" s="138" t="str">
        <f>IF(booking!X82&gt;0,"oc","va")</f>
        <v>va</v>
      </c>
      <c r="N82" s="139" t="str">
        <f>IF(booking!Y82&gt;0,"oc","va")</f>
        <v>va</v>
      </c>
    </row>
    <row r="83" spans="1:14" x14ac:dyDescent="0.35">
      <c r="A83" s="5">
        <f>booking!C83</f>
        <v>46584</v>
      </c>
      <c r="B83" s="159" t="str">
        <f>IF(booking!A83=0,"",booking!A83)</f>
        <v/>
      </c>
      <c r="C83" s="138" t="str">
        <f>IF(booking!D83&gt;0,"oc","va")</f>
        <v>va</v>
      </c>
      <c r="D83" s="139" t="str">
        <f>IF(booking!E83&gt;0,"oc","va")</f>
        <v>va</v>
      </c>
      <c r="E83" s="138" t="str">
        <f>IF(booking!H83&gt;0,"oc","va")</f>
        <v>va</v>
      </c>
      <c r="F83" s="139" t="str">
        <f>IF(booking!I83&gt;0,"oc","va")</f>
        <v>va</v>
      </c>
      <c r="G83" s="138" t="str">
        <f>IF(booking!L83&gt;0,"oc","va")</f>
        <v>va</v>
      </c>
      <c r="H83" s="139" t="str">
        <f>IF(booking!M83&gt;0,"oc","va")</f>
        <v>va</v>
      </c>
      <c r="I83" s="138" t="str">
        <f>IF(booking!P83&gt;0,"oc","va")</f>
        <v>va</v>
      </c>
      <c r="J83" s="139" t="str">
        <f>IF(booking!Q83&gt;0,"oc","va")</f>
        <v>va</v>
      </c>
      <c r="K83" s="138" t="str">
        <f>IF(booking!T83&gt;0,"oc","va")</f>
        <v>va</v>
      </c>
      <c r="L83" s="139" t="str">
        <f>IF(booking!U83&gt;0,"oc","va")</f>
        <v>va</v>
      </c>
      <c r="M83" s="138" t="str">
        <f>IF(booking!X83&gt;0,"oc","va")</f>
        <v>va</v>
      </c>
      <c r="N83" s="139" t="str">
        <f>IF(booking!Y83&gt;0,"oc","va")</f>
        <v>va</v>
      </c>
    </row>
    <row r="84" spans="1:14" x14ac:dyDescent="0.35">
      <c r="A84" s="5">
        <f>booking!C84</f>
        <v>46585</v>
      </c>
      <c r="B84" s="159" t="str">
        <f>IF(booking!A84=0,"",booking!A84)</f>
        <v/>
      </c>
      <c r="C84" s="138" t="str">
        <f>IF(booking!D84&gt;0,"oc","va")</f>
        <v>va</v>
      </c>
      <c r="D84" s="139" t="str">
        <f>IF(booking!E84&gt;0,"oc","va")</f>
        <v>va</v>
      </c>
      <c r="E84" s="138" t="str">
        <f>IF(booking!H84&gt;0,"oc","va")</f>
        <v>va</v>
      </c>
      <c r="F84" s="139" t="str">
        <f>IF(booking!I84&gt;0,"oc","va")</f>
        <v>va</v>
      </c>
      <c r="G84" s="138" t="str">
        <f>IF(booking!L84&gt;0,"oc","va")</f>
        <v>va</v>
      </c>
      <c r="H84" s="139" t="str">
        <f>IF(booking!M84&gt;0,"oc","va")</f>
        <v>va</v>
      </c>
      <c r="I84" s="138" t="str">
        <f>IF(booking!P84&gt;0,"oc","va")</f>
        <v>va</v>
      </c>
      <c r="J84" s="139" t="str">
        <f>IF(booking!Q84&gt;0,"oc","va")</f>
        <v>va</v>
      </c>
      <c r="K84" s="138" t="str">
        <f>IF(booking!T84&gt;0,"oc","va")</f>
        <v>va</v>
      </c>
      <c r="L84" s="139" t="str">
        <f>IF(booking!U84&gt;0,"oc","va")</f>
        <v>va</v>
      </c>
      <c r="M84" s="138" t="str">
        <f>IF(booking!X84&gt;0,"oc","va")</f>
        <v>va</v>
      </c>
      <c r="N84" s="139" t="str">
        <f>IF(booking!Y84&gt;0,"oc","va")</f>
        <v>va</v>
      </c>
    </row>
    <row r="85" spans="1:14" x14ac:dyDescent="0.35">
      <c r="A85" s="5">
        <f>booking!C85</f>
        <v>46586</v>
      </c>
      <c r="B85" s="159" t="str">
        <f>IF(booking!A85=0,"",booking!A85)</f>
        <v/>
      </c>
      <c r="C85" s="138" t="str">
        <f>IF(booking!D85&gt;0,"oc","va")</f>
        <v>va</v>
      </c>
      <c r="D85" s="139" t="str">
        <f>IF(booking!E85&gt;0,"oc","va")</f>
        <v>va</v>
      </c>
      <c r="E85" s="138" t="str">
        <f>IF(booking!H85&gt;0,"oc","va")</f>
        <v>va</v>
      </c>
      <c r="F85" s="139" t="str">
        <f>IF(booking!I85&gt;0,"oc","va")</f>
        <v>va</v>
      </c>
      <c r="G85" s="138" t="str">
        <f>IF(booking!L85&gt;0,"oc","va")</f>
        <v>va</v>
      </c>
      <c r="H85" s="139" t="str">
        <f>IF(booking!M85&gt;0,"oc","va")</f>
        <v>va</v>
      </c>
      <c r="I85" s="138" t="str">
        <f>IF(booking!P85&gt;0,"oc","va")</f>
        <v>va</v>
      </c>
      <c r="J85" s="139" t="str">
        <f>IF(booking!Q85&gt;0,"oc","va")</f>
        <v>va</v>
      </c>
      <c r="K85" s="138" t="str">
        <f>IF(booking!T85&gt;0,"oc","va")</f>
        <v>va</v>
      </c>
      <c r="L85" s="139" t="str">
        <f>IF(booking!U85&gt;0,"oc","va")</f>
        <v>va</v>
      </c>
      <c r="M85" s="138" t="str">
        <f>IF(booking!X85&gt;0,"oc","va")</f>
        <v>va</v>
      </c>
      <c r="N85" s="139" t="str">
        <f>IF(booking!Y85&gt;0,"oc","va")</f>
        <v>va</v>
      </c>
    </row>
    <row r="86" spans="1:14" x14ac:dyDescent="0.35">
      <c r="A86" s="5">
        <f>booking!C86</f>
        <v>46587</v>
      </c>
      <c r="B86" s="159">
        <f>IF(booking!A86=0,"",booking!A86)</f>
        <v>30</v>
      </c>
      <c r="C86" s="138" t="str">
        <f>IF(booking!D86&gt;0,"oc","va")</f>
        <v>va</v>
      </c>
      <c r="D86" s="139" t="str">
        <f>IF(booking!E86&gt;0,"oc","va")</f>
        <v>va</v>
      </c>
      <c r="E86" s="138" t="str">
        <f>IF(booking!H86&gt;0,"oc","va")</f>
        <v>va</v>
      </c>
      <c r="F86" s="139" t="str">
        <f>IF(booking!I86&gt;0,"oc","va")</f>
        <v>va</v>
      </c>
      <c r="G86" s="138" t="str">
        <f>IF(booking!L86&gt;0,"oc","va")</f>
        <v>va</v>
      </c>
      <c r="H86" s="139" t="str">
        <f>IF(booking!M86&gt;0,"oc","va")</f>
        <v>va</v>
      </c>
      <c r="I86" s="138" t="str">
        <f>IF(booking!P86&gt;0,"oc","va")</f>
        <v>va</v>
      </c>
      <c r="J86" s="139" t="str">
        <f>IF(booking!Q86&gt;0,"oc","va")</f>
        <v>va</v>
      </c>
      <c r="K86" s="138" t="str">
        <f>IF(booking!T86&gt;0,"oc","va")</f>
        <v>va</v>
      </c>
      <c r="L86" s="139" t="str">
        <f>IF(booking!U86&gt;0,"oc","va")</f>
        <v>va</v>
      </c>
      <c r="M86" s="138" t="str">
        <f>IF(booking!X86&gt;0,"oc","va")</f>
        <v>va</v>
      </c>
      <c r="N86" s="139" t="str">
        <f>IF(booking!Y86&gt;0,"oc","va")</f>
        <v>va</v>
      </c>
    </row>
    <row r="87" spans="1:14" x14ac:dyDescent="0.35">
      <c r="A87" s="5">
        <f>booking!C87</f>
        <v>46588</v>
      </c>
      <c r="B87" s="159" t="str">
        <f>IF(booking!A87=0,"",booking!A87)</f>
        <v/>
      </c>
      <c r="C87" s="138" t="str">
        <f>IF(booking!D87&gt;0,"oc","va")</f>
        <v>va</v>
      </c>
      <c r="D87" s="139" t="str">
        <f>IF(booking!E87&gt;0,"oc","va")</f>
        <v>va</v>
      </c>
      <c r="E87" s="138" t="str">
        <f>IF(booking!H87&gt;0,"oc","va")</f>
        <v>va</v>
      </c>
      <c r="F87" s="139" t="str">
        <f>IF(booking!I87&gt;0,"oc","va")</f>
        <v>va</v>
      </c>
      <c r="G87" s="138" t="str">
        <f>IF(booking!L87&gt;0,"oc","va")</f>
        <v>va</v>
      </c>
      <c r="H87" s="139" t="str">
        <f>IF(booking!M87&gt;0,"oc","va")</f>
        <v>va</v>
      </c>
      <c r="I87" s="138" t="str">
        <f>IF(booking!P87&gt;0,"oc","va")</f>
        <v>va</v>
      </c>
      <c r="J87" s="139" t="str">
        <f>IF(booking!Q87&gt;0,"oc","va")</f>
        <v>va</v>
      </c>
      <c r="K87" s="138" t="str">
        <f>IF(booking!T87&gt;0,"oc","va")</f>
        <v>va</v>
      </c>
      <c r="L87" s="139" t="str">
        <f>IF(booking!U87&gt;0,"oc","va")</f>
        <v>va</v>
      </c>
      <c r="M87" s="138" t="str">
        <f>IF(booking!X87&gt;0,"oc","va")</f>
        <v>va</v>
      </c>
      <c r="N87" s="139" t="str">
        <f>IF(booking!Y87&gt;0,"oc","va")</f>
        <v>va</v>
      </c>
    </row>
    <row r="88" spans="1:14" x14ac:dyDescent="0.35">
      <c r="A88" s="5">
        <f>booking!C88</f>
        <v>46589</v>
      </c>
      <c r="B88" s="159" t="str">
        <f>IF(booking!A88=0,"",booking!A88)</f>
        <v/>
      </c>
      <c r="C88" s="138" t="str">
        <f>IF(booking!D88&gt;0,"oc","va")</f>
        <v>va</v>
      </c>
      <c r="D88" s="139" t="str">
        <f>IF(booking!E88&gt;0,"oc","va")</f>
        <v>va</v>
      </c>
      <c r="E88" s="138" t="str">
        <f>IF(booking!H88&gt;0,"oc","va")</f>
        <v>va</v>
      </c>
      <c r="F88" s="139" t="str">
        <f>IF(booking!I88&gt;0,"oc","va")</f>
        <v>va</v>
      </c>
      <c r="G88" s="138" t="str">
        <f>IF(booking!L88&gt;0,"oc","va")</f>
        <v>va</v>
      </c>
      <c r="H88" s="139" t="str">
        <f>IF(booking!M88&gt;0,"oc","va")</f>
        <v>va</v>
      </c>
      <c r="I88" s="138" t="str">
        <f>IF(booking!P88&gt;0,"oc","va")</f>
        <v>va</v>
      </c>
      <c r="J88" s="139" t="str">
        <f>IF(booking!Q88&gt;0,"oc","va")</f>
        <v>va</v>
      </c>
      <c r="K88" s="138" t="str">
        <f>IF(booking!T88&gt;0,"oc","va")</f>
        <v>va</v>
      </c>
      <c r="L88" s="139" t="str">
        <f>IF(booking!U88&gt;0,"oc","va")</f>
        <v>va</v>
      </c>
      <c r="M88" s="138" t="str">
        <f>IF(booking!X88&gt;0,"oc","va")</f>
        <v>va</v>
      </c>
      <c r="N88" s="139" t="str">
        <f>IF(booking!Y88&gt;0,"oc","va")</f>
        <v>va</v>
      </c>
    </row>
    <row r="89" spans="1:14" x14ac:dyDescent="0.35">
      <c r="A89" s="5">
        <f>booking!C89</f>
        <v>46590</v>
      </c>
      <c r="B89" s="159" t="str">
        <f>IF(booking!A89=0,"",booking!A89)</f>
        <v/>
      </c>
      <c r="C89" s="138" t="str">
        <f>IF(booking!D89&gt;0,"oc","va")</f>
        <v>va</v>
      </c>
      <c r="D89" s="139" t="str">
        <f>IF(booking!E89&gt;0,"oc","va")</f>
        <v>va</v>
      </c>
      <c r="E89" s="138" t="str">
        <f>IF(booking!H89&gt;0,"oc","va")</f>
        <v>va</v>
      </c>
      <c r="F89" s="139" t="str">
        <f>IF(booking!I89&gt;0,"oc","va")</f>
        <v>va</v>
      </c>
      <c r="G89" s="138" t="str">
        <f>IF(booking!L89&gt;0,"oc","va")</f>
        <v>va</v>
      </c>
      <c r="H89" s="139" t="str">
        <f>IF(booking!M89&gt;0,"oc","va")</f>
        <v>va</v>
      </c>
      <c r="I89" s="138" t="str">
        <f>IF(booking!P89&gt;0,"oc","va")</f>
        <v>va</v>
      </c>
      <c r="J89" s="139" t="str">
        <f>IF(booking!Q89&gt;0,"oc","va")</f>
        <v>va</v>
      </c>
      <c r="K89" s="138" t="str">
        <f>IF(booking!T89&gt;0,"oc","va")</f>
        <v>va</v>
      </c>
      <c r="L89" s="139" t="str">
        <f>IF(booking!U89&gt;0,"oc","va")</f>
        <v>va</v>
      </c>
      <c r="M89" s="138" t="str">
        <f>IF(booking!X89&gt;0,"oc","va")</f>
        <v>va</v>
      </c>
      <c r="N89" s="139" t="str">
        <f>IF(booking!Y89&gt;0,"oc","va")</f>
        <v>va</v>
      </c>
    </row>
    <row r="90" spans="1:14" x14ac:dyDescent="0.35">
      <c r="A90" s="5">
        <f>booking!C90</f>
        <v>46591</v>
      </c>
      <c r="B90" s="159" t="str">
        <f>IF(booking!A90=0,"",booking!A90)</f>
        <v/>
      </c>
      <c r="C90" s="138" t="str">
        <f>IF(booking!D90&gt;0,"oc","va")</f>
        <v>va</v>
      </c>
      <c r="D90" s="139" t="str">
        <f>IF(booking!E90&gt;0,"oc","va")</f>
        <v>va</v>
      </c>
      <c r="E90" s="138" t="str">
        <f>IF(booking!H90&gt;0,"oc","va")</f>
        <v>va</v>
      </c>
      <c r="F90" s="139" t="str">
        <f>IF(booking!I90&gt;0,"oc","va")</f>
        <v>va</v>
      </c>
      <c r="G90" s="138" t="str">
        <f>IF(booking!L90&gt;0,"oc","va")</f>
        <v>va</v>
      </c>
      <c r="H90" s="139" t="str">
        <f>IF(booking!M90&gt;0,"oc","va")</f>
        <v>va</v>
      </c>
      <c r="I90" s="138" t="str">
        <f>IF(booking!P90&gt;0,"oc","va")</f>
        <v>va</v>
      </c>
      <c r="J90" s="139" t="str">
        <f>IF(booking!Q90&gt;0,"oc","va")</f>
        <v>va</v>
      </c>
      <c r="K90" s="138" t="str">
        <f>IF(booking!T90&gt;0,"oc","va")</f>
        <v>va</v>
      </c>
      <c r="L90" s="139" t="str">
        <f>IF(booking!U90&gt;0,"oc","va")</f>
        <v>va</v>
      </c>
      <c r="M90" s="138" t="str">
        <f>IF(booking!X90&gt;0,"oc","va")</f>
        <v>va</v>
      </c>
      <c r="N90" s="139" t="str">
        <f>IF(booking!Y90&gt;0,"oc","va")</f>
        <v>va</v>
      </c>
    </row>
    <row r="91" spans="1:14" x14ac:dyDescent="0.35">
      <c r="A91" s="5">
        <f>booking!C91</f>
        <v>46592</v>
      </c>
      <c r="B91" s="159" t="str">
        <f>IF(booking!A91=0,"",booking!A91)</f>
        <v/>
      </c>
      <c r="C91" s="138" t="str">
        <f>IF(booking!D91&gt;0,"oc","va")</f>
        <v>va</v>
      </c>
      <c r="D91" s="139" t="str">
        <f>IF(booking!E91&gt;0,"oc","va")</f>
        <v>va</v>
      </c>
      <c r="E91" s="138" t="str">
        <f>IF(booking!H91&gt;0,"oc","va")</f>
        <v>va</v>
      </c>
      <c r="F91" s="139" t="str">
        <f>IF(booking!I91&gt;0,"oc","va")</f>
        <v>va</v>
      </c>
      <c r="G91" s="138" t="str">
        <f>IF(booking!L91&gt;0,"oc","va")</f>
        <v>va</v>
      </c>
      <c r="H91" s="139" t="str">
        <f>IF(booking!M91&gt;0,"oc","va")</f>
        <v>va</v>
      </c>
      <c r="I91" s="138" t="str">
        <f>IF(booking!P91&gt;0,"oc","va")</f>
        <v>va</v>
      </c>
      <c r="J91" s="139" t="str">
        <f>IF(booking!Q91&gt;0,"oc","va")</f>
        <v>va</v>
      </c>
      <c r="K91" s="138" t="str">
        <f>IF(booking!T91&gt;0,"oc","va")</f>
        <v>va</v>
      </c>
      <c r="L91" s="139" t="str">
        <f>IF(booking!U91&gt;0,"oc","va")</f>
        <v>va</v>
      </c>
      <c r="M91" s="138" t="str">
        <f>IF(booking!X91&gt;0,"oc","va")</f>
        <v>va</v>
      </c>
      <c r="N91" s="139" t="str">
        <f>IF(booking!Y91&gt;0,"oc","va")</f>
        <v>va</v>
      </c>
    </row>
    <row r="92" spans="1:14" x14ac:dyDescent="0.35">
      <c r="A92" s="5">
        <f>booking!C92</f>
        <v>46593</v>
      </c>
      <c r="B92" s="159" t="str">
        <f>IF(booking!A92=0,"",booking!A92)</f>
        <v/>
      </c>
      <c r="C92" s="138" t="str">
        <f>IF(booking!D92&gt;0,"oc","va")</f>
        <v>va</v>
      </c>
      <c r="D92" s="139" t="str">
        <f>IF(booking!E92&gt;0,"oc","va")</f>
        <v>va</v>
      </c>
      <c r="E92" s="138" t="str">
        <f>IF(booking!H92&gt;0,"oc","va")</f>
        <v>va</v>
      </c>
      <c r="F92" s="139" t="str">
        <f>IF(booking!I92&gt;0,"oc","va")</f>
        <v>va</v>
      </c>
      <c r="G92" s="138" t="str">
        <f>IF(booking!L92&gt;0,"oc","va")</f>
        <v>va</v>
      </c>
      <c r="H92" s="139" t="str">
        <f>IF(booking!M92&gt;0,"oc","va")</f>
        <v>va</v>
      </c>
      <c r="I92" s="138" t="str">
        <f>IF(booking!P92&gt;0,"oc","va")</f>
        <v>va</v>
      </c>
      <c r="J92" s="139" t="str">
        <f>IF(booking!Q92&gt;0,"oc","va")</f>
        <v>va</v>
      </c>
      <c r="K92" s="138" t="str">
        <f>IF(booking!T92&gt;0,"oc","va")</f>
        <v>va</v>
      </c>
      <c r="L92" s="139" t="str">
        <f>IF(booking!U92&gt;0,"oc","va")</f>
        <v>va</v>
      </c>
      <c r="M92" s="138" t="str">
        <f>IF(booking!X92&gt;0,"oc","va")</f>
        <v>va</v>
      </c>
      <c r="N92" s="139" t="str">
        <f>IF(booking!Y92&gt;0,"oc","va")</f>
        <v>va</v>
      </c>
    </row>
    <row r="93" spans="1:14" x14ac:dyDescent="0.35">
      <c r="A93" s="5">
        <f>booking!C93</f>
        <v>46594</v>
      </c>
      <c r="B93" s="159">
        <f>IF(booking!A93=0,"",booking!A93)</f>
        <v>31</v>
      </c>
      <c r="C93" s="138" t="str">
        <f>IF(booking!D93&gt;0,"oc","va")</f>
        <v>va</v>
      </c>
      <c r="D93" s="139" t="str">
        <f>IF(booking!E93&gt;0,"oc","va")</f>
        <v>va</v>
      </c>
      <c r="E93" s="138" t="str">
        <f>IF(booking!H93&gt;0,"oc","va")</f>
        <v>va</v>
      </c>
      <c r="F93" s="139" t="str">
        <f>IF(booking!I93&gt;0,"oc","va")</f>
        <v>va</v>
      </c>
      <c r="G93" s="138" t="str">
        <f>IF(booking!L93&gt;0,"oc","va")</f>
        <v>va</v>
      </c>
      <c r="H93" s="139" t="str">
        <f>IF(booking!M93&gt;0,"oc","va")</f>
        <v>va</v>
      </c>
      <c r="I93" s="138" t="str">
        <f>IF(booking!P93&gt;0,"oc","va")</f>
        <v>va</v>
      </c>
      <c r="J93" s="139" t="str">
        <f>IF(booking!Q93&gt;0,"oc","va")</f>
        <v>va</v>
      </c>
      <c r="K93" s="138" t="str">
        <f>IF(booking!T93&gt;0,"oc","va")</f>
        <v>va</v>
      </c>
      <c r="L93" s="139" t="str">
        <f>IF(booking!U93&gt;0,"oc","va")</f>
        <v>va</v>
      </c>
      <c r="M93" s="138" t="str">
        <f>IF(booking!X93&gt;0,"oc","va")</f>
        <v>va</v>
      </c>
      <c r="N93" s="139" t="str">
        <f>IF(booking!Y93&gt;0,"oc","va")</f>
        <v>va</v>
      </c>
    </row>
    <row r="94" spans="1:14" x14ac:dyDescent="0.35">
      <c r="A94" s="5">
        <f>booking!C94</f>
        <v>46595</v>
      </c>
      <c r="B94" s="159" t="str">
        <f>IF(booking!A94=0,"",booking!A94)</f>
        <v/>
      </c>
      <c r="C94" s="138" t="str">
        <f>IF(booking!D94&gt;0,"oc","va")</f>
        <v>va</v>
      </c>
      <c r="D94" s="139" t="str">
        <f>IF(booking!E94&gt;0,"oc","va")</f>
        <v>va</v>
      </c>
      <c r="E94" s="138" t="str">
        <f>IF(booking!H94&gt;0,"oc","va")</f>
        <v>va</v>
      </c>
      <c r="F94" s="139" t="str">
        <f>IF(booking!I94&gt;0,"oc","va")</f>
        <v>va</v>
      </c>
      <c r="G94" s="138" t="str">
        <f>IF(booking!L94&gt;0,"oc","va")</f>
        <v>va</v>
      </c>
      <c r="H94" s="139" t="str">
        <f>IF(booking!M94&gt;0,"oc","va")</f>
        <v>va</v>
      </c>
      <c r="I94" s="138" t="str">
        <f>IF(booking!P94&gt;0,"oc","va")</f>
        <v>va</v>
      </c>
      <c r="J94" s="139" t="str">
        <f>IF(booking!Q94&gt;0,"oc","va")</f>
        <v>va</v>
      </c>
      <c r="K94" s="138" t="str">
        <f>IF(booking!T94&gt;0,"oc","va")</f>
        <v>va</v>
      </c>
      <c r="L94" s="139" t="str">
        <f>IF(booking!U94&gt;0,"oc","va")</f>
        <v>va</v>
      </c>
      <c r="M94" s="138" t="str">
        <f>IF(booking!X94&gt;0,"oc","va")</f>
        <v>va</v>
      </c>
      <c r="N94" s="139" t="str">
        <f>IF(booking!Y94&gt;0,"oc","va")</f>
        <v>va</v>
      </c>
    </row>
    <row r="95" spans="1:14" x14ac:dyDescent="0.35">
      <c r="A95" s="5">
        <f>booking!C95</f>
        <v>46596</v>
      </c>
      <c r="B95" s="159" t="str">
        <f>IF(booking!A95=0,"",booking!A95)</f>
        <v/>
      </c>
      <c r="C95" s="138" t="str">
        <f>IF(booking!D95&gt;0,"oc","va")</f>
        <v>va</v>
      </c>
      <c r="D95" s="139" t="str">
        <f>IF(booking!E95&gt;0,"oc","va")</f>
        <v>va</v>
      </c>
      <c r="E95" s="138" t="str">
        <f>IF(booking!H95&gt;0,"oc","va")</f>
        <v>va</v>
      </c>
      <c r="F95" s="139" t="str">
        <f>IF(booking!I95&gt;0,"oc","va")</f>
        <v>va</v>
      </c>
      <c r="G95" s="138" t="str">
        <f>IF(booking!L95&gt;0,"oc","va")</f>
        <v>va</v>
      </c>
      <c r="H95" s="139" t="str">
        <f>IF(booking!M95&gt;0,"oc","va")</f>
        <v>va</v>
      </c>
      <c r="I95" s="138" t="str">
        <f>IF(booking!P95&gt;0,"oc","va")</f>
        <v>va</v>
      </c>
      <c r="J95" s="139" t="str">
        <f>IF(booking!Q95&gt;0,"oc","va")</f>
        <v>va</v>
      </c>
      <c r="K95" s="138" t="str">
        <f>IF(booking!T95&gt;0,"oc","va")</f>
        <v>va</v>
      </c>
      <c r="L95" s="139" t="str">
        <f>IF(booking!U95&gt;0,"oc","va")</f>
        <v>va</v>
      </c>
      <c r="M95" s="138" t="str">
        <f>IF(booking!X95&gt;0,"oc","va")</f>
        <v>va</v>
      </c>
      <c r="N95" s="139" t="str">
        <f>IF(booking!Y95&gt;0,"oc","va")</f>
        <v>va</v>
      </c>
    </row>
    <row r="96" spans="1:14" x14ac:dyDescent="0.35">
      <c r="A96" s="5">
        <f>booking!C96</f>
        <v>46597</v>
      </c>
      <c r="B96" s="159" t="str">
        <f>IF(booking!A96=0,"",booking!A96)</f>
        <v/>
      </c>
      <c r="C96" s="138" t="str">
        <f>IF(booking!D96&gt;0,"oc","va")</f>
        <v>va</v>
      </c>
      <c r="D96" s="139" t="str">
        <f>IF(booking!E96&gt;0,"oc","va")</f>
        <v>va</v>
      </c>
      <c r="E96" s="138" t="str">
        <f>IF(booking!H96&gt;0,"oc","va")</f>
        <v>va</v>
      </c>
      <c r="F96" s="139" t="str">
        <f>IF(booking!I96&gt;0,"oc","va")</f>
        <v>va</v>
      </c>
      <c r="G96" s="138" t="str">
        <f>IF(booking!L96&gt;0,"oc","va")</f>
        <v>va</v>
      </c>
      <c r="H96" s="139" t="str">
        <f>IF(booking!M96&gt;0,"oc","va")</f>
        <v>va</v>
      </c>
      <c r="I96" s="138" t="str">
        <f>IF(booking!P96&gt;0,"oc","va")</f>
        <v>va</v>
      </c>
      <c r="J96" s="139" t="str">
        <f>IF(booking!Q96&gt;0,"oc","va")</f>
        <v>va</v>
      </c>
      <c r="K96" s="138" t="str">
        <f>IF(booking!T96&gt;0,"oc","va")</f>
        <v>va</v>
      </c>
      <c r="L96" s="139" t="str">
        <f>IF(booking!U96&gt;0,"oc","va")</f>
        <v>va</v>
      </c>
      <c r="M96" s="138" t="str">
        <f>IF(booking!X96&gt;0,"oc","va")</f>
        <v>va</v>
      </c>
      <c r="N96" s="139" t="str">
        <f>IF(booking!Y96&gt;0,"oc","va")</f>
        <v>va</v>
      </c>
    </row>
    <row r="97" spans="1:14" x14ac:dyDescent="0.35">
      <c r="A97" s="5">
        <f>booking!C97</f>
        <v>46598</v>
      </c>
      <c r="B97" s="159" t="str">
        <f>IF(booking!A97=0,"",booking!A97)</f>
        <v/>
      </c>
      <c r="C97" s="138" t="str">
        <f>IF(booking!D97&gt;0,"oc","va")</f>
        <v>va</v>
      </c>
      <c r="D97" s="139" t="str">
        <f>IF(booking!E97&gt;0,"oc","va")</f>
        <v>va</v>
      </c>
      <c r="E97" s="138" t="str">
        <f>IF(booking!H97&gt;0,"oc","va")</f>
        <v>va</v>
      </c>
      <c r="F97" s="139" t="str">
        <f>IF(booking!I97&gt;0,"oc","va")</f>
        <v>va</v>
      </c>
      <c r="G97" s="138" t="str">
        <f>IF(booking!L97&gt;0,"oc","va")</f>
        <v>va</v>
      </c>
      <c r="H97" s="139" t="str">
        <f>IF(booking!M97&gt;0,"oc","va")</f>
        <v>va</v>
      </c>
      <c r="I97" s="138" t="str">
        <f>IF(booking!P97&gt;0,"oc","va")</f>
        <v>va</v>
      </c>
      <c r="J97" s="139" t="str">
        <f>IF(booking!Q97&gt;0,"oc","va")</f>
        <v>va</v>
      </c>
      <c r="K97" s="138" t="str">
        <f>IF(booking!T97&gt;0,"oc","va")</f>
        <v>va</v>
      </c>
      <c r="L97" s="139" t="str">
        <f>IF(booking!U97&gt;0,"oc","va")</f>
        <v>va</v>
      </c>
      <c r="M97" s="138" t="str">
        <f>IF(booking!X97&gt;0,"oc","va")</f>
        <v>va</v>
      </c>
      <c r="N97" s="139" t="str">
        <f>IF(booking!Y97&gt;0,"oc","va")</f>
        <v>va</v>
      </c>
    </row>
    <row r="98" spans="1:14" x14ac:dyDescent="0.35">
      <c r="A98" s="5">
        <f>booking!C98</f>
        <v>46599</v>
      </c>
      <c r="B98" s="159" t="str">
        <f>IF(booking!A98=0,"",booking!A98)</f>
        <v/>
      </c>
      <c r="C98" s="138" t="str">
        <f>IF(booking!D98&gt;0,"oc","va")</f>
        <v>va</v>
      </c>
      <c r="D98" s="139" t="str">
        <f>IF(booking!E98&gt;0,"oc","va")</f>
        <v>va</v>
      </c>
      <c r="E98" s="138" t="str">
        <f>IF(booking!H98&gt;0,"oc","va")</f>
        <v>va</v>
      </c>
      <c r="F98" s="139" t="str">
        <f>IF(booking!I98&gt;0,"oc","va")</f>
        <v>va</v>
      </c>
      <c r="G98" s="138" t="str">
        <f>IF(booking!L98&gt;0,"oc","va")</f>
        <v>va</v>
      </c>
      <c r="H98" s="139" t="str">
        <f>IF(booking!M98&gt;0,"oc","va")</f>
        <v>va</v>
      </c>
      <c r="I98" s="138" t="str">
        <f>IF(booking!P98&gt;0,"oc","va")</f>
        <v>va</v>
      </c>
      <c r="J98" s="139" t="str">
        <f>IF(booking!Q98&gt;0,"oc","va")</f>
        <v>va</v>
      </c>
      <c r="K98" s="138" t="str">
        <f>IF(booking!T98&gt;0,"oc","va")</f>
        <v>va</v>
      </c>
      <c r="L98" s="139" t="str">
        <f>IF(booking!U98&gt;0,"oc","va")</f>
        <v>va</v>
      </c>
      <c r="M98" s="138" t="str">
        <f>IF(booking!X98&gt;0,"oc","va")</f>
        <v>va</v>
      </c>
      <c r="N98" s="139" t="str">
        <f>IF(booking!Y98&gt;0,"oc","va")</f>
        <v>va</v>
      </c>
    </row>
    <row r="99" spans="1:14" x14ac:dyDescent="0.35">
      <c r="A99" s="5">
        <f>booking!C99</f>
        <v>46600</v>
      </c>
      <c r="B99" s="159" t="str">
        <f>IF(booking!A99=0,"",booking!A99)</f>
        <v/>
      </c>
      <c r="C99" s="138" t="str">
        <f>IF(booking!D99&gt;0,"oc","va")</f>
        <v>va</v>
      </c>
      <c r="D99" s="139" t="str">
        <f>IF(booking!E99&gt;0,"oc","va")</f>
        <v>va</v>
      </c>
      <c r="E99" s="138" t="str">
        <f>IF(booking!H99&gt;0,"oc","va")</f>
        <v>va</v>
      </c>
      <c r="F99" s="139" t="str">
        <f>IF(booking!I99&gt;0,"oc","va")</f>
        <v>va</v>
      </c>
      <c r="G99" s="138" t="str">
        <f>IF(booking!L99&gt;0,"oc","va")</f>
        <v>va</v>
      </c>
      <c r="H99" s="139" t="str">
        <f>IF(booking!M99&gt;0,"oc","va")</f>
        <v>va</v>
      </c>
      <c r="I99" s="138" t="str">
        <f>IF(booking!P99&gt;0,"oc","va")</f>
        <v>va</v>
      </c>
      <c r="J99" s="139" t="str">
        <f>IF(booking!Q99&gt;0,"oc","va")</f>
        <v>va</v>
      </c>
      <c r="K99" s="138" t="str">
        <f>IF(booking!T99&gt;0,"oc","va")</f>
        <v>va</v>
      </c>
      <c r="L99" s="139" t="str">
        <f>IF(booking!U99&gt;0,"oc","va")</f>
        <v>va</v>
      </c>
      <c r="M99" s="138" t="str">
        <f>IF(booking!X99&gt;0,"oc","va")</f>
        <v>va</v>
      </c>
      <c r="N99" s="139" t="str">
        <f>IF(booking!Y99&gt;0,"oc","va")</f>
        <v>va</v>
      </c>
    </row>
    <row r="100" spans="1:14" x14ac:dyDescent="0.35">
      <c r="A100" s="5">
        <f>booking!C100</f>
        <v>46601</v>
      </c>
      <c r="B100" s="159">
        <f>IF(booking!A100=0,"",booking!A100)</f>
        <v>32</v>
      </c>
      <c r="C100" s="138" t="str">
        <f>IF(booking!D100&gt;0,"oc","va")</f>
        <v>va</v>
      </c>
      <c r="D100" s="139" t="str">
        <f>IF(booking!E100&gt;0,"oc","va")</f>
        <v>va</v>
      </c>
      <c r="E100" s="138" t="str">
        <f>IF(booking!H100&gt;0,"oc","va")</f>
        <v>va</v>
      </c>
      <c r="F100" s="139" t="str">
        <f>IF(booking!I100&gt;0,"oc","va")</f>
        <v>va</v>
      </c>
      <c r="G100" s="138" t="str">
        <f>IF(booking!L100&gt;0,"oc","va")</f>
        <v>va</v>
      </c>
      <c r="H100" s="139" t="str">
        <f>IF(booking!M100&gt;0,"oc","va")</f>
        <v>va</v>
      </c>
      <c r="I100" s="138" t="str">
        <f>IF(booking!P100&gt;0,"oc","va")</f>
        <v>va</v>
      </c>
      <c r="J100" s="139" t="str">
        <f>IF(booking!Q100&gt;0,"oc","va")</f>
        <v>va</v>
      </c>
      <c r="K100" s="138" t="str">
        <f>IF(booking!T100&gt;0,"oc","va")</f>
        <v>va</v>
      </c>
      <c r="L100" s="139" t="str">
        <f>IF(booking!U100&gt;0,"oc","va")</f>
        <v>va</v>
      </c>
      <c r="M100" s="138" t="str">
        <f>IF(booking!X100&gt;0,"oc","va")</f>
        <v>va</v>
      </c>
      <c r="N100" s="139" t="str">
        <f>IF(booking!Y100&gt;0,"oc","va")</f>
        <v>va</v>
      </c>
    </row>
    <row r="101" spans="1:14" x14ac:dyDescent="0.35">
      <c r="A101" s="5">
        <f>booking!C101</f>
        <v>46602</v>
      </c>
      <c r="B101" s="159" t="str">
        <f>IF(booking!A101=0,"",booking!A101)</f>
        <v/>
      </c>
      <c r="C101" s="138" t="str">
        <f>IF(booking!D101&gt;0,"oc","va")</f>
        <v>va</v>
      </c>
      <c r="D101" s="139" t="str">
        <f>IF(booking!E101&gt;0,"oc","va")</f>
        <v>va</v>
      </c>
      <c r="E101" s="138" t="str">
        <f>IF(booking!H101&gt;0,"oc","va")</f>
        <v>va</v>
      </c>
      <c r="F101" s="139" t="str">
        <f>IF(booking!I101&gt;0,"oc","va")</f>
        <v>va</v>
      </c>
      <c r="G101" s="138" t="str">
        <f>IF(booking!L101&gt;0,"oc","va")</f>
        <v>va</v>
      </c>
      <c r="H101" s="139" t="str">
        <f>IF(booking!M101&gt;0,"oc","va")</f>
        <v>va</v>
      </c>
      <c r="I101" s="138" t="str">
        <f>IF(booking!P101&gt;0,"oc","va")</f>
        <v>va</v>
      </c>
      <c r="J101" s="139" t="str">
        <f>IF(booking!Q101&gt;0,"oc","va")</f>
        <v>va</v>
      </c>
      <c r="K101" s="138" t="str">
        <f>IF(booking!T101&gt;0,"oc","va")</f>
        <v>va</v>
      </c>
      <c r="L101" s="139" t="str">
        <f>IF(booking!U101&gt;0,"oc","va")</f>
        <v>va</v>
      </c>
      <c r="M101" s="138" t="str">
        <f>IF(booking!X101&gt;0,"oc","va")</f>
        <v>va</v>
      </c>
      <c r="N101" s="139" t="str">
        <f>IF(booking!Y101&gt;0,"oc","va")</f>
        <v>va</v>
      </c>
    </row>
    <row r="102" spans="1:14" x14ac:dyDescent="0.35">
      <c r="A102" s="5">
        <f>booking!C102</f>
        <v>46603</v>
      </c>
      <c r="B102" s="159" t="str">
        <f>IF(booking!A102=0,"",booking!A102)</f>
        <v/>
      </c>
      <c r="C102" s="138" t="str">
        <f>IF(booking!D102&gt;0,"oc","va")</f>
        <v>va</v>
      </c>
      <c r="D102" s="139" t="str">
        <f>IF(booking!E102&gt;0,"oc","va")</f>
        <v>va</v>
      </c>
      <c r="E102" s="138" t="str">
        <f>IF(booking!H102&gt;0,"oc","va")</f>
        <v>va</v>
      </c>
      <c r="F102" s="139" t="str">
        <f>IF(booking!I102&gt;0,"oc","va")</f>
        <v>va</v>
      </c>
      <c r="G102" s="138" t="str">
        <f>IF(booking!L102&gt;0,"oc","va")</f>
        <v>va</v>
      </c>
      <c r="H102" s="139" t="str">
        <f>IF(booking!M102&gt;0,"oc","va")</f>
        <v>va</v>
      </c>
      <c r="I102" s="138" t="str">
        <f>IF(booking!P102&gt;0,"oc","va")</f>
        <v>va</v>
      </c>
      <c r="J102" s="139" t="str">
        <f>IF(booking!Q102&gt;0,"oc","va")</f>
        <v>va</v>
      </c>
      <c r="K102" s="138" t="str">
        <f>IF(booking!T102&gt;0,"oc","va")</f>
        <v>va</v>
      </c>
      <c r="L102" s="139" t="str">
        <f>IF(booking!U102&gt;0,"oc","va")</f>
        <v>va</v>
      </c>
      <c r="M102" s="138" t="str">
        <f>IF(booking!X102&gt;0,"oc","va")</f>
        <v>va</v>
      </c>
      <c r="N102" s="139" t="str">
        <f>IF(booking!Y102&gt;0,"oc","va")</f>
        <v>va</v>
      </c>
    </row>
    <row r="103" spans="1:14" x14ac:dyDescent="0.35">
      <c r="A103" s="5">
        <f>booking!C103</f>
        <v>46604</v>
      </c>
      <c r="B103" s="159" t="str">
        <f>IF(booking!A103=0,"",booking!A103)</f>
        <v/>
      </c>
      <c r="C103" s="138" t="str">
        <f>IF(booking!D103&gt;0,"oc","va")</f>
        <v>va</v>
      </c>
      <c r="D103" s="139" t="str">
        <f>IF(booking!E103&gt;0,"oc","va")</f>
        <v>va</v>
      </c>
      <c r="E103" s="138" t="str">
        <f>IF(booking!H103&gt;0,"oc","va")</f>
        <v>va</v>
      </c>
      <c r="F103" s="139" t="str">
        <f>IF(booking!I103&gt;0,"oc","va")</f>
        <v>va</v>
      </c>
      <c r="G103" s="138" t="str">
        <f>IF(booking!L103&gt;0,"oc","va")</f>
        <v>va</v>
      </c>
      <c r="H103" s="139" t="str">
        <f>IF(booking!M103&gt;0,"oc","va")</f>
        <v>va</v>
      </c>
      <c r="I103" s="138" t="str">
        <f>IF(booking!P103&gt;0,"oc","va")</f>
        <v>va</v>
      </c>
      <c r="J103" s="139" t="str">
        <f>IF(booking!Q103&gt;0,"oc","va")</f>
        <v>va</v>
      </c>
      <c r="K103" s="138" t="str">
        <f>IF(booking!T103&gt;0,"oc","va")</f>
        <v>va</v>
      </c>
      <c r="L103" s="139" t="str">
        <f>IF(booking!U103&gt;0,"oc","va")</f>
        <v>va</v>
      </c>
      <c r="M103" s="138" t="str">
        <f>IF(booking!X103&gt;0,"oc","va")</f>
        <v>va</v>
      </c>
      <c r="N103" s="139" t="str">
        <f>IF(booking!Y103&gt;0,"oc","va")</f>
        <v>va</v>
      </c>
    </row>
    <row r="104" spans="1:14" x14ac:dyDescent="0.35">
      <c r="A104" s="5">
        <f>booking!C104</f>
        <v>46605</v>
      </c>
      <c r="B104" s="159" t="str">
        <f>IF(booking!A104=0,"",booking!A104)</f>
        <v/>
      </c>
      <c r="C104" s="138" t="str">
        <f>IF(booking!D104&gt;0,"oc","va")</f>
        <v>va</v>
      </c>
      <c r="D104" s="139" t="str">
        <f>IF(booking!E104&gt;0,"oc","va")</f>
        <v>va</v>
      </c>
      <c r="E104" s="138" t="str">
        <f>IF(booking!H104&gt;0,"oc","va")</f>
        <v>va</v>
      </c>
      <c r="F104" s="139" t="str">
        <f>IF(booking!I104&gt;0,"oc","va")</f>
        <v>va</v>
      </c>
      <c r="G104" s="138" t="str">
        <f>IF(booking!L104&gt;0,"oc","va")</f>
        <v>va</v>
      </c>
      <c r="H104" s="139" t="str">
        <f>IF(booking!M104&gt;0,"oc","va")</f>
        <v>va</v>
      </c>
      <c r="I104" s="138" t="str">
        <f>IF(booking!P104&gt;0,"oc","va")</f>
        <v>va</v>
      </c>
      <c r="J104" s="139" t="str">
        <f>IF(booking!Q104&gt;0,"oc","va")</f>
        <v>va</v>
      </c>
      <c r="K104" s="138" t="str">
        <f>IF(booking!T104&gt;0,"oc","va")</f>
        <v>va</v>
      </c>
      <c r="L104" s="139" t="str">
        <f>IF(booking!U104&gt;0,"oc","va")</f>
        <v>va</v>
      </c>
      <c r="M104" s="138" t="str">
        <f>IF(booking!X104&gt;0,"oc","va")</f>
        <v>va</v>
      </c>
      <c r="N104" s="139" t="str">
        <f>IF(booking!Y104&gt;0,"oc","va")</f>
        <v>va</v>
      </c>
    </row>
    <row r="105" spans="1:14" x14ac:dyDescent="0.35">
      <c r="A105" s="5">
        <f>booking!C105</f>
        <v>46606</v>
      </c>
      <c r="B105" s="159" t="str">
        <f>IF(booking!A105=0,"",booking!A105)</f>
        <v/>
      </c>
      <c r="C105" s="138" t="str">
        <f>IF(booking!D105&gt;0,"oc","va")</f>
        <v>va</v>
      </c>
      <c r="D105" s="139" t="str">
        <f>IF(booking!E105&gt;0,"oc","va")</f>
        <v>va</v>
      </c>
      <c r="E105" s="138" t="str">
        <f>IF(booking!H105&gt;0,"oc","va")</f>
        <v>va</v>
      </c>
      <c r="F105" s="139" t="str">
        <f>IF(booking!I105&gt;0,"oc","va")</f>
        <v>va</v>
      </c>
      <c r="G105" s="138" t="str">
        <f>IF(booking!L105&gt;0,"oc","va")</f>
        <v>va</v>
      </c>
      <c r="H105" s="139" t="str">
        <f>IF(booking!M105&gt;0,"oc","va")</f>
        <v>va</v>
      </c>
      <c r="I105" s="138" t="str">
        <f>IF(booking!P105&gt;0,"oc","va")</f>
        <v>va</v>
      </c>
      <c r="J105" s="139" t="str">
        <f>IF(booking!Q105&gt;0,"oc","va")</f>
        <v>va</v>
      </c>
      <c r="K105" s="138" t="str">
        <f>IF(booking!T105&gt;0,"oc","va")</f>
        <v>va</v>
      </c>
      <c r="L105" s="139" t="str">
        <f>IF(booking!U105&gt;0,"oc","va")</f>
        <v>va</v>
      </c>
      <c r="M105" s="138" t="str">
        <f>IF(booking!X105&gt;0,"oc","va")</f>
        <v>va</v>
      </c>
      <c r="N105" s="139" t="str">
        <f>IF(booking!Y105&gt;0,"oc","va")</f>
        <v>va</v>
      </c>
    </row>
    <row r="106" spans="1:14" x14ac:dyDescent="0.35">
      <c r="A106" s="5">
        <f>booking!C106</f>
        <v>46607</v>
      </c>
      <c r="B106" s="159" t="str">
        <f>IF(booking!A106=0,"",booking!A106)</f>
        <v/>
      </c>
      <c r="C106" s="138" t="str">
        <f>IF(booking!D106&gt;0,"oc","va")</f>
        <v>va</v>
      </c>
      <c r="D106" s="139" t="str">
        <f>IF(booking!E106&gt;0,"oc","va")</f>
        <v>va</v>
      </c>
      <c r="E106" s="138" t="str">
        <f>IF(booking!H106&gt;0,"oc","va")</f>
        <v>va</v>
      </c>
      <c r="F106" s="139" t="str">
        <f>IF(booking!I106&gt;0,"oc","va")</f>
        <v>va</v>
      </c>
      <c r="G106" s="138" t="str">
        <f>IF(booking!L106&gt;0,"oc","va")</f>
        <v>va</v>
      </c>
      <c r="H106" s="139" t="str">
        <f>IF(booking!M106&gt;0,"oc","va")</f>
        <v>va</v>
      </c>
      <c r="I106" s="138" t="str">
        <f>IF(booking!P106&gt;0,"oc","va")</f>
        <v>va</v>
      </c>
      <c r="J106" s="139" t="str">
        <f>IF(booking!Q106&gt;0,"oc","va")</f>
        <v>va</v>
      </c>
      <c r="K106" s="138" t="str">
        <f>IF(booking!T106&gt;0,"oc","va")</f>
        <v>va</v>
      </c>
      <c r="L106" s="139" t="str">
        <f>IF(booking!U106&gt;0,"oc","va")</f>
        <v>va</v>
      </c>
      <c r="M106" s="138" t="str">
        <f>IF(booking!X106&gt;0,"oc","va")</f>
        <v>va</v>
      </c>
      <c r="N106" s="139" t="str">
        <f>IF(booking!Y106&gt;0,"oc","va")</f>
        <v>va</v>
      </c>
    </row>
    <row r="107" spans="1:14" x14ac:dyDescent="0.35">
      <c r="A107" s="5">
        <f>booking!C107</f>
        <v>46608</v>
      </c>
      <c r="B107" s="159">
        <f>IF(booking!A107=0,"",booking!A107)</f>
        <v>33</v>
      </c>
      <c r="C107" s="138" t="str">
        <f>IF(booking!D107&gt;0,"oc","va")</f>
        <v>va</v>
      </c>
      <c r="D107" s="139" t="str">
        <f>IF(booking!E107&gt;0,"oc","va")</f>
        <v>va</v>
      </c>
      <c r="E107" s="138" t="str">
        <f>IF(booking!H107&gt;0,"oc","va")</f>
        <v>va</v>
      </c>
      <c r="F107" s="139" t="str">
        <f>IF(booking!I107&gt;0,"oc","va")</f>
        <v>va</v>
      </c>
      <c r="G107" s="138" t="str">
        <f>IF(booking!L107&gt;0,"oc","va")</f>
        <v>va</v>
      </c>
      <c r="H107" s="139" t="str">
        <f>IF(booking!M107&gt;0,"oc","va")</f>
        <v>va</v>
      </c>
      <c r="I107" s="138" t="str">
        <f>IF(booking!P107&gt;0,"oc","va")</f>
        <v>va</v>
      </c>
      <c r="J107" s="139" t="str">
        <f>IF(booking!Q107&gt;0,"oc","va")</f>
        <v>va</v>
      </c>
      <c r="K107" s="138" t="str">
        <f>IF(booking!T107&gt;0,"oc","va")</f>
        <v>va</v>
      </c>
      <c r="L107" s="139" t="str">
        <f>IF(booking!U107&gt;0,"oc","va")</f>
        <v>va</v>
      </c>
      <c r="M107" s="138" t="str">
        <f>IF(booking!X107&gt;0,"oc","va")</f>
        <v>va</v>
      </c>
      <c r="N107" s="139" t="str">
        <f>IF(booking!Y107&gt;0,"oc","va")</f>
        <v>va</v>
      </c>
    </row>
    <row r="108" spans="1:14" x14ac:dyDescent="0.35">
      <c r="A108" s="5">
        <f>booking!C108</f>
        <v>46609</v>
      </c>
      <c r="B108" s="159" t="str">
        <f>IF(booking!A108=0,"",booking!A108)</f>
        <v>post nord</v>
      </c>
      <c r="C108" s="138" t="str">
        <f>IF(booking!D108&gt;0,"oc","va")</f>
        <v>va</v>
      </c>
      <c r="D108" s="139" t="str">
        <f>IF(booking!E108&gt;0,"oc","va")</f>
        <v>va</v>
      </c>
      <c r="E108" s="138" t="str">
        <f>IF(booking!H108&gt;0,"oc","va")</f>
        <v>va</v>
      </c>
      <c r="F108" s="139" t="str">
        <f>IF(booking!I108&gt;0,"oc","va")</f>
        <v>va</v>
      </c>
      <c r="G108" s="138" t="str">
        <f>IF(booking!L108&gt;0,"oc","va")</f>
        <v>va</v>
      </c>
      <c r="H108" s="139" t="str">
        <f>IF(booking!M108&gt;0,"oc","va")</f>
        <v>va</v>
      </c>
      <c r="I108" s="138" t="str">
        <f>IF(booking!P108&gt;0,"oc","va")</f>
        <v>va</v>
      </c>
      <c r="J108" s="139" t="str">
        <f>IF(booking!Q108&gt;0,"oc","va")</f>
        <v>va</v>
      </c>
      <c r="K108" s="138" t="str">
        <f>IF(booking!T108&gt;0,"oc","va")</f>
        <v>va</v>
      </c>
      <c r="L108" s="139" t="str">
        <f>IF(booking!U108&gt;0,"oc","va")</f>
        <v>va</v>
      </c>
      <c r="M108" s="138" t="str">
        <f>IF(booking!X108&gt;0,"oc","va")</f>
        <v>va</v>
      </c>
      <c r="N108" s="139" t="str">
        <f>IF(booking!Y108&gt;0,"oc","va")</f>
        <v>va</v>
      </c>
    </row>
    <row r="109" spans="1:14" x14ac:dyDescent="0.35">
      <c r="A109" s="5">
        <f>booking!C109</f>
        <v>46610</v>
      </c>
      <c r="B109" s="159" t="str">
        <f>IF(booking!A109=0,"",booking!A109)</f>
        <v/>
      </c>
      <c r="C109" s="138" t="str">
        <f>IF(booking!D109&gt;0,"oc","va")</f>
        <v>va</v>
      </c>
      <c r="D109" s="139" t="str">
        <f>IF(booking!E109&gt;0,"oc","va")</f>
        <v>va</v>
      </c>
      <c r="E109" s="138" t="str">
        <f>IF(booking!H109&gt;0,"oc","va")</f>
        <v>va</v>
      </c>
      <c r="F109" s="139" t="str">
        <f>IF(booking!I109&gt;0,"oc","va")</f>
        <v>va</v>
      </c>
      <c r="G109" s="138" t="str">
        <f>IF(booking!L109&gt;0,"oc","va")</f>
        <v>va</v>
      </c>
      <c r="H109" s="139" t="str">
        <f>IF(booking!M109&gt;0,"oc","va")</f>
        <v>va</v>
      </c>
      <c r="I109" s="138" t="str">
        <f>IF(booking!P109&gt;0,"oc","va")</f>
        <v>va</v>
      </c>
      <c r="J109" s="139" t="str">
        <f>IF(booking!Q109&gt;0,"oc","va")</f>
        <v>va</v>
      </c>
      <c r="K109" s="138" t="str">
        <f>IF(booking!T109&gt;0,"oc","va")</f>
        <v>va</v>
      </c>
      <c r="L109" s="139" t="str">
        <f>IF(booking!U109&gt;0,"oc","va")</f>
        <v>va</v>
      </c>
      <c r="M109" s="138" t="str">
        <f>IF(booking!X109&gt;0,"oc","va")</f>
        <v>va</v>
      </c>
      <c r="N109" s="139" t="str">
        <f>IF(booking!Y109&gt;0,"oc","va")</f>
        <v>va</v>
      </c>
    </row>
    <row r="110" spans="1:14" x14ac:dyDescent="0.35">
      <c r="A110" s="5">
        <f>booking!C110</f>
        <v>46611</v>
      </c>
      <c r="B110" s="159" t="str">
        <f>IF(booking!A110=0,"",booking!A110)</f>
        <v>wonder</v>
      </c>
      <c r="C110" s="138" t="str">
        <f>IF(booking!D110&gt;0,"oc","va")</f>
        <v>va</v>
      </c>
      <c r="D110" s="139" t="str">
        <f>IF(booking!E110&gt;0,"oc","va")</f>
        <v>va</v>
      </c>
      <c r="E110" s="138" t="str">
        <f>IF(booking!H110&gt;0,"oc","va")</f>
        <v>va</v>
      </c>
      <c r="F110" s="139" t="str">
        <f>IF(booking!I110&gt;0,"oc","va")</f>
        <v>va</v>
      </c>
      <c r="G110" s="138" t="str">
        <f>IF(booking!L110&gt;0,"oc","va")</f>
        <v>va</v>
      </c>
      <c r="H110" s="139" t="str">
        <f>IF(booking!M110&gt;0,"oc","va")</f>
        <v>va</v>
      </c>
      <c r="I110" s="138" t="str">
        <f>IF(booking!P110&gt;0,"oc","va")</f>
        <v>va</v>
      </c>
      <c r="J110" s="139" t="str">
        <f>IF(booking!Q110&gt;0,"oc","va")</f>
        <v>va</v>
      </c>
      <c r="K110" s="138" t="str">
        <f>IF(booking!T110&gt;0,"oc","va")</f>
        <v>va</v>
      </c>
      <c r="L110" s="139" t="str">
        <f>IF(booking!U110&gt;0,"oc","va")</f>
        <v>va</v>
      </c>
      <c r="M110" s="138" t="str">
        <f>IF(booking!X110&gt;0,"oc","va")</f>
        <v>va</v>
      </c>
      <c r="N110" s="139" t="str">
        <f>IF(booking!Y110&gt;0,"oc","va")</f>
        <v>va</v>
      </c>
    </row>
    <row r="111" spans="1:14" x14ac:dyDescent="0.35">
      <c r="A111" s="5">
        <f>booking!C111</f>
        <v>46612</v>
      </c>
      <c r="B111" s="159" t="str">
        <f>IF(booking!A111=0,"",booking!A111)</f>
        <v>wonder</v>
      </c>
      <c r="C111" s="138" t="str">
        <f>IF(booking!D111&gt;0,"oc","va")</f>
        <v>va</v>
      </c>
      <c r="D111" s="139" t="str">
        <f>IF(booking!E111&gt;0,"oc","va")</f>
        <v>va</v>
      </c>
      <c r="E111" s="138" t="str">
        <f>IF(booking!H111&gt;0,"oc","va")</f>
        <v>va</v>
      </c>
      <c r="F111" s="139" t="str">
        <f>IF(booking!I111&gt;0,"oc","va")</f>
        <v>va</v>
      </c>
      <c r="G111" s="138" t="str">
        <f>IF(booking!L111&gt;0,"oc","va")</f>
        <v>va</v>
      </c>
      <c r="H111" s="139" t="str">
        <f>IF(booking!M111&gt;0,"oc","va")</f>
        <v>va</v>
      </c>
      <c r="I111" s="138" t="str">
        <f>IF(booking!P111&gt;0,"oc","va")</f>
        <v>va</v>
      </c>
      <c r="J111" s="139" t="str">
        <f>IF(booking!Q111&gt;0,"oc","va")</f>
        <v>va</v>
      </c>
      <c r="K111" s="138" t="str">
        <f>IF(booking!T111&gt;0,"oc","va")</f>
        <v>va</v>
      </c>
      <c r="L111" s="139" t="str">
        <f>IF(booking!U111&gt;0,"oc","va")</f>
        <v>va</v>
      </c>
      <c r="M111" s="138" t="str">
        <f>IF(booking!X111&gt;0,"oc","va")</f>
        <v>va</v>
      </c>
      <c r="N111" s="139" t="str">
        <f>IF(booking!Y111&gt;0,"oc","va")</f>
        <v>va</v>
      </c>
    </row>
    <row r="112" spans="1:14" x14ac:dyDescent="0.35">
      <c r="A112" s="5">
        <f>booking!C112</f>
        <v>46613</v>
      </c>
      <c r="B112" s="159" t="str">
        <f>IF(booking!A112=0,"",booking!A112)</f>
        <v>wonder</v>
      </c>
      <c r="C112" s="138" t="str">
        <f>IF(booking!D112&gt;0,"oc","va")</f>
        <v>va</v>
      </c>
      <c r="D112" s="139" t="str">
        <f>IF(booking!E112&gt;0,"oc","va")</f>
        <v>va</v>
      </c>
      <c r="E112" s="138" t="str">
        <f>IF(booking!H112&gt;0,"oc","va")</f>
        <v>va</v>
      </c>
      <c r="F112" s="139" t="str">
        <f>IF(booking!I112&gt;0,"oc","va")</f>
        <v>va</v>
      </c>
      <c r="G112" s="138" t="str">
        <f>IF(booking!L112&gt;0,"oc","va")</f>
        <v>va</v>
      </c>
      <c r="H112" s="139" t="str">
        <f>IF(booking!M112&gt;0,"oc","va")</f>
        <v>va</v>
      </c>
      <c r="I112" s="138" t="str">
        <f>IF(booking!P112&gt;0,"oc","va")</f>
        <v>va</v>
      </c>
      <c r="J112" s="139" t="str">
        <f>IF(booking!Q112&gt;0,"oc","va")</f>
        <v>va</v>
      </c>
      <c r="K112" s="138" t="str">
        <f>IF(booking!T112&gt;0,"oc","va")</f>
        <v>va</v>
      </c>
      <c r="L112" s="139" t="str">
        <f>IF(booking!U112&gt;0,"oc","va")</f>
        <v>va</v>
      </c>
      <c r="M112" s="138" t="str">
        <f>IF(booking!X112&gt;0,"oc","va")</f>
        <v>va</v>
      </c>
      <c r="N112" s="139" t="str">
        <f>IF(booking!Y112&gt;0,"oc","va")</f>
        <v>va</v>
      </c>
    </row>
    <row r="113" spans="1:14" x14ac:dyDescent="0.35">
      <c r="A113" s="5">
        <f>booking!C113</f>
        <v>46614</v>
      </c>
      <c r="B113" s="159" t="str">
        <f>IF(booking!A113=0,"",booking!A113)</f>
        <v/>
      </c>
      <c r="C113" s="138" t="str">
        <f>IF(booking!D113&gt;0,"oc","va")</f>
        <v>va</v>
      </c>
      <c r="D113" s="139" t="str">
        <f>IF(booking!E113&gt;0,"oc","va")</f>
        <v>va</v>
      </c>
      <c r="E113" s="138" t="str">
        <f>IF(booking!H113&gt;0,"oc","va")</f>
        <v>va</v>
      </c>
      <c r="F113" s="139" t="str">
        <f>IF(booking!I113&gt;0,"oc","va")</f>
        <v>va</v>
      </c>
      <c r="G113" s="138" t="str">
        <f>IF(booking!L113&gt;0,"oc","va")</f>
        <v>va</v>
      </c>
      <c r="H113" s="139" t="str">
        <f>IF(booking!M113&gt;0,"oc","va")</f>
        <v>va</v>
      </c>
      <c r="I113" s="138" t="str">
        <f>IF(booking!P113&gt;0,"oc","va")</f>
        <v>va</v>
      </c>
      <c r="J113" s="139" t="str">
        <f>IF(booking!Q113&gt;0,"oc","va")</f>
        <v>va</v>
      </c>
      <c r="K113" s="138" t="str">
        <f>IF(booking!T113&gt;0,"oc","va")</f>
        <v>va</v>
      </c>
      <c r="L113" s="139" t="str">
        <f>IF(booking!U113&gt;0,"oc","va")</f>
        <v>va</v>
      </c>
      <c r="M113" s="138" t="str">
        <f>IF(booking!X113&gt;0,"oc","va")</f>
        <v>va</v>
      </c>
      <c r="N113" s="139" t="str">
        <f>IF(booking!Y113&gt;0,"oc","va")</f>
        <v>va</v>
      </c>
    </row>
    <row r="114" spans="1:14" x14ac:dyDescent="0.35">
      <c r="A114" s="5">
        <f>booking!C114</f>
        <v>46615</v>
      </c>
      <c r="B114" s="159">
        <f>IF(booking!A114=0,"",booking!A114)</f>
        <v>34</v>
      </c>
      <c r="C114" s="138" t="str">
        <f>IF(booking!D114&gt;0,"oc","va")</f>
        <v>va</v>
      </c>
      <c r="D114" s="139" t="str">
        <f>IF(booking!E114&gt;0,"oc","va")</f>
        <v>va</v>
      </c>
      <c r="E114" s="138" t="str">
        <f>IF(booking!H114&gt;0,"oc","va")</f>
        <v>va</v>
      </c>
      <c r="F114" s="139" t="str">
        <f>IF(booking!I114&gt;0,"oc","va")</f>
        <v>va</v>
      </c>
      <c r="G114" s="138" t="str">
        <f>IF(booking!L114&gt;0,"oc","va")</f>
        <v>va</v>
      </c>
      <c r="H114" s="139" t="str">
        <f>IF(booking!M114&gt;0,"oc","va")</f>
        <v>va</v>
      </c>
      <c r="I114" s="138" t="str">
        <f>IF(booking!P114&gt;0,"oc","va")</f>
        <v>va</v>
      </c>
      <c r="J114" s="139" t="str">
        <f>IF(booking!Q114&gt;0,"oc","va")</f>
        <v>va</v>
      </c>
      <c r="K114" s="138" t="str">
        <f>IF(booking!T114&gt;0,"oc","va")</f>
        <v>va</v>
      </c>
      <c r="L114" s="139" t="str">
        <f>IF(booking!U114&gt;0,"oc","va")</f>
        <v>va</v>
      </c>
      <c r="M114" s="138" t="str">
        <f>IF(booking!X114&gt;0,"oc","va")</f>
        <v>va</v>
      </c>
      <c r="N114" s="139" t="str">
        <f>IF(booking!Y114&gt;0,"oc","va")</f>
        <v>va</v>
      </c>
    </row>
    <row r="115" spans="1:14" x14ac:dyDescent="0.35">
      <c r="A115" s="5">
        <f>booking!C115</f>
        <v>46616</v>
      </c>
      <c r="B115" s="159" t="str">
        <f>IF(booking!A115=0,"",booking!A115)</f>
        <v/>
      </c>
      <c r="C115" s="138" t="str">
        <f>IF(booking!D115&gt;0,"oc","va")</f>
        <v>va</v>
      </c>
      <c r="D115" s="139" t="str">
        <f>IF(booking!E115&gt;0,"oc","va")</f>
        <v>va</v>
      </c>
      <c r="E115" s="138" t="str">
        <f>IF(booking!H115&gt;0,"oc","va")</f>
        <v>va</v>
      </c>
      <c r="F115" s="139" t="str">
        <f>IF(booking!I115&gt;0,"oc","va")</f>
        <v>va</v>
      </c>
      <c r="G115" s="138" t="str">
        <f>IF(booking!L115&gt;0,"oc","va")</f>
        <v>va</v>
      </c>
      <c r="H115" s="139" t="str">
        <f>IF(booking!M115&gt;0,"oc","va")</f>
        <v>va</v>
      </c>
      <c r="I115" s="138" t="str">
        <f>IF(booking!P115&gt;0,"oc","va")</f>
        <v>va</v>
      </c>
      <c r="J115" s="139" t="str">
        <f>IF(booking!Q115&gt;0,"oc","va")</f>
        <v>va</v>
      </c>
      <c r="K115" s="138" t="str">
        <f>IF(booking!T115&gt;0,"oc","va")</f>
        <v>va</v>
      </c>
      <c r="L115" s="139" t="str">
        <f>IF(booking!U115&gt;0,"oc","va")</f>
        <v>va</v>
      </c>
      <c r="M115" s="138" t="str">
        <f>IF(booking!X115&gt;0,"oc","va")</f>
        <v>va</v>
      </c>
      <c r="N115" s="139" t="str">
        <f>IF(booking!Y115&gt;0,"oc","va")</f>
        <v>va</v>
      </c>
    </row>
    <row r="116" spans="1:14" x14ac:dyDescent="0.35">
      <c r="A116" s="5">
        <f>booking!C116</f>
        <v>46617</v>
      </c>
      <c r="B116" s="159" t="str">
        <f>IF(booking!A116=0,"",booking!A116)</f>
        <v/>
      </c>
      <c r="C116" s="138" t="str">
        <f>IF(booking!D116&gt;0,"oc","va")</f>
        <v>va</v>
      </c>
      <c r="D116" s="139" t="str">
        <f>IF(booking!E116&gt;0,"oc","va")</f>
        <v>va</v>
      </c>
      <c r="E116" s="138" t="str">
        <f>IF(booking!H116&gt;0,"oc","va")</f>
        <v>va</v>
      </c>
      <c r="F116" s="139" t="str">
        <f>IF(booking!I116&gt;0,"oc","va")</f>
        <v>va</v>
      </c>
      <c r="G116" s="138" t="str">
        <f>IF(booking!L116&gt;0,"oc","va")</f>
        <v>va</v>
      </c>
      <c r="H116" s="139" t="str">
        <f>IF(booking!M116&gt;0,"oc","va")</f>
        <v>va</v>
      </c>
      <c r="I116" s="138" t="str">
        <f>IF(booking!P116&gt;0,"oc","va")</f>
        <v>va</v>
      </c>
      <c r="J116" s="139" t="str">
        <f>IF(booking!Q116&gt;0,"oc","va")</f>
        <v>va</v>
      </c>
      <c r="K116" s="138" t="str">
        <f>IF(booking!T116&gt;0,"oc","va")</f>
        <v>va</v>
      </c>
      <c r="L116" s="139" t="str">
        <f>IF(booking!U116&gt;0,"oc","va")</f>
        <v>va</v>
      </c>
      <c r="M116" s="138" t="str">
        <f>IF(booking!X116&gt;0,"oc","va")</f>
        <v>va</v>
      </c>
      <c r="N116" s="139" t="str">
        <f>IF(booking!Y116&gt;0,"oc","va")</f>
        <v>va</v>
      </c>
    </row>
    <row r="117" spans="1:14" x14ac:dyDescent="0.35">
      <c r="A117" s="5">
        <f>booking!C117</f>
        <v>46618</v>
      </c>
      <c r="B117" s="159" t="str">
        <f>IF(booking!A117=0,"",booking!A117)</f>
        <v/>
      </c>
      <c r="C117" s="138" t="str">
        <f>IF(booking!D117&gt;0,"oc","va")</f>
        <v>va</v>
      </c>
      <c r="D117" s="139" t="str">
        <f>IF(booking!E117&gt;0,"oc","va")</f>
        <v>va</v>
      </c>
      <c r="E117" s="138" t="str">
        <f>IF(booking!H117&gt;0,"oc","va")</f>
        <v>va</v>
      </c>
      <c r="F117" s="139" t="str">
        <f>IF(booking!I117&gt;0,"oc","va")</f>
        <v>va</v>
      </c>
      <c r="G117" s="138" t="str">
        <f>IF(booking!L117&gt;0,"oc","va")</f>
        <v>va</v>
      </c>
      <c r="H117" s="139" t="str">
        <f>IF(booking!M117&gt;0,"oc","va")</f>
        <v>va</v>
      </c>
      <c r="I117" s="138" t="str">
        <f>IF(booking!P117&gt;0,"oc","va")</f>
        <v>va</v>
      </c>
      <c r="J117" s="139" t="str">
        <f>IF(booking!Q117&gt;0,"oc","va")</f>
        <v>va</v>
      </c>
      <c r="K117" s="138" t="str">
        <f>IF(booking!T117&gt;0,"oc","va")</f>
        <v>va</v>
      </c>
      <c r="L117" s="139" t="str">
        <f>IF(booking!U117&gt;0,"oc","va")</f>
        <v>va</v>
      </c>
      <c r="M117" s="138" t="str">
        <f>IF(booking!X117&gt;0,"oc","va")</f>
        <v>va</v>
      </c>
      <c r="N117" s="139" t="str">
        <f>IF(booking!Y117&gt;0,"oc","va")</f>
        <v>va</v>
      </c>
    </row>
    <row r="118" spans="1:14" x14ac:dyDescent="0.35">
      <c r="A118" s="5">
        <f>booking!C118</f>
        <v>46619</v>
      </c>
      <c r="B118" s="159" t="str">
        <f>IF(booking!A118=0,"",booking!A118)</f>
        <v/>
      </c>
      <c r="C118" s="138" t="str">
        <f>IF(booking!D118&gt;0,"oc","va")</f>
        <v>va</v>
      </c>
      <c r="D118" s="139" t="str">
        <f>IF(booking!E118&gt;0,"oc","va")</f>
        <v>va</v>
      </c>
      <c r="E118" s="138" t="str">
        <f>IF(booking!H118&gt;0,"oc","va")</f>
        <v>va</v>
      </c>
      <c r="F118" s="139" t="str">
        <f>IF(booking!I118&gt;0,"oc","va")</f>
        <v>va</v>
      </c>
      <c r="G118" s="138" t="str">
        <f>IF(booking!L118&gt;0,"oc","va")</f>
        <v>va</v>
      </c>
      <c r="H118" s="139" t="str">
        <f>IF(booking!M118&gt;0,"oc","va")</f>
        <v>va</v>
      </c>
      <c r="I118" s="138" t="str">
        <f>IF(booking!P118&gt;0,"oc","va")</f>
        <v>va</v>
      </c>
      <c r="J118" s="139" t="str">
        <f>IF(booking!Q118&gt;0,"oc","va")</f>
        <v>va</v>
      </c>
      <c r="K118" s="138" t="str">
        <f>IF(booking!T118&gt;0,"oc","va")</f>
        <v>va</v>
      </c>
      <c r="L118" s="139" t="str">
        <f>IF(booking!U118&gt;0,"oc","va")</f>
        <v>va</v>
      </c>
      <c r="M118" s="138" t="str">
        <f>IF(booking!X118&gt;0,"oc","va")</f>
        <v>va</v>
      </c>
      <c r="N118" s="139" t="str">
        <f>IF(booking!Y118&gt;0,"oc","va")</f>
        <v>va</v>
      </c>
    </row>
    <row r="119" spans="1:14" x14ac:dyDescent="0.35">
      <c r="A119" s="5">
        <f>booking!C119</f>
        <v>46620</v>
      </c>
      <c r="B119" s="159" t="str">
        <f>IF(booking!A119=0,"",booking!A119)</f>
        <v/>
      </c>
      <c r="C119" s="138" t="str">
        <f>IF(booking!D119&gt;0,"oc","va")</f>
        <v>va</v>
      </c>
      <c r="D119" s="139" t="str">
        <f>IF(booking!E119&gt;0,"oc","va")</f>
        <v>va</v>
      </c>
      <c r="E119" s="138" t="str">
        <f>IF(booking!H119&gt;0,"oc","va")</f>
        <v>va</v>
      </c>
      <c r="F119" s="139" t="str">
        <f>IF(booking!I119&gt;0,"oc","va")</f>
        <v>va</v>
      </c>
      <c r="G119" s="138" t="str">
        <f>IF(booking!L119&gt;0,"oc","va")</f>
        <v>va</v>
      </c>
      <c r="H119" s="139" t="str">
        <f>IF(booking!M119&gt;0,"oc","va")</f>
        <v>va</v>
      </c>
      <c r="I119" s="138" t="str">
        <f>IF(booking!P119&gt;0,"oc","va")</f>
        <v>va</v>
      </c>
      <c r="J119" s="139" t="str">
        <f>IF(booking!Q119&gt;0,"oc","va")</f>
        <v>va</v>
      </c>
      <c r="K119" s="138" t="str">
        <f>IF(booking!T119&gt;0,"oc","va")</f>
        <v>va</v>
      </c>
      <c r="L119" s="139" t="str">
        <f>IF(booking!U119&gt;0,"oc","va")</f>
        <v>va</v>
      </c>
      <c r="M119" s="138" t="str">
        <f>IF(booking!X119&gt;0,"oc","va")</f>
        <v>va</v>
      </c>
      <c r="N119" s="139" t="str">
        <f>IF(booking!Y119&gt;0,"oc","va")</f>
        <v>va</v>
      </c>
    </row>
    <row r="120" spans="1:14" x14ac:dyDescent="0.35">
      <c r="A120" s="5">
        <f>booking!C120</f>
        <v>46621</v>
      </c>
      <c r="B120" s="159" t="str">
        <f>IF(booking!A120=0,"",booking!A120)</f>
        <v/>
      </c>
      <c r="C120" s="138" t="str">
        <f>IF(booking!D120&gt;0,"oc","va")</f>
        <v>va</v>
      </c>
      <c r="D120" s="139" t="str">
        <f>IF(booking!E120&gt;0,"oc","va")</f>
        <v>va</v>
      </c>
      <c r="E120" s="138" t="str">
        <f>IF(booking!H120&gt;0,"oc","va")</f>
        <v>va</v>
      </c>
      <c r="F120" s="139" t="str">
        <f>IF(booking!I120&gt;0,"oc","va")</f>
        <v>va</v>
      </c>
      <c r="G120" s="138" t="str">
        <f>IF(booking!L120&gt;0,"oc","va")</f>
        <v>va</v>
      </c>
      <c r="H120" s="139" t="str">
        <f>IF(booking!M120&gt;0,"oc","va")</f>
        <v>va</v>
      </c>
      <c r="I120" s="138" t="str">
        <f>IF(booking!P120&gt;0,"oc","va")</f>
        <v>va</v>
      </c>
      <c r="J120" s="139" t="str">
        <f>IF(booking!Q120&gt;0,"oc","va")</f>
        <v>va</v>
      </c>
      <c r="K120" s="138" t="str">
        <f>IF(booking!T120&gt;0,"oc","va")</f>
        <v>va</v>
      </c>
      <c r="L120" s="139" t="str">
        <f>IF(booking!U120&gt;0,"oc","va")</f>
        <v>va</v>
      </c>
      <c r="M120" s="138" t="str">
        <f>IF(booking!X120&gt;0,"oc","va")</f>
        <v>va</v>
      </c>
      <c r="N120" s="139" t="str">
        <f>IF(booking!Y120&gt;0,"oc","va")</f>
        <v>va</v>
      </c>
    </row>
    <row r="121" spans="1:14" x14ac:dyDescent="0.35">
      <c r="A121" s="5">
        <f>booking!C121</f>
        <v>46622</v>
      </c>
      <c r="B121" s="159">
        <f>IF(booking!A121=0,"",booking!A121)</f>
        <v>35</v>
      </c>
      <c r="C121" s="138" t="str">
        <f>IF(booking!D121&gt;0,"oc","va")</f>
        <v>va</v>
      </c>
      <c r="D121" s="139" t="str">
        <f>IF(booking!E121&gt;0,"oc","va")</f>
        <v>va</v>
      </c>
      <c r="E121" s="138" t="str">
        <f>IF(booking!H121&gt;0,"oc","va")</f>
        <v>va</v>
      </c>
      <c r="F121" s="139" t="str">
        <f>IF(booking!I121&gt;0,"oc","va")</f>
        <v>va</v>
      </c>
      <c r="G121" s="138" t="str">
        <f>IF(booking!L121&gt;0,"oc","va")</f>
        <v>va</v>
      </c>
      <c r="H121" s="139" t="str">
        <f>IF(booking!M121&gt;0,"oc","va")</f>
        <v>va</v>
      </c>
      <c r="I121" s="138" t="str">
        <f>IF(booking!P121&gt;0,"oc","va")</f>
        <v>va</v>
      </c>
      <c r="J121" s="139" t="str">
        <f>IF(booking!Q121&gt;0,"oc","va")</f>
        <v>va</v>
      </c>
      <c r="K121" s="138" t="str">
        <f>IF(booking!T121&gt;0,"oc","va")</f>
        <v>va</v>
      </c>
      <c r="L121" s="139" t="str">
        <f>IF(booking!U121&gt;0,"oc","va")</f>
        <v>va</v>
      </c>
      <c r="M121" s="138" t="str">
        <f>IF(booking!X121&gt;0,"oc","va")</f>
        <v>va</v>
      </c>
      <c r="N121" s="139" t="str">
        <f>IF(booking!Y121&gt;0,"oc","va")</f>
        <v>va</v>
      </c>
    </row>
    <row r="122" spans="1:14" x14ac:dyDescent="0.35">
      <c r="A122" s="5">
        <f>booking!C122</f>
        <v>46623</v>
      </c>
      <c r="B122" s="159" t="str">
        <f>IF(booking!A122=0,"",booking!A122)</f>
        <v/>
      </c>
      <c r="C122" s="138" t="str">
        <f>IF(booking!D122&gt;0,"oc","va")</f>
        <v>va</v>
      </c>
      <c r="D122" s="139" t="str">
        <f>IF(booking!E122&gt;0,"oc","va")</f>
        <v>va</v>
      </c>
      <c r="E122" s="138" t="str">
        <f>IF(booking!H122&gt;0,"oc","va")</f>
        <v>va</v>
      </c>
      <c r="F122" s="139" t="str">
        <f>IF(booking!I122&gt;0,"oc","va")</f>
        <v>va</v>
      </c>
      <c r="G122" s="138" t="str">
        <f>IF(booking!L122&gt;0,"oc","va")</f>
        <v>va</v>
      </c>
      <c r="H122" s="139" t="str">
        <f>IF(booking!M122&gt;0,"oc","va")</f>
        <v>va</v>
      </c>
      <c r="I122" s="138" t="str">
        <f>IF(booking!P122&gt;0,"oc","va")</f>
        <v>va</v>
      </c>
      <c r="J122" s="139" t="str">
        <f>IF(booking!Q122&gt;0,"oc","va")</f>
        <v>va</v>
      </c>
      <c r="K122" s="138" t="str">
        <f>IF(booking!T122&gt;0,"oc","va")</f>
        <v>va</v>
      </c>
      <c r="L122" s="139" t="str">
        <f>IF(booking!U122&gt;0,"oc","va")</f>
        <v>va</v>
      </c>
      <c r="M122" s="138" t="str">
        <f>IF(booking!X122&gt;0,"oc","va")</f>
        <v>va</v>
      </c>
      <c r="N122" s="139" t="str">
        <f>IF(booking!Y122&gt;0,"oc","va")</f>
        <v>va</v>
      </c>
    </row>
    <row r="123" spans="1:14" x14ac:dyDescent="0.35">
      <c r="A123" s="5">
        <f>booking!C123</f>
        <v>46624</v>
      </c>
      <c r="B123" s="159" t="str">
        <f>IF(booking!A123=0,"",booking!A123)</f>
        <v/>
      </c>
      <c r="C123" s="138" t="str">
        <f>IF(booking!D123&gt;0,"oc","va")</f>
        <v>va</v>
      </c>
      <c r="D123" s="139" t="str">
        <f>IF(booking!E123&gt;0,"oc","va")</f>
        <v>va</v>
      </c>
      <c r="E123" s="138" t="str">
        <f>IF(booking!H123&gt;0,"oc","va")</f>
        <v>va</v>
      </c>
      <c r="F123" s="139" t="str">
        <f>IF(booking!I123&gt;0,"oc","va")</f>
        <v>va</v>
      </c>
      <c r="G123" s="138" t="str">
        <f>IF(booking!L123&gt;0,"oc","va")</f>
        <v>va</v>
      </c>
      <c r="H123" s="139" t="str">
        <f>IF(booking!M123&gt;0,"oc","va")</f>
        <v>va</v>
      </c>
      <c r="I123" s="138" t="str">
        <f>IF(booking!P123&gt;0,"oc","va")</f>
        <v>va</v>
      </c>
      <c r="J123" s="139" t="str">
        <f>IF(booking!Q123&gt;0,"oc","va")</f>
        <v>va</v>
      </c>
      <c r="K123" s="138" t="str">
        <f>IF(booking!T123&gt;0,"oc","va")</f>
        <v>va</v>
      </c>
      <c r="L123" s="139" t="str">
        <f>IF(booking!U123&gt;0,"oc","va")</f>
        <v>va</v>
      </c>
      <c r="M123" s="138" t="str">
        <f>IF(booking!X123&gt;0,"oc","va")</f>
        <v>va</v>
      </c>
      <c r="N123" s="139" t="str">
        <f>IF(booking!Y123&gt;0,"oc","va")</f>
        <v>va</v>
      </c>
    </row>
    <row r="124" spans="1:14" x14ac:dyDescent="0.35">
      <c r="A124" s="5">
        <f>booking!C124</f>
        <v>46625</v>
      </c>
      <c r="B124" s="159" t="str">
        <f>IF(booking!A124=0,"",booking!A124)</f>
        <v/>
      </c>
      <c r="C124" s="138" t="str">
        <f>IF(booking!D124&gt;0,"oc","va")</f>
        <v>va</v>
      </c>
      <c r="D124" s="139" t="str">
        <f>IF(booking!E124&gt;0,"oc","va")</f>
        <v>va</v>
      </c>
      <c r="E124" s="138" t="str">
        <f>IF(booking!H124&gt;0,"oc","va")</f>
        <v>va</v>
      </c>
      <c r="F124" s="139" t="str">
        <f>IF(booking!I124&gt;0,"oc","va")</f>
        <v>va</v>
      </c>
      <c r="G124" s="138" t="str">
        <f>IF(booking!L124&gt;0,"oc","va")</f>
        <v>va</v>
      </c>
      <c r="H124" s="139" t="str">
        <f>IF(booking!M124&gt;0,"oc","va")</f>
        <v>va</v>
      </c>
      <c r="I124" s="138" t="str">
        <f>IF(booking!P124&gt;0,"oc","va")</f>
        <v>va</v>
      </c>
      <c r="J124" s="139" t="str">
        <f>IF(booking!Q124&gt;0,"oc","va")</f>
        <v>va</v>
      </c>
      <c r="K124" s="138" t="str">
        <f>IF(booking!T124&gt;0,"oc","va")</f>
        <v>va</v>
      </c>
      <c r="L124" s="139" t="str">
        <f>IF(booking!U124&gt;0,"oc","va")</f>
        <v>va</v>
      </c>
      <c r="M124" s="138" t="str">
        <f>IF(booking!X124&gt;0,"oc","va")</f>
        <v>va</v>
      </c>
      <c r="N124" s="139" t="str">
        <f>IF(booking!Y124&gt;0,"oc","va")</f>
        <v>va</v>
      </c>
    </row>
    <row r="125" spans="1:14" x14ac:dyDescent="0.35">
      <c r="A125" s="5">
        <f>booking!C125</f>
        <v>46626</v>
      </c>
      <c r="B125" s="159" t="str">
        <f>IF(booking!A125=0,"",booking!A125)</f>
        <v/>
      </c>
      <c r="C125" s="138" t="str">
        <f>IF(booking!D125&gt;0,"oc","va")</f>
        <v>va</v>
      </c>
      <c r="D125" s="139" t="str">
        <f>IF(booking!E125&gt;0,"oc","va")</f>
        <v>va</v>
      </c>
      <c r="E125" s="138" t="str">
        <f>IF(booking!H125&gt;0,"oc","va")</f>
        <v>va</v>
      </c>
      <c r="F125" s="139" t="str">
        <f>IF(booking!I125&gt;0,"oc","va")</f>
        <v>va</v>
      </c>
      <c r="G125" s="138" t="str">
        <f>IF(booking!L125&gt;0,"oc","va")</f>
        <v>va</v>
      </c>
      <c r="H125" s="139" t="str">
        <f>IF(booking!M125&gt;0,"oc","va")</f>
        <v>va</v>
      </c>
      <c r="I125" s="138" t="str">
        <f>IF(booking!P125&gt;0,"oc","va")</f>
        <v>va</v>
      </c>
      <c r="J125" s="139" t="str">
        <f>IF(booking!Q125&gt;0,"oc","va")</f>
        <v>va</v>
      </c>
      <c r="K125" s="138" t="str">
        <f>IF(booking!T125&gt;0,"oc","va")</f>
        <v>va</v>
      </c>
      <c r="L125" s="139" t="str">
        <f>IF(booking!U125&gt;0,"oc","va")</f>
        <v>va</v>
      </c>
      <c r="M125" s="138" t="str">
        <f>IF(booking!X125&gt;0,"oc","va")</f>
        <v>va</v>
      </c>
      <c r="N125" s="139" t="str">
        <f>IF(booking!Y125&gt;0,"oc","va")</f>
        <v>va</v>
      </c>
    </row>
    <row r="126" spans="1:14" x14ac:dyDescent="0.35">
      <c r="A126" s="5">
        <f>booking!C126</f>
        <v>46627</v>
      </c>
      <c r="B126" s="159" t="str">
        <f>IF(booking!A126=0,"",booking!A126)</f>
        <v/>
      </c>
      <c r="C126" s="138" t="str">
        <f>IF(booking!D126&gt;0,"oc","va")</f>
        <v>va</v>
      </c>
      <c r="D126" s="139" t="str">
        <f>IF(booking!E126&gt;0,"oc","va")</f>
        <v>va</v>
      </c>
      <c r="E126" s="138" t="str">
        <f>IF(booking!H126&gt;0,"oc","va")</f>
        <v>va</v>
      </c>
      <c r="F126" s="139" t="str">
        <f>IF(booking!I126&gt;0,"oc","va")</f>
        <v>va</v>
      </c>
      <c r="G126" s="138" t="str">
        <f>IF(booking!L126&gt;0,"oc","va")</f>
        <v>va</v>
      </c>
      <c r="H126" s="139" t="str">
        <f>IF(booking!M126&gt;0,"oc","va")</f>
        <v>va</v>
      </c>
      <c r="I126" s="138" t="str">
        <f>IF(booking!P126&gt;0,"oc","va")</f>
        <v>va</v>
      </c>
      <c r="J126" s="139" t="str">
        <f>IF(booking!Q126&gt;0,"oc","va")</f>
        <v>va</v>
      </c>
      <c r="K126" s="138" t="str">
        <f>IF(booking!T126&gt;0,"oc","va")</f>
        <v>va</v>
      </c>
      <c r="L126" s="139" t="str">
        <f>IF(booking!U126&gt;0,"oc","va")</f>
        <v>va</v>
      </c>
      <c r="M126" s="138" t="str">
        <f>IF(booking!X126&gt;0,"oc","va")</f>
        <v>va</v>
      </c>
      <c r="N126" s="139" t="str">
        <f>IF(booking!Y126&gt;0,"oc","va")</f>
        <v>va</v>
      </c>
    </row>
    <row r="127" spans="1:14" x14ac:dyDescent="0.35">
      <c r="A127" s="5">
        <f>booking!C127</f>
        <v>46628</v>
      </c>
      <c r="B127" s="159" t="str">
        <f>IF(booking!A127=0,"",booking!A127)</f>
        <v/>
      </c>
      <c r="C127" s="138" t="str">
        <f>IF(booking!D127&gt;0,"oc","va")</f>
        <v>va</v>
      </c>
      <c r="D127" s="139" t="str">
        <f>IF(booking!E127&gt;0,"oc","va")</f>
        <v>va</v>
      </c>
      <c r="E127" s="138" t="str">
        <f>IF(booking!H127&gt;0,"oc","va")</f>
        <v>va</v>
      </c>
      <c r="F127" s="139" t="str">
        <f>IF(booking!I127&gt;0,"oc","va")</f>
        <v>va</v>
      </c>
      <c r="G127" s="138" t="str">
        <f>IF(booking!L127&gt;0,"oc","va")</f>
        <v>va</v>
      </c>
      <c r="H127" s="139" t="str">
        <f>IF(booking!M127&gt;0,"oc","va")</f>
        <v>va</v>
      </c>
      <c r="I127" s="138" t="str">
        <f>IF(booking!P127&gt;0,"oc","va")</f>
        <v>va</v>
      </c>
      <c r="J127" s="139" t="str">
        <f>IF(booking!Q127&gt;0,"oc","va")</f>
        <v>va</v>
      </c>
      <c r="K127" s="138" t="str">
        <f>IF(booking!T127&gt;0,"oc","va")</f>
        <v>va</v>
      </c>
      <c r="L127" s="139" t="str">
        <f>IF(booking!U127&gt;0,"oc","va")</f>
        <v>va</v>
      </c>
      <c r="M127" s="138" t="str">
        <f>IF(booking!X127&gt;0,"oc","va")</f>
        <v>va</v>
      </c>
      <c r="N127" s="139" t="str">
        <f>IF(booking!Y127&gt;0,"oc","va")</f>
        <v>va</v>
      </c>
    </row>
    <row r="128" spans="1:14" x14ac:dyDescent="0.35">
      <c r="A128" s="5">
        <f>booking!C128</f>
        <v>46629</v>
      </c>
      <c r="B128" s="159">
        <f>IF(booking!A128=0,"",booking!A128)</f>
        <v>36</v>
      </c>
      <c r="C128" s="138" t="str">
        <f>IF(booking!D128&gt;0,"oc","va")</f>
        <v>va</v>
      </c>
      <c r="D128" s="139" t="str">
        <f>IF(booking!E128&gt;0,"oc","va")</f>
        <v>va</v>
      </c>
      <c r="E128" s="138" t="str">
        <f>IF(booking!H128&gt;0,"oc","va")</f>
        <v>va</v>
      </c>
      <c r="F128" s="139" t="str">
        <f>IF(booking!I128&gt;0,"oc","va")</f>
        <v>va</v>
      </c>
      <c r="G128" s="138" t="str">
        <f>IF(booking!L128&gt;0,"oc","va")</f>
        <v>va</v>
      </c>
      <c r="H128" s="139" t="str">
        <f>IF(booking!M128&gt;0,"oc","va")</f>
        <v>va</v>
      </c>
      <c r="I128" s="138" t="str">
        <f>IF(booking!P128&gt;0,"oc","va")</f>
        <v>va</v>
      </c>
      <c r="J128" s="139" t="str">
        <f>IF(booking!Q128&gt;0,"oc","va")</f>
        <v>va</v>
      </c>
      <c r="K128" s="138" t="str">
        <f>IF(booking!T128&gt;0,"oc","va")</f>
        <v>va</v>
      </c>
      <c r="L128" s="139" t="str">
        <f>IF(booking!U128&gt;0,"oc","va")</f>
        <v>va</v>
      </c>
      <c r="M128" s="138" t="str">
        <f>IF(booking!X128&gt;0,"oc","va")</f>
        <v>va</v>
      </c>
      <c r="N128" s="139" t="str">
        <f>IF(booking!Y128&gt;0,"oc","va")</f>
        <v>va</v>
      </c>
    </row>
    <row r="129" spans="1:14" x14ac:dyDescent="0.35">
      <c r="A129" s="5">
        <f>booking!C129</f>
        <v>46630</v>
      </c>
      <c r="B129" s="159" t="str">
        <f>IF(booking!A129=0,"",booking!A129)</f>
        <v/>
      </c>
      <c r="C129" s="138" t="str">
        <f>IF(booking!D129&gt;0,"oc","va")</f>
        <v>va</v>
      </c>
      <c r="D129" s="139" t="str">
        <f>IF(booking!E129&gt;0,"oc","va")</f>
        <v>va</v>
      </c>
      <c r="E129" s="138" t="str">
        <f>IF(booking!H129&gt;0,"oc","va")</f>
        <v>va</v>
      </c>
      <c r="F129" s="139" t="str">
        <f>IF(booking!I129&gt;0,"oc","va")</f>
        <v>va</v>
      </c>
      <c r="G129" s="138" t="str">
        <f>IF(booking!L129&gt;0,"oc","va")</f>
        <v>va</v>
      </c>
      <c r="H129" s="139" t="str">
        <f>IF(booking!M129&gt;0,"oc","va")</f>
        <v>va</v>
      </c>
      <c r="I129" s="138" t="str">
        <f>IF(booking!P129&gt;0,"oc","va")</f>
        <v>va</v>
      </c>
      <c r="J129" s="139" t="str">
        <f>IF(booking!Q129&gt;0,"oc","va")</f>
        <v>va</v>
      </c>
      <c r="K129" s="138" t="str">
        <f>IF(booking!T129&gt;0,"oc","va")</f>
        <v>va</v>
      </c>
      <c r="L129" s="139" t="str">
        <f>IF(booking!U129&gt;0,"oc","va")</f>
        <v>va</v>
      </c>
      <c r="M129" s="138" t="str">
        <f>IF(booking!X129&gt;0,"oc","va")</f>
        <v>va</v>
      </c>
      <c r="N129" s="139" t="str">
        <f>IF(booking!Y129&gt;0,"oc","va")</f>
        <v>va</v>
      </c>
    </row>
    <row r="130" spans="1:14" x14ac:dyDescent="0.35">
      <c r="A130" s="5">
        <f>booking!C130</f>
        <v>46631</v>
      </c>
      <c r="B130" s="159" t="str">
        <f>IF(booking!A130=0,"",booking!A130)</f>
        <v/>
      </c>
      <c r="C130" s="138" t="str">
        <f>IF(booking!D130&gt;0,"oc","va")</f>
        <v>va</v>
      </c>
      <c r="D130" s="139" t="str">
        <f>IF(booking!E130&gt;0,"oc","va")</f>
        <v>va</v>
      </c>
      <c r="E130" s="138" t="str">
        <f>IF(booking!H130&gt;0,"oc","va")</f>
        <v>va</v>
      </c>
      <c r="F130" s="139" t="str">
        <f>IF(booking!I130&gt;0,"oc","va")</f>
        <v>va</v>
      </c>
      <c r="G130" s="138" t="str">
        <f>IF(booking!L130&gt;0,"oc","va")</f>
        <v>va</v>
      </c>
      <c r="H130" s="139" t="str">
        <f>IF(booking!M130&gt;0,"oc","va")</f>
        <v>va</v>
      </c>
      <c r="I130" s="138" t="str">
        <f>IF(booking!P130&gt;0,"oc","va")</f>
        <v>va</v>
      </c>
      <c r="J130" s="139" t="str">
        <f>IF(booking!Q130&gt;0,"oc","va")</f>
        <v>va</v>
      </c>
      <c r="K130" s="138" t="str">
        <f>IF(booking!T130&gt;0,"oc","va")</f>
        <v>va</v>
      </c>
      <c r="L130" s="139" t="str">
        <f>IF(booking!U130&gt;0,"oc","va")</f>
        <v>va</v>
      </c>
      <c r="M130" s="138" t="str">
        <f>IF(booking!X130&gt;0,"oc","va")</f>
        <v>va</v>
      </c>
      <c r="N130" s="139" t="str">
        <f>IF(booking!Y130&gt;0,"oc","va")</f>
        <v>va</v>
      </c>
    </row>
    <row r="131" spans="1:14" x14ac:dyDescent="0.35">
      <c r="A131" s="5">
        <f>booking!C131</f>
        <v>46632</v>
      </c>
      <c r="B131" s="159" t="str">
        <f>IF(booking!A131=0,"",booking!A131)</f>
        <v/>
      </c>
      <c r="C131" s="138" t="str">
        <f>IF(booking!D131&gt;0,"oc","va")</f>
        <v>va</v>
      </c>
      <c r="D131" s="139" t="str">
        <f>IF(booking!E131&gt;0,"oc","va")</f>
        <v>va</v>
      </c>
      <c r="E131" s="138" t="str">
        <f>IF(booking!H131&gt;0,"oc","va")</f>
        <v>va</v>
      </c>
      <c r="F131" s="139" t="str">
        <f>IF(booking!I131&gt;0,"oc","va")</f>
        <v>va</v>
      </c>
      <c r="G131" s="138" t="str">
        <f>IF(booking!L131&gt;0,"oc","va")</f>
        <v>va</v>
      </c>
      <c r="H131" s="139" t="str">
        <f>IF(booking!M131&gt;0,"oc","va")</f>
        <v>va</v>
      </c>
      <c r="I131" s="138" t="str">
        <f>IF(booking!P131&gt;0,"oc","va")</f>
        <v>va</v>
      </c>
      <c r="J131" s="139" t="str">
        <f>IF(booking!Q131&gt;0,"oc","va")</f>
        <v>va</v>
      </c>
      <c r="K131" s="138" t="str">
        <f>IF(booking!T131&gt;0,"oc","va")</f>
        <v>va</v>
      </c>
      <c r="L131" s="139" t="str">
        <f>IF(booking!U131&gt;0,"oc","va")</f>
        <v>va</v>
      </c>
      <c r="M131" s="138" t="str">
        <f>IF(booking!X131&gt;0,"oc","va")</f>
        <v>va</v>
      </c>
      <c r="N131" s="139" t="str">
        <f>IF(booking!Y131&gt;0,"oc","va")</f>
        <v>va</v>
      </c>
    </row>
    <row r="132" spans="1:14" x14ac:dyDescent="0.35">
      <c r="A132" s="5">
        <f>booking!C132</f>
        <v>46633</v>
      </c>
      <c r="B132" s="159" t="str">
        <f>IF(booking!A132=0,"",booking!A132)</f>
        <v/>
      </c>
      <c r="C132" s="138" t="str">
        <f>IF(booking!D132&gt;0,"oc","va")</f>
        <v>va</v>
      </c>
      <c r="D132" s="139" t="str">
        <f>IF(booking!E132&gt;0,"oc","va")</f>
        <v>va</v>
      </c>
      <c r="E132" s="138" t="str">
        <f>IF(booking!H132&gt;0,"oc","va")</f>
        <v>va</v>
      </c>
      <c r="F132" s="139" t="str">
        <f>IF(booking!I132&gt;0,"oc","va")</f>
        <v>va</v>
      </c>
      <c r="G132" s="138" t="str">
        <f>IF(booking!L132&gt;0,"oc","va")</f>
        <v>va</v>
      </c>
      <c r="H132" s="139" t="str">
        <f>IF(booking!M132&gt;0,"oc","va")</f>
        <v>va</v>
      </c>
      <c r="I132" s="138" t="str">
        <f>IF(booking!P132&gt;0,"oc","va")</f>
        <v>va</v>
      </c>
      <c r="J132" s="139" t="str">
        <f>IF(booking!Q132&gt;0,"oc","va")</f>
        <v>va</v>
      </c>
      <c r="K132" s="138" t="str">
        <f>IF(booking!T132&gt;0,"oc","va")</f>
        <v>va</v>
      </c>
      <c r="L132" s="139" t="str">
        <f>IF(booking!U132&gt;0,"oc","va")</f>
        <v>va</v>
      </c>
      <c r="M132" s="138" t="str">
        <f>IF(booking!X132&gt;0,"oc","va")</f>
        <v>va</v>
      </c>
      <c r="N132" s="139" t="str">
        <f>IF(booking!Y132&gt;0,"oc","va")</f>
        <v>va</v>
      </c>
    </row>
    <row r="133" spans="1:14" x14ac:dyDescent="0.35">
      <c r="A133" s="5">
        <f>booking!C133</f>
        <v>46634</v>
      </c>
      <c r="B133" s="159" t="str">
        <f>IF(booking!A133=0,"",booking!A133)</f>
        <v/>
      </c>
      <c r="C133" s="138" t="str">
        <f>IF(booking!D133&gt;0,"oc","va")</f>
        <v>va</v>
      </c>
      <c r="D133" s="139" t="str">
        <f>IF(booking!E133&gt;0,"oc","va")</f>
        <v>va</v>
      </c>
      <c r="E133" s="138" t="str">
        <f>IF(booking!H133&gt;0,"oc","va")</f>
        <v>va</v>
      </c>
      <c r="F133" s="139" t="str">
        <f>IF(booking!I133&gt;0,"oc","va")</f>
        <v>va</v>
      </c>
      <c r="G133" s="138" t="str">
        <f>IF(booking!L133&gt;0,"oc","va")</f>
        <v>va</v>
      </c>
      <c r="H133" s="139" t="str">
        <f>IF(booking!M133&gt;0,"oc","va")</f>
        <v>va</v>
      </c>
      <c r="I133" s="138" t="str">
        <f>IF(booking!P133&gt;0,"oc","va")</f>
        <v>va</v>
      </c>
      <c r="J133" s="139" t="str">
        <f>IF(booking!Q133&gt;0,"oc","va")</f>
        <v>va</v>
      </c>
      <c r="K133" s="138" t="str">
        <f>IF(booking!T133&gt;0,"oc","va")</f>
        <v>va</v>
      </c>
      <c r="L133" s="139" t="str">
        <f>IF(booking!U133&gt;0,"oc","va")</f>
        <v>va</v>
      </c>
      <c r="M133" s="138" t="str">
        <f>IF(booking!X133&gt;0,"oc","va")</f>
        <v>va</v>
      </c>
      <c r="N133" s="139" t="str">
        <f>IF(booking!Y133&gt;0,"oc","va")</f>
        <v>va</v>
      </c>
    </row>
    <row r="134" spans="1:14" x14ac:dyDescent="0.35">
      <c r="A134" s="5">
        <f>booking!C134</f>
        <v>46635</v>
      </c>
      <c r="B134" s="159" t="str">
        <f>IF(booking!A134=0,"",booking!A134)</f>
        <v/>
      </c>
      <c r="C134" s="138" t="str">
        <f>IF(booking!D134&gt;0,"oc","va")</f>
        <v>va</v>
      </c>
      <c r="D134" s="139" t="str">
        <f>IF(booking!E134&gt;0,"oc","va")</f>
        <v>va</v>
      </c>
      <c r="E134" s="138" t="str">
        <f>IF(booking!H134&gt;0,"oc","va")</f>
        <v>va</v>
      </c>
      <c r="F134" s="139" t="str">
        <f>IF(booking!I134&gt;0,"oc","va")</f>
        <v>va</v>
      </c>
      <c r="G134" s="138" t="str">
        <f>IF(booking!L134&gt;0,"oc","va")</f>
        <v>va</v>
      </c>
      <c r="H134" s="139" t="str">
        <f>IF(booking!M134&gt;0,"oc","va")</f>
        <v>va</v>
      </c>
      <c r="I134" s="138" t="str">
        <f>IF(booking!P134&gt;0,"oc","va")</f>
        <v>va</v>
      </c>
      <c r="J134" s="139" t="str">
        <f>IF(booking!Q134&gt;0,"oc","va")</f>
        <v>va</v>
      </c>
      <c r="K134" s="138" t="str">
        <f>IF(booking!T134&gt;0,"oc","va")</f>
        <v>va</v>
      </c>
      <c r="L134" s="139" t="str">
        <f>IF(booking!U134&gt;0,"oc","va")</f>
        <v>va</v>
      </c>
      <c r="M134" s="138" t="str">
        <f>IF(booking!X134&gt;0,"oc","va")</f>
        <v>va</v>
      </c>
      <c r="N134" s="139" t="str">
        <f>IF(booking!Y134&gt;0,"oc","va")</f>
        <v>va</v>
      </c>
    </row>
    <row r="135" spans="1:14" x14ac:dyDescent="0.35">
      <c r="A135" s="5">
        <f>booking!C135</f>
        <v>46636</v>
      </c>
      <c r="B135" s="159">
        <f>IF(booking!A135=0,"",booking!A135)</f>
        <v>37</v>
      </c>
      <c r="C135" s="138" t="str">
        <f>IF(booking!D135&gt;0,"oc","va")</f>
        <v>va</v>
      </c>
      <c r="D135" s="139" t="str">
        <f>IF(booking!E135&gt;0,"oc","va")</f>
        <v>va</v>
      </c>
      <c r="E135" s="138" t="str">
        <f>IF(booking!H135&gt;0,"oc","va")</f>
        <v>va</v>
      </c>
      <c r="F135" s="139" t="str">
        <f>IF(booking!I135&gt;0,"oc","va")</f>
        <v>va</v>
      </c>
      <c r="G135" s="138" t="str">
        <f>IF(booking!L135&gt;0,"oc","va")</f>
        <v>va</v>
      </c>
      <c r="H135" s="139" t="str">
        <f>IF(booking!M135&gt;0,"oc","va")</f>
        <v>va</v>
      </c>
      <c r="I135" s="138" t="str">
        <f>IF(booking!P135&gt;0,"oc","va")</f>
        <v>va</v>
      </c>
      <c r="J135" s="139" t="str">
        <f>IF(booking!Q135&gt;0,"oc","va")</f>
        <v>va</v>
      </c>
      <c r="K135" s="138" t="str">
        <f>IF(booking!T135&gt;0,"oc","va")</f>
        <v>va</v>
      </c>
      <c r="L135" s="139" t="str">
        <f>IF(booking!U135&gt;0,"oc","va")</f>
        <v>va</v>
      </c>
      <c r="M135" s="138" t="str">
        <f>IF(booking!X135&gt;0,"oc","va")</f>
        <v>va</v>
      </c>
      <c r="N135" s="139" t="str">
        <f>IF(booking!Y135&gt;0,"oc","va")</f>
        <v>va</v>
      </c>
    </row>
    <row r="136" spans="1:14" x14ac:dyDescent="0.35">
      <c r="A136" s="5">
        <f>booking!C136</f>
        <v>46637</v>
      </c>
      <c r="B136" s="159" t="str">
        <f>IF(booking!A136=0,"",booking!A136)</f>
        <v/>
      </c>
      <c r="C136" s="138" t="str">
        <f>IF(booking!D136&gt;0,"oc","va")</f>
        <v>va</v>
      </c>
      <c r="D136" s="139" t="str">
        <f>IF(booking!E136&gt;0,"oc","va")</f>
        <v>va</v>
      </c>
      <c r="E136" s="138" t="str">
        <f>IF(booking!H136&gt;0,"oc","va")</f>
        <v>va</v>
      </c>
      <c r="F136" s="139" t="str">
        <f>IF(booking!I136&gt;0,"oc","va")</f>
        <v>va</v>
      </c>
      <c r="G136" s="138" t="str">
        <f>IF(booking!L136&gt;0,"oc","va")</f>
        <v>va</v>
      </c>
      <c r="H136" s="139" t="str">
        <f>IF(booking!M136&gt;0,"oc","va")</f>
        <v>va</v>
      </c>
      <c r="I136" s="138" t="str">
        <f>IF(booking!P136&gt;0,"oc","va")</f>
        <v>va</v>
      </c>
      <c r="J136" s="139" t="str">
        <f>IF(booking!Q136&gt;0,"oc","va")</f>
        <v>va</v>
      </c>
      <c r="K136" s="138" t="str">
        <f>IF(booking!T136&gt;0,"oc","va")</f>
        <v>va</v>
      </c>
      <c r="L136" s="139" t="str">
        <f>IF(booking!U136&gt;0,"oc","va")</f>
        <v>va</v>
      </c>
      <c r="M136" s="138" t="str">
        <f>IF(booking!X136&gt;0,"oc","va")</f>
        <v>va</v>
      </c>
      <c r="N136" s="139" t="str">
        <f>IF(booking!Y136&gt;0,"oc","va")</f>
        <v>va</v>
      </c>
    </row>
    <row r="137" spans="1:14" x14ac:dyDescent="0.35">
      <c r="A137" s="5">
        <f>booking!C137</f>
        <v>46638</v>
      </c>
      <c r="B137" s="159" t="str">
        <f>IF(booking!A137=0,"",booking!A137)</f>
        <v/>
      </c>
      <c r="C137" s="138" t="str">
        <f>IF(booking!D137&gt;0,"oc","va")</f>
        <v>va</v>
      </c>
      <c r="D137" s="139" t="str">
        <f>IF(booking!E137&gt;0,"oc","va")</f>
        <v>va</v>
      </c>
      <c r="E137" s="138" t="str">
        <f>IF(booking!H137&gt;0,"oc","va")</f>
        <v>va</v>
      </c>
      <c r="F137" s="139" t="str">
        <f>IF(booking!I137&gt;0,"oc","va")</f>
        <v>va</v>
      </c>
      <c r="G137" s="138" t="str">
        <f>IF(booking!L137&gt;0,"oc","va")</f>
        <v>va</v>
      </c>
      <c r="H137" s="139" t="str">
        <f>IF(booking!M137&gt;0,"oc","va")</f>
        <v>va</v>
      </c>
      <c r="I137" s="138" t="str">
        <f>IF(booking!P137&gt;0,"oc","va")</f>
        <v>va</v>
      </c>
      <c r="J137" s="139" t="str">
        <f>IF(booking!Q137&gt;0,"oc","va")</f>
        <v>va</v>
      </c>
      <c r="K137" s="138" t="str">
        <f>IF(booking!T137&gt;0,"oc","va")</f>
        <v>va</v>
      </c>
      <c r="L137" s="139" t="str">
        <f>IF(booking!U137&gt;0,"oc","va")</f>
        <v>va</v>
      </c>
      <c r="M137" s="138" t="str">
        <f>IF(booking!X137&gt;0,"oc","va")</f>
        <v>va</v>
      </c>
      <c r="N137" s="139" t="str">
        <f>IF(booking!Y137&gt;0,"oc","va")</f>
        <v>va</v>
      </c>
    </row>
    <row r="138" spans="1:14" x14ac:dyDescent="0.35">
      <c r="A138" s="5">
        <f>booking!C138</f>
        <v>46639</v>
      </c>
      <c r="B138" s="159" t="str">
        <f>IF(booking!A138=0,"",booking!A138)</f>
        <v/>
      </c>
      <c r="C138" s="138" t="str">
        <f>IF(booking!D138&gt;0,"oc","va")</f>
        <v>va</v>
      </c>
      <c r="D138" s="139" t="str">
        <f>IF(booking!E138&gt;0,"oc","va")</f>
        <v>va</v>
      </c>
      <c r="E138" s="138" t="str">
        <f>IF(booking!H138&gt;0,"oc","va")</f>
        <v>va</v>
      </c>
      <c r="F138" s="139" t="str">
        <f>IF(booking!I138&gt;0,"oc","va")</f>
        <v>va</v>
      </c>
      <c r="G138" s="138" t="str">
        <f>IF(booking!L138&gt;0,"oc","va")</f>
        <v>va</v>
      </c>
      <c r="H138" s="139" t="str">
        <f>IF(booking!M138&gt;0,"oc","va")</f>
        <v>va</v>
      </c>
      <c r="I138" s="138" t="str">
        <f>IF(booking!P138&gt;0,"oc","va")</f>
        <v>va</v>
      </c>
      <c r="J138" s="139" t="str">
        <f>IF(booking!Q138&gt;0,"oc","va")</f>
        <v>va</v>
      </c>
      <c r="K138" s="138" t="str">
        <f>IF(booking!T138&gt;0,"oc","va")</f>
        <v>va</v>
      </c>
      <c r="L138" s="139" t="str">
        <f>IF(booking!U138&gt;0,"oc","va")</f>
        <v>va</v>
      </c>
      <c r="M138" s="138" t="str">
        <f>IF(booking!X138&gt;0,"oc","va")</f>
        <v>va</v>
      </c>
      <c r="N138" s="139" t="str">
        <f>IF(booking!Y138&gt;0,"oc","va")</f>
        <v>va</v>
      </c>
    </row>
    <row r="139" spans="1:14" x14ac:dyDescent="0.35">
      <c r="A139" s="5">
        <f>booking!C139</f>
        <v>46640</v>
      </c>
      <c r="B139" s="159" t="str">
        <f>IF(booking!A139=0,"",booking!A139)</f>
        <v/>
      </c>
      <c r="C139" s="138" t="str">
        <f>IF(booking!D139&gt;0,"oc","va")</f>
        <v>va</v>
      </c>
      <c r="D139" s="139" t="str">
        <f>IF(booking!E139&gt;0,"oc","va")</f>
        <v>va</v>
      </c>
      <c r="E139" s="138" t="str">
        <f>IF(booking!H139&gt;0,"oc","va")</f>
        <v>va</v>
      </c>
      <c r="F139" s="139" t="str">
        <f>IF(booking!I139&gt;0,"oc","va")</f>
        <v>va</v>
      </c>
      <c r="G139" s="138" t="str">
        <f>IF(booking!L139&gt;0,"oc","va")</f>
        <v>va</v>
      </c>
      <c r="H139" s="139" t="str">
        <f>IF(booking!M139&gt;0,"oc","va")</f>
        <v>va</v>
      </c>
      <c r="I139" s="138" t="str">
        <f>IF(booking!P139&gt;0,"oc","va")</f>
        <v>va</v>
      </c>
      <c r="J139" s="139" t="str">
        <f>IF(booking!Q139&gt;0,"oc","va")</f>
        <v>va</v>
      </c>
      <c r="K139" s="138" t="str">
        <f>IF(booking!T139&gt;0,"oc","va")</f>
        <v>va</v>
      </c>
      <c r="L139" s="139" t="str">
        <f>IF(booking!U139&gt;0,"oc","va")</f>
        <v>va</v>
      </c>
      <c r="M139" s="138" t="str">
        <f>IF(booking!X139&gt;0,"oc","va")</f>
        <v>va</v>
      </c>
      <c r="N139" s="139" t="str">
        <f>IF(booking!Y139&gt;0,"oc","va")</f>
        <v>va</v>
      </c>
    </row>
    <row r="140" spans="1:14" x14ac:dyDescent="0.35">
      <c r="A140" s="5">
        <f>booking!C140</f>
        <v>46641</v>
      </c>
      <c r="B140" s="159" t="str">
        <f>IF(booking!A140=0,"",booking!A140)</f>
        <v/>
      </c>
      <c r="C140" s="138" t="str">
        <f>IF(booking!D140&gt;0,"oc","va")</f>
        <v>va</v>
      </c>
      <c r="D140" s="139" t="str">
        <f>IF(booking!E140&gt;0,"oc","va")</f>
        <v>va</v>
      </c>
      <c r="E140" s="138" t="str">
        <f>IF(booking!H140&gt;0,"oc","va")</f>
        <v>va</v>
      </c>
      <c r="F140" s="139" t="str">
        <f>IF(booking!I140&gt;0,"oc","va")</f>
        <v>va</v>
      </c>
      <c r="G140" s="138" t="str">
        <f>IF(booking!L140&gt;0,"oc","va")</f>
        <v>va</v>
      </c>
      <c r="H140" s="139" t="str">
        <f>IF(booking!M140&gt;0,"oc","va")</f>
        <v>va</v>
      </c>
      <c r="I140" s="138" t="str">
        <f>IF(booking!P140&gt;0,"oc","va")</f>
        <v>va</v>
      </c>
      <c r="J140" s="139" t="str">
        <f>IF(booking!Q140&gt;0,"oc","va")</f>
        <v>va</v>
      </c>
      <c r="K140" s="138" t="str">
        <f>IF(booking!T140&gt;0,"oc","va")</f>
        <v>va</v>
      </c>
      <c r="L140" s="139" t="str">
        <f>IF(booking!U140&gt;0,"oc","va")</f>
        <v>va</v>
      </c>
      <c r="M140" s="138" t="str">
        <f>IF(booking!X140&gt;0,"oc","va")</f>
        <v>va</v>
      </c>
      <c r="N140" s="139" t="str">
        <f>IF(booking!Y140&gt;0,"oc","va")</f>
        <v>va</v>
      </c>
    </row>
    <row r="141" spans="1:14" x14ac:dyDescent="0.35">
      <c r="A141" s="5">
        <f>booking!C141</f>
        <v>46642</v>
      </c>
      <c r="B141" s="159" t="str">
        <f>IF(booking!A141=0,"",booking!A141)</f>
        <v/>
      </c>
      <c r="C141" s="138" t="str">
        <f>IF(booking!D141&gt;0,"oc","va")</f>
        <v>va</v>
      </c>
      <c r="D141" s="139" t="str">
        <f>IF(booking!E141&gt;0,"oc","va")</f>
        <v>va</v>
      </c>
      <c r="E141" s="138" t="str">
        <f>IF(booking!H141&gt;0,"oc","va")</f>
        <v>va</v>
      </c>
      <c r="F141" s="139" t="str">
        <f>IF(booking!I141&gt;0,"oc","va")</f>
        <v>va</v>
      </c>
      <c r="G141" s="138" t="str">
        <f>IF(booking!L141&gt;0,"oc","va")</f>
        <v>va</v>
      </c>
      <c r="H141" s="139" t="str">
        <f>IF(booking!M141&gt;0,"oc","va")</f>
        <v>va</v>
      </c>
      <c r="I141" s="138" t="str">
        <f>IF(booking!P141&gt;0,"oc","va")</f>
        <v>va</v>
      </c>
      <c r="J141" s="139" t="str">
        <f>IF(booking!Q141&gt;0,"oc","va")</f>
        <v>va</v>
      </c>
      <c r="K141" s="138" t="str">
        <f>IF(booking!T141&gt;0,"oc","va")</f>
        <v>va</v>
      </c>
      <c r="L141" s="139" t="str">
        <f>IF(booking!U141&gt;0,"oc","va")</f>
        <v>va</v>
      </c>
      <c r="M141" s="138" t="str">
        <f>IF(booking!X141&gt;0,"oc","va")</f>
        <v>va</v>
      </c>
      <c r="N141" s="139" t="str">
        <f>IF(booking!Y141&gt;0,"oc","va")</f>
        <v>va</v>
      </c>
    </row>
    <row r="142" spans="1:14" x14ac:dyDescent="0.35">
      <c r="A142" s="5">
        <f>booking!C142</f>
        <v>46643</v>
      </c>
      <c r="B142" s="159">
        <f>IF(booking!A142=0,"",booking!A142)</f>
        <v>38</v>
      </c>
      <c r="C142" s="138" t="str">
        <f>IF(booking!D142&gt;0,"oc","va")</f>
        <v>va</v>
      </c>
      <c r="D142" s="139" t="str">
        <f>IF(booking!E142&gt;0,"oc","va")</f>
        <v>va</v>
      </c>
      <c r="E142" s="138" t="str">
        <f>IF(booking!H142&gt;0,"oc","va")</f>
        <v>va</v>
      </c>
      <c r="F142" s="139" t="str">
        <f>IF(booking!I142&gt;0,"oc","va")</f>
        <v>va</v>
      </c>
      <c r="G142" s="138" t="str">
        <f>IF(booking!L142&gt;0,"oc","va")</f>
        <v>va</v>
      </c>
      <c r="H142" s="139" t="str">
        <f>IF(booking!M142&gt;0,"oc","va")</f>
        <v>va</v>
      </c>
      <c r="I142" s="138" t="str">
        <f>IF(booking!P142&gt;0,"oc","va")</f>
        <v>va</v>
      </c>
      <c r="J142" s="139" t="str">
        <f>IF(booking!Q142&gt;0,"oc","va")</f>
        <v>va</v>
      </c>
      <c r="K142" s="138" t="str">
        <f>IF(booking!T142&gt;0,"oc","va")</f>
        <v>va</v>
      </c>
      <c r="L142" s="139" t="str">
        <f>IF(booking!U142&gt;0,"oc","va")</f>
        <v>va</v>
      </c>
      <c r="M142" s="138" t="str">
        <f>IF(booking!X142&gt;0,"oc","va")</f>
        <v>va</v>
      </c>
      <c r="N142" s="139" t="str">
        <f>IF(booking!Y142&gt;0,"oc","va")</f>
        <v>va</v>
      </c>
    </row>
    <row r="143" spans="1:14" x14ac:dyDescent="0.35">
      <c r="A143" s="5">
        <f>booking!C143</f>
        <v>46644</v>
      </c>
      <c r="B143" s="159" t="str">
        <f>IF(booking!A143=0,"",booking!A143)</f>
        <v/>
      </c>
      <c r="C143" s="138" t="str">
        <f>IF(booking!D143&gt;0,"oc","va")</f>
        <v>va</v>
      </c>
      <c r="D143" s="139" t="str">
        <f>IF(booking!E143&gt;0,"oc","va")</f>
        <v>va</v>
      </c>
      <c r="E143" s="138" t="str">
        <f>IF(booking!H143&gt;0,"oc","va")</f>
        <v>va</v>
      </c>
      <c r="F143" s="139" t="str">
        <f>IF(booking!I143&gt;0,"oc","va")</f>
        <v>va</v>
      </c>
      <c r="G143" s="138" t="str">
        <f>IF(booking!L143&gt;0,"oc","va")</f>
        <v>va</v>
      </c>
      <c r="H143" s="139" t="str">
        <f>IF(booking!M143&gt;0,"oc","va")</f>
        <v>va</v>
      </c>
      <c r="I143" s="138" t="str">
        <f>IF(booking!P143&gt;0,"oc","va")</f>
        <v>va</v>
      </c>
      <c r="J143" s="139" t="str">
        <f>IF(booking!Q143&gt;0,"oc","va")</f>
        <v>va</v>
      </c>
      <c r="K143" s="138" t="str">
        <f>IF(booking!T143&gt;0,"oc","va")</f>
        <v>va</v>
      </c>
      <c r="L143" s="139" t="str">
        <f>IF(booking!U143&gt;0,"oc","va")</f>
        <v>va</v>
      </c>
      <c r="M143" s="138" t="str">
        <f>IF(booking!X143&gt;0,"oc","va")</f>
        <v>va</v>
      </c>
      <c r="N143" s="139" t="str">
        <f>IF(booking!Y143&gt;0,"oc","va")</f>
        <v>va</v>
      </c>
    </row>
    <row r="144" spans="1:14" x14ac:dyDescent="0.35">
      <c r="A144" s="5">
        <f>booking!C144</f>
        <v>46645</v>
      </c>
      <c r="B144" s="159" t="str">
        <f>IF(booking!A144=0,"",booking!A144)</f>
        <v/>
      </c>
      <c r="C144" s="138" t="str">
        <f>IF(booking!D144&gt;0,"oc","va")</f>
        <v>va</v>
      </c>
      <c r="D144" s="139" t="str">
        <f>IF(booking!E144&gt;0,"oc","va")</f>
        <v>va</v>
      </c>
      <c r="E144" s="138" t="str">
        <f>IF(booking!H144&gt;0,"oc","va")</f>
        <v>va</v>
      </c>
      <c r="F144" s="139" t="str">
        <f>IF(booking!I144&gt;0,"oc","va")</f>
        <v>va</v>
      </c>
      <c r="G144" s="138" t="str">
        <f>IF(booking!L144&gt;0,"oc","va")</f>
        <v>va</v>
      </c>
      <c r="H144" s="139" t="str">
        <f>IF(booking!M144&gt;0,"oc","va")</f>
        <v>va</v>
      </c>
      <c r="I144" s="138" t="str">
        <f>IF(booking!P144&gt;0,"oc","va")</f>
        <v>va</v>
      </c>
      <c r="J144" s="139" t="str">
        <f>IF(booking!Q144&gt;0,"oc","va")</f>
        <v>va</v>
      </c>
      <c r="K144" s="138" t="str">
        <f>IF(booking!T144&gt;0,"oc","va")</f>
        <v>va</v>
      </c>
      <c r="L144" s="139" t="str">
        <f>IF(booking!U144&gt;0,"oc","va")</f>
        <v>va</v>
      </c>
      <c r="M144" s="138" t="str">
        <f>IF(booking!X144&gt;0,"oc","va")</f>
        <v>va</v>
      </c>
      <c r="N144" s="139" t="str">
        <f>IF(booking!Y144&gt;0,"oc","va")</f>
        <v>va</v>
      </c>
    </row>
    <row r="145" spans="1:14" x14ac:dyDescent="0.35">
      <c r="A145" s="5">
        <f>booking!C145</f>
        <v>46646</v>
      </c>
      <c r="B145" s="159" t="str">
        <f>IF(booking!A145=0,"",booking!A145)</f>
        <v/>
      </c>
      <c r="C145" s="138" t="str">
        <f>IF(booking!D145&gt;0,"oc","va")</f>
        <v>va</v>
      </c>
      <c r="D145" s="139" t="str">
        <f>IF(booking!E145&gt;0,"oc","va")</f>
        <v>va</v>
      </c>
      <c r="E145" s="138" t="str">
        <f>IF(booking!H145&gt;0,"oc","va")</f>
        <v>va</v>
      </c>
      <c r="F145" s="139" t="str">
        <f>IF(booking!I145&gt;0,"oc","va")</f>
        <v>va</v>
      </c>
      <c r="G145" s="138" t="str">
        <f>IF(booking!L145&gt;0,"oc","va")</f>
        <v>va</v>
      </c>
      <c r="H145" s="139" t="str">
        <f>IF(booking!M145&gt;0,"oc","va")</f>
        <v>va</v>
      </c>
      <c r="I145" s="138" t="str">
        <f>IF(booking!P145&gt;0,"oc","va")</f>
        <v>va</v>
      </c>
      <c r="J145" s="139" t="str">
        <f>IF(booking!Q145&gt;0,"oc","va")</f>
        <v>va</v>
      </c>
      <c r="K145" s="138" t="str">
        <f>IF(booking!T145&gt;0,"oc","va")</f>
        <v>va</v>
      </c>
      <c r="L145" s="139" t="str">
        <f>IF(booking!U145&gt;0,"oc","va")</f>
        <v>va</v>
      </c>
      <c r="M145" s="138" t="str">
        <f>IF(booking!X145&gt;0,"oc","va")</f>
        <v>va</v>
      </c>
      <c r="N145" s="139" t="str">
        <f>IF(booking!Y145&gt;0,"oc","va")</f>
        <v>va</v>
      </c>
    </row>
    <row r="146" spans="1:14" x14ac:dyDescent="0.35">
      <c r="A146" s="5">
        <f>booking!C146</f>
        <v>46647</v>
      </c>
      <c r="B146" s="159" t="str">
        <f>IF(booking!A146=0,"",booking!A146)</f>
        <v/>
      </c>
      <c r="C146" s="138" t="str">
        <f>IF(booking!D146&gt;0,"oc","va")</f>
        <v>va</v>
      </c>
      <c r="D146" s="139" t="str">
        <f>IF(booking!E146&gt;0,"oc","va")</f>
        <v>va</v>
      </c>
      <c r="E146" s="138" t="str">
        <f>IF(booking!H146&gt;0,"oc","va")</f>
        <v>va</v>
      </c>
      <c r="F146" s="139" t="str">
        <f>IF(booking!I146&gt;0,"oc","va")</f>
        <v>va</v>
      </c>
      <c r="G146" s="138" t="str">
        <f>IF(booking!L146&gt;0,"oc","va")</f>
        <v>va</v>
      </c>
      <c r="H146" s="139" t="str">
        <f>IF(booking!M146&gt;0,"oc","va")</f>
        <v>va</v>
      </c>
      <c r="I146" s="138" t="str">
        <f>IF(booking!P146&gt;0,"oc","va")</f>
        <v>va</v>
      </c>
      <c r="J146" s="139" t="str">
        <f>IF(booking!Q146&gt;0,"oc","va")</f>
        <v>va</v>
      </c>
      <c r="K146" s="138" t="str">
        <f>IF(booking!T146&gt;0,"oc","va")</f>
        <v>va</v>
      </c>
      <c r="L146" s="139" t="str">
        <f>IF(booking!U146&gt;0,"oc","va")</f>
        <v>va</v>
      </c>
      <c r="M146" s="138" t="str">
        <f>IF(booking!X146&gt;0,"oc","va")</f>
        <v>va</v>
      </c>
      <c r="N146" s="139" t="str">
        <f>IF(booking!Y146&gt;0,"oc","va")</f>
        <v>va</v>
      </c>
    </row>
    <row r="147" spans="1:14" x14ac:dyDescent="0.35">
      <c r="A147" s="5">
        <f>booking!C147</f>
        <v>46648</v>
      </c>
      <c r="B147" s="159" t="str">
        <f>IF(booking!A147=0,"",booking!A147)</f>
        <v/>
      </c>
      <c r="C147" s="138" t="str">
        <f>IF(booking!D147&gt;0,"oc","va")</f>
        <v>va</v>
      </c>
      <c r="D147" s="139" t="str">
        <f>IF(booking!E147&gt;0,"oc","va")</f>
        <v>va</v>
      </c>
      <c r="E147" s="138" t="str">
        <f>IF(booking!H147&gt;0,"oc","va")</f>
        <v>va</v>
      </c>
      <c r="F147" s="139" t="str">
        <f>IF(booking!I147&gt;0,"oc","va")</f>
        <v>va</v>
      </c>
      <c r="G147" s="138" t="str">
        <f>IF(booking!L147&gt;0,"oc","va")</f>
        <v>va</v>
      </c>
      <c r="H147" s="139" t="str">
        <f>IF(booking!M147&gt;0,"oc","va")</f>
        <v>va</v>
      </c>
      <c r="I147" s="138" t="str">
        <f>IF(booking!P147&gt;0,"oc","va")</f>
        <v>va</v>
      </c>
      <c r="J147" s="139" t="str">
        <f>IF(booking!Q147&gt;0,"oc","va")</f>
        <v>va</v>
      </c>
      <c r="K147" s="138" t="str">
        <f>IF(booking!T147&gt;0,"oc","va")</f>
        <v>va</v>
      </c>
      <c r="L147" s="139" t="str">
        <f>IF(booking!U147&gt;0,"oc","va")</f>
        <v>va</v>
      </c>
      <c r="M147" s="138" t="str">
        <f>IF(booking!X147&gt;0,"oc","va")</f>
        <v>va</v>
      </c>
      <c r="N147" s="139" t="str">
        <f>IF(booking!Y147&gt;0,"oc","va")</f>
        <v>va</v>
      </c>
    </row>
    <row r="148" spans="1:14" x14ac:dyDescent="0.35">
      <c r="A148" s="5">
        <f>booking!C148</f>
        <v>46649</v>
      </c>
      <c r="B148" s="159" t="str">
        <f>IF(booking!A148=0,"",booking!A148)</f>
        <v/>
      </c>
      <c r="C148" s="138" t="str">
        <f>IF(booking!D148&gt;0,"oc","va")</f>
        <v>va</v>
      </c>
      <c r="D148" s="139" t="str">
        <f>IF(booking!E148&gt;0,"oc","va")</f>
        <v>va</v>
      </c>
      <c r="E148" s="138" t="str">
        <f>IF(booking!H148&gt;0,"oc","va")</f>
        <v>va</v>
      </c>
      <c r="F148" s="139" t="str">
        <f>IF(booking!I148&gt;0,"oc","va")</f>
        <v>va</v>
      </c>
      <c r="G148" s="138" t="str">
        <f>IF(booking!L148&gt;0,"oc","va")</f>
        <v>va</v>
      </c>
      <c r="H148" s="139" t="str">
        <f>IF(booking!M148&gt;0,"oc","va")</f>
        <v>va</v>
      </c>
      <c r="I148" s="138" t="str">
        <f>IF(booking!P148&gt;0,"oc","va")</f>
        <v>va</v>
      </c>
      <c r="J148" s="139" t="str">
        <f>IF(booking!Q148&gt;0,"oc","va")</f>
        <v>va</v>
      </c>
      <c r="K148" s="138" t="str">
        <f>IF(booking!T148&gt;0,"oc","va")</f>
        <v>va</v>
      </c>
      <c r="L148" s="139" t="str">
        <f>IF(booking!U148&gt;0,"oc","va")</f>
        <v>va</v>
      </c>
      <c r="M148" s="138" t="str">
        <f>IF(booking!X148&gt;0,"oc","va")</f>
        <v>va</v>
      </c>
      <c r="N148" s="139" t="str">
        <f>IF(booking!Y148&gt;0,"oc","va")</f>
        <v>va</v>
      </c>
    </row>
    <row r="149" spans="1:14" x14ac:dyDescent="0.35">
      <c r="A149" s="5">
        <f>booking!C149</f>
        <v>46650</v>
      </c>
      <c r="B149" s="159">
        <f>IF(booking!A149=0,"",booking!A149)</f>
        <v>39</v>
      </c>
      <c r="C149" s="138" t="str">
        <f>IF(booking!D149&gt;0,"oc","va")</f>
        <v>va</v>
      </c>
      <c r="D149" s="139" t="str">
        <f>IF(booking!E149&gt;0,"oc","va")</f>
        <v>va</v>
      </c>
      <c r="E149" s="138" t="str">
        <f>IF(booking!H149&gt;0,"oc","va")</f>
        <v>va</v>
      </c>
      <c r="F149" s="139" t="str">
        <f>IF(booking!I149&gt;0,"oc","va")</f>
        <v>va</v>
      </c>
      <c r="G149" s="138" t="str">
        <f>IF(booking!L149&gt;0,"oc","va")</f>
        <v>va</v>
      </c>
      <c r="H149" s="139" t="str">
        <f>IF(booking!M149&gt;0,"oc","va")</f>
        <v>va</v>
      </c>
      <c r="I149" s="138" t="str">
        <f>IF(booking!P149&gt;0,"oc","va")</f>
        <v>va</v>
      </c>
      <c r="J149" s="139" t="str">
        <f>IF(booking!Q149&gt;0,"oc","va")</f>
        <v>va</v>
      </c>
      <c r="K149" s="138" t="str">
        <f>IF(booking!T149&gt;0,"oc","va")</f>
        <v>va</v>
      </c>
      <c r="L149" s="139" t="str">
        <f>IF(booking!U149&gt;0,"oc","va")</f>
        <v>va</v>
      </c>
      <c r="M149" s="138" t="str">
        <f>IF(booking!X149&gt;0,"oc","va")</f>
        <v>va</v>
      </c>
      <c r="N149" s="139" t="str">
        <f>IF(booking!Y149&gt;0,"oc","va")</f>
        <v>va</v>
      </c>
    </row>
    <row r="150" spans="1:14" x14ac:dyDescent="0.35">
      <c r="A150" s="5">
        <f>booking!C150</f>
        <v>46651</v>
      </c>
      <c r="B150" s="159" t="str">
        <f>IF(booking!A150=0,"",booking!A150)</f>
        <v/>
      </c>
      <c r="C150" s="138" t="str">
        <f>IF(booking!D150&gt;0,"oc","va")</f>
        <v>va</v>
      </c>
      <c r="D150" s="139" t="str">
        <f>IF(booking!E150&gt;0,"oc","va")</f>
        <v>va</v>
      </c>
      <c r="E150" s="138" t="str">
        <f>IF(booking!H150&gt;0,"oc","va")</f>
        <v>va</v>
      </c>
      <c r="F150" s="139" t="str">
        <f>IF(booking!I150&gt;0,"oc","va")</f>
        <v>va</v>
      </c>
      <c r="G150" s="138" t="str">
        <f>IF(booking!L150&gt;0,"oc","va")</f>
        <v>va</v>
      </c>
      <c r="H150" s="139" t="str">
        <f>IF(booking!M150&gt;0,"oc","va")</f>
        <v>va</v>
      </c>
      <c r="I150" s="138" t="str">
        <f>IF(booking!P150&gt;0,"oc","va")</f>
        <v>va</v>
      </c>
      <c r="J150" s="139" t="str">
        <f>IF(booking!Q150&gt;0,"oc","va")</f>
        <v>va</v>
      </c>
      <c r="K150" s="138" t="str">
        <f>IF(booking!T150&gt;0,"oc","va")</f>
        <v>va</v>
      </c>
      <c r="L150" s="139" t="str">
        <f>IF(booking!U150&gt;0,"oc","va")</f>
        <v>va</v>
      </c>
      <c r="M150" s="138" t="str">
        <f>IF(booking!X150&gt;0,"oc","va")</f>
        <v>va</v>
      </c>
      <c r="N150" s="139" t="str">
        <f>IF(booking!Y150&gt;0,"oc","va")</f>
        <v>va</v>
      </c>
    </row>
    <row r="151" spans="1:14" x14ac:dyDescent="0.35">
      <c r="A151" s="5">
        <f>booking!C151</f>
        <v>46652</v>
      </c>
      <c r="B151" s="159" t="str">
        <f>IF(booking!A151=0,"",booking!A151)</f>
        <v/>
      </c>
      <c r="C151" s="138" t="str">
        <f>IF(booking!D151&gt;0,"oc","va")</f>
        <v>va</v>
      </c>
      <c r="D151" s="139" t="str">
        <f>IF(booking!E151&gt;0,"oc","va")</f>
        <v>va</v>
      </c>
      <c r="E151" s="138" t="str">
        <f>IF(booking!H151&gt;0,"oc","va")</f>
        <v>va</v>
      </c>
      <c r="F151" s="139" t="str">
        <f>IF(booking!I151&gt;0,"oc","va")</f>
        <v>va</v>
      </c>
      <c r="G151" s="138" t="str">
        <f>IF(booking!L151&gt;0,"oc","va")</f>
        <v>va</v>
      </c>
      <c r="H151" s="139" t="str">
        <f>IF(booking!M151&gt;0,"oc","va")</f>
        <v>va</v>
      </c>
      <c r="I151" s="138" t="str">
        <f>IF(booking!P151&gt;0,"oc","va")</f>
        <v>va</v>
      </c>
      <c r="J151" s="139" t="str">
        <f>IF(booking!Q151&gt;0,"oc","va")</f>
        <v>va</v>
      </c>
      <c r="K151" s="138" t="str">
        <f>IF(booking!T151&gt;0,"oc","va")</f>
        <v>va</v>
      </c>
      <c r="L151" s="139" t="str">
        <f>IF(booking!U151&gt;0,"oc","va")</f>
        <v>va</v>
      </c>
      <c r="M151" s="138" t="str">
        <f>IF(booking!X151&gt;0,"oc","va")</f>
        <v>va</v>
      </c>
      <c r="N151" s="139" t="str">
        <f>IF(booking!Y151&gt;0,"oc","va")</f>
        <v>va</v>
      </c>
    </row>
    <row r="152" spans="1:14" x14ac:dyDescent="0.35">
      <c r="A152" s="5">
        <f>booking!C152</f>
        <v>46653</v>
      </c>
      <c r="B152" s="159" t="str">
        <f>IF(booking!A152=0,"",booking!A152)</f>
        <v/>
      </c>
      <c r="C152" s="138" t="str">
        <f>IF(booking!D152&gt;0,"oc","va")</f>
        <v>va</v>
      </c>
      <c r="D152" s="139" t="str">
        <f>IF(booking!E152&gt;0,"oc","va")</f>
        <v>va</v>
      </c>
      <c r="E152" s="138" t="str">
        <f>IF(booking!H152&gt;0,"oc","va")</f>
        <v>va</v>
      </c>
      <c r="F152" s="139" t="str">
        <f>IF(booking!I152&gt;0,"oc","va")</f>
        <v>va</v>
      </c>
      <c r="G152" s="138" t="str">
        <f>IF(booking!L152&gt;0,"oc","va")</f>
        <v>va</v>
      </c>
      <c r="H152" s="139" t="str">
        <f>IF(booking!M152&gt;0,"oc","va")</f>
        <v>va</v>
      </c>
      <c r="I152" s="138" t="str">
        <f>IF(booking!P152&gt;0,"oc","va")</f>
        <v>va</v>
      </c>
      <c r="J152" s="139" t="str">
        <f>IF(booking!Q152&gt;0,"oc","va")</f>
        <v>va</v>
      </c>
      <c r="K152" s="138" t="str">
        <f>IF(booking!T152&gt;0,"oc","va")</f>
        <v>va</v>
      </c>
      <c r="L152" s="139" t="str">
        <f>IF(booking!U152&gt;0,"oc","va")</f>
        <v>va</v>
      </c>
      <c r="M152" s="138" t="str">
        <f>IF(booking!X152&gt;0,"oc","va")</f>
        <v>va</v>
      </c>
      <c r="N152" s="139" t="str">
        <f>IF(booking!Y152&gt;0,"oc","va")</f>
        <v>va</v>
      </c>
    </row>
    <row r="153" spans="1:14" x14ac:dyDescent="0.35">
      <c r="A153" s="5">
        <f>booking!C153</f>
        <v>46654</v>
      </c>
      <c r="B153" s="159" t="str">
        <f>IF(booking!A153=0,"",booking!A153)</f>
        <v/>
      </c>
      <c r="C153" s="138" t="str">
        <f>IF(booking!D153&gt;0,"oc","va")</f>
        <v>va</v>
      </c>
      <c r="D153" s="139" t="str">
        <f>IF(booking!E153&gt;0,"oc","va")</f>
        <v>va</v>
      </c>
      <c r="E153" s="138" t="str">
        <f>IF(booking!H153&gt;0,"oc","va")</f>
        <v>va</v>
      </c>
      <c r="F153" s="139" t="str">
        <f>IF(booking!I153&gt;0,"oc","va")</f>
        <v>va</v>
      </c>
      <c r="G153" s="138" t="str">
        <f>IF(booking!L153&gt;0,"oc","va")</f>
        <v>va</v>
      </c>
      <c r="H153" s="139" t="str">
        <f>IF(booking!M153&gt;0,"oc","va")</f>
        <v>va</v>
      </c>
      <c r="I153" s="138" t="str">
        <f>IF(booking!P153&gt;0,"oc","va")</f>
        <v>va</v>
      </c>
      <c r="J153" s="139" t="str">
        <f>IF(booking!Q153&gt;0,"oc","va")</f>
        <v>va</v>
      </c>
      <c r="K153" s="138" t="str">
        <f>IF(booking!T153&gt;0,"oc","va")</f>
        <v>va</v>
      </c>
      <c r="L153" s="139" t="str">
        <f>IF(booking!U153&gt;0,"oc","va")</f>
        <v>va</v>
      </c>
      <c r="M153" s="138" t="str">
        <f>IF(booking!X153&gt;0,"oc","va")</f>
        <v>va</v>
      </c>
      <c r="N153" s="139" t="str">
        <f>IF(booking!Y153&gt;0,"oc","va")</f>
        <v>va</v>
      </c>
    </row>
    <row r="154" spans="1:14" x14ac:dyDescent="0.35">
      <c r="A154" s="5">
        <f>booking!C154</f>
        <v>46655</v>
      </c>
      <c r="B154" s="159" t="str">
        <f>IF(booking!A154=0,"",booking!A154)</f>
        <v/>
      </c>
      <c r="C154" s="138" t="str">
        <f>IF(booking!D154&gt;0,"oc","va")</f>
        <v>va</v>
      </c>
      <c r="D154" s="139" t="str">
        <f>IF(booking!E154&gt;0,"oc","va")</f>
        <v>va</v>
      </c>
      <c r="E154" s="138" t="str">
        <f>IF(booking!H154&gt;0,"oc","va")</f>
        <v>va</v>
      </c>
      <c r="F154" s="139" t="str">
        <f>IF(booking!I154&gt;0,"oc","va")</f>
        <v>va</v>
      </c>
      <c r="G154" s="138" t="str">
        <f>IF(booking!L154&gt;0,"oc","va")</f>
        <v>va</v>
      </c>
      <c r="H154" s="139" t="str">
        <f>IF(booking!M154&gt;0,"oc","va")</f>
        <v>va</v>
      </c>
      <c r="I154" s="138" t="str">
        <f>IF(booking!P154&gt;0,"oc","va")</f>
        <v>va</v>
      </c>
      <c r="J154" s="139" t="str">
        <f>IF(booking!Q154&gt;0,"oc","va")</f>
        <v>va</v>
      </c>
      <c r="K154" s="138" t="str">
        <f>IF(booking!T154&gt;0,"oc","va")</f>
        <v>va</v>
      </c>
      <c r="L154" s="139" t="str">
        <f>IF(booking!U154&gt;0,"oc","va")</f>
        <v>va</v>
      </c>
      <c r="M154" s="138" t="str">
        <f>IF(booking!X154&gt;0,"oc","va")</f>
        <v>va</v>
      </c>
      <c r="N154" s="139" t="str">
        <f>IF(booking!Y154&gt;0,"oc","va")</f>
        <v>va</v>
      </c>
    </row>
    <row r="155" spans="1:14" x14ac:dyDescent="0.35">
      <c r="A155" s="5">
        <f>booking!C155</f>
        <v>46656</v>
      </c>
      <c r="B155" s="159" t="str">
        <f>IF(booking!A155=0,"",booking!A155)</f>
        <v/>
      </c>
      <c r="C155" s="138" t="str">
        <f>IF(booking!D155&gt;0,"oc","va")</f>
        <v>va</v>
      </c>
      <c r="D155" s="139" t="str">
        <f>IF(booking!E155&gt;0,"oc","va")</f>
        <v>va</v>
      </c>
      <c r="E155" s="138" t="str">
        <f>IF(booking!H155&gt;0,"oc","va")</f>
        <v>va</v>
      </c>
      <c r="F155" s="139" t="str">
        <f>IF(booking!I155&gt;0,"oc","va")</f>
        <v>va</v>
      </c>
      <c r="G155" s="138" t="str">
        <f>IF(booking!L155&gt;0,"oc","va")</f>
        <v>va</v>
      </c>
      <c r="H155" s="139" t="str">
        <f>IF(booking!M155&gt;0,"oc","va")</f>
        <v>va</v>
      </c>
      <c r="I155" s="138" t="str">
        <f>IF(booking!P155&gt;0,"oc","va")</f>
        <v>va</v>
      </c>
      <c r="J155" s="139" t="str">
        <f>IF(booking!Q155&gt;0,"oc","va")</f>
        <v>va</v>
      </c>
      <c r="K155" s="138" t="str">
        <f>IF(booking!T155&gt;0,"oc","va")</f>
        <v>va</v>
      </c>
      <c r="L155" s="139" t="str">
        <f>IF(booking!U155&gt;0,"oc","va")</f>
        <v>va</v>
      </c>
      <c r="M155" s="138" t="str">
        <f>IF(booking!X155&gt;0,"oc","va")</f>
        <v>va</v>
      </c>
      <c r="N155" s="139" t="str">
        <f>IF(booking!Y155&gt;0,"oc","va")</f>
        <v>va</v>
      </c>
    </row>
    <row r="156" spans="1:14" x14ac:dyDescent="0.35">
      <c r="A156" s="5">
        <f>booking!C156</f>
        <v>46657</v>
      </c>
      <c r="B156" s="159">
        <f>IF(booking!A156=0,"",booking!A156)</f>
        <v>40</v>
      </c>
      <c r="C156" s="138" t="str">
        <f>IF(booking!D156&gt;0,"oc","va")</f>
        <v>va</v>
      </c>
      <c r="D156" s="139" t="str">
        <f>IF(booking!E156&gt;0,"oc","va")</f>
        <v>va</v>
      </c>
      <c r="E156" s="138" t="str">
        <f>IF(booking!H156&gt;0,"oc","va")</f>
        <v>va</v>
      </c>
      <c r="F156" s="139" t="str">
        <f>IF(booking!I156&gt;0,"oc","va")</f>
        <v>va</v>
      </c>
      <c r="G156" s="138" t="str">
        <f>IF(booking!L156&gt;0,"oc","va")</f>
        <v>va</v>
      </c>
      <c r="H156" s="139" t="str">
        <f>IF(booking!M156&gt;0,"oc","va")</f>
        <v>va</v>
      </c>
      <c r="I156" s="138" t="str">
        <f>IF(booking!P156&gt;0,"oc","va")</f>
        <v>va</v>
      </c>
      <c r="J156" s="139" t="str">
        <f>IF(booking!Q156&gt;0,"oc","va")</f>
        <v>va</v>
      </c>
      <c r="K156" s="138" t="str">
        <f>IF(booking!T156&gt;0,"oc","va")</f>
        <v>va</v>
      </c>
      <c r="L156" s="139" t="str">
        <f>IF(booking!U156&gt;0,"oc","va")</f>
        <v>va</v>
      </c>
      <c r="M156" s="138" t="str">
        <f>IF(booking!X156&gt;0,"oc","va")</f>
        <v>va</v>
      </c>
      <c r="N156" s="139" t="str">
        <f>IF(booking!Y156&gt;0,"oc","va")</f>
        <v>va</v>
      </c>
    </row>
    <row r="157" spans="1:14" x14ac:dyDescent="0.35">
      <c r="A157" s="5">
        <f>booking!C157</f>
        <v>46658</v>
      </c>
      <c r="B157" s="159" t="str">
        <f>IF(booking!A157=0,"",booking!A157)</f>
        <v/>
      </c>
      <c r="C157" s="138" t="str">
        <f>IF(booking!D157&gt;0,"oc","va")</f>
        <v>va</v>
      </c>
      <c r="D157" s="139" t="str">
        <f>IF(booking!E157&gt;0,"oc","va")</f>
        <v>va</v>
      </c>
      <c r="E157" s="138" t="str">
        <f>IF(booking!H157&gt;0,"oc","va")</f>
        <v>va</v>
      </c>
      <c r="F157" s="139" t="str">
        <f>IF(booking!I157&gt;0,"oc","va")</f>
        <v>va</v>
      </c>
      <c r="G157" s="138" t="str">
        <f>IF(booking!L157&gt;0,"oc","va")</f>
        <v>va</v>
      </c>
      <c r="H157" s="139" t="str">
        <f>IF(booking!M157&gt;0,"oc","va")</f>
        <v>va</v>
      </c>
      <c r="I157" s="138" t="str">
        <f>IF(booking!P157&gt;0,"oc","va")</f>
        <v>va</v>
      </c>
      <c r="J157" s="139" t="str">
        <f>IF(booking!Q157&gt;0,"oc","va")</f>
        <v>va</v>
      </c>
      <c r="K157" s="138" t="str">
        <f>IF(booking!T157&gt;0,"oc","va")</f>
        <v>va</v>
      </c>
      <c r="L157" s="139" t="str">
        <f>IF(booking!U157&gt;0,"oc","va")</f>
        <v>va</v>
      </c>
      <c r="M157" s="138" t="str">
        <f>IF(booking!X157&gt;0,"oc","va")</f>
        <v>va</v>
      </c>
      <c r="N157" s="139" t="str">
        <f>IF(booking!Y157&gt;0,"oc","va")</f>
        <v>va</v>
      </c>
    </row>
    <row r="158" spans="1:14" x14ac:dyDescent="0.35">
      <c r="A158" s="5">
        <f>booking!C158</f>
        <v>46659</v>
      </c>
      <c r="B158" s="159" t="str">
        <f>IF(booking!A158=0,"",booking!A158)</f>
        <v/>
      </c>
      <c r="C158" s="138" t="str">
        <f>IF(booking!D158&gt;0,"oc","va")</f>
        <v>va</v>
      </c>
      <c r="D158" s="139" t="str">
        <f>IF(booking!E158&gt;0,"oc","va")</f>
        <v>va</v>
      </c>
      <c r="E158" s="138" t="str">
        <f>IF(booking!H158&gt;0,"oc","va")</f>
        <v>va</v>
      </c>
      <c r="F158" s="139" t="str">
        <f>IF(booking!I158&gt;0,"oc","va")</f>
        <v>va</v>
      </c>
      <c r="G158" s="138" t="str">
        <f>IF(booking!L158&gt;0,"oc","va")</f>
        <v>va</v>
      </c>
      <c r="H158" s="139" t="str">
        <f>IF(booking!M158&gt;0,"oc","va")</f>
        <v>va</v>
      </c>
      <c r="I158" s="138" t="str">
        <f>IF(booking!P158&gt;0,"oc","va")</f>
        <v>va</v>
      </c>
      <c r="J158" s="139" t="str">
        <f>IF(booking!Q158&gt;0,"oc","va")</f>
        <v>va</v>
      </c>
      <c r="K158" s="138" t="str">
        <f>IF(booking!T158&gt;0,"oc","va")</f>
        <v>va</v>
      </c>
      <c r="L158" s="139" t="str">
        <f>IF(booking!U158&gt;0,"oc","va")</f>
        <v>va</v>
      </c>
      <c r="M158" s="138" t="str">
        <f>IF(booking!X158&gt;0,"oc","va")</f>
        <v>va</v>
      </c>
      <c r="N158" s="139" t="str">
        <f>IF(booking!Y158&gt;0,"oc","va")</f>
        <v>va</v>
      </c>
    </row>
    <row r="159" spans="1:14" x14ac:dyDescent="0.35">
      <c r="A159" s="5">
        <f>booking!C159</f>
        <v>46660</v>
      </c>
      <c r="B159" s="159" t="str">
        <f>IF(booking!A159=0,"",booking!A159)</f>
        <v/>
      </c>
      <c r="C159" s="138" t="str">
        <f>IF(booking!D159&gt;0,"oc","va")</f>
        <v>va</v>
      </c>
      <c r="D159" s="139" t="str">
        <f>IF(booking!E159&gt;0,"oc","va")</f>
        <v>va</v>
      </c>
      <c r="E159" s="138" t="str">
        <f>IF(booking!H159&gt;0,"oc","va")</f>
        <v>va</v>
      </c>
      <c r="F159" s="139" t="str">
        <f>IF(booking!I159&gt;0,"oc","va")</f>
        <v>va</v>
      </c>
      <c r="G159" s="138" t="str">
        <f>IF(booking!L159&gt;0,"oc","va")</f>
        <v>va</v>
      </c>
      <c r="H159" s="139" t="str">
        <f>IF(booking!M159&gt;0,"oc","va")</f>
        <v>va</v>
      </c>
      <c r="I159" s="138" t="str">
        <f>IF(booking!P159&gt;0,"oc","va")</f>
        <v>va</v>
      </c>
      <c r="J159" s="139" t="str">
        <f>IF(booking!Q159&gt;0,"oc","va")</f>
        <v>va</v>
      </c>
      <c r="K159" s="138" t="str">
        <f>IF(booking!T159&gt;0,"oc","va")</f>
        <v>va</v>
      </c>
      <c r="L159" s="139" t="str">
        <f>IF(booking!U159&gt;0,"oc","va")</f>
        <v>va</v>
      </c>
      <c r="M159" s="138" t="str">
        <f>IF(booking!X159&gt;0,"oc","va")</f>
        <v>va</v>
      </c>
      <c r="N159" s="139" t="str">
        <f>IF(booking!Y159&gt;0,"oc","va")</f>
        <v>va</v>
      </c>
    </row>
    <row r="160" spans="1:14" x14ac:dyDescent="0.35">
      <c r="A160" s="5">
        <f>booking!C160</f>
        <v>46661</v>
      </c>
      <c r="B160" s="159" t="str">
        <f>IF(booking!A160=0,"",booking!A160)</f>
        <v/>
      </c>
      <c r="C160" s="138" t="str">
        <f>IF(booking!D160&gt;0,"oc","va")</f>
        <v>va</v>
      </c>
      <c r="D160" s="139" t="str">
        <f>IF(booking!E160&gt;0,"oc","va")</f>
        <v>va</v>
      </c>
      <c r="E160" s="138" t="str">
        <f>IF(booking!H160&gt;0,"oc","va")</f>
        <v>va</v>
      </c>
      <c r="F160" s="139" t="str">
        <f>IF(booking!I160&gt;0,"oc","va")</f>
        <v>va</v>
      </c>
      <c r="G160" s="138" t="str">
        <f>IF(booking!L160&gt;0,"oc","va")</f>
        <v>va</v>
      </c>
      <c r="H160" s="139" t="str">
        <f>IF(booking!M160&gt;0,"oc","va")</f>
        <v>va</v>
      </c>
      <c r="I160" s="138" t="str">
        <f>IF(booking!P160&gt;0,"oc","va")</f>
        <v>va</v>
      </c>
      <c r="J160" s="139" t="str">
        <f>IF(booking!Q160&gt;0,"oc","va")</f>
        <v>va</v>
      </c>
      <c r="K160" s="138" t="str">
        <f>IF(booking!T160&gt;0,"oc","va")</f>
        <v>va</v>
      </c>
      <c r="L160" s="139" t="str">
        <f>IF(booking!U160&gt;0,"oc","va")</f>
        <v>va</v>
      </c>
      <c r="M160" s="138" t="str">
        <f>IF(booking!X160&gt;0,"oc","va")</f>
        <v>va</v>
      </c>
      <c r="N160" s="139" t="str">
        <f>IF(booking!Y160&gt;0,"oc","va")</f>
        <v>va</v>
      </c>
    </row>
    <row r="161" spans="1:14" x14ac:dyDescent="0.35">
      <c r="A161" s="5">
        <f>booking!C161</f>
        <v>46662</v>
      </c>
      <c r="B161" s="159" t="str">
        <f>IF(booking!A161=0,"",booking!A161)</f>
        <v/>
      </c>
      <c r="C161" s="138" t="str">
        <f>IF(booking!D161&gt;0,"oc","va")</f>
        <v>va</v>
      </c>
      <c r="D161" s="139" t="str">
        <f>IF(booking!E161&gt;0,"oc","va")</f>
        <v>va</v>
      </c>
      <c r="E161" s="138" t="str">
        <f>IF(booking!H161&gt;0,"oc","va")</f>
        <v>va</v>
      </c>
      <c r="F161" s="139" t="str">
        <f>IF(booking!I161&gt;0,"oc","va")</f>
        <v>va</v>
      </c>
      <c r="G161" s="138" t="str">
        <f>IF(booking!L161&gt;0,"oc","va")</f>
        <v>va</v>
      </c>
      <c r="H161" s="139" t="str">
        <f>IF(booking!M161&gt;0,"oc","va")</f>
        <v>va</v>
      </c>
      <c r="I161" s="138" t="str">
        <f>IF(booking!P161&gt;0,"oc","va")</f>
        <v>va</v>
      </c>
      <c r="J161" s="139" t="str">
        <f>IF(booking!Q161&gt;0,"oc","va")</f>
        <v>va</v>
      </c>
      <c r="K161" s="138" t="str">
        <f>IF(booking!T161&gt;0,"oc","va")</f>
        <v>va</v>
      </c>
      <c r="L161" s="139" t="str">
        <f>IF(booking!U161&gt;0,"oc","va")</f>
        <v>va</v>
      </c>
      <c r="M161" s="138" t="str">
        <f>IF(booking!X161&gt;0,"oc","va")</f>
        <v>va</v>
      </c>
      <c r="N161" s="139" t="str">
        <f>IF(booking!Y161&gt;0,"oc","va")</f>
        <v>va</v>
      </c>
    </row>
    <row r="162" spans="1:14" x14ac:dyDescent="0.35">
      <c r="A162" s="5">
        <f>booking!C162</f>
        <v>46663</v>
      </c>
      <c r="B162" s="159" t="str">
        <f>IF(booking!A162=0,"",booking!A162)</f>
        <v/>
      </c>
      <c r="C162" s="138" t="str">
        <f>IF(booking!D162&gt;0,"oc","va")</f>
        <v>va</v>
      </c>
      <c r="D162" s="139" t="str">
        <f>IF(booking!E162&gt;0,"oc","va")</f>
        <v>va</v>
      </c>
      <c r="E162" s="138" t="str">
        <f>IF(booking!H162&gt;0,"oc","va")</f>
        <v>va</v>
      </c>
      <c r="F162" s="139" t="str">
        <f>IF(booking!I162&gt;0,"oc","va")</f>
        <v>va</v>
      </c>
      <c r="G162" s="138" t="str">
        <f>IF(booking!L162&gt;0,"oc","va")</f>
        <v>va</v>
      </c>
      <c r="H162" s="139" t="str">
        <f>IF(booking!M162&gt;0,"oc","va")</f>
        <v>va</v>
      </c>
      <c r="I162" s="138" t="str">
        <f>IF(booking!P162&gt;0,"oc","va")</f>
        <v>va</v>
      </c>
      <c r="J162" s="139" t="str">
        <f>IF(booking!Q162&gt;0,"oc","va")</f>
        <v>va</v>
      </c>
      <c r="K162" s="138" t="str">
        <f>IF(booking!T162&gt;0,"oc","va")</f>
        <v>va</v>
      </c>
      <c r="L162" s="139" t="str">
        <f>IF(booking!U162&gt;0,"oc","va")</f>
        <v>va</v>
      </c>
      <c r="M162" s="138" t="str">
        <f>IF(booking!X162&gt;0,"oc","va")</f>
        <v>va</v>
      </c>
      <c r="N162" s="139" t="str">
        <f>IF(booking!Y162&gt;0,"oc","va")</f>
        <v>va</v>
      </c>
    </row>
    <row r="163" spans="1:14" x14ac:dyDescent="0.35">
      <c r="A163" s="5">
        <f>booking!C163</f>
        <v>46664</v>
      </c>
      <c r="B163" s="159">
        <f>IF(booking!A163=0,"",booking!A163)</f>
        <v>41</v>
      </c>
      <c r="C163" s="138" t="str">
        <f>IF(booking!D163&gt;0,"oc","va")</f>
        <v>va</v>
      </c>
      <c r="D163" s="139" t="str">
        <f>IF(booking!E163&gt;0,"oc","va")</f>
        <v>va</v>
      </c>
      <c r="E163" s="138" t="str">
        <f>IF(booking!H163&gt;0,"oc","va")</f>
        <v>va</v>
      </c>
      <c r="F163" s="139" t="str">
        <f>IF(booking!I163&gt;0,"oc","va")</f>
        <v>va</v>
      </c>
      <c r="G163" s="138" t="str">
        <f>IF(booking!L163&gt;0,"oc","va")</f>
        <v>va</v>
      </c>
      <c r="H163" s="139" t="str">
        <f>IF(booking!M163&gt;0,"oc","va")</f>
        <v>va</v>
      </c>
      <c r="I163" s="138" t="str">
        <f>IF(booking!P163&gt;0,"oc","va")</f>
        <v>va</v>
      </c>
      <c r="J163" s="139" t="str">
        <f>IF(booking!Q163&gt;0,"oc","va")</f>
        <v>va</v>
      </c>
      <c r="K163" s="138" t="str">
        <f>IF(booking!T163&gt;0,"oc","va")</f>
        <v>va</v>
      </c>
      <c r="L163" s="139" t="str">
        <f>IF(booking!U163&gt;0,"oc","va")</f>
        <v>va</v>
      </c>
      <c r="M163" s="138" t="str">
        <f>IF(booking!X163&gt;0,"oc","va")</f>
        <v>va</v>
      </c>
      <c r="N163" s="139" t="str">
        <f>IF(booking!Y163&gt;0,"oc","va")</f>
        <v>va</v>
      </c>
    </row>
    <row r="164" spans="1:14" x14ac:dyDescent="0.35">
      <c r="A164" s="5">
        <f>booking!C164</f>
        <v>46665</v>
      </c>
      <c r="B164" s="159" t="str">
        <f>IF(booking!A164=0,"",booking!A164)</f>
        <v/>
      </c>
      <c r="C164" s="138" t="str">
        <f>IF(booking!D164&gt;0,"oc","va")</f>
        <v>va</v>
      </c>
      <c r="D164" s="139" t="str">
        <f>IF(booking!E164&gt;0,"oc","va")</f>
        <v>va</v>
      </c>
      <c r="E164" s="138" t="str">
        <f>IF(booking!H164&gt;0,"oc","va")</f>
        <v>va</v>
      </c>
      <c r="F164" s="139" t="str">
        <f>IF(booking!I164&gt;0,"oc","va")</f>
        <v>va</v>
      </c>
      <c r="G164" s="138" t="str">
        <f>IF(booking!L164&gt;0,"oc","va")</f>
        <v>va</v>
      </c>
      <c r="H164" s="139" t="str">
        <f>IF(booking!M164&gt;0,"oc","va")</f>
        <v>va</v>
      </c>
      <c r="I164" s="138" t="str">
        <f>IF(booking!P164&gt;0,"oc","va")</f>
        <v>va</v>
      </c>
      <c r="J164" s="139" t="str">
        <f>IF(booking!Q164&gt;0,"oc","va")</f>
        <v>va</v>
      </c>
      <c r="K164" s="138" t="str">
        <f>IF(booking!T164&gt;0,"oc","va")</f>
        <v>va</v>
      </c>
      <c r="L164" s="139" t="str">
        <f>IF(booking!U164&gt;0,"oc","va")</f>
        <v>va</v>
      </c>
      <c r="M164" s="138" t="str">
        <f>IF(booking!X164&gt;0,"oc","va")</f>
        <v>va</v>
      </c>
      <c r="N164" s="139" t="str">
        <f>IF(booking!Y164&gt;0,"oc","va")</f>
        <v>va</v>
      </c>
    </row>
    <row r="165" spans="1:14" x14ac:dyDescent="0.35">
      <c r="A165" s="5">
        <f>booking!C165</f>
        <v>46666</v>
      </c>
      <c r="B165" s="159" t="str">
        <f>IF(booking!A165=0,"",booking!A165)</f>
        <v/>
      </c>
      <c r="C165" s="138" t="str">
        <f>IF(booking!D165&gt;0,"oc","va")</f>
        <v>va</v>
      </c>
      <c r="D165" s="139" t="str">
        <f>IF(booking!E165&gt;0,"oc","va")</f>
        <v>va</v>
      </c>
      <c r="E165" s="138" t="str">
        <f>IF(booking!H165&gt;0,"oc","va")</f>
        <v>va</v>
      </c>
      <c r="F165" s="139" t="str">
        <f>IF(booking!I165&gt;0,"oc","va")</f>
        <v>va</v>
      </c>
      <c r="G165" s="138" t="str">
        <f>IF(booking!L165&gt;0,"oc","va")</f>
        <v>va</v>
      </c>
      <c r="H165" s="139" t="str">
        <f>IF(booking!M165&gt;0,"oc","va")</f>
        <v>va</v>
      </c>
      <c r="I165" s="138" t="str">
        <f>IF(booking!P165&gt;0,"oc","va")</f>
        <v>va</v>
      </c>
      <c r="J165" s="139" t="str">
        <f>IF(booking!Q165&gt;0,"oc","va")</f>
        <v>va</v>
      </c>
      <c r="K165" s="138" t="str">
        <f>IF(booking!T165&gt;0,"oc","va")</f>
        <v>va</v>
      </c>
      <c r="L165" s="139" t="str">
        <f>IF(booking!U165&gt;0,"oc","va")</f>
        <v>va</v>
      </c>
      <c r="M165" s="138" t="str">
        <f>IF(booking!X165&gt;0,"oc","va")</f>
        <v>va</v>
      </c>
      <c r="N165" s="139" t="str">
        <f>IF(booking!Y165&gt;0,"oc","va")</f>
        <v>va</v>
      </c>
    </row>
    <row r="166" spans="1:14" x14ac:dyDescent="0.35">
      <c r="A166" s="5">
        <f>booking!C166</f>
        <v>46667</v>
      </c>
      <c r="B166" s="159" t="str">
        <f>IF(booking!A166=0,"",booking!A166)</f>
        <v/>
      </c>
      <c r="C166" s="138" t="str">
        <f>IF(booking!D166&gt;0,"oc","va")</f>
        <v>va</v>
      </c>
      <c r="D166" s="139" t="str">
        <f>IF(booking!E166&gt;0,"oc","va")</f>
        <v>va</v>
      </c>
      <c r="E166" s="138" t="str">
        <f>IF(booking!H166&gt;0,"oc","va")</f>
        <v>va</v>
      </c>
      <c r="F166" s="139" t="str">
        <f>IF(booking!I166&gt;0,"oc","va")</f>
        <v>va</v>
      </c>
      <c r="G166" s="138" t="str">
        <f>IF(booking!L166&gt;0,"oc","va")</f>
        <v>va</v>
      </c>
      <c r="H166" s="139" t="str">
        <f>IF(booking!M166&gt;0,"oc","va")</f>
        <v>va</v>
      </c>
      <c r="I166" s="138" t="str">
        <f>IF(booking!P166&gt;0,"oc","va")</f>
        <v>va</v>
      </c>
      <c r="J166" s="139" t="str">
        <f>IF(booking!Q166&gt;0,"oc","va")</f>
        <v>va</v>
      </c>
      <c r="K166" s="138" t="str">
        <f>IF(booking!T166&gt;0,"oc","va")</f>
        <v>va</v>
      </c>
      <c r="L166" s="139" t="str">
        <f>IF(booking!U166&gt;0,"oc","va")</f>
        <v>va</v>
      </c>
      <c r="M166" s="138" t="str">
        <f>IF(booking!X166&gt;0,"oc","va")</f>
        <v>va</v>
      </c>
      <c r="N166" s="139" t="str">
        <f>IF(booking!Y166&gt;0,"oc","va")</f>
        <v>va</v>
      </c>
    </row>
    <row r="167" spans="1:14" x14ac:dyDescent="0.35">
      <c r="A167" s="5">
        <f>booking!C167</f>
        <v>46668</v>
      </c>
      <c r="B167" s="159" t="str">
        <f>IF(booking!A167=0,"",booking!A167)</f>
        <v/>
      </c>
      <c r="C167" s="138" t="str">
        <f>IF(booking!D167&gt;0,"oc","va")</f>
        <v>va</v>
      </c>
      <c r="D167" s="139" t="str">
        <f>IF(booking!E167&gt;0,"oc","va")</f>
        <v>va</v>
      </c>
      <c r="E167" s="138" t="str">
        <f>IF(booking!H167&gt;0,"oc","va")</f>
        <v>va</v>
      </c>
      <c r="F167" s="139" t="str">
        <f>IF(booking!I167&gt;0,"oc","va")</f>
        <v>va</v>
      </c>
      <c r="G167" s="138" t="str">
        <f>IF(booking!L167&gt;0,"oc","va")</f>
        <v>va</v>
      </c>
      <c r="H167" s="139" t="str">
        <f>IF(booking!M167&gt;0,"oc","va")</f>
        <v>va</v>
      </c>
      <c r="I167" s="138" t="str">
        <f>IF(booking!P167&gt;0,"oc","va")</f>
        <v>va</v>
      </c>
      <c r="J167" s="139" t="str">
        <f>IF(booking!Q167&gt;0,"oc","va")</f>
        <v>va</v>
      </c>
      <c r="K167" s="138" t="str">
        <f>IF(booking!T167&gt;0,"oc","va")</f>
        <v>va</v>
      </c>
      <c r="L167" s="139" t="str">
        <f>IF(booking!U167&gt;0,"oc","va")</f>
        <v>va</v>
      </c>
      <c r="M167" s="138" t="str">
        <f>IF(booking!X167&gt;0,"oc","va")</f>
        <v>va</v>
      </c>
      <c r="N167" s="139" t="str">
        <f>IF(booking!Y167&gt;0,"oc","va")</f>
        <v>va</v>
      </c>
    </row>
    <row r="168" spans="1:14" x14ac:dyDescent="0.35">
      <c r="A168" s="5">
        <f>booking!C168</f>
        <v>46669</v>
      </c>
      <c r="B168" s="159" t="str">
        <f>IF(booking!A168=0,"",booking!A168)</f>
        <v/>
      </c>
      <c r="C168" s="138" t="str">
        <f>IF(booking!D168&gt;0,"oc","va")</f>
        <v>va</v>
      </c>
      <c r="D168" s="139" t="str">
        <f>IF(booking!E168&gt;0,"oc","va")</f>
        <v>va</v>
      </c>
      <c r="E168" s="138" t="str">
        <f>IF(booking!H168&gt;0,"oc","va")</f>
        <v>va</v>
      </c>
      <c r="F168" s="139" t="str">
        <f>IF(booking!I168&gt;0,"oc","va")</f>
        <v>va</v>
      </c>
      <c r="G168" s="138" t="str">
        <f>IF(booking!L168&gt;0,"oc","va")</f>
        <v>va</v>
      </c>
      <c r="H168" s="139" t="str">
        <f>IF(booking!M168&gt;0,"oc","va")</f>
        <v>va</v>
      </c>
      <c r="I168" s="138" t="str">
        <f>IF(booking!P168&gt;0,"oc","va")</f>
        <v>va</v>
      </c>
      <c r="J168" s="139" t="str">
        <f>IF(booking!Q168&gt;0,"oc","va")</f>
        <v>va</v>
      </c>
      <c r="K168" s="138" t="str">
        <f>IF(booking!T168&gt;0,"oc","va")</f>
        <v>va</v>
      </c>
      <c r="L168" s="139" t="str">
        <f>IF(booking!U168&gt;0,"oc","va")</f>
        <v>va</v>
      </c>
      <c r="M168" s="138" t="str">
        <f>IF(booking!X168&gt;0,"oc","va")</f>
        <v>va</v>
      </c>
      <c r="N168" s="139" t="str">
        <f>IF(booking!Y168&gt;0,"oc","va")</f>
        <v>va</v>
      </c>
    </row>
    <row r="169" spans="1:14" x14ac:dyDescent="0.35">
      <c r="A169" s="5">
        <f>booking!C169</f>
        <v>46670</v>
      </c>
      <c r="B169" s="159" t="str">
        <f>IF(booking!A169=0,"",booking!A169)</f>
        <v/>
      </c>
      <c r="C169" s="138" t="str">
        <f>IF(booking!D169&gt;0,"oc","va")</f>
        <v>va</v>
      </c>
      <c r="D169" s="139" t="str">
        <f>IF(booking!E169&gt;0,"oc","va")</f>
        <v>va</v>
      </c>
      <c r="E169" s="138" t="str">
        <f>IF(booking!H169&gt;0,"oc","va")</f>
        <v>va</v>
      </c>
      <c r="F169" s="139" t="str">
        <f>IF(booking!I169&gt;0,"oc","va")</f>
        <v>va</v>
      </c>
      <c r="G169" s="138" t="str">
        <f>IF(booking!L169&gt;0,"oc","va")</f>
        <v>va</v>
      </c>
      <c r="H169" s="139" t="str">
        <f>IF(booking!M169&gt;0,"oc","va")</f>
        <v>va</v>
      </c>
      <c r="I169" s="138" t="str">
        <f>IF(booking!P169&gt;0,"oc","va")</f>
        <v>va</v>
      </c>
      <c r="J169" s="139" t="str">
        <f>IF(booking!Q169&gt;0,"oc","va")</f>
        <v>va</v>
      </c>
      <c r="K169" s="138" t="str">
        <f>IF(booking!T169&gt;0,"oc","va")</f>
        <v>va</v>
      </c>
      <c r="L169" s="139" t="str">
        <f>IF(booking!U169&gt;0,"oc","va")</f>
        <v>va</v>
      </c>
      <c r="M169" s="138" t="str">
        <f>IF(booking!X169&gt;0,"oc","va")</f>
        <v>va</v>
      </c>
      <c r="N169" s="139" t="str">
        <f>IF(booking!Y169&gt;0,"oc","va")</f>
        <v>va</v>
      </c>
    </row>
    <row r="170" spans="1:14" x14ac:dyDescent="0.35">
      <c r="A170" s="5">
        <f>booking!C170</f>
        <v>46671</v>
      </c>
      <c r="B170" s="159">
        <f>IF(booking!A170=0,"",booking!A170)</f>
        <v>42</v>
      </c>
      <c r="C170" s="138" t="str">
        <f>IF(booking!D170&gt;0,"oc","va")</f>
        <v>va</v>
      </c>
      <c r="D170" s="139" t="str">
        <f>IF(booking!E170&gt;0,"oc","va")</f>
        <v>va</v>
      </c>
      <c r="E170" s="138" t="str">
        <f>IF(booking!H170&gt;0,"oc","va")</f>
        <v>va</v>
      </c>
      <c r="F170" s="139" t="str">
        <f>IF(booking!I170&gt;0,"oc","va")</f>
        <v>va</v>
      </c>
      <c r="G170" s="138" t="str">
        <f>IF(booking!L170&gt;0,"oc","va")</f>
        <v>va</v>
      </c>
      <c r="H170" s="139" t="str">
        <f>IF(booking!M170&gt;0,"oc","va")</f>
        <v>va</v>
      </c>
      <c r="I170" s="138" t="str">
        <f>IF(booking!P170&gt;0,"oc","va")</f>
        <v>va</v>
      </c>
      <c r="J170" s="139" t="str">
        <f>IF(booking!Q170&gt;0,"oc","va")</f>
        <v>va</v>
      </c>
      <c r="K170" s="138" t="str">
        <f>IF(booking!T170&gt;0,"oc","va")</f>
        <v>va</v>
      </c>
      <c r="L170" s="139" t="str">
        <f>IF(booking!U170&gt;0,"oc","va")</f>
        <v>va</v>
      </c>
      <c r="M170" s="138" t="str">
        <f>IF(booking!X170&gt;0,"oc","va")</f>
        <v>va</v>
      </c>
      <c r="N170" s="139" t="str">
        <f>IF(booking!Y170&gt;0,"oc","va")</f>
        <v>va</v>
      </c>
    </row>
    <row r="171" spans="1:14" ht="15" customHeight="1" x14ac:dyDescent="0.35">
      <c r="A171" s="5">
        <f>booking!C171</f>
        <v>46672</v>
      </c>
      <c r="B171" s="159" t="str">
        <f>IF(booking!A171=0,"",booking!A171)</f>
        <v/>
      </c>
      <c r="C171" s="138" t="str">
        <f>IF(booking!D171&gt;0,"oc","va")</f>
        <v>va</v>
      </c>
      <c r="D171" s="139" t="str">
        <f>IF(booking!E171&gt;0,"oc","va")</f>
        <v>va</v>
      </c>
      <c r="E171" s="138" t="str">
        <f>IF(booking!H171&gt;0,"oc","va")</f>
        <v>va</v>
      </c>
      <c r="F171" s="139" t="str">
        <f>IF(booking!I171&gt;0,"oc","va")</f>
        <v>va</v>
      </c>
      <c r="G171" s="138" t="str">
        <f>IF(booking!L171&gt;0,"oc","va")</f>
        <v>va</v>
      </c>
      <c r="H171" s="139" t="str">
        <f>IF(booking!M171&gt;0,"oc","va")</f>
        <v>va</v>
      </c>
      <c r="I171" s="138" t="str">
        <f>IF(booking!P171&gt;0,"oc","va")</f>
        <v>va</v>
      </c>
      <c r="J171" s="139" t="str">
        <f>IF(booking!Q171&gt;0,"oc","va")</f>
        <v>va</v>
      </c>
      <c r="K171" s="138" t="str">
        <f>IF(booking!T171&gt;0,"oc","va")</f>
        <v>va</v>
      </c>
      <c r="L171" s="139" t="str">
        <f>IF(booking!U171&gt;0,"oc","va")</f>
        <v>va</v>
      </c>
      <c r="M171" s="138" t="str">
        <f>IF(booking!X171&gt;0,"oc","va")</f>
        <v>va</v>
      </c>
      <c r="N171" s="139" t="str">
        <f>IF(booking!Y171&gt;0,"oc","va")</f>
        <v>va</v>
      </c>
    </row>
    <row r="172" spans="1:14" x14ac:dyDescent="0.35">
      <c r="A172" s="5"/>
      <c r="D172" s="19"/>
    </row>
    <row r="173" spans="1:14" x14ac:dyDescent="0.35">
      <c r="A173" s="5"/>
      <c r="D173" s="19"/>
    </row>
    <row r="174" spans="1:14" x14ac:dyDescent="0.35">
      <c r="A174" s="5"/>
      <c r="D174" s="19"/>
    </row>
    <row r="175" spans="1:14" x14ac:dyDescent="0.35">
      <c r="A175" s="5"/>
      <c r="D175" s="19"/>
    </row>
    <row r="176" spans="1:14" x14ac:dyDescent="0.35">
      <c r="A176" s="5"/>
      <c r="D176" s="19"/>
    </row>
    <row r="177" spans="1:4" x14ac:dyDescent="0.35">
      <c r="A177" s="5"/>
      <c r="D177" s="19"/>
    </row>
    <row r="178" spans="1:4" x14ac:dyDescent="0.35">
      <c r="A178" s="5"/>
      <c r="D178" s="19"/>
    </row>
    <row r="179" spans="1:4" x14ac:dyDescent="0.35">
      <c r="A179" s="5"/>
      <c r="D179" s="19"/>
    </row>
    <row r="180" spans="1:4" x14ac:dyDescent="0.35">
      <c r="A180" s="5"/>
      <c r="D180" s="19"/>
    </row>
    <row r="181" spans="1:4" x14ac:dyDescent="0.35">
      <c r="A181" s="5"/>
      <c r="D181" s="19"/>
    </row>
    <row r="182" spans="1:4" x14ac:dyDescent="0.35">
      <c r="A182" s="5"/>
      <c r="D182" s="19"/>
    </row>
    <row r="183" spans="1:4" x14ac:dyDescent="0.35">
      <c r="A183" s="5"/>
      <c r="D183" s="19"/>
    </row>
    <row r="184" spans="1:4" x14ac:dyDescent="0.35">
      <c r="A184" s="5"/>
      <c r="D184" s="19"/>
    </row>
    <row r="185" spans="1:4" x14ac:dyDescent="0.35">
      <c r="A185" s="5"/>
      <c r="D185" s="19"/>
    </row>
    <row r="186" spans="1:4" x14ac:dyDescent="0.35">
      <c r="A186" s="5"/>
      <c r="D186" s="19"/>
    </row>
    <row r="187" spans="1:4" x14ac:dyDescent="0.35">
      <c r="A187" s="5"/>
      <c r="D187" s="19"/>
    </row>
    <row r="188" spans="1:4" x14ac:dyDescent="0.35">
      <c r="A188" s="5"/>
      <c r="D188" s="19"/>
    </row>
    <row r="189" spans="1:4" x14ac:dyDescent="0.35">
      <c r="A189" s="5"/>
      <c r="D189" s="19"/>
    </row>
    <row r="190" spans="1:4" x14ac:dyDescent="0.35">
      <c r="A190" s="5"/>
      <c r="D190" s="19"/>
    </row>
    <row r="191" spans="1:4" x14ac:dyDescent="0.35">
      <c r="A191" s="5"/>
      <c r="D191" s="19"/>
    </row>
    <row r="192" spans="1:4" x14ac:dyDescent="0.35">
      <c r="A192" s="5"/>
      <c r="D192" s="19"/>
    </row>
    <row r="193" spans="1:4" x14ac:dyDescent="0.35">
      <c r="A193" s="5"/>
      <c r="D193" s="19"/>
    </row>
    <row r="194" spans="1:4" x14ac:dyDescent="0.35">
      <c r="A194" s="5"/>
      <c r="D194" s="19"/>
    </row>
    <row r="195" spans="1:4" x14ac:dyDescent="0.35">
      <c r="A195" s="5"/>
      <c r="D195" s="19"/>
    </row>
    <row r="196" spans="1:4" x14ac:dyDescent="0.35">
      <c r="A196" s="5"/>
      <c r="D196" s="19"/>
    </row>
    <row r="197" spans="1:4" x14ac:dyDescent="0.35">
      <c r="A197" s="5"/>
      <c r="D197" s="19"/>
    </row>
    <row r="198" spans="1:4" x14ac:dyDescent="0.35">
      <c r="A198" s="5"/>
      <c r="D198" s="19"/>
    </row>
    <row r="199" spans="1:4" x14ac:dyDescent="0.35">
      <c r="A199" s="5"/>
      <c r="D199" s="19"/>
    </row>
    <row r="200" spans="1:4" x14ac:dyDescent="0.35">
      <c r="A200" s="5"/>
      <c r="D200" s="19"/>
    </row>
  </sheetData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2025-03-10T12:21:07Z</cp:lastPrinted>
  <dcterms:created xsi:type="dcterms:W3CDTF">2024-07-25T07:35:10Z</dcterms:created>
  <dcterms:modified xsi:type="dcterms:W3CDTF">2026-04-29T07:10:56Z</dcterms:modified>
  <cp:category/>
  <cp:contentStatus/>
</cp:coreProperties>
</file>
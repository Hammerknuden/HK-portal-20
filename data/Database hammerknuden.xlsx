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filer/"/>
    </mc:Choice>
  </mc:AlternateContent>
  <xr:revisionPtr revIDLastSave="181" documentId="13_ncr:1_{16C8A723-78F2-4AB0-9E71-4DA5D787A43B}" xr6:coauthVersionLast="47" xr6:coauthVersionMax="47" xr10:uidLastSave="{48646ACE-77E5-44A9-92F1-DCB3E162E44A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2026" sheetId="14" r:id="rId11"/>
    <sheet name="pyt_ma" sheetId="11" r:id="rId12"/>
    <sheet name="pyt_ph" sheetId="12" r:id="rId13"/>
    <sheet name="søge" sheetId="13" r:id="rId14"/>
  </sheets>
  <definedNames>
    <definedName name="_xlnm._FilterDatabase" localSheetId="0" hidden="1">Dtb!$A$1:$N$857</definedName>
    <definedName name="_xlnm._FilterDatabase" localSheetId="12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R90" i="14" l="1"/>
  <c r="R63" i="14"/>
  <c r="U19" i="14"/>
  <c r="U18" i="14"/>
  <c r="U17" i="14"/>
  <c r="U16" i="14"/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Finn Jørgensen</author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  <comment ref="G861" authorId="1" shapeId="0" xr:uid="{BCAE0CB5-5C6D-4E87-BEEA-E66A5ADB50ED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G873" authorId="1" shapeId="0" xr:uid="{E13888B3-0846-4852-B5A7-0928907974C8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F0E7C21D-C7D8-4FBE-A23B-6257D4D82CB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C14771EF-0E78-45D8-84D0-22AB152EAD2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2AC9A3A6-126B-4091-8A79-4E4D7E0E55DB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05330C63-AD53-43AA-88E8-D2316F13120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AD94A413-4F66-4793-B11F-8800DC33A10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sharedStrings.xml><?xml version="1.0" encoding="utf-8"?>
<sst xmlns="http://schemas.openxmlformats.org/spreadsheetml/2006/main" count="11194" uniqueCount="2709">
  <si>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</si>
  <si>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</si>
  <si>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</si>
  <si>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</si>
  <si>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</si>
  <si>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</si>
  <si>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</si>
  <si>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</si>
  <si>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</si>
  <si>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</si>
  <si>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</si>
  <si>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</si>
  <si>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</si>
  <si>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</si>
  <si>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</si>
  <si>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</si>
  <si>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</si>
  <si>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</si>
  <si>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</si>
  <si>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</si>
  <si>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</si>
  <si>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</si>
  <si>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</si>
  <si>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</si>
  <si>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</si>
  <si>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</si>
  <si>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</si>
  <si>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</si>
  <si>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</si>
  <si>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</si>
  <si>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</si>
  <si>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</si>
  <si>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</si>
  <si>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</si>
  <si>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</si>
  <si>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</si>
  <si>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</si>
  <si>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</si>
  <si>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</si>
  <si>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</si>
  <si>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</si>
  <si>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</si>
  <si>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</si>
  <si>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</si>
  <si>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</si>
  <si>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</si>
  <si>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</si>
  <si>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</si>
  <si>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</si>
  <si>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</si>
  <si>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</si>
  <si>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</si>
  <si>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</si>
  <si>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</si>
  <si>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</si>
  <si>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</si>
  <si>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</si>
  <si>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</si>
  <si>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</si>
  <si>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</si>
  <si>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</si>
  <si>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</si>
  <si>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</si>
  <si>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</si>
  <si>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</si>
  <si>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</si>
  <si>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</si>
  <si>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</si>
  <si>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</si>
  <si>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</si>
  <si>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</si>
  <si>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</si>
  <si>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</si>
  <si>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</si>
  <si>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</si>
  <si>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</si>
  <si>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</si>
  <si>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</si>
  <si>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</si>
  <si>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</si>
  <si>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</si>
  <si>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</si>
  <si>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</si>
  <si>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</si>
  <si>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</si>
  <si>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</si>
  <si>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</si>
  <si>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</si>
  <si>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</si>
  <si>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</si>
  <si>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</si>
  <si>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</si>
  <si>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</si>
  <si>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</si>
  <si>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</si>
  <si>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</si>
  <si>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</si>
  <si>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</si>
  <si>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</si>
  <si>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</si>
  <si>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</si>
  <si>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</si>
  <si>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</si>
  <si>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</si>
  <si>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</si>
  <si>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</si>
  <si>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</si>
  <si>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</si>
  <si>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</si>
  <si>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</si>
  <si>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</si>
  <si>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</si>
  <si>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</si>
  <si>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</si>
  <si>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</si>
  <si>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</si>
  <si>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</si>
  <si>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</si>
  <si>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</si>
  <si>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</si>
  <si>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</si>
  <si>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</si>
  <si>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</si>
  <si>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</si>
  <si>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</si>
  <si>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</si>
  <si>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</si>
  <si>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</si>
  <si>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</si>
  <si>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</si>
  <si>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</si>
  <si>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</si>
  <si>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</si>
  <si>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</si>
  <si>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</si>
  <si>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</si>
  <si>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</si>
  <si>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</si>
  <si>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</si>
  <si>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</si>
  <si>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</si>
  <si>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</si>
  <si>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</si>
  <si>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</si>
  <si>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</si>
  <si>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</si>
  <si>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</si>
  <si>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</si>
  <si>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</si>
  <si>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</si>
  <si>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</si>
  <si>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</si>
  <si>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</si>
  <si>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</si>
  <si>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</si>
  <si>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</si>
  <si>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</si>
  <si>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</si>
  <si>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</si>
  <si>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</si>
  <si>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</si>
  <si>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</si>
  <si>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</si>
  <si>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</si>
  <si>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</si>
  <si>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</si>
  <si>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</si>
  <si>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</si>
  <si>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</si>
  <si>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</si>
  <si>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</si>
  <si>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</si>
  <si>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</si>
  <si>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</si>
  <si>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</si>
  <si>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</si>
  <si>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</si>
  <si>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</si>
  <si>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</si>
  <si>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</si>
  <si>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</si>
  <si>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</si>
  <si>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</si>
  <si>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</si>
  <si>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</si>
  <si>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</si>
  <si>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</si>
  <si>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</si>
  <si>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</si>
  <si>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</si>
  <si>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</si>
  <si>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</si>
  <si>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</si>
  <si>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</si>
  <si>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</si>
  <si>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</si>
  <si>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</si>
  <si>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</si>
  <si>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</si>
  <si>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</si>
  <si>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</si>
  <si>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</si>
  <si>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</si>
  <si>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</si>
  <si>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</si>
  <si>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</si>
  <si>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</si>
  <si>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</si>
  <si>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</si>
  <si>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</si>
  <si>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</si>
  <si>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</si>
  <si>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</si>
  <si>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</si>
  <si>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</si>
  <si>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</si>
  <si>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</si>
  <si>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</si>
  <si>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</si>
  <si>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</si>
  <si>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</si>
  <si>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</si>
  <si>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</si>
  <si>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</si>
  <si>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</si>
  <si>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</si>
  <si>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</si>
  <si>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</si>
  <si>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</si>
  <si>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</si>
  <si>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</si>
  <si>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</si>
  <si>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</si>
  <si>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</si>
  <si>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</si>
  <si>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</si>
  <si>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</si>
  <si>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</si>
  <si>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</si>
  <si>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</si>
  <si>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</si>
  <si>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</si>
  <si>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</si>
  <si>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</si>
  <si>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</si>
  <si>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</si>
  <si>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</si>
  <si>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</si>
  <si>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</si>
  <si>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</si>
  <si>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</si>
  <si>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</si>
  <si>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</si>
  <si>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</si>
  <si>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</si>
  <si>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</si>
  <si>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</si>
  <si>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</si>
  <si>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</si>
  <si>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</si>
  <si>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</si>
  <si>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</si>
  <si>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</si>
  <si>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</si>
  <si>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</si>
  <si>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</si>
  <si>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</si>
  <si>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</si>
  <si>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</si>
  <si>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</si>
  <si>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</si>
  <si>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</si>
  <si>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</si>
  <si>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</si>
  <si>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</si>
  <si>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</si>
  <si>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</si>
  <si>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</si>
  <si>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</si>
  <si>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</si>
  <si>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</si>
  <si>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</si>
  <si>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</si>
  <si>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</si>
  <si>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</si>
  <si>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</si>
  <si>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</si>
  <si>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</si>
  <si>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</si>
  <si>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</si>
  <si>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</si>
  <si>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</si>
  <si>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</si>
  <si>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</si>
  <si>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</si>
  <si>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</si>
  <si>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</si>
  <si>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</si>
  <si>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</si>
  <si>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</si>
  <si>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</si>
  <si>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</si>
  <si>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</si>
  <si>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</si>
  <si>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</si>
  <si>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</si>
  <si>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</si>
  <si>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</si>
  <si>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</si>
  <si>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</si>
  <si>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</si>
  <si>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</si>
  <si>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</si>
  <si>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</si>
  <si>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</si>
  <si>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</si>
  <si>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</si>
  <si>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</si>
  <si>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</si>
  <si>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</si>
  <si>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</si>
  <si>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</si>
  <si>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</si>
  <si>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</si>
  <si>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</si>
  <si>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</si>
  <si>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</si>
  <si>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</si>
  <si>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</si>
  <si>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</si>
  <si>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</si>
  <si>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</si>
  <si>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</si>
  <si>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</si>
  <si>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</si>
  <si>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</si>
  <si>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</si>
  <si>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</si>
  <si>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</si>
  <si>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</si>
  <si>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</si>
  <si>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</si>
  <si>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</si>
  <si>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</si>
  <si>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</si>
  <si>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</si>
  <si>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</si>
  <si>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</si>
  <si>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</si>
  <si>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</si>
  <si>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</si>
  <si>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</si>
  <si>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</si>
  <si>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</si>
  <si>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</si>
  <si>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</si>
  <si>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</si>
  <si>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</si>
  <si>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</si>
  <si>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</si>
  <si>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</si>
  <si>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</si>
  <si>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</si>
  <si>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</si>
  <si>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</si>
  <si>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</si>
  <si>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</si>
  <si>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</si>
  <si>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</si>
  <si>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</si>
  <si>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</si>
  <si>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</si>
  <si>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</si>
  <si>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</si>
  <si>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</si>
  <si>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</si>
  <si>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</si>
  <si>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</si>
  <si>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</si>
  <si>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</si>
  <si>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</si>
  <si>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</si>
  <si>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</si>
  <si>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</si>
  <si>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</si>
  <si>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</si>
  <si>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</si>
  <si>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</si>
  <si>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</si>
  <si>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</si>
  <si>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</si>
  <si>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</si>
  <si>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</si>
  <si>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</si>
  <si>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</si>
  <si>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</si>
  <si>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</si>
  <si>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</si>
  <si>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</si>
  <si>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</si>
  <si>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</si>
  <si>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</si>
  <si>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</si>
  <si>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</si>
  <si>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</si>
  <si>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</si>
  <si>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</si>
  <si>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</si>
  <si>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</si>
  <si>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</si>
  <si>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</si>
  <si>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</si>
  <si>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</si>
  <si>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</si>
  <si>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</si>
  <si>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</si>
  <si>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</si>
  <si>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</si>
  <si>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</si>
  <si>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</si>
  <si>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</si>
  <si>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</si>
  <si>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</si>
  <si>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</si>
  <si>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</si>
  <si>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</si>
  <si>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</si>
  <si>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</si>
  <si>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</si>
  <si>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</si>
  <si>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</si>
  <si>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</si>
  <si>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</si>
  <si>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</si>
  <si>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</si>
  <si>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</si>
  <si>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</si>
  <si>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</si>
  <si>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</si>
  <si>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</si>
  <si>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</si>
  <si>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</si>
  <si>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</si>
  <si>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</si>
  <si>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</si>
  <si>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</si>
  <si>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</si>
  <si>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</si>
  <si>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</si>
  <si>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</si>
  <si>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</si>
  <si>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</si>
  <si>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</si>
  <si>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</si>
  <si>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</si>
  <si>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</si>
  <si>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</si>
  <si>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</si>
  <si>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</si>
  <si>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</si>
  <si>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</si>
  <si>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</si>
  <si>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</si>
  <si>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</si>
  <si>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</si>
  <si>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</si>
  <si>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</si>
  <si>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</si>
  <si>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</si>
  <si>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</si>
  <si>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</si>
  <si>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</si>
  <si>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</si>
  <si>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</si>
  <si>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</si>
  <si>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</si>
  <si>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</si>
  <si>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</si>
  <si>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</si>
  <si>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</si>
  <si>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</si>
  <si>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</si>
  <si>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</si>
  <si>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</si>
  <si>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</si>
  <si>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</si>
  <si>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</si>
  <si>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</si>
  <si>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</si>
  <si>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</si>
  <si>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</si>
  <si>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</si>
  <si>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</si>
  <si>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</si>
  <si>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</si>
  <si>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</si>
  <si>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</si>
  <si>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</si>
  <si>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</si>
  <si>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</si>
  <si>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</si>
  <si>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</si>
  <si>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</si>
  <si>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</si>
  <si>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</si>
  <si>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</si>
  <si>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</si>
  <si>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</si>
  <si>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</si>
  <si>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</si>
  <si>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</si>
  <si>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</si>
  <si>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</si>
  <si>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</si>
  <si>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</si>
  <si>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</si>
  <si>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</si>
  <si>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</si>
  <si>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</si>
  <si>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</si>
  <si>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</si>
  <si>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</si>
  <si>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</si>
  <si>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</si>
  <si>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</si>
  <si>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</si>
  <si>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</si>
  <si>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</si>
  <si>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</si>
  <si>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</si>
  <si>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</si>
  <si>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</si>
  <si>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</si>
  <si>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</si>
  <si>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</si>
  <si>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</si>
  <si>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</si>
  <si>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</si>
  <si>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</si>
  <si>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</si>
  <si>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</si>
  <si>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</si>
  <si>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</si>
  <si>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</si>
  <si>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</si>
  <si>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</si>
  <si>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</si>
  <si>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</si>
  <si>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</si>
  <si>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</si>
  <si>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</si>
  <si>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</si>
  <si>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</si>
  <si>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</si>
  <si>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</si>
  <si>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</si>
  <si>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</si>
  <si>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</si>
  <si>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</si>
  <si>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</si>
  <si>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</si>
  <si>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</si>
  <si>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</si>
  <si>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</si>
  <si>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</si>
  <si>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</si>
  <si>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</si>
  <si>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</si>
  <si>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</si>
  <si>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</si>
  <si>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</si>
  <si>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</si>
  <si>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</si>
  <si>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</si>
  <si>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</si>
  <si>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</si>
  <si>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</si>
  <si>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</si>
  <si>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</si>
  <si>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</si>
  <si>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</si>
  <si>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</si>
  <si>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</si>
  <si>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</si>
  <si>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</si>
  <si>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</si>
  <si>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</si>
  <si>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</si>
  <si>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</si>
  <si>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</si>
  <si>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</si>
  <si>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</si>
  <si>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</si>
  <si>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</si>
  <si>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</si>
  <si>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</si>
  <si>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</si>
  <si>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</si>
  <si>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</si>
  <si>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</si>
  <si>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</si>
  <si>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</si>
  <si>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</si>
  <si>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</si>
  <si>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</si>
  <si>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</si>
  <si>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</si>
  <si>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</si>
  <si>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</si>
  <si>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</si>
  <si>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</si>
  <si>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</si>
  <si>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</si>
  <si>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</si>
  <si>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</si>
  <si>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</si>
  <si>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</si>
  <si>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</si>
  <si>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</si>
  <si>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</si>
  <si>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</si>
  <si>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</si>
  <si>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</si>
  <si>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</si>
  <si>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</si>
  <si>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</si>
  <si>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</si>
  <si>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</si>
  <si>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</si>
  <si>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</si>
  <si>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</si>
  <si>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</si>
  <si>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</si>
  <si>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</si>
  <si>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</si>
  <si>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</si>
  <si>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</si>
  <si>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</si>
  <si>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</si>
  <si>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</si>
  <si>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</si>
  <si>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</si>
  <si>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</si>
  <si>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</si>
  <si>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</si>
  <si>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</si>
  <si>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</si>
  <si>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</si>
  <si>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</si>
  <si>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</si>
  <si>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</si>
  <si>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</si>
  <si>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</si>
  <si>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</si>
  <si>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</si>
  <si>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</si>
  <si>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</si>
  <si>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</si>
  <si>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</si>
  <si>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</si>
  <si>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</si>
  <si>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</si>
  <si>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</si>
  <si>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</si>
  <si>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</si>
  <si>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</si>
  <si>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</si>
  <si>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</si>
  <si>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</si>
  <si>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</si>
  <si>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</si>
  <si>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</si>
  <si>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</si>
  <si>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</si>
  <si>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</si>
  <si>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</si>
  <si>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</si>
  <si>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</si>
  <si>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</si>
  <si>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</si>
  <si>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</si>
  <si>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</si>
  <si>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</si>
  <si>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</si>
  <si>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</si>
  <si>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</si>
  <si>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</si>
  <si>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</si>
  <si>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</si>
  <si>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</si>
  <si>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</si>
  <si>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</si>
  <si>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</si>
  <si>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</si>
  <si>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</si>
  <si>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</si>
  <si>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</si>
  <si>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</si>
  <si>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</si>
  <si>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</si>
  <si>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</si>
  <si>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</si>
  <si>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</si>
  <si>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</si>
  <si>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</si>
  <si>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</si>
  <si>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</si>
  <si>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</si>
  <si>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</si>
  <si>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</si>
  <si>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</si>
  <si>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</si>
  <si>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</si>
  <si>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</si>
  <si>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</si>
  <si>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</si>
  <si>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</si>
  <si>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</si>
  <si>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</si>
  <si>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</si>
  <si>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</si>
  <si>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</si>
  <si>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</si>
  <si>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</si>
  <si>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</si>
  <si>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</si>
  <si>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</si>
  <si>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</si>
  <si>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</si>
  <si>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</si>
  <si>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</si>
  <si>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</si>
  <si>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</si>
  <si>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</si>
  <si>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</si>
  <si>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</si>
  <si>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</si>
  <si>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</si>
  <si>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</si>
  <si>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</si>
  <si>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</si>
  <si>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</si>
  <si>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</si>
  <si>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</si>
  <si>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</si>
  <si>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</si>
  <si>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</si>
  <si>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</si>
  <si>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</si>
  <si>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</si>
  <si>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</si>
  <si>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</si>
  <si>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</si>
  <si>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</si>
  <si>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</si>
  <si>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</si>
  <si>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</si>
  <si>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</si>
  <si>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</si>
  <si>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</si>
  <si>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</si>
  <si>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</si>
  <si>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</si>
  <si>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</si>
  <si>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</si>
  <si>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</si>
  <si>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</si>
  <si>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</si>
  <si>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</si>
  <si>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</si>
  <si>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</si>
  <si>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</si>
  <si>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</si>
  <si>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</si>
  <si>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</si>
  <si>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</si>
  <si>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</si>
  <si>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</si>
  <si>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</si>
  <si>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</si>
  <si>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</si>
  <si>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</si>
  <si>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</si>
  <si>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</si>
  <si>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</si>
  <si>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</si>
  <si>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</si>
  <si>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</si>
  <si>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</si>
  <si>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</si>
  <si>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</si>
  <si>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</si>
  <si>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</si>
  <si>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</si>
  <si>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</si>
  <si>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</si>
  <si>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</si>
  <si>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</si>
  <si>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</si>
  <si>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</si>
  <si>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</si>
  <si>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</si>
  <si>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</si>
  <si>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</si>
  <si>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</si>
  <si>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</si>
  <si>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</si>
  <si>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</si>
  <si>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</si>
  <si>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</si>
  <si>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</si>
  <si>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</si>
  <si>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</si>
  <si>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</si>
  <si>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</si>
  <si>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</si>
  <si>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</si>
  <si>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</si>
  <si>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</si>
  <si>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</si>
  <si>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</si>
  <si>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</si>
  <si>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</si>
  <si>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</si>
  <si>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</si>
  <si>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</si>
  <si>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</si>
  <si>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</si>
  <si>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</si>
  <si>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</si>
  <si>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</si>
  <si>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</si>
  <si>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</si>
  <si>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</si>
  <si>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</si>
  <si>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</si>
  <si>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</si>
  <si>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</si>
  <si>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</si>
  <si>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</si>
  <si>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</si>
  <si>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</si>
  <si>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</si>
  <si>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</si>
  <si>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</si>
  <si>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</si>
  <si>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</si>
  <si>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</si>
  <si>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</si>
  <si>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</si>
  <si>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</si>
  <si>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</si>
  <si>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</si>
  <si>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</si>
  <si>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</si>
  <si>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</si>
  <si>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</si>
  <si>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</si>
  <si>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</si>
  <si>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</si>
  <si>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</si>
  <si>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</si>
  <si>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</si>
  <si>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</si>
  <si>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</si>
  <si>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</si>
  <si>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</si>
  <si>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</si>
  <si>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</si>
  <si>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</si>
  <si>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</si>
  <si>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</si>
  <si>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</si>
  <si>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</si>
  <si>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</si>
  <si>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</si>
  <si>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</si>
  <si>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</si>
  <si>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</si>
  <si>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</si>
  <si>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</si>
  <si>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</si>
  <si>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</si>
  <si>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</si>
  <si>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</si>
  <si>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</si>
  <si>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</si>
  <si>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</si>
  <si>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</si>
  <si>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</si>
  <si>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</si>
  <si>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</si>
  <si>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</si>
  <si>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</si>
  <si>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</si>
  <si>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</si>
  <si>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</si>
  <si>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</si>
  <si>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</si>
  <si>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</si>
  <si>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</si>
  <si>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</si>
  <si>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</si>
  <si>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</si>
  <si>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</si>
  <si>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</si>
  <si>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</si>
  <si>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</si>
  <si>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</si>
  <si>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</si>
  <si>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</si>
  <si>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</si>
  <si>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</si>
  <si>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</si>
  <si>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</si>
  <si>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</si>
  <si>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</si>
  <si>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</si>
  <si>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</si>
  <si>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</si>
  <si>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</si>
  <si>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</si>
  <si>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</si>
  <si>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</si>
  <si>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</si>
  <si>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</si>
  <si>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</si>
  <si>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</si>
  <si>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</si>
  <si>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</si>
  <si>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</si>
  <si>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</si>
  <si>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</si>
  <si>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</si>
  <si>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</si>
  <si>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</si>
  <si>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</si>
  <si>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</si>
  <si>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</si>
  <si>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</si>
  <si>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</si>
  <si>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</si>
  <si>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</si>
  <si>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</si>
  <si>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</si>
  <si>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</si>
  <si>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</si>
  <si>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</si>
  <si>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</si>
  <si>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</si>
  <si>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</si>
  <si>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</si>
  <si>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</si>
  <si>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</si>
  <si>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</si>
  <si>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</si>
  <si>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</si>
  <si>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</si>
  <si>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</si>
  <si>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</si>
  <si>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</si>
  <si>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</si>
  <si>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</si>
  <si>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</si>
  <si>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</si>
  <si>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</si>
  <si>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</si>
  <si>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</si>
  <si>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</si>
  <si>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</si>
  <si>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</si>
  <si>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</si>
  <si>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</si>
  <si>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</si>
  <si>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</si>
  <si>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</si>
  <si>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</si>
  <si>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</si>
  <si>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</si>
  <si>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</si>
  <si>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</si>
  <si>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</si>
  <si>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</si>
  <si>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</si>
  <si>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</si>
  <si>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</si>
  <si>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</si>
  <si>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</si>
  <si>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</si>
  <si>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</si>
  <si>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</si>
  <si>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</si>
  <si>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</si>
  <si>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</si>
  <si>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</si>
  <si>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</si>
  <si>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</si>
  <si>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</si>
  <si>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</si>
  <si>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</si>
  <si>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</si>
  <si>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</si>
  <si>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</si>
  <si>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</si>
  <si>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</si>
  <si>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</si>
  <si>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</si>
  <si>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</si>
  <si>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</si>
  <si>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</si>
  <si>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</si>
  <si>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</si>
  <si>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</si>
  <si>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</si>
  <si>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</si>
  <si>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</si>
  <si>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</si>
  <si>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</si>
  <si>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</si>
  <si>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</si>
  <si>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</si>
  <si>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</si>
  <si>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</si>
  <si>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</si>
  <si>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</si>
  <si>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</si>
  <si>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</si>
  <si>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</si>
  <si>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</si>
  <si>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</si>
  <si>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</si>
  <si>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</si>
  <si>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</si>
  <si>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</si>
  <si>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</si>
  <si>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</si>
  <si>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</si>
  <si>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</si>
  <si>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</si>
  <si>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</si>
  <si>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</si>
  <si>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</si>
  <si>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</si>
  <si>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</si>
  <si>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</si>
  <si>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</si>
  <si>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</si>
  <si>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</si>
  <si>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</si>
  <si>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</si>
  <si>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</si>
  <si>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</si>
  <si>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</si>
  <si>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</si>
  <si>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</si>
  <si>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</si>
  <si>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</si>
  <si>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</si>
  <si>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</si>
  <si>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</si>
  <si>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</si>
  <si>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</si>
  <si>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</si>
  <si>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</si>
  <si>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</si>
  <si>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</si>
  <si>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</si>
  <si>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</si>
  <si>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</si>
  <si>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</si>
  <si>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</si>
  <si>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</si>
  <si>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</si>
  <si>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</si>
  <si>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</si>
  <si>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</si>
  <si>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</si>
  <si>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</si>
  <si>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</si>
  <si>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</si>
  <si>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</si>
  <si>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</si>
  <si>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</si>
  <si>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</si>
  <si>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</si>
  <si>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</si>
  <si>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</si>
  <si>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</si>
  <si>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</si>
  <si>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</si>
  <si>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</si>
  <si>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</si>
  <si>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</si>
  <si>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</si>
  <si>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</si>
  <si>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</si>
  <si>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</si>
  <si>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</si>
  <si>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</si>
  <si>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</si>
  <si>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</si>
  <si>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</si>
  <si>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</si>
  <si>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</si>
  <si>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</si>
  <si>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</si>
  <si>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</si>
  <si>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</si>
  <si>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</si>
  <si>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</si>
  <si>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</si>
  <si>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</si>
  <si>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</si>
  <si>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</si>
  <si>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</si>
  <si>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</si>
  <si>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</si>
  <si>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</si>
  <si>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</si>
  <si>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</si>
  <si>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</si>
  <si>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</si>
  <si>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</si>
  <si>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</si>
  <si>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</si>
  <si>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</si>
  <si>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</si>
  <si>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</si>
  <si>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</si>
  <si>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</si>
  <si>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</si>
  <si>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</si>
  <si>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</si>
  <si>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</si>
  <si>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</si>
  <si>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</si>
  <si>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</si>
  <si>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</si>
  <si>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</si>
  <si>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</si>
  <si>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</si>
  <si>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</si>
  <si>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</si>
  <si>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</si>
  <si>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</si>
  <si>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</si>
  <si>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</si>
  <si>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</si>
  <si>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</si>
  <si>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</si>
  <si>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</si>
  <si>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</si>
  <si>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</si>
  <si>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</si>
  <si>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</si>
  <si>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</si>
  <si>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</si>
  <si>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</si>
  <si>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</si>
  <si>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</si>
  <si>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</si>
  <si>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</si>
  <si>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</si>
  <si>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</si>
  <si>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</si>
  <si>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</si>
  <si>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</si>
  <si>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</si>
  <si>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</si>
  <si>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</si>
  <si>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</si>
  <si>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</si>
  <si>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</si>
  <si>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</si>
  <si>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</si>
  <si>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</si>
  <si>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</si>
  <si>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</si>
  <si>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</si>
  <si>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</si>
  <si>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</si>
  <si>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</si>
  <si>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</si>
  <si>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</si>
  <si>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</si>
  <si>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</si>
  <si>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</si>
  <si>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</si>
  <si>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</si>
  <si>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</si>
  <si>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</si>
  <si>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</si>
  <si>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</si>
  <si>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</si>
  <si>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</si>
  <si>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</si>
  <si>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</si>
  <si>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</si>
  <si>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</si>
  <si>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</si>
  <si>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</si>
  <si>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</si>
  <si>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</si>
  <si>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</si>
  <si>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</si>
  <si>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</si>
  <si>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</si>
  <si>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</si>
  <si>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</si>
  <si>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</si>
  <si>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</si>
  <si>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</si>
  <si>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</si>
  <si>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</si>
  <si>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</si>
  <si>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</si>
  <si>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</si>
  <si>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</si>
  <si>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</si>
  <si>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</si>
  <si>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</si>
  <si>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</si>
  <si>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</si>
  <si>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</si>
  <si>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</si>
  <si>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</si>
  <si>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</si>
  <si>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</si>
  <si>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</si>
  <si>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</si>
  <si>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</si>
  <si>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</si>
  <si>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</si>
  <si>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</si>
  <si>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</si>
  <si>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</si>
  <si>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</si>
  <si>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</si>
  <si>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</si>
  <si>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</si>
  <si>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</si>
  <si>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</si>
  <si>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</si>
  <si>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</si>
  <si>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</si>
  <si>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</si>
  <si>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</si>
  <si>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</si>
  <si>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</si>
  <si>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</si>
  <si>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</si>
  <si>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</si>
  <si>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</si>
  <si>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</si>
  <si>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</si>
  <si>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</si>
  <si>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</si>
  <si>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</si>
  <si>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</si>
  <si>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</si>
  <si>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</si>
  <si>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</si>
  <si>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</si>
  <si>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</si>
  <si>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</si>
  <si>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</si>
  <si>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</si>
  <si>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</si>
  <si>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</si>
  <si>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</si>
  <si>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</si>
  <si>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</si>
  <si>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</si>
  <si>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</si>
  <si>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</si>
  <si>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</si>
  <si>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</si>
  <si>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</si>
  <si>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</si>
  <si>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</si>
  <si>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</si>
  <si>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</si>
  <si>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</si>
  <si>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</si>
  <si>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</si>
  <si>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</si>
  <si>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</si>
  <si>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</si>
  <si>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</si>
  <si>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</si>
  <si>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</si>
  <si>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</si>
  <si>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</si>
  <si>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</si>
  <si>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</si>
  <si>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</si>
  <si>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</si>
  <si>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</si>
  <si>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</si>
  <si>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</si>
  <si>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</si>
  <si>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</si>
  <si>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</si>
  <si>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</si>
  <si>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</si>
  <si>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</si>
  <si>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</si>
  <si>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</si>
  <si>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</si>
  <si>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</si>
  <si>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</si>
  <si>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</si>
  <si>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</si>
  <si>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</si>
  <si>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</si>
  <si>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</si>
  <si>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</si>
  <si>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</si>
  <si>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</si>
  <si>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</si>
  <si>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</si>
  <si>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</si>
  <si>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</si>
  <si>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</si>
  <si>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</si>
  <si>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</si>
  <si>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</si>
  <si>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</si>
  <si>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</si>
  <si>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</si>
  <si>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</si>
  <si>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</si>
  <si>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</si>
  <si>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</si>
  <si>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</si>
  <si>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</si>
  <si>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</si>
  <si>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</si>
  <si>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</si>
  <si>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</si>
  <si>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</si>
  <si>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</si>
  <si>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</si>
  <si>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</si>
  <si>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</si>
  <si>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</si>
  <si>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</si>
  <si>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</si>
  <si>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</si>
  <si>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</si>
  <si>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</si>
  <si>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</si>
  <si>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</si>
  <si>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</si>
  <si>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</si>
  <si>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</si>
  <si>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</si>
  <si>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</si>
  <si>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</si>
  <si>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</si>
  <si>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</si>
  <si>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</si>
  <si>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</si>
  <si>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</si>
  <si>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</si>
  <si>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</si>
  <si>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</si>
  <si>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</si>
  <si>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</si>
  <si>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</si>
  <si>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</si>
  <si>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</si>
  <si>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</si>
  <si>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</si>
  <si>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</si>
  <si>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</si>
  <si>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</si>
  <si>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</si>
  <si>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</si>
  <si>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</si>
  <si>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</si>
  <si>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</si>
  <si>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</si>
  <si>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</si>
  <si>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</si>
  <si>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</si>
  <si>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</si>
  <si>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</si>
  <si>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</si>
  <si>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</si>
  <si>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</si>
  <si>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</si>
  <si>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</si>
  <si>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</si>
  <si>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</si>
  <si>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</si>
  <si>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</si>
  <si>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</si>
  <si>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</si>
  <si>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</si>
  <si>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</si>
  <si>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</si>
  <si>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</si>
  <si>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</si>
  <si>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</si>
  <si>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</si>
  <si>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</si>
  <si>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</si>
  <si>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</si>
  <si>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</si>
  <si>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</si>
  <si>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</si>
  <si>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</si>
  <si>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</si>
  <si>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</si>
  <si>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</si>
  <si>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</si>
  <si>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</si>
  <si>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</si>
  <si>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</si>
  <si>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</si>
  <si>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</si>
  <si>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</si>
  <si>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</si>
  <si>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</si>
  <si>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</si>
  <si>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</si>
  <si>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</si>
  <si>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</si>
  <si>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</si>
  <si>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</si>
  <si>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</si>
  <si>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</si>
  <si>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</si>
  <si>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</si>
  <si>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</si>
  <si>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</si>
  <si>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</si>
  <si>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</si>
  <si>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</si>
  <si>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</si>
  <si>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</si>
  <si>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</si>
  <si>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</si>
  <si>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</si>
  <si>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</si>
  <si>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</si>
  <si>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</si>
  <si>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</si>
  <si>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</si>
  <si>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</si>
  <si>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</si>
  <si>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</si>
  <si>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</si>
  <si>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</si>
  <si>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</si>
  <si>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</si>
  <si>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</si>
  <si>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</si>
  <si>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</si>
  <si>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</si>
  <si>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</si>
  <si>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</si>
  <si>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</si>
  <si>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</si>
  <si>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</si>
  <si>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</si>
  <si>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</si>
  <si>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</si>
  <si>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</si>
  <si>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</si>
  <si>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</si>
  <si>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</si>
  <si>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</si>
  <si>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</si>
  <si>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</si>
  <si>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</si>
  <si>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</si>
  <si>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</si>
  <si>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</si>
  <si>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</si>
  <si>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</si>
  <si>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</si>
  <si>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</si>
  <si>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</si>
  <si>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</si>
  <si>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</si>
  <si>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</si>
  <si>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</si>
  <si>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</si>
  <si>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</si>
  <si>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</si>
  <si>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</si>
  <si>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</si>
  <si>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</si>
  <si>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</si>
  <si>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</si>
  <si>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</si>
  <si>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</si>
  <si>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</si>
  <si>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</si>
  <si>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</si>
  <si>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</si>
  <si>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</si>
  <si>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</si>
  <si>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</si>
  <si>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</si>
  <si>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</si>
  <si>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</si>
  <si>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</si>
  <si>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</si>
  <si>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</si>
  <si>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</si>
  <si>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</si>
  <si>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</si>
  <si>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</si>
  <si>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</si>
  <si>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</si>
  <si>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</si>
  <si>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</si>
  <si>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</si>
  <si>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</si>
  <si>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</si>
  <si>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</si>
  <si>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</si>
  <si>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</si>
  <si>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</si>
  <si>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</si>
  <si>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</si>
  <si>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</si>
  <si>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</si>
  <si>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</si>
  <si>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</si>
  <si>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</si>
  <si>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</si>
  <si>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</si>
  <si>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</si>
  <si>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</si>
  <si>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</si>
  <si>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</si>
  <si>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</si>
  <si>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</si>
  <si>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</si>
  <si>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</si>
  <si>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</si>
  <si>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</si>
  <si>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</si>
  <si>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</si>
  <si>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</si>
  <si>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</si>
  <si>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</si>
  <si>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</si>
  <si>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</si>
  <si>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</si>
  <si>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</si>
  <si>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</si>
  <si>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</si>
  <si>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</si>
  <si>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</si>
  <si>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</si>
  <si>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</si>
  <si>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</si>
  <si>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</si>
  <si>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</si>
  <si>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</si>
  <si>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</si>
  <si>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</si>
  <si>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</si>
  <si>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</si>
  <si>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</si>
  <si>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</si>
  <si>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</si>
  <si>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</si>
  <si>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</si>
  <si>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</si>
  <si>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</si>
  <si>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</si>
  <si>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</si>
  <si>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</si>
  <si>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</si>
  <si>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</si>
  <si>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</si>
  <si>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</si>
  <si>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</si>
  <si>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</si>
  <si>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</si>
  <si>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</si>
  <si>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</si>
  <si>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</si>
  <si>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</si>
  <si>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</si>
  <si>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</si>
  <si>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</si>
  <si>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</si>
  <si>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</si>
  <si>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</si>
  <si>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</si>
  <si>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</si>
  <si>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</si>
  <si>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</si>
  <si>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</si>
  <si>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</si>
  <si>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</si>
  <si>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</si>
  <si>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</si>
  <si>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</si>
  <si>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</si>
  <si>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</si>
  <si>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</si>
  <si>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</si>
  <si>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</si>
  <si>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</si>
  <si>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</si>
  <si>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</si>
  <si>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</si>
  <si>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</si>
  <si>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</si>
  <si>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</si>
  <si>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</si>
  <si>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</si>
  <si>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</si>
  <si>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</si>
  <si>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</si>
  <si>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</si>
  <si>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</si>
  <si>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</si>
  <si>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</si>
  <si>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</si>
  <si>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</si>
  <si>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</si>
  <si>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</si>
  <si>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</si>
  <si>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</si>
  <si>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</si>
  <si>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</si>
  <si>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</si>
  <si>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</si>
  <si>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</si>
  <si>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</si>
  <si>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</si>
  <si>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</si>
  <si>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</si>
  <si>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</si>
  <si>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</si>
  <si>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</si>
  <si>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</si>
  <si>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</si>
  <si>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</si>
  <si>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</si>
  <si>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</si>
  <si>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</si>
  <si>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</si>
  <si>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</si>
  <si>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</si>
  <si>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</si>
  <si>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</si>
  <si>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</si>
  <si>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</si>
  <si>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</si>
  <si>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</si>
  <si>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</si>
  <si>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</si>
  <si>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</si>
  <si>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</si>
  <si>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</si>
  <si>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</si>
  <si>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</si>
  <si>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</si>
  <si>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</si>
  <si>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</si>
  <si>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</si>
  <si>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</si>
  <si>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</si>
  <si>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</si>
  <si>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</si>
  <si>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</si>
  <si>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</si>
  <si>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</si>
  <si>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</si>
  <si>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</si>
  <si>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</si>
  <si>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</si>
  <si>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</si>
  <si>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</si>
  <si>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</si>
  <si>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</si>
  <si>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</si>
  <si>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</si>
  <si>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</si>
  <si>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</si>
  <si>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</si>
  <si>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</si>
  <si>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</si>
  <si>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</si>
  <si>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</si>
  <si>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</si>
  <si>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</si>
  <si>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</si>
  <si>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</si>
  <si>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</si>
  <si>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</si>
  <si>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</si>
  <si>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</si>
  <si>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</si>
  <si>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</si>
  <si>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</si>
  <si>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</si>
  <si>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</si>
  <si>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</si>
  <si>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</si>
  <si>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</si>
  <si>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</si>
  <si>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</si>
  <si>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</si>
  <si>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</si>
  <si>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</si>
  <si>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</si>
  <si>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</si>
  <si>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</si>
  <si>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</si>
  <si>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</si>
  <si>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</si>
  <si>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</si>
  <si>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</si>
  <si>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</si>
  <si>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</si>
  <si>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</si>
  <si>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</si>
  <si>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</si>
  <si>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</si>
  <si>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</si>
  <si>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</si>
  <si>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</si>
  <si>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</si>
  <si>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</si>
  <si>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</si>
  <si>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</si>
  <si>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</si>
  <si>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</si>
  <si>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</si>
  <si>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</si>
  <si>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</si>
  <si>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</si>
  <si>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</si>
  <si>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</si>
  <si>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</si>
  <si>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</si>
  <si>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</si>
  <si>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</si>
  <si>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</si>
  <si>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</si>
  <si>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</si>
  <si>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</si>
  <si>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</si>
  <si>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</si>
  <si>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</si>
  <si>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</si>
  <si>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</si>
  <si>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</si>
  <si>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</si>
  <si>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</si>
  <si>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</si>
  <si>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</si>
  <si>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</si>
  <si>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</si>
  <si>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</si>
  <si>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</si>
  <si>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</si>
  <si>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</si>
  <si>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</si>
  <si>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</si>
  <si>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</si>
  <si>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</si>
  <si>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</si>
  <si>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</si>
  <si>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</si>
  <si>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</si>
  <si>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</si>
  <si>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</si>
  <si>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</si>
  <si>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</si>
  <si>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</si>
  <si>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</si>
  <si>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</si>
  <si>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</si>
  <si>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</si>
  <si>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</si>
  <si>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</si>
  <si>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</si>
  <si>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</si>
  <si>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</si>
  <si>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</si>
  <si>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</si>
  <si>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</si>
  <si>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</si>
  <si>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</si>
  <si>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</si>
  <si>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</si>
  <si>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</si>
  <si>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</si>
  <si>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</si>
  <si>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</si>
  <si>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</si>
  <si>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</si>
  <si>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</si>
  <si>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</si>
  <si>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</si>
  <si>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</si>
  <si>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</si>
  <si>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</si>
  <si>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</si>
  <si>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</si>
  <si>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</si>
  <si>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</si>
  <si>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</si>
  <si>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</si>
  <si>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</si>
  <si>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</si>
  <si>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</si>
  <si>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</si>
  <si>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</si>
  <si>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</si>
  <si>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</si>
  <si>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</si>
  <si>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</si>
  <si>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</si>
  <si>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</si>
  <si>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</si>
  <si>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</si>
  <si>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</si>
  <si>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</si>
  <si>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</si>
  <si>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</si>
  <si>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</si>
  <si>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</si>
  <si>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</si>
  <si>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</si>
  <si>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</si>
  <si>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</si>
  <si>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</si>
  <si>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</si>
  <si>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</si>
  <si>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</si>
  <si>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</si>
  <si>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</si>
  <si>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</si>
  <si>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</si>
  <si>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</si>
  <si>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</si>
  <si>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</si>
  <si>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</si>
  <si>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</si>
  <si>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</si>
  <si>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</si>
  <si>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</si>
  <si>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</si>
  <si>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</si>
  <si>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</si>
  <si>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</si>
  <si>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</si>
  <si>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</si>
  <si>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</si>
  <si>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</si>
  <si>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</si>
  <si>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</si>
  <si>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</si>
  <si>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</si>
  <si>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</si>
  <si>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</si>
  <si>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</si>
  <si>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</si>
  <si>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</si>
  <si>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</si>
  <si>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</si>
  <si>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</si>
  <si>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</si>
  <si>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</si>
  <si>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</si>
  <si>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</si>
  <si>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</si>
  <si>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</si>
  <si>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</si>
  <si>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</si>
  <si>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</si>
  <si>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</si>
  <si>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</si>
  <si>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</si>
  <si>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</si>
  <si>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</si>
  <si>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</si>
  <si>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</si>
  <si>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</si>
  <si>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</si>
  <si>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</si>
  <si>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</si>
  <si>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</si>
  <si>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</si>
  <si>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</si>
  <si>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</si>
  <si>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</si>
  <si>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</si>
  <si>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</si>
  <si>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</si>
  <si>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</si>
  <si>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</si>
  <si>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</si>
  <si>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</si>
  <si>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</si>
  <si>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</si>
  <si>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</si>
  <si>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</si>
  <si>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</si>
  <si>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</si>
  <si>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</si>
  <si>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</si>
  <si>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</si>
  <si>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</si>
  <si>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</si>
  <si>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</si>
  <si>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</si>
  <si>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</si>
  <si>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</si>
  <si>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</si>
  <si>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</si>
  <si>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</si>
  <si>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</si>
  <si>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</si>
  <si>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</si>
  <si>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</si>
  <si>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</si>
  <si>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</si>
  <si>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</si>
  <si>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</si>
  <si>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</si>
  <si>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</si>
  <si>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</si>
  <si>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</si>
  <si>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</si>
  <si>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</si>
  <si>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</si>
  <si>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</si>
  <si>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</si>
  <si>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</si>
  <si>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</si>
  <si>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</si>
  <si>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</si>
  <si>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</si>
  <si>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</si>
  <si>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</si>
  <si>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</si>
  <si>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</si>
  <si>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</si>
  <si>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</si>
  <si>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</si>
  <si>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</si>
  <si>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</si>
  <si>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</si>
  <si>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</si>
  <si>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</si>
  <si>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</si>
  <si>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</si>
  <si>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</si>
  <si>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</si>
  <si>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</si>
  <si>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</si>
  <si>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</si>
  <si>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</si>
  <si>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</si>
  <si>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</si>
  <si>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</si>
  <si>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</si>
  <si>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</si>
  <si>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</si>
  <si>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</si>
  <si>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</si>
  <si>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</si>
  <si>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</si>
  <si>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</si>
  <si>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</si>
  <si>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</si>
  <si>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</si>
  <si>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</si>
  <si>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</si>
  <si>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</si>
  <si>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</si>
  <si>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</si>
  <si>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</si>
  <si>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</si>
  <si>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</si>
  <si>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</si>
  <si>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</si>
  <si>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</si>
  <si>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</si>
  <si>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</si>
  <si>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</si>
  <si>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</si>
  <si>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</si>
  <si>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</si>
  <si>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</si>
  <si>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</si>
  <si>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</si>
  <si>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</si>
  <si>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</si>
  <si>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</si>
  <si>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</si>
  <si>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</si>
  <si>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</si>
  <si>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</si>
  <si>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</si>
  <si>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</si>
  <si>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</si>
  <si>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</si>
  <si>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</si>
  <si>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</si>
  <si>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</si>
  <si>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</si>
  <si>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</si>
  <si>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</si>
  <si>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</si>
  <si>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</si>
  <si>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</si>
  <si>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</si>
  <si>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</si>
  <si>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</si>
  <si>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</si>
  <si>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</si>
  <si>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</si>
  <si>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</si>
  <si>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</si>
  <si>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</si>
  <si>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</si>
  <si>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</si>
  <si>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</si>
  <si>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</si>
  <si>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</si>
  <si>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</si>
  <si>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</si>
  <si>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</si>
  <si>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</si>
  <si>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</si>
  <si>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</si>
  <si>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</si>
  <si>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</si>
  <si>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</si>
  <si>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</si>
  <si>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</si>
  <si>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</si>
  <si>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</si>
  <si>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</si>
  <si>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</si>
  <si>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</si>
  <si>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</si>
  <si>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</si>
  <si>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</si>
  <si>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</si>
  <si>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</si>
  <si>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</si>
  <si>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</si>
  <si>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</si>
  <si>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</si>
  <si>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</si>
  <si>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</si>
  <si>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</si>
  <si>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</si>
  <si>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</si>
  <si>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</si>
  <si>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</si>
  <si>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</si>
  <si>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</si>
  <si>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</si>
  <si>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</si>
  <si>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</si>
  <si>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</si>
  <si>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</si>
  <si>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</si>
  <si>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</si>
  <si>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</si>
  <si>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</si>
  <si>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</si>
  <si>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</si>
  <si>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</si>
  <si>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</si>
  <si>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</si>
  <si>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</si>
  <si>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</si>
  <si>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</si>
  <si>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</si>
  <si>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</si>
  <si>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</si>
  <si>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</si>
  <si>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</si>
  <si>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</si>
  <si>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</si>
  <si>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</si>
  <si>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</si>
  <si>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</si>
  <si>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</si>
  <si>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</si>
  <si>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</si>
  <si>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</si>
  <si>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</si>
  <si>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</si>
  <si>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</si>
  <si>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</si>
  <si>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</si>
  <si>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</si>
  <si>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</si>
  <si>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</si>
  <si>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</si>
  <si>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</si>
  <si>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</si>
  <si>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</si>
  <si>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</si>
  <si>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</si>
  <si>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</si>
  <si>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</si>
  <si>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</si>
  <si>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</si>
  <si>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</si>
  <si>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</si>
  <si>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</si>
  <si>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</si>
  <si>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</si>
  <si>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</si>
  <si>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</si>
  <si>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</si>
  <si>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</si>
  <si>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</si>
  <si>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</si>
  <si>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</si>
  <si>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</si>
  <si>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</si>
  <si>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</si>
  <si>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</si>
  <si>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</si>
  <si>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</si>
  <si>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</si>
  <si>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</si>
  <si>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</si>
  <si>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</si>
  <si>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</si>
  <si>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</si>
  <si>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</si>
  <si>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</si>
  <si>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</si>
  <si>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</si>
  <si>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</si>
  <si>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</si>
  <si>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</si>
  <si>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</si>
  <si>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</si>
  <si>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</si>
  <si>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</si>
  <si>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</si>
  <si>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</si>
  <si>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</si>
  <si>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</si>
  <si>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</si>
  <si>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</si>
  <si>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</si>
  <si>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</si>
  <si>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</si>
  <si>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</si>
  <si>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</si>
  <si>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</si>
  <si>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</si>
  <si>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</si>
  <si>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</si>
  <si>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</si>
  <si>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</si>
  <si>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</si>
  <si>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</si>
  <si>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</si>
  <si>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</si>
  <si>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</si>
  <si>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</si>
  <si>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</si>
  <si>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</si>
  <si>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</si>
  <si>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</si>
  <si>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</si>
  <si>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</si>
  <si>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</si>
  <si>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</si>
  <si>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</si>
  <si>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</si>
  <si>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</si>
  <si>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</si>
  <si>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</si>
  <si>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</si>
  <si>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</si>
  <si>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</si>
  <si>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</si>
  <si>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</si>
  <si>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</si>
  <si>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</si>
  <si>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</si>
  <si>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</si>
  <si>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</si>
  <si>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</si>
  <si>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</si>
  <si>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</si>
  <si>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</si>
  <si>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</si>
  <si>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</si>
  <si>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</si>
  <si>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</si>
  <si>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</si>
  <si>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</si>
  <si>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</si>
  <si>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</si>
  <si>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</si>
  <si>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</si>
  <si>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</si>
  <si>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</si>
  <si>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</si>
  <si>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</si>
  <si>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</si>
  <si>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</si>
  <si>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</si>
  <si>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</si>
  <si>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</si>
  <si>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</si>
  <si>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</si>
  <si>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</si>
  <si>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</si>
  <si>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</si>
  <si>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</si>
  <si>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</si>
  <si>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</si>
  <si>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</si>
  <si>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</si>
  <si>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</si>
  <si>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</si>
  <si>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</si>
  <si>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</si>
  <si>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</si>
  <si>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</si>
  <si>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</si>
  <si>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</si>
  <si>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</si>
  <si>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</si>
  <si>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</si>
  <si>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</si>
  <si>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</si>
  <si>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</si>
  <si>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</si>
  <si>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</si>
  <si>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</si>
  <si>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</si>
  <si>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</si>
  <si>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</si>
  <si>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</si>
  <si>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</si>
  <si>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</si>
  <si>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</si>
  <si>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</si>
  <si>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</si>
  <si>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</si>
  <si>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</si>
  <si>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</si>
  <si>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</si>
  <si>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</si>
  <si>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</si>
  <si>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</si>
  <si>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</si>
  <si>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</si>
  <si>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</si>
  <si>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</si>
  <si>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</si>
  <si>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</si>
  <si>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</si>
  <si>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</si>
  <si>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</si>
  <si>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</si>
  <si>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</si>
  <si>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</si>
  <si>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</si>
  <si>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</si>
  <si>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</si>
  <si>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</si>
  <si>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</si>
  <si>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</si>
  <si>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</si>
  <si>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</si>
  <si>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</si>
  <si>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</si>
  <si>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</si>
  <si>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</si>
  <si>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</si>
  <si>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</si>
  <si>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</si>
  <si>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</si>
  <si>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</si>
  <si>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</si>
  <si>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</si>
  <si>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</si>
  <si>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</si>
  <si>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</si>
  <si>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</si>
  <si>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</si>
  <si>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</si>
  <si>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</si>
  <si>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</si>
  <si>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</si>
  <si>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</si>
  <si>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</si>
  <si>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</si>
  <si>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</si>
  <si>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</si>
  <si>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</si>
  <si>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</si>
  <si>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</si>
  <si>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</si>
  <si>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</si>
  <si>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</si>
  <si>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</si>
  <si>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</si>
  <si>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</si>
  <si>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</si>
  <si>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</si>
  <si>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</si>
  <si>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</si>
  <si>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</si>
  <si>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</si>
  <si>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</si>
  <si>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</si>
  <si>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</si>
  <si>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</si>
  <si>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</si>
  <si>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</si>
  <si>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</si>
  <si>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</si>
  <si>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</si>
  <si>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</si>
  <si>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</si>
  <si>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</si>
  <si>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</si>
  <si>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</si>
  <si>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</si>
  <si>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</si>
  <si>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</si>
  <si>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</si>
  <si>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</si>
  <si>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</si>
  <si>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</si>
  <si>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</si>
  <si>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</si>
  <si>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</si>
  <si>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</si>
  <si>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</si>
  <si>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</si>
  <si>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</si>
  <si>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</si>
  <si>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</si>
  <si>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</si>
  <si>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</si>
  <si>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</si>
  <si>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</si>
  <si>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</si>
  <si>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</si>
  <si>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</si>
  <si>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</si>
  <si>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</si>
  <si>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</si>
  <si>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</si>
  <si>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</si>
  <si>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</si>
  <si>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</si>
  <si>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</si>
  <si>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</si>
  <si>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</si>
  <si>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</si>
  <si>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</si>
  <si>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</si>
  <si>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</si>
  <si>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</si>
  <si>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</si>
  <si>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</si>
  <si>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</si>
  <si>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</si>
  <si>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</si>
  <si>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</si>
  <si>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</si>
  <si>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</si>
  <si>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</si>
  <si>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</si>
  <si>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</si>
  <si>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</si>
  <si>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</si>
  <si>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</si>
  <si>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</si>
  <si>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</si>
  <si>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</si>
  <si>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</si>
  <si>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</si>
  <si>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</si>
  <si>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</si>
  <si>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</si>
  <si>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</si>
  <si>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</si>
  <si>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</si>
  <si>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</si>
  <si>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</si>
  <si>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</si>
  <si>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</si>
  <si>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</si>
  <si>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</si>
  <si>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</si>
  <si>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</si>
  <si>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</si>
  <si>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</si>
  <si>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</si>
  <si>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</si>
  <si>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</si>
  <si>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</si>
  <si>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</si>
  <si>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</si>
  <si>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</si>
  <si>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</si>
  <si>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</si>
  <si>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</si>
  <si>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</si>
  <si>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</si>
  <si>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</si>
  <si>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</si>
  <si>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</si>
  <si>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</si>
  <si>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</si>
  <si>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</si>
  <si>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</si>
  <si>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</si>
  <si>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</si>
  <si>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</si>
  <si>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</si>
  <si>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</si>
  <si>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</si>
  <si>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</si>
  <si>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</si>
  <si>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</si>
  <si>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</si>
  <si>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</si>
  <si>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</si>
  <si>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</si>
  <si>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</si>
  <si>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</si>
  <si>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</si>
  <si>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</si>
  <si>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</si>
  <si>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</si>
  <si>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</si>
  <si>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</si>
  <si>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</si>
  <si>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</si>
  <si>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</si>
  <si>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</si>
  <si>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</si>
  <si>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</si>
  <si>
    <t>emma</t>
  </si>
  <si>
    <t>datter emma</t>
  </si>
  <si>
    <t>Q-katjaczajkowski@hotmail.com</t>
  </si>
  <si>
    <t>NO SHOW</t>
  </si>
  <si>
    <t>erpet67@gmail.com</t>
  </si>
  <si>
    <t>Q-erpet67@gmail.com</t>
  </si>
  <si>
    <t>Q-rene1085@gmail.com</t>
  </si>
  <si>
    <t>Ole Christoffersen</t>
  </si>
  <si>
    <t>Lars Grundfør</t>
  </si>
  <si>
    <t>Jan Gaard</t>
  </si>
  <si>
    <t>Sanne Østrup</t>
  </si>
  <si>
    <t>Kathrin Leupold</t>
  </si>
  <si>
    <t>Niels Kaalund</t>
  </si>
  <si>
    <t>Susan Hart</t>
  </si>
  <si>
    <t>Schroll Lothar</t>
  </si>
  <si>
    <t>Stine Jespersen</t>
  </si>
  <si>
    <t>Malin Hällblad</t>
  </si>
  <si>
    <t>Liliane Schenker</t>
  </si>
  <si>
    <t>Holger Tygesen</t>
  </si>
  <si>
    <t>Alex Nielsen</t>
  </si>
  <si>
    <t>Ryszard Wasikieski</t>
  </si>
  <si>
    <t>Annemarie Muller</t>
  </si>
  <si>
    <t>Wolf Adrian</t>
  </si>
  <si>
    <t>Jörg Wolf</t>
  </si>
  <si>
    <t>Fred Pergande</t>
  </si>
  <si>
    <t>Henrik Tillebeck</t>
  </si>
  <si>
    <t>Lene Fuglevig</t>
  </si>
  <si>
    <t>Werner Strehmel</t>
  </si>
  <si>
    <t>Bernhard Griesser</t>
  </si>
  <si>
    <t>Else Andersen</t>
  </si>
  <si>
    <t>Mette Sandvig</t>
  </si>
  <si>
    <t>Lisbeth Helbl</t>
  </si>
  <si>
    <t>Ulla Ringgård</t>
  </si>
  <si>
    <t>Jan Uxa</t>
  </si>
  <si>
    <t>Birgitta Björkroth</t>
  </si>
  <si>
    <t>Kathrine Moelgaard Nielsen</t>
  </si>
  <si>
    <t>Charlotte Bremer</t>
  </si>
  <si>
    <t>Jens Olesen</t>
  </si>
  <si>
    <t>Lone Dybdahl</t>
  </si>
  <si>
    <t>Gitte Zebitz</t>
  </si>
  <si>
    <t>Claus Nyeland</t>
  </si>
  <si>
    <t>Anita Steffensen</t>
  </si>
  <si>
    <t>Jette Jensen</t>
  </si>
  <si>
    <t>Tage Ebbensgaard</t>
  </si>
  <si>
    <t>Rikke Schwartz</t>
  </si>
  <si>
    <t>Jutta Fogh</t>
  </si>
  <si>
    <t>Linda Henriksen</t>
  </si>
  <si>
    <t>Hans-Peter Könitzer</t>
  </si>
  <si>
    <t>Sigrid Marie Poulsen</t>
  </si>
  <si>
    <t>Tommy Thunberg</t>
  </si>
  <si>
    <t>Elonor Skog</t>
  </si>
  <si>
    <t>Pia Jensen</t>
  </si>
  <si>
    <t>Christian Struck</t>
  </si>
  <si>
    <t>Danny Bukh Almstrup</t>
  </si>
  <si>
    <t>Issam Saou</t>
  </si>
  <si>
    <t>Michael Zorn</t>
  </si>
  <si>
    <t>Maria Meyer</t>
  </si>
  <si>
    <t>Belinda Danielsen</t>
  </si>
  <si>
    <t>Karin Nielsen</t>
  </si>
  <si>
    <t>Kim Friedrichs</t>
  </si>
  <si>
    <t>Torben Juul Nielsen</t>
  </si>
  <si>
    <t>Rikke Duevang</t>
  </si>
  <si>
    <t>Charlotte Søder</t>
  </si>
  <si>
    <t>Stine Yndgaard</t>
  </si>
  <si>
    <t>Peter Baberowski</t>
  </si>
  <si>
    <t>Matthias Jaeger</t>
  </si>
  <si>
    <t>Gabriele Walentowski</t>
  </si>
  <si>
    <t>Helle jacobsen</t>
  </si>
  <si>
    <t>Kjell Karlsson</t>
  </si>
  <si>
    <t>Lars Erik Phorelli</t>
  </si>
  <si>
    <t>Jens Käding</t>
  </si>
  <si>
    <t>Barbara Lobinger</t>
  </si>
  <si>
    <t>Klas Sjödahl</t>
  </si>
  <si>
    <t>Thomas Schimmer</t>
  </si>
  <si>
    <t>Calin Durnea</t>
  </si>
  <si>
    <t>Klaus Pedersen</t>
  </si>
  <si>
    <t>Lene Larsen</t>
  </si>
  <si>
    <t>Kirsten Nørgård Pedersen</t>
  </si>
  <si>
    <t>Heidi Rose</t>
  </si>
  <si>
    <t>Jette Frederiksen</t>
  </si>
  <si>
    <t>Tina Hildebrandt</t>
  </si>
  <si>
    <t>Bolette Olsen</t>
  </si>
  <si>
    <t>Marcia Swinney-Shay</t>
  </si>
  <si>
    <t>Kurt Bergen</t>
  </si>
  <si>
    <t>Soeren Tetzner</t>
  </si>
  <si>
    <t>Francesca Giraudo</t>
  </si>
  <si>
    <t>Elsebeth Lesmeister</t>
  </si>
  <si>
    <t>Jytte Nielsen</t>
  </si>
  <si>
    <t>Maria Friis Jensen</t>
  </si>
  <si>
    <t>Lene Lei Jensen</t>
  </si>
  <si>
    <t>Lucas Larsen</t>
  </si>
  <si>
    <t>Børge Nordstrand</t>
  </si>
  <si>
    <t>Thomas Negrini</t>
  </si>
  <si>
    <t>Sanne Emme</t>
  </si>
  <si>
    <t>Pernille Tygstrup</t>
  </si>
  <si>
    <t>grundfor@hotmail.com</t>
  </si>
  <si>
    <t>Birgitte</t>
  </si>
  <si>
    <t>Etappe</t>
  </si>
  <si>
    <t>maluga@live.dk</t>
  </si>
  <si>
    <t>Asger</t>
  </si>
  <si>
    <t>wonder25</t>
  </si>
  <si>
    <t>dobb</t>
  </si>
  <si>
    <t>sanne.ostrup@yahoo.dk</t>
  </si>
  <si>
    <t>sanne genbo</t>
  </si>
  <si>
    <t>d.lange_45@t-online.de</t>
  </si>
  <si>
    <t>Elke ??</t>
  </si>
  <si>
    <t>år 22,23,24</t>
  </si>
  <si>
    <t>erik@erikfriis.dk</t>
  </si>
  <si>
    <t>susanne@foghsorensen.dk</t>
  </si>
  <si>
    <t>år 25</t>
  </si>
  <si>
    <t>rin.leupold@gmail.com</t>
  </si>
  <si>
    <t>1 ch 5 år</t>
  </si>
  <si>
    <t>år 23,24,25</t>
  </si>
  <si>
    <t>år 21,22,23,24,25</t>
  </si>
  <si>
    <t>år 22,23, 25</t>
  </si>
  <si>
    <t>n.kaalund@hotmail.com</t>
  </si>
  <si>
    <t>Heidi</t>
  </si>
  <si>
    <t>FM / TCAS</t>
  </si>
  <si>
    <t>2030</t>
  </si>
  <si>
    <t>FM år 25</t>
  </si>
  <si>
    <t>FM 23,24,25</t>
  </si>
  <si>
    <t>Jeannie</t>
  </si>
  <si>
    <t>FM 21,22,23,24,25</t>
  </si>
  <si>
    <t>sh@susanhart.dk</t>
  </si>
  <si>
    <t>susan</t>
  </si>
  <si>
    <t>år 23,25 vær5</t>
  </si>
  <si>
    <t>"+ 1 dag</t>
  </si>
  <si>
    <t>"+1 dag</t>
  </si>
  <si>
    <t>sing/dobb</t>
  </si>
  <si>
    <t>eigil.holm.nielsen@gmail.com</t>
  </si>
  <si>
    <t>bc 21/skift 6 juni</t>
  </si>
  <si>
    <t>bc 2025</t>
  </si>
  <si>
    <t>2x2025</t>
  </si>
  <si>
    <t>1630</t>
  </si>
  <si>
    <t>Renee</t>
  </si>
  <si>
    <t>2023(bc) 2025 Web</t>
  </si>
  <si>
    <t>db + opr</t>
  </si>
  <si>
    <t>ur@heartlandtv.dk</t>
  </si>
  <si>
    <t>opred 12år</t>
  </si>
  <si>
    <t>CZ</t>
  </si>
  <si>
    <t>maybe</t>
  </si>
  <si>
    <t>mulig bc 21</t>
  </si>
  <si>
    <t>strik "21,22,23,24,25</t>
  </si>
  <si>
    <t>1300</t>
  </si>
  <si>
    <t>1530</t>
  </si>
  <si>
    <t>db/sing</t>
  </si>
  <si>
    <t>2000</t>
  </si>
  <si>
    <t>mulig bf</t>
  </si>
  <si>
    <t>bc 2021</t>
  </si>
  <si>
    <t>rikke</t>
  </si>
  <si>
    <t>1230</t>
  </si>
  <si>
    <t>Dobb</t>
  </si>
  <si>
    <t>10% på 4dage</t>
  </si>
  <si>
    <t>musenborg@gmail.com</t>
  </si>
  <si>
    <t>martin@ht-bendix.dk</t>
  </si>
  <si>
    <t>web24 og 25</t>
  </si>
  <si>
    <t>web25</t>
  </si>
  <si>
    <t>web 23 cansl 24,25</t>
  </si>
  <si>
    <t>21, 25 pris for høj</t>
  </si>
  <si>
    <t>21,22,23,24,25</t>
  </si>
  <si>
    <t>finn.olsen.konsulent@gmail.com</t>
  </si>
  <si>
    <t>Lone Anette b Amalie/sofie</t>
  </si>
  <si>
    <t>fewo.baberowski@gmx.de</t>
  </si>
  <si>
    <t>Regina</t>
  </si>
  <si>
    <t>toftevej7a@gmail.com</t>
  </si>
  <si>
    <t>N/Y</t>
  </si>
  <si>
    <t>dobb og enk book</t>
  </si>
  <si>
    <t>22,23, 25 minus morgenmad change</t>
  </si>
  <si>
    <t>1700</t>
  </si>
  <si>
    <t>23 24 25</t>
  </si>
  <si>
    <t>hr@heidirose.dk</t>
  </si>
  <si>
    <t>USA</t>
  </si>
  <si>
    <t>iowanana7477@gmail.com</t>
  </si>
  <si>
    <t>krtbergen@gmail.com</t>
  </si>
  <si>
    <t>21can,22,23can 24</t>
  </si>
  <si>
    <t>lene@lei-jensen.dk</t>
  </si>
  <si>
    <t>N??</t>
  </si>
  <si>
    <t>1830</t>
  </si>
  <si>
    <t>it</t>
  </si>
  <si>
    <t>Janne</t>
  </si>
  <si>
    <t>gave</t>
  </si>
  <si>
    <t>sanne.emme@gmail.com</t>
  </si>
  <si>
    <t>4561543399</t>
  </si>
  <si>
    <t>Henrik Rebien</t>
  </si>
  <si>
    <t>sidest nat v6</t>
  </si>
  <si>
    <t>pernielletygstup@hotmail.com</t>
  </si>
  <si>
    <t>Grundfør</t>
  </si>
  <si>
    <t>Gaard</t>
  </si>
  <si>
    <t>Østrup</t>
  </si>
  <si>
    <t>Leupold</t>
  </si>
  <si>
    <t>Kaalund</t>
  </si>
  <si>
    <t>Hart</t>
  </si>
  <si>
    <t>Lothar</t>
  </si>
  <si>
    <t>Hällblad</t>
  </si>
  <si>
    <t>Schenker</t>
  </si>
  <si>
    <t>Tygesen</t>
  </si>
  <si>
    <t>Wasikieski</t>
  </si>
  <si>
    <t>Muller</t>
  </si>
  <si>
    <t>Adrian</t>
  </si>
  <si>
    <t>Wolf</t>
  </si>
  <si>
    <t>Pergande</t>
  </si>
  <si>
    <t>Tillebeck</t>
  </si>
  <si>
    <t>Fuglevig</t>
  </si>
  <si>
    <t>Strehmel</t>
  </si>
  <si>
    <t>Griesser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</si>
  <si>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</si>
  <si>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</si>
  <si>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</si>
  <si>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</si>
  <si>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</si>
  <si>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</si>
  <si>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</si>
  <si>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</si>
  <si>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Zebitz</t>
  </si>
  <si>
    <t>Nyeland</t>
  </si>
  <si>
    <t>Ebbensgaard</t>
  </si>
  <si>
    <t>Schwartz</t>
  </si>
  <si>
    <t>Fogh</t>
  </si>
  <si>
    <t>Könitzer</t>
  </si>
  <si>
    <t>Thunberg</t>
  </si>
  <si>
    <t>Struck</t>
  </si>
  <si>
    <t>Almstrup</t>
  </si>
  <si>
    <t>Saou</t>
  </si>
  <si>
    <t>Zorn</t>
  </si>
  <si>
    <t>Meyer</t>
  </si>
  <si>
    <t>Danielsen</t>
  </si>
  <si>
    <t>Friedrichs</t>
  </si>
  <si>
    <t>Duevang</t>
  </si>
  <si>
    <t>Søder</t>
  </si>
  <si>
    <t>Yndgaard</t>
  </si>
  <si>
    <t>Jaeger</t>
  </si>
  <si>
    <t>Walentowski</t>
  </si>
  <si>
    <t>jacobsen</t>
  </si>
  <si>
    <t>Karlsson</t>
  </si>
  <si>
    <t>Phorelli</t>
  </si>
  <si>
    <t>Käding</t>
  </si>
  <si>
    <t>Lobinger</t>
  </si>
  <si>
    <t>Sjödahl</t>
  </si>
  <si>
    <t>Schimmer</t>
  </si>
  <si>
    <t>Durnea</t>
  </si>
  <si>
    <t>Rose</t>
  </si>
  <si>
    <t>Hildebrandt</t>
  </si>
  <si>
    <t>Shay</t>
  </si>
  <si>
    <t>Bergen</t>
  </si>
  <si>
    <t>Tetzner</t>
  </si>
  <si>
    <t>Giraudo</t>
  </si>
  <si>
    <t>Lesmeister</t>
  </si>
  <si>
    <t>Nordstrand</t>
  </si>
  <si>
    <t>Negrini</t>
  </si>
  <si>
    <t>Emme</t>
  </si>
  <si>
    <t>Tygstrup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</si>
</sst>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  <numFmt numFmtId="169" formatCode="dd\-mm\-yy"/>
  </numFmts>
  <fonts count="2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0" fillId="0" borderId="0" applyNumberForma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98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49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9" fontId="2" fillId="0" borderId="0" xfId="0" applyNumberFormat="1" applyFont="1"/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0" borderId="0" xfId="0" applyFont="1" applyAlignment="1">
      <alignment vertical="center"/>
    </xf>
    <xf numFmtId="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49" fontId="3" fillId="2" borderId="2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5" fontId="3" fillId="0" borderId="0" xfId="0" applyNumberFormat="1" applyFont="1"/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8" fillId="2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164" fontId="2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5" fontId="3" fillId="0" borderId="2" xfId="0" applyNumberFormat="1" applyFont="1" applyBorder="1" applyAlignment="1">
      <alignment horizontal="center"/>
    </xf>
    <xf numFmtId="20" fontId="3" fillId="0" borderId="2" xfId="0" applyNumberFormat="1" applyFont="1" applyBorder="1"/>
    <xf numFmtId="166" fontId="3" fillId="0" borderId="0" xfId="0" applyNumberFormat="1" applyFont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center"/>
    </xf>
    <xf numFmtId="0" fontId="3" fillId="0" borderId="6" xfId="0" applyFont="1" applyBorder="1"/>
    <xf numFmtId="166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5" fontId="3" fillId="0" borderId="6" xfId="0" applyNumberFormat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7" fontId="3" fillId="0" borderId="2" xfId="0" applyNumberFormat="1" applyFont="1" applyBorder="1"/>
    <xf numFmtId="14" fontId="3" fillId="0" borderId="2" xfId="0" applyNumberFormat="1" applyFont="1" applyBorder="1"/>
    <xf numFmtId="167" fontId="3" fillId="0" borderId="2" xfId="0" applyNumberFormat="1" applyFont="1" applyBorder="1" applyAlignment="1">
      <alignment horizontal="center"/>
    </xf>
    <xf numFmtId="167" fontId="3" fillId="0" borderId="0" xfId="0" applyNumberFormat="1" applyFont="1"/>
    <xf numFmtId="0" fontId="9" fillId="0" borderId="2" xfId="0" applyFont="1" applyBorder="1" applyAlignment="1">
      <alignment horizontal="center" vertical="top"/>
    </xf>
    <xf numFmtId="1" fontId="3" fillId="0" borderId="0" xfId="0" applyNumberFormat="1" applyFont="1"/>
    <xf numFmtId="20" fontId="2" fillId="0" borderId="0" xfId="0" applyNumberFormat="1" applyFont="1"/>
    <xf numFmtId="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6" borderId="1" xfId="0" applyFont="1" applyFill="1" applyBorder="1"/>
    <xf numFmtId="0" fontId="3" fillId="6" borderId="2" xfId="0" applyFont="1" applyFill="1" applyBorder="1" applyAlignment="1">
      <alignment horizontal="center"/>
    </xf>
    <xf numFmtId="49" fontId="11" fillId="2" borderId="2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" xfId="0" applyFont="1" applyBorder="1"/>
    <xf numFmtId="49" fontId="5" fillId="0" borderId="2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2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0" fillId="0" borderId="0" xfId="1"/>
    <xf numFmtId="44" fontId="0" fillId="0" borderId="0" xfId="2" applyFont="1"/>
    <xf numFmtId="49" fontId="0" fillId="0" borderId="0" xfId="0" applyNumberFormat="1"/>
    <xf numFmtId="49" fontId="11" fillId="0" borderId="2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0" fontId="11" fillId="0" borderId="2" xfId="0" applyFont="1" applyBorder="1"/>
    <xf numFmtId="49" fontId="13" fillId="0" borderId="2" xfId="0" applyNumberFormat="1" applyFont="1" applyBorder="1" applyAlignment="1">
      <alignment horizontal="center"/>
    </xf>
    <xf numFmtId="49" fontId="11" fillId="0" borderId="2" xfId="0" applyNumberFormat="1" applyFont="1" applyBorder="1"/>
    <xf numFmtId="0" fontId="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3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 vertical="top"/>
    </xf>
    <xf numFmtId="0" fontId="14" fillId="0" borderId="0" xfId="0" applyFont="1"/>
    <xf numFmtId="44" fontId="14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0" borderId="10" xfId="0" applyFont="1" applyBorder="1"/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3" fillId="0" borderId="10" xfId="0" applyFont="1" applyBorder="1" applyAlignment="1">
      <alignment horizontal="left"/>
    </xf>
    <xf numFmtId="0" fontId="0" fillId="0" borderId="13" xfId="0" applyBorder="1"/>
    <xf numFmtId="0" fontId="3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2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0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0" fillId="0" borderId="0" xfId="1" applyAlignment="1">
      <alignment horizontal="center"/>
    </xf>
    <xf numFmtId="49" fontId="11" fillId="0" borderId="2" xfId="0" applyNumberFormat="1" applyFont="1" applyBorder="1" applyAlignment="1">
      <alignment horizontal="left"/>
    </xf>
    <xf numFmtId="0" fontId="10" fillId="0" borderId="2" xfId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11" fillId="0" borderId="6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0" fillId="0" borderId="0" xfId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10" fillId="0" borderId="15" xfId="1" applyBorder="1" applyAlignment="1">
      <alignment horizontal="center"/>
    </xf>
    <xf numFmtId="49" fontId="3" fillId="2" borderId="6" xfId="0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3" fillId="4" borderId="10" xfId="0" applyFont="1" applyFill="1" applyBorder="1"/>
    <xf numFmtId="0" fontId="3" fillId="2" borderId="6" xfId="0" applyFont="1" applyFill="1" applyBorder="1"/>
    <xf numFmtId="0" fontId="3" fillId="2" borderId="6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49" fontId="3" fillId="0" borderId="2" xfId="0" applyNumberFormat="1" applyFont="1" applyBorder="1" applyAlignment="1">
      <alignment horizontal="left"/>
    </xf>
    <xf numFmtId="0" fontId="11" fillId="0" borderId="0" xfId="0" applyFont="1"/>
    <xf numFmtId="0" fontId="18" fillId="0" borderId="0" xfId="0" applyFont="1"/>
    <xf numFmtId="9" fontId="0" fillId="8" borderId="15" xfId="0" applyNumberFormat="1" applyFill="1" applyBorder="1"/>
    <xf numFmtId="0" fontId="10" fillId="8" borderId="15" xfId="1" applyFill="1" applyBorder="1"/>
    <xf numFmtId="1" fontId="0" fillId="8" borderId="15" xfId="0" applyNumberFormat="1" applyFill="1" applyBorder="1" applyAlignment="1">
      <alignment horizontal="right"/>
    </xf>
    <xf numFmtId="44" fontId="17" fillId="0" borderId="0" xfId="2" applyFont="1"/>
    <xf numFmtId="0" fontId="0" fillId="8" borderId="16" xfId="0" applyFill="1" applyBorder="1" applyAlignment="1">
      <alignment horizontal="center"/>
    </xf>
    <xf numFmtId="9" fontId="0" fillId="0" borderId="15" xfId="0" applyNumberFormat="1" applyBorder="1"/>
    <xf numFmtId="0" fontId="10" fillId="0" borderId="15" xfId="1" applyBorder="1"/>
    <xf numFmtId="1" fontId="0" fillId="0" borderId="15" xfId="0" applyNumberFormat="1" applyBorder="1" applyAlignment="1">
      <alignment horizontal="right"/>
    </xf>
    <xf numFmtId="0" fontId="0" fillId="0" borderId="16" xfId="0" applyBorder="1" applyAlignment="1">
      <alignment horizontal="center"/>
    </xf>
    <xf numFmtId="1" fontId="0" fillId="0" borderId="0" xfId="0" applyNumberFormat="1" applyAlignment="1">
      <alignment horizontal="right" vertical="center" wrapText="1"/>
    </xf>
    <xf numFmtId="9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44" fontId="0" fillId="0" borderId="0" xfId="0" applyNumberFormat="1"/>
    <xf numFmtId="44" fontId="17" fillId="0" borderId="0" xfId="0" applyNumberFormat="1" applyFont="1"/>
    <xf numFmtId="1" fontId="11" fillId="0" borderId="2" xfId="0" applyNumberFormat="1" applyFont="1" applyBorder="1" applyAlignment="1">
      <alignment horizontal="right"/>
    </xf>
    <xf numFmtId="0" fontId="10" fillId="0" borderId="0" xfId="1" applyAlignment="1">
      <alignment vertical="center" wrapText="1"/>
    </xf>
    <xf numFmtId="0" fontId="0" fillId="0" borderId="0" xfId="0" applyAlignment="1">
      <alignment horizontal="center" vertical="center" wrapText="1"/>
    </xf>
    <xf numFmtId="44" fontId="2" fillId="9" borderId="0" xfId="2" applyFill="1"/>
    <xf numFmtId="169" fontId="0" fillId="0" borderId="0" xfId="0" applyNumberFormat="1"/>
    <xf numFmtId="9" fontId="0" fillId="0" borderId="0" xfId="3" applyFont="1"/>
    <xf numFmtId="0" fontId="0" fillId="0" borderId="10" xfId="0" applyBorder="1" applyAlignment="1">
      <alignment horizontal="left"/>
    </xf>
    <xf numFmtId="0" fontId="3" fillId="0" borderId="10" xfId="0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49" fontId="0" fillId="0" borderId="1" xfId="0" applyNumberFormat="1" applyBorder="1" applyAlignment="1">
      <alignment horizontal="left"/>
    </xf>
    <xf numFmtId="1" fontId="0" fillId="8" borderId="10" xfId="0" applyNumberFormat="1" applyFill="1" applyBorder="1" applyAlignment="1">
      <alignment horizontal="right"/>
    </xf>
    <xf numFmtId="0" fontId="0" fillId="0" borderId="10" xfId="0" applyFill="1" applyBorder="1"/>
    <xf numFmtId="0" fontId="0" fillId="8" borderId="10" xfId="0" applyFill="1" applyBorder="1"/>
    <xf numFmtId="1" fontId="0" fillId="0" borderId="10" xfId="0" applyNumberFormat="1" applyBorder="1" applyAlignment="1">
      <alignment horizontal="right"/>
    </xf>
    <xf numFmtId="1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1" fontId="11" fillId="0" borderId="10" xfId="0" applyNumberFormat="1" applyFont="1" applyBorder="1" applyAlignment="1">
      <alignment horizontal="right"/>
    </xf>
    <xf numFmtId="0" fontId="0" fillId="0" borderId="10" xfId="0" applyBorder="1" applyAlignment="1">
      <alignment vertical="center" wrapText="1"/>
    </xf>
    <xf numFmtId="0" fontId="11" fillId="0" borderId="10" xfId="0" applyFont="1" applyBorder="1"/>
    <xf numFmtId="0" fontId="18" fillId="0" borderId="10" xfId="0" applyFont="1" applyBorder="1"/>
    <xf numFmtId="0" fontId="0" fillId="0" borderId="10" xfId="0" applyBorder="1" applyAlignment="1">
      <alignment horizontal="center" vertical="center" wrapText="1"/>
    </xf>
  </cellXfs>
  <cellStyles count="4">
    <cellStyle name="Link" xfId="1" builtinId="8"/>
    <cellStyle name="Normal" xfId="0" builtinId="0"/>
    <cellStyle name="Procent" xfId="3" builtinId="5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Q-erpe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70" Type="http://schemas.openxmlformats.org/officeDocument/2006/relationships/hyperlink" Target="mailto:erpet67@gmail.com" TargetMode="External"/><Relationship Id="rId191" Type="http://schemas.openxmlformats.org/officeDocument/2006/relationships/hyperlink" Target="mailto:pija@mail.tele.dk" TargetMode="Externa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Q-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181" Type="http://schemas.openxmlformats.org/officeDocument/2006/relationships/hyperlink" Target="mailto:eigil.holm.nielsen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71" Type="http://schemas.openxmlformats.org/officeDocument/2006/relationships/hyperlink" Target="mailto:d.lange_45@t-online.de" TargetMode="External"/><Relationship Id="rId192" Type="http://schemas.openxmlformats.org/officeDocument/2006/relationships/hyperlink" Target="mailto:donduckvejle@gmail.com" TargetMode="External"/><Relationship Id="rId12" Type="http://schemas.openxmlformats.org/officeDocument/2006/relationships/hyperlink" Target="mailto:john@sckaletz.dk" TargetMode="External"/><Relationship Id="rId33" Type="http://schemas.openxmlformats.org/officeDocument/2006/relationships/hyperlink" Target="mailto:malerjust@post.tele.dk" TargetMode="External"/><Relationship Id="rId108" Type="http://schemas.openxmlformats.org/officeDocument/2006/relationships/hyperlink" Target="mailto:Q-rene1085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5" Type="http://schemas.openxmlformats.org/officeDocument/2006/relationships/hyperlink" Target="mailto:grhansen@you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61" Type="http://schemas.openxmlformats.org/officeDocument/2006/relationships/hyperlink" Target="mailto:holmstedgaard@pc.dk" TargetMode="External"/><Relationship Id="rId182" Type="http://schemas.openxmlformats.org/officeDocument/2006/relationships/hyperlink" Target="mailto:arne.sahlstedt@gmail.com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5" Type="http://schemas.openxmlformats.org/officeDocument/2006/relationships/hyperlink" Target="mailto:Q-hencom@webspeed.dk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51" Type="http://schemas.openxmlformats.org/officeDocument/2006/relationships/hyperlink" Target="mailto:Q-clauskaae@mail.dk" TargetMode="External"/><Relationship Id="rId172" Type="http://schemas.openxmlformats.org/officeDocument/2006/relationships/hyperlink" Target="mailto:erik@erikfriis.dk" TargetMode="External"/><Relationship Id="rId193" Type="http://schemas.openxmlformats.org/officeDocument/2006/relationships/hyperlink" Target="mailto:annehastrup@yahoo.dk" TargetMode="External"/><Relationship Id="rId13" Type="http://schemas.openxmlformats.org/officeDocument/2006/relationships/hyperlink" Target="mailto:lene.thunbo@gmail.com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20" Type="http://schemas.openxmlformats.org/officeDocument/2006/relationships/hyperlink" Target="mailto:peter.juliusssen@gmail.com" TargetMode="External"/><Relationship Id="rId141" Type="http://schemas.openxmlformats.org/officeDocument/2006/relationships/hyperlink" Target="mailto:kontakt@anderspoul.dk" TargetMode="External"/><Relationship Id="rId7" Type="http://schemas.openxmlformats.org/officeDocument/2006/relationships/hyperlink" Target="mailto:gabrieledau@holmdau.de" TargetMode="External"/><Relationship Id="rId162" Type="http://schemas.openxmlformats.org/officeDocument/2006/relationships/hyperlink" Target="mailto:heidielung@gmail.com" TargetMode="External"/><Relationship Id="rId183" Type="http://schemas.openxmlformats.org/officeDocument/2006/relationships/hyperlink" Target="mailto:sh@susanhart.dk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178" Type="http://schemas.openxmlformats.org/officeDocument/2006/relationships/hyperlink" Target="mailto:hencom@webspeed.dk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73" Type="http://schemas.openxmlformats.org/officeDocument/2006/relationships/hyperlink" Target="mailto:susanne@foghsorensen.dk" TargetMode="External"/><Relationship Id="rId194" Type="http://schemas.openxmlformats.org/officeDocument/2006/relationships/hyperlink" Target="mailto:stigspost2@hotmail.com" TargetMode="External"/><Relationship Id="rId199" Type="http://schemas.openxmlformats.org/officeDocument/2006/relationships/hyperlink" Target="mailto:toftevej7a@gmail.com" TargetMode="External"/><Relationship Id="rId203" Type="http://schemas.openxmlformats.org/officeDocument/2006/relationships/vmlDrawing" Target="../drawings/vmlDrawing1.vml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168" Type="http://schemas.openxmlformats.org/officeDocument/2006/relationships/hyperlink" Target="mailto:kabipo@gmail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184" Type="http://schemas.openxmlformats.org/officeDocument/2006/relationships/hyperlink" Target="mailto:kajhenriksen@gmail.com" TargetMode="External"/><Relationship Id="rId189" Type="http://schemas.openxmlformats.org/officeDocument/2006/relationships/hyperlink" Target="mailto:musenbor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t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74" Type="http://schemas.openxmlformats.org/officeDocument/2006/relationships/hyperlink" Target="mailto:rin.leupold@gmail.com" TargetMode="External"/><Relationship Id="rId179" Type="http://schemas.openxmlformats.org/officeDocument/2006/relationships/hyperlink" Target="mailto:thaarboel@gmail.com" TargetMode="External"/><Relationship Id="rId195" Type="http://schemas.openxmlformats.org/officeDocument/2006/relationships/hyperlink" Target="mailto:finn.olsen.konsulent@gmail.com" TargetMode="External"/><Relationship Id="rId190" Type="http://schemas.openxmlformats.org/officeDocument/2006/relationships/hyperlink" Target="mailto:martin@ht-bendix.dk" TargetMode="External"/><Relationship Id="rId204" Type="http://schemas.openxmlformats.org/officeDocument/2006/relationships/comments" Target="../comments1.xm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hyperlink" Target="mailto:katjaczajkowski@hotmail.com" TargetMode="External"/><Relationship Id="rId169" Type="http://schemas.openxmlformats.org/officeDocument/2006/relationships/hyperlink" Target="mailto:sanne.ostrup@yahoo.dk" TargetMode="External"/><Relationship Id="rId185" Type="http://schemas.openxmlformats.org/officeDocument/2006/relationships/hyperlink" Target="mailto:lentonssonken@hot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80" Type="http://schemas.openxmlformats.org/officeDocument/2006/relationships/hyperlink" Target="mailto:gitte.horup@skanderborg.d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75" Type="http://schemas.openxmlformats.org/officeDocument/2006/relationships/hyperlink" Target="mailto:isprehn@dbmail.dk" TargetMode="External"/><Relationship Id="rId196" Type="http://schemas.openxmlformats.org/officeDocument/2006/relationships/hyperlink" Target="mailto:clauskaae@maildk" TargetMode="External"/><Relationship Id="rId200" Type="http://schemas.openxmlformats.org/officeDocument/2006/relationships/hyperlink" Target="mailto:cmejer55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hyperlink" Target="mailto:grundfor@hotmail.com" TargetMode="External"/><Relationship Id="rId186" Type="http://schemas.openxmlformats.org/officeDocument/2006/relationships/hyperlink" Target="mailto:adsrejse@gmail.com" TargetMode="Externa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Relationship Id="rId176" Type="http://schemas.openxmlformats.org/officeDocument/2006/relationships/hyperlink" Target="mailto:gubbertsen@gmail.com" TargetMode="External"/><Relationship Id="rId197" Type="http://schemas.openxmlformats.org/officeDocument/2006/relationships/hyperlink" Target="mailto:fewo.baberowski@gmx.de" TargetMode="External"/><Relationship Id="rId201" Type="http://schemas.openxmlformats.org/officeDocument/2006/relationships/hyperlink" Target="mailto:tsomberg@gmail.com" TargetMode="External"/><Relationship Id="rId17" Type="http://schemas.openxmlformats.org/officeDocument/2006/relationships/hyperlink" Target="mailto:Q-hencom@webspeed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24" Type="http://schemas.openxmlformats.org/officeDocument/2006/relationships/hyperlink" Target="mailto:Q-arne.sahlstedt@gmail.com" TargetMode="External"/><Relationship Id="rId70" Type="http://schemas.openxmlformats.org/officeDocument/2006/relationships/hyperlink" Target="mailto:ingo.krug@gmail.com" TargetMode="External"/><Relationship Id="rId91" Type="http://schemas.openxmlformats.org/officeDocument/2006/relationships/hyperlink" Target="mailto:aliceogjoel@mail.dk" TargetMode="External"/><Relationship Id="rId145" Type="http://schemas.openxmlformats.org/officeDocument/2006/relationships/hyperlink" Target="mailto:leif.thomsen@osnanet.de" TargetMode="External"/><Relationship Id="rId166" Type="http://schemas.openxmlformats.org/officeDocument/2006/relationships/hyperlink" Target="mailto:maluga@live.dk" TargetMode="External"/><Relationship Id="rId187" Type="http://schemas.openxmlformats.org/officeDocument/2006/relationships/hyperlink" Target="mailto:ur@heartlandtv.dk" TargetMode="External"/><Relationship Id="rId1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60" Type="http://schemas.openxmlformats.org/officeDocument/2006/relationships/hyperlink" Target="about:blank" TargetMode="External"/><Relationship Id="rId81" Type="http://schemas.openxmlformats.org/officeDocument/2006/relationships/hyperlink" Target="mailto:hatolamail@gmail.com" TargetMode="External"/><Relationship Id="rId135" Type="http://schemas.openxmlformats.org/officeDocument/2006/relationships/hyperlink" Target="mailto:srensen360@gmail.com" TargetMode="External"/><Relationship Id="rId156" Type="http://schemas.openxmlformats.org/officeDocument/2006/relationships/hyperlink" Target="mailto:Q-kim.teglberg1@gmail.com" TargetMode="External"/><Relationship Id="rId177" Type="http://schemas.openxmlformats.org/officeDocument/2006/relationships/hyperlink" Target="mailto:n.kaalund@hotmail.com" TargetMode="External"/><Relationship Id="rId198" Type="http://schemas.openxmlformats.org/officeDocument/2006/relationships/hyperlink" Target="mailto:musikerbjarne@gmail.com" TargetMode="External"/><Relationship Id="rId202" Type="http://schemas.openxmlformats.org/officeDocument/2006/relationships/hyperlink" Target="mailto:hr@heidirose.dk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50" Type="http://schemas.openxmlformats.org/officeDocument/2006/relationships/hyperlink" Target="mailto:Q-hencom@webspeed.dk" TargetMode="External"/><Relationship Id="rId104" Type="http://schemas.openxmlformats.org/officeDocument/2006/relationships/hyperlink" Target="mailto:Q-adrejse@gmail.com" TargetMode="External"/><Relationship Id="rId125" Type="http://schemas.openxmlformats.org/officeDocument/2006/relationships/hyperlink" Target="mailto:kajhenriksen@gmail.com" TargetMode="External"/><Relationship Id="rId146" Type="http://schemas.openxmlformats.org/officeDocument/2006/relationships/hyperlink" Target="mailto:liliehopla@gmail.com" TargetMode="External"/><Relationship Id="rId167" Type="http://schemas.openxmlformats.org/officeDocument/2006/relationships/hyperlink" Target="mailto:stinechri@hotmail.com" TargetMode="External"/><Relationship Id="rId188" Type="http://schemas.openxmlformats.org/officeDocument/2006/relationships/hyperlink" Target="mailto:mikaelholst@newmail.dk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vmlDrawing" Target="../drawings/vmlDrawing6.vml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comments" Target="../comments6.x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1000"/>
  <sheetViews>
    <sheetView tabSelected="1" topLeftCell="B1" zoomScale="101" workbookViewId="0">
      <pane ySplit="1" topLeftCell="A891" activePane="bottomLeft" state="frozen"/>
      <selection activeCell="D1" sqref="D1"/>
      <selection pane="bottomLeft" activeCell="O792" sqref="O792"/>
    </sheetView>
  </sheetViews>
  <sheetFormatPr defaultColWidth="12.54296875" defaultRowHeight="15" customHeight="1" x14ac:dyDescent="0.35"/>
  <cols>
    <col min="1" max="1" width="24.81640625" style="70" customWidth="1"/>
    <col min="2" max="2" width="13.90625" style="89" bestFit="1" customWidth="1"/>
    <col min="3" max="3" width="10.81640625" customWidth="1"/>
    <col min="4" max="4" width="25.26953125" customWidth="1"/>
    <col min="5" max="5" width="9.1796875" style="70" customWidth="1"/>
    <col min="6" max="6" width="8.54296875" style="70" customWidth="1"/>
    <col min="7" max="7" width="15.08984375" style="70" customWidth="1"/>
    <col min="8" max="13" width="8.54296875" style="70" customWidth="1"/>
    <col min="14" max="14" width="10.90625" customWidth="1"/>
    <col min="15" max="27" width="8.54296875" customWidth="1"/>
  </cols>
  <sheetData>
    <row r="1" spans="1:14" ht="14.25" customHeight="1" x14ac:dyDescent="0.35">
      <c r="A1" s="69" t="s">
        <v>0</v>
      </c>
      <c r="B1" s="4" t="s">
        <v>1</v>
      </c>
      <c r="C1" s="1" t="s">
        <v>2161</v>
      </c>
      <c r="D1" s="1" t="s">
        <v>2</v>
      </c>
      <c r="E1" s="69" t="s">
        <v>3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s="69">
        <v>26</v>
      </c>
      <c r="N1" t="s">
        <v>2157</v>
      </c>
    </row>
    <row r="2" spans="1:14" ht="14.25" customHeight="1" x14ac:dyDescent="0.35">
      <c r="A2" s="76" t="s">
        <v>6</v>
      </c>
      <c r="B2" s="9" t="s">
        <v>2127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2414</v>
      </c>
      <c r="I2" s="73" t="s">
        <v>9</v>
      </c>
      <c r="J2" s="73" t="s">
        <v>1292</v>
      </c>
      <c r="K2" s="97" t="s">
        <v>53</v>
      </c>
      <c r="L2" s="73" t="s">
        <v>1292</v>
      </c>
      <c r="M2" s="73"/>
      <c r="N2" s="98"/>
    </row>
    <row r="3" spans="1:14" ht="14.25" hidden="1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73"/>
      <c r="N3" s="98"/>
    </row>
    <row r="4" spans="1:14" ht="14.25" hidden="1" customHeight="1" x14ac:dyDescent="0.35">
      <c r="A4" s="136" t="s">
        <v>2415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73"/>
      <c r="N4" s="98"/>
    </row>
    <row r="5" spans="1:14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73"/>
      <c r="N5" s="98"/>
    </row>
    <row r="6" spans="1:14" ht="14.25" hidden="1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73"/>
      <c r="N6" s="98"/>
    </row>
    <row r="7" spans="1:14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73"/>
      <c r="N7" s="98"/>
    </row>
    <row r="8" spans="1:14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73"/>
      <c r="N8" s="98"/>
    </row>
    <row r="9" spans="1:14" ht="14.25" hidden="1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73"/>
      <c r="N9" s="98"/>
    </row>
    <row r="10" spans="1:14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73"/>
      <c r="N10" s="98"/>
    </row>
    <row r="11" spans="1:14" ht="14.25" hidden="1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73"/>
      <c r="N11" s="98"/>
    </row>
    <row r="12" spans="1:14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73"/>
      <c r="N12" s="98"/>
    </row>
    <row r="13" spans="1:14" ht="14.25" hidden="1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73"/>
      <c r="N13" s="98"/>
    </row>
    <row r="14" spans="1:14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73"/>
      <c r="N14" s="98"/>
    </row>
    <row r="15" spans="1:14" ht="14.25" hidden="1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73"/>
      <c r="N15" s="98"/>
    </row>
    <row r="16" spans="1:14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73"/>
      <c r="N16" s="98"/>
    </row>
    <row r="17" spans="1:14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73"/>
      <c r="N17" s="98"/>
    </row>
    <row r="18" spans="1:14" ht="14.25" hidden="1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73"/>
      <c r="N18" s="98"/>
    </row>
    <row r="19" spans="1:14" ht="14.25" hidden="1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73"/>
      <c r="N19" s="98"/>
    </row>
    <row r="20" spans="1:14" ht="14.25" hidden="1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73"/>
      <c r="N20" s="98"/>
    </row>
    <row r="21" spans="1:14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73"/>
      <c r="N21" s="98"/>
    </row>
    <row r="22" spans="1:14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73"/>
      <c r="N22" s="98"/>
    </row>
    <row r="23" spans="1:14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73"/>
      <c r="N23" s="98"/>
    </row>
    <row r="24" spans="1:14" ht="14.25" hidden="1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73"/>
      <c r="N24" s="98"/>
    </row>
    <row r="25" spans="1:14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73"/>
      <c r="N25" s="98"/>
    </row>
    <row r="26" spans="1:14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73"/>
      <c r="N26" s="98"/>
    </row>
    <row r="27" spans="1:14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73"/>
      <c r="N27" s="98"/>
    </row>
    <row r="28" spans="1:14" ht="14.25" hidden="1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73"/>
      <c r="N28" s="98"/>
    </row>
    <row r="29" spans="1:14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73"/>
      <c r="N29" s="98"/>
    </row>
    <row r="30" spans="1:14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73"/>
      <c r="N30" s="98"/>
    </row>
    <row r="31" spans="1:14" ht="14.25" hidden="1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73"/>
      <c r="N31" s="98"/>
    </row>
    <row r="32" spans="1:14" ht="14.25" hidden="1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73"/>
      <c r="N32" s="98"/>
    </row>
    <row r="33" spans="1:14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73"/>
      <c r="N33" s="98"/>
    </row>
    <row r="34" spans="1:14" ht="14.25" hidden="1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73"/>
      <c r="N34" s="98"/>
    </row>
    <row r="35" spans="1:14" ht="14.25" hidden="1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73"/>
      <c r="N35" s="98"/>
    </row>
    <row r="36" spans="1:14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73"/>
      <c r="N36" s="98"/>
    </row>
    <row r="37" spans="1:14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 t="s">
        <v>1521</v>
      </c>
      <c r="H37" s="71" t="s">
        <v>48</v>
      </c>
      <c r="I37" s="73" t="s">
        <v>48</v>
      </c>
      <c r="J37" s="95" t="s">
        <v>9</v>
      </c>
      <c r="K37" s="97"/>
      <c r="L37" s="73" t="s">
        <v>9</v>
      </c>
      <c r="M37" s="73"/>
      <c r="N37" s="98"/>
    </row>
    <row r="38" spans="1:14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73"/>
      <c r="N38" s="98"/>
    </row>
    <row r="39" spans="1:14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73"/>
      <c r="N39" s="98"/>
    </row>
    <row r="40" spans="1:14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73"/>
      <c r="N40" s="98"/>
    </row>
    <row r="41" spans="1:14" ht="14.25" customHeight="1" x14ac:dyDescent="0.35">
      <c r="A41" s="12"/>
      <c r="B41" s="157" t="s">
        <v>2328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73"/>
      <c r="N41" s="98"/>
    </row>
    <row r="42" spans="1:14" ht="14.25" customHeight="1" x14ac:dyDescent="0.35">
      <c r="A42" s="12"/>
      <c r="B42" s="9" t="s">
        <v>1979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73"/>
      <c r="N42" s="98"/>
    </row>
    <row r="43" spans="1:14" ht="14.25" customHeight="1" x14ac:dyDescent="0.35">
      <c r="A43" s="76" t="s">
        <v>113</v>
      </c>
      <c r="B43" s="9" t="s">
        <v>1980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73"/>
      <c r="N43" s="98"/>
    </row>
    <row r="44" spans="1:14" ht="14.25" customHeight="1" x14ac:dyDescent="0.35">
      <c r="A44" s="12"/>
      <c r="B44" s="9" t="s">
        <v>1981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73"/>
      <c r="N44" s="98"/>
    </row>
    <row r="45" spans="1:14" ht="14.25" customHeight="1" x14ac:dyDescent="0.35">
      <c r="A45" s="12"/>
      <c r="B45" s="9" t="s">
        <v>1982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73"/>
      <c r="N45" s="98"/>
    </row>
    <row r="46" spans="1:14" ht="14.25" customHeight="1" x14ac:dyDescent="0.35">
      <c r="A46" s="76" t="s">
        <v>121</v>
      </c>
      <c r="B46" s="9" t="s">
        <v>1983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73"/>
      <c r="N46" s="98"/>
    </row>
    <row r="47" spans="1:14" ht="14.25" customHeight="1" x14ac:dyDescent="0.35">
      <c r="A47" s="12"/>
      <c r="B47" s="9" t="s">
        <v>1984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73"/>
      <c r="N47" s="98"/>
    </row>
    <row r="48" spans="1:14" ht="14.25" customHeight="1" x14ac:dyDescent="0.35">
      <c r="A48" s="12"/>
      <c r="B48" s="9" t="s">
        <v>1985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73"/>
      <c r="N48" s="98"/>
    </row>
    <row r="49" spans="1:14" ht="14.25" hidden="1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73"/>
      <c r="N49" s="98"/>
    </row>
    <row r="50" spans="1:14" ht="14.25" customHeight="1" x14ac:dyDescent="0.35">
      <c r="A50" s="12"/>
      <c r="B50" s="9" t="s">
        <v>1986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73"/>
      <c r="N50" s="98"/>
    </row>
    <row r="51" spans="1:14" ht="14.25" customHeight="1" x14ac:dyDescent="0.35">
      <c r="A51" s="12"/>
      <c r="B51" s="9" t="s">
        <v>1987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73"/>
      <c r="N51" s="98"/>
    </row>
    <row r="52" spans="1:14" ht="14.25" hidden="1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73"/>
      <c r="N52" s="98"/>
    </row>
    <row r="53" spans="1:14" ht="14.25" hidden="1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73"/>
      <c r="N53" s="98"/>
    </row>
    <row r="54" spans="1:14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73"/>
      <c r="N54" s="98"/>
    </row>
    <row r="55" spans="1:14" ht="14.25" customHeight="1" x14ac:dyDescent="0.35">
      <c r="A55" s="12"/>
      <c r="B55" s="9" t="s">
        <v>1988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73"/>
      <c r="N55" s="98"/>
    </row>
    <row r="56" spans="1:14" ht="14.25" hidden="1" customHeight="1" x14ac:dyDescent="0.35">
      <c r="A56" s="12"/>
      <c r="B56" s="9"/>
      <c r="C56" s="10" t="s">
        <v>143</v>
      </c>
      <c r="D56" s="145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73"/>
      <c r="N56" s="98"/>
    </row>
    <row r="57" spans="1:14" ht="14.25" customHeight="1" x14ac:dyDescent="0.35">
      <c r="A57" s="12"/>
      <c r="B57" s="9" t="s">
        <v>1989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73"/>
      <c r="N57" s="98"/>
    </row>
    <row r="58" spans="1:14" ht="14.25" customHeight="1" x14ac:dyDescent="0.35">
      <c r="A58" s="12"/>
      <c r="B58" s="9" t="s">
        <v>1990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73"/>
      <c r="N58" s="98"/>
    </row>
    <row r="59" spans="1:14" ht="14.25" hidden="1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73"/>
      <c r="N59" s="98"/>
    </row>
    <row r="60" spans="1:14" ht="14.25" hidden="1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73"/>
      <c r="N60" s="98"/>
    </row>
    <row r="61" spans="1:14" ht="14.25" customHeight="1" x14ac:dyDescent="0.35">
      <c r="A61" s="76" t="s">
        <v>152</v>
      </c>
      <c r="B61" s="9" t="s">
        <v>1991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73"/>
      <c r="N61" s="98"/>
    </row>
    <row r="62" spans="1:14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73"/>
      <c r="N62" s="98"/>
    </row>
    <row r="63" spans="1:14" ht="14.25" hidden="1" customHeight="1" x14ac:dyDescent="0.35">
      <c r="A63" s="136" t="s">
        <v>2415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73"/>
      <c r="N63" s="98"/>
    </row>
    <row r="64" spans="1:14" ht="14.25" hidden="1" customHeight="1" x14ac:dyDescent="0.35">
      <c r="A64" s="136" t="s">
        <v>2415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73"/>
      <c r="N64" s="98"/>
    </row>
    <row r="65" spans="1:14" ht="14.25" hidden="1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73"/>
      <c r="N65" s="98"/>
    </row>
    <row r="66" spans="1:14" ht="14.25" customHeight="1" x14ac:dyDescent="0.35">
      <c r="A66" s="76"/>
      <c r="B66" s="9" t="s">
        <v>1992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73"/>
      <c r="N66" s="98"/>
    </row>
    <row r="67" spans="1:14" ht="14.25" customHeight="1" x14ac:dyDescent="0.35">
      <c r="A67" s="76" t="s">
        <v>162</v>
      </c>
      <c r="B67" s="9" t="s">
        <v>1993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73"/>
      <c r="N67" s="98"/>
    </row>
    <row r="68" spans="1:14" ht="14.25" customHeight="1" x14ac:dyDescent="0.35">
      <c r="A68" s="76"/>
      <c r="B68" s="9" t="s">
        <v>1994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73"/>
      <c r="N68" s="98"/>
    </row>
    <row r="69" spans="1:14" ht="14.25" hidden="1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73"/>
      <c r="N69" s="98"/>
    </row>
    <row r="70" spans="1:14" ht="14.25" customHeight="1" x14ac:dyDescent="0.35">
      <c r="A70" s="76"/>
      <c r="B70" s="9" t="s">
        <v>1995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73"/>
      <c r="N70" s="98"/>
    </row>
    <row r="71" spans="1:14" ht="14.25" customHeight="1" x14ac:dyDescent="0.35">
      <c r="A71" s="76"/>
      <c r="B71" s="9" t="s">
        <v>1996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73"/>
      <c r="N71" s="98"/>
    </row>
    <row r="72" spans="1:14" ht="14.25" hidden="1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73"/>
      <c r="N72" s="98"/>
    </row>
    <row r="73" spans="1:14" ht="14.25" customHeight="1" x14ac:dyDescent="0.35">
      <c r="A73" s="76"/>
      <c r="B73" s="9" t="s">
        <v>1997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73"/>
      <c r="N73" s="98"/>
    </row>
    <row r="74" spans="1:14" ht="14.25" hidden="1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73"/>
      <c r="N74" s="98"/>
    </row>
    <row r="75" spans="1:14" ht="14.25" hidden="1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73"/>
      <c r="N75" s="98"/>
    </row>
    <row r="76" spans="1:14" ht="14.25" hidden="1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73"/>
      <c r="N76" s="98"/>
    </row>
    <row r="77" spans="1:14" ht="14.25" hidden="1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73"/>
      <c r="N77" s="98"/>
    </row>
    <row r="78" spans="1:14" ht="14.25" customHeight="1" x14ac:dyDescent="0.35">
      <c r="A78" s="76"/>
      <c r="B78" s="9" t="s">
        <v>1998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73"/>
      <c r="N78" s="98"/>
    </row>
    <row r="79" spans="1:14" ht="14.25" hidden="1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73"/>
      <c r="N79" s="98"/>
    </row>
    <row r="80" spans="1:14" ht="14.25" customHeight="1" x14ac:dyDescent="0.35">
      <c r="A80" s="76"/>
      <c r="B80" s="35" t="s">
        <v>1999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73"/>
      <c r="N80" s="98"/>
    </row>
    <row r="81" spans="1:14" ht="14.25" customHeight="1" x14ac:dyDescent="0.35">
      <c r="A81" s="76"/>
      <c r="B81" s="9" t="s">
        <v>2000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73"/>
      <c r="N81" s="98"/>
    </row>
    <row r="82" spans="1:14" ht="14.25" customHeight="1" x14ac:dyDescent="0.35">
      <c r="A82" s="76"/>
      <c r="B82" s="9" t="s">
        <v>2001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73"/>
      <c r="N82" s="98"/>
    </row>
    <row r="83" spans="1:14" ht="14.25" customHeight="1" x14ac:dyDescent="0.35">
      <c r="A83" s="76"/>
      <c r="B83" s="90" t="s">
        <v>2002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73"/>
      <c r="N83" s="98"/>
    </row>
    <row r="84" spans="1:14" ht="14.25" customHeight="1" x14ac:dyDescent="0.35">
      <c r="A84" s="76"/>
      <c r="B84" s="90" t="s">
        <v>2003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73"/>
      <c r="N84" s="98"/>
    </row>
    <row r="85" spans="1:14" ht="14.25" customHeight="1" x14ac:dyDescent="0.35">
      <c r="A85" s="76"/>
      <c r="B85" s="90" t="s">
        <v>2004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73"/>
      <c r="N85" s="98"/>
    </row>
    <row r="86" spans="1:14" ht="14.25" customHeight="1" x14ac:dyDescent="0.35">
      <c r="A86" s="76"/>
      <c r="B86" s="90" t="s">
        <v>2005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73"/>
      <c r="N86" s="98"/>
    </row>
    <row r="87" spans="1:14" ht="14.25" customHeight="1" x14ac:dyDescent="0.35">
      <c r="A87" s="76"/>
      <c r="B87" s="90" t="s">
        <v>2006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73"/>
      <c r="N87" s="98"/>
    </row>
    <row r="88" spans="1:14" ht="14.25" customHeight="1" x14ac:dyDescent="0.35">
      <c r="A88" s="76"/>
      <c r="B88" s="90" t="s">
        <v>2007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73"/>
      <c r="N88" s="98"/>
    </row>
    <row r="89" spans="1:14" ht="14.25" hidden="1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73"/>
      <c r="N89" s="98"/>
    </row>
    <row r="90" spans="1:14" ht="14.25" customHeight="1" x14ac:dyDescent="0.35">
      <c r="A90" s="76" t="s">
        <v>211</v>
      </c>
      <c r="B90" s="90" t="s">
        <v>2008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73"/>
      <c r="N90" s="98"/>
    </row>
    <row r="91" spans="1:14" ht="14.25" customHeight="1" x14ac:dyDescent="0.35">
      <c r="A91" s="76" t="s">
        <v>215</v>
      </c>
      <c r="B91" s="90" t="s">
        <v>2009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73"/>
      <c r="N91" s="98"/>
    </row>
    <row r="92" spans="1:14" ht="14.25" customHeight="1" x14ac:dyDescent="0.35">
      <c r="A92" s="76"/>
      <c r="B92" s="90" t="s">
        <v>2010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73"/>
      <c r="N92" s="98"/>
    </row>
    <row r="93" spans="1:14" ht="14.25" hidden="1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73"/>
      <c r="N93" s="98"/>
    </row>
    <row r="94" spans="1:14" ht="14.25" customHeight="1" x14ac:dyDescent="0.35">
      <c r="A94" s="76" t="s">
        <v>222</v>
      </c>
      <c r="B94" s="90" t="s">
        <v>2011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73"/>
      <c r="N94" s="98"/>
    </row>
    <row r="95" spans="1:14" ht="14.25" hidden="1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73"/>
      <c r="N95" s="98"/>
    </row>
    <row r="96" spans="1:14" ht="14.25" hidden="1" customHeight="1" x14ac:dyDescent="0.35">
      <c r="A96" s="136" t="s">
        <v>2415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73"/>
      <c r="N96" s="98"/>
    </row>
    <row r="97" spans="1:14" ht="14.25" customHeight="1" x14ac:dyDescent="0.35">
      <c r="A97" s="76"/>
      <c r="B97" s="90" t="s">
        <v>2013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73"/>
      <c r="N97" s="98"/>
    </row>
    <row r="98" spans="1:14" ht="14.25" customHeight="1" x14ac:dyDescent="0.35">
      <c r="A98" s="76"/>
      <c r="B98" s="90" t="s">
        <v>2014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73"/>
      <c r="N98" s="98"/>
    </row>
    <row r="99" spans="1:14" ht="14.25" hidden="1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73"/>
      <c r="N99" s="98"/>
    </row>
    <row r="100" spans="1:14" ht="14.25" customHeight="1" x14ac:dyDescent="0.35">
      <c r="A100" s="76"/>
      <c r="B100" s="90" t="s">
        <v>2015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73"/>
      <c r="N100" s="98"/>
    </row>
    <row r="101" spans="1:14" ht="14.25" hidden="1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73"/>
      <c r="N101" s="98"/>
    </row>
    <row r="102" spans="1:14" ht="14.25" customHeight="1" x14ac:dyDescent="0.35">
      <c r="A102" s="76"/>
      <c r="B102" s="90" t="s">
        <v>2016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73"/>
      <c r="N102" s="98"/>
    </row>
    <row r="103" spans="1:14" ht="14.25" customHeight="1" x14ac:dyDescent="0.35">
      <c r="A103" s="76"/>
      <c r="B103" s="90" t="s">
        <v>2017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73"/>
      <c r="N103" s="98"/>
    </row>
    <row r="104" spans="1:14" ht="14.25" customHeight="1" x14ac:dyDescent="0.35">
      <c r="A104" s="76"/>
      <c r="B104" s="90" t="s">
        <v>2018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73"/>
      <c r="N104" s="98"/>
    </row>
    <row r="105" spans="1:14" ht="14.25" customHeight="1" x14ac:dyDescent="0.35">
      <c r="A105" s="76"/>
      <c r="B105" s="90" t="s">
        <v>2019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73"/>
      <c r="N105" s="98"/>
    </row>
    <row r="106" spans="1:14" ht="14.25" customHeight="1" x14ac:dyDescent="0.35">
      <c r="A106" s="76"/>
      <c r="B106" s="90" t="s">
        <v>2020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73"/>
      <c r="N106" s="98"/>
    </row>
    <row r="107" spans="1:14" ht="14.25" hidden="1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73"/>
      <c r="N107" s="98"/>
    </row>
    <row r="108" spans="1:14" ht="14.25" hidden="1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73"/>
      <c r="N108" s="98"/>
    </row>
    <row r="109" spans="1:14" ht="14.25" customHeight="1" x14ac:dyDescent="0.35">
      <c r="A109" s="77"/>
      <c r="B109" s="90" t="s">
        <v>2021</v>
      </c>
      <c r="C109" s="10" t="s">
        <v>158</v>
      </c>
      <c r="D109" s="11" t="s">
        <v>250</v>
      </c>
      <c r="E109" s="12">
        <v>21108</v>
      </c>
      <c r="F109" s="12"/>
      <c r="G109" s="154"/>
      <c r="H109" s="71" t="s">
        <v>48</v>
      </c>
      <c r="I109" s="73"/>
      <c r="J109" s="73"/>
      <c r="K109" s="97"/>
      <c r="L109" s="73"/>
      <c r="M109" s="73"/>
      <c r="N109" s="98"/>
    </row>
    <row r="110" spans="1:14" ht="14.25" customHeight="1" x14ac:dyDescent="0.35">
      <c r="A110" s="77"/>
      <c r="B110" s="90" t="s">
        <v>2022</v>
      </c>
      <c r="C110" s="10" t="s">
        <v>251</v>
      </c>
      <c r="D110" s="11" t="s">
        <v>252</v>
      </c>
      <c r="E110" s="12">
        <v>21109</v>
      </c>
      <c r="F110" s="12"/>
      <c r="G110" s="154"/>
      <c r="H110" s="71" t="s">
        <v>9</v>
      </c>
      <c r="I110" s="73"/>
      <c r="J110" s="73"/>
      <c r="K110" s="97"/>
      <c r="L110" s="73"/>
      <c r="M110" s="73"/>
      <c r="N110" s="98"/>
    </row>
    <row r="111" spans="1:14" ht="14.25" hidden="1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4"/>
      <c r="H111" s="71" t="s">
        <v>20</v>
      </c>
      <c r="I111" s="73"/>
      <c r="J111" s="73"/>
      <c r="K111" s="97"/>
      <c r="L111" s="73"/>
      <c r="M111" s="73"/>
      <c r="N111" s="98"/>
    </row>
    <row r="112" spans="1:14" ht="14.25" customHeight="1" x14ac:dyDescent="0.35">
      <c r="A112" s="77"/>
      <c r="B112" s="90" t="s">
        <v>2023</v>
      </c>
      <c r="C112" s="10" t="s">
        <v>255</v>
      </c>
      <c r="D112" s="11" t="s">
        <v>256</v>
      </c>
      <c r="E112" s="12">
        <v>21111</v>
      </c>
      <c r="F112" s="12"/>
      <c r="G112" s="155" t="s">
        <v>257</v>
      </c>
      <c r="H112" s="71" t="s">
        <v>48</v>
      </c>
      <c r="I112" s="73"/>
      <c r="J112" s="73"/>
      <c r="K112" s="97"/>
      <c r="L112" s="73"/>
      <c r="M112" s="73"/>
      <c r="N112" s="98"/>
    </row>
    <row r="113" spans="1:14" ht="14.25" hidden="1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4"/>
      <c r="H113" s="71" t="s">
        <v>48</v>
      </c>
      <c r="I113" s="73"/>
      <c r="J113" s="73"/>
      <c r="K113" s="97"/>
      <c r="L113" s="73"/>
      <c r="M113" s="73"/>
      <c r="N113" s="98"/>
    </row>
    <row r="114" spans="1:14" ht="14.25" customHeight="1" x14ac:dyDescent="0.35">
      <c r="A114" s="77"/>
      <c r="B114" s="90" t="s">
        <v>2024</v>
      </c>
      <c r="C114" s="10" t="s">
        <v>260</v>
      </c>
      <c r="D114" s="11" t="s">
        <v>261</v>
      </c>
      <c r="E114" s="12">
        <v>21113</v>
      </c>
      <c r="F114" s="12"/>
      <c r="G114" s="154"/>
      <c r="H114" s="71" t="s">
        <v>48</v>
      </c>
      <c r="I114" s="73"/>
      <c r="J114" s="73"/>
      <c r="K114" s="97"/>
      <c r="L114" s="73"/>
      <c r="M114" s="73"/>
      <c r="N114" s="98"/>
    </row>
    <row r="115" spans="1:14" ht="14.25" customHeight="1" x14ac:dyDescent="0.35">
      <c r="A115" s="77"/>
      <c r="B115" s="90" t="s">
        <v>2025</v>
      </c>
      <c r="C115" s="10" t="s">
        <v>262</v>
      </c>
      <c r="D115" s="11" t="s">
        <v>263</v>
      </c>
      <c r="E115" s="12">
        <v>21114</v>
      </c>
      <c r="F115" s="12"/>
      <c r="G115" s="154"/>
      <c r="H115" s="71" t="s">
        <v>48</v>
      </c>
      <c r="I115" s="73"/>
      <c r="J115" s="73"/>
      <c r="K115" s="97"/>
      <c r="L115" s="73"/>
      <c r="M115" s="73"/>
      <c r="N115" s="98"/>
    </row>
    <row r="116" spans="1:14" ht="14.25" customHeight="1" x14ac:dyDescent="0.35">
      <c r="A116" s="77"/>
      <c r="B116" s="90" t="s">
        <v>2026</v>
      </c>
      <c r="C116" s="10" t="s">
        <v>264</v>
      </c>
      <c r="D116" s="11" t="s">
        <v>265</v>
      </c>
      <c r="E116" s="12">
        <v>21115</v>
      </c>
      <c r="F116" s="12"/>
      <c r="G116" s="154"/>
      <c r="H116" s="71" t="s">
        <v>48</v>
      </c>
      <c r="I116" s="73"/>
      <c r="J116" s="73"/>
      <c r="K116" s="97"/>
      <c r="L116" s="73"/>
      <c r="M116" s="73"/>
      <c r="N116" s="98"/>
    </row>
    <row r="117" spans="1:14" ht="14.25" customHeight="1" x14ac:dyDescent="0.35">
      <c r="A117" s="77"/>
      <c r="B117" s="90" t="s">
        <v>2027</v>
      </c>
      <c r="C117" s="10" t="s">
        <v>125</v>
      </c>
      <c r="D117" s="11" t="s">
        <v>266</v>
      </c>
      <c r="E117" s="12">
        <v>21116</v>
      </c>
      <c r="F117" s="12"/>
      <c r="G117" s="155" t="s">
        <v>267</v>
      </c>
      <c r="H117" s="71" t="s">
        <v>48</v>
      </c>
      <c r="I117" s="73"/>
      <c r="J117" s="73"/>
      <c r="K117" s="97"/>
      <c r="L117" s="73"/>
      <c r="M117" s="73"/>
      <c r="N117" s="98"/>
    </row>
    <row r="118" spans="1:14" ht="14.25" hidden="1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4"/>
      <c r="H118" s="71" t="s">
        <v>20</v>
      </c>
      <c r="I118" s="73"/>
      <c r="J118" s="73"/>
      <c r="K118" s="97"/>
      <c r="L118" s="73"/>
      <c r="M118" s="73"/>
      <c r="N118" s="98"/>
    </row>
    <row r="119" spans="1:14" ht="14.25" customHeight="1" x14ac:dyDescent="0.35">
      <c r="A119" s="77"/>
      <c r="B119" s="90" t="s">
        <v>2028</v>
      </c>
      <c r="C119" s="10" t="s">
        <v>74</v>
      </c>
      <c r="D119" s="11" t="s">
        <v>270</v>
      </c>
      <c r="E119" s="12">
        <v>21118</v>
      </c>
      <c r="F119" s="12"/>
      <c r="G119" s="154"/>
      <c r="H119" s="71" t="s">
        <v>48</v>
      </c>
      <c r="I119" s="73"/>
      <c r="J119" s="73"/>
      <c r="K119" s="97"/>
      <c r="L119" s="73"/>
      <c r="M119" s="73"/>
      <c r="N119" s="98"/>
    </row>
    <row r="120" spans="1:14" ht="14.25" customHeight="1" x14ac:dyDescent="0.35">
      <c r="A120" s="77"/>
      <c r="B120" s="90" t="s">
        <v>2029</v>
      </c>
      <c r="C120" s="10" t="s">
        <v>271</v>
      </c>
      <c r="D120" s="11" t="s">
        <v>272</v>
      </c>
      <c r="E120" s="12">
        <v>21119</v>
      </c>
      <c r="F120" s="12"/>
      <c r="G120" s="154"/>
      <c r="H120" s="71" t="s">
        <v>48</v>
      </c>
      <c r="I120" s="73"/>
      <c r="J120" s="73"/>
      <c r="K120" s="97"/>
      <c r="L120" s="73"/>
      <c r="M120" s="73"/>
      <c r="N120" s="98"/>
    </row>
    <row r="121" spans="1:14" ht="14.25" hidden="1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4"/>
      <c r="H121" s="71" t="s">
        <v>20</v>
      </c>
      <c r="I121" s="73"/>
      <c r="J121" s="73"/>
      <c r="K121" s="97"/>
      <c r="L121" s="73"/>
      <c r="M121" s="73"/>
      <c r="N121" s="98"/>
    </row>
    <row r="122" spans="1:14" ht="14.25" customHeight="1" x14ac:dyDescent="0.35">
      <c r="A122" s="77"/>
      <c r="B122" s="90" t="s">
        <v>2030</v>
      </c>
      <c r="C122" s="10" t="s">
        <v>275</v>
      </c>
      <c r="D122" s="11" t="s">
        <v>276</v>
      </c>
      <c r="E122" s="12">
        <v>21121</v>
      </c>
      <c r="F122" s="12"/>
      <c r="G122" s="155" t="s">
        <v>277</v>
      </c>
      <c r="H122" s="71" t="s">
        <v>48</v>
      </c>
      <c r="I122" s="73"/>
      <c r="J122" s="73"/>
      <c r="K122" s="97"/>
      <c r="L122" s="73"/>
      <c r="M122" s="73"/>
      <c r="N122" s="98"/>
    </row>
    <row r="123" spans="1:14" ht="14.25" hidden="1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4"/>
      <c r="H123" s="71" t="s">
        <v>20</v>
      </c>
      <c r="I123" s="73"/>
      <c r="J123" s="73"/>
      <c r="K123" s="97"/>
      <c r="L123" s="73"/>
      <c r="M123" s="73"/>
      <c r="N123" s="98"/>
    </row>
    <row r="124" spans="1:14" ht="14.25" hidden="1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4"/>
      <c r="H124" s="71" t="s">
        <v>20</v>
      </c>
      <c r="I124" s="73"/>
      <c r="J124" s="73"/>
      <c r="K124" s="97"/>
      <c r="L124" s="73"/>
      <c r="M124" s="73"/>
      <c r="N124" s="98"/>
    </row>
    <row r="125" spans="1:14" ht="14.25" customHeight="1" x14ac:dyDescent="0.35">
      <c r="A125" s="77"/>
      <c r="B125" s="90" t="s">
        <v>2031</v>
      </c>
      <c r="C125" s="10" t="s">
        <v>281</v>
      </c>
      <c r="D125" s="11" t="s">
        <v>282</v>
      </c>
      <c r="E125" s="12">
        <v>21124</v>
      </c>
      <c r="F125" s="12"/>
      <c r="G125" s="155" t="s">
        <v>283</v>
      </c>
      <c r="H125" s="71" t="s">
        <v>48</v>
      </c>
      <c r="I125" s="73"/>
      <c r="J125" s="73"/>
      <c r="K125" s="97"/>
      <c r="L125" s="73"/>
      <c r="M125" s="73"/>
      <c r="N125" s="98"/>
    </row>
    <row r="126" spans="1:14" ht="14.25" hidden="1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4"/>
      <c r="H126" s="71" t="s">
        <v>20</v>
      </c>
      <c r="I126" s="73"/>
      <c r="J126" s="73"/>
      <c r="K126" s="97"/>
      <c r="L126" s="73"/>
      <c r="M126" s="73"/>
      <c r="N126" s="98"/>
    </row>
    <row r="127" spans="1:14" ht="14.25" customHeight="1" x14ac:dyDescent="0.35">
      <c r="A127" s="77"/>
      <c r="B127" s="90" t="s">
        <v>2032</v>
      </c>
      <c r="C127" s="10" t="s">
        <v>286</v>
      </c>
      <c r="D127" s="11" t="s">
        <v>287</v>
      </c>
      <c r="E127" s="12">
        <v>21126</v>
      </c>
      <c r="F127" s="12"/>
      <c r="G127" s="154"/>
      <c r="H127" s="71" t="s">
        <v>48</v>
      </c>
      <c r="I127" s="73"/>
      <c r="J127" s="73"/>
      <c r="K127" s="97"/>
      <c r="L127" s="73"/>
      <c r="M127" s="73"/>
      <c r="N127" s="98"/>
    </row>
    <row r="128" spans="1:14" ht="14.25" hidden="1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4"/>
      <c r="H128" s="71" t="s">
        <v>20</v>
      </c>
      <c r="I128" s="73"/>
      <c r="J128" s="73"/>
      <c r="K128" s="97"/>
      <c r="L128" s="73"/>
      <c r="M128" s="73"/>
      <c r="N128" s="98"/>
    </row>
    <row r="129" spans="1:14" ht="14.25" customHeight="1" x14ac:dyDescent="0.35">
      <c r="A129" s="77"/>
      <c r="B129" s="90" t="s">
        <v>2033</v>
      </c>
      <c r="C129" s="10" t="s">
        <v>290</v>
      </c>
      <c r="D129" s="11" t="s">
        <v>291</v>
      </c>
      <c r="E129" s="12">
        <v>21128</v>
      </c>
      <c r="F129" s="12"/>
      <c r="G129" s="154"/>
      <c r="H129" s="71" t="s">
        <v>48</v>
      </c>
      <c r="I129" s="73"/>
      <c r="J129" s="73"/>
      <c r="K129" s="97"/>
      <c r="L129" s="73"/>
      <c r="M129" s="73"/>
      <c r="N129" s="98"/>
    </row>
    <row r="130" spans="1:14" ht="14.25" customHeight="1" x14ac:dyDescent="0.35">
      <c r="A130" s="77"/>
      <c r="B130" s="90" t="s">
        <v>2034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73"/>
      <c r="N130" s="98"/>
    </row>
    <row r="131" spans="1:14" ht="14.25" hidden="1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73"/>
      <c r="N131" s="98"/>
    </row>
    <row r="132" spans="1:14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73"/>
      <c r="N132" s="98"/>
    </row>
    <row r="133" spans="1:14" ht="14.25" customHeight="1" x14ac:dyDescent="0.35">
      <c r="A133" s="77"/>
      <c r="B133" s="90" t="s">
        <v>2035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73"/>
      <c r="N133" s="98"/>
    </row>
    <row r="134" spans="1:14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73"/>
      <c r="N134" s="98"/>
    </row>
    <row r="135" spans="1:14" ht="14.25" hidden="1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73"/>
      <c r="N135" s="98"/>
    </row>
    <row r="136" spans="1:14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73"/>
      <c r="N136" s="98"/>
    </row>
    <row r="137" spans="1:14" ht="14.25" hidden="1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73"/>
      <c r="N137" s="98"/>
    </row>
    <row r="138" spans="1:14" ht="14.25" hidden="1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73"/>
      <c r="N138" s="98"/>
    </row>
    <row r="139" spans="1:14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73"/>
      <c r="N139" s="98"/>
    </row>
    <row r="140" spans="1:14" ht="14.25" hidden="1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73"/>
      <c r="N140" s="98"/>
    </row>
    <row r="141" spans="1:14" ht="14.25" customHeight="1" x14ac:dyDescent="0.35">
      <c r="A141" s="77"/>
      <c r="B141" s="90" t="s">
        <v>2036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73"/>
      <c r="N141" s="98"/>
    </row>
    <row r="142" spans="1:14" ht="14.25" customHeight="1" x14ac:dyDescent="0.35">
      <c r="A142" s="77"/>
      <c r="B142" s="90" t="s">
        <v>2037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73"/>
      <c r="N142" s="98"/>
    </row>
    <row r="143" spans="1:14" ht="14.25" hidden="1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73"/>
      <c r="N143" s="98"/>
    </row>
    <row r="144" spans="1:14" ht="14.25" customHeight="1" x14ac:dyDescent="0.35">
      <c r="A144" s="77"/>
      <c r="B144" s="90" t="s">
        <v>2038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73"/>
      <c r="N144" s="98"/>
    </row>
    <row r="145" spans="1:14" ht="14.25" hidden="1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73"/>
      <c r="N145" s="98"/>
    </row>
    <row r="146" spans="1:14" ht="14.25" hidden="1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73"/>
      <c r="N146" s="98"/>
    </row>
    <row r="147" spans="1:14" ht="14.25" hidden="1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73"/>
      <c r="N147" s="98"/>
    </row>
    <row r="148" spans="1:14" ht="14.25" customHeight="1" x14ac:dyDescent="0.35">
      <c r="A148" s="77"/>
      <c r="B148" s="90" t="s">
        <v>2039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73"/>
      <c r="N148" s="98"/>
    </row>
    <row r="149" spans="1:14" ht="14.25" hidden="1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73"/>
      <c r="N149" s="98"/>
    </row>
    <row r="150" spans="1:14" ht="14.25" hidden="1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73"/>
      <c r="N150" s="98"/>
    </row>
    <row r="151" spans="1:14" ht="14.25" customHeight="1" x14ac:dyDescent="0.35">
      <c r="A151" s="77"/>
      <c r="B151" s="90" t="s">
        <v>2040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73"/>
      <c r="N151" s="98"/>
    </row>
    <row r="152" spans="1:14" ht="14.25" customHeight="1" x14ac:dyDescent="0.35">
      <c r="A152" s="77"/>
      <c r="B152" s="90" t="s">
        <v>2041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73"/>
      <c r="N152" s="98"/>
    </row>
    <row r="153" spans="1:14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73"/>
      <c r="N153" s="98"/>
    </row>
    <row r="154" spans="1:14" ht="14.25" customHeight="1" x14ac:dyDescent="0.35">
      <c r="A154" s="77"/>
      <c r="B154" s="90" t="s">
        <v>2042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73"/>
      <c r="N154" s="98"/>
    </row>
    <row r="155" spans="1:14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73"/>
      <c r="N155" s="98"/>
    </row>
    <row r="156" spans="1:14" ht="14.25" customHeight="1" x14ac:dyDescent="0.35">
      <c r="A156" s="77"/>
      <c r="B156" s="90" t="s">
        <v>2043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73"/>
      <c r="N156" s="98"/>
    </row>
    <row r="157" spans="1:14" ht="14.25" customHeight="1" x14ac:dyDescent="0.35">
      <c r="A157" s="77"/>
      <c r="B157" s="90" t="s">
        <v>2044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73"/>
      <c r="N157" s="98"/>
    </row>
    <row r="158" spans="1:14" ht="14.25" hidden="1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73"/>
      <c r="N158" s="98"/>
    </row>
    <row r="159" spans="1:14" ht="14.25" hidden="1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73"/>
      <c r="N159" s="98"/>
    </row>
    <row r="160" spans="1:14" ht="14.25" hidden="1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73"/>
      <c r="N160" s="98"/>
    </row>
    <row r="161" spans="1:14" ht="14.25" customHeight="1" x14ac:dyDescent="0.35">
      <c r="A161" s="77" t="s">
        <v>345</v>
      </c>
      <c r="B161" s="90" t="s">
        <v>2045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73"/>
      <c r="N161" s="98"/>
    </row>
    <row r="162" spans="1:14" ht="14.25" customHeight="1" x14ac:dyDescent="0.35">
      <c r="A162" s="77"/>
      <c r="B162" s="90" t="s">
        <v>2046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73"/>
      <c r="N162" s="98"/>
    </row>
    <row r="163" spans="1:14" ht="14.25" hidden="1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73"/>
      <c r="N163" s="98"/>
    </row>
    <row r="164" spans="1:14" ht="14.25" customHeight="1" x14ac:dyDescent="0.35">
      <c r="A164" s="77" t="s">
        <v>350</v>
      </c>
      <c r="B164" s="90" t="s">
        <v>2047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73"/>
      <c r="N164" s="98"/>
    </row>
    <row r="165" spans="1:14" ht="14.25" customHeight="1" x14ac:dyDescent="0.35">
      <c r="A165" s="77"/>
      <c r="B165" s="90" t="s">
        <v>2048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73"/>
      <c r="N165" s="98"/>
    </row>
    <row r="166" spans="1:14" ht="14.25" customHeight="1" x14ac:dyDescent="0.35">
      <c r="A166" s="77" t="s">
        <v>355</v>
      </c>
      <c r="B166" s="90" t="s">
        <v>2049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73"/>
      <c r="N166" s="98"/>
    </row>
    <row r="167" spans="1:14" ht="14.25" hidden="1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73"/>
      <c r="N167" s="98"/>
    </row>
    <row r="168" spans="1:14" ht="14.25" customHeight="1" x14ac:dyDescent="0.35">
      <c r="A168" s="77"/>
      <c r="B168" s="90" t="s">
        <v>2050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73"/>
      <c r="N168" s="98"/>
    </row>
    <row r="169" spans="1:14" ht="14.25" customHeight="1" x14ac:dyDescent="0.35">
      <c r="A169" s="77"/>
      <c r="B169" s="90" t="s">
        <v>2051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73"/>
      <c r="N169" s="98"/>
    </row>
    <row r="170" spans="1:14" ht="14.25" hidden="1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73"/>
      <c r="N170" s="98"/>
    </row>
    <row r="171" spans="1:14" ht="14.25" customHeight="1" x14ac:dyDescent="0.35">
      <c r="A171" s="77"/>
      <c r="B171" s="90" t="s">
        <v>2052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73"/>
      <c r="N171" s="98"/>
    </row>
    <row r="172" spans="1:14" ht="14.25" customHeight="1" x14ac:dyDescent="0.35">
      <c r="A172" s="77"/>
      <c r="B172" s="90" t="s">
        <v>2053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73"/>
      <c r="N172" s="98"/>
    </row>
    <row r="173" spans="1:14" ht="14.25" customHeight="1" x14ac:dyDescent="0.35">
      <c r="A173" s="77"/>
      <c r="B173" s="90" t="s">
        <v>2054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73"/>
      <c r="N173" s="98"/>
    </row>
    <row r="174" spans="1:14" ht="14.25" hidden="1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73"/>
      <c r="N174" s="98"/>
    </row>
    <row r="175" spans="1:14" ht="14.25" customHeight="1" x14ac:dyDescent="0.35">
      <c r="A175" s="77"/>
      <c r="B175" s="90" t="s">
        <v>2055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73"/>
      <c r="N175" s="98"/>
    </row>
    <row r="176" spans="1:14" ht="14.25" customHeight="1" x14ac:dyDescent="0.35">
      <c r="A176" s="77" t="s">
        <v>378</v>
      </c>
      <c r="B176" s="90" t="s">
        <v>2056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73"/>
      <c r="N176" s="98"/>
    </row>
    <row r="177" spans="1:14" ht="14.25" customHeight="1" x14ac:dyDescent="0.35">
      <c r="A177" s="77"/>
      <c r="B177" s="90" t="s">
        <v>2057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73"/>
      <c r="N177" s="98"/>
    </row>
    <row r="178" spans="1:14" ht="14.25" customHeight="1" x14ac:dyDescent="0.35">
      <c r="A178" s="77"/>
      <c r="B178" s="90" t="s">
        <v>2058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73"/>
      <c r="N178" s="98"/>
    </row>
    <row r="179" spans="1:14" ht="14.25" hidden="1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73"/>
      <c r="N179" s="98"/>
    </row>
    <row r="180" spans="1:14" ht="14.25" hidden="1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73"/>
      <c r="N180" s="98"/>
    </row>
    <row r="181" spans="1:14" ht="14.25" hidden="1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73"/>
      <c r="N181" s="98"/>
    </row>
    <row r="182" spans="1:14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73"/>
      <c r="N182" s="98"/>
    </row>
    <row r="183" spans="1:14" ht="14.25" customHeight="1" x14ac:dyDescent="0.35">
      <c r="A183" s="77"/>
      <c r="B183" s="90" t="s">
        <v>2059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73"/>
      <c r="N183" s="98"/>
    </row>
    <row r="184" spans="1:14" ht="14.25" customHeight="1" x14ac:dyDescent="0.35">
      <c r="A184" s="77"/>
      <c r="B184" s="90" t="s">
        <v>2060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73"/>
      <c r="N184" s="98"/>
    </row>
    <row r="185" spans="1:14" ht="14.25" customHeight="1" x14ac:dyDescent="0.35">
      <c r="A185" s="77"/>
      <c r="B185" s="90" t="s">
        <v>2061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73"/>
      <c r="N185" s="98"/>
    </row>
    <row r="186" spans="1:14" ht="14.25" customHeight="1" x14ac:dyDescent="0.35">
      <c r="A186" s="77"/>
      <c r="B186" s="90" t="s">
        <v>2062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73"/>
      <c r="N186" s="98"/>
    </row>
    <row r="187" spans="1:14" ht="14.25" hidden="1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73"/>
      <c r="N187" s="98"/>
    </row>
    <row r="188" spans="1:14" ht="14.25" customHeight="1" x14ac:dyDescent="0.35">
      <c r="A188" s="77" t="s">
        <v>405</v>
      </c>
      <c r="B188" s="90" t="s">
        <v>2063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73"/>
      <c r="N188" s="98"/>
    </row>
    <row r="189" spans="1:14" ht="14.25" customHeight="1" x14ac:dyDescent="0.35">
      <c r="A189" s="77"/>
      <c r="B189" s="90" t="s">
        <v>2064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73"/>
      <c r="N189" s="98"/>
    </row>
    <row r="190" spans="1:14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73"/>
      <c r="N190" s="98"/>
    </row>
    <row r="191" spans="1:14" ht="14.25" customHeight="1" x14ac:dyDescent="0.35">
      <c r="A191" s="77"/>
      <c r="B191" s="90" t="s">
        <v>2065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73"/>
      <c r="N191" s="98"/>
    </row>
    <row r="192" spans="1:14" ht="14.25" customHeight="1" x14ac:dyDescent="0.35">
      <c r="A192" s="77" t="s">
        <v>412</v>
      </c>
      <c r="B192" s="90" t="s">
        <v>2066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73"/>
      <c r="N192" s="98"/>
    </row>
    <row r="193" spans="1:14" ht="14.25" customHeight="1" x14ac:dyDescent="0.35">
      <c r="A193" s="77"/>
      <c r="B193" s="90" t="s">
        <v>2067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 t="s">
        <v>9</v>
      </c>
      <c r="K193" s="97"/>
      <c r="L193" s="73" t="s">
        <v>53</v>
      </c>
      <c r="M193" s="73"/>
      <c r="N193" s="98"/>
    </row>
    <row r="194" spans="1:14" ht="14.25" customHeight="1" x14ac:dyDescent="0.35">
      <c r="A194" s="77"/>
      <c r="B194" s="90" t="s">
        <v>2068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73"/>
      <c r="N194" s="98"/>
    </row>
    <row r="195" spans="1:14" ht="14.25" customHeight="1" x14ac:dyDescent="0.35">
      <c r="A195" s="77"/>
      <c r="B195" s="90" t="s">
        <v>2069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73"/>
      <c r="N195" s="98"/>
    </row>
    <row r="196" spans="1:14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73"/>
      <c r="N196" s="98"/>
    </row>
    <row r="197" spans="1:14" ht="14.25" customHeight="1" x14ac:dyDescent="0.35">
      <c r="A197" s="77"/>
      <c r="B197" s="90" t="s">
        <v>2070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73"/>
      <c r="N197" s="98"/>
    </row>
    <row r="198" spans="1:14" ht="14.25" customHeight="1" x14ac:dyDescent="0.35">
      <c r="A198" s="77"/>
      <c r="B198" s="90" t="s">
        <v>2071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73"/>
      <c r="N198" s="98"/>
    </row>
    <row r="199" spans="1:14" ht="14.25" customHeight="1" x14ac:dyDescent="0.35">
      <c r="A199" s="77"/>
      <c r="B199" s="90" t="s">
        <v>2072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73"/>
      <c r="N199" s="98"/>
    </row>
    <row r="200" spans="1:14" ht="14.25" customHeight="1" x14ac:dyDescent="0.35">
      <c r="A200" s="77"/>
      <c r="B200" s="90" t="s">
        <v>2073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73"/>
      <c r="N200" s="98"/>
    </row>
    <row r="201" spans="1:14" ht="14.25" customHeight="1" x14ac:dyDescent="0.35">
      <c r="A201" s="137"/>
      <c r="B201" s="138" t="s">
        <v>2074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73"/>
      <c r="N201" s="98"/>
    </row>
    <row r="202" spans="1:14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73"/>
      <c r="N202" s="98"/>
    </row>
    <row r="203" spans="1:14" ht="14.25" hidden="1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73"/>
      <c r="N203" s="98"/>
    </row>
    <row r="204" spans="1:14" ht="14.25" hidden="1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73"/>
      <c r="N204" s="98"/>
    </row>
    <row r="205" spans="1:14" ht="14.25" hidden="1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73"/>
      <c r="N205" s="98"/>
    </row>
    <row r="206" spans="1:14" ht="14.25" hidden="1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73"/>
      <c r="N206" s="98"/>
    </row>
    <row r="207" spans="1:14" ht="14.25" customHeight="1" x14ac:dyDescent="0.35">
      <c r="A207" s="76" t="s">
        <v>441</v>
      </c>
      <c r="B207" s="90" t="s">
        <v>2075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73"/>
      <c r="N207" s="98"/>
    </row>
    <row r="208" spans="1:14" ht="14.25" customHeight="1" x14ac:dyDescent="0.35">
      <c r="A208" s="136" t="s">
        <v>2417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73"/>
      <c r="N208" s="98"/>
    </row>
    <row r="209" spans="1:14" ht="14.25" customHeight="1" x14ac:dyDescent="0.35">
      <c r="A209" s="76" t="s">
        <v>444</v>
      </c>
      <c r="B209" s="90" t="s">
        <v>2076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73"/>
      <c r="N209" s="98"/>
    </row>
    <row r="210" spans="1:14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73"/>
      <c r="N210" s="98"/>
    </row>
    <row r="211" spans="1:14" ht="14.25" customHeight="1" x14ac:dyDescent="0.35">
      <c r="A211" s="76" t="s">
        <v>450</v>
      </c>
      <c r="B211" s="91" t="s">
        <v>2077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73"/>
      <c r="N211" s="98"/>
    </row>
    <row r="212" spans="1:14" ht="14.25" customHeight="1" x14ac:dyDescent="0.35">
      <c r="A212" s="76" t="s">
        <v>453</v>
      </c>
      <c r="B212" s="91" t="s">
        <v>2078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73"/>
      <c r="N212" s="98"/>
    </row>
    <row r="213" spans="1:14" ht="14.25" customHeight="1" x14ac:dyDescent="0.35">
      <c r="A213" s="76"/>
      <c r="B213" s="90" t="s">
        <v>2079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73"/>
      <c r="N213" s="98"/>
    </row>
    <row r="214" spans="1:14" ht="14.25" customHeight="1" x14ac:dyDescent="0.35">
      <c r="A214" s="136" t="s">
        <v>2415</v>
      </c>
      <c r="B214" s="90" t="s">
        <v>2127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73"/>
      <c r="N214" s="98"/>
    </row>
    <row r="215" spans="1:14" ht="14.25" hidden="1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73"/>
      <c r="N215" s="98"/>
    </row>
    <row r="216" spans="1:14" ht="14.25" hidden="1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73"/>
      <c r="N216" s="98"/>
    </row>
    <row r="217" spans="1:14" ht="14.25" hidden="1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73"/>
      <c r="N217" s="98"/>
    </row>
    <row r="218" spans="1:14" ht="14.25" hidden="1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73"/>
      <c r="N218" s="98"/>
    </row>
    <row r="219" spans="1:14" ht="14.25" hidden="1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73"/>
      <c r="N219" s="98"/>
    </row>
    <row r="220" spans="1:14" ht="14.25" hidden="1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73"/>
      <c r="N220" s="98"/>
    </row>
    <row r="221" spans="1:14" ht="14.25" hidden="1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73"/>
      <c r="N221" s="98"/>
    </row>
    <row r="222" spans="1:14" ht="14.25" hidden="1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73"/>
      <c r="N222" s="98"/>
    </row>
    <row r="223" spans="1:14" ht="14.25" hidden="1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73"/>
      <c r="N223" s="98"/>
    </row>
    <row r="224" spans="1:14" ht="14.25" hidden="1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73"/>
      <c r="N224" s="98"/>
    </row>
    <row r="225" spans="1:14" ht="14.25" hidden="1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73"/>
      <c r="N225" s="98"/>
    </row>
    <row r="226" spans="1:14" ht="14.25" hidden="1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73"/>
      <c r="N226" s="98"/>
    </row>
    <row r="227" spans="1:14" ht="14.25" hidden="1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73"/>
      <c r="N227" s="98"/>
    </row>
    <row r="228" spans="1:14" ht="14.25" hidden="1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73"/>
      <c r="N228" s="98"/>
    </row>
    <row r="229" spans="1:14" ht="14.25" hidden="1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73"/>
      <c r="N229" s="98"/>
    </row>
    <row r="230" spans="1:14" ht="14.25" hidden="1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73"/>
      <c r="N230" s="98"/>
    </row>
    <row r="231" spans="1:14" ht="14.25" hidden="1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73"/>
      <c r="N231" s="98"/>
    </row>
    <row r="232" spans="1:14" ht="14.25" hidden="1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73"/>
      <c r="N232" s="98"/>
    </row>
    <row r="233" spans="1:14" ht="14.25" hidden="1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73"/>
      <c r="N233" s="98"/>
    </row>
    <row r="234" spans="1:14" ht="14.25" hidden="1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73"/>
      <c r="N234" s="98"/>
    </row>
    <row r="235" spans="1:14" ht="14.25" customHeight="1" x14ac:dyDescent="0.35">
      <c r="A235" s="141" t="s">
        <v>1901</v>
      </c>
      <c r="B235" s="105" t="s">
        <v>2329</v>
      </c>
      <c r="C235" s="10" t="s">
        <v>489</v>
      </c>
      <c r="D235" s="11" t="s">
        <v>1900</v>
      </c>
      <c r="E235" s="12">
        <v>22022</v>
      </c>
      <c r="F235" s="12"/>
      <c r="G235" s="12" t="s">
        <v>2458</v>
      </c>
      <c r="H235" s="68"/>
      <c r="I235" s="75" t="s">
        <v>48</v>
      </c>
      <c r="J235" s="73"/>
      <c r="K235" s="97"/>
      <c r="L235" s="73" t="s">
        <v>9</v>
      </c>
      <c r="M235" s="73"/>
      <c r="N235" s="98" t="s">
        <v>2459</v>
      </c>
    </row>
    <row r="236" spans="1:14" ht="14.25" hidden="1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73"/>
      <c r="N236" s="98"/>
    </row>
    <row r="237" spans="1:14" ht="14.25" hidden="1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73"/>
      <c r="N237" s="98"/>
    </row>
    <row r="238" spans="1:14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73"/>
      <c r="N238" s="98"/>
    </row>
    <row r="239" spans="1:14" ht="14.25" hidden="1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73"/>
      <c r="N239" s="98"/>
    </row>
    <row r="240" spans="1:14" ht="14.25" hidden="1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73"/>
      <c r="N240" s="98"/>
    </row>
    <row r="241" spans="1:14" ht="14.25" hidden="1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73"/>
      <c r="N241" s="98"/>
    </row>
    <row r="242" spans="1:14" ht="14.25" hidden="1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73"/>
      <c r="N242" s="98"/>
    </row>
    <row r="243" spans="1:14" ht="14.25" hidden="1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73"/>
      <c r="N243" s="98"/>
    </row>
    <row r="244" spans="1:14" ht="14.25" hidden="1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73"/>
      <c r="N244" s="98"/>
    </row>
    <row r="245" spans="1:14" ht="14.25" hidden="1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73"/>
      <c r="N245" s="98"/>
    </row>
    <row r="246" spans="1:14" ht="14.25" hidden="1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73"/>
      <c r="N246" s="98"/>
    </row>
    <row r="247" spans="1:14" ht="14.25" hidden="1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73"/>
      <c r="N247" s="98"/>
    </row>
    <row r="248" spans="1:14" ht="14.25" hidden="1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73"/>
      <c r="N248" s="98"/>
    </row>
    <row r="249" spans="1:14" ht="14.25" hidden="1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73"/>
      <c r="N249" s="98"/>
    </row>
    <row r="250" spans="1:14" ht="14.25" hidden="1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73"/>
      <c r="N250" s="98"/>
    </row>
    <row r="251" spans="1:14" ht="14.25" hidden="1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73"/>
      <c r="N251" s="98"/>
    </row>
    <row r="252" spans="1:14" ht="14.25" hidden="1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73"/>
      <c r="N252" s="98"/>
    </row>
    <row r="253" spans="1:14" ht="14.25" hidden="1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73"/>
      <c r="N253" s="98"/>
    </row>
    <row r="254" spans="1:14" ht="14.25" hidden="1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73"/>
      <c r="N254" s="98"/>
    </row>
    <row r="255" spans="1:14" ht="14.25" hidden="1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73"/>
      <c r="N255" s="98"/>
    </row>
    <row r="256" spans="1:14" ht="14.25" hidden="1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73"/>
      <c r="N256" s="98"/>
    </row>
    <row r="257" spans="1:14" ht="14.25" hidden="1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73"/>
      <c r="N257" s="98"/>
    </row>
    <row r="258" spans="1:14" ht="14.25" customHeight="1" x14ac:dyDescent="0.35">
      <c r="A258" s="136" t="s">
        <v>2413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73"/>
      <c r="N258" s="98"/>
    </row>
    <row r="259" spans="1:14" ht="14.25" hidden="1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73"/>
      <c r="N259" s="98"/>
    </row>
    <row r="260" spans="1:14" ht="14.25" hidden="1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73"/>
      <c r="N260" s="98"/>
    </row>
    <row r="261" spans="1:14" ht="14.25" hidden="1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73"/>
      <c r="N261" s="98"/>
    </row>
    <row r="262" spans="1:14" ht="14.25" hidden="1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73"/>
      <c r="N262" s="98"/>
    </row>
    <row r="263" spans="1:14" ht="14.25" hidden="1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73"/>
      <c r="N263" s="98"/>
    </row>
    <row r="264" spans="1:14" ht="14.25" hidden="1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73"/>
      <c r="N264" s="98"/>
    </row>
    <row r="265" spans="1:14" ht="14.25" hidden="1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73"/>
      <c r="N265" s="98"/>
    </row>
    <row r="266" spans="1:14" ht="14.25" hidden="1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73"/>
      <c r="N266" s="98"/>
    </row>
    <row r="267" spans="1:14" ht="14.25" hidden="1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73"/>
      <c r="N267" s="98"/>
    </row>
    <row r="268" spans="1:14" ht="14.25" hidden="1" customHeight="1" x14ac:dyDescent="0.35">
      <c r="A268" s="12"/>
      <c r="B268" s="24"/>
      <c r="C268" s="10" t="s">
        <v>538</v>
      </c>
      <c r="D268" s="145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73"/>
      <c r="N268" s="98"/>
    </row>
    <row r="269" spans="1:14" ht="14.25" hidden="1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73"/>
      <c r="N269" s="98"/>
    </row>
    <row r="270" spans="1:14" ht="14.25" hidden="1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73"/>
      <c r="N270" s="98"/>
    </row>
    <row r="271" spans="1:14" ht="14.25" hidden="1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73"/>
      <c r="N271" s="98"/>
    </row>
    <row r="272" spans="1:14" ht="14.25" hidden="1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73"/>
      <c r="N272" s="98"/>
    </row>
    <row r="273" spans="1:14" ht="14.25" hidden="1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73"/>
      <c r="N273" s="98"/>
    </row>
    <row r="274" spans="1:14" ht="14.25" hidden="1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73"/>
      <c r="N274" s="98"/>
    </row>
    <row r="275" spans="1:14" ht="14.25" hidden="1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73"/>
      <c r="N275" s="98"/>
    </row>
    <row r="276" spans="1:14" ht="14.25" hidden="1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73"/>
      <c r="N276" s="98"/>
    </row>
    <row r="277" spans="1:14" ht="14.25" hidden="1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73"/>
      <c r="N277" s="98"/>
    </row>
    <row r="278" spans="1:14" ht="14.25" hidden="1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73"/>
      <c r="N278" s="98"/>
    </row>
    <row r="279" spans="1:14" ht="14.25" hidden="1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73"/>
      <c r="N279" s="98"/>
    </row>
    <row r="280" spans="1:14" ht="14.25" hidden="1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73"/>
      <c r="N280" s="98"/>
    </row>
    <row r="281" spans="1:14" ht="14.25" hidden="1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73"/>
      <c r="N281" s="98"/>
    </row>
    <row r="282" spans="1:14" ht="14.25" hidden="1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73"/>
      <c r="N282" s="98"/>
    </row>
    <row r="283" spans="1:14" ht="14.25" hidden="1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73"/>
      <c r="N283" s="98"/>
    </row>
    <row r="284" spans="1:14" ht="14.25" hidden="1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73"/>
      <c r="N284" s="98"/>
    </row>
    <row r="285" spans="1:14" ht="14.25" hidden="1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73"/>
      <c r="N285" s="98"/>
    </row>
    <row r="286" spans="1:14" ht="14.25" hidden="1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73"/>
      <c r="N286" s="98"/>
    </row>
    <row r="287" spans="1:14" ht="14.25" hidden="1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73"/>
      <c r="N287" s="98"/>
    </row>
    <row r="288" spans="1:14" ht="14.25" hidden="1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73"/>
      <c r="N288" s="98"/>
    </row>
    <row r="289" spans="1:14" ht="14.25" hidden="1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73"/>
      <c r="N289" s="98"/>
    </row>
    <row r="290" spans="1:14" ht="14.25" hidden="1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73"/>
      <c r="N290" s="98"/>
    </row>
    <row r="291" spans="1:14" ht="14.25" hidden="1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73"/>
      <c r="N291" s="98"/>
    </row>
    <row r="292" spans="1:14" ht="14.25" hidden="1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73"/>
      <c r="N292" s="98"/>
    </row>
    <row r="293" spans="1:14" ht="14.25" hidden="1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73"/>
      <c r="N293" s="98"/>
    </row>
    <row r="294" spans="1:14" ht="14.25" hidden="1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73"/>
      <c r="N294" s="98"/>
    </row>
    <row r="295" spans="1:14" ht="14.25" hidden="1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73"/>
      <c r="N295" s="98"/>
    </row>
    <row r="296" spans="1:14" ht="14.25" hidden="1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73"/>
      <c r="N296" s="98"/>
    </row>
    <row r="297" spans="1:14" ht="14.25" hidden="1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73"/>
      <c r="N297" s="98"/>
    </row>
    <row r="298" spans="1:14" ht="14.25" hidden="1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73"/>
      <c r="N298" s="98"/>
    </row>
    <row r="299" spans="1:14" ht="14.25" hidden="1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73"/>
      <c r="N299" s="98"/>
    </row>
    <row r="300" spans="1:14" ht="14.25" hidden="1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73"/>
      <c r="N300" s="98"/>
    </row>
    <row r="301" spans="1:14" ht="14.25" hidden="1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73"/>
      <c r="N301" s="98"/>
    </row>
    <row r="302" spans="1:14" ht="14.25" hidden="1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73"/>
      <c r="N302" s="98"/>
    </row>
    <row r="303" spans="1:14" ht="14.25" hidden="1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73"/>
      <c r="N303" s="98"/>
    </row>
    <row r="304" spans="1:14" ht="14.25" hidden="1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73"/>
      <c r="N304" s="98"/>
    </row>
    <row r="305" spans="1:14" ht="14.25" hidden="1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73"/>
      <c r="N305" s="98"/>
    </row>
    <row r="306" spans="1:14" ht="14.25" hidden="1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73"/>
      <c r="N306" s="98"/>
    </row>
    <row r="307" spans="1:14" ht="14.25" hidden="1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73"/>
      <c r="N307" s="98"/>
    </row>
    <row r="308" spans="1:14" ht="14.25" hidden="1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73"/>
      <c r="N308" s="98"/>
    </row>
    <row r="309" spans="1:14" ht="14.25" hidden="1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73"/>
      <c r="N309" s="98"/>
    </row>
    <row r="310" spans="1:14" ht="14.25" hidden="1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73"/>
      <c r="N310" s="98"/>
    </row>
    <row r="311" spans="1:14" ht="14.25" hidden="1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73"/>
      <c r="N311" s="98"/>
    </row>
    <row r="312" spans="1:14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73"/>
      <c r="N312" s="98"/>
    </row>
    <row r="313" spans="1:14" ht="14.25" hidden="1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73"/>
      <c r="N313" s="98"/>
    </row>
    <row r="314" spans="1:14" ht="14.25" hidden="1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73"/>
      <c r="N314" s="98"/>
    </row>
    <row r="315" spans="1:14" ht="14.25" hidden="1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73"/>
      <c r="N315" s="98"/>
    </row>
    <row r="316" spans="1:14" ht="14.25" hidden="1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73"/>
      <c r="N316" s="98"/>
    </row>
    <row r="317" spans="1:14" ht="14.25" hidden="1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73"/>
      <c r="N317" s="98"/>
    </row>
    <row r="318" spans="1:14" ht="14.25" hidden="1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73"/>
      <c r="N318" s="98"/>
    </row>
    <row r="319" spans="1:14" ht="14.25" customHeight="1" x14ac:dyDescent="0.35">
      <c r="A319" s="12"/>
      <c r="B319" s="24" t="s">
        <v>2401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73"/>
      <c r="N319" s="98"/>
    </row>
    <row r="320" spans="1:14" ht="14.25" customHeight="1" x14ac:dyDescent="0.35">
      <c r="A320" s="76" t="s">
        <v>621</v>
      </c>
      <c r="B320" s="24" t="s">
        <v>2158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73"/>
      <c r="N320" s="98"/>
    </row>
    <row r="321" spans="1:14" ht="14.25" hidden="1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73"/>
      <c r="N321" s="98"/>
    </row>
    <row r="322" spans="1:14" ht="14.25" hidden="1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73"/>
      <c r="N322" s="98"/>
    </row>
    <row r="323" spans="1:14" ht="14.25" hidden="1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73"/>
      <c r="N323" s="98"/>
    </row>
    <row r="324" spans="1:14" ht="14.25" hidden="1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73"/>
      <c r="N324" s="98"/>
    </row>
    <row r="325" spans="1:14" ht="14.25" hidden="1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73"/>
      <c r="N325" s="98"/>
    </row>
    <row r="326" spans="1:14" ht="14.25" hidden="1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73"/>
      <c r="N326" s="98"/>
    </row>
    <row r="327" spans="1:14" ht="14.25" hidden="1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73"/>
      <c r="N327" s="98"/>
    </row>
    <row r="328" spans="1:14" ht="14.25" hidden="1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73"/>
      <c r="N328" s="98"/>
    </row>
    <row r="329" spans="1:14" ht="14.25" hidden="1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73"/>
      <c r="N329" s="98"/>
    </row>
    <row r="330" spans="1:14" ht="14.25" hidden="1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73"/>
      <c r="N330" s="98"/>
    </row>
    <row r="331" spans="1:14" ht="14.25" hidden="1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73"/>
      <c r="N331" s="98"/>
    </row>
    <row r="332" spans="1:14" ht="14.25" hidden="1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73"/>
      <c r="N332" s="98"/>
    </row>
    <row r="333" spans="1:14" ht="14.25" hidden="1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73"/>
      <c r="N333" s="98"/>
    </row>
    <row r="334" spans="1:14" ht="14.25" hidden="1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73"/>
      <c r="N334" s="98"/>
    </row>
    <row r="335" spans="1:14" ht="14.25" hidden="1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73"/>
      <c r="N335" s="98"/>
    </row>
    <row r="336" spans="1:14" ht="14.25" hidden="1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73"/>
      <c r="N336" s="98"/>
    </row>
    <row r="337" spans="1:14" ht="14.25" hidden="1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73"/>
      <c r="N337" s="98"/>
    </row>
    <row r="338" spans="1:14" ht="14.25" hidden="1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73"/>
      <c r="N338" s="98"/>
    </row>
    <row r="339" spans="1:14" ht="14.25" hidden="1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73"/>
      <c r="N339" s="98"/>
    </row>
    <row r="340" spans="1:14" ht="14.25" hidden="1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73"/>
      <c r="N340" s="98"/>
    </row>
    <row r="341" spans="1:14" ht="14.25" hidden="1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73"/>
      <c r="N341" s="98"/>
    </row>
    <row r="342" spans="1:14" ht="14.25" hidden="1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73"/>
      <c r="N342" s="98"/>
    </row>
    <row r="343" spans="1:14" ht="14.25" hidden="1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73"/>
      <c r="N343" s="98"/>
    </row>
    <row r="344" spans="1:14" ht="14.25" hidden="1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73"/>
      <c r="N344" s="98"/>
    </row>
    <row r="345" spans="1:14" ht="14.25" hidden="1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73"/>
      <c r="N345" s="98"/>
    </row>
    <row r="346" spans="1:14" ht="14.25" hidden="1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73"/>
      <c r="N346" s="98"/>
    </row>
    <row r="347" spans="1:14" ht="14.25" customHeight="1" x14ac:dyDescent="0.35">
      <c r="A347" s="12"/>
      <c r="B347" s="24" t="s">
        <v>2399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73"/>
      <c r="N347" s="98"/>
    </row>
    <row r="348" spans="1:14" ht="14.25" hidden="1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73"/>
      <c r="N348" s="98"/>
    </row>
    <row r="349" spans="1:14" ht="14.25" hidden="1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73"/>
      <c r="N349" s="98"/>
    </row>
    <row r="350" spans="1:14" ht="14.25" hidden="1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73"/>
      <c r="N350" s="98"/>
    </row>
    <row r="351" spans="1:14" ht="14.25" customHeight="1" x14ac:dyDescent="0.35">
      <c r="A351" s="12"/>
      <c r="B351" s="24" t="s">
        <v>2402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73"/>
      <c r="N351" s="98"/>
    </row>
    <row r="352" spans="1:14" ht="14.25" hidden="1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73"/>
      <c r="N352" s="98"/>
    </row>
    <row r="353" spans="1:14" ht="14.25" hidden="1" customHeight="1" x14ac:dyDescent="0.35">
      <c r="A353" s="12"/>
      <c r="B353" s="24"/>
      <c r="C353" s="10" t="s">
        <v>726</v>
      </c>
      <c r="D353" s="11" t="s">
        <v>2394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73"/>
      <c r="N353" s="98"/>
    </row>
    <row r="354" spans="1:14" ht="14.25" hidden="1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73"/>
      <c r="N354" s="98"/>
    </row>
    <row r="355" spans="1:14" ht="14.25" hidden="1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73"/>
      <c r="N355" s="98"/>
    </row>
    <row r="356" spans="1:14" ht="14.25" customHeight="1" x14ac:dyDescent="0.35">
      <c r="A356" s="12"/>
      <c r="B356" s="24" t="s">
        <v>2403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73"/>
      <c r="N356" s="98"/>
    </row>
    <row r="357" spans="1:14" ht="14.25" hidden="1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73"/>
      <c r="N357" s="98"/>
    </row>
    <row r="358" spans="1:14" ht="14.25" hidden="1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73"/>
      <c r="N358" s="98"/>
    </row>
    <row r="359" spans="1:14" ht="14.25" customHeight="1" x14ac:dyDescent="0.35">
      <c r="A359" s="12"/>
      <c r="B359" s="24" t="s">
        <v>2398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73"/>
      <c r="N359" s="98"/>
    </row>
    <row r="360" spans="1:14" ht="14.25" customHeight="1" x14ac:dyDescent="0.35">
      <c r="A360" s="12"/>
      <c r="B360" s="24" t="s">
        <v>2397</v>
      </c>
      <c r="C360" s="10" t="s">
        <v>116</v>
      </c>
      <c r="D360" s="11" t="s">
        <v>2396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73"/>
      <c r="N360" s="98"/>
    </row>
    <row r="361" spans="1:14" ht="14.25" hidden="1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73"/>
      <c r="N361" s="98"/>
    </row>
    <row r="362" spans="1:14" ht="14.25" hidden="1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73"/>
      <c r="N362" s="98"/>
    </row>
    <row r="363" spans="1:14" ht="14.25" customHeight="1" x14ac:dyDescent="0.35">
      <c r="A363" s="12"/>
      <c r="B363" s="24" t="s">
        <v>2395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73"/>
      <c r="N363" s="98"/>
    </row>
    <row r="364" spans="1:14" ht="14.25" hidden="1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73"/>
      <c r="N364" s="98"/>
    </row>
    <row r="365" spans="1:14" ht="14.25" hidden="1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73"/>
      <c r="N365" s="98"/>
    </row>
    <row r="366" spans="1:14" ht="14.25" hidden="1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73"/>
      <c r="N366" s="98"/>
    </row>
    <row r="367" spans="1:14" ht="14.25" hidden="1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73"/>
      <c r="N367" s="98"/>
    </row>
    <row r="368" spans="1:14" ht="14.25" hidden="1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73"/>
      <c r="N368" s="98"/>
    </row>
    <row r="369" spans="1:14" ht="14.25" customHeight="1" x14ac:dyDescent="0.35">
      <c r="A369" s="12"/>
      <c r="B369" s="24" t="s">
        <v>2400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73"/>
      <c r="N369" s="98"/>
    </row>
    <row r="370" spans="1:14" ht="14.25" hidden="1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73"/>
      <c r="N370" s="98"/>
    </row>
    <row r="371" spans="1:14" ht="14.25" hidden="1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73"/>
      <c r="N371" s="98"/>
    </row>
    <row r="372" spans="1:14" ht="14.25" customHeight="1" x14ac:dyDescent="0.35">
      <c r="A372" s="136" t="s">
        <v>1441</v>
      </c>
      <c r="B372" s="139" t="s">
        <v>2374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73"/>
      <c r="N372" s="98"/>
    </row>
    <row r="373" spans="1:14" ht="14.25" customHeight="1" x14ac:dyDescent="0.35">
      <c r="A373" s="12"/>
      <c r="B373" s="90" t="s">
        <v>2080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73"/>
      <c r="N373" s="98"/>
    </row>
    <row r="374" spans="1:14" ht="14.25" customHeight="1" x14ac:dyDescent="0.35">
      <c r="A374" s="76" t="s">
        <v>710</v>
      </c>
      <c r="B374" s="90" t="s">
        <v>2081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73"/>
      <c r="N374" s="98"/>
    </row>
    <row r="375" spans="1:14" ht="14.25" customHeight="1" x14ac:dyDescent="0.35">
      <c r="A375" s="76" t="s">
        <v>714</v>
      </c>
      <c r="B375" s="90" t="s">
        <v>2082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73"/>
      <c r="N375" s="98"/>
    </row>
    <row r="376" spans="1:14" ht="14.25" customHeight="1" x14ac:dyDescent="0.35">
      <c r="A376" s="12"/>
      <c r="B376" s="90" t="s">
        <v>2083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73"/>
      <c r="N376" s="98"/>
    </row>
    <row r="377" spans="1:14" ht="14.25" customHeight="1" x14ac:dyDescent="0.35">
      <c r="A377" s="136" t="s">
        <v>2415</v>
      </c>
      <c r="B377" s="90" t="s">
        <v>2127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73"/>
      <c r="N377" s="98"/>
    </row>
    <row r="378" spans="1:14" ht="14.25" customHeight="1" x14ac:dyDescent="0.35">
      <c r="A378" s="136" t="s">
        <v>2415</v>
      </c>
      <c r="B378" s="90" t="s">
        <v>2127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73"/>
      <c r="N378" s="98"/>
    </row>
    <row r="379" spans="1:14" ht="14.25" customHeight="1" x14ac:dyDescent="0.35">
      <c r="A379" s="76" t="s">
        <v>717</v>
      </c>
      <c r="B379" s="90" t="s">
        <v>2084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73"/>
      <c r="N379" s="98"/>
    </row>
    <row r="380" spans="1:14" ht="14.25" customHeight="1" x14ac:dyDescent="0.35">
      <c r="A380" s="12"/>
      <c r="B380" s="90" t="s">
        <v>2064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 t="s">
        <v>9</v>
      </c>
      <c r="M380" s="73"/>
      <c r="N380" s="98"/>
    </row>
    <row r="381" spans="1:14" ht="14.25" customHeight="1" x14ac:dyDescent="0.35">
      <c r="A381" s="76" t="s">
        <v>721</v>
      </c>
      <c r="B381" s="90" t="s">
        <v>2085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73"/>
      <c r="N381" s="98"/>
    </row>
    <row r="382" spans="1:14" ht="14.25" hidden="1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73"/>
      <c r="N382" s="98"/>
    </row>
    <row r="383" spans="1:14" ht="14.25" customHeight="1" x14ac:dyDescent="0.35">
      <c r="A383" s="136" t="s">
        <v>2404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73"/>
      <c r="N383" s="98"/>
    </row>
    <row r="384" spans="1:14" ht="14.25" customHeight="1" x14ac:dyDescent="0.35">
      <c r="A384" s="136" t="s">
        <v>2411</v>
      </c>
      <c r="B384" s="90" t="s">
        <v>2086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73"/>
      <c r="N384" s="98"/>
    </row>
    <row r="385" spans="1:14" ht="14.25" customHeight="1" x14ac:dyDescent="0.35">
      <c r="A385" s="12"/>
      <c r="B385" s="90" t="s">
        <v>2067</v>
      </c>
      <c r="C385" s="1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73"/>
      <c r="N385" s="98"/>
    </row>
    <row r="386" spans="1:14" ht="14.25" customHeight="1" x14ac:dyDescent="0.35">
      <c r="A386" s="136" t="s">
        <v>2412</v>
      </c>
      <c r="B386" s="9" t="s">
        <v>2158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73"/>
      <c r="N386" s="98"/>
    </row>
    <row r="387" spans="1:14" ht="14.25" hidden="1" customHeight="1" x14ac:dyDescent="0.35">
      <c r="A387" s="136" t="s">
        <v>2415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73"/>
      <c r="N387" s="98"/>
    </row>
    <row r="388" spans="1:14" ht="14.25" hidden="1" customHeight="1" x14ac:dyDescent="0.35">
      <c r="A388" s="136" t="s">
        <v>2415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73"/>
      <c r="N388" s="98"/>
    </row>
    <row r="389" spans="1:14" ht="14.25" customHeight="1" x14ac:dyDescent="0.35">
      <c r="A389" s="12"/>
      <c r="B389" s="9">
        <v>1713133697</v>
      </c>
      <c r="C389" s="1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73"/>
      <c r="N389" s="98"/>
    </row>
    <row r="390" spans="1:14" ht="14.25" hidden="1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73"/>
      <c r="N390" s="98"/>
    </row>
    <row r="391" spans="1:14" ht="14.25" hidden="1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73"/>
      <c r="N391" s="98"/>
    </row>
    <row r="392" spans="1:14" ht="14.25" hidden="1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73"/>
      <c r="N392" s="98"/>
    </row>
    <row r="393" spans="1:14" ht="14.25" customHeight="1" x14ac:dyDescent="0.35">
      <c r="A393" s="12"/>
      <c r="B393" s="90" t="s">
        <v>2087</v>
      </c>
      <c r="C393" s="1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73"/>
      <c r="N393" s="98"/>
    </row>
    <row r="394" spans="1:14" ht="14.25" hidden="1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73"/>
      <c r="N394" s="98"/>
    </row>
    <row r="395" spans="1:14" ht="14.25" customHeight="1" x14ac:dyDescent="0.35">
      <c r="A395" s="12"/>
      <c r="B395" s="9">
        <v>3855507802</v>
      </c>
      <c r="C395" s="1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73"/>
      <c r="N395" s="98"/>
    </row>
    <row r="396" spans="1:14" ht="14.25" hidden="1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73"/>
      <c r="N396" s="98"/>
    </row>
    <row r="397" spans="1:14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2393</v>
      </c>
      <c r="H397" s="68"/>
      <c r="I397" s="74"/>
      <c r="J397" s="75" t="s">
        <v>17</v>
      </c>
      <c r="K397" s="97"/>
      <c r="L397" s="73" t="s">
        <v>9</v>
      </c>
      <c r="M397" s="73"/>
      <c r="N397" s="98"/>
    </row>
    <row r="398" spans="1:14" ht="14.25" customHeight="1" x14ac:dyDescent="0.35">
      <c r="A398" s="12"/>
      <c r="B398" s="90" t="s">
        <v>2088</v>
      </c>
      <c r="C398" s="1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73"/>
      <c r="N398" s="98"/>
    </row>
    <row r="399" spans="1:14" ht="14.25" customHeight="1" x14ac:dyDescent="0.35">
      <c r="A399" s="12"/>
      <c r="B399" s="9">
        <v>727327160</v>
      </c>
      <c r="C399" s="1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73"/>
      <c r="N399" s="98"/>
    </row>
    <row r="400" spans="1:14" ht="14.25" customHeight="1" x14ac:dyDescent="0.35">
      <c r="A400" s="12"/>
      <c r="B400" s="9">
        <v>15777298948</v>
      </c>
      <c r="C400" s="1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73"/>
      <c r="N400" s="98"/>
    </row>
    <row r="401" spans="1:14" ht="14.25" customHeight="1" x14ac:dyDescent="0.35">
      <c r="A401" s="12"/>
      <c r="B401" s="90" t="s">
        <v>2089</v>
      </c>
      <c r="C401" s="1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73"/>
      <c r="N401" s="98"/>
    </row>
    <row r="402" spans="1:14" ht="14.25" customHeight="1" x14ac:dyDescent="0.35">
      <c r="A402" s="12"/>
      <c r="B402" s="90" t="s">
        <v>2090</v>
      </c>
      <c r="C402" s="1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73"/>
      <c r="N402" s="98"/>
    </row>
    <row r="403" spans="1:14" ht="14.25" hidden="1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73"/>
      <c r="N403" s="98"/>
    </row>
    <row r="404" spans="1:14" ht="14.25" customHeight="1" x14ac:dyDescent="0.35">
      <c r="A404" s="12"/>
      <c r="B404" s="90" t="s">
        <v>2091</v>
      </c>
      <c r="C404" s="1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73"/>
      <c r="N404" s="98"/>
    </row>
    <row r="405" spans="1:14" ht="14.25" customHeight="1" x14ac:dyDescent="0.35">
      <c r="A405" s="12"/>
      <c r="B405" s="90" t="s">
        <v>2092</v>
      </c>
      <c r="C405" s="1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73"/>
      <c r="N405" s="98"/>
    </row>
    <row r="406" spans="1:14" ht="14.25" hidden="1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73"/>
      <c r="N406" s="98"/>
    </row>
    <row r="407" spans="1:14" ht="14.25" hidden="1" customHeight="1" x14ac:dyDescent="0.35">
      <c r="A407" s="12"/>
      <c r="B407" s="9"/>
      <c r="C407" s="1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73"/>
      <c r="N407" s="98"/>
    </row>
    <row r="408" spans="1:14" ht="14.25" hidden="1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73"/>
      <c r="N408" s="98"/>
    </row>
    <row r="409" spans="1:14" ht="14.25" hidden="1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73"/>
      <c r="N409" s="98"/>
    </row>
    <row r="410" spans="1:14" ht="14.25" customHeight="1" x14ac:dyDescent="0.35">
      <c r="A410" s="12"/>
      <c r="B410" s="9">
        <v>704353898</v>
      </c>
      <c r="C410" s="1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73"/>
      <c r="N410" s="98"/>
    </row>
    <row r="411" spans="1:14" ht="14.25" customHeight="1" x14ac:dyDescent="0.35">
      <c r="A411" s="12"/>
      <c r="B411" s="9">
        <v>17620296529</v>
      </c>
      <c r="C411" s="1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73"/>
      <c r="N411" s="98"/>
    </row>
    <row r="412" spans="1:14" ht="14.25" customHeight="1" x14ac:dyDescent="0.35">
      <c r="A412" s="12"/>
      <c r="B412" s="9">
        <v>1708113782</v>
      </c>
      <c r="C412" s="1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73"/>
      <c r="N412" s="98"/>
    </row>
    <row r="413" spans="1:14" ht="14.25" hidden="1" customHeight="1" x14ac:dyDescent="0.35">
      <c r="A413" s="12"/>
      <c r="B413" s="9"/>
      <c r="C413" s="1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73"/>
      <c r="N413" s="98"/>
    </row>
    <row r="414" spans="1:14" ht="14.25" customHeight="1" x14ac:dyDescent="0.35">
      <c r="A414" s="12"/>
      <c r="B414" s="9">
        <v>708142032</v>
      </c>
      <c r="C414" s="1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73"/>
      <c r="N414" s="98"/>
    </row>
    <row r="415" spans="1:14" ht="14.25" customHeight="1" x14ac:dyDescent="0.35">
      <c r="A415" s="12"/>
      <c r="B415" s="90" t="s">
        <v>2093</v>
      </c>
      <c r="C415" s="1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73"/>
      <c r="N415" s="98"/>
    </row>
    <row r="416" spans="1:14" ht="14.25" customHeight="1" x14ac:dyDescent="0.35">
      <c r="A416" s="76" t="s">
        <v>783</v>
      </c>
      <c r="B416" s="90" t="s">
        <v>2094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73"/>
      <c r="N416" s="98"/>
    </row>
    <row r="417" spans="1:14" ht="14.25" customHeight="1" x14ac:dyDescent="0.35">
      <c r="A417" s="76" t="s">
        <v>786</v>
      </c>
      <c r="B417" s="90" t="s">
        <v>2095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73"/>
      <c r="N417" s="98"/>
    </row>
    <row r="418" spans="1:14" ht="14.25" customHeight="1" x14ac:dyDescent="0.35">
      <c r="A418" s="12"/>
      <c r="B418" s="9">
        <v>738253697</v>
      </c>
      <c r="C418" s="1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73"/>
      <c r="N418" s="98"/>
    </row>
    <row r="419" spans="1:14" ht="14.25" hidden="1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73"/>
      <c r="N419" s="98"/>
    </row>
    <row r="420" spans="1:14" ht="14.25" hidden="1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73"/>
      <c r="N420" s="98"/>
    </row>
    <row r="421" spans="1:14" ht="14.25" customHeight="1" x14ac:dyDescent="0.35">
      <c r="A421" s="76" t="s">
        <v>794</v>
      </c>
      <c r="B421" s="90" t="s">
        <v>2096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73"/>
      <c r="N421" s="98"/>
    </row>
    <row r="422" spans="1:14" ht="14.25" customHeight="1" x14ac:dyDescent="0.35">
      <c r="A422" s="12"/>
      <c r="B422" s="90" t="s">
        <v>2097</v>
      </c>
      <c r="C422" s="1" t="s">
        <v>797</v>
      </c>
      <c r="D422" s="10" t="s">
        <v>798</v>
      </c>
      <c r="E422" s="12">
        <v>23051</v>
      </c>
      <c r="F422" s="12"/>
      <c r="G422" s="156" t="s">
        <v>1149</v>
      </c>
      <c r="H422" s="68"/>
      <c r="I422" s="74"/>
      <c r="J422" s="75" t="s">
        <v>48</v>
      </c>
      <c r="K422" s="100" t="s">
        <v>9</v>
      </c>
      <c r="L422" s="73"/>
      <c r="M422" s="73"/>
      <c r="N422" s="98"/>
    </row>
    <row r="423" spans="1:14" ht="14.25" hidden="1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73"/>
      <c r="N423" s="98"/>
    </row>
    <row r="424" spans="1:14" ht="14.25" hidden="1" customHeight="1" x14ac:dyDescent="0.35">
      <c r="A424" s="12"/>
      <c r="B424" s="9"/>
      <c r="C424" s="1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73"/>
      <c r="N424" s="98"/>
    </row>
    <row r="425" spans="1:14" ht="14.25" customHeight="1" x14ac:dyDescent="0.35">
      <c r="A425" s="76" t="s">
        <v>802</v>
      </c>
      <c r="B425" s="90" t="s">
        <v>2098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73"/>
      <c r="N425" s="98"/>
    </row>
    <row r="426" spans="1:14" ht="14.25" customHeight="1" x14ac:dyDescent="0.35">
      <c r="A426" s="136" t="s">
        <v>2413</v>
      </c>
      <c r="B426" s="90" t="s">
        <v>1965</v>
      </c>
      <c r="C426" s="78" t="s">
        <v>50</v>
      </c>
      <c r="D426" s="145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73"/>
      <c r="N426" s="98"/>
    </row>
    <row r="427" spans="1:14" ht="14.25" customHeight="1" x14ac:dyDescent="0.35">
      <c r="A427" s="12"/>
      <c r="B427" s="9">
        <v>15158140306</v>
      </c>
      <c r="C427" s="1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73"/>
      <c r="N427" s="98"/>
    </row>
    <row r="428" spans="1:14" ht="14.25" customHeight="1" x14ac:dyDescent="0.35">
      <c r="A428" s="76" t="s">
        <v>808</v>
      </c>
      <c r="B428" s="90" t="s">
        <v>2099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73"/>
      <c r="N428" s="98"/>
    </row>
    <row r="429" spans="1:14" ht="14.25" hidden="1" customHeight="1" x14ac:dyDescent="0.35">
      <c r="A429" s="12"/>
      <c r="B429" s="9"/>
      <c r="C429" s="1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73"/>
      <c r="N429" s="98"/>
    </row>
    <row r="430" spans="1:14" ht="14.25" hidden="1" customHeight="1" x14ac:dyDescent="0.35">
      <c r="A430" s="12"/>
      <c r="B430" s="9"/>
      <c r="C430" s="1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73"/>
      <c r="N430" s="98"/>
    </row>
    <row r="431" spans="1:14" ht="14.25" hidden="1" customHeight="1" x14ac:dyDescent="0.35">
      <c r="A431" s="12"/>
      <c r="B431" s="9"/>
      <c r="C431" s="1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73"/>
      <c r="N431" s="98"/>
    </row>
    <row r="432" spans="1:14" ht="14.25" customHeight="1" x14ac:dyDescent="0.35">
      <c r="A432" s="76" t="s">
        <v>816</v>
      </c>
      <c r="B432" s="90" t="s">
        <v>2100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73"/>
      <c r="N432" s="98"/>
    </row>
    <row r="433" spans="1:14" ht="14.25" hidden="1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73"/>
      <c r="N433" s="98"/>
    </row>
    <row r="434" spans="1:14" ht="14.25" hidden="1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73"/>
      <c r="N434" s="98"/>
    </row>
    <row r="435" spans="1:14" ht="14.25" customHeight="1" x14ac:dyDescent="0.35">
      <c r="A435" s="12"/>
      <c r="B435" s="90" t="s">
        <v>2101</v>
      </c>
      <c r="C435" s="1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73"/>
      <c r="N435" s="98"/>
    </row>
    <row r="436" spans="1:14" ht="14.25" customHeight="1" x14ac:dyDescent="0.35">
      <c r="A436" s="12"/>
      <c r="B436" s="90" t="s">
        <v>2102</v>
      </c>
      <c r="C436" s="1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73"/>
      <c r="N436" s="98"/>
    </row>
    <row r="437" spans="1:14" ht="14.25" customHeight="1" x14ac:dyDescent="0.35">
      <c r="A437" s="76" t="s">
        <v>825</v>
      </c>
      <c r="B437" s="90" t="s">
        <v>2103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73"/>
      <c r="N437" s="98"/>
    </row>
    <row r="438" spans="1:14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73"/>
      <c r="N438" s="98"/>
    </row>
    <row r="439" spans="1:14" ht="14.25" customHeight="1" x14ac:dyDescent="0.35">
      <c r="A439" s="12"/>
      <c r="B439" s="90" t="s">
        <v>2104</v>
      </c>
      <c r="C439" s="1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73"/>
      <c r="N439" s="98"/>
    </row>
    <row r="440" spans="1:14" ht="14.25" customHeight="1" x14ac:dyDescent="0.35">
      <c r="A440" s="12"/>
      <c r="B440" s="9">
        <v>737767397</v>
      </c>
      <c r="C440" s="1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73"/>
      <c r="N440" s="98"/>
    </row>
    <row r="441" spans="1:14" ht="14.25" customHeight="1" x14ac:dyDescent="0.35">
      <c r="A441" s="12"/>
      <c r="B441" s="90" t="s">
        <v>2105</v>
      </c>
      <c r="C441" s="1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73"/>
      <c r="N441" s="98"/>
    </row>
    <row r="442" spans="1:14" ht="14.25" hidden="1" customHeight="1" x14ac:dyDescent="0.35">
      <c r="A442" s="12"/>
      <c r="B442" s="9"/>
      <c r="C442" s="1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73"/>
      <c r="N442" s="98"/>
    </row>
    <row r="443" spans="1:14" ht="14.25" customHeight="1" x14ac:dyDescent="0.35">
      <c r="A443" s="12"/>
      <c r="B443" s="90" t="s">
        <v>2106</v>
      </c>
      <c r="C443" s="1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73"/>
      <c r="N443" s="98"/>
    </row>
    <row r="444" spans="1:14" ht="14.25" hidden="1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73"/>
      <c r="N444" s="98"/>
    </row>
    <row r="445" spans="1:14" ht="14.25" hidden="1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73"/>
      <c r="N445" s="98"/>
    </row>
    <row r="446" spans="1:14" ht="14.25" hidden="1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73"/>
      <c r="N446" s="98"/>
    </row>
    <row r="447" spans="1:14" ht="14.25" customHeight="1" x14ac:dyDescent="0.35">
      <c r="A447" s="12"/>
      <c r="B447" s="90" t="s">
        <v>2107</v>
      </c>
      <c r="C447" s="1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73"/>
      <c r="N447" s="98"/>
    </row>
    <row r="448" spans="1:14" ht="14.25" customHeight="1" x14ac:dyDescent="0.35">
      <c r="A448" s="12"/>
      <c r="B448" s="9">
        <v>90621678</v>
      </c>
      <c r="C448" s="1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73"/>
      <c r="N448" s="98"/>
    </row>
    <row r="449" spans="1:14" ht="14.25" customHeight="1" x14ac:dyDescent="0.35">
      <c r="A449" s="12"/>
      <c r="B449" s="9">
        <v>705652873</v>
      </c>
      <c r="C449" s="1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73"/>
      <c r="N449" s="98"/>
    </row>
    <row r="450" spans="1:14" ht="14.25" customHeight="1" x14ac:dyDescent="0.35">
      <c r="A450" s="76" t="s">
        <v>850</v>
      </c>
      <c r="B450" s="90" t="s">
        <v>2108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73"/>
      <c r="N450" s="98"/>
    </row>
    <row r="451" spans="1:14" ht="14.25" hidden="1" customHeight="1" x14ac:dyDescent="0.35">
      <c r="A451" s="12"/>
      <c r="B451" s="9"/>
      <c r="C451" s="1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73"/>
      <c r="N451" s="98"/>
    </row>
    <row r="452" spans="1:14" ht="14.25" hidden="1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73"/>
      <c r="N452" s="98"/>
    </row>
    <row r="453" spans="1:14" ht="14.25" customHeight="1" x14ac:dyDescent="0.35">
      <c r="A453" s="12"/>
      <c r="B453" s="90" t="s">
        <v>2109</v>
      </c>
      <c r="C453" s="1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73"/>
      <c r="N453" s="98"/>
    </row>
    <row r="454" spans="1:14" ht="14.25" customHeight="1" x14ac:dyDescent="0.35">
      <c r="A454" s="12"/>
      <c r="B454" s="90" t="s">
        <v>2110</v>
      </c>
      <c r="C454" s="1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73"/>
      <c r="N454" s="98"/>
    </row>
    <row r="455" spans="1:14" ht="14.25" customHeight="1" x14ac:dyDescent="0.35">
      <c r="A455" s="12"/>
      <c r="B455" s="90" t="s">
        <v>2111</v>
      </c>
      <c r="C455" s="1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73"/>
      <c r="N455" s="98"/>
    </row>
    <row r="456" spans="1:14" ht="14.25" customHeight="1" x14ac:dyDescent="0.35">
      <c r="A456" s="12"/>
      <c r="B456" s="90" t="s">
        <v>2112</v>
      </c>
      <c r="C456" s="1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73"/>
      <c r="N456" s="98"/>
    </row>
    <row r="457" spans="1:14" ht="14.25" customHeight="1" x14ac:dyDescent="0.35">
      <c r="A457" s="12"/>
      <c r="B457" s="90" t="s">
        <v>2113</v>
      </c>
      <c r="C457" s="1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73"/>
      <c r="N457" s="98"/>
    </row>
    <row r="458" spans="1:14" ht="14.25" customHeight="1" x14ac:dyDescent="0.35">
      <c r="A458" s="12"/>
      <c r="B458" s="9">
        <v>531343511</v>
      </c>
      <c r="C458" s="1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73"/>
      <c r="N458" s="98"/>
    </row>
    <row r="459" spans="1:14" ht="14.25" customHeight="1" x14ac:dyDescent="0.35">
      <c r="A459" s="12"/>
      <c r="B459" s="90" t="s">
        <v>2114</v>
      </c>
      <c r="C459" s="1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73"/>
      <c r="N459" s="98"/>
    </row>
    <row r="460" spans="1:14" ht="14.25" hidden="1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73"/>
      <c r="N460" s="98"/>
    </row>
    <row r="461" spans="1:14" ht="14.25" hidden="1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73"/>
      <c r="N461" s="98"/>
    </row>
    <row r="462" spans="1:14" ht="14.25" customHeight="1" x14ac:dyDescent="0.35">
      <c r="A462" s="12"/>
      <c r="B462" s="90" t="s">
        <v>2115</v>
      </c>
      <c r="C462" s="1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73"/>
      <c r="N462" s="98"/>
    </row>
    <row r="463" spans="1:14" ht="14.25" customHeight="1" x14ac:dyDescent="0.35">
      <c r="A463" s="12"/>
      <c r="B463" s="9">
        <v>627349466</v>
      </c>
      <c r="C463" s="1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73"/>
      <c r="N463" s="98"/>
    </row>
    <row r="464" spans="1:14" ht="14.25" customHeight="1" x14ac:dyDescent="0.35">
      <c r="A464" s="12"/>
      <c r="B464" s="9">
        <v>17643882286</v>
      </c>
      <c r="C464" s="1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73"/>
      <c r="N464" s="98"/>
    </row>
    <row r="465" spans="1:14" ht="14.25" customHeight="1" x14ac:dyDescent="0.35">
      <c r="A465" s="12"/>
      <c r="B465" s="90" t="s">
        <v>2116</v>
      </c>
      <c r="C465" s="1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73"/>
      <c r="N465" s="98"/>
    </row>
    <row r="466" spans="1:14" ht="14.25" hidden="1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73"/>
      <c r="N466" s="98"/>
    </row>
    <row r="467" spans="1:14" ht="14.25" customHeight="1" x14ac:dyDescent="0.35">
      <c r="A467" s="12"/>
      <c r="B467" s="9">
        <v>733448215</v>
      </c>
      <c r="C467" s="1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73"/>
      <c r="N467" s="98"/>
    </row>
    <row r="468" spans="1:14" ht="14.25" customHeight="1" x14ac:dyDescent="0.35">
      <c r="A468" s="12"/>
      <c r="B468" s="90" t="s">
        <v>2117</v>
      </c>
      <c r="C468" s="1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73"/>
      <c r="N468" s="98"/>
    </row>
    <row r="469" spans="1:14" ht="14.25" customHeight="1" x14ac:dyDescent="0.35">
      <c r="A469" s="12"/>
      <c r="B469" s="9">
        <v>735733308</v>
      </c>
      <c r="C469" s="1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73"/>
      <c r="N469" s="98"/>
    </row>
    <row r="470" spans="1:14" ht="14.25" customHeight="1" x14ac:dyDescent="0.35">
      <c r="A470" s="12"/>
      <c r="B470" s="90" t="s">
        <v>2118</v>
      </c>
      <c r="C470" s="1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73"/>
      <c r="N470" s="98"/>
    </row>
    <row r="471" spans="1:14" ht="14.25" customHeight="1" x14ac:dyDescent="0.35">
      <c r="A471" s="12"/>
      <c r="B471" s="90" t="s">
        <v>2119</v>
      </c>
      <c r="C471" s="1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73"/>
      <c r="N471" s="98"/>
    </row>
    <row r="472" spans="1:14" ht="14.25" customHeight="1" x14ac:dyDescent="0.35">
      <c r="A472" s="12"/>
      <c r="B472" s="90" t="s">
        <v>2120</v>
      </c>
      <c r="C472" s="1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73"/>
      <c r="N472" s="98"/>
    </row>
    <row r="473" spans="1:14" ht="14.25" hidden="1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73"/>
      <c r="N473" s="98"/>
    </row>
    <row r="474" spans="1:14" ht="14.25" customHeight="1" x14ac:dyDescent="0.35">
      <c r="A474" s="12"/>
      <c r="B474" s="9">
        <v>17678221189</v>
      </c>
      <c r="C474" s="1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73"/>
      <c r="N474" s="98"/>
    </row>
    <row r="475" spans="1:14" ht="14.25" hidden="1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73"/>
      <c r="N475" s="98"/>
    </row>
    <row r="476" spans="1:14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73"/>
      <c r="N476" s="98"/>
    </row>
    <row r="477" spans="1:14" ht="14.25" customHeight="1" x14ac:dyDescent="0.35">
      <c r="A477" s="12"/>
      <c r="B477" s="90" t="s">
        <v>2121</v>
      </c>
      <c r="C477" s="1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73"/>
      <c r="N477" s="98"/>
    </row>
    <row r="478" spans="1:14" ht="14.25" hidden="1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73"/>
      <c r="N478" s="98"/>
    </row>
    <row r="479" spans="1:14" ht="14.25" customHeight="1" x14ac:dyDescent="0.35">
      <c r="A479" s="12"/>
      <c r="B479" s="90" t="s">
        <v>2122</v>
      </c>
      <c r="C479" s="1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73"/>
      <c r="N479" s="98"/>
    </row>
    <row r="480" spans="1:14" ht="14.25" hidden="1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73"/>
      <c r="N480" s="98"/>
    </row>
    <row r="481" spans="1:14" ht="14.25" customHeight="1" x14ac:dyDescent="0.35">
      <c r="A481" s="12"/>
      <c r="B481" s="90" t="s">
        <v>2123</v>
      </c>
      <c r="C481" s="1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73"/>
      <c r="N481" s="98"/>
    </row>
    <row r="482" spans="1:14" ht="14.25" customHeight="1" x14ac:dyDescent="0.35">
      <c r="A482" s="12"/>
      <c r="B482" s="9">
        <v>603509941</v>
      </c>
      <c r="C482" s="1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73"/>
      <c r="N482" s="98"/>
    </row>
    <row r="483" spans="1:14" ht="14.25" customHeight="1" x14ac:dyDescent="0.35">
      <c r="A483" s="76" t="s">
        <v>909</v>
      </c>
      <c r="B483" s="90" t="s">
        <v>2124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73"/>
      <c r="N483" s="98"/>
    </row>
    <row r="484" spans="1:14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73"/>
      <c r="N484" s="98"/>
    </row>
    <row r="485" spans="1:14" ht="14.25" customHeight="1" x14ac:dyDescent="0.35">
      <c r="A485" s="76" t="s">
        <v>912</v>
      </c>
      <c r="B485" s="90" t="s">
        <v>2125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73"/>
      <c r="N485" s="98"/>
    </row>
    <row r="486" spans="1:14" ht="14.25" customHeight="1" x14ac:dyDescent="0.35">
      <c r="A486" s="12"/>
      <c r="B486" s="9">
        <v>1727879613</v>
      </c>
      <c r="C486" s="1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73"/>
      <c r="N486" s="98"/>
    </row>
    <row r="487" spans="1:14" ht="14.25" hidden="1" customHeight="1" x14ac:dyDescent="0.35">
      <c r="A487" s="12"/>
      <c r="B487" s="9"/>
      <c r="C487" s="1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73"/>
      <c r="N487" s="98"/>
    </row>
    <row r="488" spans="1:14" ht="14.25" hidden="1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73"/>
      <c r="N488" s="98"/>
    </row>
    <row r="489" spans="1:14" ht="14.25" hidden="1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73"/>
      <c r="N489" s="98"/>
    </row>
    <row r="490" spans="1:14" ht="14.25" hidden="1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73"/>
      <c r="N490" s="98"/>
    </row>
    <row r="491" spans="1:14" ht="14.25" hidden="1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73"/>
      <c r="N491" s="98"/>
    </row>
    <row r="492" spans="1:14" ht="14.25" hidden="1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73"/>
      <c r="N492" s="98"/>
    </row>
    <row r="493" spans="1:14" ht="14.25" hidden="1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73"/>
      <c r="N493" s="98"/>
    </row>
    <row r="494" spans="1:14" ht="14.25" hidden="1" customHeight="1" x14ac:dyDescent="0.35">
      <c r="A494" s="12"/>
      <c r="B494" s="9"/>
      <c r="C494" s="1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73"/>
      <c r="N494" s="98"/>
    </row>
    <row r="495" spans="1:14" ht="14.25" hidden="1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73"/>
      <c r="N495" s="98"/>
    </row>
    <row r="496" spans="1:14" ht="14.25" hidden="1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73"/>
      <c r="N496" s="98"/>
    </row>
    <row r="497" spans="1:14" ht="14.25" hidden="1" customHeight="1" x14ac:dyDescent="0.35">
      <c r="A497" s="12"/>
      <c r="B497" s="9"/>
      <c r="C497" s="1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73"/>
      <c r="N497" s="98"/>
    </row>
    <row r="498" spans="1:14" ht="14.25" hidden="1" customHeight="1" x14ac:dyDescent="0.35">
      <c r="A498" s="12"/>
      <c r="B498" s="9"/>
      <c r="C498" s="1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73"/>
      <c r="N498" s="98"/>
    </row>
    <row r="499" spans="1:14" ht="14.25" hidden="1" customHeight="1" x14ac:dyDescent="0.35">
      <c r="A499" s="12"/>
      <c r="B499" s="9"/>
      <c r="C499" s="1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73"/>
      <c r="N499" s="98"/>
    </row>
    <row r="500" spans="1:14" ht="14.25" hidden="1" customHeight="1" x14ac:dyDescent="0.35">
      <c r="A500" s="12"/>
      <c r="B500" s="9"/>
      <c r="C500" s="1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73"/>
      <c r="N500" s="98"/>
    </row>
    <row r="501" spans="1:14" ht="14.25" hidden="1" customHeight="1" x14ac:dyDescent="0.35">
      <c r="A501" s="12"/>
      <c r="B501" s="9"/>
      <c r="C501" s="1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73"/>
      <c r="N501" s="98"/>
    </row>
    <row r="502" spans="1:14" ht="14.25" hidden="1" customHeight="1" x14ac:dyDescent="0.35">
      <c r="A502" s="12"/>
      <c r="B502" s="9"/>
      <c r="C502" s="1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73"/>
      <c r="N502" s="98"/>
    </row>
    <row r="503" spans="1:14" ht="14.25" hidden="1" customHeight="1" x14ac:dyDescent="0.35">
      <c r="A503" s="12"/>
      <c r="B503" s="9"/>
      <c r="C503" s="1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73"/>
      <c r="N503" s="98"/>
    </row>
    <row r="504" spans="1:14" ht="14.25" hidden="1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73"/>
      <c r="N504" s="98"/>
    </row>
    <row r="505" spans="1:14" ht="14.25" customHeight="1" x14ac:dyDescent="0.35">
      <c r="A505" s="136" t="s">
        <v>1480</v>
      </c>
      <c r="B505" s="90" t="s">
        <v>2126</v>
      </c>
      <c r="C505" s="1" t="s">
        <v>942</v>
      </c>
      <c r="D505" s="10" t="s">
        <v>943</v>
      </c>
      <c r="E505" s="12">
        <v>23134</v>
      </c>
      <c r="F505" s="12">
        <v>15</v>
      </c>
      <c r="G505" s="12" t="s">
        <v>2164</v>
      </c>
      <c r="H505" s="68"/>
      <c r="I505" s="74"/>
      <c r="J505" s="75" t="s">
        <v>9</v>
      </c>
      <c r="K505" s="97"/>
      <c r="L505" s="73" t="s">
        <v>9</v>
      </c>
      <c r="M505" s="73"/>
      <c r="N505" s="98"/>
    </row>
    <row r="506" spans="1:14" ht="14.25" hidden="1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73"/>
      <c r="N506" s="98"/>
    </row>
    <row r="507" spans="1:14" ht="14.25" hidden="1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73"/>
      <c r="N507" s="98"/>
    </row>
    <row r="508" spans="1:14" ht="14.25" hidden="1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73"/>
      <c r="N508" s="98"/>
    </row>
    <row r="509" spans="1:14" ht="14.25" hidden="1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73"/>
      <c r="N509" s="98"/>
    </row>
    <row r="510" spans="1:14" ht="14.25" hidden="1" customHeight="1" x14ac:dyDescent="0.35">
      <c r="A510" s="12"/>
      <c r="B510" s="9"/>
      <c r="C510" s="1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73"/>
      <c r="N510" s="98"/>
    </row>
    <row r="511" spans="1:14" ht="14.25" hidden="1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73"/>
      <c r="N511" s="98"/>
    </row>
    <row r="512" spans="1:14" ht="14.25" hidden="1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73"/>
      <c r="N512" s="98"/>
    </row>
    <row r="513" spans="1:14" ht="14.25" hidden="1" customHeight="1" x14ac:dyDescent="0.35">
      <c r="A513" s="12"/>
      <c r="B513" s="9"/>
      <c r="C513" s="1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73"/>
      <c r="N513" s="98"/>
    </row>
    <row r="514" spans="1:14" ht="14.25" hidden="1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73"/>
      <c r="N514" s="98"/>
    </row>
    <row r="515" spans="1:14" ht="14.25" hidden="1" customHeight="1" x14ac:dyDescent="0.35">
      <c r="A515" s="12"/>
      <c r="B515" s="9"/>
      <c r="C515" s="1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73"/>
      <c r="N515" s="98"/>
    </row>
    <row r="516" spans="1:14" ht="14.25" hidden="1" customHeight="1" x14ac:dyDescent="0.35">
      <c r="A516" s="12"/>
      <c r="B516" s="9"/>
      <c r="C516" s="1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73"/>
      <c r="N516" s="98"/>
    </row>
    <row r="517" spans="1:14" ht="14.25" hidden="1" customHeight="1" x14ac:dyDescent="0.35">
      <c r="A517" s="12"/>
      <c r="B517" s="9"/>
      <c r="C517" s="1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73"/>
      <c r="N517" s="98"/>
    </row>
    <row r="518" spans="1:14" ht="14.25" hidden="1" customHeight="1" x14ac:dyDescent="0.35">
      <c r="A518" s="12"/>
      <c r="B518" s="9"/>
      <c r="C518" s="1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73"/>
      <c r="N518" s="98"/>
    </row>
    <row r="519" spans="1:14" ht="14.25" hidden="1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73"/>
      <c r="N519" s="98"/>
    </row>
    <row r="520" spans="1:14" ht="14.25" hidden="1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73"/>
      <c r="N520" s="98"/>
    </row>
    <row r="521" spans="1:14" ht="14.25" hidden="1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73"/>
      <c r="N521" s="98"/>
    </row>
    <row r="522" spans="1:14" ht="14.25" hidden="1" customHeight="1" x14ac:dyDescent="0.35">
      <c r="A522" s="12"/>
      <c r="B522" s="9"/>
      <c r="C522" s="1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73"/>
      <c r="N522" s="98"/>
    </row>
    <row r="523" spans="1:14" ht="14.25" hidden="1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73"/>
      <c r="N523" s="98"/>
    </row>
    <row r="524" spans="1:14" ht="14.25" hidden="1" customHeight="1" x14ac:dyDescent="0.35">
      <c r="A524" s="12"/>
      <c r="B524" s="9"/>
      <c r="C524" s="1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73"/>
      <c r="N524" s="98"/>
    </row>
    <row r="525" spans="1:14" ht="14.25" hidden="1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73"/>
      <c r="N525" s="98"/>
    </row>
    <row r="526" spans="1:14" ht="14.25" hidden="1" customHeight="1" x14ac:dyDescent="0.35">
      <c r="A526" s="12"/>
      <c r="B526" s="9"/>
      <c r="C526" s="1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73"/>
      <c r="N526" s="98"/>
    </row>
    <row r="527" spans="1:14" ht="14.25" hidden="1" customHeight="1" x14ac:dyDescent="0.35">
      <c r="A527" s="12"/>
      <c r="B527" s="9"/>
      <c r="C527" s="1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73"/>
      <c r="N527" s="98"/>
    </row>
    <row r="528" spans="1:14" ht="14.25" hidden="1" customHeight="1" x14ac:dyDescent="0.35">
      <c r="A528" s="12"/>
      <c r="B528" s="9"/>
      <c r="C528" s="1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73"/>
      <c r="N528" s="98"/>
    </row>
    <row r="529" spans="1:14" ht="14.25" hidden="1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73"/>
      <c r="N529" s="98"/>
    </row>
    <row r="530" spans="1:14" ht="14.25" hidden="1" customHeight="1" x14ac:dyDescent="0.35">
      <c r="A530" s="12"/>
      <c r="B530" s="9"/>
      <c r="C530" s="1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73"/>
      <c r="N530" s="98"/>
    </row>
    <row r="531" spans="1:14" ht="14.25" hidden="1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73"/>
      <c r="N531" s="98"/>
    </row>
    <row r="532" spans="1:14" ht="14.25" hidden="1" customHeight="1" x14ac:dyDescent="0.35">
      <c r="A532" s="12"/>
      <c r="B532" s="9"/>
      <c r="C532" s="1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73"/>
      <c r="N532" s="98"/>
    </row>
    <row r="533" spans="1:14" ht="14.25" hidden="1" customHeight="1" x14ac:dyDescent="0.35">
      <c r="A533" s="12"/>
      <c r="B533" s="9"/>
      <c r="C533" s="1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73"/>
      <c r="N533" s="98"/>
    </row>
    <row r="534" spans="1:14" ht="14.25" hidden="1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73"/>
      <c r="N534" s="98"/>
    </row>
    <row r="535" spans="1:14" ht="14.25" hidden="1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73"/>
      <c r="N535" s="98"/>
    </row>
    <row r="536" spans="1:14" ht="14.25" hidden="1" customHeight="1" x14ac:dyDescent="0.35">
      <c r="A536" s="12"/>
      <c r="B536" s="9"/>
      <c r="C536" s="1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73"/>
      <c r="N536" s="98"/>
    </row>
    <row r="537" spans="1:14" ht="14.25" hidden="1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73"/>
      <c r="N537" s="98"/>
    </row>
    <row r="538" spans="1:14" ht="14.25" hidden="1" customHeight="1" x14ac:dyDescent="0.35">
      <c r="A538" s="12"/>
      <c r="B538" s="9"/>
      <c r="C538" s="1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73"/>
      <c r="N538" s="98"/>
    </row>
    <row r="539" spans="1:14" ht="14.25" hidden="1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73"/>
      <c r="N539" s="98"/>
    </row>
    <row r="540" spans="1:14" ht="14.25" hidden="1" customHeight="1" x14ac:dyDescent="0.35">
      <c r="A540" s="12"/>
      <c r="B540" s="9"/>
      <c r="C540" s="1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73"/>
      <c r="N540" s="98"/>
    </row>
    <row r="541" spans="1:14" ht="14.25" hidden="1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73"/>
      <c r="N541" s="98"/>
    </row>
    <row r="542" spans="1:14" ht="14.25" hidden="1" customHeight="1" x14ac:dyDescent="0.35">
      <c r="A542" s="12"/>
      <c r="B542" s="9"/>
      <c r="C542" s="1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73"/>
      <c r="N542" s="98"/>
    </row>
    <row r="543" spans="1:14" ht="14.25" hidden="1" customHeight="1" x14ac:dyDescent="0.35">
      <c r="A543" s="12"/>
      <c r="B543" s="9"/>
      <c r="C543" s="1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73"/>
      <c r="N543" s="98"/>
    </row>
    <row r="544" spans="1:14" ht="14.25" hidden="1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73"/>
      <c r="N544" s="98"/>
    </row>
    <row r="545" spans="1:14" ht="14.25" hidden="1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73"/>
      <c r="N545" s="98"/>
    </row>
    <row r="546" spans="1:14" ht="14.25" hidden="1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73"/>
      <c r="N546" s="98"/>
    </row>
    <row r="547" spans="1:14" ht="14.25" hidden="1" customHeight="1" x14ac:dyDescent="0.35">
      <c r="A547" s="12"/>
      <c r="B547" s="9"/>
      <c r="C547" s="1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73"/>
      <c r="N547" s="98"/>
    </row>
    <row r="548" spans="1:14" ht="14.25" hidden="1" customHeight="1" x14ac:dyDescent="0.35">
      <c r="A548" s="12"/>
      <c r="B548" s="9"/>
      <c r="C548" s="1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73"/>
      <c r="N548" s="98"/>
    </row>
    <row r="549" spans="1:14" ht="14.25" hidden="1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73"/>
      <c r="N549" s="98"/>
    </row>
    <row r="550" spans="1:14" ht="14.25" hidden="1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73"/>
      <c r="N550" s="98"/>
    </row>
    <row r="551" spans="1:14" ht="14.25" hidden="1" customHeight="1" x14ac:dyDescent="0.35">
      <c r="A551" s="12"/>
      <c r="B551" s="9"/>
      <c r="C551" s="1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73"/>
      <c r="N551" s="98"/>
    </row>
    <row r="552" spans="1:14" ht="14.25" hidden="1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73"/>
      <c r="N552" s="98"/>
    </row>
    <row r="553" spans="1:14" ht="14.25" hidden="1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73"/>
      <c r="N553" s="98"/>
    </row>
    <row r="554" spans="1:14" ht="14.25" customHeight="1" x14ac:dyDescent="0.35">
      <c r="A554" s="136" t="s">
        <v>2415</v>
      </c>
      <c r="B554" s="90" t="s">
        <v>2127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73"/>
      <c r="N554" s="98"/>
    </row>
    <row r="555" spans="1:14" ht="14.25" customHeight="1" x14ac:dyDescent="0.35">
      <c r="A555" s="136" t="s">
        <v>2415</v>
      </c>
      <c r="B555" s="90" t="s">
        <v>2127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73"/>
      <c r="N555" s="98"/>
    </row>
    <row r="556" spans="1:14" ht="14.25" customHeight="1" x14ac:dyDescent="0.35">
      <c r="A556" s="136" t="s">
        <v>2462</v>
      </c>
      <c r="B556" s="90" t="s">
        <v>2087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73"/>
      <c r="N556" s="98"/>
    </row>
    <row r="557" spans="1:14" ht="14.25" hidden="1" customHeight="1" x14ac:dyDescent="0.35">
      <c r="A557" s="12"/>
      <c r="B557" s="9"/>
      <c r="C557" s="1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73"/>
      <c r="N557" s="98"/>
    </row>
    <row r="558" spans="1:14" ht="14.25" customHeight="1" x14ac:dyDescent="0.35">
      <c r="A558" s="12"/>
      <c r="B558" s="90" t="s">
        <v>2128</v>
      </c>
      <c r="C558" s="1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73"/>
      <c r="N558" s="98"/>
    </row>
    <row r="559" spans="1:14" ht="14.25" hidden="1" customHeight="1" x14ac:dyDescent="0.35">
      <c r="A559" s="12"/>
      <c r="B559" s="9"/>
      <c r="C559" s="1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73"/>
      <c r="N559" s="98"/>
    </row>
    <row r="560" spans="1:14" ht="14.25" customHeight="1" x14ac:dyDescent="0.35">
      <c r="A560" s="76" t="s">
        <v>1021</v>
      </c>
      <c r="B560" s="90" t="s">
        <v>2129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73"/>
      <c r="N560" s="98"/>
    </row>
    <row r="561" spans="1:14" ht="14.25" hidden="1" customHeight="1" x14ac:dyDescent="0.35">
      <c r="A561" s="12"/>
      <c r="B561" s="9"/>
      <c r="C561" s="1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73"/>
      <c r="N561" s="98"/>
    </row>
    <row r="562" spans="1:14" ht="14.25" hidden="1" customHeight="1" x14ac:dyDescent="0.35">
      <c r="A562" s="12"/>
      <c r="B562" s="9"/>
      <c r="C562" s="1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73"/>
      <c r="N562" s="98"/>
    </row>
    <row r="563" spans="1:14" ht="14.25" customHeight="1" x14ac:dyDescent="0.35">
      <c r="A563" s="76" t="s">
        <v>1029</v>
      </c>
      <c r="B563" s="90" t="s">
        <v>2130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73"/>
      <c r="N563" s="98"/>
    </row>
    <row r="564" spans="1:14" ht="14.25" hidden="1" customHeight="1" x14ac:dyDescent="0.35">
      <c r="A564" s="12"/>
      <c r="B564" s="9"/>
      <c r="C564" s="1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73"/>
      <c r="N564" s="98"/>
    </row>
    <row r="565" spans="1:14" ht="14.25" hidden="1" customHeight="1" x14ac:dyDescent="0.35">
      <c r="A565" s="12"/>
      <c r="B565" s="9"/>
      <c r="C565" s="1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73"/>
      <c r="N565" s="98"/>
    </row>
    <row r="566" spans="1:14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73"/>
      <c r="N566" s="98"/>
    </row>
    <row r="567" spans="1:14" ht="14.25" customHeight="1" x14ac:dyDescent="0.35">
      <c r="A567" s="136" t="s">
        <v>2413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73"/>
      <c r="N567" s="98"/>
    </row>
    <row r="568" spans="1:14" ht="14.25" hidden="1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73"/>
      <c r="N568" s="98"/>
    </row>
    <row r="569" spans="1:14" ht="14.25" customHeight="1" x14ac:dyDescent="0.35">
      <c r="A569" s="12"/>
      <c r="B569" s="90" t="s">
        <v>2083</v>
      </c>
      <c r="C569" s="1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73"/>
      <c r="N569" s="98"/>
    </row>
    <row r="570" spans="1:14" ht="14.25" hidden="1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73"/>
      <c r="N570" s="98"/>
    </row>
    <row r="571" spans="1:14" ht="14.25" customHeight="1" x14ac:dyDescent="0.35">
      <c r="A571" s="76" t="s">
        <v>1040</v>
      </c>
      <c r="B571" s="90" t="s">
        <v>2131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73"/>
      <c r="N571" s="98"/>
    </row>
    <row r="572" spans="1:14" ht="14.25" hidden="1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73"/>
      <c r="N572" s="98"/>
    </row>
    <row r="573" spans="1:14" ht="14.25" hidden="1" customHeight="1" x14ac:dyDescent="0.35">
      <c r="A573" s="12"/>
      <c r="B573" s="9"/>
      <c r="C573" s="1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73"/>
      <c r="N573" s="98"/>
    </row>
    <row r="574" spans="1:14" ht="14.25" hidden="1" customHeight="1" x14ac:dyDescent="0.35">
      <c r="A574" s="12"/>
      <c r="B574" s="9"/>
      <c r="C574" s="1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73"/>
      <c r="N574" s="98"/>
    </row>
    <row r="575" spans="1:14" ht="14.25" customHeight="1" x14ac:dyDescent="0.35">
      <c r="A575" s="12"/>
      <c r="B575" s="9" t="s">
        <v>1046</v>
      </c>
      <c r="C575" s="1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73"/>
      <c r="N575" s="98"/>
    </row>
    <row r="576" spans="1:14" ht="14.25" customHeight="1" x14ac:dyDescent="0.35">
      <c r="A576" s="12"/>
      <c r="B576" s="9" t="s">
        <v>1049</v>
      </c>
      <c r="C576" s="1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73"/>
      <c r="N576" s="98"/>
    </row>
    <row r="577" spans="1:14" ht="14.25" hidden="1" customHeight="1" x14ac:dyDescent="0.35">
      <c r="A577" s="12"/>
      <c r="B577" s="9"/>
      <c r="C577" s="1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73"/>
      <c r="N577" s="98"/>
    </row>
    <row r="578" spans="1:14" ht="14.25" hidden="1" customHeight="1" x14ac:dyDescent="0.35">
      <c r="A578" s="12"/>
      <c r="B578" s="9"/>
      <c r="C578" s="1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73"/>
      <c r="N578" s="98"/>
    </row>
    <row r="579" spans="1:14" ht="14.25" hidden="1" customHeight="1" x14ac:dyDescent="0.35">
      <c r="A579" s="12"/>
      <c r="B579" s="9"/>
      <c r="C579" s="1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73"/>
      <c r="N579" s="98"/>
    </row>
    <row r="580" spans="1:14" ht="14.25" hidden="1" customHeight="1" x14ac:dyDescent="0.35">
      <c r="A580" s="12"/>
      <c r="B580" s="9"/>
      <c r="C580" s="1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73"/>
      <c r="N580" s="98"/>
    </row>
    <row r="581" spans="1:14" ht="14.25" hidden="1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73"/>
      <c r="N581" s="98"/>
    </row>
    <row r="582" spans="1:14" ht="14.25" customHeight="1" x14ac:dyDescent="0.35">
      <c r="A582" s="12"/>
      <c r="B582" s="90" t="s">
        <v>2132</v>
      </c>
      <c r="C582" s="1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73"/>
      <c r="N582" s="98"/>
    </row>
    <row r="583" spans="1:14" ht="14.25" hidden="1" customHeight="1" x14ac:dyDescent="0.35">
      <c r="A583" s="12"/>
      <c r="B583" s="9"/>
      <c r="C583" s="1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73"/>
      <c r="N583" s="98"/>
    </row>
    <row r="584" spans="1:14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73"/>
      <c r="N584" s="98"/>
    </row>
    <row r="585" spans="1:14" ht="14.25" hidden="1" customHeight="1" x14ac:dyDescent="0.35">
      <c r="A585" s="12"/>
      <c r="B585" s="9"/>
      <c r="C585" s="1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73"/>
      <c r="N585" s="98"/>
    </row>
    <row r="586" spans="1:14" ht="14.25" customHeight="1" x14ac:dyDescent="0.35">
      <c r="A586" s="76" t="s">
        <v>1065</v>
      </c>
      <c r="B586" s="90" t="s">
        <v>2089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73"/>
      <c r="N586" s="98"/>
    </row>
    <row r="587" spans="1:14" ht="14.25" customHeight="1" x14ac:dyDescent="0.35">
      <c r="A587" s="76" t="s">
        <v>1068</v>
      </c>
      <c r="B587" s="90" t="s">
        <v>1984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73"/>
      <c r="N587" s="98"/>
    </row>
    <row r="588" spans="1:14" ht="14.25" hidden="1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73"/>
      <c r="N588" s="98"/>
    </row>
    <row r="589" spans="1:14" ht="14.25" hidden="1" customHeight="1" x14ac:dyDescent="0.35">
      <c r="A589" s="12"/>
      <c r="B589" s="9"/>
      <c r="C589" s="1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73"/>
      <c r="N589" s="98"/>
    </row>
    <row r="590" spans="1:14" ht="14.25" hidden="1" customHeight="1" x14ac:dyDescent="0.35">
      <c r="A590" s="12"/>
      <c r="B590" s="9"/>
      <c r="C590" s="1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73"/>
      <c r="N590" s="98"/>
    </row>
    <row r="591" spans="1:14" ht="14.25" hidden="1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73"/>
      <c r="N591" s="98"/>
    </row>
    <row r="592" spans="1:14" ht="14.25" customHeight="1" x14ac:dyDescent="0.35">
      <c r="A592" s="12"/>
      <c r="B592" s="9" t="s">
        <v>1076</v>
      </c>
      <c r="C592" s="1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73"/>
      <c r="N592" s="98"/>
    </row>
    <row r="593" spans="1:14" ht="14.25" hidden="1" customHeight="1" x14ac:dyDescent="0.35">
      <c r="A593" s="12"/>
      <c r="B593" s="9"/>
      <c r="C593" s="1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73"/>
      <c r="N593" s="98"/>
    </row>
    <row r="594" spans="1:14" ht="14.25" customHeight="1" x14ac:dyDescent="0.35">
      <c r="A594" s="12"/>
      <c r="B594" s="90" t="s">
        <v>2133</v>
      </c>
      <c r="C594" s="1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73"/>
      <c r="N594" s="98"/>
    </row>
    <row r="595" spans="1:14" ht="14.25" hidden="1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73"/>
      <c r="N595" s="98"/>
    </row>
    <row r="596" spans="1:14" ht="14.25" hidden="1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73"/>
      <c r="N596" s="98"/>
    </row>
    <row r="597" spans="1:14" ht="14.25" customHeight="1" x14ac:dyDescent="0.35">
      <c r="A597" s="12"/>
      <c r="B597" s="9">
        <v>1705647547</v>
      </c>
      <c r="C597" s="1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73"/>
      <c r="N597" s="98"/>
    </row>
    <row r="598" spans="1:14" ht="14.25" customHeight="1" x14ac:dyDescent="0.35">
      <c r="A598" s="12"/>
      <c r="B598" s="90" t="s">
        <v>1967</v>
      </c>
      <c r="C598" s="1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73"/>
      <c r="N598" s="98"/>
    </row>
    <row r="599" spans="1:14" ht="14.25" hidden="1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73"/>
      <c r="N599" s="98"/>
    </row>
    <row r="600" spans="1:14" ht="14.25" customHeight="1" x14ac:dyDescent="0.35">
      <c r="A600" s="76" t="s">
        <v>1093</v>
      </c>
      <c r="B600" s="90" t="s">
        <v>2120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73"/>
      <c r="N600" s="98"/>
    </row>
    <row r="601" spans="1:14" ht="14.25" hidden="1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73"/>
      <c r="N601" s="98"/>
    </row>
    <row r="602" spans="1:14" ht="14.25" hidden="1" customHeight="1" x14ac:dyDescent="0.35">
      <c r="A602" s="12"/>
      <c r="B602" s="9"/>
      <c r="C602" s="1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73"/>
      <c r="N602" s="98"/>
    </row>
    <row r="603" spans="1:14" ht="14.25" hidden="1" customHeight="1" x14ac:dyDescent="0.35">
      <c r="A603" s="12"/>
      <c r="B603" s="9"/>
      <c r="C603" s="1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73"/>
      <c r="N603" s="98"/>
    </row>
    <row r="604" spans="1:14" ht="14.25" hidden="1" customHeight="1" x14ac:dyDescent="0.35">
      <c r="A604" s="12"/>
      <c r="B604" s="9"/>
      <c r="C604" s="1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73"/>
      <c r="N604" s="98"/>
    </row>
    <row r="605" spans="1:14" ht="14.25" hidden="1" customHeight="1" x14ac:dyDescent="0.35">
      <c r="A605" s="12"/>
      <c r="B605" s="9"/>
      <c r="C605" s="1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73"/>
      <c r="N605" s="98"/>
    </row>
    <row r="606" spans="1:14" ht="14.25" hidden="1" customHeight="1" x14ac:dyDescent="0.35">
      <c r="A606" s="12"/>
      <c r="B606" s="9"/>
      <c r="C606" s="1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73"/>
      <c r="N606" s="98"/>
    </row>
    <row r="607" spans="1:14" ht="14.25" hidden="1" customHeight="1" x14ac:dyDescent="0.35">
      <c r="A607" s="12"/>
      <c r="B607" s="9"/>
      <c r="C607" s="1" t="s">
        <v>1104</v>
      </c>
      <c r="D607" s="145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73"/>
      <c r="N607" s="98"/>
    </row>
    <row r="608" spans="1:14" ht="14.25" hidden="1" customHeight="1" x14ac:dyDescent="0.35">
      <c r="A608" s="12"/>
      <c r="B608" s="9"/>
      <c r="C608" s="1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73"/>
      <c r="N608" s="98"/>
    </row>
    <row r="609" spans="1:14" ht="14.25" hidden="1" customHeight="1" x14ac:dyDescent="0.35">
      <c r="A609" s="12"/>
      <c r="B609" s="9"/>
      <c r="C609" s="1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73"/>
      <c r="N609" s="98"/>
    </row>
    <row r="610" spans="1:14" ht="14.25" hidden="1" customHeight="1" x14ac:dyDescent="0.35">
      <c r="A610" s="12"/>
      <c r="B610" s="9"/>
      <c r="C610" s="1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73"/>
      <c r="N610" s="98"/>
    </row>
    <row r="611" spans="1:14" ht="14.25" customHeight="1" x14ac:dyDescent="0.35">
      <c r="A611" s="12"/>
      <c r="B611" s="90" t="s">
        <v>2134</v>
      </c>
      <c r="C611" s="1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73"/>
      <c r="N611" s="98"/>
    </row>
    <row r="612" spans="1:14" ht="14.25" customHeight="1" x14ac:dyDescent="0.35">
      <c r="A612" s="12"/>
      <c r="B612" s="90" t="s">
        <v>2135</v>
      </c>
      <c r="C612" s="1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73"/>
      <c r="N612" s="98"/>
    </row>
    <row r="613" spans="1:14" ht="14.25" customHeight="1" x14ac:dyDescent="0.35">
      <c r="A613" s="12"/>
      <c r="B613" s="90" t="s">
        <v>2136</v>
      </c>
      <c r="C613" s="1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73"/>
      <c r="N613" s="98"/>
    </row>
    <row r="614" spans="1:14" ht="14.25" hidden="1" customHeight="1" x14ac:dyDescent="0.35">
      <c r="A614" s="12"/>
      <c r="B614" s="9"/>
      <c r="C614" s="1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73"/>
      <c r="N614" s="98"/>
    </row>
    <row r="615" spans="1:14" ht="14.25" hidden="1" customHeight="1" x14ac:dyDescent="0.35">
      <c r="A615" s="12"/>
      <c r="B615" s="9"/>
      <c r="C615" s="1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73"/>
      <c r="N615" s="98"/>
    </row>
    <row r="616" spans="1:14" ht="14.25" customHeight="1" x14ac:dyDescent="0.35">
      <c r="A616" s="76" t="s">
        <v>1118</v>
      </c>
      <c r="B616" s="90" t="s">
        <v>2121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73"/>
      <c r="N616" s="98"/>
    </row>
    <row r="617" spans="1:14" ht="14.25" hidden="1" customHeight="1" x14ac:dyDescent="0.35">
      <c r="A617" s="12"/>
      <c r="B617" s="9"/>
      <c r="C617" s="1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73"/>
      <c r="N617" s="98"/>
    </row>
    <row r="618" spans="1:14" ht="14.25" customHeight="1" x14ac:dyDescent="0.35">
      <c r="A618" s="12"/>
      <c r="B618" s="9">
        <v>5731981212</v>
      </c>
      <c r="C618" s="1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73"/>
      <c r="N618" s="98"/>
    </row>
    <row r="619" spans="1:14" ht="14.25" hidden="1" customHeight="1" x14ac:dyDescent="0.35">
      <c r="A619" s="12"/>
      <c r="B619" s="9"/>
      <c r="C619" s="1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73"/>
      <c r="N619" s="98"/>
    </row>
    <row r="620" spans="1:14" ht="14.25" customHeight="1" x14ac:dyDescent="0.35">
      <c r="A620" s="12"/>
      <c r="B620" s="9">
        <v>46707296990</v>
      </c>
      <c r="C620" s="1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73"/>
      <c r="N620" s="98"/>
    </row>
    <row r="621" spans="1:14" ht="14.25" hidden="1" customHeight="1" x14ac:dyDescent="0.35">
      <c r="A621" s="12"/>
      <c r="B621" s="9"/>
      <c r="C621" s="1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73"/>
      <c r="N621" s="98"/>
    </row>
    <row r="622" spans="1:14" ht="14.25" hidden="1" customHeight="1" x14ac:dyDescent="0.35">
      <c r="A622" s="12"/>
      <c r="B622" s="9"/>
      <c r="C622" s="1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73"/>
      <c r="N622" s="98"/>
    </row>
    <row r="623" spans="1:14" ht="14.25" customHeight="1" x14ac:dyDescent="0.35">
      <c r="A623" s="12"/>
      <c r="B623" s="9" t="s">
        <v>1131</v>
      </c>
      <c r="C623" s="1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73"/>
      <c r="N623" s="98"/>
    </row>
    <row r="624" spans="1:14" ht="14.25" hidden="1" customHeight="1" x14ac:dyDescent="0.35">
      <c r="A624" s="12"/>
      <c r="B624" s="9"/>
      <c r="C624" s="1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73"/>
      <c r="N624" s="98"/>
    </row>
    <row r="625" spans="1:14" ht="14.25" customHeight="1" x14ac:dyDescent="0.35">
      <c r="A625" s="76" t="s">
        <v>1136</v>
      </c>
      <c r="B625" s="90" t="s">
        <v>2137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73"/>
      <c r="N625" s="98"/>
    </row>
    <row r="626" spans="1:14" ht="14.25" customHeight="1" x14ac:dyDescent="0.35">
      <c r="A626" s="12"/>
      <c r="B626" s="90" t="s">
        <v>2138</v>
      </c>
      <c r="C626" s="1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73"/>
      <c r="N626" s="98"/>
    </row>
    <row r="627" spans="1:14" ht="14.25" hidden="1" customHeight="1" x14ac:dyDescent="0.35">
      <c r="A627" s="12"/>
      <c r="B627" s="9"/>
      <c r="C627" s="1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73"/>
      <c r="N627" s="98"/>
    </row>
    <row r="628" spans="1:14" ht="14.25" hidden="1" customHeight="1" x14ac:dyDescent="0.35">
      <c r="A628" s="12"/>
      <c r="B628" s="9"/>
      <c r="C628" s="1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73"/>
      <c r="N628" s="98"/>
    </row>
    <row r="629" spans="1:14" ht="14.25" customHeight="1" x14ac:dyDescent="0.35">
      <c r="A629" s="76" t="s">
        <v>1144</v>
      </c>
      <c r="B629" s="90" t="s">
        <v>2139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73"/>
      <c r="N629" s="98"/>
    </row>
    <row r="630" spans="1:14" ht="14.25" customHeight="1" x14ac:dyDescent="0.35">
      <c r="A630" s="12"/>
      <c r="B630" s="90" t="s">
        <v>2140</v>
      </c>
      <c r="C630" s="1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73"/>
      <c r="N630" s="98"/>
    </row>
    <row r="631" spans="1:14" ht="14.25" customHeight="1" x14ac:dyDescent="0.35">
      <c r="A631" s="76" t="s">
        <v>1147</v>
      </c>
      <c r="B631" s="90" t="s">
        <v>2097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73"/>
      <c r="N631" s="98"/>
    </row>
    <row r="632" spans="1:14" ht="14.25" hidden="1" customHeight="1" x14ac:dyDescent="0.35">
      <c r="A632" s="12"/>
      <c r="B632" s="9"/>
      <c r="C632" s="1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73"/>
      <c r="N632" s="98"/>
    </row>
    <row r="633" spans="1:14" ht="14.25" hidden="1" customHeight="1" x14ac:dyDescent="0.35">
      <c r="A633" s="12"/>
      <c r="B633" s="9"/>
      <c r="C633" s="1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73"/>
      <c r="N633" s="98"/>
    </row>
    <row r="634" spans="1:14" ht="14.25" hidden="1" customHeight="1" x14ac:dyDescent="0.35">
      <c r="A634" s="12"/>
      <c r="B634" s="9"/>
      <c r="C634" s="1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73"/>
      <c r="N634" s="98"/>
    </row>
    <row r="635" spans="1:14" ht="14.25" hidden="1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73"/>
      <c r="N635" s="98"/>
    </row>
    <row r="636" spans="1:14" ht="14.25" hidden="1" customHeight="1" x14ac:dyDescent="0.35">
      <c r="A636" s="12"/>
      <c r="B636" s="9"/>
      <c r="C636" s="1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73"/>
      <c r="N636" s="98"/>
    </row>
    <row r="637" spans="1:14" ht="14.25" hidden="1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73"/>
      <c r="N637" s="98"/>
    </row>
    <row r="638" spans="1:14" ht="14.25" hidden="1" customHeight="1" x14ac:dyDescent="0.35">
      <c r="A638" s="12"/>
      <c r="B638" s="9"/>
      <c r="C638" s="1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73"/>
      <c r="N638" s="98"/>
    </row>
    <row r="639" spans="1:14" ht="14.25" customHeight="1" x14ac:dyDescent="0.35">
      <c r="A639" s="76" t="s">
        <v>1161</v>
      </c>
      <c r="B639" s="93" t="s">
        <v>2141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73"/>
      <c r="N639" s="98"/>
    </row>
    <row r="640" spans="1:14" ht="14.25" customHeight="1" x14ac:dyDescent="0.35">
      <c r="A640" s="12"/>
      <c r="B640" s="9" t="s">
        <v>1166</v>
      </c>
      <c r="C640" s="1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73"/>
      <c r="N640" s="98"/>
    </row>
    <row r="641" spans="1:14" ht="14.25" hidden="1" customHeight="1" x14ac:dyDescent="0.35">
      <c r="A641" s="12"/>
      <c r="B641" s="9"/>
      <c r="C641" s="1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73"/>
      <c r="N641" s="98"/>
    </row>
    <row r="642" spans="1:14" ht="14.25" customHeight="1" x14ac:dyDescent="0.35">
      <c r="A642" s="76" t="s">
        <v>1170</v>
      </c>
      <c r="B642" s="90" t="s">
        <v>2142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73"/>
      <c r="N642" s="98"/>
    </row>
    <row r="643" spans="1:14" ht="14.25" hidden="1" customHeight="1" x14ac:dyDescent="0.35">
      <c r="A643" s="12"/>
      <c r="B643" s="9"/>
      <c r="C643" s="1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73"/>
      <c r="N643" s="98"/>
    </row>
    <row r="644" spans="1:14" ht="14.25" hidden="1" customHeight="1" x14ac:dyDescent="0.35">
      <c r="A644" s="12"/>
      <c r="B644" s="9"/>
      <c r="C644" s="1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73"/>
      <c r="N644" s="98"/>
    </row>
    <row r="645" spans="1:14" ht="14.25" hidden="1" customHeight="1" x14ac:dyDescent="0.35">
      <c r="A645" s="12"/>
      <c r="B645" s="9"/>
      <c r="C645" s="1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73"/>
      <c r="N645" s="98"/>
    </row>
    <row r="646" spans="1:14" ht="14.25" hidden="1" customHeight="1" x14ac:dyDescent="0.35">
      <c r="A646" s="12"/>
      <c r="B646" s="9"/>
      <c r="C646" s="1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73"/>
      <c r="N646" s="98"/>
    </row>
    <row r="647" spans="1:14" ht="14.25" hidden="1" customHeight="1" x14ac:dyDescent="0.35">
      <c r="A647" s="12"/>
      <c r="B647" s="9"/>
      <c r="C647" s="1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73"/>
      <c r="N647" s="98"/>
    </row>
    <row r="648" spans="1:14" ht="14.25" hidden="1" customHeight="1" x14ac:dyDescent="0.35">
      <c r="A648" s="12"/>
      <c r="B648" s="9"/>
      <c r="C648" s="1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73"/>
      <c r="N648" s="98"/>
    </row>
    <row r="649" spans="1:14" ht="14.25" customHeight="1" x14ac:dyDescent="0.35">
      <c r="A649" s="12"/>
      <c r="B649" s="90" t="s">
        <v>2143</v>
      </c>
      <c r="C649" s="1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73"/>
      <c r="N649" s="98"/>
    </row>
    <row r="650" spans="1:14" ht="14.25" hidden="1" customHeight="1" x14ac:dyDescent="0.35">
      <c r="A650" s="12"/>
      <c r="B650" s="9"/>
      <c r="C650" s="1" t="s">
        <v>1182</v>
      </c>
      <c r="D650" s="10" t="s">
        <v>1183</v>
      </c>
      <c r="E650" s="12">
        <v>24098</v>
      </c>
      <c r="F650" s="12"/>
      <c r="G650" s="12"/>
      <c r="H650" s="12"/>
      <c r="I650" s="149"/>
      <c r="J650" s="149"/>
      <c r="K650" s="152" t="s">
        <v>48</v>
      </c>
      <c r="L650" s="73"/>
      <c r="M650" s="73"/>
      <c r="N650" s="98"/>
    </row>
    <row r="651" spans="1:14" ht="14.25" hidden="1" customHeight="1" x14ac:dyDescent="0.35">
      <c r="A651" s="12"/>
      <c r="B651" s="9"/>
      <c r="C651" s="1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0" t="s">
        <v>20</v>
      </c>
      <c r="L651" s="73"/>
      <c r="M651" s="73"/>
      <c r="N651" s="98"/>
    </row>
    <row r="652" spans="1:14" ht="14.25" hidden="1" customHeight="1" x14ac:dyDescent="0.35">
      <c r="A652" s="12"/>
      <c r="B652" s="9"/>
      <c r="C652" s="1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0" t="s">
        <v>48</v>
      </c>
      <c r="L652" s="73"/>
      <c r="M652" s="73"/>
      <c r="N652" s="98"/>
    </row>
    <row r="653" spans="1:14" ht="14.25" customHeight="1" x14ac:dyDescent="0.35">
      <c r="A653" s="12"/>
      <c r="B653" s="9" t="s">
        <v>1188</v>
      </c>
      <c r="C653" s="1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0" t="s">
        <v>48</v>
      </c>
      <c r="L653" s="73"/>
      <c r="M653" s="73"/>
      <c r="N653" s="98"/>
    </row>
    <row r="654" spans="1:14" ht="14.25" customHeight="1" x14ac:dyDescent="0.35">
      <c r="A654" s="12"/>
      <c r="B654" s="90" t="s">
        <v>2144</v>
      </c>
      <c r="C654" s="1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0" t="s">
        <v>48</v>
      </c>
      <c r="L654" s="73"/>
      <c r="M654" s="73"/>
      <c r="N654" s="98"/>
    </row>
    <row r="655" spans="1:14" ht="14.25" hidden="1" customHeight="1" x14ac:dyDescent="0.35">
      <c r="A655" s="12"/>
      <c r="B655" s="9"/>
      <c r="C655" s="1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0" t="s">
        <v>48</v>
      </c>
      <c r="L655" s="73"/>
      <c r="M655" s="73"/>
      <c r="N655" s="98"/>
    </row>
    <row r="656" spans="1:14" ht="14.25" hidden="1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0" t="s">
        <v>9</v>
      </c>
      <c r="L656" s="73"/>
      <c r="M656" s="73"/>
      <c r="N656" s="98"/>
    </row>
    <row r="657" spans="1:14" ht="14.25" customHeight="1" x14ac:dyDescent="0.35">
      <c r="A657" s="76"/>
      <c r="B657" s="93" t="s">
        <v>2145</v>
      </c>
      <c r="C657" s="1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0" t="s">
        <v>9</v>
      </c>
      <c r="L657" s="73"/>
      <c r="M657" s="73"/>
      <c r="N657" s="98"/>
    </row>
    <row r="658" spans="1:14" ht="14.25" hidden="1" customHeight="1" x14ac:dyDescent="0.35">
      <c r="A658" s="12"/>
      <c r="B658" s="9"/>
      <c r="C658" s="1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0" t="s">
        <v>48</v>
      </c>
      <c r="L658" s="73"/>
      <c r="M658" s="73"/>
      <c r="N658" s="98"/>
    </row>
    <row r="659" spans="1:14" ht="14.25" customHeight="1" x14ac:dyDescent="0.35">
      <c r="A659" s="12"/>
      <c r="B659" s="90" t="s">
        <v>2146</v>
      </c>
      <c r="C659" s="1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0" t="s">
        <v>48</v>
      </c>
      <c r="L659" s="73"/>
      <c r="M659" s="73"/>
      <c r="N659" s="98"/>
    </row>
    <row r="660" spans="1:14" ht="14.25" hidden="1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0" t="s">
        <v>48</v>
      </c>
      <c r="L660" s="73"/>
      <c r="M660" s="73"/>
      <c r="N660" s="98"/>
    </row>
    <row r="661" spans="1:14" ht="14.25" hidden="1" customHeight="1" x14ac:dyDescent="0.35">
      <c r="A661" s="12"/>
      <c r="B661" s="9"/>
      <c r="C661" s="1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0" t="s">
        <v>48</v>
      </c>
      <c r="L661" s="73"/>
      <c r="M661" s="73"/>
      <c r="N661" s="98"/>
    </row>
    <row r="662" spans="1:14" ht="14.25" hidden="1" customHeight="1" x14ac:dyDescent="0.35">
      <c r="A662" s="12"/>
      <c r="B662" s="9"/>
      <c r="C662" s="1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0" t="s">
        <v>48</v>
      </c>
      <c r="L662" s="73"/>
      <c r="M662" s="73"/>
      <c r="N662" s="98"/>
    </row>
    <row r="663" spans="1:14" ht="14.25" customHeight="1" x14ac:dyDescent="0.35">
      <c r="A663" s="76" t="s">
        <v>1209</v>
      </c>
      <c r="B663" s="93" t="s">
        <v>2147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0" t="s">
        <v>13</v>
      </c>
      <c r="L663" s="73"/>
      <c r="M663" s="73"/>
      <c r="N663" s="98"/>
    </row>
    <row r="664" spans="1:14" ht="14.25" hidden="1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0" t="s">
        <v>9</v>
      </c>
      <c r="L664" s="73"/>
      <c r="M664" s="73"/>
      <c r="N664" s="98"/>
    </row>
    <row r="665" spans="1:14" ht="14.25" hidden="1" customHeight="1" x14ac:dyDescent="0.35">
      <c r="A665" s="12"/>
      <c r="B665" s="9"/>
      <c r="C665" s="1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0" t="s">
        <v>48</v>
      </c>
      <c r="L665" s="73"/>
      <c r="M665" s="73"/>
      <c r="N665" s="98"/>
    </row>
    <row r="666" spans="1:14" ht="14.25" customHeight="1" x14ac:dyDescent="0.35">
      <c r="A666" s="12"/>
      <c r="B666" s="9" t="s">
        <v>2194</v>
      </c>
      <c r="C666" s="1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0" t="s">
        <v>48</v>
      </c>
      <c r="L666" s="73"/>
      <c r="M666" s="73"/>
      <c r="N666" s="98"/>
    </row>
    <row r="667" spans="1:14" ht="14.25" customHeight="1" x14ac:dyDescent="0.35">
      <c r="A667" s="76" t="s">
        <v>1217</v>
      </c>
      <c r="B667" s="93" t="s">
        <v>2148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0" t="s">
        <v>9</v>
      </c>
      <c r="L667" s="73"/>
      <c r="M667" s="73"/>
      <c r="N667" s="98"/>
    </row>
    <row r="668" spans="1:14" ht="14.25" hidden="1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0" t="s">
        <v>9</v>
      </c>
      <c r="L668" s="73"/>
      <c r="M668" s="73"/>
      <c r="N668" s="98"/>
    </row>
    <row r="669" spans="1:14" ht="14.25" hidden="1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73"/>
      <c r="N669" s="98"/>
    </row>
    <row r="670" spans="1:14" ht="14.25" customHeight="1" x14ac:dyDescent="0.35">
      <c r="A670" s="76" t="s">
        <v>1223</v>
      </c>
      <c r="B670" s="90" t="s">
        <v>2149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73"/>
      <c r="N670" s="98"/>
    </row>
    <row r="671" spans="1:14" ht="14.25" hidden="1" customHeight="1" x14ac:dyDescent="0.35">
      <c r="A671" s="12"/>
      <c r="B671" s="9"/>
      <c r="C671" s="1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0" t="s">
        <v>48</v>
      </c>
      <c r="L671" s="73"/>
      <c r="M671" s="73"/>
      <c r="N671" s="98"/>
    </row>
    <row r="672" spans="1:14" ht="14.25" customHeight="1" x14ac:dyDescent="0.35">
      <c r="A672" s="76" t="s">
        <v>1226</v>
      </c>
      <c r="B672" s="90" t="s">
        <v>2150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0" t="s">
        <v>9</v>
      </c>
      <c r="L672" s="73"/>
      <c r="M672" s="73"/>
      <c r="N672" s="98"/>
    </row>
    <row r="673" spans="1:14" ht="14.25" customHeight="1" x14ac:dyDescent="0.35">
      <c r="A673" s="76" t="s">
        <v>1229</v>
      </c>
      <c r="B673" s="9" t="s">
        <v>2193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73"/>
      <c r="N673" s="98"/>
    </row>
    <row r="674" spans="1:14" ht="14.25" hidden="1" customHeight="1" x14ac:dyDescent="0.35">
      <c r="A674" s="12"/>
      <c r="B674" s="24"/>
      <c r="C674" s="1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0" t="s">
        <v>20</v>
      </c>
      <c r="L674" s="73"/>
      <c r="M674" s="73"/>
      <c r="N674" s="98"/>
    </row>
    <row r="675" spans="1:14" ht="14.25" customHeight="1" x14ac:dyDescent="0.35">
      <c r="A675" s="12"/>
      <c r="B675" s="90" t="s">
        <v>2151</v>
      </c>
      <c r="C675" s="1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73"/>
      <c r="N675" s="98"/>
    </row>
    <row r="676" spans="1:14" ht="14.25" customHeight="1" x14ac:dyDescent="0.35">
      <c r="A676" s="12"/>
      <c r="B676" s="24" t="s">
        <v>2192</v>
      </c>
      <c r="C676" s="1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0" t="s">
        <v>48</v>
      </c>
      <c r="L676" s="73"/>
      <c r="M676" s="73"/>
      <c r="N676" s="98"/>
    </row>
    <row r="677" spans="1:14" ht="14.25" hidden="1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0" t="s">
        <v>9</v>
      </c>
      <c r="L677" s="73"/>
      <c r="M677" s="73"/>
      <c r="N677" s="98"/>
    </row>
    <row r="678" spans="1:14" ht="14.25" hidden="1" customHeight="1" x14ac:dyDescent="0.35">
      <c r="A678" s="12"/>
      <c r="B678" s="24"/>
      <c r="C678" s="1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0"/>
      <c r="L678" s="73"/>
      <c r="M678" s="73"/>
      <c r="N678" s="98"/>
    </row>
    <row r="679" spans="1:14" ht="14.25" customHeight="1" x14ac:dyDescent="0.35">
      <c r="A679" s="12"/>
      <c r="B679" s="94" t="s">
        <v>2152</v>
      </c>
      <c r="C679" s="1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0" t="s">
        <v>48</v>
      </c>
      <c r="L679" s="73"/>
      <c r="M679" s="73"/>
      <c r="N679" s="98"/>
    </row>
    <row r="680" spans="1:14" ht="14.25" customHeight="1" x14ac:dyDescent="0.35">
      <c r="A680" s="12"/>
      <c r="B680" s="94" t="s">
        <v>2153</v>
      </c>
      <c r="C680" s="1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0" t="s">
        <v>48</v>
      </c>
      <c r="L680" s="73"/>
      <c r="M680" s="73"/>
      <c r="N680" s="98"/>
    </row>
    <row r="681" spans="1:14" ht="14.25" hidden="1" customHeight="1" x14ac:dyDescent="0.35">
      <c r="A681" s="12"/>
      <c r="B681" s="24"/>
      <c r="C681" s="1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0" t="s">
        <v>48</v>
      </c>
      <c r="L681" s="73"/>
      <c r="M681" s="73"/>
      <c r="N681" s="98"/>
    </row>
    <row r="682" spans="1:14" ht="14.25" hidden="1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0" t="s">
        <v>9</v>
      </c>
      <c r="L682" s="73"/>
      <c r="M682" s="73"/>
      <c r="N682" s="98"/>
    </row>
    <row r="683" spans="1:14" ht="14.25" hidden="1" customHeight="1" x14ac:dyDescent="0.35">
      <c r="A683" s="12"/>
      <c r="B683" s="24"/>
      <c r="C683" s="1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0" t="s">
        <v>48</v>
      </c>
      <c r="L683" s="73"/>
      <c r="M683" s="73"/>
      <c r="N683" s="98"/>
    </row>
    <row r="684" spans="1:14" ht="14.25" hidden="1" customHeight="1" x14ac:dyDescent="0.35">
      <c r="A684" s="12"/>
      <c r="B684" s="24"/>
      <c r="C684" s="1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0" t="s">
        <v>48</v>
      </c>
      <c r="L684" s="73"/>
      <c r="M684" s="73"/>
      <c r="N684" s="98"/>
    </row>
    <row r="685" spans="1:14" ht="14.25" hidden="1" customHeight="1" x14ac:dyDescent="0.35">
      <c r="A685" s="12"/>
      <c r="B685" s="24"/>
      <c r="C685" s="1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0" t="s">
        <v>48</v>
      </c>
      <c r="L685" s="73"/>
      <c r="M685" s="73"/>
      <c r="N685" s="98"/>
    </row>
    <row r="686" spans="1:14" ht="14.25" hidden="1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0" t="s">
        <v>9</v>
      </c>
      <c r="L686" s="73"/>
      <c r="M686" s="73"/>
      <c r="N686" s="98"/>
    </row>
    <row r="687" spans="1:14" ht="14.25" hidden="1" customHeight="1" x14ac:dyDescent="0.35">
      <c r="A687" s="12"/>
      <c r="B687" s="24"/>
      <c r="C687" s="1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0" t="s">
        <v>48</v>
      </c>
      <c r="L687" s="73"/>
      <c r="M687" s="73"/>
      <c r="N687" s="98"/>
    </row>
    <row r="688" spans="1:14" ht="14.25" customHeight="1" x14ac:dyDescent="0.35">
      <c r="A688" s="12"/>
      <c r="B688" s="24" t="s">
        <v>2191</v>
      </c>
      <c r="C688" s="1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0" t="s">
        <v>48</v>
      </c>
      <c r="L688" s="73"/>
      <c r="M688" s="73"/>
      <c r="N688" s="98"/>
    </row>
    <row r="689" spans="1:14" ht="14.25" customHeight="1" x14ac:dyDescent="0.35">
      <c r="A689" s="12"/>
      <c r="B689" s="24" t="s">
        <v>2190</v>
      </c>
      <c r="C689" s="1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0" t="s">
        <v>48</v>
      </c>
      <c r="L689" s="73"/>
      <c r="M689" s="73"/>
      <c r="N689" s="98"/>
    </row>
    <row r="690" spans="1:14" ht="14.25" hidden="1" customHeight="1" x14ac:dyDescent="0.35">
      <c r="A690" s="12"/>
      <c r="B690" s="24"/>
      <c r="C690" s="1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0" t="s">
        <v>48</v>
      </c>
      <c r="L690" s="73"/>
      <c r="M690" s="73"/>
      <c r="N690" s="98"/>
    </row>
    <row r="691" spans="1:14" ht="14.25" customHeight="1" x14ac:dyDescent="0.35">
      <c r="A691" s="12"/>
      <c r="B691" s="94" t="s">
        <v>2154</v>
      </c>
      <c r="C691" s="1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0" t="s">
        <v>48</v>
      </c>
      <c r="L691" s="73"/>
      <c r="M691" s="73"/>
      <c r="N691" s="98"/>
    </row>
    <row r="692" spans="1:14" ht="14.25" customHeight="1" x14ac:dyDescent="0.35">
      <c r="A692" s="12"/>
      <c r="B692" s="94" t="s">
        <v>2156</v>
      </c>
      <c r="C692" s="1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0" t="s">
        <v>48</v>
      </c>
      <c r="L692" s="73"/>
      <c r="M692" s="73"/>
      <c r="N692" s="98"/>
    </row>
    <row r="693" spans="1:14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0" t="s">
        <v>9</v>
      </c>
      <c r="L693" s="73"/>
      <c r="M693" s="73"/>
      <c r="N693" s="98"/>
    </row>
    <row r="694" spans="1:14" ht="14.25" customHeight="1" x14ac:dyDescent="0.35">
      <c r="A694" s="12"/>
      <c r="B694" s="94" t="s">
        <v>2155</v>
      </c>
      <c r="C694" s="1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0" t="s">
        <v>48</v>
      </c>
      <c r="L694" s="73"/>
      <c r="M694" s="73"/>
      <c r="N694" s="98"/>
    </row>
    <row r="695" spans="1:14" ht="14.25" hidden="1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0" t="s">
        <v>48</v>
      </c>
      <c r="L695" s="73"/>
      <c r="M695" s="73"/>
      <c r="N695" s="98"/>
    </row>
    <row r="696" spans="1:14" ht="14.25" hidden="1" customHeight="1" x14ac:dyDescent="0.35">
      <c r="A696" s="136" t="s">
        <v>2410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0" t="s">
        <v>9</v>
      </c>
      <c r="L696" s="73"/>
      <c r="M696" s="73"/>
      <c r="N696" s="98"/>
    </row>
    <row r="697" spans="1:14" ht="14.25" hidden="1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0" t="s">
        <v>48</v>
      </c>
      <c r="L697" s="73"/>
      <c r="M697" s="73"/>
      <c r="N697" s="98"/>
    </row>
    <row r="698" spans="1:14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3" t="s">
        <v>9</v>
      </c>
      <c r="L698" s="73"/>
      <c r="M698" s="73"/>
      <c r="N698" s="98"/>
    </row>
    <row r="699" spans="1:14" ht="14.25" customHeight="1" x14ac:dyDescent="0.35">
      <c r="A699" s="142" t="s">
        <v>1283</v>
      </c>
      <c r="B699" s="144" t="s">
        <v>1897</v>
      </c>
      <c r="C699" s="26" t="s">
        <v>1285</v>
      </c>
      <c r="D699" s="147" t="s">
        <v>1286</v>
      </c>
      <c r="E699" s="148">
        <v>24221</v>
      </c>
      <c r="F699" s="148">
        <v>3</v>
      </c>
      <c r="G699" s="148" t="s">
        <v>1287</v>
      </c>
      <c r="H699" s="148"/>
      <c r="I699" s="148"/>
      <c r="J699" s="148"/>
      <c r="K699" s="151" t="s">
        <v>9</v>
      </c>
      <c r="L699" s="107"/>
      <c r="M699" s="107"/>
      <c r="N699" s="98"/>
    </row>
    <row r="700" spans="1:14" ht="14.25" hidden="1" customHeight="1" x14ac:dyDescent="0.35">
      <c r="A700" s="118" t="s">
        <v>1816</v>
      </c>
      <c r="B700" s="119"/>
      <c r="C700" s="98" t="s">
        <v>1027</v>
      </c>
      <c r="D700" s="146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2416</v>
      </c>
      <c r="M700" s="108"/>
      <c r="N700" s="98"/>
    </row>
    <row r="701" spans="1:14" ht="14.25" hidden="1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74"/>
      <c r="N701" s="98"/>
    </row>
    <row r="702" spans="1:14" ht="14.25" customHeight="1" x14ac:dyDescent="0.35">
      <c r="A702" s="118" t="s">
        <v>1822</v>
      </c>
      <c r="B702" s="119" t="s">
        <v>2129</v>
      </c>
      <c r="C702" s="98" t="s">
        <v>2294</v>
      </c>
      <c r="D702" s="146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108"/>
      <c r="N702" s="98"/>
    </row>
    <row r="703" spans="1:14" ht="14.25" customHeight="1" x14ac:dyDescent="0.35">
      <c r="A703" s="143" t="s">
        <v>2452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74"/>
      <c r="N703" s="98"/>
    </row>
    <row r="704" spans="1:14" ht="14.25" customHeight="1" x14ac:dyDescent="0.35">
      <c r="A704" s="118" t="s">
        <v>1828</v>
      </c>
      <c r="B704" s="119">
        <v>49407112141</v>
      </c>
      <c r="C704" s="98" t="s">
        <v>792</v>
      </c>
      <c r="D704" s="146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108"/>
      <c r="N704" s="98"/>
    </row>
    <row r="705" spans="1:14" ht="14.25" customHeight="1" x14ac:dyDescent="0.35">
      <c r="A705" s="141" t="s">
        <v>1831</v>
      </c>
      <c r="B705" s="105" t="s">
        <v>2306</v>
      </c>
      <c r="C705" s="98" t="s">
        <v>2244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74"/>
      <c r="N705" s="98"/>
    </row>
    <row r="706" spans="1:14" ht="14.25" customHeight="1" x14ac:dyDescent="0.35">
      <c r="A706" s="141" t="s">
        <v>2307</v>
      </c>
      <c r="B706" s="105" t="s">
        <v>2308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74"/>
      <c r="N706" s="98"/>
    </row>
    <row r="707" spans="1:14" ht="14.25" customHeight="1" x14ac:dyDescent="0.35">
      <c r="A707" s="141" t="s">
        <v>1838</v>
      </c>
      <c r="B707" s="105" t="s">
        <v>2309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74"/>
      <c r="N707" s="98"/>
    </row>
    <row r="708" spans="1:14" ht="14.25" customHeight="1" x14ac:dyDescent="0.35">
      <c r="A708" s="141" t="s">
        <v>1840</v>
      </c>
      <c r="B708" s="105" t="s">
        <v>2311</v>
      </c>
      <c r="C708" s="98" t="s">
        <v>1529</v>
      </c>
      <c r="D708" s="112" t="s">
        <v>2245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74"/>
      <c r="N708" s="98"/>
    </row>
    <row r="709" spans="1:14" ht="14.25" customHeight="1" x14ac:dyDescent="0.35">
      <c r="A709" s="141" t="s">
        <v>1842</v>
      </c>
      <c r="B709" s="105" t="s">
        <v>2312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74"/>
      <c r="N709" s="98"/>
    </row>
    <row r="710" spans="1:14" ht="14.25" customHeight="1" x14ac:dyDescent="0.35">
      <c r="A710" s="141" t="s">
        <v>1845</v>
      </c>
      <c r="B710" s="105" t="s">
        <v>2313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74"/>
      <c r="N710" s="98"/>
    </row>
    <row r="711" spans="1:14" ht="14.25" customHeight="1" x14ac:dyDescent="0.35">
      <c r="A711" s="141" t="s">
        <v>2453</v>
      </c>
      <c r="B711" s="105" t="s">
        <v>2314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74"/>
      <c r="N711" s="98"/>
    </row>
    <row r="712" spans="1:14" ht="14.25" customHeight="1" x14ac:dyDescent="0.35">
      <c r="A712" s="141" t="s">
        <v>2463</v>
      </c>
      <c r="B712" s="105" t="s">
        <v>2087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110"/>
      <c r="N712" s="98"/>
    </row>
    <row r="713" spans="1:14" ht="14.25" hidden="1" customHeight="1" x14ac:dyDescent="0.35">
      <c r="A713" s="141" t="s">
        <v>2409</v>
      </c>
      <c r="B713" s="105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110"/>
      <c r="N713" s="98"/>
    </row>
    <row r="714" spans="1:14" ht="14.25" customHeight="1" x14ac:dyDescent="0.35">
      <c r="A714" s="141" t="s">
        <v>1852</v>
      </c>
      <c r="B714" s="105" t="s">
        <v>2315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110"/>
      <c r="N714" s="98"/>
    </row>
    <row r="715" spans="1:14" ht="14.25" customHeight="1" x14ac:dyDescent="0.35">
      <c r="A715" s="141" t="s">
        <v>1854</v>
      </c>
      <c r="B715" s="105" t="s">
        <v>2317</v>
      </c>
      <c r="C715" s="98" t="s">
        <v>451</v>
      </c>
      <c r="D715" s="98" t="s">
        <v>2465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110"/>
      <c r="N715" s="98"/>
    </row>
    <row r="716" spans="1:14" ht="14.25" hidden="1" customHeight="1" x14ac:dyDescent="0.35">
      <c r="A716" s="141" t="s">
        <v>2415</v>
      </c>
      <c r="B716" s="105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110"/>
      <c r="N716" s="98"/>
    </row>
    <row r="717" spans="1:14" ht="14.25" customHeight="1" x14ac:dyDescent="0.35">
      <c r="A717" s="141" t="s">
        <v>1857</v>
      </c>
      <c r="B717" s="105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110"/>
      <c r="N717" s="98"/>
    </row>
    <row r="718" spans="1:14" ht="14.25" customHeight="1" x14ac:dyDescent="0.35">
      <c r="A718" s="141" t="s">
        <v>2318</v>
      </c>
      <c r="B718" s="105" t="s">
        <v>2319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110"/>
      <c r="N718" s="98"/>
    </row>
    <row r="719" spans="1:14" ht="14.25" customHeight="1" x14ac:dyDescent="0.35">
      <c r="B719" s="105" t="s">
        <v>2064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110"/>
      <c r="N719" s="98"/>
    </row>
    <row r="720" spans="1:14" ht="14.25" customHeight="1" x14ac:dyDescent="0.35">
      <c r="A720" s="141" t="s">
        <v>2413</v>
      </c>
      <c r="B720" s="105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110"/>
      <c r="N720" s="98"/>
    </row>
    <row r="721" spans="1:14" ht="14.25" customHeight="1" x14ac:dyDescent="0.35">
      <c r="A721" s="141" t="s">
        <v>1860</v>
      </c>
      <c r="B721" s="105" t="s">
        <v>2321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110"/>
      <c r="N721" s="98"/>
    </row>
    <row r="722" spans="1:14" ht="14.25" hidden="1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110"/>
      <c r="N722" s="98"/>
    </row>
    <row r="723" spans="1:14" ht="14.25" customHeight="1" x14ac:dyDescent="0.35">
      <c r="A723" s="141" t="s">
        <v>1863</v>
      </c>
      <c r="B723" s="105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110"/>
      <c r="N723" s="98"/>
    </row>
    <row r="724" spans="1:14" ht="14.25" customHeight="1" x14ac:dyDescent="0.35">
      <c r="A724" s="141" t="s">
        <v>2464</v>
      </c>
      <c r="B724" s="105" t="s">
        <v>2131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110"/>
      <c r="N724" s="98"/>
    </row>
    <row r="725" spans="1:14" ht="14.25" customHeight="1" x14ac:dyDescent="0.35">
      <c r="B725" s="135" t="s">
        <v>1984</v>
      </c>
      <c r="C725" s="98" t="s">
        <v>125</v>
      </c>
      <c r="D725" t="s">
        <v>126</v>
      </c>
      <c r="E725" s="74">
        <v>25026</v>
      </c>
      <c r="F725" s="73"/>
      <c r="G725" s="73" t="s">
        <v>1069</v>
      </c>
      <c r="H725" s="73"/>
      <c r="I725" s="73"/>
      <c r="J725" s="73"/>
      <c r="K725" s="73"/>
      <c r="L725" s="73"/>
      <c r="M725" s="73"/>
      <c r="N725" s="98"/>
    </row>
    <row r="726" spans="1:14" ht="14.25" customHeight="1" x14ac:dyDescent="0.35">
      <c r="A726" s="141" t="s">
        <v>2412</v>
      </c>
      <c r="B726" s="105" t="s">
        <v>2158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110"/>
      <c r="N726" s="98"/>
    </row>
    <row r="727" spans="1:14" ht="14.25" customHeight="1" x14ac:dyDescent="0.35">
      <c r="A727" s="141" t="s">
        <v>1866</v>
      </c>
      <c r="B727" s="105" t="s">
        <v>2322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110"/>
      <c r="N727" s="98"/>
    </row>
    <row r="728" spans="1:14" ht="14.25" customHeight="1" x14ac:dyDescent="0.35">
      <c r="A728" s="141" t="s">
        <v>2408</v>
      </c>
      <c r="B728" s="105" t="s">
        <v>2374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110"/>
      <c r="N728" s="98"/>
    </row>
    <row r="729" spans="1:14" ht="14.25" hidden="1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110"/>
      <c r="N729" s="98"/>
    </row>
    <row r="730" spans="1:14" ht="14.25" customHeight="1" x14ac:dyDescent="0.35">
      <c r="B730" s="105" t="s">
        <v>2323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110"/>
      <c r="N730" s="98"/>
    </row>
    <row r="731" spans="1:14" ht="14.25" customHeight="1" x14ac:dyDescent="0.35">
      <c r="B731" s="105" t="s">
        <v>2419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110"/>
      <c r="N731" s="98"/>
    </row>
    <row r="732" spans="1:14" ht="14.25" hidden="1" customHeight="1" x14ac:dyDescent="0.35">
      <c r="A732" s="141" t="s">
        <v>2451</v>
      </c>
      <c r="B732" s="105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110"/>
      <c r="N732" s="98"/>
    </row>
    <row r="733" spans="1:14" ht="14.25" customHeight="1" x14ac:dyDescent="0.35">
      <c r="B733" s="105" t="s">
        <v>2325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110"/>
      <c r="N733" s="98"/>
    </row>
    <row r="734" spans="1:14" ht="14.25" hidden="1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110"/>
      <c r="N734" s="98"/>
    </row>
    <row r="735" spans="1:14" ht="14.25" customHeight="1" x14ac:dyDescent="0.35">
      <c r="A735" s="141" t="s">
        <v>2418</v>
      </c>
      <c r="B735" s="105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2163</v>
      </c>
      <c r="H735" s="73"/>
      <c r="I735" s="73"/>
      <c r="J735" s="73"/>
      <c r="K735" s="73"/>
      <c r="L735" s="110" t="s">
        <v>9</v>
      </c>
      <c r="M735" s="110"/>
      <c r="N735" s="98"/>
    </row>
    <row r="736" spans="1:14" ht="14.25" hidden="1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110"/>
      <c r="N736" s="98"/>
    </row>
    <row r="737" spans="1:14" ht="14.25" customHeight="1" x14ac:dyDescent="0.35">
      <c r="A737" s="141" t="s">
        <v>2457</v>
      </c>
      <c r="B737" s="105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110"/>
      <c r="N737" s="98"/>
    </row>
    <row r="738" spans="1:14" ht="14.25" customHeight="1" x14ac:dyDescent="0.35">
      <c r="B738" s="105" t="s">
        <v>2327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110"/>
      <c r="N738" s="98"/>
    </row>
    <row r="739" spans="1:14" ht="14.25" customHeight="1" x14ac:dyDescent="0.35">
      <c r="A739" s="141" t="s">
        <v>1899</v>
      </c>
      <c r="B739" s="105" t="s">
        <v>2328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73"/>
      <c r="N739" s="98"/>
    </row>
    <row r="740" spans="1:14" ht="14.25" customHeight="1" x14ac:dyDescent="0.35">
      <c r="A740" s="141" t="s">
        <v>2460</v>
      </c>
      <c r="B740" s="105" t="s">
        <v>2329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73"/>
      <c r="N740" s="98"/>
    </row>
    <row r="741" spans="1:14" ht="14.25" customHeight="1" x14ac:dyDescent="0.35">
      <c r="A741" s="141" t="s">
        <v>1904</v>
      </c>
      <c r="B741" s="105" t="s">
        <v>2420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73"/>
      <c r="N741" s="98"/>
    </row>
    <row r="742" spans="1:14" ht="14.25" customHeight="1" x14ac:dyDescent="0.35">
      <c r="B742" s="105" t="s">
        <v>2330</v>
      </c>
      <c r="C742" s="98" t="s">
        <v>2246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73"/>
      <c r="N742" s="98"/>
    </row>
    <row r="743" spans="1:14" ht="14.25" hidden="1" customHeight="1" x14ac:dyDescent="0.35">
      <c r="B743" s="105"/>
      <c r="C743" s="98" t="s">
        <v>2247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73"/>
      <c r="N743" s="98"/>
    </row>
    <row r="744" spans="1:14" ht="14.25" customHeight="1" x14ac:dyDescent="0.35">
      <c r="B744" s="105" t="s">
        <v>2331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73"/>
      <c r="N744" s="98"/>
    </row>
    <row r="745" spans="1:14" ht="14.25" customHeight="1" x14ac:dyDescent="0.35">
      <c r="A745" s="141" t="s">
        <v>2410</v>
      </c>
      <c r="B745" s="86" t="s">
        <v>2067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73"/>
      <c r="N745" s="98"/>
    </row>
    <row r="746" spans="1:14" ht="14.25" customHeight="1" x14ac:dyDescent="0.35">
      <c r="B746" s="105" t="s">
        <v>2332</v>
      </c>
      <c r="C746" s="98" t="s">
        <v>2248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73"/>
      <c r="N746" s="98"/>
    </row>
    <row r="747" spans="1:14" ht="14.25" hidden="1" customHeight="1" x14ac:dyDescent="0.35">
      <c r="A747" s="141" t="s">
        <v>2407</v>
      </c>
      <c r="B747" s="105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73"/>
      <c r="N747" s="98"/>
    </row>
    <row r="748" spans="1:14" ht="14.25" customHeight="1" x14ac:dyDescent="0.35">
      <c r="A748" s="141" t="s">
        <v>1914</v>
      </c>
      <c r="B748" s="105" t="s">
        <v>2333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73"/>
      <c r="N748" s="98"/>
    </row>
    <row r="749" spans="1:14" ht="14.25" customHeight="1" x14ac:dyDescent="0.35">
      <c r="B749" s="105">
        <v>4529908962</v>
      </c>
      <c r="C749" s="98" t="s">
        <v>2249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73"/>
      <c r="N749" s="98"/>
    </row>
    <row r="750" spans="1:14" ht="14.25" customHeight="1" x14ac:dyDescent="0.35">
      <c r="A750" s="141" t="s">
        <v>1916</v>
      </c>
      <c r="B750" s="105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73"/>
      <c r="N750" s="98"/>
    </row>
    <row r="751" spans="1:14" ht="14.25" customHeight="1" x14ac:dyDescent="0.35">
      <c r="A751" s="141" t="s">
        <v>2404</v>
      </c>
      <c r="B751" s="105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73"/>
      <c r="N751" s="98"/>
    </row>
    <row r="752" spans="1:14" ht="14.25" customHeight="1" x14ac:dyDescent="0.35">
      <c r="B752" s="105" t="s">
        <v>2336</v>
      </c>
      <c r="C752" s="98" t="s">
        <v>2250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73"/>
      <c r="N752" s="98"/>
    </row>
    <row r="753" spans="1:14" ht="14.25" hidden="1" customHeight="1" x14ac:dyDescent="0.35">
      <c r="A753" s="141" t="s">
        <v>1918</v>
      </c>
      <c r="B753" s="105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73"/>
      <c r="N753" s="98"/>
    </row>
    <row r="754" spans="1:14" ht="14.25" customHeight="1" x14ac:dyDescent="0.35">
      <c r="A754" s="141" t="s">
        <v>1920</v>
      </c>
      <c r="B754" s="105" t="s">
        <v>2337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73"/>
      <c r="N754" s="98"/>
    </row>
    <row r="755" spans="1:14" ht="14.25" customHeight="1" x14ac:dyDescent="0.35">
      <c r="A755" s="141" t="s">
        <v>1921</v>
      </c>
      <c r="B755" s="105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73"/>
      <c r="N755" s="98"/>
    </row>
    <row r="756" spans="1:14" ht="14.25" hidden="1" customHeight="1" x14ac:dyDescent="0.35">
      <c r="B756" s="105"/>
      <c r="C756" s="98" t="s">
        <v>2251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73"/>
      <c r="N756" s="98"/>
    </row>
    <row r="757" spans="1:14" ht="14.25" customHeight="1" x14ac:dyDescent="0.35">
      <c r="A757" s="141" t="s">
        <v>1923</v>
      </c>
      <c r="B757" s="105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73"/>
      <c r="N757" s="98"/>
    </row>
    <row r="758" spans="1:14" ht="14.25" customHeight="1" x14ac:dyDescent="0.35">
      <c r="A758" s="141" t="s">
        <v>2456</v>
      </c>
      <c r="B758" s="105" t="s">
        <v>2121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73"/>
      <c r="N758" s="98"/>
    </row>
    <row r="759" spans="1:14" ht="14.25" customHeight="1" x14ac:dyDescent="0.35">
      <c r="B759" s="105" t="s">
        <v>2341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73"/>
      <c r="N759" s="98"/>
    </row>
    <row r="760" spans="1:14" ht="14.25" customHeight="1" x14ac:dyDescent="0.35">
      <c r="A760" s="141" t="s">
        <v>1926</v>
      </c>
      <c r="B760" s="105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73"/>
      <c r="N760" s="98"/>
    </row>
    <row r="761" spans="1:14" ht="14.25" customHeight="1" x14ac:dyDescent="0.35">
      <c r="B761" s="105" t="s">
        <v>2343</v>
      </c>
      <c r="C761" s="98" t="s">
        <v>2252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73"/>
      <c r="N761" s="98"/>
    </row>
    <row r="762" spans="1:14" ht="14.25" customHeight="1" x14ac:dyDescent="0.35">
      <c r="A762" s="141" t="s">
        <v>2415</v>
      </c>
      <c r="B762" s="105" t="s">
        <v>2127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73"/>
      <c r="N762" s="98"/>
    </row>
    <row r="763" spans="1:14" ht="14.25" customHeight="1" x14ac:dyDescent="0.35">
      <c r="B763" s="105" t="s">
        <v>2421</v>
      </c>
      <c r="C763" s="98" t="s">
        <v>2253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73"/>
      <c r="N763" s="98"/>
    </row>
    <row r="764" spans="1:14" ht="14.25" hidden="1" customHeight="1" x14ac:dyDescent="0.35">
      <c r="B764" s="105"/>
      <c r="C764" s="98" t="s">
        <v>2251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73"/>
      <c r="N764" s="98"/>
    </row>
    <row r="765" spans="1:14" ht="14.25" customHeight="1" x14ac:dyDescent="0.35">
      <c r="B765" s="105" t="s">
        <v>2344</v>
      </c>
      <c r="C765" s="98" t="s">
        <v>2254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73"/>
      <c r="N765" s="98"/>
    </row>
    <row r="766" spans="1:14" ht="14.25" hidden="1" customHeight="1" x14ac:dyDescent="0.35">
      <c r="A766" s="141" t="s">
        <v>2415</v>
      </c>
      <c r="B766" s="105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73"/>
      <c r="N766" s="98"/>
    </row>
    <row r="767" spans="1:14" ht="14.25" customHeight="1" x14ac:dyDescent="0.35">
      <c r="B767" s="105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73"/>
      <c r="N767" s="98"/>
    </row>
    <row r="768" spans="1:14" ht="14.25" hidden="1" customHeight="1" x14ac:dyDescent="0.35">
      <c r="B768" s="105"/>
      <c r="C768" s="98" t="s">
        <v>2255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73"/>
      <c r="N768" s="98"/>
    </row>
    <row r="769" spans="1:14" ht="14.25" hidden="1" customHeight="1" x14ac:dyDescent="0.35">
      <c r="B769" s="105"/>
      <c r="C769" s="98" t="s">
        <v>2255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73"/>
      <c r="N769" s="98"/>
    </row>
    <row r="770" spans="1:14" ht="14.25" customHeight="1" x14ac:dyDescent="0.35">
      <c r="B770" s="105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73"/>
      <c r="N770" s="98"/>
    </row>
    <row r="771" spans="1:14" ht="14.25" customHeight="1" x14ac:dyDescent="0.35">
      <c r="B771" s="105" t="s">
        <v>2347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73"/>
      <c r="N771" s="98"/>
    </row>
    <row r="772" spans="1:14" ht="14.25" customHeight="1" x14ac:dyDescent="0.35">
      <c r="A772" s="141" t="s">
        <v>1935</v>
      </c>
      <c r="B772" s="105" t="s">
        <v>2072</v>
      </c>
      <c r="C772" s="98" t="s">
        <v>2256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73"/>
      <c r="N772" s="98"/>
    </row>
    <row r="773" spans="1:14" ht="14.25" customHeight="1" x14ac:dyDescent="0.35">
      <c r="B773" s="105" t="s">
        <v>2349</v>
      </c>
      <c r="C773" s="98" t="s">
        <v>2257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73"/>
      <c r="N773" s="98"/>
    </row>
    <row r="774" spans="1:14" ht="14.25" customHeight="1" x14ac:dyDescent="0.35">
      <c r="B774" s="105" t="s">
        <v>2375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73"/>
      <c r="N774" s="98"/>
    </row>
    <row r="775" spans="1:14" ht="14.25" customHeight="1" x14ac:dyDescent="0.35">
      <c r="B775" s="105" t="s">
        <v>2376</v>
      </c>
      <c r="C775" s="98" t="s">
        <v>2258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73"/>
      <c r="N775" s="98"/>
    </row>
    <row r="776" spans="1:14" ht="14.25" customHeight="1" x14ac:dyDescent="0.35">
      <c r="A776" s="141" t="s">
        <v>1940</v>
      </c>
      <c r="B776" s="105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73"/>
      <c r="N776" s="98"/>
    </row>
    <row r="777" spans="1:14" ht="14.25" customHeight="1" x14ac:dyDescent="0.35">
      <c r="A777" s="141" t="s">
        <v>1941</v>
      </c>
      <c r="B777" s="105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73"/>
      <c r="N777" s="98"/>
    </row>
    <row r="778" spans="1:14" ht="14.25" hidden="1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73"/>
      <c r="N778" s="98"/>
    </row>
    <row r="779" spans="1:14" ht="14.25" hidden="1" customHeight="1" x14ac:dyDescent="0.35">
      <c r="A779" s="141" t="s">
        <v>1944</v>
      </c>
      <c r="B779" s="105"/>
      <c r="C779" s="98" t="s">
        <v>2259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73"/>
      <c r="N779" s="98"/>
    </row>
    <row r="780" spans="1:14" ht="14.25" customHeight="1" x14ac:dyDescent="0.35">
      <c r="B780" s="105" t="s">
        <v>2353</v>
      </c>
      <c r="C780" s="98" t="s">
        <v>2260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73"/>
      <c r="N780" s="98"/>
    </row>
    <row r="781" spans="1:14" ht="14.25" customHeight="1" x14ac:dyDescent="0.35">
      <c r="B781" s="105" t="s">
        <v>2355</v>
      </c>
      <c r="C781" s="98" t="s">
        <v>2261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73"/>
      <c r="N781" s="98"/>
    </row>
    <row r="782" spans="1:14" ht="14.25" hidden="1" customHeight="1" x14ac:dyDescent="0.35">
      <c r="B782" s="105"/>
      <c r="C782" s="98" t="s">
        <v>2255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73"/>
      <c r="N782" s="98"/>
    </row>
    <row r="783" spans="1:14" ht="14.25" hidden="1" customHeight="1" x14ac:dyDescent="0.35">
      <c r="B783" s="105"/>
      <c r="C783" s="98" t="s">
        <v>2262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73"/>
      <c r="N783" s="98"/>
    </row>
    <row r="784" spans="1:14" ht="14.25" hidden="1" customHeight="1" x14ac:dyDescent="0.35">
      <c r="B784" s="105"/>
      <c r="C784" s="98" t="s">
        <v>2263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73"/>
      <c r="N784" s="98"/>
    </row>
    <row r="785" spans="1:14" ht="14.25" hidden="1" customHeight="1" x14ac:dyDescent="0.35">
      <c r="B785" s="105"/>
      <c r="C785" s="98" t="s">
        <v>2255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73"/>
      <c r="N785" s="98"/>
    </row>
    <row r="786" spans="1:14" ht="14.25" hidden="1" customHeight="1" x14ac:dyDescent="0.35">
      <c r="A786" s="141" t="s">
        <v>1952</v>
      </c>
      <c r="B786" s="105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73"/>
      <c r="N786" s="98"/>
    </row>
    <row r="787" spans="1:14" ht="14.25" customHeight="1" x14ac:dyDescent="0.35">
      <c r="A787" s="141" t="s">
        <v>2405</v>
      </c>
      <c r="B787" s="105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73"/>
      <c r="N787" s="98"/>
    </row>
    <row r="788" spans="1:14" ht="14.25" customHeight="1" x14ac:dyDescent="0.35">
      <c r="B788" s="105">
        <v>4581918910</v>
      </c>
      <c r="C788" s="98" t="s">
        <v>2264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73"/>
      <c r="N788" s="98"/>
    </row>
    <row r="789" spans="1:14" ht="14.25" customHeight="1" x14ac:dyDescent="0.35">
      <c r="A789" s="141" t="s">
        <v>2406</v>
      </c>
      <c r="B789" s="105" t="s">
        <v>2356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73"/>
      <c r="N789" s="98"/>
    </row>
    <row r="790" spans="1:14" ht="14.25" hidden="1" customHeight="1" x14ac:dyDescent="0.35">
      <c r="A790" s="141" t="s">
        <v>1957</v>
      </c>
      <c r="B790" s="105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73"/>
      <c r="N790" s="98"/>
    </row>
    <row r="791" spans="1:14" ht="14.25" hidden="1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73"/>
      <c r="N791" s="98"/>
    </row>
    <row r="792" spans="1:14" ht="14.25" customHeight="1" x14ac:dyDescent="0.35">
      <c r="B792" s="105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73"/>
      <c r="N792" s="98"/>
    </row>
    <row r="793" spans="1:14" ht="14.25" hidden="1" customHeight="1" x14ac:dyDescent="0.35">
      <c r="A793" s="140"/>
      <c r="B793" s="105"/>
      <c r="C793" s="98" t="s">
        <v>2265</v>
      </c>
      <c r="D793" s="98" t="s">
        <v>2165</v>
      </c>
      <c r="E793" s="74">
        <v>25094</v>
      </c>
      <c r="F793" s="73"/>
      <c r="G793" s="73" t="s">
        <v>2166</v>
      </c>
      <c r="H793" s="73"/>
      <c r="I793" s="73"/>
      <c r="J793" s="73"/>
      <c r="K793" s="73"/>
      <c r="L793" s="73" t="s">
        <v>48</v>
      </c>
      <c r="M793" s="73"/>
      <c r="N793" s="98"/>
    </row>
    <row r="794" spans="1:14" ht="14.25" customHeight="1" x14ac:dyDescent="0.35">
      <c r="B794" s="105" t="s">
        <v>2357</v>
      </c>
      <c r="C794" s="98" t="s">
        <v>74</v>
      </c>
      <c r="D794" s="98" t="s">
        <v>2167</v>
      </c>
      <c r="E794" s="74">
        <v>25095</v>
      </c>
      <c r="F794" s="73"/>
      <c r="G794" s="73" t="s">
        <v>2169</v>
      </c>
      <c r="H794" s="73"/>
      <c r="I794" s="73"/>
      <c r="J794" s="73"/>
      <c r="K794" s="73"/>
      <c r="L794" s="73" t="s">
        <v>48</v>
      </c>
      <c r="M794" s="73"/>
      <c r="N794" s="98"/>
    </row>
    <row r="795" spans="1:14" ht="14.25" customHeight="1" x14ac:dyDescent="0.35">
      <c r="B795" s="105" t="s">
        <v>2358</v>
      </c>
      <c r="C795" s="98" t="s">
        <v>2266</v>
      </c>
      <c r="D795" s="98" t="s">
        <v>2170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73"/>
      <c r="N795" s="98"/>
    </row>
    <row r="796" spans="1:14" ht="14.25" customHeight="1" x14ac:dyDescent="0.35">
      <c r="B796" s="105" t="s">
        <v>2359</v>
      </c>
      <c r="C796" s="98" t="s">
        <v>2267</v>
      </c>
      <c r="D796" s="98" t="s">
        <v>2171</v>
      </c>
      <c r="E796" s="74">
        <v>25097</v>
      </c>
      <c r="F796" s="73"/>
      <c r="G796" s="73" t="s">
        <v>2172</v>
      </c>
      <c r="H796" s="73"/>
      <c r="I796" s="73"/>
      <c r="J796" s="73"/>
      <c r="K796" s="73"/>
      <c r="L796" s="73" t="s">
        <v>48</v>
      </c>
      <c r="M796" s="73"/>
      <c r="N796" s="98"/>
    </row>
    <row r="797" spans="1:14" ht="14.25" hidden="1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73"/>
      <c r="N797" s="98"/>
    </row>
    <row r="798" spans="1:14" ht="14.25" customHeight="1" x14ac:dyDescent="0.35">
      <c r="B798" s="105" t="s">
        <v>2360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73"/>
      <c r="N798" s="98"/>
    </row>
    <row r="799" spans="1:14" ht="14.25" customHeight="1" x14ac:dyDescent="0.35">
      <c r="A799" s="141" t="s">
        <v>2455</v>
      </c>
      <c r="B799" s="105" t="s">
        <v>2361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73"/>
      <c r="N799" s="98"/>
    </row>
    <row r="800" spans="1:14" ht="14.25" hidden="1" customHeight="1" x14ac:dyDescent="0.35">
      <c r="B800" s="105"/>
      <c r="C800" s="98" t="s">
        <v>2268</v>
      </c>
      <c r="D800" s="98" t="s">
        <v>2174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73"/>
      <c r="N800" s="98"/>
    </row>
    <row r="801" spans="1:14" ht="14.25" hidden="1" customHeight="1" x14ac:dyDescent="0.35">
      <c r="B801" s="105"/>
      <c r="C801" s="98" t="s">
        <v>2269</v>
      </c>
      <c r="D801" s="98" t="s">
        <v>2176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73"/>
      <c r="N801" s="98"/>
    </row>
    <row r="802" spans="1:14" ht="14.25" customHeight="1" x14ac:dyDescent="0.35">
      <c r="B802" s="105" t="s">
        <v>2377</v>
      </c>
      <c r="C802" s="98" t="s">
        <v>2270</v>
      </c>
      <c r="D802" s="98" t="s">
        <v>2177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73"/>
      <c r="N802" s="98"/>
    </row>
    <row r="803" spans="1:14" ht="14.25" customHeight="1" x14ac:dyDescent="0.35">
      <c r="B803" s="105" t="s">
        <v>2364</v>
      </c>
      <c r="C803" s="98" t="s">
        <v>2271</v>
      </c>
      <c r="D803" s="98" t="s">
        <v>2178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73"/>
      <c r="N803" s="98"/>
    </row>
    <row r="804" spans="1:14" ht="14.25" hidden="1" customHeight="1" x14ac:dyDescent="0.35">
      <c r="B804" s="105"/>
      <c r="C804" s="98" t="s">
        <v>2272</v>
      </c>
      <c r="D804" s="98" t="s">
        <v>2179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73"/>
      <c r="N804" s="98"/>
    </row>
    <row r="805" spans="1:14" ht="14.25" customHeight="1" x14ac:dyDescent="0.35">
      <c r="B805" s="105" t="s">
        <v>2365</v>
      </c>
      <c r="C805" s="98" t="s">
        <v>2273</v>
      </c>
      <c r="D805" s="98" t="s">
        <v>2180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73"/>
      <c r="N805" s="98"/>
    </row>
    <row r="806" spans="1:14" ht="14.25" customHeight="1" x14ac:dyDescent="0.35">
      <c r="B806" s="105">
        <v>46730768646</v>
      </c>
      <c r="C806" s="98" t="s">
        <v>2274</v>
      </c>
      <c r="D806" s="98" t="s">
        <v>2182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73"/>
      <c r="N806" s="98"/>
    </row>
    <row r="807" spans="1:14" ht="14.25" hidden="1" customHeight="1" x14ac:dyDescent="0.35">
      <c r="B807" s="105"/>
      <c r="C807" s="98" t="s">
        <v>2275</v>
      </c>
      <c r="D807" s="98" t="s">
        <v>2183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73"/>
      <c r="N807" s="98"/>
    </row>
    <row r="808" spans="1:14" ht="14.25" hidden="1" customHeight="1" x14ac:dyDescent="0.35">
      <c r="B808" s="105"/>
      <c r="C808" s="98" t="s">
        <v>189</v>
      </c>
      <c r="D808" s="98" t="s">
        <v>2184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73"/>
      <c r="N808" s="98"/>
    </row>
    <row r="809" spans="1:14" ht="14.25" hidden="1" customHeight="1" x14ac:dyDescent="0.35">
      <c r="B809" s="105"/>
      <c r="C809" s="98" t="s">
        <v>2276</v>
      </c>
      <c r="D809" s="98" t="s">
        <v>2185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73"/>
      <c r="N809" s="98"/>
    </row>
    <row r="810" spans="1:14" ht="14.25" customHeight="1" x14ac:dyDescent="0.35">
      <c r="A810" s="141" t="s">
        <v>2189</v>
      </c>
      <c r="B810" s="105" t="s">
        <v>2366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2186</v>
      </c>
      <c r="H810" s="73"/>
      <c r="I810" s="73"/>
      <c r="J810" s="73"/>
      <c r="K810" s="73"/>
      <c r="L810" s="73" t="s">
        <v>9</v>
      </c>
      <c r="M810" s="73"/>
      <c r="N810" s="98"/>
    </row>
    <row r="811" spans="1:14" ht="14.25" customHeight="1" x14ac:dyDescent="0.35">
      <c r="B811" s="105" t="s">
        <v>2378</v>
      </c>
      <c r="C811" s="98" t="s">
        <v>2277</v>
      </c>
      <c r="D811" s="98" t="s">
        <v>2187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73"/>
      <c r="N811" s="98"/>
    </row>
    <row r="812" spans="1:14" ht="14.25" customHeight="1" x14ac:dyDescent="0.35">
      <c r="A812" s="141" t="s">
        <v>2410</v>
      </c>
      <c r="B812" s="86" t="s">
        <v>2067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73"/>
      <c r="N812" s="98"/>
    </row>
    <row r="813" spans="1:14" ht="14.25" customHeight="1" x14ac:dyDescent="0.35">
      <c r="B813" s="105" t="s">
        <v>2379</v>
      </c>
      <c r="C813" s="98" t="s">
        <v>2278</v>
      </c>
      <c r="D813" s="98" t="s">
        <v>2188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73"/>
      <c r="N813" s="98"/>
    </row>
    <row r="814" spans="1:14" ht="14.25" customHeight="1" x14ac:dyDescent="0.35">
      <c r="A814" s="141" t="s">
        <v>1850</v>
      </c>
      <c r="B814" s="105" t="s">
        <v>2380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73"/>
      <c r="N814" s="98"/>
    </row>
    <row r="815" spans="1:14" ht="14.25" customHeight="1" x14ac:dyDescent="0.35">
      <c r="A815" s="141" t="s">
        <v>2196</v>
      </c>
      <c r="B815" s="105" t="s">
        <v>2422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73"/>
      <c r="N815" s="98" t="s">
        <v>2197</v>
      </c>
    </row>
    <row r="816" spans="1:14" ht="14.25" customHeight="1" x14ac:dyDescent="0.35">
      <c r="B816" s="105" t="s">
        <v>2367</v>
      </c>
      <c r="C816" s="98" t="s">
        <v>2279</v>
      </c>
      <c r="D816" s="98" t="s">
        <v>2198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73"/>
      <c r="N816" s="98"/>
    </row>
    <row r="817" spans="1:14" ht="14.25" customHeight="1" x14ac:dyDescent="0.35">
      <c r="B817" s="105" t="s">
        <v>2381</v>
      </c>
      <c r="C817" s="98" t="s">
        <v>2280</v>
      </c>
      <c r="D817" s="98" t="s">
        <v>2199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73"/>
      <c r="N817" s="98"/>
    </row>
    <row r="818" spans="1:14" ht="14.25" customHeight="1" x14ac:dyDescent="0.35">
      <c r="B818" s="105" t="s">
        <v>2201</v>
      </c>
      <c r="C818" s="98" t="s">
        <v>11</v>
      </c>
      <c r="D818" s="98" t="s">
        <v>2200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73"/>
      <c r="N818" s="98" t="s">
        <v>2202</v>
      </c>
    </row>
    <row r="819" spans="1:14" ht="14.25" customHeight="1" x14ac:dyDescent="0.35">
      <c r="B819" s="105" t="s">
        <v>2204</v>
      </c>
      <c r="C819" s="98" t="s">
        <v>1332</v>
      </c>
      <c r="D819" s="98" t="s">
        <v>2203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73"/>
      <c r="N819" s="98" t="s">
        <v>2197</v>
      </c>
    </row>
    <row r="820" spans="1:14" ht="14.25" hidden="1" customHeight="1" x14ac:dyDescent="0.35">
      <c r="B820" s="105"/>
      <c r="C820" s="98" t="s">
        <v>2281</v>
      </c>
      <c r="D820" s="98" t="s">
        <v>2205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73"/>
      <c r="N820" s="98" t="s">
        <v>2300</v>
      </c>
    </row>
    <row r="821" spans="1:14" ht="14.25" hidden="1" customHeight="1" x14ac:dyDescent="0.35">
      <c r="B821" s="105"/>
      <c r="C821" s="98" t="s">
        <v>2282</v>
      </c>
      <c r="D821" s="98" t="s">
        <v>2206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73"/>
      <c r="N821" s="98"/>
    </row>
    <row r="822" spans="1:14" ht="14.25" customHeight="1" x14ac:dyDescent="0.35">
      <c r="A822" s="141" t="s">
        <v>2208</v>
      </c>
      <c r="B822" s="105" t="s">
        <v>2209</v>
      </c>
      <c r="C822" s="98" t="s">
        <v>2283</v>
      </c>
      <c r="D822" s="98" t="s">
        <v>2207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73"/>
      <c r="N822" s="98"/>
    </row>
    <row r="823" spans="1:14" ht="14.25" hidden="1" customHeight="1" x14ac:dyDescent="0.35">
      <c r="A823" s="134"/>
      <c r="B823" s="105"/>
      <c r="C823" s="98" t="s">
        <v>2284</v>
      </c>
      <c r="D823" s="98" t="s">
        <v>2210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73"/>
      <c r="N823" s="98"/>
    </row>
    <row r="824" spans="1:14" ht="14.25" customHeight="1" x14ac:dyDescent="0.35">
      <c r="B824" s="105" t="s">
        <v>2382</v>
      </c>
      <c r="C824" s="98" t="s">
        <v>296</v>
      </c>
      <c r="D824" s="98" t="s">
        <v>2211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73"/>
      <c r="N824" s="98"/>
    </row>
    <row r="825" spans="1:14" ht="14.25" customHeight="1" x14ac:dyDescent="0.35">
      <c r="A825" s="141" t="s">
        <v>2213</v>
      </c>
      <c r="B825" s="105" t="s">
        <v>2423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2214</v>
      </c>
      <c r="H825" s="73"/>
      <c r="I825" s="73"/>
      <c r="J825" s="73"/>
      <c r="K825" s="73"/>
      <c r="L825" s="73" t="s">
        <v>9</v>
      </c>
      <c r="M825" s="73"/>
      <c r="N825" s="98"/>
    </row>
    <row r="826" spans="1:14" ht="14.25" customHeight="1" x14ac:dyDescent="0.35">
      <c r="B826" s="105" t="s">
        <v>2368</v>
      </c>
      <c r="C826" s="98" t="s">
        <v>1332</v>
      </c>
      <c r="D826" s="98" t="s">
        <v>2215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73"/>
      <c r="N826" s="98"/>
    </row>
    <row r="827" spans="1:14" ht="14.25" customHeight="1" x14ac:dyDescent="0.35">
      <c r="B827" s="105" t="s">
        <v>2383</v>
      </c>
      <c r="C827" s="98" t="s">
        <v>2285</v>
      </c>
      <c r="D827" s="98" t="s">
        <v>2216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73"/>
      <c r="N827" s="98"/>
    </row>
    <row r="828" spans="1:14" ht="14.25" customHeight="1" x14ac:dyDescent="0.35">
      <c r="B828" s="105" t="s">
        <v>2384</v>
      </c>
      <c r="C828" s="98" t="s">
        <v>2286</v>
      </c>
      <c r="D828" s="98" t="s">
        <v>2217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73"/>
      <c r="N828" s="98"/>
    </row>
    <row r="829" spans="1:14" ht="14.25" customHeight="1" x14ac:dyDescent="0.35">
      <c r="B829" s="105" t="s">
        <v>2220</v>
      </c>
      <c r="C829" s="98" t="s">
        <v>7</v>
      </c>
      <c r="D829" s="98" t="s">
        <v>2218</v>
      </c>
      <c r="E829" s="74">
        <v>25130</v>
      </c>
      <c r="F829" s="73"/>
      <c r="G829" s="73" t="s">
        <v>2221</v>
      </c>
      <c r="H829" s="73"/>
      <c r="I829" s="73"/>
      <c r="J829" s="73"/>
      <c r="K829" s="73"/>
      <c r="L829" s="73" t="s">
        <v>48</v>
      </c>
      <c r="M829" s="73"/>
      <c r="N829" s="98"/>
    </row>
    <row r="830" spans="1:14" ht="14.25" customHeight="1" x14ac:dyDescent="0.35">
      <c r="A830" s="141" t="s">
        <v>2454</v>
      </c>
      <c r="B830" s="105" t="s">
        <v>2333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73"/>
      <c r="N830" s="98"/>
    </row>
    <row r="831" spans="1:14" ht="14.25" hidden="1" customHeight="1" x14ac:dyDescent="0.35">
      <c r="B831" s="105"/>
      <c r="C831" s="98" t="s">
        <v>457</v>
      </c>
      <c r="D831" s="98" t="s">
        <v>2222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73"/>
      <c r="N831" s="98"/>
    </row>
    <row r="832" spans="1:14" ht="14.25" customHeight="1" x14ac:dyDescent="0.35">
      <c r="B832" s="105" t="s">
        <v>2424</v>
      </c>
      <c r="C832" s="98" t="s">
        <v>2287</v>
      </c>
      <c r="D832" s="98" t="s">
        <v>2223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73"/>
      <c r="N832" s="98"/>
    </row>
    <row r="833" spans="1:14" ht="14.25" customHeight="1" x14ac:dyDescent="0.35">
      <c r="B833" s="105" t="s">
        <v>2370</v>
      </c>
      <c r="C833" s="98" t="s">
        <v>447</v>
      </c>
      <c r="D833" s="98" t="s">
        <v>2225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73"/>
      <c r="N833" s="98"/>
    </row>
    <row r="834" spans="1:14" ht="14.25" customHeight="1" x14ac:dyDescent="0.35">
      <c r="B834" s="105" t="s">
        <v>2386</v>
      </c>
      <c r="C834" s="98" t="s">
        <v>288</v>
      </c>
      <c r="D834" s="98" t="s">
        <v>2226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73"/>
      <c r="N834" s="98"/>
    </row>
    <row r="835" spans="1:14" ht="14.25" hidden="1" customHeight="1" x14ac:dyDescent="0.35">
      <c r="B835" s="105"/>
      <c r="C835" s="98" t="s">
        <v>2288</v>
      </c>
      <c r="D835" s="98" t="s">
        <v>2228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73"/>
      <c r="N835" s="98"/>
    </row>
    <row r="836" spans="1:14" ht="14.25" customHeight="1" x14ac:dyDescent="0.35">
      <c r="A836" s="141" t="s">
        <v>2231</v>
      </c>
      <c r="B836" s="105" t="s">
        <v>2425</v>
      </c>
      <c r="C836" s="98" t="s">
        <v>457</v>
      </c>
      <c r="D836" s="98" t="s">
        <v>2229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73"/>
      <c r="N836" s="98"/>
    </row>
    <row r="837" spans="1:14" ht="14.25" customHeight="1" x14ac:dyDescent="0.35">
      <c r="B837" s="105" t="s">
        <v>2233</v>
      </c>
      <c r="C837" s="98" t="s">
        <v>1236</v>
      </c>
      <c r="D837" s="98" t="s">
        <v>2232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73"/>
      <c r="N837" s="98"/>
    </row>
    <row r="838" spans="1:14" ht="14.25" customHeight="1" x14ac:dyDescent="0.35">
      <c r="B838" s="105" t="s">
        <v>2426</v>
      </c>
      <c r="C838" s="98" t="s">
        <v>2289</v>
      </c>
      <c r="D838" s="98" t="s">
        <v>2234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73"/>
      <c r="N838" s="98"/>
    </row>
    <row r="839" spans="1:14" ht="14.25" customHeight="1" x14ac:dyDescent="0.35">
      <c r="B839" s="105" t="s">
        <v>2427</v>
      </c>
      <c r="C839" s="98" t="s">
        <v>2290</v>
      </c>
      <c r="D839" s="98" t="s">
        <v>2236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73"/>
      <c r="N839" s="98"/>
    </row>
    <row r="840" spans="1:14" ht="14.25" hidden="1" customHeight="1" x14ac:dyDescent="0.35">
      <c r="A840" s="141" t="s">
        <v>2238</v>
      </c>
      <c r="B840" s="105"/>
      <c r="C840" s="98" t="s">
        <v>2291</v>
      </c>
      <c r="D840" s="98" t="s">
        <v>2237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73"/>
      <c r="N840" s="98"/>
    </row>
    <row r="841" spans="1:14" ht="14.25" customHeight="1" x14ac:dyDescent="0.35">
      <c r="B841" s="105" t="s">
        <v>2428</v>
      </c>
      <c r="C841" s="98" t="s">
        <v>74</v>
      </c>
      <c r="D841" s="98" t="s">
        <v>2239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73"/>
      <c r="N841" s="98" t="s">
        <v>2240</v>
      </c>
    </row>
    <row r="842" spans="1:14" ht="14.25" hidden="1" customHeight="1" x14ac:dyDescent="0.35">
      <c r="B842" s="105"/>
      <c r="C842" s="98" t="s">
        <v>2292</v>
      </c>
      <c r="D842" s="98" t="s">
        <v>2241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73"/>
      <c r="N842" s="98"/>
    </row>
    <row r="843" spans="1:14" ht="14.25" customHeight="1" x14ac:dyDescent="0.35">
      <c r="B843" s="105" t="s">
        <v>2372</v>
      </c>
      <c r="C843" s="113" t="s">
        <v>2293</v>
      </c>
      <c r="D843" s="113" t="s">
        <v>2243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107"/>
      <c r="N843" s="98"/>
    </row>
    <row r="844" spans="1:14" ht="14.25" customHeight="1" x14ac:dyDescent="0.35">
      <c r="B844" s="105" t="s">
        <v>2429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73"/>
      <c r="N844" s="98"/>
    </row>
    <row r="845" spans="1:14" ht="14.25" customHeight="1" x14ac:dyDescent="0.35">
      <c r="B845" s="105" t="s">
        <v>2387</v>
      </c>
      <c r="C845" s="98" t="s">
        <v>2302</v>
      </c>
      <c r="D845" s="98" t="s">
        <v>2296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73"/>
      <c r="N845" s="98"/>
    </row>
    <row r="846" spans="1:14" ht="14.25" customHeight="1" x14ac:dyDescent="0.35">
      <c r="B846" s="105" t="s">
        <v>2388</v>
      </c>
      <c r="C846" s="98" t="s">
        <v>2303</v>
      </c>
      <c r="D846" s="98" t="s">
        <v>2297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73"/>
      <c r="N846" s="98"/>
    </row>
    <row r="847" spans="1:14" ht="14.25" customHeight="1" x14ac:dyDescent="0.35">
      <c r="A847" s="141" t="s">
        <v>2295</v>
      </c>
      <c r="B847" s="105" t="s">
        <v>2430</v>
      </c>
      <c r="C847" s="98" t="s">
        <v>134</v>
      </c>
      <c r="D847" s="98" t="s">
        <v>2298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73"/>
      <c r="N847" s="98"/>
    </row>
    <row r="848" spans="1:14" ht="14.25" customHeight="1" x14ac:dyDescent="0.35">
      <c r="B848" s="105" t="s">
        <v>2389</v>
      </c>
      <c r="C848" s="113" t="s">
        <v>2304</v>
      </c>
      <c r="D848" s="113" t="s">
        <v>2299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07"/>
      <c r="N848" s="113"/>
    </row>
    <row r="849" spans="1:14" ht="14.25" customHeight="1" x14ac:dyDescent="0.35">
      <c r="B849" s="105" t="s">
        <v>2431</v>
      </c>
      <c r="C849" s="98" t="s">
        <v>2392</v>
      </c>
      <c r="D849" s="98" t="s">
        <v>2373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73"/>
      <c r="N849" s="98"/>
    </row>
    <row r="850" spans="1:14" ht="14.25" hidden="1" customHeight="1" x14ac:dyDescent="0.35">
      <c r="B850" s="105"/>
      <c r="C850" s="98" t="s">
        <v>56</v>
      </c>
      <c r="D850" s="98" t="s">
        <v>2390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73"/>
      <c r="N850" s="98"/>
    </row>
    <row r="851" spans="1:14" ht="14.25" customHeight="1" x14ac:dyDescent="0.35">
      <c r="B851" s="105" t="s">
        <v>2432</v>
      </c>
      <c r="C851" s="98" t="s">
        <v>2446</v>
      </c>
      <c r="D851" s="98" t="s">
        <v>2439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73"/>
      <c r="N851" s="98"/>
    </row>
    <row r="852" spans="1:14" ht="14.25" customHeight="1" x14ac:dyDescent="0.35">
      <c r="A852" s="141" t="s">
        <v>2433</v>
      </c>
      <c r="B852" s="105" t="s">
        <v>2434</v>
      </c>
      <c r="C852" s="98" t="s">
        <v>2282</v>
      </c>
      <c r="D852" s="98" t="s">
        <v>2206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73"/>
      <c r="N852" s="98"/>
    </row>
    <row r="853" spans="1:14" ht="14.25" customHeight="1" x14ac:dyDescent="0.35">
      <c r="B853" s="105" t="s">
        <v>2435</v>
      </c>
      <c r="C853" s="98" t="s">
        <v>2447</v>
      </c>
      <c r="D853" s="98" t="s">
        <v>2441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73"/>
      <c r="N853" s="98"/>
    </row>
    <row r="854" spans="1:14" ht="14.25" customHeight="1" x14ac:dyDescent="0.35">
      <c r="B854" s="105" t="s">
        <v>2436</v>
      </c>
      <c r="C854" s="98" t="s">
        <v>2448</v>
      </c>
      <c r="D854" s="98" t="s">
        <v>2442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73"/>
      <c r="N854" s="98"/>
    </row>
    <row r="855" spans="1:14" ht="14.25" customHeight="1" x14ac:dyDescent="0.35">
      <c r="B855" s="105" t="s">
        <v>2437</v>
      </c>
      <c r="C855" s="98" t="s">
        <v>2449</v>
      </c>
      <c r="D855" s="98" t="s">
        <v>2443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73"/>
      <c r="N855" s="98"/>
    </row>
    <row r="856" spans="1:14" ht="14.25" customHeight="1" x14ac:dyDescent="0.35">
      <c r="B856" s="105" t="s">
        <v>2438</v>
      </c>
      <c r="C856" s="98" t="s">
        <v>379</v>
      </c>
      <c r="D856" s="98" t="s">
        <v>2444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73"/>
      <c r="N856" s="98"/>
    </row>
    <row r="857" spans="1:14" ht="14.25" hidden="1" customHeight="1" x14ac:dyDescent="0.35">
      <c r="B857" s="186"/>
      <c r="C857" s="113" t="s">
        <v>2450</v>
      </c>
      <c r="D857" s="113" t="s">
        <v>2445</v>
      </c>
      <c r="E857" s="114">
        <v>25158</v>
      </c>
      <c r="F857" s="107"/>
      <c r="G857" s="107"/>
      <c r="H857" s="107"/>
      <c r="I857" s="107"/>
      <c r="J857" s="107"/>
      <c r="K857" s="107"/>
      <c r="L857" s="107" t="s">
        <v>20</v>
      </c>
      <c r="M857" s="107"/>
      <c r="N857" s="113" t="s">
        <v>2461</v>
      </c>
    </row>
    <row r="858" spans="1:14" ht="14.25" customHeight="1" x14ac:dyDescent="0.35">
      <c r="A858" s="161" t="s">
        <v>2553</v>
      </c>
      <c r="B858" s="187"/>
      <c r="C858" s="188" t="s">
        <v>2644</v>
      </c>
      <c r="D858" s="189" t="s">
        <v>2466</v>
      </c>
      <c r="E858" s="184">
        <v>26001</v>
      </c>
      <c r="F858" s="160">
        <v>0.05</v>
      </c>
      <c r="G858" s="185" t="s">
        <v>2554</v>
      </c>
      <c r="H858" s="73"/>
      <c r="I858" s="73"/>
      <c r="J858" s="73"/>
      <c r="K858" s="73"/>
      <c r="L858" s="73"/>
      <c r="M858" s="185" t="s">
        <v>9</v>
      </c>
      <c r="N858" t="s">
        <v>2555</v>
      </c>
    </row>
    <row r="859" spans="1:14" ht="14.25" customHeight="1" x14ac:dyDescent="0.35">
      <c r="A859" s="166"/>
      <c r="B859" s="190"/>
      <c r="C859" s="188" t="s">
        <v>2645</v>
      </c>
      <c r="D859" s="98" t="s">
        <v>2467</v>
      </c>
      <c r="E859" s="184">
        <v>26002</v>
      </c>
      <c r="F859" s="165"/>
      <c r="G859" s="73"/>
      <c r="H859" s="73"/>
      <c r="I859" s="73"/>
      <c r="J859" s="73"/>
      <c r="K859" s="73"/>
      <c r="L859" s="73"/>
      <c r="M859" s="73" t="s">
        <v>20</v>
      </c>
    </row>
    <row r="860" spans="1:14" ht="14.25" customHeight="1" x14ac:dyDescent="0.35">
      <c r="A860" s="161" t="s">
        <v>2556</v>
      </c>
      <c r="B860" s="187"/>
      <c r="C860" s="188" t="s">
        <v>2645</v>
      </c>
      <c r="D860" s="189" t="s">
        <v>2467</v>
      </c>
      <c r="E860" s="184">
        <v>26003</v>
      </c>
      <c r="F860" s="160">
        <v>0.1</v>
      </c>
      <c r="G860" s="185" t="s">
        <v>408</v>
      </c>
      <c r="H860" s="73"/>
      <c r="I860" s="73"/>
      <c r="J860" s="73"/>
      <c r="K860" s="73"/>
      <c r="L860" s="73"/>
      <c r="M860" s="185" t="s">
        <v>9</v>
      </c>
      <c r="N860" s="127"/>
    </row>
    <row r="861" spans="1:14" ht="14.25" customHeight="1" x14ac:dyDescent="0.35">
      <c r="A861" s="166" t="s">
        <v>1852</v>
      </c>
      <c r="B861" s="191">
        <v>4530267986</v>
      </c>
      <c r="C861" s="188" t="s">
        <v>1531</v>
      </c>
      <c r="D861" s="98" t="s">
        <v>1851</v>
      </c>
      <c r="E861" s="184">
        <v>26004</v>
      </c>
      <c r="F861" s="165">
        <v>0.1</v>
      </c>
      <c r="G861" s="73" t="s">
        <v>2557</v>
      </c>
      <c r="H861" s="73"/>
      <c r="I861" s="73"/>
      <c r="J861" s="73"/>
      <c r="K861" s="73"/>
      <c r="L861" s="73"/>
      <c r="M861" s="73" t="s">
        <v>9</v>
      </c>
      <c r="N861" t="s">
        <v>2558</v>
      </c>
    </row>
    <row r="862" spans="1:14" ht="14.25" customHeight="1" x14ac:dyDescent="0.35">
      <c r="A862" s="161" t="s">
        <v>1478</v>
      </c>
      <c r="B862" s="187"/>
      <c r="C862" s="188" t="s">
        <v>25</v>
      </c>
      <c r="D862" s="189" t="s">
        <v>26</v>
      </c>
      <c r="E862" s="184">
        <v>26005</v>
      </c>
      <c r="F862" s="160">
        <v>0.1</v>
      </c>
      <c r="G862" s="185"/>
      <c r="H862" s="73"/>
      <c r="I862" s="73"/>
      <c r="J862" s="73"/>
      <c r="K862" s="73"/>
      <c r="L862" s="73"/>
      <c r="M862" s="185" t="s">
        <v>9</v>
      </c>
    </row>
    <row r="863" spans="1:14" ht="14.25" customHeight="1" x14ac:dyDescent="0.35">
      <c r="A863" s="132" t="s">
        <v>2560</v>
      </c>
      <c r="B863" s="190"/>
      <c r="C863" s="188" t="s">
        <v>2646</v>
      </c>
      <c r="D863" s="183" t="s">
        <v>2468</v>
      </c>
      <c r="E863" s="184">
        <v>26006</v>
      </c>
      <c r="F863" s="170">
        <v>0.1</v>
      </c>
      <c r="G863" s="73"/>
      <c r="H863" s="73"/>
      <c r="I863" s="73"/>
      <c r="J863" s="73"/>
      <c r="K863" s="73"/>
      <c r="L863" s="73"/>
      <c r="M863" s="73" t="s">
        <v>9</v>
      </c>
      <c r="N863" t="s">
        <v>2561</v>
      </c>
    </row>
    <row r="864" spans="1:14" ht="14.25" customHeight="1" x14ac:dyDescent="0.35">
      <c r="A864" s="132" t="s">
        <v>2462</v>
      </c>
      <c r="B864" s="191">
        <v>4522701312</v>
      </c>
      <c r="C864" s="188" t="s">
        <v>379</v>
      </c>
      <c r="D864" s="183" t="s">
        <v>737</v>
      </c>
      <c r="E864" s="73">
        <v>26007</v>
      </c>
      <c r="F864" s="170">
        <v>0.1</v>
      </c>
      <c r="G864" s="73" t="s">
        <v>65</v>
      </c>
      <c r="H864" s="73"/>
      <c r="I864" s="73"/>
      <c r="J864" s="73"/>
      <c r="K864" s="73"/>
      <c r="L864" s="73"/>
      <c r="M864" s="73" t="s">
        <v>9</v>
      </c>
    </row>
    <row r="865" spans="1:14" ht="14.25" customHeight="1" x14ac:dyDescent="0.35">
      <c r="A865" s="132" t="s">
        <v>2562</v>
      </c>
      <c r="B865" s="191">
        <v>4917643882286</v>
      </c>
      <c r="C865" s="188" t="s">
        <v>481</v>
      </c>
      <c r="D865" s="183" t="s">
        <v>1101</v>
      </c>
      <c r="E865" s="73">
        <v>26008</v>
      </c>
      <c r="F865" s="170">
        <v>0.1</v>
      </c>
      <c r="G865" s="73" t="s">
        <v>2563</v>
      </c>
      <c r="H865" s="73"/>
      <c r="I865" s="73"/>
      <c r="J865" s="73"/>
      <c r="K865" s="73"/>
      <c r="L865" s="73"/>
      <c r="M865" s="73" t="s">
        <v>9</v>
      </c>
      <c r="N865" s="129" t="s">
        <v>2564</v>
      </c>
    </row>
    <row r="866" spans="1:14" ht="14.25" customHeight="1" x14ac:dyDescent="0.35">
      <c r="A866" s="132" t="s">
        <v>2565</v>
      </c>
      <c r="B866" s="190"/>
      <c r="C866" s="188" t="s">
        <v>995</v>
      </c>
      <c r="D866" s="183" t="s">
        <v>996</v>
      </c>
      <c r="E866" s="73">
        <v>26009</v>
      </c>
      <c r="F866" s="170">
        <v>0.1</v>
      </c>
      <c r="G866" s="73" t="s">
        <v>1511</v>
      </c>
      <c r="H866" s="73"/>
      <c r="I866" s="73"/>
      <c r="J866" s="73"/>
      <c r="K866" s="73"/>
      <c r="L866" s="73"/>
      <c r="M866" s="73" t="s">
        <v>9</v>
      </c>
    </row>
    <row r="867" spans="1:14" ht="14.25" customHeight="1" x14ac:dyDescent="0.35">
      <c r="A867" s="134" t="s">
        <v>2566</v>
      </c>
      <c r="B867" s="190">
        <v>4561557600</v>
      </c>
      <c r="C867" s="188" t="s">
        <v>7</v>
      </c>
      <c r="D867" s="183" t="s">
        <v>2218</v>
      </c>
      <c r="E867" s="73">
        <v>26010</v>
      </c>
      <c r="F867" s="170">
        <v>0.1</v>
      </c>
      <c r="G867" s="73"/>
      <c r="H867" s="73"/>
      <c r="I867" s="73"/>
      <c r="J867" s="73"/>
      <c r="K867" s="73"/>
      <c r="L867" s="73"/>
      <c r="M867" s="73" t="s">
        <v>9</v>
      </c>
      <c r="N867" t="s">
        <v>2567</v>
      </c>
    </row>
    <row r="868" spans="1:14" ht="14.25" customHeight="1" x14ac:dyDescent="0.35">
      <c r="A868" s="132" t="s">
        <v>2568</v>
      </c>
      <c r="B868" s="190"/>
      <c r="C868" s="188" t="s">
        <v>2647</v>
      </c>
      <c r="D868" s="183" t="s">
        <v>2469</v>
      </c>
      <c r="E868" s="73">
        <v>26011</v>
      </c>
      <c r="F868" s="170">
        <v>0.1</v>
      </c>
      <c r="G868" s="73"/>
      <c r="H868" s="73"/>
      <c r="I868" s="73"/>
      <c r="J868" s="73"/>
      <c r="K868" s="73"/>
      <c r="L868" s="73"/>
      <c r="M868" s="73" t="s">
        <v>9</v>
      </c>
      <c r="N868" t="s">
        <v>2569</v>
      </c>
    </row>
    <row r="869" spans="1:14" ht="14.25" customHeight="1" x14ac:dyDescent="0.35">
      <c r="A869" s="132" t="s">
        <v>1866</v>
      </c>
      <c r="B869" s="192">
        <v>4540552384</v>
      </c>
      <c r="C869" s="188" t="s">
        <v>973</v>
      </c>
      <c r="D869" s="183" t="s">
        <v>1079</v>
      </c>
      <c r="E869" s="73">
        <v>26012</v>
      </c>
      <c r="F869" s="170">
        <v>0.1</v>
      </c>
      <c r="G869" s="73" t="s">
        <v>1080</v>
      </c>
      <c r="H869" s="73"/>
      <c r="I869" s="73"/>
      <c r="J869" s="73"/>
      <c r="K869" s="73"/>
      <c r="L869" s="73"/>
      <c r="M869" s="73" t="s">
        <v>9</v>
      </c>
      <c r="N869" t="s">
        <v>2570</v>
      </c>
    </row>
    <row r="870" spans="1:14" ht="14.25" customHeight="1" x14ac:dyDescent="0.35">
      <c r="A870" s="87" t="s">
        <v>49</v>
      </c>
      <c r="B870" s="192">
        <v>4525582842</v>
      </c>
      <c r="C870" s="188" t="s">
        <v>50</v>
      </c>
      <c r="D870" s="183" t="s">
        <v>51</v>
      </c>
      <c r="E870" s="73">
        <v>26013</v>
      </c>
      <c r="F870" s="170">
        <v>0.1</v>
      </c>
      <c r="G870" s="73" t="s">
        <v>179</v>
      </c>
      <c r="H870" s="73"/>
      <c r="I870" s="73"/>
      <c r="J870" s="73"/>
      <c r="K870" s="73"/>
      <c r="L870" s="73"/>
      <c r="M870" s="73" t="s">
        <v>9</v>
      </c>
      <c r="N870" t="s">
        <v>2571</v>
      </c>
    </row>
    <row r="871" spans="1:14" ht="14.25" customHeight="1" x14ac:dyDescent="0.35">
      <c r="A871" s="173" t="s">
        <v>621</v>
      </c>
      <c r="B871" s="192">
        <v>4591191885</v>
      </c>
      <c r="C871" s="188" t="s">
        <v>622</v>
      </c>
      <c r="D871" s="183" t="s">
        <v>623</v>
      </c>
      <c r="E871" s="73">
        <v>26014</v>
      </c>
      <c r="F871" s="170">
        <v>0.1</v>
      </c>
      <c r="G871" s="73" t="s">
        <v>1506</v>
      </c>
      <c r="H871" s="73"/>
      <c r="I871" s="73"/>
      <c r="J871" s="73"/>
      <c r="K871" s="73"/>
      <c r="L871" s="73"/>
      <c r="M871" s="73" t="s">
        <v>9</v>
      </c>
      <c r="N871" s="129" t="s">
        <v>2572</v>
      </c>
    </row>
    <row r="872" spans="1:14" ht="14.25" customHeight="1" x14ac:dyDescent="0.35">
      <c r="A872" s="87" t="s">
        <v>2573</v>
      </c>
      <c r="B872" s="190">
        <v>4531534745</v>
      </c>
      <c r="C872" s="188" t="s">
        <v>2648</v>
      </c>
      <c r="D872" s="183" t="s">
        <v>2470</v>
      </c>
      <c r="E872" s="73">
        <v>26015</v>
      </c>
      <c r="F872" s="174"/>
      <c r="G872" s="73" t="s">
        <v>2574</v>
      </c>
      <c r="H872" s="73"/>
      <c r="I872" s="73"/>
      <c r="J872" s="73"/>
      <c r="K872" s="73"/>
      <c r="L872" s="73"/>
      <c r="M872" s="73" t="s">
        <v>728</v>
      </c>
      <c r="N872" t="s">
        <v>2575</v>
      </c>
    </row>
    <row r="873" spans="1:14" ht="14.25" customHeight="1" x14ac:dyDescent="0.35">
      <c r="A873" s="87" t="s">
        <v>1857</v>
      </c>
      <c r="B873" s="192">
        <v>4530604703</v>
      </c>
      <c r="C873" s="188" t="s">
        <v>1532</v>
      </c>
      <c r="D873" s="183" t="s">
        <v>1856</v>
      </c>
      <c r="E873" s="73">
        <v>26016</v>
      </c>
      <c r="F873" s="174"/>
      <c r="G873" s="73"/>
      <c r="H873" s="73"/>
      <c r="I873" s="73"/>
      <c r="J873" s="73"/>
      <c r="K873" s="73"/>
      <c r="L873" s="73"/>
      <c r="M873" s="73" t="s">
        <v>728</v>
      </c>
      <c r="N873" t="s">
        <v>2577</v>
      </c>
    </row>
    <row r="874" spans="1:14" ht="14.25" customHeight="1" x14ac:dyDescent="0.35">
      <c r="A874" s="87" t="s">
        <v>1916</v>
      </c>
      <c r="B874" s="192">
        <v>4524669843</v>
      </c>
      <c r="C874" s="188" t="s">
        <v>715</v>
      </c>
      <c r="D874" s="183" t="s">
        <v>32</v>
      </c>
      <c r="E874" s="73">
        <v>26017</v>
      </c>
      <c r="F874" s="174"/>
      <c r="G874" s="73" t="s">
        <v>1039</v>
      </c>
      <c r="H874" s="73"/>
      <c r="I874" s="73"/>
      <c r="J874" s="73"/>
      <c r="K874" s="73"/>
      <c r="L874" s="73"/>
      <c r="M874" s="73" t="s">
        <v>728</v>
      </c>
      <c r="N874" t="s">
        <v>2578</v>
      </c>
    </row>
    <row r="875" spans="1:14" ht="14.25" customHeight="1" x14ac:dyDescent="0.35">
      <c r="A875" s="173" t="s">
        <v>14</v>
      </c>
      <c r="B875" s="192">
        <v>4531909358</v>
      </c>
      <c r="C875" s="188" t="s">
        <v>15</v>
      </c>
      <c r="D875" s="183" t="s">
        <v>16</v>
      </c>
      <c r="E875" s="73">
        <v>26018</v>
      </c>
      <c r="F875" s="174"/>
      <c r="G875" s="73" t="s">
        <v>2579</v>
      </c>
      <c r="H875" s="73"/>
      <c r="I875" s="73"/>
      <c r="J875" s="73"/>
      <c r="K875" s="73"/>
      <c r="L875" s="73"/>
      <c r="M875" s="73" t="s">
        <v>728</v>
      </c>
      <c r="N875" t="s">
        <v>2580</v>
      </c>
    </row>
    <row r="876" spans="1:14" ht="14.25" customHeight="1" x14ac:dyDescent="0.35">
      <c r="A876" s="87" t="s">
        <v>6</v>
      </c>
      <c r="B876" s="192">
        <v>4541515960</v>
      </c>
      <c r="C876" s="188" t="s">
        <v>7</v>
      </c>
      <c r="D876" s="98" t="s">
        <v>8</v>
      </c>
      <c r="E876" s="73">
        <v>26019</v>
      </c>
      <c r="F876" s="174">
        <v>0.1</v>
      </c>
      <c r="G876" s="73"/>
      <c r="H876" s="73"/>
      <c r="I876" s="73"/>
      <c r="J876" s="73"/>
      <c r="K876" s="73"/>
      <c r="L876" s="73"/>
      <c r="M876" s="73" t="s">
        <v>9</v>
      </c>
      <c r="N876" s="70" t="s">
        <v>2571</v>
      </c>
    </row>
    <row r="877" spans="1:14" ht="14.25" customHeight="1" x14ac:dyDescent="0.35">
      <c r="A877" s="87" t="s">
        <v>2581</v>
      </c>
      <c r="B877" s="190"/>
      <c r="C877" s="188" t="s">
        <v>2649</v>
      </c>
      <c r="D877" s="183" t="s">
        <v>2471</v>
      </c>
      <c r="E877" s="73">
        <v>26020</v>
      </c>
      <c r="F877" s="174"/>
      <c r="G877" s="73"/>
      <c r="H877" s="73"/>
      <c r="I877" s="73"/>
      <c r="J877" s="73"/>
      <c r="K877" s="73"/>
      <c r="L877" s="73"/>
      <c r="M877" s="73" t="s">
        <v>9</v>
      </c>
      <c r="N877" t="s">
        <v>2582</v>
      </c>
    </row>
    <row r="878" spans="1:14" ht="14.25" customHeight="1" x14ac:dyDescent="0.35">
      <c r="A878" s="87" t="s">
        <v>744</v>
      </c>
      <c r="B878" s="192">
        <v>46705125490</v>
      </c>
      <c r="C878" s="188" t="s">
        <v>632</v>
      </c>
      <c r="D878" s="183" t="s">
        <v>633</v>
      </c>
      <c r="E878" s="73">
        <v>26021</v>
      </c>
      <c r="F878" s="174">
        <v>0.1</v>
      </c>
      <c r="G878" s="73" t="s">
        <v>1073</v>
      </c>
      <c r="H878" s="73"/>
      <c r="I878" s="73"/>
      <c r="J878" s="73"/>
      <c r="K878" s="73"/>
      <c r="L878" s="73"/>
      <c r="M878" s="73" t="s">
        <v>9</v>
      </c>
      <c r="N878" t="s">
        <v>2583</v>
      </c>
    </row>
    <row r="879" spans="1:14" ht="14.25" customHeight="1" x14ac:dyDescent="0.35">
      <c r="A879" s="87"/>
      <c r="B879" s="190"/>
      <c r="C879" s="188" t="s">
        <v>2650</v>
      </c>
      <c r="D879" s="98" t="s">
        <v>2472</v>
      </c>
      <c r="E879" s="73">
        <v>26022</v>
      </c>
      <c r="F879" s="174"/>
      <c r="G879" s="73"/>
      <c r="H879" s="73"/>
      <c r="I879" s="73"/>
      <c r="J879" s="73"/>
      <c r="K879" s="73"/>
      <c r="L879" s="73"/>
      <c r="M879" s="73" t="s">
        <v>48</v>
      </c>
      <c r="N879" t="s">
        <v>2584</v>
      </c>
    </row>
    <row r="880" spans="1:14" ht="14.25" customHeight="1" x14ac:dyDescent="0.35">
      <c r="A880"/>
      <c r="B880" s="190"/>
      <c r="C880" s="188" t="s">
        <v>1258</v>
      </c>
      <c r="D880" s="98" t="s">
        <v>2473</v>
      </c>
      <c r="E880" s="73">
        <v>26023</v>
      </c>
      <c r="F880" s="174"/>
      <c r="G880" s="73"/>
      <c r="H880" s="73"/>
      <c r="I880" s="73"/>
      <c r="J880" s="73"/>
      <c r="K880" s="73"/>
      <c r="L880" s="73"/>
      <c r="M880" s="73" t="s">
        <v>48</v>
      </c>
    </row>
    <row r="881" spans="1:14" ht="14.25" customHeight="1" x14ac:dyDescent="0.35">
      <c r="A881" s="87"/>
      <c r="B881" s="190"/>
      <c r="C881" s="188" t="s">
        <v>2651</v>
      </c>
      <c r="D881" s="98" t="s">
        <v>2474</v>
      </c>
      <c r="E881" s="73">
        <v>26024</v>
      </c>
      <c r="F881" s="174"/>
      <c r="G881" s="73"/>
      <c r="H881" s="73"/>
      <c r="I881" s="73"/>
      <c r="J881" s="73"/>
      <c r="K881" s="73"/>
      <c r="L881" s="73"/>
      <c r="M881" s="73" t="s">
        <v>48</v>
      </c>
    </row>
    <row r="882" spans="1:14" ht="14.25" customHeight="1" x14ac:dyDescent="0.35">
      <c r="A882" s="87"/>
      <c r="B882" s="190"/>
      <c r="C882" s="188" t="s">
        <v>2652</v>
      </c>
      <c r="D882" s="98" t="s">
        <v>2475</v>
      </c>
      <c r="E882" s="73">
        <v>26025</v>
      </c>
      <c r="F882" s="174"/>
      <c r="G882" s="73"/>
      <c r="H882" s="73"/>
      <c r="I882" s="73"/>
      <c r="J882" s="73"/>
      <c r="K882" s="73"/>
      <c r="L882" s="73"/>
      <c r="M882" s="73" t="s">
        <v>48</v>
      </c>
    </row>
    <row r="883" spans="1:14" ht="14.25" customHeight="1" x14ac:dyDescent="0.35">
      <c r="A883"/>
      <c r="B883" s="193"/>
      <c r="C883" s="188" t="s">
        <v>2653</v>
      </c>
      <c r="D883" s="98" t="s">
        <v>2476</v>
      </c>
      <c r="E883" s="73">
        <v>26026</v>
      </c>
      <c r="F883" s="174"/>
      <c r="G883" s="73"/>
      <c r="H883" s="73"/>
      <c r="I883" s="73"/>
      <c r="J883" s="73"/>
      <c r="K883" s="73"/>
      <c r="L883" s="73"/>
      <c r="M883" s="73" t="s">
        <v>48</v>
      </c>
      <c r="N883" t="s">
        <v>2585</v>
      </c>
    </row>
    <row r="884" spans="1:14" ht="14.25" customHeight="1" x14ac:dyDescent="0.35">
      <c r="A884" s="87" t="s">
        <v>2587</v>
      </c>
      <c r="B884" s="192">
        <v>4561283743</v>
      </c>
      <c r="C884" s="188" t="s">
        <v>11</v>
      </c>
      <c r="D884" s="98" t="s">
        <v>145</v>
      </c>
      <c r="E884" s="73">
        <v>26027</v>
      </c>
      <c r="F884" s="174">
        <v>0.1</v>
      </c>
      <c r="G884" s="73"/>
      <c r="H884" s="73"/>
      <c r="I884" s="73"/>
      <c r="J884" s="73"/>
      <c r="K884" s="73"/>
      <c r="L884" s="73"/>
      <c r="M884" s="73" t="s">
        <v>9</v>
      </c>
      <c r="N884" t="s">
        <v>2588</v>
      </c>
    </row>
    <row r="885" spans="1:14" ht="14.25" customHeight="1" x14ac:dyDescent="0.35">
      <c r="A885" s="87"/>
      <c r="B885" s="190"/>
      <c r="C885" s="188" t="s">
        <v>11</v>
      </c>
      <c r="D885" s="98" t="s">
        <v>2477</v>
      </c>
      <c r="E885" s="73">
        <v>26028</v>
      </c>
      <c r="F885" s="174"/>
      <c r="G885" s="73"/>
      <c r="H885" s="73"/>
      <c r="I885" s="73"/>
      <c r="J885" s="73"/>
      <c r="K885" s="73"/>
      <c r="L885" s="73"/>
      <c r="M885" s="73" t="s">
        <v>48</v>
      </c>
    </row>
    <row r="886" spans="1:14" ht="14.25" customHeight="1" x14ac:dyDescent="0.35">
      <c r="A886" s="87"/>
      <c r="B886" s="190"/>
      <c r="C886" s="188" t="s">
        <v>2654</v>
      </c>
      <c r="D886" s="98" t="s">
        <v>2478</v>
      </c>
      <c r="E886" s="73">
        <v>26029</v>
      </c>
      <c r="F886" s="174"/>
      <c r="G886" s="73"/>
      <c r="H886" s="73"/>
      <c r="I886" s="73"/>
      <c r="J886" s="73"/>
      <c r="K886" s="73"/>
      <c r="L886" s="73"/>
      <c r="M886" s="73" t="s">
        <v>20</v>
      </c>
    </row>
    <row r="887" spans="1:14" ht="14.25" customHeight="1" x14ac:dyDescent="0.35">
      <c r="A887"/>
      <c r="B887" s="192">
        <v>4526241192</v>
      </c>
      <c r="C887" s="188" t="s">
        <v>2655</v>
      </c>
      <c r="D887" s="98" t="s">
        <v>2479</v>
      </c>
      <c r="E887" s="73">
        <v>26030</v>
      </c>
      <c r="F887" s="174"/>
      <c r="G887" s="73"/>
      <c r="H887" s="73"/>
      <c r="I887" s="73"/>
      <c r="J887" s="73"/>
      <c r="K887" s="73"/>
      <c r="L887" s="73"/>
      <c r="M887" s="73" t="s">
        <v>48</v>
      </c>
      <c r="N887" t="s">
        <v>2589</v>
      </c>
    </row>
    <row r="888" spans="1:14" ht="14.25" customHeight="1" x14ac:dyDescent="0.35">
      <c r="A888" s="87" t="s">
        <v>1914</v>
      </c>
      <c r="B888" s="190">
        <v>4541125671</v>
      </c>
      <c r="C888" s="188" t="s">
        <v>220</v>
      </c>
      <c r="D888" s="98" t="s">
        <v>1913</v>
      </c>
      <c r="E888" s="73">
        <v>26031</v>
      </c>
      <c r="F888" s="174">
        <v>0.1</v>
      </c>
      <c r="G888" s="73"/>
      <c r="H888" s="73"/>
      <c r="I888" s="73"/>
      <c r="J888" s="73"/>
      <c r="K888" s="73"/>
      <c r="L888" s="73"/>
      <c r="M888" s="73" t="s">
        <v>9</v>
      </c>
      <c r="N888" s="129" t="s">
        <v>2590</v>
      </c>
    </row>
    <row r="889" spans="1:14" ht="14.25" customHeight="1" x14ac:dyDescent="0.35">
      <c r="A889"/>
      <c r="B889" s="190"/>
      <c r="C889" s="188" t="s">
        <v>2656</v>
      </c>
      <c r="D889" s="98" t="s">
        <v>2480</v>
      </c>
      <c r="E889" s="73">
        <v>26032</v>
      </c>
      <c r="F889" s="174"/>
      <c r="G889" s="73"/>
      <c r="H889" s="73"/>
      <c r="I889" s="73"/>
      <c r="J889" s="73"/>
      <c r="K889" s="73"/>
      <c r="L889" s="73"/>
      <c r="M889" s="73" t="s">
        <v>48</v>
      </c>
    </row>
    <row r="890" spans="1:14" ht="14.25" customHeight="1" x14ac:dyDescent="0.35">
      <c r="A890" s="87"/>
      <c r="B890" s="190"/>
      <c r="C890" s="188" t="s">
        <v>2657</v>
      </c>
      <c r="D890" s="98" t="s">
        <v>2481</v>
      </c>
      <c r="E890" s="73">
        <v>26033</v>
      </c>
      <c r="F890" s="174"/>
      <c r="G890" s="73"/>
      <c r="H890" s="73"/>
      <c r="I890" s="73"/>
      <c r="J890" s="73"/>
      <c r="K890" s="73"/>
      <c r="L890" s="73"/>
      <c r="M890" s="73" t="s">
        <v>48</v>
      </c>
    </row>
    <row r="891" spans="1:14" ht="14.25" customHeight="1" x14ac:dyDescent="0.35">
      <c r="A891"/>
      <c r="B891" s="190"/>
      <c r="C891" s="188" t="s">
        <v>2658</v>
      </c>
      <c r="D891" s="98" t="s">
        <v>2482</v>
      </c>
      <c r="E891" s="73">
        <v>26034</v>
      </c>
      <c r="F891" s="174"/>
      <c r="G891" s="73"/>
      <c r="H891" s="73"/>
      <c r="I891" s="73"/>
      <c r="J891" s="73"/>
      <c r="K891" s="73"/>
      <c r="L891" s="73"/>
      <c r="M891" s="73" t="s">
        <v>48</v>
      </c>
    </row>
    <row r="892" spans="1:14" ht="14.25" customHeight="1" x14ac:dyDescent="0.35">
      <c r="A892" s="178" t="s">
        <v>1904</v>
      </c>
      <c r="B892" s="192">
        <v>46733448215</v>
      </c>
      <c r="C892" s="188" t="s">
        <v>879</v>
      </c>
      <c r="D892" s="98" t="s">
        <v>880</v>
      </c>
      <c r="E892" s="73">
        <v>26035</v>
      </c>
      <c r="F892" s="174">
        <v>0.1</v>
      </c>
      <c r="G892" s="73" t="s">
        <v>2592</v>
      </c>
      <c r="H892" s="73"/>
      <c r="I892" s="73"/>
      <c r="J892" s="73"/>
      <c r="K892" s="73"/>
      <c r="L892" s="73"/>
      <c r="M892" s="73" t="s">
        <v>9</v>
      </c>
      <c r="N892" t="s">
        <v>2593</v>
      </c>
    </row>
    <row r="893" spans="1:14" ht="14.25" customHeight="1" x14ac:dyDescent="0.35">
      <c r="A893" s="87"/>
      <c r="B893" s="190"/>
      <c r="C893" s="188" t="s">
        <v>2659</v>
      </c>
      <c r="D893" s="98" t="s">
        <v>2483</v>
      </c>
      <c r="E893" s="73">
        <v>26036</v>
      </c>
      <c r="F893" s="174"/>
      <c r="G893" s="73"/>
      <c r="H893" s="73"/>
      <c r="I893" s="73"/>
      <c r="J893" s="73"/>
      <c r="K893" s="73"/>
      <c r="L893" s="73"/>
      <c r="M893" s="73" t="s">
        <v>48</v>
      </c>
    </row>
    <row r="894" spans="1:14" ht="14.25" customHeight="1" x14ac:dyDescent="0.35">
      <c r="A894" s="87"/>
      <c r="B894" s="190"/>
      <c r="C894" s="188" t="s">
        <v>2660</v>
      </c>
      <c r="D894" s="98" t="s">
        <v>2484</v>
      </c>
      <c r="E894" s="73">
        <v>26037</v>
      </c>
      <c r="F894" s="174"/>
      <c r="G894" s="73"/>
      <c r="H894" s="73"/>
      <c r="I894" s="73"/>
      <c r="J894" s="73"/>
      <c r="K894" s="73"/>
      <c r="L894" s="73"/>
      <c r="M894" s="73" t="s">
        <v>48</v>
      </c>
    </row>
    <row r="895" spans="1:14" ht="14.25" customHeight="1" x14ac:dyDescent="0.35">
      <c r="A895" s="87"/>
      <c r="B895" s="190"/>
      <c r="C895" s="188" t="s">
        <v>2661</v>
      </c>
      <c r="D895" s="98" t="s">
        <v>2485</v>
      </c>
      <c r="E895" s="73">
        <v>26038</v>
      </c>
      <c r="F895" s="174"/>
      <c r="G895" s="73"/>
      <c r="H895" s="73"/>
      <c r="I895" s="73"/>
      <c r="J895" s="73"/>
      <c r="K895" s="73"/>
      <c r="L895" s="73"/>
      <c r="M895" s="73" t="s">
        <v>48</v>
      </c>
    </row>
    <row r="896" spans="1:14" ht="14.25" customHeight="1" x14ac:dyDescent="0.35">
      <c r="A896"/>
      <c r="B896" s="190"/>
      <c r="C896" s="188" t="s">
        <v>2662</v>
      </c>
      <c r="D896" s="98" t="s">
        <v>2486</v>
      </c>
      <c r="E896" s="73">
        <v>26039</v>
      </c>
      <c r="F896" s="174"/>
      <c r="G896" s="73"/>
      <c r="H896" s="73"/>
      <c r="I896" s="73"/>
      <c r="J896" s="73"/>
      <c r="K896" s="73"/>
      <c r="L896" s="73"/>
      <c r="M896" s="73" t="s">
        <v>20</v>
      </c>
    </row>
    <row r="897" spans="1:14" ht="14.25" customHeight="1" x14ac:dyDescent="0.35">
      <c r="A897" s="87"/>
      <c r="B897" s="190"/>
      <c r="C897" s="188" t="s">
        <v>189</v>
      </c>
      <c r="D897" s="98" t="s">
        <v>2487</v>
      </c>
      <c r="E897" s="73">
        <v>26040</v>
      </c>
      <c r="F897" s="174"/>
      <c r="G897" s="73"/>
      <c r="H897" s="73"/>
      <c r="I897" s="73"/>
      <c r="J897" s="73"/>
      <c r="K897" s="73"/>
      <c r="L897" s="73"/>
      <c r="M897" s="73" t="s">
        <v>20</v>
      </c>
    </row>
    <row r="898" spans="1:14" ht="14.25" customHeight="1" x14ac:dyDescent="0.35">
      <c r="A898" s="87"/>
      <c r="B898" s="190"/>
      <c r="C898" s="188" t="s">
        <v>2663</v>
      </c>
      <c r="D898" s="98" t="s">
        <v>2488</v>
      </c>
      <c r="E898" s="73">
        <v>26041</v>
      </c>
      <c r="F898" s="174"/>
      <c r="G898" s="73"/>
      <c r="H898" s="73"/>
      <c r="I898" s="73"/>
      <c r="J898" s="73"/>
      <c r="K898" s="73"/>
      <c r="L898" s="73"/>
      <c r="M898" s="73" t="s">
        <v>48</v>
      </c>
    </row>
    <row r="899" spans="1:14" ht="14.25" customHeight="1" x14ac:dyDescent="0.35">
      <c r="A899" s="87"/>
      <c r="B899" s="190"/>
      <c r="C899" s="188" t="s">
        <v>2664</v>
      </c>
      <c r="D899" s="98" t="s">
        <v>2489</v>
      </c>
      <c r="E899" s="73">
        <v>26042</v>
      </c>
      <c r="F899" s="174"/>
      <c r="G899" s="73"/>
      <c r="H899" s="73"/>
      <c r="I899" s="73"/>
      <c r="J899" s="73"/>
      <c r="K899" s="73"/>
      <c r="L899" s="73"/>
      <c r="M899" s="73" t="s">
        <v>48</v>
      </c>
    </row>
    <row r="900" spans="1:14" ht="14.25" customHeight="1" x14ac:dyDescent="0.35">
      <c r="A900" s="87" t="s">
        <v>2595</v>
      </c>
      <c r="B900" s="190">
        <v>4526140610</v>
      </c>
      <c r="C900" s="188" t="s">
        <v>2665</v>
      </c>
      <c r="D900" s="98" t="s">
        <v>2490</v>
      </c>
      <c r="E900" s="73">
        <v>26043</v>
      </c>
      <c r="F900" s="174"/>
      <c r="G900" s="73"/>
      <c r="H900" s="73"/>
      <c r="I900" s="73"/>
      <c r="J900" s="73"/>
      <c r="K900" s="73"/>
      <c r="L900" s="73"/>
      <c r="M900" s="73" t="s">
        <v>9</v>
      </c>
      <c r="N900" t="s">
        <v>2596</v>
      </c>
    </row>
    <row r="901" spans="1:14" ht="14.25" customHeight="1" x14ac:dyDescent="0.35">
      <c r="A901"/>
      <c r="B901" s="190"/>
      <c r="C901" s="188" t="s">
        <v>2666</v>
      </c>
      <c r="D901" s="98" t="s">
        <v>2491</v>
      </c>
      <c r="E901" s="73">
        <v>26044</v>
      </c>
      <c r="F901" s="174"/>
      <c r="G901" s="73"/>
      <c r="H901" s="73"/>
      <c r="I901" s="73"/>
      <c r="J901" s="73"/>
      <c r="K901" s="73"/>
      <c r="L901" s="73"/>
      <c r="M901" s="73" t="s">
        <v>48</v>
      </c>
    </row>
    <row r="902" spans="1:14" ht="14.25" customHeight="1" x14ac:dyDescent="0.35">
      <c r="A902"/>
      <c r="B902" s="190"/>
      <c r="C902" s="188" t="s">
        <v>2667</v>
      </c>
      <c r="D902" s="98" t="s">
        <v>2492</v>
      </c>
      <c r="E902" s="73">
        <v>26045</v>
      </c>
      <c r="F902" s="174"/>
      <c r="G902" s="73"/>
      <c r="H902" s="73"/>
      <c r="I902" s="73"/>
      <c r="J902" s="73"/>
      <c r="K902" s="73"/>
      <c r="L902" s="73"/>
      <c r="M902" s="73" t="s">
        <v>48</v>
      </c>
    </row>
    <row r="903" spans="1:14" ht="14.25" customHeight="1" x14ac:dyDescent="0.35">
      <c r="A903" s="87"/>
      <c r="B903" s="190"/>
      <c r="C903" s="188" t="s">
        <v>11</v>
      </c>
      <c r="D903" s="98" t="s">
        <v>2493</v>
      </c>
      <c r="E903" s="73">
        <v>26046</v>
      </c>
      <c r="F903" s="174"/>
      <c r="G903" s="73"/>
      <c r="H903" s="73"/>
      <c r="I903" s="73"/>
      <c r="J903" s="73"/>
      <c r="K903" s="73"/>
      <c r="L903" s="73"/>
      <c r="M903" s="73" t="s">
        <v>48</v>
      </c>
      <c r="N903" t="s">
        <v>2599</v>
      </c>
    </row>
    <row r="904" spans="1:14" ht="14.25" customHeight="1" x14ac:dyDescent="0.35">
      <c r="A904" s="87" t="s">
        <v>14</v>
      </c>
      <c r="B904" s="192">
        <v>4531909358</v>
      </c>
      <c r="C904" s="188" t="s">
        <v>15</v>
      </c>
      <c r="D904" s="98" t="s">
        <v>16</v>
      </c>
      <c r="E904" s="73">
        <v>26047</v>
      </c>
      <c r="F904" s="174"/>
      <c r="G904" s="197" t="s">
        <v>1293</v>
      </c>
      <c r="H904" s="73"/>
      <c r="I904" s="73"/>
      <c r="J904" s="73"/>
      <c r="K904" s="73"/>
      <c r="L904" s="73"/>
      <c r="M904" s="73" t="s">
        <v>9</v>
      </c>
      <c r="N904" t="s">
        <v>2600</v>
      </c>
    </row>
    <row r="905" spans="1:14" ht="14.25" customHeight="1" x14ac:dyDescent="0.35">
      <c r="A905" s="87"/>
      <c r="B905" s="190"/>
      <c r="C905" s="188" t="s">
        <v>2668</v>
      </c>
      <c r="D905" s="98" t="s">
        <v>2494</v>
      </c>
      <c r="E905" s="73">
        <v>26048</v>
      </c>
      <c r="F905" s="174"/>
      <c r="G905" s="73"/>
      <c r="H905" s="73"/>
      <c r="I905" s="73"/>
      <c r="J905" s="73"/>
      <c r="K905" s="73"/>
      <c r="L905" s="73"/>
      <c r="M905" s="73" t="s">
        <v>20</v>
      </c>
    </row>
    <row r="906" spans="1:14" ht="14.25" customHeight="1" x14ac:dyDescent="0.35">
      <c r="A906" s="87"/>
      <c r="B906" s="190"/>
      <c r="C906" s="188" t="s">
        <v>2669</v>
      </c>
      <c r="D906" s="98" t="s">
        <v>2495</v>
      </c>
      <c r="E906" s="73">
        <v>26049</v>
      </c>
      <c r="F906" s="174"/>
      <c r="G906" s="73"/>
      <c r="H906" s="73"/>
      <c r="I906" s="73"/>
      <c r="J906" s="73"/>
      <c r="K906" s="73"/>
      <c r="L906" s="73"/>
      <c r="M906" s="73" t="s">
        <v>48</v>
      </c>
    </row>
    <row r="907" spans="1:14" ht="14.25" customHeight="1" x14ac:dyDescent="0.35">
      <c r="A907"/>
      <c r="B907" s="190"/>
      <c r="C907" s="188" t="s">
        <v>2670</v>
      </c>
      <c r="D907" s="98" t="s">
        <v>2496</v>
      </c>
      <c r="E907" s="73">
        <v>26050</v>
      </c>
      <c r="F907" s="174"/>
      <c r="G907" s="73"/>
      <c r="H907" s="73"/>
      <c r="I907" s="73"/>
      <c r="J907" s="73"/>
      <c r="K907" s="73"/>
      <c r="L907" s="73"/>
      <c r="M907" s="73" t="s">
        <v>48</v>
      </c>
    </row>
    <row r="908" spans="1:14" ht="14.25" customHeight="1" x14ac:dyDescent="0.35">
      <c r="A908" s="178" t="s">
        <v>1065</v>
      </c>
      <c r="B908" s="192">
        <v>4540474386</v>
      </c>
      <c r="C908" s="188" t="s">
        <v>752</v>
      </c>
      <c r="D908" s="98" t="s">
        <v>753</v>
      </c>
      <c r="E908" s="73">
        <v>26051</v>
      </c>
      <c r="F908" s="174">
        <v>0.1</v>
      </c>
      <c r="G908" s="197" t="s">
        <v>1067</v>
      </c>
      <c r="H908" s="73"/>
      <c r="I908" s="73"/>
      <c r="J908" s="73"/>
      <c r="K908" s="73"/>
      <c r="L908" s="73"/>
      <c r="M908" s="73" t="s">
        <v>9</v>
      </c>
      <c r="N908">
        <v>2024</v>
      </c>
    </row>
    <row r="909" spans="1:14" ht="14.25" customHeight="1" x14ac:dyDescent="0.35">
      <c r="A909" s="87"/>
      <c r="B909" s="190"/>
      <c r="C909" s="188" t="s">
        <v>2671</v>
      </c>
      <c r="D909" s="98" t="s">
        <v>2497</v>
      </c>
      <c r="E909" s="73">
        <v>26052</v>
      </c>
      <c r="F909" s="174"/>
      <c r="G909" s="73"/>
      <c r="H909" s="73"/>
      <c r="I909" s="73"/>
      <c r="J909" s="73"/>
      <c r="K909" s="73"/>
      <c r="L909" s="73"/>
      <c r="M909" s="73" t="s">
        <v>48</v>
      </c>
    </row>
    <row r="910" spans="1:14" ht="14.25" customHeight="1" x14ac:dyDescent="0.35">
      <c r="A910"/>
      <c r="B910" s="190"/>
      <c r="C910" s="188" t="s">
        <v>2672</v>
      </c>
      <c r="D910" s="98" t="s">
        <v>2498</v>
      </c>
      <c r="E910" s="73">
        <v>26053</v>
      </c>
      <c r="F910" s="174"/>
      <c r="G910" s="73"/>
      <c r="H910" s="73"/>
      <c r="I910" s="73"/>
      <c r="J910" s="73"/>
      <c r="K910" s="73"/>
      <c r="L910" s="73"/>
      <c r="M910" s="73" t="s">
        <v>48</v>
      </c>
    </row>
    <row r="911" spans="1:14" ht="14.25" customHeight="1" x14ac:dyDescent="0.35">
      <c r="A911" s="87"/>
      <c r="B911" s="190"/>
      <c r="C911" s="188" t="s">
        <v>499</v>
      </c>
      <c r="D911" s="98" t="s">
        <v>2499</v>
      </c>
      <c r="E911" s="73">
        <v>26054</v>
      </c>
      <c r="F911" s="174"/>
      <c r="G911" s="73"/>
      <c r="H911" s="73"/>
      <c r="I911" s="73"/>
      <c r="J911" s="73"/>
      <c r="K911" s="73"/>
      <c r="L911" s="73"/>
      <c r="M911" s="73" t="s">
        <v>48</v>
      </c>
    </row>
    <row r="912" spans="1:14" ht="14.25" customHeight="1" x14ac:dyDescent="0.35">
      <c r="A912" s="87"/>
      <c r="B912" s="190"/>
      <c r="C912" s="188" t="s">
        <v>74</v>
      </c>
      <c r="D912" s="98" t="s">
        <v>2500</v>
      </c>
      <c r="E912" s="73">
        <v>26055</v>
      </c>
      <c r="F912" s="174"/>
      <c r="G912" s="73"/>
      <c r="H912" s="73"/>
      <c r="I912" s="73"/>
      <c r="J912" s="73"/>
      <c r="K912" s="73"/>
      <c r="L912" s="73"/>
      <c r="M912" s="73" t="s">
        <v>48</v>
      </c>
    </row>
    <row r="913" spans="1:14" ht="14.25" customHeight="1" x14ac:dyDescent="0.35">
      <c r="A913" s="87"/>
      <c r="B913" s="190"/>
      <c r="C913" s="188" t="s">
        <v>2673</v>
      </c>
      <c r="D913" s="98" t="s">
        <v>2501</v>
      </c>
      <c r="E913" s="73">
        <v>26056</v>
      </c>
      <c r="F913" s="174"/>
      <c r="G913" s="73"/>
      <c r="H913" s="73"/>
      <c r="I913" s="73"/>
      <c r="J913" s="73"/>
      <c r="K913" s="73"/>
      <c r="L913" s="73"/>
      <c r="M913" s="73" t="s">
        <v>48</v>
      </c>
      <c r="N913" t="s">
        <v>2605</v>
      </c>
    </row>
    <row r="914" spans="1:14" ht="14.25" customHeight="1" x14ac:dyDescent="0.35">
      <c r="A914"/>
      <c r="B914" s="192">
        <v>466700686</v>
      </c>
      <c r="C914" s="188" t="s">
        <v>303</v>
      </c>
      <c r="D914" s="98" t="s">
        <v>304</v>
      </c>
      <c r="E914" s="73">
        <v>26057</v>
      </c>
      <c r="F914" s="174"/>
      <c r="G914" s="73" t="s">
        <v>305</v>
      </c>
      <c r="H914" s="73"/>
      <c r="I914" s="73"/>
      <c r="J914" s="73"/>
      <c r="K914" s="73"/>
      <c r="L914" s="73"/>
      <c r="M914" s="73" t="s">
        <v>48</v>
      </c>
      <c r="N914" t="s">
        <v>2606</v>
      </c>
    </row>
    <row r="915" spans="1:14" ht="14.25" customHeight="1" x14ac:dyDescent="0.35">
      <c r="A915" s="87"/>
      <c r="B915" s="190"/>
      <c r="C915" s="188" t="s">
        <v>2674</v>
      </c>
      <c r="D915" s="98" t="s">
        <v>2502</v>
      </c>
      <c r="E915" s="73">
        <v>26058</v>
      </c>
      <c r="F915" s="174">
        <v>0.1</v>
      </c>
      <c r="G915" s="73"/>
      <c r="H915" s="73"/>
      <c r="I915" s="73"/>
      <c r="J915" s="73"/>
      <c r="K915" s="73"/>
      <c r="L915" s="73"/>
      <c r="M915" s="73" t="s">
        <v>9</v>
      </c>
      <c r="N915" t="s">
        <v>2607</v>
      </c>
    </row>
    <row r="916" spans="1:14" ht="14.25" customHeight="1" x14ac:dyDescent="0.35">
      <c r="A916" s="87"/>
      <c r="B916" s="190">
        <v>4542401010</v>
      </c>
      <c r="C916" s="188" t="s">
        <v>2675</v>
      </c>
      <c r="D916" s="98" t="s">
        <v>2503</v>
      </c>
      <c r="E916" s="73">
        <v>26059</v>
      </c>
      <c r="F916" s="174"/>
      <c r="G916" s="73"/>
      <c r="H916" s="73"/>
      <c r="I916" s="73"/>
      <c r="J916" s="73"/>
      <c r="K916" s="73"/>
      <c r="L916" s="73"/>
      <c r="M916" s="73" t="s">
        <v>48</v>
      </c>
    </row>
    <row r="917" spans="1:14" ht="14.25" customHeight="1" x14ac:dyDescent="0.35">
      <c r="A917"/>
      <c r="B917" s="190"/>
      <c r="C917" s="188" t="s">
        <v>220</v>
      </c>
      <c r="D917" s="98" t="s">
        <v>2504</v>
      </c>
      <c r="E917" s="73">
        <v>26060</v>
      </c>
      <c r="F917" s="174"/>
      <c r="G917" s="73"/>
      <c r="H917" s="73"/>
      <c r="I917" s="73"/>
      <c r="J917" s="73"/>
      <c r="K917" s="73"/>
      <c r="L917" s="73"/>
      <c r="M917" s="73" t="s">
        <v>48</v>
      </c>
    </row>
    <row r="918" spans="1:14" ht="14.25" customHeight="1" x14ac:dyDescent="0.35">
      <c r="A918" s="87"/>
      <c r="B918" s="190"/>
      <c r="C918" s="188" t="s">
        <v>2676</v>
      </c>
      <c r="D918" s="98" t="s">
        <v>2505</v>
      </c>
      <c r="E918" s="73">
        <v>26061</v>
      </c>
      <c r="F918" s="174"/>
      <c r="G918" s="73"/>
      <c r="H918" s="73"/>
      <c r="I918" s="73"/>
      <c r="J918" s="73"/>
      <c r="K918" s="73"/>
      <c r="L918" s="73"/>
      <c r="M918" s="73" t="s">
        <v>48</v>
      </c>
    </row>
    <row r="919" spans="1:14" ht="14.25" customHeight="1" x14ac:dyDescent="0.35">
      <c r="A919"/>
      <c r="B919" s="190"/>
      <c r="C919" s="188" t="s">
        <v>25</v>
      </c>
      <c r="D919" s="98" t="s">
        <v>2506</v>
      </c>
      <c r="E919" s="73">
        <v>26062</v>
      </c>
      <c r="F919" s="174">
        <v>0.1</v>
      </c>
      <c r="G919" s="73"/>
      <c r="H919" s="73"/>
      <c r="I919" s="73"/>
      <c r="J919" s="73"/>
      <c r="K919" s="73"/>
      <c r="L919" s="73"/>
      <c r="M919" s="73" t="s">
        <v>48</v>
      </c>
      <c r="N919" t="s">
        <v>2610</v>
      </c>
    </row>
    <row r="920" spans="1:14" ht="14.25" customHeight="1" x14ac:dyDescent="0.35">
      <c r="A920" s="87" t="s">
        <v>2611</v>
      </c>
      <c r="B920" s="190"/>
      <c r="C920" s="188" t="s">
        <v>2677</v>
      </c>
      <c r="D920" s="98" t="s">
        <v>2507</v>
      </c>
      <c r="E920" s="73">
        <v>26063</v>
      </c>
      <c r="F920" s="174">
        <v>0.05</v>
      </c>
      <c r="G920" s="73"/>
      <c r="H920" s="73"/>
      <c r="I920" s="73"/>
      <c r="J920" s="73"/>
      <c r="K920" s="73"/>
      <c r="L920" s="73"/>
      <c r="M920" s="73" t="s">
        <v>9</v>
      </c>
    </row>
    <row r="921" spans="1:14" ht="14.25" customHeight="1" x14ac:dyDescent="0.35">
      <c r="A921"/>
      <c r="B921" s="190"/>
      <c r="C921" s="188" t="s">
        <v>778</v>
      </c>
      <c r="D921" s="98" t="s">
        <v>2508</v>
      </c>
      <c r="E921" s="73">
        <v>26064</v>
      </c>
      <c r="F921" s="174"/>
      <c r="G921" s="73"/>
      <c r="H921" s="73"/>
      <c r="I921" s="73"/>
      <c r="J921" s="73"/>
      <c r="K921" s="73"/>
      <c r="L921" s="73"/>
      <c r="M921" s="73" t="s">
        <v>48</v>
      </c>
    </row>
    <row r="922" spans="1:14" ht="14.25" customHeight="1" x14ac:dyDescent="0.35">
      <c r="A922"/>
      <c r="B922" s="190"/>
      <c r="C922" s="188" t="s">
        <v>74</v>
      </c>
      <c r="D922" s="98" t="s">
        <v>2509</v>
      </c>
      <c r="E922" s="73">
        <v>26065</v>
      </c>
      <c r="F922" s="174"/>
      <c r="G922" s="73"/>
      <c r="H922" s="73"/>
      <c r="I922" s="73"/>
      <c r="J922" s="73"/>
      <c r="K922" s="73"/>
      <c r="L922" s="73"/>
      <c r="M922" s="73" t="s">
        <v>48</v>
      </c>
    </row>
    <row r="923" spans="1:14" ht="14.25" customHeight="1" x14ac:dyDescent="0.35">
      <c r="A923" s="87" t="s">
        <v>2612</v>
      </c>
      <c r="B923" s="194">
        <v>4521261488</v>
      </c>
      <c r="C923" s="188" t="s">
        <v>63</v>
      </c>
      <c r="D923" s="98" t="s">
        <v>64</v>
      </c>
      <c r="E923" s="73">
        <v>26066</v>
      </c>
      <c r="F923" s="174">
        <v>0.1</v>
      </c>
      <c r="G923" s="73" t="s">
        <v>65</v>
      </c>
      <c r="H923" s="73"/>
      <c r="I923" s="73"/>
      <c r="J923" s="73"/>
      <c r="K923" s="73"/>
      <c r="L923" s="73"/>
      <c r="M923" s="73" t="s">
        <v>9</v>
      </c>
      <c r="N923">
        <v>2021.24</v>
      </c>
    </row>
    <row r="924" spans="1:14" ht="14.25" customHeight="1" x14ac:dyDescent="0.35">
      <c r="A924" s="87"/>
      <c r="B924" s="190"/>
      <c r="C924" s="188" t="s">
        <v>2678</v>
      </c>
      <c r="D924" s="98" t="s">
        <v>2510</v>
      </c>
      <c r="E924" s="73">
        <v>26067</v>
      </c>
      <c r="F924" s="174"/>
      <c r="G924" s="73"/>
      <c r="H924" s="73"/>
      <c r="I924" s="73"/>
      <c r="J924" s="73"/>
      <c r="K924" s="73"/>
      <c r="L924" s="73"/>
      <c r="M924" s="73" t="s">
        <v>48</v>
      </c>
    </row>
    <row r="925" spans="1:14" ht="14.25" customHeight="1" x14ac:dyDescent="0.35">
      <c r="A925"/>
      <c r="B925" s="190"/>
      <c r="C925" s="188" t="s">
        <v>2679</v>
      </c>
      <c r="D925" s="98" t="s">
        <v>2511</v>
      </c>
      <c r="E925" s="73">
        <v>26068</v>
      </c>
      <c r="F925" s="174"/>
      <c r="G925" s="73"/>
      <c r="H925" s="73"/>
      <c r="I925" s="73"/>
      <c r="J925" s="73"/>
      <c r="K925" s="73"/>
      <c r="L925" s="73"/>
      <c r="M925" s="73" t="s">
        <v>48</v>
      </c>
    </row>
    <row r="926" spans="1:14" ht="14.25" customHeight="1" x14ac:dyDescent="0.35">
      <c r="A926"/>
      <c r="B926" s="190"/>
      <c r="C926" s="188" t="s">
        <v>2680</v>
      </c>
      <c r="D926" s="98" t="s">
        <v>2512</v>
      </c>
      <c r="E926" s="73">
        <v>26069</v>
      </c>
      <c r="F926" s="174"/>
      <c r="G926" s="73"/>
      <c r="H926" s="73"/>
      <c r="I926" s="73"/>
      <c r="J926" s="73"/>
      <c r="K926" s="73"/>
      <c r="L926" s="73"/>
      <c r="M926" s="73" t="s">
        <v>48</v>
      </c>
    </row>
    <row r="927" spans="1:14" ht="14.25" customHeight="1" x14ac:dyDescent="0.35">
      <c r="A927" s="87" t="s">
        <v>1093</v>
      </c>
      <c r="B927" s="194">
        <v>4561793423</v>
      </c>
      <c r="C927" s="188" t="s">
        <v>189</v>
      </c>
      <c r="D927" s="98" t="s">
        <v>888</v>
      </c>
      <c r="E927" s="73">
        <v>26070</v>
      </c>
      <c r="F927" s="174"/>
      <c r="G927" s="73"/>
      <c r="H927" s="73"/>
      <c r="I927" s="73"/>
      <c r="J927" s="73"/>
      <c r="K927" s="73"/>
      <c r="L927" s="73"/>
      <c r="M927" s="73" t="s">
        <v>9</v>
      </c>
      <c r="N927" t="s">
        <v>2613</v>
      </c>
    </row>
    <row r="928" spans="1:14" ht="14.25" customHeight="1" x14ac:dyDescent="0.35">
      <c r="A928"/>
      <c r="B928" s="190"/>
      <c r="C928" s="188" t="s">
        <v>2681</v>
      </c>
      <c r="D928" s="98" t="s">
        <v>2513</v>
      </c>
      <c r="E928" s="73">
        <v>26071</v>
      </c>
      <c r="F928" s="174"/>
      <c r="G928" s="73"/>
      <c r="H928" s="73"/>
      <c r="I928" s="73"/>
      <c r="J928" s="73"/>
      <c r="K928" s="73"/>
      <c r="L928" s="73"/>
      <c r="M928" s="73" t="s">
        <v>20</v>
      </c>
    </row>
    <row r="929" spans="1:14" ht="14.25" customHeight="1" x14ac:dyDescent="0.35">
      <c r="A929" s="178" t="s">
        <v>1920</v>
      </c>
      <c r="B929" s="194">
        <v>4527139833</v>
      </c>
      <c r="C929" s="188" t="s">
        <v>189</v>
      </c>
      <c r="D929" s="98" t="s">
        <v>1919</v>
      </c>
      <c r="E929" s="73">
        <v>26072</v>
      </c>
      <c r="F929" s="174"/>
      <c r="G929" s="73"/>
      <c r="H929" s="73"/>
      <c r="I929" s="73"/>
      <c r="J929" s="73"/>
      <c r="K929" s="73"/>
      <c r="L929" s="73"/>
      <c r="M929" s="73" t="s">
        <v>48</v>
      </c>
      <c r="N929" t="s">
        <v>2614</v>
      </c>
    </row>
    <row r="930" spans="1:14" ht="14.25" customHeight="1" x14ac:dyDescent="0.35">
      <c r="A930"/>
      <c r="B930" s="190"/>
      <c r="C930" s="188" t="s">
        <v>2682</v>
      </c>
      <c r="D930" s="98" t="s">
        <v>2514</v>
      </c>
      <c r="E930" s="73">
        <v>26073</v>
      </c>
      <c r="F930" s="174"/>
      <c r="G930" s="73"/>
      <c r="H930" s="73"/>
      <c r="I930" s="73"/>
      <c r="J930" s="73"/>
      <c r="K930" s="73"/>
      <c r="L930" s="73"/>
      <c r="M930" s="73" t="s">
        <v>20</v>
      </c>
    </row>
    <row r="931" spans="1:14" ht="14.25" customHeight="1" x14ac:dyDescent="0.35">
      <c r="A931" s="87" t="s">
        <v>1144</v>
      </c>
      <c r="B931" s="190"/>
      <c r="C931" s="188" t="s">
        <v>25</v>
      </c>
      <c r="D931" s="98" t="s">
        <v>697</v>
      </c>
      <c r="E931" s="73">
        <v>26074</v>
      </c>
      <c r="F931" s="174">
        <v>0.1</v>
      </c>
      <c r="G931" s="73"/>
      <c r="H931" s="73"/>
      <c r="I931" s="73"/>
      <c r="J931" s="73"/>
      <c r="K931" s="73"/>
      <c r="L931" s="73"/>
      <c r="M931" s="73" t="s">
        <v>9</v>
      </c>
      <c r="N931" t="s">
        <v>2615</v>
      </c>
    </row>
    <row r="932" spans="1:14" ht="14.25" customHeight="1" x14ac:dyDescent="0.35">
      <c r="A932"/>
      <c r="B932" s="190"/>
      <c r="C932" s="188" t="s">
        <v>2683</v>
      </c>
      <c r="D932" s="98" t="s">
        <v>2515</v>
      </c>
      <c r="E932" s="73">
        <v>26075</v>
      </c>
      <c r="F932" s="174"/>
      <c r="G932" s="73"/>
      <c r="H932" s="73"/>
      <c r="I932" s="73"/>
      <c r="J932" s="73"/>
      <c r="K932" s="73"/>
      <c r="L932" s="73"/>
      <c r="M932" s="73" t="s">
        <v>20</v>
      </c>
    </row>
    <row r="933" spans="1:14" ht="14.25" customHeight="1" x14ac:dyDescent="0.35">
      <c r="A933"/>
      <c r="B933" s="190"/>
      <c r="C933" s="188" t="s">
        <v>11</v>
      </c>
      <c r="D933" s="98" t="s">
        <v>2516</v>
      </c>
      <c r="E933" s="73">
        <v>26076</v>
      </c>
      <c r="F933" s="174"/>
      <c r="G933" s="73"/>
      <c r="H933" s="73"/>
      <c r="I933" s="73"/>
      <c r="J933" s="73"/>
      <c r="K933" s="73"/>
      <c r="L933" s="73"/>
      <c r="M933" s="73" t="s">
        <v>48</v>
      </c>
    </row>
    <row r="934" spans="1:14" ht="14.25" customHeight="1" x14ac:dyDescent="0.35">
      <c r="A934" s="178" t="s">
        <v>1899</v>
      </c>
      <c r="B934" s="194">
        <v>4525240507</v>
      </c>
      <c r="C934" s="188" t="s">
        <v>107</v>
      </c>
      <c r="D934" s="98" t="s">
        <v>1898</v>
      </c>
      <c r="E934" s="73">
        <v>26077</v>
      </c>
      <c r="F934" s="174"/>
      <c r="G934" s="73"/>
      <c r="H934" s="73"/>
      <c r="I934" s="73"/>
      <c r="J934" s="73"/>
      <c r="K934" s="73"/>
      <c r="L934" s="73"/>
      <c r="M934" s="73" t="s">
        <v>9</v>
      </c>
      <c r="N934" t="s">
        <v>2616</v>
      </c>
    </row>
    <row r="935" spans="1:14" ht="14.25" customHeight="1" x14ac:dyDescent="0.35">
      <c r="A935"/>
      <c r="B935" s="190"/>
      <c r="C935" s="188" t="s">
        <v>2684</v>
      </c>
      <c r="D935" s="98" t="s">
        <v>2517</v>
      </c>
      <c r="E935" s="73">
        <v>26078</v>
      </c>
      <c r="F935" s="174"/>
      <c r="G935" s="73"/>
      <c r="H935" s="73"/>
      <c r="I935" s="73"/>
      <c r="J935" s="73"/>
      <c r="K935" s="73"/>
      <c r="L935" s="73"/>
      <c r="M935" s="73" t="s">
        <v>48</v>
      </c>
    </row>
    <row r="936" spans="1:14" ht="14.25" customHeight="1" x14ac:dyDescent="0.35">
      <c r="A936" s="87" t="s">
        <v>1489</v>
      </c>
      <c r="B936" s="194">
        <v>4520646004</v>
      </c>
      <c r="C936" s="188" t="s">
        <v>726</v>
      </c>
      <c r="D936" s="98" t="s">
        <v>418</v>
      </c>
      <c r="E936" s="73">
        <v>26079</v>
      </c>
      <c r="F936" s="174">
        <v>0.1</v>
      </c>
      <c r="G936" s="73"/>
      <c r="H936" s="73"/>
      <c r="I936" s="73"/>
      <c r="J936" s="73"/>
      <c r="K936" s="73"/>
      <c r="L936" s="73"/>
      <c r="M936" s="73" t="s">
        <v>9</v>
      </c>
      <c r="N936" t="s">
        <v>2617</v>
      </c>
    </row>
    <row r="937" spans="1:14" ht="14.25" customHeight="1" x14ac:dyDescent="0.35">
      <c r="A937" s="87" t="s">
        <v>2618</v>
      </c>
      <c r="B937" s="194">
        <v>4520143818</v>
      </c>
      <c r="C937" s="188" t="s">
        <v>942</v>
      </c>
      <c r="D937" s="98" t="s">
        <v>943</v>
      </c>
      <c r="E937" s="73">
        <v>26080</v>
      </c>
      <c r="F937" s="174">
        <v>0.1</v>
      </c>
      <c r="G937" s="73"/>
      <c r="H937" s="73"/>
      <c r="I937" s="73"/>
      <c r="J937" s="73"/>
      <c r="K937" s="73"/>
      <c r="L937" s="73"/>
      <c r="M937" s="73" t="s">
        <v>9</v>
      </c>
      <c r="N937" t="s">
        <v>2619</v>
      </c>
    </row>
    <row r="938" spans="1:14" ht="14.25" customHeight="1" x14ac:dyDescent="0.35">
      <c r="A938"/>
      <c r="B938" s="190"/>
      <c r="C938" s="188" t="s">
        <v>11</v>
      </c>
      <c r="D938" s="98" t="s">
        <v>2518</v>
      </c>
      <c r="E938" s="73">
        <v>26081</v>
      </c>
      <c r="F938" s="174"/>
      <c r="G938" s="73"/>
      <c r="H938" s="73"/>
      <c r="I938" s="73"/>
      <c r="J938" s="73"/>
      <c r="K938" s="73"/>
      <c r="L938" s="73"/>
      <c r="M938" s="73" t="s">
        <v>48</v>
      </c>
    </row>
    <row r="939" spans="1:14" ht="14.25" customHeight="1" x14ac:dyDescent="0.35">
      <c r="A939"/>
      <c r="B939" s="190"/>
      <c r="C939" s="188" t="s">
        <v>2685</v>
      </c>
      <c r="D939" s="195" t="s">
        <v>2519</v>
      </c>
      <c r="E939" s="73">
        <v>26082</v>
      </c>
      <c r="F939" s="174"/>
      <c r="G939" s="73"/>
      <c r="H939" s="73"/>
      <c r="I939" s="73"/>
      <c r="J939" s="73"/>
      <c r="K939" s="73"/>
      <c r="L939" s="73"/>
      <c r="M939" s="73" t="s">
        <v>20</v>
      </c>
    </row>
    <row r="940" spans="1:14" ht="14.25" customHeight="1" x14ac:dyDescent="0.35">
      <c r="A940"/>
      <c r="B940" s="190"/>
      <c r="C940" s="188" t="s">
        <v>2686</v>
      </c>
      <c r="D940" s="196" t="s">
        <v>2520</v>
      </c>
      <c r="E940" s="73">
        <v>26083</v>
      </c>
      <c r="F940" s="174"/>
      <c r="G940" s="73"/>
      <c r="H940" s="73"/>
      <c r="I940" s="73"/>
      <c r="J940" s="73"/>
      <c r="K940" s="73"/>
      <c r="L940" s="73"/>
      <c r="M940" s="73" t="s">
        <v>48</v>
      </c>
    </row>
    <row r="941" spans="1:14" ht="14.25" customHeight="1" x14ac:dyDescent="0.35">
      <c r="A941" s="178" t="s">
        <v>1147</v>
      </c>
      <c r="B941" s="194">
        <v>4526251564</v>
      </c>
      <c r="C941" s="188" t="s">
        <v>797</v>
      </c>
      <c r="D941" s="195" t="s">
        <v>798</v>
      </c>
      <c r="E941" s="73">
        <v>26084</v>
      </c>
      <c r="F941" s="174">
        <v>0.1</v>
      </c>
      <c r="G941" s="73" t="s">
        <v>1149</v>
      </c>
      <c r="H941" s="73"/>
      <c r="I941" s="73"/>
      <c r="J941" s="73"/>
      <c r="K941" s="73"/>
      <c r="L941" s="73"/>
      <c r="M941" s="73" t="s">
        <v>9</v>
      </c>
    </row>
    <row r="942" spans="1:14" ht="14.25" customHeight="1" x14ac:dyDescent="0.35">
      <c r="A942"/>
      <c r="B942" s="190"/>
      <c r="C942" s="188" t="s">
        <v>2687</v>
      </c>
      <c r="D942" s="98" t="s">
        <v>2521</v>
      </c>
      <c r="E942" s="73">
        <v>26085</v>
      </c>
      <c r="F942" s="174"/>
      <c r="G942" s="73"/>
      <c r="H942" s="73"/>
      <c r="I942" s="73"/>
      <c r="J942" s="73"/>
      <c r="K942" s="73"/>
      <c r="L942" s="73"/>
      <c r="M942" s="73" t="s">
        <v>48</v>
      </c>
    </row>
    <row r="943" spans="1:14" ht="14.25" customHeight="1" x14ac:dyDescent="0.35">
      <c r="A943" s="87" t="s">
        <v>2620</v>
      </c>
      <c r="B943" s="190"/>
      <c r="C943" s="188" t="s">
        <v>555</v>
      </c>
      <c r="D943" s="98" t="s">
        <v>2522</v>
      </c>
      <c r="E943" s="73">
        <v>26086</v>
      </c>
      <c r="F943" s="174">
        <v>0.1</v>
      </c>
      <c r="G943" s="73" t="s">
        <v>2621</v>
      </c>
      <c r="H943" s="73"/>
      <c r="I943" s="73"/>
      <c r="J943" s="73"/>
      <c r="K943" s="73"/>
      <c r="L943" s="73"/>
      <c r="M943" s="73" t="s">
        <v>9</v>
      </c>
      <c r="N943">
        <v>20.22</v>
      </c>
    </row>
    <row r="944" spans="1:14" ht="14.25" customHeight="1" x14ac:dyDescent="0.35">
      <c r="A944"/>
      <c r="B944" s="190"/>
      <c r="C944" s="188" t="s">
        <v>2688</v>
      </c>
      <c r="D944" s="98" t="s">
        <v>2523</v>
      </c>
      <c r="E944" s="73">
        <v>26087</v>
      </c>
      <c r="F944" s="174"/>
      <c r="G944" s="73"/>
      <c r="H944" s="73"/>
      <c r="I944" s="73"/>
      <c r="J944" s="73"/>
      <c r="K944" s="73"/>
      <c r="L944" s="73"/>
      <c r="M944" s="73" t="s">
        <v>48</v>
      </c>
    </row>
    <row r="945" spans="1:14" ht="14.25" customHeight="1" x14ac:dyDescent="0.35">
      <c r="A945"/>
      <c r="B945" s="190"/>
      <c r="C945" s="188" t="s">
        <v>2689</v>
      </c>
      <c r="D945" s="98" t="s">
        <v>2524</v>
      </c>
      <c r="E945" s="73">
        <v>26088</v>
      </c>
      <c r="F945" s="174"/>
      <c r="G945" s="73"/>
      <c r="H945" s="73"/>
      <c r="I945" s="73"/>
      <c r="J945" s="73"/>
      <c r="K945" s="73"/>
      <c r="L945" s="73"/>
      <c r="M945" s="73" t="s">
        <v>20</v>
      </c>
    </row>
    <row r="946" spans="1:14" ht="14.25" customHeight="1" x14ac:dyDescent="0.35">
      <c r="A946" s="87" t="s">
        <v>2622</v>
      </c>
      <c r="B946" s="98">
        <v>4540528447</v>
      </c>
      <c r="C946" s="188" t="s">
        <v>2690</v>
      </c>
      <c r="D946" s="98" t="s">
        <v>2525</v>
      </c>
      <c r="E946" s="73">
        <v>26089</v>
      </c>
      <c r="F946" s="174">
        <v>0.05</v>
      </c>
      <c r="G946" s="73"/>
      <c r="H946" s="73"/>
      <c r="I946" s="73"/>
      <c r="J946" s="73"/>
      <c r="K946" s="73"/>
      <c r="L946" s="73"/>
      <c r="M946" s="73" t="s">
        <v>9</v>
      </c>
      <c r="N946" t="s">
        <v>2624</v>
      </c>
    </row>
    <row r="947" spans="1:14" ht="14.25" customHeight="1" x14ac:dyDescent="0.35">
      <c r="A947"/>
      <c r="B947" s="98"/>
      <c r="C947" s="188" t="s">
        <v>2691</v>
      </c>
      <c r="D947" s="98" t="s">
        <v>2526</v>
      </c>
      <c r="E947" s="73">
        <v>26090</v>
      </c>
      <c r="F947" s="174">
        <v>0</v>
      </c>
      <c r="G947" s="73"/>
      <c r="H947" s="73"/>
      <c r="I947" s="73"/>
      <c r="J947" s="73"/>
      <c r="K947" s="73"/>
      <c r="L947" s="73"/>
      <c r="M947" s="73" t="s">
        <v>48</v>
      </c>
    </row>
    <row r="948" spans="1:14" ht="14.25" customHeight="1" x14ac:dyDescent="0.35">
      <c r="A948"/>
      <c r="B948" s="98"/>
      <c r="C948" s="188" t="s">
        <v>2692</v>
      </c>
      <c r="D948" s="98" t="s">
        <v>2527</v>
      </c>
      <c r="E948" s="73">
        <v>26091</v>
      </c>
      <c r="F948" s="174">
        <v>0.05</v>
      </c>
      <c r="G948" s="73"/>
      <c r="H948" s="73"/>
      <c r="I948" s="73"/>
      <c r="J948" s="73"/>
      <c r="K948" s="73"/>
      <c r="L948" s="73"/>
      <c r="M948" s="73" t="s">
        <v>9</v>
      </c>
    </row>
    <row r="949" spans="1:14" ht="14.25" customHeight="1" x14ac:dyDescent="0.35">
      <c r="A949" s="87" t="s">
        <v>1957</v>
      </c>
      <c r="B949" s="98"/>
      <c r="C949" s="188" t="s">
        <v>576</v>
      </c>
      <c r="D949" s="98" t="s">
        <v>725</v>
      </c>
      <c r="E949" s="73">
        <v>26092</v>
      </c>
      <c r="F949" s="174">
        <v>0.1</v>
      </c>
      <c r="G949" s="73" t="s">
        <v>1109</v>
      </c>
      <c r="H949" s="73"/>
      <c r="I949" s="73"/>
      <c r="J949" s="73"/>
      <c r="K949" s="73"/>
      <c r="L949" s="73"/>
      <c r="M949" s="73" t="s">
        <v>9</v>
      </c>
      <c r="N949" t="s">
        <v>2625</v>
      </c>
    </row>
    <row r="950" spans="1:14" ht="14.25" customHeight="1" x14ac:dyDescent="0.35">
      <c r="A950"/>
      <c r="B950" s="98"/>
      <c r="C950" s="188" t="s">
        <v>2693</v>
      </c>
      <c r="D950" s="98" t="s">
        <v>2528</v>
      </c>
      <c r="E950" s="73">
        <v>26093</v>
      </c>
      <c r="F950" s="174">
        <v>0</v>
      </c>
      <c r="G950" s="73"/>
      <c r="H950" s="73"/>
      <c r="I950" s="73"/>
      <c r="J950" s="73"/>
      <c r="K950" s="73"/>
      <c r="L950" s="73"/>
      <c r="M950" s="73" t="s">
        <v>48</v>
      </c>
    </row>
    <row r="951" spans="1:14" ht="14.25" customHeight="1" x14ac:dyDescent="0.35">
      <c r="A951"/>
      <c r="B951" s="98"/>
      <c r="C951" s="188" t="s">
        <v>2694</v>
      </c>
      <c r="D951" s="98" t="s">
        <v>2529</v>
      </c>
      <c r="E951" s="73">
        <v>26094</v>
      </c>
      <c r="F951" s="174">
        <v>0</v>
      </c>
      <c r="G951" s="73"/>
      <c r="H951" s="73"/>
      <c r="I951" s="73"/>
      <c r="J951" s="73"/>
      <c r="K951" s="73"/>
      <c r="L951" s="73"/>
      <c r="M951" s="73" t="s">
        <v>48</v>
      </c>
    </row>
    <row r="952" spans="1:14" ht="14.25" customHeight="1" x14ac:dyDescent="0.35">
      <c r="A952"/>
      <c r="B952" s="98"/>
      <c r="C952" s="188" t="s">
        <v>2695</v>
      </c>
      <c r="D952" s="98" t="s">
        <v>2530</v>
      </c>
      <c r="E952" s="73">
        <v>26095</v>
      </c>
      <c r="F952" s="174">
        <v>0</v>
      </c>
      <c r="G952" s="73"/>
      <c r="H952" s="73"/>
      <c r="I952" s="73"/>
      <c r="J952" s="73"/>
      <c r="K952" s="73"/>
      <c r="L952" s="73"/>
      <c r="M952" s="73" t="s">
        <v>48</v>
      </c>
    </row>
    <row r="953" spans="1:14" ht="14.25" customHeight="1" x14ac:dyDescent="0.35">
      <c r="A953"/>
      <c r="B953" s="98"/>
      <c r="C953" s="188" t="s">
        <v>2696</v>
      </c>
      <c r="D953" s="98" t="s">
        <v>2531</v>
      </c>
      <c r="E953" s="73">
        <v>26096</v>
      </c>
      <c r="F953" s="174">
        <v>0</v>
      </c>
      <c r="G953" s="73"/>
      <c r="H953" s="73"/>
      <c r="I953" s="73"/>
      <c r="J953" s="73"/>
      <c r="K953" s="73"/>
      <c r="L953" s="73"/>
      <c r="M953" s="73" t="s">
        <v>48</v>
      </c>
    </row>
    <row r="954" spans="1:14" ht="14.25" customHeight="1" x14ac:dyDescent="0.35">
      <c r="A954"/>
      <c r="B954" s="98"/>
      <c r="C954" s="188" t="s">
        <v>2697</v>
      </c>
      <c r="D954" s="98" t="s">
        <v>2532</v>
      </c>
      <c r="E954" s="73">
        <v>26097</v>
      </c>
      <c r="F954" s="174">
        <v>0</v>
      </c>
      <c r="G954" s="73"/>
      <c r="H954" s="73"/>
      <c r="I954" s="73"/>
      <c r="J954" s="73"/>
      <c r="K954" s="73"/>
      <c r="L954" s="73"/>
      <c r="M954" s="73" t="s">
        <v>48</v>
      </c>
    </row>
    <row r="955" spans="1:14" ht="14.25" customHeight="1" x14ac:dyDescent="0.35">
      <c r="A955"/>
      <c r="B955" s="98"/>
      <c r="C955" s="188" t="s">
        <v>116</v>
      </c>
      <c r="D955" s="98" t="s">
        <v>2533</v>
      </c>
      <c r="E955" s="73">
        <v>26098</v>
      </c>
      <c r="F955" s="174">
        <v>0</v>
      </c>
      <c r="G955" s="73"/>
      <c r="H955" s="73"/>
      <c r="I955" s="73"/>
      <c r="J955" s="73"/>
      <c r="K955" s="73"/>
      <c r="L955" s="73"/>
      <c r="M955" s="73" t="s">
        <v>20</v>
      </c>
    </row>
    <row r="956" spans="1:14" ht="14.25" customHeight="1" x14ac:dyDescent="0.35">
      <c r="A956" s="87" t="s">
        <v>1136</v>
      </c>
      <c r="B956" s="98" t="s">
        <v>2137</v>
      </c>
      <c r="C956" s="188" t="s">
        <v>916</v>
      </c>
      <c r="D956" s="98" t="s">
        <v>1138</v>
      </c>
      <c r="E956" s="73">
        <v>26099</v>
      </c>
      <c r="F956" s="174">
        <v>0.1</v>
      </c>
      <c r="G956" s="73" t="s">
        <v>1925</v>
      </c>
      <c r="H956" s="73"/>
      <c r="I956" s="73"/>
      <c r="J956" s="73"/>
      <c r="K956" s="73"/>
      <c r="L956" s="73"/>
      <c r="M956" s="73" t="s">
        <v>9</v>
      </c>
      <c r="N956" t="s">
        <v>2627</v>
      </c>
    </row>
    <row r="957" spans="1:14" ht="14.25" customHeight="1" x14ac:dyDescent="0.35">
      <c r="A957"/>
      <c r="B957" s="98"/>
      <c r="C957" s="188" t="s">
        <v>288</v>
      </c>
      <c r="D957" s="98" t="s">
        <v>2534</v>
      </c>
      <c r="E957" s="73">
        <v>26100</v>
      </c>
      <c r="F957" s="174">
        <v>0</v>
      </c>
      <c r="G957" s="73"/>
      <c r="H957" s="73"/>
      <c r="I957" s="73"/>
      <c r="J957" s="73"/>
      <c r="K957" s="73"/>
      <c r="L957" s="73"/>
      <c r="M957" s="73" t="s">
        <v>48</v>
      </c>
    </row>
    <row r="958" spans="1:14" ht="14.25" customHeight="1" x14ac:dyDescent="0.35">
      <c r="A958"/>
      <c r="B958" s="98"/>
      <c r="C958" s="188" t="s">
        <v>116</v>
      </c>
      <c r="D958" s="98" t="s">
        <v>2535</v>
      </c>
      <c r="E958" s="73">
        <v>26101</v>
      </c>
      <c r="F958" s="174">
        <v>0</v>
      </c>
      <c r="G958" s="73"/>
      <c r="H958" s="73"/>
      <c r="I958" s="73"/>
      <c r="J958" s="73"/>
      <c r="K958" s="73"/>
      <c r="L958" s="73"/>
      <c r="M958" s="73" t="s">
        <v>48</v>
      </c>
    </row>
    <row r="959" spans="1:14" ht="14.25" customHeight="1" x14ac:dyDescent="0.35">
      <c r="A959"/>
      <c r="B959" s="98"/>
      <c r="C959" s="188" t="s">
        <v>189</v>
      </c>
      <c r="D959" s="98" t="s">
        <v>2184</v>
      </c>
      <c r="E959" s="73">
        <v>26102</v>
      </c>
      <c r="F959" s="174"/>
      <c r="G959" s="73"/>
      <c r="H959" s="73"/>
      <c r="I959" s="73"/>
      <c r="J959" s="73"/>
      <c r="K959" s="73"/>
      <c r="L959" s="73"/>
      <c r="M959" s="73" t="s">
        <v>20</v>
      </c>
    </row>
    <row r="960" spans="1:14" ht="14.25" customHeight="1" x14ac:dyDescent="0.35">
      <c r="A960" s="87" t="s">
        <v>2628</v>
      </c>
      <c r="B960" s="98"/>
      <c r="C960" s="188" t="s">
        <v>2698</v>
      </c>
      <c r="D960" s="98" t="s">
        <v>2536</v>
      </c>
      <c r="E960" s="73">
        <v>26103</v>
      </c>
      <c r="F960" s="174">
        <v>0.1</v>
      </c>
      <c r="G960" s="73"/>
      <c r="H960" s="73"/>
      <c r="I960" s="73"/>
      <c r="J960" s="73"/>
      <c r="K960" s="73"/>
      <c r="L960" s="73"/>
      <c r="M960" s="73" t="s">
        <v>9</v>
      </c>
    </row>
    <row r="961" spans="1:14" ht="14.25" customHeight="1" x14ac:dyDescent="0.35">
      <c r="A961"/>
      <c r="B961" s="98"/>
      <c r="C961" s="188" t="s">
        <v>375</v>
      </c>
      <c r="D961" s="98" t="s">
        <v>2537</v>
      </c>
      <c r="E961" s="73">
        <v>26104</v>
      </c>
      <c r="F961" s="174">
        <v>0</v>
      </c>
      <c r="G961" s="73"/>
      <c r="H961" s="73"/>
      <c r="I961" s="73"/>
      <c r="J961" s="73"/>
      <c r="K961" s="73"/>
      <c r="L961" s="73"/>
      <c r="M961" s="73" t="s">
        <v>48</v>
      </c>
    </row>
    <row r="962" spans="1:14" ht="14.25" customHeight="1" x14ac:dyDescent="0.35">
      <c r="A962"/>
      <c r="B962" s="98"/>
      <c r="C962" s="188" t="s">
        <v>2699</v>
      </c>
      <c r="D962" s="98" t="s">
        <v>2538</v>
      </c>
      <c r="E962" s="73">
        <v>26105</v>
      </c>
      <c r="F962">
        <v>0</v>
      </c>
      <c r="G962" s="73"/>
      <c r="H962" s="73"/>
      <c r="I962" s="73"/>
      <c r="J962" s="73"/>
      <c r="K962" s="73"/>
      <c r="L962" s="73"/>
      <c r="M962" s="73" t="s">
        <v>48</v>
      </c>
    </row>
    <row r="963" spans="1:14" ht="14.25" customHeight="1" x14ac:dyDescent="0.35">
      <c r="A963"/>
      <c r="B963" s="98"/>
      <c r="C963" s="188" t="s">
        <v>296</v>
      </c>
      <c r="D963" s="98" t="s">
        <v>2539</v>
      </c>
      <c r="E963" s="73">
        <v>26106</v>
      </c>
      <c r="F963">
        <v>0</v>
      </c>
      <c r="G963" s="73"/>
      <c r="H963" s="73"/>
      <c r="I963" s="73"/>
      <c r="J963" s="73"/>
      <c r="K963" s="73"/>
      <c r="L963" s="73"/>
      <c r="M963" s="73" t="s">
        <v>48</v>
      </c>
    </row>
    <row r="964" spans="1:14" ht="14.25" customHeight="1" x14ac:dyDescent="0.35">
      <c r="A964" t="s">
        <v>2630</v>
      </c>
      <c r="B964" s="98"/>
      <c r="C964" s="188" t="s">
        <v>2700</v>
      </c>
      <c r="D964" s="98" t="s">
        <v>2540</v>
      </c>
      <c r="E964" s="73">
        <v>26107</v>
      </c>
      <c r="F964" s="174">
        <v>0.05</v>
      </c>
      <c r="G964" s="73"/>
      <c r="H964" s="73"/>
      <c r="I964" s="73"/>
      <c r="J964" s="73"/>
      <c r="K964" s="73"/>
      <c r="L964" s="73"/>
      <c r="M964" s="73" t="s">
        <v>9</v>
      </c>
    </row>
    <row r="965" spans="1:14" ht="14.25" customHeight="1" x14ac:dyDescent="0.35">
      <c r="A965" t="s">
        <v>2631</v>
      </c>
      <c r="B965" s="98"/>
      <c r="C965" s="188" t="s">
        <v>2701</v>
      </c>
      <c r="D965" s="98" t="s">
        <v>2541</v>
      </c>
      <c r="E965" s="73">
        <v>26108</v>
      </c>
      <c r="F965" s="182">
        <v>0.05</v>
      </c>
      <c r="G965" s="73" t="s">
        <v>415</v>
      </c>
      <c r="H965" s="73"/>
      <c r="I965" s="73"/>
      <c r="J965" s="73"/>
      <c r="K965" s="73"/>
      <c r="L965" s="73"/>
      <c r="M965" s="73" t="s">
        <v>9</v>
      </c>
    </row>
    <row r="966" spans="1:14" ht="14.25" customHeight="1" x14ac:dyDescent="0.35">
      <c r="A966"/>
      <c r="B966" s="98"/>
      <c r="C966" s="188" t="s">
        <v>2702</v>
      </c>
      <c r="D966" s="98" t="s">
        <v>2542</v>
      </c>
      <c r="E966" s="73">
        <v>26109</v>
      </c>
      <c r="F966">
        <v>0</v>
      </c>
      <c r="G966" s="73"/>
      <c r="H966" s="73"/>
      <c r="I966" s="73"/>
      <c r="J966" s="73"/>
      <c r="K966" s="73"/>
      <c r="L966" s="73"/>
      <c r="M966" s="73" t="s">
        <v>48</v>
      </c>
    </row>
    <row r="967" spans="1:14" ht="14.25" customHeight="1" x14ac:dyDescent="0.35">
      <c r="A967"/>
      <c r="B967" s="98"/>
      <c r="C967" s="188" t="s">
        <v>2703</v>
      </c>
      <c r="D967" s="98" t="s">
        <v>2543</v>
      </c>
      <c r="E967" s="73">
        <v>26110</v>
      </c>
      <c r="F967">
        <v>0</v>
      </c>
      <c r="G967" s="73"/>
      <c r="H967" s="73"/>
      <c r="I967" s="73"/>
      <c r="J967" s="73"/>
      <c r="K967" s="73"/>
      <c r="L967" s="73"/>
      <c r="M967" s="73" t="s">
        <v>48</v>
      </c>
    </row>
    <row r="968" spans="1:14" ht="14.25" customHeight="1" x14ac:dyDescent="0.35">
      <c r="A968"/>
      <c r="B968" s="98"/>
      <c r="C968" s="188" t="s">
        <v>2704</v>
      </c>
      <c r="D968" s="98" t="s">
        <v>2544</v>
      </c>
      <c r="E968" s="73">
        <v>26111</v>
      </c>
      <c r="F968">
        <v>0</v>
      </c>
      <c r="G968" s="73"/>
      <c r="H968" s="73"/>
      <c r="I968" s="73"/>
      <c r="J968" s="73"/>
      <c r="K968" s="73"/>
      <c r="L968" s="73"/>
      <c r="M968" s="73" t="s">
        <v>20</v>
      </c>
    </row>
    <row r="969" spans="1:14" ht="14.25" customHeight="1" x14ac:dyDescent="0.35">
      <c r="A969"/>
      <c r="B969" s="98"/>
      <c r="C969" s="188" t="s">
        <v>11</v>
      </c>
      <c r="D969" s="98" t="s">
        <v>2545</v>
      </c>
      <c r="E969" s="73">
        <v>26112</v>
      </c>
      <c r="F969">
        <v>0</v>
      </c>
      <c r="G969" s="73"/>
      <c r="H969" s="73"/>
      <c r="I969" s="73"/>
      <c r="J969" s="73"/>
      <c r="K969" s="73"/>
      <c r="L969" s="73"/>
      <c r="M969" s="73" t="s">
        <v>48</v>
      </c>
    </row>
    <row r="970" spans="1:14" ht="14.25" customHeight="1" x14ac:dyDescent="0.35">
      <c r="A970"/>
      <c r="B970" s="98"/>
      <c r="C970" s="188" t="s">
        <v>74</v>
      </c>
      <c r="D970" s="98" t="s">
        <v>2546</v>
      </c>
      <c r="E970" s="73">
        <v>26113</v>
      </c>
      <c r="F970">
        <v>0</v>
      </c>
      <c r="G970" s="73"/>
      <c r="H970" s="73"/>
      <c r="I970" s="73"/>
      <c r="J970" s="73"/>
      <c r="K970" s="73"/>
      <c r="L970" s="73"/>
      <c r="M970" s="73" t="s">
        <v>48</v>
      </c>
    </row>
    <row r="971" spans="1:14" ht="14.25" customHeight="1" x14ac:dyDescent="0.35">
      <c r="A971"/>
      <c r="B971" s="98" t="s">
        <v>2021</v>
      </c>
      <c r="C971" s="188" t="s">
        <v>158</v>
      </c>
      <c r="D971" s="98" t="s">
        <v>159</v>
      </c>
      <c r="E971" s="73">
        <v>26114</v>
      </c>
      <c r="F971" s="182">
        <v>0.1</v>
      </c>
      <c r="G971" s="73"/>
      <c r="H971" s="73"/>
      <c r="I971" s="73"/>
      <c r="J971" s="73"/>
      <c r="K971" s="73"/>
      <c r="L971" s="73"/>
      <c r="M971" s="73" t="s">
        <v>9</v>
      </c>
      <c r="N971" t="s">
        <v>2632</v>
      </c>
    </row>
    <row r="972" spans="1:14" ht="14.25" customHeight="1" x14ac:dyDescent="0.35">
      <c r="A972" t="s">
        <v>2633</v>
      </c>
      <c r="B972" s="98"/>
      <c r="C972" s="188" t="s">
        <v>74</v>
      </c>
      <c r="D972" s="98" t="s">
        <v>2547</v>
      </c>
      <c r="E972" s="73">
        <v>26115</v>
      </c>
      <c r="F972" s="182">
        <v>0.1</v>
      </c>
      <c r="G972" s="73"/>
      <c r="H972" s="73"/>
      <c r="I972" s="73"/>
      <c r="J972" s="73"/>
      <c r="K972" s="73"/>
      <c r="L972" s="73"/>
      <c r="M972" s="73" t="s">
        <v>9</v>
      </c>
    </row>
    <row r="973" spans="1:14" ht="14.25" customHeight="1" x14ac:dyDescent="0.35">
      <c r="A973"/>
      <c r="B973" s="190"/>
      <c r="C973" s="188" t="s">
        <v>288</v>
      </c>
      <c r="D973" s="98" t="s">
        <v>2548</v>
      </c>
      <c r="E973" s="73">
        <v>26116</v>
      </c>
      <c r="F973" s="174"/>
      <c r="G973" s="73"/>
      <c r="H973" s="73"/>
      <c r="I973" s="73"/>
      <c r="J973" s="73"/>
      <c r="K973" s="73"/>
      <c r="L973" s="73"/>
      <c r="M973" s="73" t="s">
        <v>48</v>
      </c>
    </row>
    <row r="974" spans="1:14" ht="14.25" customHeight="1" x14ac:dyDescent="0.35">
      <c r="A974"/>
      <c r="B974" s="190"/>
      <c r="C974" s="188" t="s">
        <v>125</v>
      </c>
      <c r="D974" s="98" t="s">
        <v>266</v>
      </c>
      <c r="E974" s="73">
        <v>26117</v>
      </c>
      <c r="F974" s="174"/>
      <c r="G974" s="73"/>
      <c r="H974" s="73"/>
      <c r="I974" s="73"/>
      <c r="J974" s="73"/>
      <c r="K974" s="73"/>
      <c r="L974" s="73"/>
      <c r="M974" s="73" t="s">
        <v>48</v>
      </c>
      <c r="N974">
        <v>2019</v>
      </c>
    </row>
    <row r="975" spans="1:14" ht="14.25" customHeight="1" x14ac:dyDescent="0.35">
      <c r="A975"/>
      <c r="B975" s="98"/>
      <c r="C975" s="188" t="s">
        <v>2705</v>
      </c>
      <c r="D975" s="98" t="s">
        <v>2549</v>
      </c>
      <c r="E975" s="73">
        <v>26118</v>
      </c>
      <c r="F975">
        <v>0</v>
      </c>
      <c r="G975" s="73"/>
      <c r="H975" s="73"/>
      <c r="I975" s="73"/>
      <c r="J975" s="73"/>
      <c r="K975" s="73"/>
      <c r="L975" s="73"/>
      <c r="M975" s="73" t="s">
        <v>48</v>
      </c>
    </row>
    <row r="976" spans="1:14" ht="14.25" customHeight="1" x14ac:dyDescent="0.35">
      <c r="A976"/>
      <c r="B976" s="98"/>
      <c r="C976" s="188" t="s">
        <v>2706</v>
      </c>
      <c r="D976" s="98" t="s">
        <v>2550</v>
      </c>
      <c r="E976" s="73">
        <v>26119</v>
      </c>
      <c r="F976">
        <v>0</v>
      </c>
      <c r="G976" s="73"/>
      <c r="H976" s="73"/>
      <c r="I976" s="73"/>
      <c r="J976" s="73"/>
      <c r="K976" s="73"/>
      <c r="L976" s="73"/>
      <c r="M976" s="73" t="s">
        <v>48</v>
      </c>
    </row>
    <row r="977" spans="1:14" ht="14.25" customHeight="1" x14ac:dyDescent="0.35">
      <c r="A977" t="s">
        <v>912</v>
      </c>
      <c r="B977" s="98" t="s">
        <v>2125</v>
      </c>
      <c r="C977" s="188" t="s">
        <v>54</v>
      </c>
      <c r="D977" s="98" t="s">
        <v>913</v>
      </c>
      <c r="E977" s="73">
        <v>26120</v>
      </c>
      <c r="F977" s="182">
        <v>0.1</v>
      </c>
      <c r="G977" s="73" t="s">
        <v>2637</v>
      </c>
      <c r="H977" s="73"/>
      <c r="I977" s="73"/>
      <c r="J977" s="73"/>
      <c r="K977" s="73"/>
      <c r="L977" s="73"/>
      <c r="M977" s="73" t="s">
        <v>9</v>
      </c>
      <c r="N977" t="s">
        <v>2638</v>
      </c>
    </row>
    <row r="978" spans="1:14" ht="14.25" customHeight="1" x14ac:dyDescent="0.35">
      <c r="A978" t="s">
        <v>2639</v>
      </c>
      <c r="B978" s="98" t="s">
        <v>2640</v>
      </c>
      <c r="C978" s="188" t="s">
        <v>2707</v>
      </c>
      <c r="D978" s="98" t="s">
        <v>2551</v>
      </c>
      <c r="E978" s="73">
        <v>26121</v>
      </c>
      <c r="F978" s="182">
        <v>0.05</v>
      </c>
      <c r="G978" s="73" t="s">
        <v>2641</v>
      </c>
      <c r="H978" s="73"/>
      <c r="I978" s="73"/>
      <c r="J978" s="73"/>
      <c r="K978" s="73"/>
      <c r="L978" s="73"/>
      <c r="M978" s="73" t="s">
        <v>9</v>
      </c>
      <c r="N978" t="s">
        <v>2642</v>
      </c>
    </row>
    <row r="979" spans="1:14" ht="14.25" customHeight="1" x14ac:dyDescent="0.35">
      <c r="A979" t="s">
        <v>2643</v>
      </c>
      <c r="B979" s="98"/>
      <c r="C979" s="188" t="s">
        <v>2708</v>
      </c>
      <c r="D979" s="98" t="s">
        <v>2552</v>
      </c>
      <c r="E979" s="73">
        <v>26122</v>
      </c>
      <c r="F979" s="182">
        <v>0.05</v>
      </c>
      <c r="G979" s="73"/>
      <c r="H979" s="73"/>
      <c r="I979" s="73"/>
      <c r="J979" s="73"/>
      <c r="K979" s="73"/>
      <c r="L979" s="73"/>
      <c r="M979" s="73" t="s">
        <v>9</v>
      </c>
    </row>
    <row r="980" spans="1:14" ht="14.25" customHeight="1" x14ac:dyDescent="0.35"/>
    <row r="981" spans="1:14" ht="14.25" customHeight="1" x14ac:dyDescent="0.35"/>
    <row r="982" spans="1:14" ht="14.25" customHeight="1" x14ac:dyDescent="0.35"/>
    <row r="983" spans="1:14" ht="14.25" customHeight="1" x14ac:dyDescent="0.35"/>
    <row r="984" spans="1:14" ht="14.25" customHeight="1" x14ac:dyDescent="0.35"/>
    <row r="985" spans="1:14" ht="14.25" customHeight="1" x14ac:dyDescent="0.35"/>
    <row r="986" spans="1:14" ht="14.25" customHeight="1" x14ac:dyDescent="0.35"/>
    <row r="987" spans="1:14" ht="14.25" customHeight="1" x14ac:dyDescent="0.35"/>
    <row r="988" spans="1:14" ht="14.25" customHeight="1" x14ac:dyDescent="0.35"/>
    <row r="989" spans="1:14" ht="14.25" customHeight="1" x14ac:dyDescent="0.35"/>
    <row r="990" spans="1:14" ht="14.25" customHeight="1" x14ac:dyDescent="0.35"/>
    <row r="991" spans="1:14" ht="14.25" customHeight="1" x14ac:dyDescent="0.35"/>
    <row r="992" spans="1:14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N857" xr:uid="{00000000-0001-0000-0100-000000000000}">
    <filterColumn colId="1">
      <customFilters>
        <customFilter operator="notEqual" val=" "/>
      </customFilters>
    </filterColumn>
    <sortState xmlns:xlrd2="http://schemas.microsoft.com/office/spreadsheetml/2017/richdata2" ref="A2:N856">
      <sortCondition ref="E2:E857"/>
    </sortState>
  </autoFilter>
  <sortState xmlns:xlrd2="http://schemas.microsoft.com/office/spreadsheetml/2017/richdata2" ref="A2:N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  <hyperlink ref="A235" r:id="rId164" xr:uid="{C476C3C9-9184-4BEE-8B9C-0499E4DFE179}"/>
    <hyperlink ref="A858" r:id="rId165" xr:uid="{899015C8-B50F-4C4F-99A7-5EFA19DEAF01}"/>
    <hyperlink ref="A860" r:id="rId166" xr:uid="{8FDC6F32-DAF1-4758-A6A3-FAA7B839BDCC}"/>
    <hyperlink ref="A861" r:id="rId167" xr:uid="{4D685E79-4400-4AAD-823F-9B8CEC051039}"/>
    <hyperlink ref="A862" r:id="rId168" xr:uid="{6EED7A8D-3597-4BCB-8AF2-73D309A95828}"/>
    <hyperlink ref="A863" r:id="rId169" xr:uid="{84D3099A-C27C-4C9C-A8E2-1AAADA0AA2E8}"/>
    <hyperlink ref="A864" r:id="rId170" xr:uid="{164628AD-CDB0-4955-BDA5-49149D106764}"/>
    <hyperlink ref="A865" r:id="rId171" xr:uid="{888C56C7-2C80-4020-B9A7-B1EA944D756D}"/>
    <hyperlink ref="A866" r:id="rId172" xr:uid="{B5288993-E50A-4644-8CD9-0EEDE8D60994}"/>
    <hyperlink ref="A867" r:id="rId173" xr:uid="{D922C5CD-C1BD-4A4D-A1B6-E726568048E5}"/>
    <hyperlink ref="A868" r:id="rId174" xr:uid="{6EB0C6F3-C6FB-4926-A403-BCCB9345DE74}"/>
    <hyperlink ref="A869" r:id="rId175" xr:uid="{BE263884-B29A-4732-A0BD-ED6A741A0BC4}"/>
    <hyperlink ref="A870" r:id="rId176" xr:uid="{124B4154-F02D-4945-99F9-51CAF3FA59D1}"/>
    <hyperlink ref="A872" r:id="rId177" xr:uid="{2E8A5B1B-DEC9-4302-9EED-A61092212D18}"/>
    <hyperlink ref="A876" r:id="rId178" xr:uid="{E9B28932-BE27-49E6-BBB8-6C6BA591798F}"/>
    <hyperlink ref="A874" r:id="rId179" xr:uid="{8F1B46F9-BFFC-4BD0-898B-BD83ED318B6D}"/>
    <hyperlink ref="A873" r:id="rId180" xr:uid="{214D5A18-915B-4E6A-B395-FB8732DAE7A1}"/>
    <hyperlink ref="A884" r:id="rId181" xr:uid="{C5407A3B-5EC8-4EDB-A2B9-C83DE163662C}"/>
    <hyperlink ref="A878" r:id="rId182" xr:uid="{4DFB1B3C-9EA7-4AFD-B364-970DF42430A1}"/>
    <hyperlink ref="A877" r:id="rId183" xr:uid="{02C628B7-E493-4543-B153-CC4E607EFA1B}"/>
    <hyperlink ref="A888" r:id="rId184" xr:uid="{894E7400-4289-4E9A-8BEE-0A6EBFDE9223}"/>
    <hyperlink ref="A892" r:id="rId185" xr:uid="{69262766-9BED-4C9A-9FE6-29DB45F572D3}"/>
    <hyperlink ref="A904" r:id="rId186" xr:uid="{6C35000B-1C78-4E20-A0E9-1A85E2BCAB71}"/>
    <hyperlink ref="A900" r:id="rId187" xr:uid="{61801861-D3C4-4A06-B843-EBCBD9D92B6E}"/>
    <hyperlink ref="A908" r:id="rId188" xr:uid="{9B2CE9A6-DD37-4AD4-A6C0-5BB777F8ED4A}"/>
    <hyperlink ref="A920" r:id="rId189" xr:uid="{8090FBB1-0248-4E0A-9916-CC5F7123A498}"/>
    <hyperlink ref="A923" r:id="rId190" xr:uid="{4EB27D4F-59C4-4A8F-BC02-5984B7103BFE}"/>
    <hyperlink ref="A927" r:id="rId191" xr:uid="{0F5D9C55-39C8-4DF7-9E4D-FB3ACDE1042B}"/>
    <hyperlink ref="A929" r:id="rId192" xr:uid="{16092134-1EF3-4168-BC5E-37137C73ED47}"/>
    <hyperlink ref="A931" r:id="rId193" xr:uid="{FF7ED210-8F79-4C63-9E53-BD1BD4785312}"/>
    <hyperlink ref="A934" r:id="rId194" xr:uid="{29492741-852B-4774-A4EB-F9959809E6D4}"/>
    <hyperlink ref="A937" r:id="rId195" xr:uid="{0365A472-4081-4FBF-B387-785A932B8CFA}"/>
    <hyperlink ref="A936" r:id="rId196" xr:uid="{F79B727D-D50C-4BC4-B36D-BFC713055B9F}"/>
    <hyperlink ref="A943" r:id="rId197" xr:uid="{D70F070F-C660-49FB-AB69-E2BBBD45781A}"/>
    <hyperlink ref="A941" r:id="rId198" xr:uid="{C2987805-92BE-4184-B573-D603F30AA4C0}"/>
    <hyperlink ref="A946" r:id="rId199" xr:uid="{FC6BEDFD-6026-4FC8-99A0-95641C6CE30F}"/>
    <hyperlink ref="A949" r:id="rId200" xr:uid="{5EC2B390-D24A-4A2C-91CF-84D3BFD7493A}"/>
    <hyperlink ref="A956" r:id="rId201" xr:uid="{D46C6171-F0EC-4C81-8141-6C772861C5A5}"/>
    <hyperlink ref="A960" r:id="rId202" xr:uid="{A5B96628-A250-48DE-89A8-47A1F000406E}"/>
  </hyperlinks>
  <pageMargins left="0.7" right="0.7" top="0.75" bottom="0.75" header="0" footer="0"/>
  <pageSetup orientation="landscape"/>
  <legacyDrawing r:id="rId2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46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474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2012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2" activePane="bottomLeft" state="frozen"/>
      <selection pane="bottomLeft" activeCell="H1" sqref="H1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2126</v>
      </c>
      <c r="N135" s="23" t="s">
        <v>2162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2190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147" activePane="bottomLeft" state="frozen"/>
      <selection pane="bottomLeft" activeCell="J2" sqref="J2:J159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2129</v>
      </c>
      <c r="O4" s="116" t="s">
        <v>2305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2306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2307</v>
      </c>
      <c r="N8" s="105" t="s">
        <v>2308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2309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2310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2311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2312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2313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2314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2087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2315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2316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2317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2318</v>
      </c>
      <c r="N20" s="105" t="s">
        <v>2319</v>
      </c>
      <c r="P20" s="70"/>
      <c r="Q20" s="70" t="s">
        <v>1818</v>
      </c>
      <c r="R20" s="88">
        <v>7820</v>
      </c>
      <c r="S20" t="s">
        <v>1826</v>
      </c>
      <c r="T20" t="s">
        <v>2320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2064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2321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2131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1984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2158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2322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2374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2323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2419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2324</v>
      </c>
      <c r="I35" s="70" t="s">
        <v>1797</v>
      </c>
      <c r="K35">
        <v>1</v>
      </c>
      <c r="L35">
        <v>2</v>
      </c>
      <c r="N35" s="105" t="s">
        <v>2325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2326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2327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2328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2329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2420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2330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2331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2067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2332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2333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2334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2335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2336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2337</v>
      </c>
      <c r="O56" t="s">
        <v>2338</v>
      </c>
      <c r="P56" s="70"/>
      <c r="Q56" s="70" t="s">
        <v>1818</v>
      </c>
      <c r="R56" s="88">
        <v>3334.5</v>
      </c>
      <c r="T56" t="s">
        <v>2339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2340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2121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2341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2342</v>
      </c>
      <c r="I63" s="70"/>
      <c r="K63">
        <v>1</v>
      </c>
      <c r="L63">
        <v>2</v>
      </c>
      <c r="N63" s="105" t="s">
        <v>2343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2127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2219</v>
      </c>
      <c r="I65" s="70"/>
      <c r="K65">
        <v>1</v>
      </c>
      <c r="L65">
        <v>2</v>
      </c>
      <c r="N65" s="105" t="s">
        <v>2421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2344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2345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2346</v>
      </c>
      <c r="I73" s="70"/>
      <c r="K73">
        <v>1</v>
      </c>
      <c r="L73">
        <v>2</v>
      </c>
      <c r="N73" s="105" t="s">
        <v>2347</v>
      </c>
      <c r="O73" t="s">
        <v>2348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2072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2349</v>
      </c>
      <c r="P75" s="70"/>
      <c r="Q75" s="70" t="s">
        <v>487</v>
      </c>
      <c r="R75" s="88">
        <v>3720</v>
      </c>
      <c r="T75" t="s">
        <v>2350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2351</v>
      </c>
      <c r="I76" s="70" t="s">
        <v>1841</v>
      </c>
      <c r="K76">
        <v>1</v>
      </c>
      <c r="L76">
        <v>2</v>
      </c>
      <c r="N76" s="105" t="s">
        <v>2375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2376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2173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2352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2345</v>
      </c>
      <c r="K82">
        <v>1</v>
      </c>
      <c r="L82">
        <v>2</v>
      </c>
      <c r="N82" s="105" t="s">
        <v>2353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2354</v>
      </c>
      <c r="I83" s="70" t="s">
        <v>1841</v>
      </c>
      <c r="K83">
        <v>1</v>
      </c>
      <c r="L83">
        <v>2</v>
      </c>
      <c r="N83" s="105" t="s">
        <v>2355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2159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2356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2165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2167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2168</v>
      </c>
      <c r="I96" s="70"/>
      <c r="K96">
        <v>1</v>
      </c>
      <c r="L96">
        <v>2</v>
      </c>
      <c r="N96" s="105" t="s">
        <v>2357</v>
      </c>
      <c r="O96" t="s">
        <v>2169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2170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2358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2171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2359</v>
      </c>
      <c r="O98" t="s">
        <v>2172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2173</v>
      </c>
      <c r="I100" s="70" t="s">
        <v>1841</v>
      </c>
      <c r="J100">
        <v>10</v>
      </c>
      <c r="K100">
        <v>1</v>
      </c>
      <c r="L100">
        <v>2</v>
      </c>
      <c r="N100" s="105" t="s">
        <v>2360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2361</v>
      </c>
      <c r="O101" t="s">
        <v>2362</v>
      </c>
      <c r="P101" s="70"/>
      <c r="Q101" s="70" t="s">
        <v>1818</v>
      </c>
      <c r="R101" s="88">
        <v>2250</v>
      </c>
      <c r="S101" t="s">
        <v>1826</v>
      </c>
      <c r="T101" t="s">
        <v>2363</v>
      </c>
    </row>
    <row r="102" spans="1:20" ht="14.25" customHeight="1" x14ac:dyDescent="0.35">
      <c r="A102" s="70">
        <v>101</v>
      </c>
      <c r="B102" t="s">
        <v>2174</v>
      </c>
      <c r="C102" s="85">
        <v>45865</v>
      </c>
      <c r="D102" s="85">
        <v>45867</v>
      </c>
      <c r="E102" s="85">
        <v>45818</v>
      </c>
      <c r="F102" t="s">
        <v>2175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2176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2177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2377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2178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2364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2179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2180</v>
      </c>
      <c r="C107" s="85">
        <v>45831</v>
      </c>
      <c r="D107" s="85">
        <v>45834</v>
      </c>
      <c r="E107" s="85">
        <v>45799</v>
      </c>
      <c r="F107" t="s">
        <v>2181</v>
      </c>
      <c r="G107" t="s">
        <v>48</v>
      </c>
      <c r="H107" s="86"/>
      <c r="I107" s="70"/>
      <c r="K107">
        <v>1</v>
      </c>
      <c r="L107">
        <v>1</v>
      </c>
      <c r="N107" s="105" t="s">
        <v>2365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2182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2183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2184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2185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2189</v>
      </c>
      <c r="N112" s="105" t="s">
        <v>2366</v>
      </c>
      <c r="O112" t="s">
        <v>2186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2187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2173</v>
      </c>
      <c r="I113" s="70" t="s">
        <v>1841</v>
      </c>
      <c r="K113">
        <v>1</v>
      </c>
      <c r="L113">
        <v>2</v>
      </c>
      <c r="N113" s="105" t="s">
        <v>2378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2067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2188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2379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2380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2196</v>
      </c>
      <c r="N117" s="105" t="s">
        <v>2422</v>
      </c>
      <c r="P117" s="70"/>
      <c r="Q117" s="70" t="s">
        <v>1818</v>
      </c>
      <c r="R117" s="88">
        <v>3366</v>
      </c>
      <c r="T117" t="s">
        <v>2197</v>
      </c>
    </row>
    <row r="118" spans="1:20" ht="14.25" customHeight="1" x14ac:dyDescent="0.35">
      <c r="A118" s="70">
        <v>117</v>
      </c>
      <c r="B118" t="s">
        <v>2198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2367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2199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2381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2200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2201</v>
      </c>
      <c r="P120" s="70"/>
      <c r="Q120" s="70" t="s">
        <v>1818</v>
      </c>
      <c r="R120" s="88">
        <v>6300</v>
      </c>
      <c r="T120" t="s">
        <v>2202</v>
      </c>
    </row>
    <row r="121" spans="1:20" ht="14.25" customHeight="1" x14ac:dyDescent="0.35">
      <c r="A121" s="70">
        <v>120</v>
      </c>
      <c r="B121" t="s">
        <v>2203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2204</v>
      </c>
      <c r="P121" s="70"/>
      <c r="Q121" s="70" t="s">
        <v>487</v>
      </c>
      <c r="R121" s="88">
        <v>2100</v>
      </c>
      <c r="T121" t="s">
        <v>2197</v>
      </c>
    </row>
    <row r="122" spans="1:20" ht="14.25" customHeight="1" x14ac:dyDescent="0.35">
      <c r="A122" s="70">
        <v>121</v>
      </c>
      <c r="B122" t="s">
        <v>2205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2300</v>
      </c>
    </row>
    <row r="123" spans="1:20" ht="14.25" customHeight="1" x14ac:dyDescent="0.35">
      <c r="A123" s="70">
        <v>122</v>
      </c>
      <c r="B123" t="s">
        <v>2206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2207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2208</v>
      </c>
      <c r="N124" s="105" t="s">
        <v>2209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2210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2211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2212</v>
      </c>
      <c r="I126" s="70"/>
      <c r="K126">
        <v>1</v>
      </c>
      <c r="L126">
        <v>2</v>
      </c>
      <c r="N126" s="105" t="s">
        <v>2382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2213</v>
      </c>
      <c r="N127" s="105" t="s">
        <v>2423</v>
      </c>
      <c r="O127" t="s">
        <v>2214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2215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2368</v>
      </c>
      <c r="O128" t="s">
        <v>2369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2216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2383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2217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2384</v>
      </c>
      <c r="P130" s="70"/>
      <c r="Q130" s="70" t="s">
        <v>1818</v>
      </c>
      <c r="R130" s="88">
        <v>2500</v>
      </c>
      <c r="T130" t="s">
        <v>2385</v>
      </c>
    </row>
    <row r="131" spans="1:20" ht="14.25" customHeight="1" x14ac:dyDescent="0.35">
      <c r="A131" s="70">
        <v>130</v>
      </c>
      <c r="B131" t="s">
        <v>2218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2219</v>
      </c>
      <c r="I131" s="70" t="s">
        <v>1797</v>
      </c>
      <c r="K131">
        <v>1</v>
      </c>
      <c r="L131">
        <v>2</v>
      </c>
      <c r="N131" s="105" t="s">
        <v>2220</v>
      </c>
      <c r="O131" t="s">
        <v>2221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2333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2222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2223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2224</v>
      </c>
      <c r="I134" s="70" t="s">
        <v>1797</v>
      </c>
      <c r="K134">
        <v>1</v>
      </c>
      <c r="L134">
        <v>2</v>
      </c>
      <c r="N134" s="105" t="s">
        <v>2424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2225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2370</v>
      </c>
      <c r="O135" t="s">
        <v>2371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2226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2227</v>
      </c>
      <c r="I136" s="70"/>
      <c r="K136">
        <v>1</v>
      </c>
      <c r="L136">
        <v>2</v>
      </c>
      <c r="N136" s="105" t="s">
        <v>2386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2228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2229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2230</v>
      </c>
      <c r="I138" s="70" t="s">
        <v>1841</v>
      </c>
      <c r="J138">
        <v>5</v>
      </c>
      <c r="K138">
        <v>1</v>
      </c>
      <c r="L138">
        <v>2</v>
      </c>
      <c r="M138" s="87" t="s">
        <v>2231</v>
      </c>
      <c r="N138" s="105" t="s">
        <v>2425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2232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2233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2234</v>
      </c>
      <c r="C140" s="85">
        <v>45903</v>
      </c>
      <c r="D140" s="85">
        <v>45905</v>
      </c>
      <c r="E140" s="85">
        <v>45872</v>
      </c>
      <c r="F140" t="s">
        <v>2235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2426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2236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2427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2237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2238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2239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2230</v>
      </c>
      <c r="I143" s="70" t="s">
        <v>1841</v>
      </c>
      <c r="K143">
        <v>1</v>
      </c>
      <c r="L143">
        <v>1</v>
      </c>
      <c r="N143" s="105" t="s">
        <v>2428</v>
      </c>
      <c r="P143" s="70"/>
      <c r="Q143" s="70" t="s">
        <v>487</v>
      </c>
      <c r="R143" s="88">
        <v>3720</v>
      </c>
      <c r="T143" t="s">
        <v>2240</v>
      </c>
    </row>
    <row r="144" spans="1:20" ht="14.25" customHeight="1" x14ac:dyDescent="0.35">
      <c r="A144" s="70">
        <v>143</v>
      </c>
      <c r="B144" t="s">
        <v>2241</v>
      </c>
      <c r="C144" s="85">
        <v>45922</v>
      </c>
      <c r="D144" s="85">
        <v>45927</v>
      </c>
      <c r="E144" s="85">
        <v>45875</v>
      </c>
      <c r="F144" t="s">
        <v>2242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2243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2372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2429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2296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2230</v>
      </c>
      <c r="I147" s="70" t="s">
        <v>1797</v>
      </c>
      <c r="K147">
        <v>1</v>
      </c>
      <c r="L147">
        <v>2</v>
      </c>
      <c r="N147" s="105" t="s">
        <v>2387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2297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2301</v>
      </c>
      <c r="I148" s="70" t="s">
        <v>1797</v>
      </c>
      <c r="K148">
        <v>1</v>
      </c>
      <c r="L148">
        <v>2</v>
      </c>
      <c r="N148" s="105" t="s">
        <v>2388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2298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2295</v>
      </c>
      <c r="N149" s="105" t="s">
        <v>2430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2299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2173</v>
      </c>
      <c r="I150" s="70"/>
      <c r="K150">
        <v>1</v>
      </c>
      <c r="L150">
        <v>2</v>
      </c>
      <c r="N150" s="105" t="s">
        <v>2389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2373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2431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2390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2391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2439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2440</v>
      </c>
      <c r="I153" s="70" t="s">
        <v>1827</v>
      </c>
      <c r="K153">
        <v>1</v>
      </c>
      <c r="L153">
        <v>2</v>
      </c>
      <c r="N153" s="105" t="s">
        <v>2432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2206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2433</v>
      </c>
      <c r="N154" s="105" t="s">
        <v>2434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2441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2435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2442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2436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2443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2437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2444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2438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2445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F5A09-FA93-4ACF-A240-2BF42DB03485}">
  <dimension ref="A1:U123"/>
  <sheetViews>
    <sheetView topLeftCell="A112" workbookViewId="0">
      <selection activeCell="J2" sqref="J2:J123"/>
    </sheetView>
  </sheetViews>
  <sheetFormatPr defaultRowHeight="14.5" x14ac:dyDescent="0.35"/>
  <cols>
    <col min="2" max="2" width="23.08984375" bestFit="1" customWidth="1"/>
    <col min="13" max="13" width="27.6328125" bestFit="1" customWidth="1"/>
    <col min="14" max="14" width="13.90625" bestFit="1" customWidth="1"/>
    <col min="15" max="15" width="18.453125" customWidth="1"/>
    <col min="18" max="18" width="12.7265625" bestFit="1" customWidth="1"/>
    <col min="21" max="21" width="11.7265625" bestFit="1" customWidth="1"/>
  </cols>
  <sheetData>
    <row r="1" spans="1:2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1" x14ac:dyDescent="0.35">
      <c r="A2" s="115">
        <v>1</v>
      </c>
      <c r="B2" s="116" t="s">
        <v>2466</v>
      </c>
      <c r="C2" s="117">
        <v>46222</v>
      </c>
      <c r="D2" s="117">
        <v>46228</v>
      </c>
      <c r="E2" s="117">
        <v>45868</v>
      </c>
      <c r="F2" s="116" t="s">
        <v>1758</v>
      </c>
      <c r="G2" s="116" t="s">
        <v>9</v>
      </c>
      <c r="H2" s="116"/>
      <c r="I2" s="118"/>
      <c r="J2" s="160">
        <v>0.05</v>
      </c>
      <c r="K2" s="116">
        <v>1</v>
      </c>
      <c r="L2" s="116">
        <v>2</v>
      </c>
      <c r="M2" s="161" t="s">
        <v>2553</v>
      </c>
      <c r="N2" s="162"/>
      <c r="O2" s="118" t="s">
        <v>2554</v>
      </c>
      <c r="P2" s="118"/>
      <c r="Q2" s="118" t="s">
        <v>1818</v>
      </c>
      <c r="R2" s="163">
        <v>7267.5</v>
      </c>
      <c r="S2" s="164" t="s">
        <v>487</v>
      </c>
      <c r="T2" t="s">
        <v>2555</v>
      </c>
    </row>
    <row r="3" spans="1:21" x14ac:dyDescent="0.35">
      <c r="A3" s="121">
        <v>2</v>
      </c>
      <c r="B3" s="122" t="s">
        <v>2467</v>
      </c>
      <c r="C3" s="123">
        <v>46172</v>
      </c>
      <c r="D3" s="123">
        <v>46180</v>
      </c>
      <c r="E3" s="123">
        <v>45889</v>
      </c>
      <c r="F3" s="122" t="s">
        <v>1758</v>
      </c>
      <c r="G3" s="122" t="s">
        <v>20</v>
      </c>
      <c r="H3" s="122"/>
      <c r="I3" s="124"/>
      <c r="J3" s="165"/>
      <c r="K3" s="122"/>
      <c r="L3" s="122"/>
      <c r="M3" s="166"/>
      <c r="N3" s="167"/>
      <c r="O3" s="124"/>
      <c r="P3" s="124"/>
      <c r="Q3" s="124"/>
      <c r="R3" s="163"/>
      <c r="S3" s="168"/>
    </row>
    <row r="4" spans="1:21" x14ac:dyDescent="0.35">
      <c r="A4" s="115">
        <v>3</v>
      </c>
      <c r="B4" s="116" t="s">
        <v>2467</v>
      </c>
      <c r="C4" s="117">
        <v>46283</v>
      </c>
      <c r="D4" s="117">
        <v>46285</v>
      </c>
      <c r="E4" s="117">
        <v>45889</v>
      </c>
      <c r="F4" s="116" t="s">
        <v>1758</v>
      </c>
      <c r="G4" s="116" t="s">
        <v>9</v>
      </c>
      <c r="H4" s="116"/>
      <c r="I4" s="118"/>
      <c r="J4" s="160">
        <v>0.1</v>
      </c>
      <c r="K4" s="116">
        <v>1</v>
      </c>
      <c r="L4" s="116">
        <v>2</v>
      </c>
      <c r="M4" s="161" t="s">
        <v>2556</v>
      </c>
      <c r="N4" s="162"/>
      <c r="O4" s="118" t="s">
        <v>408</v>
      </c>
      <c r="P4" s="118"/>
      <c r="Q4" s="118" t="s">
        <v>1818</v>
      </c>
      <c r="R4" s="163">
        <v>2070</v>
      </c>
      <c r="S4" s="164" t="s">
        <v>487</v>
      </c>
      <c r="T4" s="127"/>
    </row>
    <row r="5" spans="1:21" x14ac:dyDescent="0.35">
      <c r="A5" s="121">
        <v>4</v>
      </c>
      <c r="B5" s="122" t="s">
        <v>1851</v>
      </c>
      <c r="C5" s="123">
        <v>46246</v>
      </c>
      <c r="D5" s="123">
        <v>46250</v>
      </c>
      <c r="E5" s="123">
        <v>45891</v>
      </c>
      <c r="F5" s="122" t="s">
        <v>1758</v>
      </c>
      <c r="G5" s="122" t="s">
        <v>9</v>
      </c>
      <c r="H5" s="122"/>
      <c r="I5" s="124"/>
      <c r="J5" s="165">
        <v>0.1</v>
      </c>
      <c r="K5" s="122">
        <v>2</v>
      </c>
      <c r="L5" s="122">
        <v>4</v>
      </c>
      <c r="M5" s="166" t="s">
        <v>1852</v>
      </c>
      <c r="N5" s="169">
        <v>4530267986</v>
      </c>
      <c r="O5" s="124" t="s">
        <v>2557</v>
      </c>
      <c r="P5" s="124"/>
      <c r="Q5" s="124" t="s">
        <v>1818</v>
      </c>
      <c r="R5" s="163">
        <v>9180</v>
      </c>
      <c r="S5" s="168" t="s">
        <v>1818</v>
      </c>
      <c r="T5" t="s">
        <v>2558</v>
      </c>
    </row>
    <row r="6" spans="1:21" x14ac:dyDescent="0.35">
      <c r="A6" s="115">
        <v>5</v>
      </c>
      <c r="B6" s="116" t="s">
        <v>26</v>
      </c>
      <c r="C6" s="117">
        <v>46169</v>
      </c>
      <c r="D6" s="117">
        <v>46174</v>
      </c>
      <c r="E6" s="117">
        <v>45903</v>
      </c>
      <c r="F6" s="116" t="s">
        <v>1758</v>
      </c>
      <c r="G6" s="116" t="s">
        <v>9</v>
      </c>
      <c r="H6" s="116">
        <v>1430</v>
      </c>
      <c r="I6" s="118" t="s">
        <v>2559</v>
      </c>
      <c r="J6" s="160">
        <v>0.1</v>
      </c>
      <c r="K6" s="116">
        <v>1</v>
      </c>
      <c r="L6" s="116">
        <v>2</v>
      </c>
      <c r="M6" s="161" t="s">
        <v>1478</v>
      </c>
      <c r="N6" s="162"/>
      <c r="O6" s="118"/>
      <c r="P6" s="118"/>
      <c r="Q6" s="118" t="s">
        <v>1818</v>
      </c>
      <c r="R6" s="163">
        <v>5175</v>
      </c>
      <c r="S6" s="164" t="s">
        <v>487</v>
      </c>
    </row>
    <row r="7" spans="1:21" x14ac:dyDescent="0.35">
      <c r="A7" s="115">
        <v>6</v>
      </c>
      <c r="B7" s="129" t="s">
        <v>2468</v>
      </c>
      <c r="C7" s="130">
        <v>46178</v>
      </c>
      <c r="D7" s="130">
        <v>46180</v>
      </c>
      <c r="E7" s="130">
        <v>45910</v>
      </c>
      <c r="F7" s="129" t="s">
        <v>1758</v>
      </c>
      <c r="G7" s="70" t="s">
        <v>9</v>
      </c>
      <c r="H7" s="70"/>
      <c r="I7" s="70"/>
      <c r="J7" s="170">
        <v>0.1</v>
      </c>
      <c r="K7" s="131">
        <v>2</v>
      </c>
      <c r="L7" s="131">
        <v>4</v>
      </c>
      <c r="M7" s="132" t="s">
        <v>2560</v>
      </c>
      <c r="N7" s="171"/>
      <c r="O7" s="70"/>
      <c r="P7" s="70"/>
      <c r="Q7" s="70" t="s">
        <v>1818</v>
      </c>
      <c r="R7" s="128">
        <v>4140</v>
      </c>
      <c r="S7" s="70" t="s">
        <v>1826</v>
      </c>
      <c r="T7" t="s">
        <v>2561</v>
      </c>
    </row>
    <row r="8" spans="1:21" x14ac:dyDescent="0.35">
      <c r="A8" s="121">
        <v>7</v>
      </c>
      <c r="B8" s="129" t="s">
        <v>737</v>
      </c>
      <c r="C8" s="130">
        <v>46207</v>
      </c>
      <c r="D8" s="130">
        <v>46214</v>
      </c>
      <c r="E8" s="130">
        <v>45927</v>
      </c>
      <c r="F8" s="129" t="s">
        <v>1758</v>
      </c>
      <c r="G8" s="70" t="s">
        <v>9</v>
      </c>
      <c r="H8" s="70"/>
      <c r="I8" s="70"/>
      <c r="J8" s="170">
        <v>0.1</v>
      </c>
      <c r="K8" s="131">
        <v>1</v>
      </c>
      <c r="L8" s="131">
        <v>2</v>
      </c>
      <c r="M8" s="132" t="s">
        <v>2462</v>
      </c>
      <c r="N8" s="169">
        <v>4522701312</v>
      </c>
      <c r="O8" s="70" t="s">
        <v>65</v>
      </c>
      <c r="P8" s="70"/>
      <c r="Q8" s="70" t="s">
        <v>487</v>
      </c>
      <c r="R8" s="163">
        <v>6772.5</v>
      </c>
      <c r="S8" s="70" t="s">
        <v>1818</v>
      </c>
    </row>
    <row r="9" spans="1:21" x14ac:dyDescent="0.35">
      <c r="A9" s="115">
        <v>8</v>
      </c>
      <c r="B9" s="129" t="s">
        <v>1101</v>
      </c>
      <c r="C9" s="130">
        <v>46158</v>
      </c>
      <c r="D9" s="130">
        <v>46163</v>
      </c>
      <c r="E9" s="130">
        <v>45953</v>
      </c>
      <c r="F9" s="129" t="s">
        <v>1760</v>
      </c>
      <c r="G9" s="70" t="s">
        <v>9</v>
      </c>
      <c r="H9" s="70"/>
      <c r="I9" s="70"/>
      <c r="J9" s="170">
        <v>0.1</v>
      </c>
      <c r="K9" s="131">
        <v>1</v>
      </c>
      <c r="L9" s="131">
        <v>2</v>
      </c>
      <c r="M9" s="132" t="s">
        <v>2562</v>
      </c>
      <c r="N9" s="169">
        <v>4917643882286</v>
      </c>
      <c r="O9" s="70" t="s">
        <v>2563</v>
      </c>
      <c r="P9" s="70"/>
      <c r="Q9" s="70" t="s">
        <v>1818</v>
      </c>
      <c r="R9" s="128">
        <v>4275</v>
      </c>
      <c r="S9" s="70" t="s">
        <v>1818</v>
      </c>
      <c r="T9" s="129" t="s">
        <v>2564</v>
      </c>
    </row>
    <row r="10" spans="1:21" x14ac:dyDescent="0.35">
      <c r="A10" s="115">
        <v>9</v>
      </c>
      <c r="B10" s="129" t="s">
        <v>996</v>
      </c>
      <c r="C10" s="130">
        <v>46159</v>
      </c>
      <c r="D10" s="130">
        <v>46166</v>
      </c>
      <c r="E10" s="130">
        <v>45954</v>
      </c>
      <c r="F10" s="129" t="s">
        <v>1758</v>
      </c>
      <c r="G10" s="70" t="s">
        <v>9</v>
      </c>
      <c r="H10" s="70">
        <v>1430</v>
      </c>
      <c r="I10" s="70" t="s">
        <v>2559</v>
      </c>
      <c r="J10" s="170">
        <v>0.1</v>
      </c>
      <c r="K10" s="131">
        <v>1</v>
      </c>
      <c r="L10" s="131">
        <v>2</v>
      </c>
      <c r="M10" s="132" t="s">
        <v>2565</v>
      </c>
      <c r="N10" s="171"/>
      <c r="O10" s="70" t="s">
        <v>1511</v>
      </c>
      <c r="P10" s="70"/>
      <c r="Q10" s="70" t="s">
        <v>1818</v>
      </c>
      <c r="R10" s="163">
        <v>7245</v>
      </c>
      <c r="S10" s="70" t="s">
        <v>1818</v>
      </c>
    </row>
    <row r="11" spans="1:21" x14ac:dyDescent="0.35">
      <c r="A11" s="121">
        <v>10</v>
      </c>
      <c r="B11" s="129" t="s">
        <v>2218</v>
      </c>
      <c r="C11" s="130">
        <v>46225</v>
      </c>
      <c r="D11" s="130">
        <v>46228</v>
      </c>
      <c r="E11" s="130">
        <v>45932</v>
      </c>
      <c r="F11" s="129" t="s">
        <v>1758</v>
      </c>
      <c r="G11" s="70" t="s">
        <v>9</v>
      </c>
      <c r="H11" s="70"/>
      <c r="I11" s="70"/>
      <c r="J11" s="170">
        <v>0.1</v>
      </c>
      <c r="K11" s="131">
        <v>1</v>
      </c>
      <c r="L11" s="131">
        <v>2</v>
      </c>
      <c r="M11" s="134" t="s">
        <v>2566</v>
      </c>
      <c r="N11" s="171">
        <v>4561557600</v>
      </c>
      <c r="O11" s="70"/>
      <c r="P11" s="70"/>
      <c r="Q11" s="70" t="s">
        <v>1818</v>
      </c>
      <c r="R11" s="128">
        <v>3442</v>
      </c>
      <c r="S11" s="70" t="s">
        <v>1818</v>
      </c>
      <c r="T11" t="s">
        <v>2567</v>
      </c>
    </row>
    <row r="12" spans="1:21" x14ac:dyDescent="0.35">
      <c r="A12" s="115">
        <v>11</v>
      </c>
      <c r="B12" s="129" t="s">
        <v>2469</v>
      </c>
      <c r="C12" s="85">
        <v>46237</v>
      </c>
      <c r="D12" s="85">
        <v>46242</v>
      </c>
      <c r="E12" s="85">
        <v>45932</v>
      </c>
      <c r="F12" s="129" t="s">
        <v>1760</v>
      </c>
      <c r="G12" s="70" t="s">
        <v>9</v>
      </c>
      <c r="H12" s="70"/>
      <c r="I12" s="70"/>
      <c r="J12" s="170">
        <v>0.1</v>
      </c>
      <c r="K12" s="131">
        <v>1</v>
      </c>
      <c r="L12" s="131">
        <v>2</v>
      </c>
      <c r="M12" s="132" t="s">
        <v>2568</v>
      </c>
      <c r="N12" s="171"/>
      <c r="O12" s="70"/>
      <c r="P12" s="70"/>
      <c r="Q12" s="70" t="s">
        <v>1818</v>
      </c>
      <c r="R12" s="128">
        <v>5737.5</v>
      </c>
      <c r="S12" s="70" t="s">
        <v>487</v>
      </c>
      <c r="T12" t="s">
        <v>2569</v>
      </c>
    </row>
    <row r="13" spans="1:21" x14ac:dyDescent="0.35">
      <c r="A13" s="115">
        <v>12</v>
      </c>
      <c r="B13" s="129" t="s">
        <v>1079</v>
      </c>
      <c r="C13" s="130">
        <v>46175</v>
      </c>
      <c r="D13" s="130">
        <v>46179</v>
      </c>
      <c r="E13" s="130">
        <v>45977</v>
      </c>
      <c r="F13" s="129" t="s">
        <v>1758</v>
      </c>
      <c r="G13" s="70" t="s">
        <v>9</v>
      </c>
      <c r="H13" s="70"/>
      <c r="I13" s="70" t="s">
        <v>1827</v>
      </c>
      <c r="J13" s="170">
        <v>0.1</v>
      </c>
      <c r="K13" s="131">
        <v>1</v>
      </c>
      <c r="L13" s="131">
        <v>2</v>
      </c>
      <c r="M13" s="132" t="s">
        <v>1866</v>
      </c>
      <c r="N13" s="172">
        <v>4540552384</v>
      </c>
      <c r="O13" s="70" t="s">
        <v>1080</v>
      </c>
      <c r="P13" s="70"/>
      <c r="Q13" s="70" t="s">
        <v>1818</v>
      </c>
      <c r="R13" s="128">
        <v>4140</v>
      </c>
      <c r="S13" s="70" t="s">
        <v>1818</v>
      </c>
      <c r="T13" t="s">
        <v>2570</v>
      </c>
    </row>
    <row r="14" spans="1:21" x14ac:dyDescent="0.35">
      <c r="A14" s="121">
        <v>13</v>
      </c>
      <c r="B14" s="129" t="s">
        <v>51</v>
      </c>
      <c r="C14" s="85">
        <v>46211</v>
      </c>
      <c r="D14" s="85">
        <v>46218</v>
      </c>
      <c r="E14" s="85">
        <v>45998</v>
      </c>
      <c r="F14" s="129" t="s">
        <v>1758</v>
      </c>
      <c r="G14" s="70" t="s">
        <v>9</v>
      </c>
      <c r="H14" s="86"/>
      <c r="I14" s="70"/>
      <c r="J14" s="170">
        <v>0.1</v>
      </c>
      <c r="K14" s="131">
        <v>1</v>
      </c>
      <c r="L14" s="131">
        <v>2</v>
      </c>
      <c r="M14" s="87" t="s">
        <v>49</v>
      </c>
      <c r="N14" s="172">
        <v>4525582842</v>
      </c>
      <c r="O14" s="70" t="s">
        <v>179</v>
      </c>
      <c r="P14" s="70"/>
      <c r="Q14" s="70" t="s">
        <v>1818</v>
      </c>
      <c r="R14" s="128">
        <v>8032.5</v>
      </c>
      <c r="S14" s="70" t="s">
        <v>1826</v>
      </c>
      <c r="T14" t="s">
        <v>2571</v>
      </c>
    </row>
    <row r="15" spans="1:21" x14ac:dyDescent="0.35">
      <c r="A15" s="115">
        <v>14</v>
      </c>
      <c r="B15" s="129" t="s">
        <v>623</v>
      </c>
      <c r="C15" s="85">
        <v>46206</v>
      </c>
      <c r="D15" s="85">
        <v>46213</v>
      </c>
      <c r="E15" s="85">
        <v>46001</v>
      </c>
      <c r="F15" s="129" t="s">
        <v>1758</v>
      </c>
      <c r="G15" s="70" t="s">
        <v>9</v>
      </c>
      <c r="H15" s="86"/>
      <c r="I15" s="70"/>
      <c r="J15" s="170">
        <v>0.1</v>
      </c>
      <c r="K15" s="131">
        <v>1</v>
      </c>
      <c r="L15" s="131">
        <v>2</v>
      </c>
      <c r="M15" s="173" t="s">
        <v>621</v>
      </c>
      <c r="N15" s="172">
        <v>4591191885</v>
      </c>
      <c r="O15" s="70" t="s">
        <v>1506</v>
      </c>
      <c r="P15" s="70"/>
      <c r="Q15" s="70" t="s">
        <v>1818</v>
      </c>
      <c r="R15" s="128">
        <v>9180</v>
      </c>
      <c r="S15" s="70" t="s">
        <v>1826</v>
      </c>
      <c r="T15" s="129" t="s">
        <v>2572</v>
      </c>
    </row>
    <row r="16" spans="1:21" x14ac:dyDescent="0.35">
      <c r="A16" s="115">
        <v>15</v>
      </c>
      <c r="B16" s="129" t="s">
        <v>2470</v>
      </c>
      <c r="C16" s="85">
        <v>46181</v>
      </c>
      <c r="D16" s="85">
        <v>46188</v>
      </c>
      <c r="E16" s="85">
        <v>45866</v>
      </c>
      <c r="F16" s="129" t="s">
        <v>1758</v>
      </c>
      <c r="G16" s="70" t="s">
        <v>728</v>
      </c>
      <c r="H16" s="86"/>
      <c r="I16" s="70"/>
      <c r="J16" s="174"/>
      <c r="K16" s="131">
        <v>1</v>
      </c>
      <c r="L16" s="131">
        <v>2</v>
      </c>
      <c r="M16" s="87" t="s">
        <v>2573</v>
      </c>
      <c r="N16" s="171">
        <v>4531534745</v>
      </c>
      <c r="O16" s="70" t="s">
        <v>2574</v>
      </c>
      <c r="P16" s="70"/>
      <c r="Q16" s="70" t="s">
        <v>1818</v>
      </c>
      <c r="R16" s="128">
        <v>8925</v>
      </c>
      <c r="S16" s="70" t="s">
        <v>1826</v>
      </c>
      <c r="T16" t="s">
        <v>2575</v>
      </c>
      <c r="U16" s="175">
        <f>R16*0.5</f>
        <v>4462.5</v>
      </c>
    </row>
    <row r="17" spans="1:21" x14ac:dyDescent="0.35">
      <c r="A17" s="121">
        <v>16</v>
      </c>
      <c r="B17" s="129" t="s">
        <v>1856</v>
      </c>
      <c r="C17" s="85">
        <v>46182</v>
      </c>
      <c r="D17" s="85">
        <v>46188</v>
      </c>
      <c r="E17" s="85">
        <v>45832</v>
      </c>
      <c r="F17" s="129" t="s">
        <v>1758</v>
      </c>
      <c r="G17" s="70" t="s">
        <v>728</v>
      </c>
      <c r="H17" s="86" t="s">
        <v>2576</v>
      </c>
      <c r="I17" s="70"/>
      <c r="J17" s="174"/>
      <c r="K17" s="131">
        <v>2</v>
      </c>
      <c r="L17" s="131">
        <v>4</v>
      </c>
      <c r="M17" s="87" t="s">
        <v>1857</v>
      </c>
      <c r="N17" s="172">
        <v>4530604703</v>
      </c>
      <c r="O17" s="70"/>
      <c r="P17" s="70"/>
      <c r="Q17" s="70" t="s">
        <v>1818</v>
      </c>
      <c r="R17" s="128">
        <v>17850</v>
      </c>
      <c r="S17" s="70" t="s">
        <v>1826</v>
      </c>
      <c r="T17" t="s">
        <v>2577</v>
      </c>
      <c r="U17" s="176">
        <f t="shared" ref="U17:U19" si="0">R17*0.5</f>
        <v>8925</v>
      </c>
    </row>
    <row r="18" spans="1:21" x14ac:dyDescent="0.35">
      <c r="A18" s="115">
        <v>17</v>
      </c>
      <c r="B18" s="129" t="s">
        <v>32</v>
      </c>
      <c r="C18" s="85">
        <v>46181</v>
      </c>
      <c r="D18" s="85">
        <v>46188</v>
      </c>
      <c r="E18" s="85">
        <v>45824</v>
      </c>
      <c r="F18" s="129" t="s">
        <v>1758</v>
      </c>
      <c r="G18" s="70" t="s">
        <v>728</v>
      </c>
      <c r="H18" s="86"/>
      <c r="I18" s="70"/>
      <c r="J18" s="174"/>
      <c r="K18" s="131">
        <v>1</v>
      </c>
      <c r="L18" s="131">
        <v>2</v>
      </c>
      <c r="M18" s="87" t="s">
        <v>1916</v>
      </c>
      <c r="N18" s="172">
        <v>4524669843</v>
      </c>
      <c r="O18" s="70" t="s">
        <v>1039</v>
      </c>
      <c r="P18" s="70"/>
      <c r="Q18" s="70" t="s">
        <v>1818</v>
      </c>
      <c r="R18" s="128">
        <v>8925</v>
      </c>
      <c r="S18" s="70" t="s">
        <v>1826</v>
      </c>
      <c r="T18" t="s">
        <v>2578</v>
      </c>
      <c r="U18" s="176">
        <f t="shared" si="0"/>
        <v>4462.5</v>
      </c>
    </row>
    <row r="19" spans="1:21" x14ac:dyDescent="0.35">
      <c r="A19" s="115">
        <v>18</v>
      </c>
      <c r="B19" s="129" t="s">
        <v>16</v>
      </c>
      <c r="C19" s="85">
        <v>46182</v>
      </c>
      <c r="D19" s="85">
        <v>46187</v>
      </c>
      <c r="E19" s="85">
        <v>45834</v>
      </c>
      <c r="F19" s="129" t="s">
        <v>1758</v>
      </c>
      <c r="G19" s="70" t="s">
        <v>728</v>
      </c>
      <c r="H19" s="86"/>
      <c r="I19" s="70"/>
      <c r="J19" s="174"/>
      <c r="K19" s="131">
        <v>1</v>
      </c>
      <c r="L19" s="131">
        <v>2</v>
      </c>
      <c r="M19" s="173" t="s">
        <v>14</v>
      </c>
      <c r="N19" s="172">
        <v>4531909358</v>
      </c>
      <c r="O19" s="70" t="s">
        <v>2579</v>
      </c>
      <c r="P19" s="70"/>
      <c r="Q19" s="70" t="s">
        <v>1818</v>
      </c>
      <c r="R19" s="128">
        <v>6375</v>
      </c>
      <c r="S19" s="70" t="s">
        <v>1826</v>
      </c>
      <c r="T19" t="s">
        <v>2580</v>
      </c>
      <c r="U19" s="176">
        <f t="shared" si="0"/>
        <v>3187.5</v>
      </c>
    </row>
    <row r="20" spans="1:21" x14ac:dyDescent="0.35">
      <c r="A20" s="121">
        <v>19</v>
      </c>
      <c r="B20" t="s">
        <v>8</v>
      </c>
      <c r="C20" s="85">
        <v>46215</v>
      </c>
      <c r="D20" s="85">
        <v>46229</v>
      </c>
      <c r="E20" s="85">
        <v>45931</v>
      </c>
      <c r="F20" t="s">
        <v>1758</v>
      </c>
      <c r="G20" t="s">
        <v>9</v>
      </c>
      <c r="H20" s="86"/>
      <c r="I20" s="70" t="s">
        <v>1827</v>
      </c>
      <c r="J20" s="174">
        <v>0.1</v>
      </c>
      <c r="K20">
        <v>1</v>
      </c>
      <c r="L20">
        <v>1</v>
      </c>
      <c r="M20" s="87" t="s">
        <v>6</v>
      </c>
      <c r="N20" s="172">
        <v>4541515960</v>
      </c>
      <c r="O20" s="70"/>
      <c r="P20" s="70" t="s">
        <v>1818</v>
      </c>
      <c r="Q20" s="70" t="s">
        <v>1818</v>
      </c>
      <c r="R20" s="128">
        <v>14805</v>
      </c>
      <c r="S20" s="70" t="s">
        <v>1826</v>
      </c>
      <c r="T20" s="70" t="s">
        <v>2571</v>
      </c>
    </row>
    <row r="21" spans="1:21" x14ac:dyDescent="0.35">
      <c r="A21" s="115">
        <v>20</v>
      </c>
      <c r="B21" s="129" t="s">
        <v>2471</v>
      </c>
      <c r="C21" s="85">
        <v>46163</v>
      </c>
      <c r="D21" s="85">
        <v>46167</v>
      </c>
      <c r="E21" s="85">
        <v>46008</v>
      </c>
      <c r="F21" s="129" t="s">
        <v>1758</v>
      </c>
      <c r="G21" s="70" t="s">
        <v>9</v>
      </c>
      <c r="H21" s="86"/>
      <c r="I21" s="70"/>
      <c r="J21" s="174"/>
      <c r="K21" s="131">
        <v>3</v>
      </c>
      <c r="L21" s="131">
        <v>6</v>
      </c>
      <c r="M21" s="87" t="s">
        <v>2581</v>
      </c>
      <c r="N21" s="171"/>
      <c r="O21" s="70"/>
      <c r="P21" s="70"/>
      <c r="Q21" s="70" t="s">
        <v>1818</v>
      </c>
      <c r="R21" s="163">
        <v>12420</v>
      </c>
      <c r="S21" s="70" t="s">
        <v>1826</v>
      </c>
      <c r="T21" t="s">
        <v>2582</v>
      </c>
    </row>
    <row r="22" spans="1:21" x14ac:dyDescent="0.35">
      <c r="A22" s="115">
        <v>21</v>
      </c>
      <c r="B22" s="129" t="s">
        <v>633</v>
      </c>
      <c r="C22" s="85">
        <v>46251</v>
      </c>
      <c r="D22" s="85">
        <v>46256</v>
      </c>
      <c r="E22" s="85">
        <v>46009</v>
      </c>
      <c r="F22" s="129" t="s">
        <v>1759</v>
      </c>
      <c r="G22" s="70" t="s">
        <v>9</v>
      </c>
      <c r="H22" s="86"/>
      <c r="I22" s="70"/>
      <c r="J22" s="174">
        <v>0.1</v>
      </c>
      <c r="K22" s="131">
        <v>1</v>
      </c>
      <c r="L22" s="131">
        <v>2</v>
      </c>
      <c r="M22" s="87" t="s">
        <v>744</v>
      </c>
      <c r="N22" s="172">
        <v>46705125490</v>
      </c>
      <c r="O22" s="70" t="s">
        <v>1073</v>
      </c>
      <c r="P22" s="70"/>
      <c r="Q22" s="70" t="s">
        <v>1818</v>
      </c>
      <c r="R22" s="163">
        <v>5175</v>
      </c>
      <c r="S22" s="70" t="s">
        <v>1826</v>
      </c>
      <c r="T22" t="s">
        <v>2583</v>
      </c>
    </row>
    <row r="23" spans="1:21" x14ac:dyDescent="0.35">
      <c r="A23" s="121">
        <v>22</v>
      </c>
      <c r="B23" t="s">
        <v>2472</v>
      </c>
      <c r="C23" s="85">
        <v>46271</v>
      </c>
      <c r="D23" s="85">
        <v>46282</v>
      </c>
      <c r="E23" s="85">
        <v>46016</v>
      </c>
      <c r="F23" t="s">
        <v>1760</v>
      </c>
      <c r="G23" t="s">
        <v>48</v>
      </c>
      <c r="H23" s="86"/>
      <c r="I23" s="70"/>
      <c r="J23" s="174"/>
      <c r="K23" s="131">
        <v>1</v>
      </c>
      <c r="L23" s="131">
        <v>2</v>
      </c>
      <c r="M23" s="87"/>
      <c r="N23" s="171"/>
      <c r="O23" s="70"/>
      <c r="P23" s="70"/>
      <c r="Q23" s="70" t="s">
        <v>1818</v>
      </c>
      <c r="R23" s="128">
        <v>11500</v>
      </c>
      <c r="S23" s="70" t="s">
        <v>487</v>
      </c>
      <c r="T23" t="s">
        <v>2584</v>
      </c>
    </row>
    <row r="24" spans="1:21" x14ac:dyDescent="0.35">
      <c r="A24" s="115">
        <v>23</v>
      </c>
      <c r="B24" t="s">
        <v>2473</v>
      </c>
      <c r="C24" s="85">
        <v>46247</v>
      </c>
      <c r="D24" s="85">
        <v>46250</v>
      </c>
      <c r="E24" s="85">
        <v>46017</v>
      </c>
      <c r="F24" t="s">
        <v>1758</v>
      </c>
      <c r="G24" t="s">
        <v>48</v>
      </c>
      <c r="H24" s="86" t="s">
        <v>2173</v>
      </c>
      <c r="I24" s="70" t="s">
        <v>2559</v>
      </c>
      <c r="J24" s="174"/>
      <c r="K24" s="131">
        <v>1</v>
      </c>
      <c r="L24" s="131">
        <v>2</v>
      </c>
      <c r="N24" s="171"/>
      <c r="O24" s="70"/>
      <c r="P24" s="70"/>
      <c r="Q24" s="70" t="s">
        <v>1818</v>
      </c>
      <c r="R24" s="163">
        <v>3825</v>
      </c>
      <c r="S24" s="70" t="s">
        <v>487</v>
      </c>
    </row>
    <row r="25" spans="1:21" x14ac:dyDescent="0.35">
      <c r="A25" s="115">
        <v>24</v>
      </c>
      <c r="B25" t="s">
        <v>2474</v>
      </c>
      <c r="C25" s="85">
        <v>46205</v>
      </c>
      <c r="D25" s="85">
        <v>46208</v>
      </c>
      <c r="E25" s="85">
        <v>46016</v>
      </c>
      <c r="F25" t="s">
        <v>1759</v>
      </c>
      <c r="G25" t="s">
        <v>48</v>
      </c>
      <c r="H25" s="86"/>
      <c r="I25" s="70" t="s">
        <v>2559</v>
      </c>
      <c r="J25" s="174"/>
      <c r="K25" s="131">
        <v>1</v>
      </c>
      <c r="L25" s="131">
        <v>2</v>
      </c>
      <c r="M25" s="87"/>
      <c r="N25" s="171"/>
      <c r="O25" s="70"/>
      <c r="P25" s="70"/>
      <c r="Q25" s="70" t="s">
        <v>1818</v>
      </c>
      <c r="R25" s="163">
        <v>3825</v>
      </c>
      <c r="S25" s="70" t="s">
        <v>487</v>
      </c>
    </row>
    <row r="26" spans="1:21" x14ac:dyDescent="0.35">
      <c r="A26" s="121">
        <v>25</v>
      </c>
      <c r="B26" t="s">
        <v>2475</v>
      </c>
      <c r="C26" s="85">
        <v>46256</v>
      </c>
      <c r="D26" s="85">
        <v>46261</v>
      </c>
      <c r="E26" s="85">
        <v>46017</v>
      </c>
      <c r="F26" t="s">
        <v>1872</v>
      </c>
      <c r="G26" t="s">
        <v>48</v>
      </c>
      <c r="H26" s="86"/>
      <c r="I26" s="70" t="s">
        <v>1827</v>
      </c>
      <c r="J26" s="174"/>
      <c r="K26" s="131">
        <v>1</v>
      </c>
      <c r="L26" s="131">
        <v>1</v>
      </c>
      <c r="M26" s="87"/>
      <c r="N26" s="171"/>
      <c r="O26" s="70"/>
      <c r="P26" s="70" t="s">
        <v>1818</v>
      </c>
      <c r="Q26" s="70" t="s">
        <v>487</v>
      </c>
      <c r="R26" s="128">
        <v>4250</v>
      </c>
      <c r="S26" s="70" t="s">
        <v>487</v>
      </c>
    </row>
    <row r="27" spans="1:21" x14ac:dyDescent="0.35">
      <c r="A27" s="115">
        <v>26</v>
      </c>
      <c r="B27" t="s">
        <v>2476</v>
      </c>
      <c r="C27" s="85">
        <v>46251</v>
      </c>
      <c r="D27" s="85">
        <v>46255</v>
      </c>
      <c r="E27" s="85">
        <v>46019</v>
      </c>
      <c r="F27" t="s">
        <v>1758</v>
      </c>
      <c r="G27" t="s">
        <v>48</v>
      </c>
      <c r="H27" s="86"/>
      <c r="I27" s="70"/>
      <c r="J27" s="174"/>
      <c r="K27" s="131">
        <v>1</v>
      </c>
      <c r="L27" s="131">
        <v>2</v>
      </c>
      <c r="N27" s="177"/>
      <c r="O27" s="70"/>
      <c r="P27" s="70"/>
      <c r="Q27" s="70" t="s">
        <v>1818</v>
      </c>
      <c r="R27" s="128">
        <v>3450</v>
      </c>
      <c r="S27" s="70" t="s">
        <v>487</v>
      </c>
      <c r="T27" t="s">
        <v>2585</v>
      </c>
    </row>
    <row r="28" spans="1:21" x14ac:dyDescent="0.35">
      <c r="A28" s="115">
        <v>27</v>
      </c>
      <c r="B28" t="s">
        <v>145</v>
      </c>
      <c r="C28" s="85">
        <v>46176</v>
      </c>
      <c r="D28" s="85">
        <v>46182</v>
      </c>
      <c r="E28" s="85">
        <v>46021</v>
      </c>
      <c r="F28" t="s">
        <v>1758</v>
      </c>
      <c r="G28" t="s">
        <v>9</v>
      </c>
      <c r="H28" s="86"/>
      <c r="I28" s="70" t="s">
        <v>2586</v>
      </c>
      <c r="J28" s="174">
        <v>0.1</v>
      </c>
      <c r="K28" s="131">
        <v>1</v>
      </c>
      <c r="L28" s="131">
        <v>2</v>
      </c>
      <c r="M28" s="87" t="s">
        <v>2587</v>
      </c>
      <c r="N28" s="172">
        <v>4561283743</v>
      </c>
      <c r="O28" s="70"/>
      <c r="P28" s="70"/>
      <c r="Q28" s="70" t="s">
        <v>1818</v>
      </c>
      <c r="R28" s="128">
        <v>6210</v>
      </c>
      <c r="S28" s="70" t="s">
        <v>1818</v>
      </c>
      <c r="T28" t="s">
        <v>2588</v>
      </c>
    </row>
    <row r="29" spans="1:21" x14ac:dyDescent="0.35">
      <c r="A29" s="121">
        <v>28</v>
      </c>
      <c r="B29" t="s">
        <v>2477</v>
      </c>
      <c r="C29" s="85">
        <v>46143</v>
      </c>
      <c r="D29" s="85">
        <v>46145</v>
      </c>
      <c r="E29" s="85">
        <v>46021</v>
      </c>
      <c r="F29" t="s">
        <v>1758</v>
      </c>
      <c r="G29" t="s">
        <v>48</v>
      </c>
      <c r="H29" s="86"/>
      <c r="I29" s="70"/>
      <c r="J29" s="174"/>
      <c r="K29">
        <v>2</v>
      </c>
      <c r="L29">
        <v>3</v>
      </c>
      <c r="M29" s="87"/>
      <c r="N29" s="171"/>
      <c r="O29" s="70"/>
      <c r="P29" s="70"/>
      <c r="Q29" s="70" t="s">
        <v>1818</v>
      </c>
      <c r="R29" s="128">
        <v>1900</v>
      </c>
      <c r="S29" s="70" t="s">
        <v>487</v>
      </c>
    </row>
    <row r="30" spans="1:21" x14ac:dyDescent="0.35">
      <c r="A30" s="115">
        <v>29</v>
      </c>
      <c r="B30" t="s">
        <v>2478</v>
      </c>
      <c r="C30" s="85">
        <v>46177</v>
      </c>
      <c r="D30" s="85">
        <v>46179</v>
      </c>
      <c r="E30" s="85">
        <v>46023</v>
      </c>
      <c r="F30" t="s">
        <v>1762</v>
      </c>
      <c r="G30" t="s">
        <v>20</v>
      </c>
      <c r="H30" s="86"/>
      <c r="I30" s="70"/>
      <c r="J30" s="174"/>
      <c r="K30" s="131"/>
      <c r="L30" s="131"/>
      <c r="M30" s="87"/>
      <c r="N30" s="171"/>
      <c r="O30" s="70"/>
      <c r="P30" s="70"/>
      <c r="Q30" s="70"/>
      <c r="R30" s="128"/>
      <c r="S30" s="70"/>
    </row>
    <row r="31" spans="1:21" x14ac:dyDescent="0.35">
      <c r="A31" s="115">
        <v>30</v>
      </c>
      <c r="B31" t="s">
        <v>2479</v>
      </c>
      <c r="C31" s="85">
        <v>46230</v>
      </c>
      <c r="D31" s="85">
        <v>46234</v>
      </c>
      <c r="E31" s="85">
        <v>46025</v>
      </c>
      <c r="F31" t="s">
        <v>1758</v>
      </c>
      <c r="G31" t="s">
        <v>48</v>
      </c>
      <c r="H31" s="86"/>
      <c r="I31" s="70"/>
      <c r="J31" s="174"/>
      <c r="K31" s="131">
        <v>1</v>
      </c>
      <c r="L31" s="131">
        <v>2</v>
      </c>
      <c r="N31" s="172">
        <v>4526241192</v>
      </c>
      <c r="O31" s="70"/>
      <c r="P31" s="70"/>
      <c r="Q31" s="70" t="s">
        <v>1818</v>
      </c>
      <c r="R31" s="128">
        <v>5100</v>
      </c>
      <c r="S31" s="70" t="s">
        <v>1818</v>
      </c>
      <c r="T31" t="s">
        <v>2589</v>
      </c>
    </row>
    <row r="32" spans="1:21" x14ac:dyDescent="0.35">
      <c r="A32" s="121">
        <v>31</v>
      </c>
      <c r="B32" t="s">
        <v>1913</v>
      </c>
      <c r="C32" s="85">
        <v>46190</v>
      </c>
      <c r="D32" s="85">
        <v>46195</v>
      </c>
      <c r="E32" s="85">
        <v>46029</v>
      </c>
      <c r="F32" t="s">
        <v>1758</v>
      </c>
      <c r="G32" t="s">
        <v>9</v>
      </c>
      <c r="H32" s="86"/>
      <c r="I32" s="70"/>
      <c r="J32" s="174">
        <v>0.1</v>
      </c>
      <c r="K32" s="131">
        <v>1</v>
      </c>
      <c r="L32" s="131">
        <v>1</v>
      </c>
      <c r="M32" s="87" t="s">
        <v>1914</v>
      </c>
      <c r="N32" s="171">
        <v>4541125671</v>
      </c>
      <c r="O32" s="70"/>
      <c r="P32" s="70" t="s">
        <v>1818</v>
      </c>
      <c r="Q32" s="70" t="s">
        <v>1818</v>
      </c>
      <c r="R32" s="128">
        <v>4275</v>
      </c>
      <c r="S32" s="70" t="s">
        <v>1818</v>
      </c>
      <c r="T32" s="129" t="s">
        <v>2590</v>
      </c>
    </row>
    <row r="33" spans="1:20" x14ac:dyDescent="0.35">
      <c r="A33" s="115">
        <v>32</v>
      </c>
      <c r="B33" t="s">
        <v>2480</v>
      </c>
      <c r="C33" s="85">
        <v>46240</v>
      </c>
      <c r="D33" s="85">
        <v>46247</v>
      </c>
      <c r="E33" s="85">
        <v>46029</v>
      </c>
      <c r="F33" t="s">
        <v>1760</v>
      </c>
      <c r="G33" t="s">
        <v>48</v>
      </c>
      <c r="H33" s="86"/>
      <c r="I33" s="70"/>
      <c r="J33" s="174"/>
      <c r="K33" s="131">
        <v>1</v>
      </c>
      <c r="L33" s="131">
        <v>2</v>
      </c>
      <c r="N33" s="171"/>
      <c r="O33" s="70"/>
      <c r="P33" s="70"/>
      <c r="Q33" s="70" t="s">
        <v>1818</v>
      </c>
      <c r="R33" s="128">
        <v>8925</v>
      </c>
      <c r="S33" s="70" t="s">
        <v>487</v>
      </c>
    </row>
    <row r="34" spans="1:20" x14ac:dyDescent="0.35">
      <c r="A34" s="115">
        <v>33</v>
      </c>
      <c r="B34" t="s">
        <v>2481</v>
      </c>
      <c r="C34" s="85">
        <v>46240</v>
      </c>
      <c r="D34" s="85">
        <v>46247</v>
      </c>
      <c r="E34" s="85">
        <v>46029</v>
      </c>
      <c r="F34" t="s">
        <v>1760</v>
      </c>
      <c r="G34" t="s">
        <v>48</v>
      </c>
      <c r="H34" s="86"/>
      <c r="I34" s="70"/>
      <c r="J34" s="174"/>
      <c r="K34" s="131">
        <v>1</v>
      </c>
      <c r="L34" s="131">
        <v>1</v>
      </c>
      <c r="M34" s="87"/>
      <c r="N34" s="171"/>
      <c r="O34" s="70"/>
      <c r="P34" s="70" t="s">
        <v>1818</v>
      </c>
      <c r="Q34" s="70" t="s">
        <v>1818</v>
      </c>
      <c r="R34" s="128">
        <v>7525</v>
      </c>
      <c r="S34" s="70" t="s">
        <v>487</v>
      </c>
    </row>
    <row r="35" spans="1:20" x14ac:dyDescent="0.35">
      <c r="A35" s="121">
        <v>34</v>
      </c>
      <c r="B35" t="s">
        <v>2482</v>
      </c>
      <c r="C35" s="85">
        <v>46198</v>
      </c>
      <c r="D35" s="85">
        <v>46208</v>
      </c>
      <c r="E35" s="85">
        <v>46030</v>
      </c>
      <c r="F35" t="s">
        <v>1760</v>
      </c>
      <c r="G35" t="s">
        <v>48</v>
      </c>
      <c r="H35" s="86" t="s">
        <v>2591</v>
      </c>
      <c r="I35" s="70" t="s">
        <v>2559</v>
      </c>
      <c r="J35" s="174"/>
      <c r="K35" s="131">
        <v>1</v>
      </c>
      <c r="L35" s="131">
        <v>2</v>
      </c>
      <c r="N35" s="171"/>
      <c r="O35" s="70"/>
      <c r="P35" s="70"/>
      <c r="Q35" s="70" t="s">
        <v>1818</v>
      </c>
      <c r="R35" s="128">
        <v>12375</v>
      </c>
      <c r="S35" s="70" t="s">
        <v>487</v>
      </c>
    </row>
    <row r="36" spans="1:20" x14ac:dyDescent="0.35">
      <c r="A36" s="115">
        <v>35</v>
      </c>
      <c r="B36" t="s">
        <v>880</v>
      </c>
      <c r="C36" s="85">
        <v>46261</v>
      </c>
      <c r="D36" s="85">
        <v>46265</v>
      </c>
      <c r="E36" s="85">
        <v>46030</v>
      </c>
      <c r="F36" t="s">
        <v>1759</v>
      </c>
      <c r="G36" t="s">
        <v>9</v>
      </c>
      <c r="H36" s="86"/>
      <c r="I36" s="70" t="s">
        <v>2559</v>
      </c>
      <c r="J36" s="174">
        <v>0.1</v>
      </c>
      <c r="K36">
        <v>1</v>
      </c>
      <c r="L36">
        <v>2</v>
      </c>
      <c r="M36" s="178" t="s">
        <v>1904</v>
      </c>
      <c r="N36" s="172">
        <v>46733448215</v>
      </c>
      <c r="O36" s="70" t="s">
        <v>2592</v>
      </c>
      <c r="P36" s="70"/>
      <c r="Q36" s="70" t="s">
        <v>1818</v>
      </c>
      <c r="R36" s="128">
        <v>4140</v>
      </c>
      <c r="S36" s="70" t="s">
        <v>1826</v>
      </c>
      <c r="T36" t="s">
        <v>2593</v>
      </c>
    </row>
    <row r="37" spans="1:20" x14ac:dyDescent="0.35">
      <c r="A37" s="115">
        <v>36</v>
      </c>
      <c r="B37" t="s">
        <v>2483</v>
      </c>
      <c r="C37" s="85">
        <v>46209</v>
      </c>
      <c r="D37" s="85">
        <v>46212</v>
      </c>
      <c r="E37" s="85">
        <v>46030</v>
      </c>
      <c r="F37" t="s">
        <v>1758</v>
      </c>
      <c r="G37" t="s">
        <v>48</v>
      </c>
      <c r="H37" s="86"/>
      <c r="I37" s="70" t="s">
        <v>1827</v>
      </c>
      <c r="J37" s="174"/>
      <c r="K37">
        <v>2</v>
      </c>
      <c r="L37">
        <v>4</v>
      </c>
      <c r="M37" s="87"/>
      <c r="N37" s="171"/>
      <c r="O37" s="70"/>
      <c r="P37" s="70"/>
      <c r="Q37" s="70" t="s">
        <v>487</v>
      </c>
      <c r="R37" s="128">
        <v>6450</v>
      </c>
      <c r="S37" s="70" t="s">
        <v>487</v>
      </c>
    </row>
    <row r="38" spans="1:20" x14ac:dyDescent="0.35">
      <c r="A38" s="121">
        <v>37</v>
      </c>
      <c r="B38" t="s">
        <v>2484</v>
      </c>
      <c r="C38" s="85">
        <v>46195</v>
      </c>
      <c r="D38" s="85">
        <v>46198</v>
      </c>
      <c r="E38" s="85">
        <v>46031</v>
      </c>
      <c r="F38" t="s">
        <v>1758</v>
      </c>
      <c r="G38" t="s">
        <v>48</v>
      </c>
      <c r="H38" s="86" t="s">
        <v>2173</v>
      </c>
      <c r="I38" s="70"/>
      <c r="J38" s="174"/>
      <c r="K38">
        <v>1</v>
      </c>
      <c r="L38">
        <v>2</v>
      </c>
      <c r="M38" s="87"/>
      <c r="N38" s="171"/>
      <c r="O38" s="70"/>
      <c r="P38" s="70"/>
      <c r="Q38" s="70" t="s">
        <v>1818</v>
      </c>
      <c r="R38" s="128">
        <v>3450</v>
      </c>
      <c r="S38" s="70" t="s">
        <v>487</v>
      </c>
    </row>
    <row r="39" spans="1:20" x14ac:dyDescent="0.35">
      <c r="A39" s="115">
        <v>38</v>
      </c>
      <c r="B39" t="s">
        <v>2485</v>
      </c>
      <c r="C39" s="85">
        <v>46221</v>
      </c>
      <c r="D39" s="85">
        <v>46228</v>
      </c>
      <c r="E39" s="85">
        <v>46031</v>
      </c>
      <c r="F39" t="s">
        <v>1872</v>
      </c>
      <c r="G39" t="s">
        <v>48</v>
      </c>
      <c r="H39" s="86"/>
      <c r="I39" s="70" t="s">
        <v>1827</v>
      </c>
      <c r="J39" s="174"/>
      <c r="K39">
        <v>1</v>
      </c>
      <c r="L39">
        <v>2</v>
      </c>
      <c r="M39" s="87"/>
      <c r="N39" s="171"/>
      <c r="O39" s="70"/>
      <c r="P39" s="70"/>
      <c r="Q39" s="70" t="s">
        <v>487</v>
      </c>
      <c r="R39" s="128">
        <v>7525</v>
      </c>
      <c r="S39" s="70" t="s">
        <v>487</v>
      </c>
    </row>
    <row r="40" spans="1:20" x14ac:dyDescent="0.35">
      <c r="A40" s="70">
        <v>39</v>
      </c>
      <c r="B40" t="s">
        <v>2486</v>
      </c>
      <c r="C40" s="85">
        <v>46216</v>
      </c>
      <c r="D40" s="85">
        <v>46220</v>
      </c>
      <c r="E40" s="85">
        <v>46032</v>
      </c>
      <c r="G40" t="s">
        <v>20</v>
      </c>
      <c r="H40" s="86"/>
      <c r="I40" s="70"/>
      <c r="J40" s="174"/>
      <c r="N40" s="171"/>
      <c r="O40" s="70"/>
      <c r="P40" s="70"/>
      <c r="Q40" s="70"/>
      <c r="R40" s="128"/>
      <c r="S40" s="70"/>
    </row>
    <row r="41" spans="1:20" x14ac:dyDescent="0.35">
      <c r="A41" s="70">
        <v>40</v>
      </c>
      <c r="B41" t="s">
        <v>2487</v>
      </c>
      <c r="C41" s="85">
        <v>46164</v>
      </c>
      <c r="D41" s="85">
        <v>46167</v>
      </c>
      <c r="E41" s="85">
        <v>46033</v>
      </c>
      <c r="F41" t="s">
        <v>1758</v>
      </c>
      <c r="G41" t="s">
        <v>20</v>
      </c>
      <c r="H41" s="86"/>
      <c r="I41" s="70"/>
      <c r="J41" s="174"/>
      <c r="M41" s="87"/>
      <c r="N41" s="171"/>
      <c r="O41" s="70"/>
      <c r="P41" s="70"/>
      <c r="Q41" s="70"/>
      <c r="R41" s="128"/>
      <c r="S41" s="70"/>
    </row>
    <row r="42" spans="1:20" x14ac:dyDescent="0.35">
      <c r="A42" s="70">
        <v>41</v>
      </c>
      <c r="B42" t="s">
        <v>2488</v>
      </c>
      <c r="C42" s="85">
        <v>46282</v>
      </c>
      <c r="D42" s="85">
        <v>46285</v>
      </c>
      <c r="E42" s="85">
        <v>46035</v>
      </c>
      <c r="F42" t="s">
        <v>1758</v>
      </c>
      <c r="G42" t="s">
        <v>48</v>
      </c>
      <c r="H42" s="86"/>
      <c r="I42" s="70" t="s">
        <v>1827</v>
      </c>
      <c r="J42" s="174"/>
      <c r="K42">
        <v>1</v>
      </c>
      <c r="L42">
        <v>2</v>
      </c>
      <c r="M42" s="87"/>
      <c r="N42" s="171"/>
      <c r="O42" s="70"/>
      <c r="P42" s="70"/>
      <c r="Q42" s="70" t="s">
        <v>487</v>
      </c>
      <c r="R42" s="128">
        <v>2850</v>
      </c>
      <c r="S42" s="70" t="s">
        <v>487</v>
      </c>
    </row>
    <row r="43" spans="1:20" x14ac:dyDescent="0.35">
      <c r="A43" s="70">
        <v>42</v>
      </c>
      <c r="B43" t="s">
        <v>2489</v>
      </c>
      <c r="C43" s="85">
        <v>46282</v>
      </c>
      <c r="D43" s="85">
        <v>46285</v>
      </c>
      <c r="E43" s="85">
        <v>46036</v>
      </c>
      <c r="F43" t="s">
        <v>1759</v>
      </c>
      <c r="G43" t="s">
        <v>48</v>
      </c>
      <c r="H43" s="86"/>
      <c r="I43" s="70"/>
      <c r="J43" s="174"/>
      <c r="K43">
        <v>1</v>
      </c>
      <c r="L43">
        <v>1</v>
      </c>
      <c r="M43" s="87"/>
      <c r="N43" s="171"/>
      <c r="O43" s="70"/>
      <c r="P43" s="70" t="s">
        <v>1818</v>
      </c>
      <c r="Q43" s="70" t="s">
        <v>487</v>
      </c>
      <c r="R43" s="128">
        <v>2550</v>
      </c>
      <c r="S43" s="70" t="s">
        <v>487</v>
      </c>
    </row>
    <row r="44" spans="1:20" x14ac:dyDescent="0.35">
      <c r="A44" s="70">
        <v>43</v>
      </c>
      <c r="B44" t="s">
        <v>2490</v>
      </c>
      <c r="C44" s="85">
        <v>46216</v>
      </c>
      <c r="D44" s="85">
        <v>46219</v>
      </c>
      <c r="E44" s="85">
        <v>46037</v>
      </c>
      <c r="F44" t="s">
        <v>1758</v>
      </c>
      <c r="G44" t="s">
        <v>9</v>
      </c>
      <c r="H44" s="86" t="s">
        <v>2173</v>
      </c>
      <c r="I44" s="70" t="s">
        <v>2594</v>
      </c>
      <c r="J44" s="174"/>
      <c r="K44">
        <v>1</v>
      </c>
      <c r="L44">
        <v>2</v>
      </c>
      <c r="M44" s="87" t="s">
        <v>2595</v>
      </c>
      <c r="N44" s="171">
        <v>4526140610</v>
      </c>
      <c r="O44" s="70"/>
      <c r="P44" s="70"/>
      <c r="Q44" s="70" t="s">
        <v>1818</v>
      </c>
      <c r="R44" s="128">
        <v>4500</v>
      </c>
      <c r="S44" s="70" t="s">
        <v>487</v>
      </c>
      <c r="T44" t="s">
        <v>2596</v>
      </c>
    </row>
    <row r="45" spans="1:20" x14ac:dyDescent="0.35">
      <c r="A45" s="70">
        <v>44</v>
      </c>
      <c r="B45" t="s">
        <v>2491</v>
      </c>
      <c r="C45" s="85">
        <v>46222</v>
      </c>
      <c r="D45" s="85">
        <v>46227</v>
      </c>
      <c r="E45" s="85">
        <v>46037</v>
      </c>
      <c r="F45" t="s">
        <v>2597</v>
      </c>
      <c r="G45" t="s">
        <v>48</v>
      </c>
      <c r="H45" s="86"/>
      <c r="I45" s="70" t="s">
        <v>2559</v>
      </c>
      <c r="J45" s="174"/>
      <c r="K45">
        <v>1</v>
      </c>
      <c r="L45">
        <v>2</v>
      </c>
      <c r="N45" s="171"/>
      <c r="O45" s="70"/>
      <c r="P45" s="70"/>
      <c r="Q45" s="70" t="s">
        <v>1818</v>
      </c>
      <c r="R45" s="128">
        <v>6375</v>
      </c>
      <c r="S45" s="70" t="s">
        <v>487</v>
      </c>
    </row>
    <row r="46" spans="1:20" x14ac:dyDescent="0.35">
      <c r="A46" s="70">
        <v>45</v>
      </c>
      <c r="B46" t="s">
        <v>2492</v>
      </c>
      <c r="C46" s="85">
        <v>46240</v>
      </c>
      <c r="D46" s="85">
        <v>46243</v>
      </c>
      <c r="E46" s="85">
        <v>46038</v>
      </c>
      <c r="F46" t="s">
        <v>1759</v>
      </c>
      <c r="G46" t="s">
        <v>48</v>
      </c>
      <c r="H46" s="86"/>
      <c r="I46" s="70"/>
      <c r="J46" s="174"/>
      <c r="K46">
        <v>1</v>
      </c>
      <c r="L46">
        <v>2</v>
      </c>
      <c r="N46" s="171"/>
      <c r="O46" s="70"/>
      <c r="P46" s="70"/>
      <c r="Q46" s="70" t="s">
        <v>1818</v>
      </c>
      <c r="R46" s="128">
        <v>3825</v>
      </c>
      <c r="S46" s="70" t="s">
        <v>487</v>
      </c>
    </row>
    <row r="47" spans="1:20" x14ac:dyDescent="0.35">
      <c r="A47" s="70">
        <v>46</v>
      </c>
      <c r="B47" t="s">
        <v>2493</v>
      </c>
      <c r="C47" s="85">
        <v>46247</v>
      </c>
      <c r="D47" s="85">
        <v>46252</v>
      </c>
      <c r="E47" s="85">
        <v>46037</v>
      </c>
      <c r="F47" t="s">
        <v>1758</v>
      </c>
      <c r="G47" t="s">
        <v>48</v>
      </c>
      <c r="H47" s="86" t="s">
        <v>2173</v>
      </c>
      <c r="I47" s="70" t="s">
        <v>2559</v>
      </c>
      <c r="J47" s="174"/>
      <c r="K47">
        <v>1</v>
      </c>
      <c r="L47">
        <v>2</v>
      </c>
      <c r="M47" s="87"/>
      <c r="N47" s="171"/>
      <c r="O47" s="70"/>
      <c r="P47" s="70"/>
      <c r="Q47" s="70" t="s">
        <v>487</v>
      </c>
      <c r="R47" s="128">
        <v>5125</v>
      </c>
      <c r="S47" s="70" t="s">
        <v>2598</v>
      </c>
      <c r="T47" t="s">
        <v>2599</v>
      </c>
    </row>
    <row r="48" spans="1:20" x14ac:dyDescent="0.35">
      <c r="A48" s="70">
        <v>47</v>
      </c>
      <c r="B48" t="s">
        <v>16</v>
      </c>
      <c r="C48" s="85">
        <v>46281</v>
      </c>
      <c r="D48" s="85">
        <v>46286</v>
      </c>
      <c r="E48" s="85">
        <v>46037</v>
      </c>
      <c r="F48" t="s">
        <v>1758</v>
      </c>
      <c r="G48" t="s">
        <v>9</v>
      </c>
      <c r="H48" s="86"/>
      <c r="I48" s="70"/>
      <c r="J48" s="174"/>
      <c r="K48">
        <v>1</v>
      </c>
      <c r="L48">
        <v>2</v>
      </c>
      <c r="M48" s="87" t="s">
        <v>14</v>
      </c>
      <c r="N48" s="172">
        <v>4531909358</v>
      </c>
      <c r="O48" s="179" t="s">
        <v>1293</v>
      </c>
      <c r="P48" s="70"/>
      <c r="Q48" s="70" t="s">
        <v>1818</v>
      </c>
      <c r="R48" s="128"/>
      <c r="S48" s="70" t="s">
        <v>1818</v>
      </c>
      <c r="T48" t="s">
        <v>2600</v>
      </c>
    </row>
    <row r="49" spans="1:20" x14ac:dyDescent="0.35">
      <c r="A49" s="70">
        <v>48</v>
      </c>
      <c r="B49" t="s">
        <v>2494</v>
      </c>
      <c r="C49" s="85">
        <v>46156</v>
      </c>
      <c r="D49" s="85">
        <v>46159</v>
      </c>
      <c r="E49" s="85">
        <v>46040</v>
      </c>
      <c r="F49" t="s">
        <v>1758</v>
      </c>
      <c r="G49" t="s">
        <v>20</v>
      </c>
      <c r="H49" s="86"/>
      <c r="I49" s="70"/>
      <c r="J49" s="174"/>
      <c r="M49" s="87"/>
      <c r="N49" s="171"/>
      <c r="O49" s="70"/>
      <c r="P49" s="70"/>
      <c r="Q49" s="70"/>
      <c r="R49" s="128"/>
      <c r="S49" s="70"/>
    </row>
    <row r="50" spans="1:20" x14ac:dyDescent="0.35">
      <c r="A50" s="70">
        <v>49</v>
      </c>
      <c r="B50" t="s">
        <v>2495</v>
      </c>
      <c r="C50" s="85">
        <v>46228</v>
      </c>
      <c r="D50" s="85">
        <v>46235</v>
      </c>
      <c r="E50" s="85">
        <v>46040</v>
      </c>
      <c r="F50" t="s">
        <v>1758</v>
      </c>
      <c r="G50" t="s">
        <v>48</v>
      </c>
      <c r="H50" s="86"/>
      <c r="I50" s="70" t="s">
        <v>2559</v>
      </c>
      <c r="J50" s="174"/>
      <c r="K50">
        <v>1</v>
      </c>
      <c r="L50">
        <v>2</v>
      </c>
      <c r="M50" s="87"/>
      <c r="N50" s="171"/>
      <c r="O50" s="70"/>
      <c r="P50" s="70"/>
      <c r="Q50" s="70" t="s">
        <v>1818</v>
      </c>
      <c r="R50" s="128">
        <v>8925</v>
      </c>
      <c r="S50" s="70" t="s">
        <v>487</v>
      </c>
    </row>
    <row r="51" spans="1:20" x14ac:dyDescent="0.35">
      <c r="A51" s="70">
        <v>50</v>
      </c>
      <c r="B51" t="s">
        <v>2496</v>
      </c>
      <c r="C51" s="85">
        <v>46237</v>
      </c>
      <c r="D51" s="85">
        <v>46241</v>
      </c>
      <c r="E51" s="85">
        <v>46039</v>
      </c>
      <c r="F51" t="s">
        <v>1758</v>
      </c>
      <c r="G51" t="s">
        <v>48</v>
      </c>
      <c r="H51" s="86"/>
      <c r="I51" s="70" t="s">
        <v>2559</v>
      </c>
      <c r="J51" s="174"/>
      <c r="K51">
        <v>1</v>
      </c>
      <c r="L51">
        <v>2</v>
      </c>
      <c r="N51" s="171"/>
      <c r="O51" s="70"/>
      <c r="P51" s="70"/>
      <c r="Q51" s="70" t="s">
        <v>1818</v>
      </c>
      <c r="R51" s="128">
        <v>5100</v>
      </c>
      <c r="S51" s="70" t="s">
        <v>487</v>
      </c>
    </row>
    <row r="52" spans="1:20" x14ac:dyDescent="0.35">
      <c r="A52" s="70">
        <v>51</v>
      </c>
      <c r="B52" t="s">
        <v>753</v>
      </c>
      <c r="C52" s="85">
        <v>46250</v>
      </c>
      <c r="D52" s="85">
        <v>46255</v>
      </c>
      <c r="E52" s="85">
        <v>46041</v>
      </c>
      <c r="F52" t="s">
        <v>1758</v>
      </c>
      <c r="G52" t="s">
        <v>9</v>
      </c>
      <c r="H52" s="86"/>
      <c r="I52" s="70"/>
      <c r="J52" s="174">
        <v>0.1</v>
      </c>
      <c r="K52">
        <v>1</v>
      </c>
      <c r="L52">
        <v>2</v>
      </c>
      <c r="M52" s="178" t="s">
        <v>1065</v>
      </c>
      <c r="N52" s="172">
        <v>4540474386</v>
      </c>
      <c r="O52" s="179" t="s">
        <v>1067</v>
      </c>
      <c r="P52" s="70"/>
      <c r="Q52" s="70" t="s">
        <v>1818</v>
      </c>
      <c r="R52" s="180">
        <v>5737.5</v>
      </c>
      <c r="S52" s="70" t="s">
        <v>1818</v>
      </c>
      <c r="T52">
        <v>2024</v>
      </c>
    </row>
    <row r="53" spans="1:20" x14ac:dyDescent="0.35">
      <c r="A53" s="70">
        <v>52</v>
      </c>
      <c r="B53" t="s">
        <v>2497</v>
      </c>
      <c r="C53" s="85">
        <v>46251</v>
      </c>
      <c r="D53" s="85">
        <v>46255</v>
      </c>
      <c r="E53" s="85">
        <v>46041</v>
      </c>
      <c r="F53" t="s">
        <v>1758</v>
      </c>
      <c r="G53" t="s">
        <v>48</v>
      </c>
      <c r="H53" s="86" t="s">
        <v>2601</v>
      </c>
      <c r="I53" s="70"/>
      <c r="J53" s="174"/>
      <c r="K53">
        <v>1</v>
      </c>
      <c r="L53">
        <v>2</v>
      </c>
      <c r="M53" s="87"/>
      <c r="N53" s="171"/>
      <c r="O53" s="70"/>
      <c r="P53" s="70"/>
      <c r="Q53" s="70" t="s">
        <v>1818</v>
      </c>
      <c r="R53" s="128">
        <v>4600</v>
      </c>
      <c r="S53" s="70" t="s">
        <v>487</v>
      </c>
    </row>
    <row r="54" spans="1:20" x14ac:dyDescent="0.35">
      <c r="A54" s="70">
        <v>53</v>
      </c>
      <c r="B54" t="s">
        <v>2498</v>
      </c>
      <c r="C54" s="85">
        <v>46155</v>
      </c>
      <c r="D54" s="85">
        <v>46158</v>
      </c>
      <c r="E54" s="85">
        <v>46041</v>
      </c>
      <c r="F54" t="s">
        <v>1758</v>
      </c>
      <c r="G54" t="s">
        <v>48</v>
      </c>
      <c r="H54" s="86" t="s">
        <v>2324</v>
      </c>
      <c r="I54" s="70" t="s">
        <v>2559</v>
      </c>
      <c r="J54" s="174"/>
      <c r="K54">
        <v>1</v>
      </c>
      <c r="L54">
        <v>2</v>
      </c>
      <c r="N54" s="171"/>
      <c r="O54" s="70"/>
      <c r="P54" s="70"/>
      <c r="Q54" s="70" t="s">
        <v>487</v>
      </c>
      <c r="R54" s="128">
        <v>2850</v>
      </c>
      <c r="S54" s="70" t="s">
        <v>487</v>
      </c>
    </row>
    <row r="55" spans="1:20" x14ac:dyDescent="0.35">
      <c r="A55" s="70">
        <v>54</v>
      </c>
      <c r="B55" t="s">
        <v>2499</v>
      </c>
      <c r="C55" s="85">
        <v>46254</v>
      </c>
      <c r="D55" s="85">
        <v>46257</v>
      </c>
      <c r="E55" s="85">
        <v>46042</v>
      </c>
      <c r="F55" t="s">
        <v>1758</v>
      </c>
      <c r="G55" t="s">
        <v>48</v>
      </c>
      <c r="H55" s="86" t="s">
        <v>2602</v>
      </c>
      <c r="I55" s="70" t="s">
        <v>2603</v>
      </c>
      <c r="J55" s="174"/>
      <c r="K55">
        <v>2</v>
      </c>
      <c r="L55">
        <v>4</v>
      </c>
      <c r="M55" s="87"/>
      <c r="N55" s="171"/>
      <c r="O55" s="70"/>
      <c r="P55" s="70"/>
      <c r="Q55" s="70" t="s">
        <v>487</v>
      </c>
      <c r="R55" s="163">
        <v>5700</v>
      </c>
      <c r="S55" s="70"/>
    </row>
    <row r="56" spans="1:20" x14ac:dyDescent="0.35">
      <c r="A56" s="70">
        <v>55</v>
      </c>
      <c r="B56" t="s">
        <v>2500</v>
      </c>
      <c r="C56" s="85">
        <v>46230</v>
      </c>
      <c r="D56" s="85">
        <v>46234</v>
      </c>
      <c r="E56" s="85">
        <v>46042</v>
      </c>
      <c r="F56" t="s">
        <v>1758</v>
      </c>
      <c r="G56" t="s">
        <v>48</v>
      </c>
      <c r="H56" s="86"/>
      <c r="I56" s="70" t="s">
        <v>2559</v>
      </c>
      <c r="J56" s="174"/>
      <c r="K56">
        <v>1</v>
      </c>
      <c r="L56">
        <v>2</v>
      </c>
      <c r="M56" s="87"/>
      <c r="N56" s="171"/>
      <c r="O56" s="70"/>
      <c r="P56" s="70"/>
      <c r="Q56" s="70" t="s">
        <v>487</v>
      </c>
      <c r="R56" s="128">
        <v>4300</v>
      </c>
      <c r="S56" s="70" t="s">
        <v>487</v>
      </c>
    </row>
    <row r="57" spans="1:20" x14ac:dyDescent="0.35">
      <c r="A57" s="70">
        <v>56</v>
      </c>
      <c r="B57" t="s">
        <v>2501</v>
      </c>
      <c r="C57" s="85">
        <v>46192</v>
      </c>
      <c r="D57" s="85">
        <v>46194</v>
      </c>
      <c r="E57" s="85">
        <v>46043</v>
      </c>
      <c r="F57" t="s">
        <v>1758</v>
      </c>
      <c r="G57" t="s">
        <v>48</v>
      </c>
      <c r="H57" s="86" t="s">
        <v>2604</v>
      </c>
      <c r="I57" s="70" t="s">
        <v>2559</v>
      </c>
      <c r="J57" s="174"/>
      <c r="K57">
        <v>1</v>
      </c>
      <c r="L57">
        <v>2</v>
      </c>
      <c r="M57" s="87"/>
      <c r="N57" s="171"/>
      <c r="O57" s="70"/>
      <c r="P57" s="70"/>
      <c r="Q57" s="70" t="s">
        <v>487</v>
      </c>
      <c r="R57" s="128">
        <v>1900</v>
      </c>
      <c r="S57" s="70" t="s">
        <v>487</v>
      </c>
      <c r="T57" t="s">
        <v>2605</v>
      </c>
    </row>
    <row r="58" spans="1:20" x14ac:dyDescent="0.35">
      <c r="A58" s="70">
        <v>57</v>
      </c>
      <c r="B58" t="s">
        <v>304</v>
      </c>
      <c r="C58" s="85">
        <v>46232</v>
      </c>
      <c r="D58" s="85">
        <v>46238</v>
      </c>
      <c r="E58" s="85">
        <v>46043</v>
      </c>
      <c r="F58" t="s">
        <v>1759</v>
      </c>
      <c r="G58" t="s">
        <v>48</v>
      </c>
      <c r="H58" s="86"/>
      <c r="I58" s="70"/>
      <c r="J58" s="174"/>
      <c r="K58">
        <v>1</v>
      </c>
      <c r="L58">
        <v>2</v>
      </c>
      <c r="N58" s="172">
        <v>466700686</v>
      </c>
      <c r="O58" s="70" t="s">
        <v>305</v>
      </c>
      <c r="P58" s="70"/>
      <c r="Q58" s="70" t="s">
        <v>487</v>
      </c>
      <c r="R58" s="163">
        <v>6450</v>
      </c>
      <c r="S58" s="70" t="s">
        <v>1826</v>
      </c>
      <c r="T58" t="s">
        <v>2606</v>
      </c>
    </row>
    <row r="59" spans="1:20" x14ac:dyDescent="0.35">
      <c r="A59" s="70">
        <v>58</v>
      </c>
      <c r="B59" t="s">
        <v>2502</v>
      </c>
      <c r="C59" s="85">
        <v>46229</v>
      </c>
      <c r="D59" s="85">
        <v>46233</v>
      </c>
      <c r="E59" s="85">
        <v>46046</v>
      </c>
      <c r="F59" t="s">
        <v>1758</v>
      </c>
      <c r="G59" t="s">
        <v>9</v>
      </c>
      <c r="H59" s="86"/>
      <c r="I59" s="70" t="s">
        <v>1827</v>
      </c>
      <c r="J59" s="174">
        <v>0.1</v>
      </c>
      <c r="K59">
        <v>2</v>
      </c>
      <c r="L59">
        <v>2</v>
      </c>
      <c r="M59" s="87"/>
      <c r="N59" s="171"/>
      <c r="O59" s="70"/>
      <c r="P59" s="70"/>
      <c r="Q59" s="70" t="s">
        <v>1818</v>
      </c>
      <c r="R59" s="163">
        <v>4590</v>
      </c>
      <c r="S59" s="70" t="s">
        <v>1826</v>
      </c>
      <c r="T59" t="s">
        <v>2607</v>
      </c>
    </row>
    <row r="60" spans="1:20" x14ac:dyDescent="0.35">
      <c r="A60" s="70">
        <v>59</v>
      </c>
      <c r="B60" t="s">
        <v>2503</v>
      </c>
      <c r="C60" s="85">
        <v>46244</v>
      </c>
      <c r="D60" s="85">
        <v>46248</v>
      </c>
      <c r="E60" s="85">
        <v>46047</v>
      </c>
      <c r="F60" t="s">
        <v>1758</v>
      </c>
      <c r="G60" t="s">
        <v>48</v>
      </c>
      <c r="H60" s="86" t="s">
        <v>2301</v>
      </c>
      <c r="I60" s="70" t="s">
        <v>2559</v>
      </c>
      <c r="J60" s="174"/>
      <c r="K60">
        <v>1</v>
      </c>
      <c r="L60">
        <v>2</v>
      </c>
      <c r="M60" s="87"/>
      <c r="N60" s="171">
        <v>4542401010</v>
      </c>
      <c r="O60" s="70"/>
      <c r="P60" s="70"/>
      <c r="Q60" s="70" t="s">
        <v>1818</v>
      </c>
      <c r="R60" s="163">
        <v>5100</v>
      </c>
      <c r="S60" s="70" t="s">
        <v>487</v>
      </c>
    </row>
    <row r="61" spans="1:20" x14ac:dyDescent="0.35">
      <c r="A61" s="70">
        <v>60</v>
      </c>
      <c r="B61" t="s">
        <v>2504</v>
      </c>
      <c r="C61" s="85">
        <v>46258</v>
      </c>
      <c r="D61" s="85">
        <v>46262</v>
      </c>
      <c r="E61" s="85">
        <v>46047</v>
      </c>
      <c r="F61" t="s">
        <v>1758</v>
      </c>
      <c r="G61" t="s">
        <v>48</v>
      </c>
      <c r="H61" s="86"/>
      <c r="I61" s="70"/>
      <c r="J61" s="174"/>
      <c r="K61">
        <v>1</v>
      </c>
      <c r="L61">
        <v>1</v>
      </c>
      <c r="N61" s="171"/>
      <c r="O61" s="70"/>
      <c r="P61" s="70" t="s">
        <v>1818</v>
      </c>
      <c r="Q61" s="70" t="s">
        <v>1818</v>
      </c>
      <c r="R61" s="163">
        <v>3800</v>
      </c>
      <c r="S61" s="70" t="s">
        <v>487</v>
      </c>
    </row>
    <row r="62" spans="1:20" x14ac:dyDescent="0.35">
      <c r="A62" s="70">
        <v>61</v>
      </c>
      <c r="B62" t="s">
        <v>2505</v>
      </c>
      <c r="C62" s="85">
        <v>46199</v>
      </c>
      <c r="D62" s="85">
        <v>46202</v>
      </c>
      <c r="E62" s="85">
        <v>46047</v>
      </c>
      <c r="F62" t="s">
        <v>1760</v>
      </c>
      <c r="G62" t="s">
        <v>48</v>
      </c>
      <c r="H62" s="86" t="s">
        <v>2608</v>
      </c>
      <c r="I62" s="70" t="s">
        <v>2609</v>
      </c>
      <c r="J62" s="174"/>
      <c r="K62">
        <v>1</v>
      </c>
      <c r="L62">
        <v>2</v>
      </c>
      <c r="M62" s="87"/>
      <c r="N62" s="171"/>
      <c r="O62" s="70"/>
      <c r="P62" s="70"/>
      <c r="Q62" s="70" t="s">
        <v>487</v>
      </c>
      <c r="R62" s="163">
        <v>2975</v>
      </c>
      <c r="S62" s="70" t="s">
        <v>487</v>
      </c>
    </row>
    <row r="63" spans="1:20" x14ac:dyDescent="0.35">
      <c r="A63" s="70">
        <v>62</v>
      </c>
      <c r="B63" t="s">
        <v>2506</v>
      </c>
      <c r="C63" s="85">
        <v>46214</v>
      </c>
      <c r="D63" s="85">
        <v>46225</v>
      </c>
      <c r="E63" s="85">
        <v>46047</v>
      </c>
      <c r="F63" t="s">
        <v>1758</v>
      </c>
      <c r="G63" t="s">
        <v>48</v>
      </c>
      <c r="H63" s="86"/>
      <c r="I63" s="70" t="s">
        <v>2609</v>
      </c>
      <c r="J63" s="174">
        <v>0.1</v>
      </c>
      <c r="K63">
        <v>1</v>
      </c>
      <c r="L63">
        <v>2</v>
      </c>
      <c r="N63" s="171"/>
      <c r="O63" s="70"/>
      <c r="P63" s="70"/>
      <c r="Q63" s="70" t="s">
        <v>1818</v>
      </c>
      <c r="R63" s="163">
        <f>8925+3442.5</f>
        <v>12367.5</v>
      </c>
      <c r="S63" s="70" t="s">
        <v>487</v>
      </c>
      <c r="T63" t="s">
        <v>2610</v>
      </c>
    </row>
    <row r="64" spans="1:20" x14ac:dyDescent="0.35">
      <c r="A64" s="70">
        <v>63</v>
      </c>
      <c r="B64" t="s">
        <v>2507</v>
      </c>
      <c r="C64" s="85">
        <v>46153</v>
      </c>
      <c r="D64" s="85">
        <v>46155</v>
      </c>
      <c r="E64" s="85">
        <v>46048</v>
      </c>
      <c r="F64" t="s">
        <v>1759</v>
      </c>
      <c r="G64" t="s">
        <v>9</v>
      </c>
      <c r="H64" s="86"/>
      <c r="I64" s="70"/>
      <c r="J64" s="174">
        <v>0.05</v>
      </c>
      <c r="K64">
        <v>1</v>
      </c>
      <c r="L64">
        <v>2</v>
      </c>
      <c r="M64" s="87" t="s">
        <v>2611</v>
      </c>
      <c r="N64" s="171"/>
      <c r="O64" s="70"/>
      <c r="P64" s="70"/>
      <c r="Q64" s="70" t="s">
        <v>487</v>
      </c>
      <c r="R64" s="163">
        <v>1805</v>
      </c>
      <c r="S64" s="70" t="s">
        <v>487</v>
      </c>
    </row>
    <row r="65" spans="1:20" x14ac:dyDescent="0.35">
      <c r="A65" s="70">
        <v>64</v>
      </c>
      <c r="B65" t="s">
        <v>2508</v>
      </c>
      <c r="C65" s="85">
        <v>46198</v>
      </c>
      <c r="D65" s="85">
        <v>46201</v>
      </c>
      <c r="E65" s="85">
        <v>46053</v>
      </c>
      <c r="F65" t="s">
        <v>1759</v>
      </c>
      <c r="G65" t="s">
        <v>48</v>
      </c>
      <c r="H65" s="86"/>
      <c r="I65" s="70" t="s">
        <v>1827</v>
      </c>
      <c r="J65" s="174"/>
      <c r="K65">
        <v>1</v>
      </c>
      <c r="L65">
        <v>2</v>
      </c>
      <c r="N65" s="171"/>
      <c r="O65" s="70"/>
      <c r="P65" s="70"/>
      <c r="Q65" s="70" t="s">
        <v>487</v>
      </c>
      <c r="R65" s="128">
        <v>2850</v>
      </c>
      <c r="S65" s="70" t="s">
        <v>487</v>
      </c>
    </row>
    <row r="66" spans="1:20" x14ac:dyDescent="0.35">
      <c r="A66" s="70">
        <v>65</v>
      </c>
      <c r="B66" t="s">
        <v>2509</v>
      </c>
      <c r="C66" s="85">
        <v>46256</v>
      </c>
      <c r="D66" s="85">
        <v>46259</v>
      </c>
      <c r="E66" s="85">
        <v>46054</v>
      </c>
      <c r="F66" t="s">
        <v>1758</v>
      </c>
      <c r="G66" t="s">
        <v>48</v>
      </c>
      <c r="H66" s="86"/>
      <c r="I66" s="70" t="s">
        <v>2559</v>
      </c>
      <c r="J66" s="174"/>
      <c r="K66">
        <v>1</v>
      </c>
      <c r="L66">
        <v>2</v>
      </c>
      <c r="N66" s="171"/>
      <c r="O66" s="70"/>
      <c r="P66" s="70"/>
      <c r="Q66" s="70" t="s">
        <v>487</v>
      </c>
      <c r="R66" s="163">
        <v>2850</v>
      </c>
      <c r="S66" s="70" t="s">
        <v>487</v>
      </c>
    </row>
    <row r="67" spans="1:20" x14ac:dyDescent="0.35">
      <c r="A67" s="70">
        <v>66</v>
      </c>
      <c r="B67" t="s">
        <v>64</v>
      </c>
      <c r="C67" s="85">
        <v>46214</v>
      </c>
      <c r="D67" s="85">
        <v>46222</v>
      </c>
      <c r="E67" s="85">
        <v>46054</v>
      </c>
      <c r="F67" t="s">
        <v>1758</v>
      </c>
      <c r="G67" t="s">
        <v>9</v>
      </c>
      <c r="H67" s="86"/>
      <c r="I67" s="70"/>
      <c r="J67" s="174">
        <v>0.1</v>
      </c>
      <c r="K67">
        <v>1</v>
      </c>
      <c r="L67">
        <v>2</v>
      </c>
      <c r="M67" s="87" t="s">
        <v>2612</v>
      </c>
      <c r="N67" s="173">
        <v>4521261488</v>
      </c>
      <c r="O67" s="70" t="s">
        <v>65</v>
      </c>
      <c r="P67" s="70"/>
      <c r="Q67" s="70" t="s">
        <v>1818</v>
      </c>
      <c r="R67" s="163">
        <v>9180</v>
      </c>
      <c r="S67" s="70" t="s">
        <v>1826</v>
      </c>
      <c r="T67">
        <v>2021.24</v>
      </c>
    </row>
    <row r="68" spans="1:20" x14ac:dyDescent="0.35">
      <c r="A68" s="70">
        <v>67</v>
      </c>
      <c r="B68" t="s">
        <v>2510</v>
      </c>
      <c r="C68" s="85">
        <v>46260</v>
      </c>
      <c r="D68" s="85">
        <v>46265</v>
      </c>
      <c r="E68" s="85">
        <v>46055</v>
      </c>
      <c r="F68" t="s">
        <v>1760</v>
      </c>
      <c r="G68" t="s">
        <v>48</v>
      </c>
      <c r="H68" s="86" t="s">
        <v>2173</v>
      </c>
      <c r="I68" s="70" t="s">
        <v>2559</v>
      </c>
      <c r="J68" s="174"/>
      <c r="K68">
        <v>1</v>
      </c>
      <c r="L68">
        <v>2</v>
      </c>
      <c r="M68" s="87"/>
      <c r="N68" s="171"/>
      <c r="O68" s="70"/>
      <c r="P68" s="70"/>
      <c r="Q68" s="70" t="s">
        <v>1818</v>
      </c>
      <c r="R68" s="163">
        <v>5750</v>
      </c>
      <c r="S68" s="70" t="s">
        <v>487</v>
      </c>
    </row>
    <row r="69" spans="1:20" x14ac:dyDescent="0.35">
      <c r="A69" s="70">
        <v>68</v>
      </c>
      <c r="B69" t="s">
        <v>2511</v>
      </c>
      <c r="C69" s="85">
        <v>46143</v>
      </c>
      <c r="D69" s="85">
        <v>46145</v>
      </c>
      <c r="E69" s="85">
        <v>46055</v>
      </c>
      <c r="F69" t="s">
        <v>1758</v>
      </c>
      <c r="G69" t="s">
        <v>48</v>
      </c>
      <c r="H69" s="86" t="s">
        <v>2224</v>
      </c>
      <c r="I69" s="70" t="s">
        <v>1827</v>
      </c>
      <c r="J69" s="174"/>
      <c r="K69">
        <v>1</v>
      </c>
      <c r="L69">
        <v>1</v>
      </c>
      <c r="N69" s="171"/>
      <c r="O69" s="70"/>
      <c r="P69" s="70" t="s">
        <v>1818</v>
      </c>
      <c r="Q69" s="70" t="s">
        <v>487</v>
      </c>
      <c r="R69" s="163">
        <v>1700</v>
      </c>
      <c r="S69" s="70" t="s">
        <v>487</v>
      </c>
    </row>
    <row r="70" spans="1:20" x14ac:dyDescent="0.35">
      <c r="A70" s="70">
        <v>69</v>
      </c>
      <c r="B70" t="s">
        <v>2512</v>
      </c>
      <c r="C70" s="85">
        <v>46212</v>
      </c>
      <c r="D70" s="85">
        <v>46215</v>
      </c>
      <c r="E70" s="85">
        <v>46055</v>
      </c>
      <c r="F70" t="s">
        <v>1758</v>
      </c>
      <c r="G70" t="s">
        <v>48</v>
      </c>
      <c r="H70" s="86"/>
      <c r="I70" s="70"/>
      <c r="J70" s="174"/>
      <c r="K70">
        <v>1</v>
      </c>
      <c r="L70">
        <v>2</v>
      </c>
      <c r="N70" s="171"/>
      <c r="O70" s="70"/>
      <c r="P70" s="70"/>
      <c r="Q70" s="70" t="s">
        <v>487</v>
      </c>
      <c r="R70" s="163">
        <v>3225</v>
      </c>
      <c r="S70" s="70" t="s">
        <v>487</v>
      </c>
    </row>
    <row r="71" spans="1:20" x14ac:dyDescent="0.35">
      <c r="A71" s="70">
        <v>70</v>
      </c>
      <c r="B71" t="s">
        <v>888</v>
      </c>
      <c r="C71" s="85">
        <v>46188</v>
      </c>
      <c r="D71" s="85">
        <v>46193</v>
      </c>
      <c r="E71" s="85">
        <v>46056</v>
      </c>
      <c r="F71" t="s">
        <v>1758</v>
      </c>
      <c r="G71" t="s">
        <v>9</v>
      </c>
      <c r="H71" s="86"/>
      <c r="I71" s="70"/>
      <c r="J71" s="174"/>
      <c r="K71">
        <v>1</v>
      </c>
      <c r="L71">
        <v>2</v>
      </c>
      <c r="M71" s="87" t="s">
        <v>1093</v>
      </c>
      <c r="N71" s="173">
        <v>4561793423</v>
      </c>
      <c r="O71" s="70"/>
      <c r="P71" s="70"/>
      <c r="Q71" s="70" t="s">
        <v>1818</v>
      </c>
      <c r="R71" s="163">
        <v>5175</v>
      </c>
      <c r="S71" s="70" t="s">
        <v>1818</v>
      </c>
      <c r="T71" t="s">
        <v>2613</v>
      </c>
    </row>
    <row r="72" spans="1:20" x14ac:dyDescent="0.35">
      <c r="A72" s="70">
        <v>71</v>
      </c>
      <c r="B72" t="s">
        <v>2513</v>
      </c>
      <c r="C72" s="85">
        <v>46260</v>
      </c>
      <c r="D72" s="85">
        <v>46264</v>
      </c>
      <c r="E72" s="85">
        <v>46057</v>
      </c>
      <c r="F72" t="s">
        <v>1760</v>
      </c>
      <c r="G72" t="s">
        <v>20</v>
      </c>
      <c r="H72" s="86"/>
      <c r="I72" s="70" t="s">
        <v>1827</v>
      </c>
      <c r="J72" s="174"/>
      <c r="N72" s="171"/>
      <c r="O72" s="70"/>
      <c r="P72" s="70"/>
      <c r="Q72" s="70"/>
      <c r="R72" s="128"/>
      <c r="S72" s="70"/>
    </row>
    <row r="73" spans="1:20" x14ac:dyDescent="0.35">
      <c r="A73" s="70">
        <v>72</v>
      </c>
      <c r="B73" t="s">
        <v>1919</v>
      </c>
      <c r="C73" s="85">
        <v>46145</v>
      </c>
      <c r="D73" s="85">
        <v>46152</v>
      </c>
      <c r="E73" s="85">
        <v>46060</v>
      </c>
      <c r="F73" t="s">
        <v>1758</v>
      </c>
      <c r="G73" t="s">
        <v>48</v>
      </c>
      <c r="H73" s="86" t="s">
        <v>2173</v>
      </c>
      <c r="I73" s="70"/>
      <c r="J73" s="174"/>
      <c r="K73">
        <v>1</v>
      </c>
      <c r="L73">
        <v>2</v>
      </c>
      <c r="M73" s="178" t="s">
        <v>1920</v>
      </c>
      <c r="N73" s="173">
        <v>4527139833</v>
      </c>
      <c r="O73" s="70"/>
      <c r="P73" s="70"/>
      <c r="Q73" s="70" t="s">
        <v>1818</v>
      </c>
      <c r="R73" s="163">
        <v>8050</v>
      </c>
      <c r="S73" s="70" t="s">
        <v>1818</v>
      </c>
      <c r="T73" t="s">
        <v>2614</v>
      </c>
    </row>
    <row r="74" spans="1:20" x14ac:dyDescent="0.35">
      <c r="A74" s="70">
        <v>73</v>
      </c>
      <c r="B74" t="s">
        <v>2514</v>
      </c>
      <c r="C74" s="85">
        <v>46143</v>
      </c>
      <c r="D74" s="85">
        <v>46145</v>
      </c>
      <c r="E74" s="85">
        <v>46061</v>
      </c>
      <c r="F74" t="s">
        <v>1758</v>
      </c>
      <c r="G74" t="s">
        <v>20</v>
      </c>
      <c r="H74" s="86"/>
      <c r="I74" s="70"/>
      <c r="J74" s="174"/>
      <c r="N74" s="171"/>
      <c r="O74" s="70"/>
      <c r="P74" s="70"/>
      <c r="Q74" s="70"/>
      <c r="R74" s="128"/>
      <c r="S74" s="70"/>
    </row>
    <row r="75" spans="1:20" x14ac:dyDescent="0.35">
      <c r="A75" s="70">
        <v>74</v>
      </c>
      <c r="B75" t="s">
        <v>697</v>
      </c>
      <c r="C75" s="85">
        <v>46236</v>
      </c>
      <c r="D75" s="85">
        <v>46240</v>
      </c>
      <c r="E75" s="85">
        <v>46063</v>
      </c>
      <c r="F75" t="s">
        <v>1758</v>
      </c>
      <c r="G75" t="s">
        <v>9</v>
      </c>
      <c r="H75" s="86"/>
      <c r="I75" s="70"/>
      <c r="J75" s="174">
        <v>0.1</v>
      </c>
      <c r="K75">
        <v>2</v>
      </c>
      <c r="L75">
        <v>3</v>
      </c>
      <c r="M75" s="87" t="s">
        <v>1144</v>
      </c>
      <c r="N75" s="171"/>
      <c r="O75" s="70"/>
      <c r="P75" s="70"/>
      <c r="Q75" s="70" t="s">
        <v>1818</v>
      </c>
      <c r="R75" s="163">
        <v>8460</v>
      </c>
      <c r="S75" s="70" t="s">
        <v>1818</v>
      </c>
      <c r="T75" t="s">
        <v>2615</v>
      </c>
    </row>
    <row r="76" spans="1:20" x14ac:dyDescent="0.35">
      <c r="A76" s="70">
        <v>75</v>
      </c>
      <c r="B76" t="s">
        <v>2515</v>
      </c>
      <c r="C76" s="85">
        <v>46276</v>
      </c>
      <c r="D76" s="85">
        <v>46279</v>
      </c>
      <c r="E76" s="85">
        <v>46067</v>
      </c>
      <c r="F76" t="s">
        <v>1758</v>
      </c>
      <c r="G76" t="s">
        <v>20</v>
      </c>
      <c r="H76" s="86"/>
      <c r="I76" s="70"/>
      <c r="J76" s="174"/>
      <c r="N76" s="171"/>
      <c r="O76" s="70"/>
      <c r="P76" s="70"/>
      <c r="Q76" s="70"/>
      <c r="R76" s="163"/>
      <c r="S76" s="70"/>
    </row>
    <row r="77" spans="1:20" x14ac:dyDescent="0.35">
      <c r="A77" s="70">
        <v>76</v>
      </c>
      <c r="B77" t="s">
        <v>2516</v>
      </c>
      <c r="C77" s="85">
        <v>46202</v>
      </c>
      <c r="D77" s="85">
        <v>46206</v>
      </c>
      <c r="E77" s="85">
        <v>46068</v>
      </c>
      <c r="F77" t="s">
        <v>1758</v>
      </c>
      <c r="G77" t="s">
        <v>48</v>
      </c>
      <c r="H77" s="86"/>
      <c r="I77" s="70" t="s">
        <v>1827</v>
      </c>
      <c r="J77" s="174"/>
      <c r="K77">
        <v>1</v>
      </c>
      <c r="L77">
        <v>2</v>
      </c>
      <c r="N77" s="171"/>
      <c r="O77" s="70"/>
      <c r="P77" s="70"/>
      <c r="Q77" s="70" t="s">
        <v>1818</v>
      </c>
      <c r="R77" s="163">
        <v>5100</v>
      </c>
      <c r="S77" s="70" t="s">
        <v>487</v>
      </c>
    </row>
    <row r="78" spans="1:20" x14ac:dyDescent="0.35">
      <c r="A78" s="70">
        <v>77</v>
      </c>
      <c r="B78" t="s">
        <v>1898</v>
      </c>
      <c r="C78" s="85">
        <v>46200</v>
      </c>
      <c r="D78" s="85">
        <v>46207</v>
      </c>
      <c r="E78" s="85">
        <v>46069</v>
      </c>
      <c r="F78" t="s">
        <v>1758</v>
      </c>
      <c r="G78" t="s">
        <v>9</v>
      </c>
      <c r="H78" s="86"/>
      <c r="I78" s="70"/>
      <c r="J78" s="174"/>
      <c r="K78">
        <v>1</v>
      </c>
      <c r="L78">
        <v>2</v>
      </c>
      <c r="M78" s="178" t="s">
        <v>1899</v>
      </c>
      <c r="N78" s="173">
        <v>4525240507</v>
      </c>
      <c r="O78" s="70"/>
      <c r="P78" s="70"/>
      <c r="Q78" s="70" t="s">
        <v>1818</v>
      </c>
      <c r="R78" s="180">
        <v>8032.5</v>
      </c>
      <c r="S78" s="70" t="s">
        <v>1818</v>
      </c>
      <c r="T78" t="s">
        <v>2616</v>
      </c>
    </row>
    <row r="79" spans="1:20" x14ac:dyDescent="0.35">
      <c r="A79" s="70">
        <v>78</v>
      </c>
      <c r="B79" t="s">
        <v>2517</v>
      </c>
      <c r="C79" s="85">
        <v>46260</v>
      </c>
      <c r="D79" s="85">
        <v>46268</v>
      </c>
      <c r="E79" s="85">
        <v>46072</v>
      </c>
      <c r="F79" t="s">
        <v>1760</v>
      </c>
      <c r="G79" t="s">
        <v>48</v>
      </c>
      <c r="H79" s="86"/>
      <c r="I79" s="70" t="s">
        <v>2559</v>
      </c>
      <c r="J79" s="174"/>
      <c r="K79">
        <v>1</v>
      </c>
      <c r="L79">
        <v>2</v>
      </c>
      <c r="N79" s="171"/>
      <c r="O79" s="70"/>
      <c r="P79" s="70"/>
      <c r="Q79" s="70" t="s">
        <v>1818</v>
      </c>
      <c r="R79" s="128">
        <v>9200</v>
      </c>
      <c r="S79" s="70" t="s">
        <v>487</v>
      </c>
    </row>
    <row r="80" spans="1:20" x14ac:dyDescent="0.35">
      <c r="A80" s="70">
        <v>79</v>
      </c>
      <c r="B80" t="s">
        <v>418</v>
      </c>
      <c r="C80" s="85">
        <v>46173</v>
      </c>
      <c r="D80" s="85">
        <v>46178</v>
      </c>
      <c r="E80" s="85">
        <v>46073</v>
      </c>
      <c r="F80" t="s">
        <v>1758</v>
      </c>
      <c r="G80" t="s">
        <v>9</v>
      </c>
      <c r="H80" s="86"/>
      <c r="I80" s="70"/>
      <c r="J80" s="174">
        <v>0.1</v>
      </c>
      <c r="K80">
        <v>1</v>
      </c>
      <c r="L80">
        <v>2</v>
      </c>
      <c r="M80" s="87" t="s">
        <v>1489</v>
      </c>
      <c r="N80" s="173">
        <v>4520646004</v>
      </c>
      <c r="O80" s="70"/>
      <c r="P80" s="70"/>
      <c r="Q80" s="70" t="s">
        <v>1818</v>
      </c>
      <c r="R80" s="163">
        <v>5175</v>
      </c>
      <c r="S80" s="70" t="s">
        <v>1826</v>
      </c>
      <c r="T80" t="s">
        <v>2617</v>
      </c>
    </row>
    <row r="81" spans="1:20" x14ac:dyDescent="0.35">
      <c r="A81" s="70">
        <v>80</v>
      </c>
      <c r="B81" t="s">
        <v>943</v>
      </c>
      <c r="C81" s="85">
        <v>46149</v>
      </c>
      <c r="D81" s="85">
        <v>46152</v>
      </c>
      <c r="E81" s="85">
        <v>46074</v>
      </c>
      <c r="F81" t="s">
        <v>1758</v>
      </c>
      <c r="G81" t="s">
        <v>9</v>
      </c>
      <c r="H81" s="86"/>
      <c r="I81" s="70" t="s">
        <v>1797</v>
      </c>
      <c r="J81" s="174">
        <v>0.1</v>
      </c>
      <c r="K81">
        <v>2</v>
      </c>
      <c r="L81">
        <v>4</v>
      </c>
      <c r="M81" s="87" t="s">
        <v>2618</v>
      </c>
      <c r="N81" s="173">
        <v>4520143818</v>
      </c>
      <c r="O81" s="70"/>
      <c r="P81" s="70"/>
      <c r="Q81" s="70" t="s">
        <v>1818</v>
      </c>
      <c r="R81" s="128">
        <v>10350</v>
      </c>
      <c r="S81" s="70" t="s">
        <v>1818</v>
      </c>
      <c r="T81" t="s">
        <v>2619</v>
      </c>
    </row>
    <row r="82" spans="1:20" x14ac:dyDescent="0.35">
      <c r="A82" s="70">
        <v>81</v>
      </c>
      <c r="B82" t="s">
        <v>2518</v>
      </c>
      <c r="C82" s="85">
        <v>46218</v>
      </c>
      <c r="D82" s="85">
        <v>46221</v>
      </c>
      <c r="E82" s="85">
        <v>46074</v>
      </c>
      <c r="F82" t="s">
        <v>1758</v>
      </c>
      <c r="G82" t="s">
        <v>48</v>
      </c>
      <c r="H82" s="86"/>
      <c r="I82" s="70"/>
      <c r="J82" s="174"/>
      <c r="K82">
        <v>1</v>
      </c>
      <c r="L82">
        <v>2</v>
      </c>
      <c r="N82" s="171"/>
      <c r="O82" s="70"/>
      <c r="P82" s="70"/>
      <c r="Q82" s="70" t="s">
        <v>1818</v>
      </c>
      <c r="R82" s="128">
        <v>3825</v>
      </c>
      <c r="S82" s="70" t="s">
        <v>487</v>
      </c>
    </row>
    <row r="83" spans="1:20" x14ac:dyDescent="0.35">
      <c r="A83" s="70">
        <v>82</v>
      </c>
      <c r="B83" s="158" t="s">
        <v>2519</v>
      </c>
      <c r="C83" s="85">
        <v>46143</v>
      </c>
      <c r="D83" s="85">
        <v>46145</v>
      </c>
      <c r="E83" s="85">
        <v>46075</v>
      </c>
      <c r="F83" t="s">
        <v>1758</v>
      </c>
      <c r="G83" t="s">
        <v>20</v>
      </c>
      <c r="H83" s="86"/>
      <c r="I83" s="70"/>
      <c r="J83" s="174"/>
      <c r="N83" s="171"/>
      <c r="O83" s="70"/>
      <c r="P83" s="70"/>
      <c r="Q83" s="70"/>
      <c r="R83" s="163"/>
      <c r="S83" s="70"/>
    </row>
    <row r="84" spans="1:20" x14ac:dyDescent="0.35">
      <c r="A84" s="70">
        <v>83</v>
      </c>
      <c r="B84" s="159" t="s">
        <v>2520</v>
      </c>
      <c r="C84" s="85">
        <v>46187</v>
      </c>
      <c r="D84" s="85">
        <v>46191</v>
      </c>
      <c r="E84" s="85">
        <v>46077</v>
      </c>
      <c r="F84" t="s">
        <v>1758</v>
      </c>
      <c r="G84" t="s">
        <v>48</v>
      </c>
      <c r="H84" s="86"/>
      <c r="I84" s="70"/>
      <c r="J84" s="174"/>
      <c r="K84">
        <v>1</v>
      </c>
      <c r="L84">
        <v>2</v>
      </c>
      <c r="N84" s="171"/>
      <c r="O84" s="70"/>
      <c r="P84" s="70"/>
      <c r="Q84" s="70" t="s">
        <v>1818</v>
      </c>
      <c r="R84" s="128">
        <v>4600</v>
      </c>
      <c r="S84" s="70" t="s">
        <v>487</v>
      </c>
    </row>
    <row r="85" spans="1:20" x14ac:dyDescent="0.35">
      <c r="A85" s="70">
        <v>84</v>
      </c>
      <c r="B85" s="158" t="s">
        <v>798</v>
      </c>
      <c r="C85" s="85">
        <v>46212</v>
      </c>
      <c r="D85" s="85">
        <v>46216</v>
      </c>
      <c r="E85" s="85">
        <v>46079</v>
      </c>
      <c r="F85" t="s">
        <v>1758</v>
      </c>
      <c r="G85" t="s">
        <v>9</v>
      </c>
      <c r="H85" s="86"/>
      <c r="I85" s="70"/>
      <c r="J85" s="174">
        <v>0.1</v>
      </c>
      <c r="K85">
        <v>1</v>
      </c>
      <c r="L85">
        <v>2</v>
      </c>
      <c r="M85" s="178" t="s">
        <v>1147</v>
      </c>
      <c r="N85" s="173">
        <v>4526251564</v>
      </c>
      <c r="O85" s="70" t="s">
        <v>1149</v>
      </c>
      <c r="P85" s="70"/>
      <c r="Q85" s="70" t="s">
        <v>487</v>
      </c>
      <c r="R85" s="163">
        <v>3870</v>
      </c>
      <c r="S85" s="70"/>
    </row>
    <row r="86" spans="1:20" x14ac:dyDescent="0.35">
      <c r="A86" s="70">
        <v>85</v>
      </c>
      <c r="B86" t="s">
        <v>2521</v>
      </c>
      <c r="C86" s="85">
        <v>46143</v>
      </c>
      <c r="D86" s="85">
        <v>46145</v>
      </c>
      <c r="E86" s="85">
        <v>46081</v>
      </c>
      <c r="F86" t="s">
        <v>1758</v>
      </c>
      <c r="G86" t="s">
        <v>48</v>
      </c>
      <c r="H86" s="86"/>
      <c r="I86" s="70"/>
      <c r="J86" s="174"/>
      <c r="K86">
        <v>1</v>
      </c>
      <c r="L86">
        <v>1</v>
      </c>
      <c r="N86" s="171"/>
      <c r="O86" s="70"/>
      <c r="P86" s="70"/>
      <c r="Q86" s="70" t="s">
        <v>487</v>
      </c>
      <c r="R86" s="128">
        <v>1700</v>
      </c>
      <c r="S86" s="70" t="s">
        <v>487</v>
      </c>
    </row>
    <row r="87" spans="1:20" x14ac:dyDescent="0.35">
      <c r="A87" s="70">
        <v>86</v>
      </c>
      <c r="B87" t="s">
        <v>2522</v>
      </c>
      <c r="C87" s="85">
        <v>46188</v>
      </c>
      <c r="D87" s="85">
        <v>46195</v>
      </c>
      <c r="E87" s="85">
        <v>46081</v>
      </c>
      <c r="F87" t="s">
        <v>1760</v>
      </c>
      <c r="G87" t="s">
        <v>9</v>
      </c>
      <c r="H87" s="86"/>
      <c r="I87" s="70"/>
      <c r="J87" s="174">
        <v>0.1</v>
      </c>
      <c r="K87">
        <v>1</v>
      </c>
      <c r="L87">
        <v>2</v>
      </c>
      <c r="M87" s="87" t="s">
        <v>2620</v>
      </c>
      <c r="N87" s="171"/>
      <c r="O87" s="70" t="s">
        <v>2621</v>
      </c>
      <c r="P87" s="70"/>
      <c r="Q87" s="70" t="s">
        <v>1818</v>
      </c>
      <c r="R87" s="128">
        <v>7245</v>
      </c>
      <c r="S87" s="70" t="s">
        <v>1818</v>
      </c>
      <c r="T87">
        <v>20.22</v>
      </c>
    </row>
    <row r="88" spans="1:20" x14ac:dyDescent="0.35">
      <c r="A88" s="70">
        <v>87</v>
      </c>
      <c r="B88" t="s">
        <v>2523</v>
      </c>
      <c r="C88" s="85">
        <v>46199</v>
      </c>
      <c r="D88" s="85">
        <v>46202</v>
      </c>
      <c r="E88" s="85">
        <v>46083</v>
      </c>
      <c r="F88" t="s">
        <v>1760</v>
      </c>
      <c r="G88" t="s">
        <v>48</v>
      </c>
      <c r="H88" s="86"/>
      <c r="I88" s="70"/>
      <c r="J88" s="174"/>
      <c r="K88">
        <v>1</v>
      </c>
      <c r="L88">
        <v>2</v>
      </c>
      <c r="N88" s="171"/>
      <c r="O88" s="70"/>
      <c r="P88" s="70"/>
      <c r="Q88" s="70" t="s">
        <v>487</v>
      </c>
      <c r="R88" s="128">
        <v>2975</v>
      </c>
      <c r="S88" s="70" t="s">
        <v>487</v>
      </c>
    </row>
    <row r="89" spans="1:20" x14ac:dyDescent="0.35">
      <c r="A89" s="70">
        <v>88</v>
      </c>
      <c r="B89" t="s">
        <v>2524</v>
      </c>
      <c r="C89" s="85">
        <v>46188</v>
      </c>
      <c r="D89" s="85">
        <v>46191</v>
      </c>
      <c r="E89" s="85">
        <v>46089</v>
      </c>
      <c r="F89" t="s">
        <v>1760</v>
      </c>
      <c r="G89" t="s">
        <v>20</v>
      </c>
      <c r="H89" s="86"/>
      <c r="I89" s="70"/>
      <c r="J89" s="174"/>
      <c r="N89" s="171"/>
      <c r="O89" s="70"/>
      <c r="P89" s="70"/>
      <c r="Q89" s="70"/>
      <c r="R89" s="128"/>
      <c r="S89" s="70"/>
    </row>
    <row r="90" spans="1:20" x14ac:dyDescent="0.35">
      <c r="A90" s="70">
        <v>89</v>
      </c>
      <c r="B90" t="s">
        <v>2525</v>
      </c>
      <c r="C90" s="85">
        <v>46276</v>
      </c>
      <c r="D90" s="85">
        <v>46278</v>
      </c>
      <c r="E90" s="85">
        <v>46091</v>
      </c>
      <c r="F90" t="s">
        <v>1758</v>
      </c>
      <c r="G90" t="s">
        <v>9</v>
      </c>
      <c r="I90" t="s">
        <v>1827</v>
      </c>
      <c r="J90" s="174">
        <v>0.05</v>
      </c>
      <c r="K90">
        <v>2</v>
      </c>
      <c r="L90">
        <v>3</v>
      </c>
      <c r="M90" s="87" t="s">
        <v>2622</v>
      </c>
      <c r="N90">
        <v>4540528447</v>
      </c>
      <c r="P90" s="70" t="s">
        <v>2623</v>
      </c>
      <c r="Q90" s="70" t="s">
        <v>1818</v>
      </c>
      <c r="R90" s="128">
        <f>2185+1805</f>
        <v>3990</v>
      </c>
      <c r="S90" s="70" t="s">
        <v>487</v>
      </c>
      <c r="T90" t="s">
        <v>2624</v>
      </c>
    </row>
    <row r="91" spans="1:20" x14ac:dyDescent="0.35">
      <c r="A91" s="70">
        <v>90</v>
      </c>
      <c r="B91" t="s">
        <v>2526</v>
      </c>
      <c r="C91" s="85">
        <v>46156</v>
      </c>
      <c r="D91" s="85">
        <v>46159</v>
      </c>
      <c r="E91" s="85">
        <v>46091</v>
      </c>
      <c r="F91" t="s">
        <v>1759</v>
      </c>
      <c r="G91" t="s">
        <v>48</v>
      </c>
      <c r="H91" t="s">
        <v>2591</v>
      </c>
      <c r="I91" t="s">
        <v>2559</v>
      </c>
      <c r="J91" s="174">
        <v>0</v>
      </c>
      <c r="K91">
        <v>1</v>
      </c>
      <c r="L91">
        <v>2</v>
      </c>
      <c r="P91" s="70" t="s">
        <v>487</v>
      </c>
      <c r="Q91" s="70" t="s">
        <v>487</v>
      </c>
      <c r="R91" s="128">
        <v>2850</v>
      </c>
      <c r="S91" s="70" t="s">
        <v>487</v>
      </c>
    </row>
    <row r="92" spans="1:20" x14ac:dyDescent="0.35">
      <c r="A92" s="70">
        <v>91</v>
      </c>
      <c r="B92" t="s">
        <v>2527</v>
      </c>
      <c r="C92" s="85">
        <v>46157</v>
      </c>
      <c r="D92" s="85">
        <v>46159</v>
      </c>
      <c r="E92" s="85">
        <v>46095</v>
      </c>
      <c r="F92" t="s">
        <v>1758</v>
      </c>
      <c r="G92" t="s">
        <v>9</v>
      </c>
      <c r="J92" s="174">
        <v>0.05</v>
      </c>
      <c r="K92">
        <v>1</v>
      </c>
      <c r="L92">
        <v>2</v>
      </c>
      <c r="P92" s="70" t="s">
        <v>487</v>
      </c>
      <c r="Q92" s="70" t="s">
        <v>1818</v>
      </c>
      <c r="R92" s="88">
        <v>2185</v>
      </c>
      <c r="S92" s="70" t="s">
        <v>487</v>
      </c>
    </row>
    <row r="93" spans="1:20" x14ac:dyDescent="0.35">
      <c r="A93" s="70">
        <v>92</v>
      </c>
      <c r="B93" t="s">
        <v>725</v>
      </c>
      <c r="C93" s="85">
        <v>46241</v>
      </c>
      <c r="D93" s="85">
        <v>46246</v>
      </c>
      <c r="E93" s="85">
        <v>46095</v>
      </c>
      <c r="F93" t="s">
        <v>1758</v>
      </c>
      <c r="G93" t="s">
        <v>9</v>
      </c>
      <c r="H93" t="s">
        <v>2324</v>
      </c>
      <c r="I93" t="s">
        <v>1827</v>
      </c>
      <c r="J93" s="174">
        <v>0.1</v>
      </c>
      <c r="K93">
        <v>1</v>
      </c>
      <c r="L93">
        <v>2</v>
      </c>
      <c r="M93" s="87" t="s">
        <v>1957</v>
      </c>
      <c r="O93" t="s">
        <v>1109</v>
      </c>
      <c r="P93" s="70" t="s">
        <v>487</v>
      </c>
      <c r="Q93" s="70" t="s">
        <v>487</v>
      </c>
      <c r="R93" s="88">
        <v>4837.5</v>
      </c>
      <c r="S93" s="70" t="s">
        <v>1826</v>
      </c>
      <c r="T93" t="s">
        <v>2625</v>
      </c>
    </row>
    <row r="94" spans="1:20" x14ac:dyDescent="0.35">
      <c r="A94" s="70">
        <v>93</v>
      </c>
      <c r="B94" t="s">
        <v>2528</v>
      </c>
      <c r="C94" s="85">
        <v>46255</v>
      </c>
      <c r="D94" s="85">
        <v>46258</v>
      </c>
      <c r="E94" s="85">
        <v>46095</v>
      </c>
      <c r="F94" t="s">
        <v>1760</v>
      </c>
      <c r="G94" t="s">
        <v>48</v>
      </c>
      <c r="H94" t="s">
        <v>2602</v>
      </c>
      <c r="I94" t="s">
        <v>1827</v>
      </c>
      <c r="J94" s="174">
        <v>0</v>
      </c>
      <c r="K94">
        <v>1</v>
      </c>
      <c r="L94">
        <v>2</v>
      </c>
      <c r="P94" s="70" t="s">
        <v>487</v>
      </c>
      <c r="Q94" s="70" t="s">
        <v>487</v>
      </c>
      <c r="R94" s="88">
        <v>2850</v>
      </c>
      <c r="S94" s="70" t="s">
        <v>487</v>
      </c>
    </row>
    <row r="95" spans="1:20" x14ac:dyDescent="0.35">
      <c r="A95" s="70">
        <v>94</v>
      </c>
      <c r="B95" t="s">
        <v>2529</v>
      </c>
      <c r="C95" s="85">
        <v>46234</v>
      </c>
      <c r="D95" s="85">
        <v>46237</v>
      </c>
      <c r="E95" s="85">
        <v>46098</v>
      </c>
      <c r="F95" t="s">
        <v>1760</v>
      </c>
      <c r="G95" t="s">
        <v>48</v>
      </c>
      <c r="J95" s="174">
        <v>0</v>
      </c>
      <c r="K95">
        <v>1</v>
      </c>
      <c r="L95">
        <v>1</v>
      </c>
      <c r="P95" s="70" t="s">
        <v>1818</v>
      </c>
      <c r="Q95" s="70" t="s">
        <v>487</v>
      </c>
      <c r="R95" s="128">
        <v>2925</v>
      </c>
      <c r="S95" s="70" t="s">
        <v>487</v>
      </c>
    </row>
    <row r="96" spans="1:20" x14ac:dyDescent="0.35">
      <c r="A96" s="70">
        <v>95</v>
      </c>
      <c r="B96" t="s">
        <v>2530</v>
      </c>
      <c r="C96" s="85">
        <v>46156</v>
      </c>
      <c r="D96" s="85">
        <v>46159</v>
      </c>
      <c r="E96" s="85">
        <v>46098</v>
      </c>
      <c r="F96" t="s">
        <v>1759</v>
      </c>
      <c r="G96" t="s">
        <v>48</v>
      </c>
      <c r="J96" s="174">
        <v>0</v>
      </c>
      <c r="K96">
        <v>1</v>
      </c>
      <c r="L96">
        <v>2</v>
      </c>
      <c r="P96" s="70" t="s">
        <v>487</v>
      </c>
      <c r="Q96" s="70" t="s">
        <v>1818</v>
      </c>
      <c r="R96" s="128">
        <v>3450</v>
      </c>
      <c r="S96" s="70" t="s">
        <v>487</v>
      </c>
    </row>
    <row r="97" spans="1:20" x14ac:dyDescent="0.35">
      <c r="A97" s="70">
        <v>96</v>
      </c>
      <c r="B97" t="s">
        <v>2531</v>
      </c>
      <c r="C97" s="85">
        <v>46159</v>
      </c>
      <c r="D97" s="85">
        <v>46163</v>
      </c>
      <c r="E97" s="85">
        <v>46099</v>
      </c>
      <c r="F97" t="s">
        <v>1760</v>
      </c>
      <c r="G97" t="s">
        <v>48</v>
      </c>
      <c r="H97" t="s">
        <v>2626</v>
      </c>
      <c r="I97" t="s">
        <v>2559</v>
      </c>
      <c r="J97" s="174">
        <v>0</v>
      </c>
      <c r="K97">
        <v>1</v>
      </c>
      <c r="L97">
        <v>2</v>
      </c>
      <c r="P97" s="70" t="s">
        <v>487</v>
      </c>
      <c r="Q97" s="70" t="s">
        <v>1818</v>
      </c>
      <c r="R97">
        <v>4600</v>
      </c>
      <c r="S97" s="70" t="s">
        <v>487</v>
      </c>
    </row>
    <row r="98" spans="1:20" x14ac:dyDescent="0.35">
      <c r="A98" s="70">
        <v>97</v>
      </c>
      <c r="B98" t="s">
        <v>2532</v>
      </c>
      <c r="C98" s="85">
        <v>46156</v>
      </c>
      <c r="D98" s="85">
        <v>46159</v>
      </c>
      <c r="E98" s="85">
        <v>46102</v>
      </c>
      <c r="F98" t="s">
        <v>1758</v>
      </c>
      <c r="G98" t="s">
        <v>48</v>
      </c>
      <c r="J98" s="174">
        <v>0</v>
      </c>
      <c r="K98">
        <v>1</v>
      </c>
      <c r="L98">
        <v>2</v>
      </c>
      <c r="P98" s="70" t="s">
        <v>487</v>
      </c>
      <c r="Q98" s="70" t="s">
        <v>487</v>
      </c>
      <c r="R98" s="128">
        <v>2850</v>
      </c>
      <c r="S98" s="70" t="s">
        <v>487</v>
      </c>
    </row>
    <row r="99" spans="1:20" x14ac:dyDescent="0.35">
      <c r="A99" s="70">
        <v>98</v>
      </c>
      <c r="B99" t="s">
        <v>2533</v>
      </c>
      <c r="C99" s="85">
        <v>46207</v>
      </c>
      <c r="D99" s="85">
        <v>46210</v>
      </c>
      <c r="E99" s="85">
        <v>46103</v>
      </c>
      <c r="F99" t="s">
        <v>1758</v>
      </c>
      <c r="G99" t="s">
        <v>20</v>
      </c>
      <c r="J99" s="174">
        <v>0</v>
      </c>
      <c r="P99" s="70"/>
      <c r="Q99" s="70"/>
      <c r="R99" s="128"/>
      <c r="S99" s="70"/>
    </row>
    <row r="100" spans="1:20" x14ac:dyDescent="0.35">
      <c r="A100" s="70">
        <v>99</v>
      </c>
      <c r="B100" t="s">
        <v>1138</v>
      </c>
      <c r="C100" s="85">
        <v>46171</v>
      </c>
      <c r="D100" s="85">
        <v>46173</v>
      </c>
      <c r="E100" s="85">
        <v>46104</v>
      </c>
      <c r="F100" t="s">
        <v>1758</v>
      </c>
      <c r="G100" t="s">
        <v>9</v>
      </c>
      <c r="J100" s="174">
        <v>0.1</v>
      </c>
      <c r="K100">
        <v>1</v>
      </c>
      <c r="L100">
        <v>2</v>
      </c>
      <c r="M100" s="87" t="s">
        <v>1136</v>
      </c>
      <c r="N100" t="s">
        <v>2137</v>
      </c>
      <c r="O100" t="s">
        <v>1925</v>
      </c>
      <c r="P100" s="70" t="s">
        <v>487</v>
      </c>
      <c r="Q100" s="70" t="s">
        <v>1818</v>
      </c>
      <c r="R100" s="128">
        <v>2070</v>
      </c>
      <c r="S100" s="70" t="s">
        <v>1818</v>
      </c>
      <c r="T100" t="s">
        <v>2627</v>
      </c>
    </row>
    <row r="101" spans="1:20" x14ac:dyDescent="0.35">
      <c r="A101" s="70">
        <v>100</v>
      </c>
      <c r="B101" t="s">
        <v>2534</v>
      </c>
      <c r="C101" s="85">
        <v>46279</v>
      </c>
      <c r="D101" s="85">
        <v>46281</v>
      </c>
      <c r="E101" s="85">
        <v>46104</v>
      </c>
      <c r="F101" t="s">
        <v>1758</v>
      </c>
      <c r="G101" t="s">
        <v>48</v>
      </c>
      <c r="J101" s="174">
        <v>0</v>
      </c>
      <c r="K101">
        <v>1</v>
      </c>
      <c r="L101">
        <v>2</v>
      </c>
      <c r="P101" s="70" t="s">
        <v>487</v>
      </c>
      <c r="Q101" s="70" t="s">
        <v>487</v>
      </c>
      <c r="R101" s="128">
        <v>1900</v>
      </c>
      <c r="S101" s="70" t="s">
        <v>487</v>
      </c>
    </row>
    <row r="102" spans="1:20" x14ac:dyDescent="0.35">
      <c r="A102" s="70">
        <v>101</v>
      </c>
      <c r="B102" t="s">
        <v>2535</v>
      </c>
      <c r="C102" s="85">
        <v>46279</v>
      </c>
      <c r="D102" s="85">
        <v>46281</v>
      </c>
      <c r="E102" s="85">
        <v>46104</v>
      </c>
      <c r="F102" t="s">
        <v>1758</v>
      </c>
      <c r="G102" t="s">
        <v>48</v>
      </c>
      <c r="I102" t="s">
        <v>1827</v>
      </c>
      <c r="J102" s="174">
        <v>0</v>
      </c>
      <c r="K102">
        <v>1</v>
      </c>
      <c r="L102">
        <v>1</v>
      </c>
      <c r="P102" s="70" t="s">
        <v>1818</v>
      </c>
      <c r="Q102" s="70" t="s">
        <v>487</v>
      </c>
      <c r="R102" s="128">
        <v>1700</v>
      </c>
      <c r="S102" s="70" t="s">
        <v>487</v>
      </c>
    </row>
    <row r="103" spans="1:20" x14ac:dyDescent="0.35">
      <c r="A103" s="70">
        <v>102</v>
      </c>
      <c r="B103" t="s">
        <v>2184</v>
      </c>
      <c r="C103" s="85">
        <v>46172</v>
      </c>
      <c r="D103" s="85">
        <v>46174</v>
      </c>
      <c r="E103" s="85">
        <v>46106</v>
      </c>
      <c r="F103" t="s">
        <v>1758</v>
      </c>
      <c r="G103" t="s">
        <v>20</v>
      </c>
      <c r="J103" s="174"/>
      <c r="P103" s="70"/>
      <c r="Q103" s="70"/>
      <c r="R103" s="128"/>
      <c r="S103" s="70"/>
    </row>
    <row r="104" spans="1:20" x14ac:dyDescent="0.35">
      <c r="A104" s="70">
        <v>103</v>
      </c>
      <c r="B104" t="s">
        <v>2536</v>
      </c>
      <c r="C104" s="85">
        <v>46277</v>
      </c>
      <c r="D104" s="85">
        <v>46284</v>
      </c>
      <c r="E104" s="85">
        <v>46107</v>
      </c>
      <c r="F104" t="s">
        <v>1758</v>
      </c>
      <c r="G104" t="s">
        <v>9</v>
      </c>
      <c r="I104" t="s">
        <v>1827</v>
      </c>
      <c r="J104" s="174">
        <v>0.1</v>
      </c>
      <c r="K104">
        <v>1</v>
      </c>
      <c r="L104">
        <v>2</v>
      </c>
      <c r="M104" s="87" t="s">
        <v>2628</v>
      </c>
      <c r="P104" s="70" t="s">
        <v>487</v>
      </c>
      <c r="Q104" s="70" t="s">
        <v>1818</v>
      </c>
      <c r="R104" s="128">
        <v>6210</v>
      </c>
      <c r="S104" s="70" t="s">
        <v>487</v>
      </c>
    </row>
    <row r="105" spans="1:20" x14ac:dyDescent="0.35">
      <c r="A105" s="70">
        <v>104</v>
      </c>
      <c r="B105" t="s">
        <v>2537</v>
      </c>
      <c r="C105" s="85">
        <v>46204</v>
      </c>
      <c r="D105" s="85">
        <v>46207</v>
      </c>
      <c r="E105" s="85">
        <v>46107</v>
      </c>
      <c r="F105" t="s">
        <v>1758</v>
      </c>
      <c r="G105" t="s">
        <v>48</v>
      </c>
      <c r="J105" s="174">
        <v>0</v>
      </c>
      <c r="K105">
        <v>1</v>
      </c>
      <c r="L105">
        <v>2</v>
      </c>
      <c r="P105" s="70" t="s">
        <v>487</v>
      </c>
      <c r="Q105" s="70" t="s">
        <v>487</v>
      </c>
      <c r="R105" s="128">
        <v>3225</v>
      </c>
      <c r="S105" s="70" t="s">
        <v>487</v>
      </c>
    </row>
    <row r="106" spans="1:20" x14ac:dyDescent="0.35">
      <c r="A106" s="70">
        <v>105</v>
      </c>
      <c r="B106" t="s">
        <v>2538</v>
      </c>
      <c r="C106" s="181">
        <v>46260</v>
      </c>
      <c r="D106" s="181">
        <v>46264</v>
      </c>
      <c r="E106" s="181">
        <v>46108</v>
      </c>
      <c r="F106" t="s">
        <v>1758</v>
      </c>
      <c r="G106" t="s">
        <v>48</v>
      </c>
      <c r="J106">
        <v>0</v>
      </c>
      <c r="K106">
        <v>1</v>
      </c>
      <c r="L106">
        <v>1</v>
      </c>
      <c r="P106" s="70" t="s">
        <v>1818</v>
      </c>
      <c r="Q106" s="70" t="s">
        <v>487</v>
      </c>
      <c r="R106" s="128">
        <v>3400</v>
      </c>
      <c r="S106" s="70" t="s">
        <v>487</v>
      </c>
    </row>
    <row r="107" spans="1:20" x14ac:dyDescent="0.35">
      <c r="A107" s="70">
        <v>106</v>
      </c>
      <c r="B107" t="s">
        <v>2539</v>
      </c>
      <c r="C107" s="181">
        <v>46207</v>
      </c>
      <c r="D107" s="181">
        <v>46210</v>
      </c>
      <c r="E107" s="181">
        <v>46109</v>
      </c>
      <c r="F107" t="s">
        <v>1758</v>
      </c>
      <c r="G107" t="s">
        <v>48</v>
      </c>
      <c r="J107">
        <v>0</v>
      </c>
      <c r="K107">
        <v>1</v>
      </c>
      <c r="L107">
        <v>2</v>
      </c>
      <c r="P107" s="70" t="s">
        <v>487</v>
      </c>
      <c r="Q107" s="70" t="s">
        <v>487</v>
      </c>
      <c r="R107" s="128">
        <v>3225</v>
      </c>
      <c r="S107" s="70" t="s">
        <v>487</v>
      </c>
    </row>
    <row r="108" spans="1:20" x14ac:dyDescent="0.35">
      <c r="A108" s="70">
        <v>107</v>
      </c>
      <c r="B108" t="s">
        <v>2540</v>
      </c>
      <c r="C108" s="181">
        <v>46160</v>
      </c>
      <c r="D108" s="181">
        <v>46164</v>
      </c>
      <c r="E108" s="181">
        <v>46109</v>
      </c>
      <c r="F108" t="s">
        <v>2629</v>
      </c>
      <c r="G108" t="s">
        <v>9</v>
      </c>
      <c r="J108" s="174">
        <v>0.05</v>
      </c>
      <c r="K108">
        <v>1</v>
      </c>
      <c r="L108">
        <v>2</v>
      </c>
      <c r="M108" t="s">
        <v>2630</v>
      </c>
      <c r="P108" s="70" t="s">
        <v>487</v>
      </c>
      <c r="Q108" s="70" t="s">
        <v>1818</v>
      </c>
      <c r="R108" s="128">
        <v>4370</v>
      </c>
      <c r="S108" s="70" t="s">
        <v>487</v>
      </c>
    </row>
    <row r="109" spans="1:20" x14ac:dyDescent="0.35">
      <c r="A109" s="70">
        <v>108</v>
      </c>
      <c r="B109" t="s">
        <v>2541</v>
      </c>
      <c r="C109" s="181">
        <v>46159</v>
      </c>
      <c r="D109" s="181">
        <v>46163</v>
      </c>
      <c r="E109" s="181">
        <v>46118</v>
      </c>
      <c r="F109" t="s">
        <v>1758</v>
      </c>
      <c r="G109" t="s">
        <v>9</v>
      </c>
      <c r="J109" s="182">
        <v>0.05</v>
      </c>
      <c r="K109">
        <v>1</v>
      </c>
      <c r="L109">
        <v>2</v>
      </c>
      <c r="M109" t="s">
        <v>2631</v>
      </c>
      <c r="O109" t="s">
        <v>415</v>
      </c>
      <c r="P109" s="70" t="s">
        <v>487</v>
      </c>
      <c r="Q109" s="70" t="s">
        <v>1818</v>
      </c>
      <c r="R109" s="128">
        <v>4370</v>
      </c>
      <c r="S109" s="70" t="s">
        <v>487</v>
      </c>
    </row>
    <row r="110" spans="1:20" x14ac:dyDescent="0.35">
      <c r="A110" s="70">
        <v>109</v>
      </c>
      <c r="B110" t="s">
        <v>2542</v>
      </c>
      <c r="C110" s="181">
        <v>46192</v>
      </c>
      <c r="D110" s="181">
        <v>46195</v>
      </c>
      <c r="E110" s="181">
        <v>46115</v>
      </c>
      <c r="F110" t="s">
        <v>1760</v>
      </c>
      <c r="G110" t="s">
        <v>48</v>
      </c>
      <c r="I110" t="s">
        <v>1827</v>
      </c>
      <c r="J110">
        <v>0</v>
      </c>
      <c r="K110">
        <v>1</v>
      </c>
      <c r="L110">
        <v>1</v>
      </c>
      <c r="P110" s="70" t="s">
        <v>1818</v>
      </c>
      <c r="Q110" s="70" t="s">
        <v>1818</v>
      </c>
      <c r="R110" s="128">
        <v>2850</v>
      </c>
      <c r="S110" s="70" t="s">
        <v>487</v>
      </c>
    </row>
    <row r="111" spans="1:20" x14ac:dyDescent="0.35">
      <c r="A111" s="70">
        <v>110</v>
      </c>
      <c r="B111" t="s">
        <v>2543</v>
      </c>
      <c r="C111" s="181">
        <v>46143</v>
      </c>
      <c r="D111" s="181">
        <v>46145</v>
      </c>
      <c r="E111" s="181">
        <v>46117</v>
      </c>
      <c r="F111" t="s">
        <v>1758</v>
      </c>
      <c r="G111" t="s">
        <v>48</v>
      </c>
      <c r="J111">
        <v>0</v>
      </c>
      <c r="K111">
        <v>1</v>
      </c>
      <c r="L111">
        <v>2</v>
      </c>
      <c r="P111" s="70" t="s">
        <v>487</v>
      </c>
      <c r="Q111" s="70" t="s">
        <v>487</v>
      </c>
      <c r="R111" s="128">
        <v>1900</v>
      </c>
      <c r="S111" s="70" t="s">
        <v>487</v>
      </c>
    </row>
    <row r="112" spans="1:20" x14ac:dyDescent="0.35">
      <c r="A112" s="70">
        <v>111</v>
      </c>
      <c r="B112" t="s">
        <v>2544</v>
      </c>
      <c r="C112" s="181">
        <v>46178</v>
      </c>
      <c r="D112" s="181">
        <v>46181</v>
      </c>
      <c r="E112" s="181">
        <v>46120</v>
      </c>
      <c r="F112" t="s">
        <v>1758</v>
      </c>
      <c r="G112" t="s">
        <v>20</v>
      </c>
      <c r="J112">
        <v>0</v>
      </c>
    </row>
    <row r="113" spans="1:20" x14ac:dyDescent="0.35">
      <c r="A113" s="70">
        <v>112</v>
      </c>
      <c r="B113" t="s">
        <v>2545</v>
      </c>
      <c r="C113" s="181">
        <v>46195</v>
      </c>
      <c r="D113" s="181">
        <v>46199</v>
      </c>
      <c r="E113" s="181">
        <v>46121</v>
      </c>
      <c r="F113" t="s">
        <v>1758</v>
      </c>
      <c r="G113" t="s">
        <v>48</v>
      </c>
      <c r="I113" t="s">
        <v>1865</v>
      </c>
      <c r="J113">
        <v>0</v>
      </c>
      <c r="K113">
        <v>1</v>
      </c>
      <c r="L113">
        <v>2</v>
      </c>
      <c r="P113" s="70" t="s">
        <v>487</v>
      </c>
      <c r="Q113" s="70" t="s">
        <v>1818</v>
      </c>
      <c r="R113" s="128">
        <v>4600</v>
      </c>
      <c r="S113" s="70" t="s">
        <v>487</v>
      </c>
    </row>
    <row r="114" spans="1:20" x14ac:dyDescent="0.35">
      <c r="A114" s="70">
        <v>113</v>
      </c>
      <c r="B114" t="s">
        <v>2546</v>
      </c>
      <c r="C114" s="181">
        <v>46269</v>
      </c>
      <c r="D114" s="181">
        <v>46271</v>
      </c>
      <c r="E114" s="181">
        <v>46122</v>
      </c>
      <c r="F114" t="s">
        <v>1758</v>
      </c>
      <c r="G114" t="s">
        <v>48</v>
      </c>
      <c r="J114">
        <v>0</v>
      </c>
      <c r="K114">
        <v>1</v>
      </c>
      <c r="L114">
        <v>1</v>
      </c>
      <c r="P114" s="70" t="s">
        <v>1818</v>
      </c>
      <c r="Q114" s="70" t="s">
        <v>487</v>
      </c>
      <c r="R114" s="128">
        <v>1700</v>
      </c>
      <c r="S114" s="70" t="s">
        <v>487</v>
      </c>
    </row>
    <row r="115" spans="1:20" x14ac:dyDescent="0.35">
      <c r="A115" s="70">
        <v>114</v>
      </c>
      <c r="B115" t="s">
        <v>159</v>
      </c>
      <c r="C115" s="181">
        <v>46243</v>
      </c>
      <c r="D115" s="181">
        <v>46246</v>
      </c>
      <c r="E115" s="181">
        <v>46125</v>
      </c>
      <c r="F115" t="s">
        <v>1758</v>
      </c>
      <c r="G115" t="s">
        <v>9</v>
      </c>
      <c r="J115" s="182">
        <v>0.1</v>
      </c>
      <c r="K115">
        <v>1</v>
      </c>
      <c r="L115">
        <v>2</v>
      </c>
      <c r="N115" t="s">
        <v>2021</v>
      </c>
      <c r="P115" s="70" t="s">
        <v>487</v>
      </c>
      <c r="Q115" s="70" t="s">
        <v>1818</v>
      </c>
      <c r="R115" s="128">
        <v>3442.5</v>
      </c>
      <c r="S115" s="70" t="s">
        <v>1818</v>
      </c>
      <c r="T115" t="s">
        <v>2632</v>
      </c>
    </row>
    <row r="116" spans="1:20" x14ac:dyDescent="0.35">
      <c r="A116" s="70">
        <v>115</v>
      </c>
      <c r="B116" t="s">
        <v>2547</v>
      </c>
      <c r="C116" s="181">
        <v>46233</v>
      </c>
      <c r="D116" s="181">
        <v>46236</v>
      </c>
      <c r="E116" s="181">
        <v>46125</v>
      </c>
      <c r="F116" t="s">
        <v>1758</v>
      </c>
      <c r="G116" t="s">
        <v>9</v>
      </c>
      <c r="J116" s="182">
        <v>0.1</v>
      </c>
      <c r="K116">
        <v>1</v>
      </c>
      <c r="L116">
        <v>2</v>
      </c>
      <c r="M116" t="s">
        <v>2633</v>
      </c>
      <c r="P116" s="70" t="s">
        <v>487</v>
      </c>
      <c r="Q116" s="70" t="s">
        <v>1818</v>
      </c>
      <c r="R116" s="128">
        <v>3442.5</v>
      </c>
      <c r="S116" s="70" t="s">
        <v>2634</v>
      </c>
    </row>
    <row r="117" spans="1:20" x14ac:dyDescent="0.35">
      <c r="A117" s="70">
        <v>116</v>
      </c>
      <c r="B117" t="s">
        <v>2548</v>
      </c>
      <c r="C117" s="85">
        <v>46177</v>
      </c>
      <c r="D117" s="85">
        <v>46180</v>
      </c>
      <c r="E117" s="85">
        <v>46126</v>
      </c>
      <c r="F117" t="s">
        <v>1758</v>
      </c>
      <c r="G117" t="s">
        <v>48</v>
      </c>
      <c r="H117" s="86"/>
      <c r="I117" s="70"/>
      <c r="J117" s="174"/>
      <c r="K117">
        <v>1</v>
      </c>
      <c r="L117">
        <v>2</v>
      </c>
      <c r="N117" s="171"/>
      <c r="O117" s="70"/>
      <c r="P117" s="70" t="s">
        <v>487</v>
      </c>
      <c r="Q117" s="70" t="s">
        <v>487</v>
      </c>
      <c r="R117" s="128">
        <v>2850</v>
      </c>
      <c r="S117" s="70" t="s">
        <v>487</v>
      </c>
    </row>
    <row r="118" spans="1:20" x14ac:dyDescent="0.35">
      <c r="A118" s="70">
        <v>117</v>
      </c>
      <c r="B118" t="s">
        <v>266</v>
      </c>
      <c r="C118" s="85">
        <v>46173</v>
      </c>
      <c r="D118" s="85">
        <v>46178</v>
      </c>
      <c r="E118" s="85">
        <v>46130</v>
      </c>
      <c r="F118" t="s">
        <v>1758</v>
      </c>
      <c r="G118" t="s">
        <v>48</v>
      </c>
      <c r="H118" s="86" t="s">
        <v>2635</v>
      </c>
      <c r="I118" s="70" t="s">
        <v>2559</v>
      </c>
      <c r="J118" s="174"/>
      <c r="K118">
        <v>1</v>
      </c>
      <c r="L118">
        <v>2</v>
      </c>
      <c r="N118" s="171"/>
      <c r="O118" s="70"/>
      <c r="P118" s="70" t="s">
        <v>487</v>
      </c>
      <c r="Q118" s="70" t="s">
        <v>1818</v>
      </c>
      <c r="R118" s="128">
        <v>5750</v>
      </c>
      <c r="S118" s="70" t="s">
        <v>1818</v>
      </c>
      <c r="T118">
        <v>2019</v>
      </c>
    </row>
    <row r="119" spans="1:20" x14ac:dyDescent="0.35">
      <c r="A119" s="70">
        <v>118</v>
      </c>
      <c r="B119" t="s">
        <v>2549</v>
      </c>
      <c r="C119" s="181">
        <v>46272</v>
      </c>
      <c r="D119" s="181">
        <v>46275</v>
      </c>
      <c r="E119" s="181">
        <v>46132</v>
      </c>
      <c r="F119" t="s">
        <v>1758</v>
      </c>
      <c r="G119" t="s">
        <v>48</v>
      </c>
      <c r="H119" t="s">
        <v>2224</v>
      </c>
      <c r="J119">
        <v>0</v>
      </c>
      <c r="K119">
        <v>1</v>
      </c>
      <c r="L119">
        <v>2</v>
      </c>
      <c r="P119" s="70" t="s">
        <v>487</v>
      </c>
      <c r="Q119" s="70" t="s">
        <v>487</v>
      </c>
      <c r="R119" s="128">
        <v>2850</v>
      </c>
      <c r="S119" s="70" t="s">
        <v>487</v>
      </c>
    </row>
    <row r="120" spans="1:20" x14ac:dyDescent="0.35">
      <c r="A120" s="70">
        <v>119</v>
      </c>
      <c r="B120" t="s">
        <v>2550</v>
      </c>
      <c r="C120" s="181">
        <v>46179</v>
      </c>
      <c r="D120" s="181">
        <v>46182</v>
      </c>
      <c r="E120" s="181">
        <v>46135</v>
      </c>
      <c r="F120" t="s">
        <v>2636</v>
      </c>
      <c r="G120" t="s">
        <v>48</v>
      </c>
      <c r="J120">
        <v>0</v>
      </c>
      <c r="K120">
        <v>1</v>
      </c>
      <c r="L120">
        <v>2</v>
      </c>
      <c r="P120" s="70" t="s">
        <v>487</v>
      </c>
      <c r="Q120" s="70" t="s">
        <v>1818</v>
      </c>
      <c r="R120" s="128">
        <v>3450</v>
      </c>
      <c r="S120" s="70" t="s">
        <v>487</v>
      </c>
    </row>
    <row r="121" spans="1:20" x14ac:dyDescent="0.35">
      <c r="A121" s="70">
        <v>120</v>
      </c>
      <c r="B121" t="s">
        <v>913</v>
      </c>
      <c r="C121" s="181">
        <v>46257</v>
      </c>
      <c r="D121" s="181">
        <v>46260</v>
      </c>
      <c r="E121" s="181">
        <v>46137</v>
      </c>
      <c r="F121" t="s">
        <v>1758</v>
      </c>
      <c r="G121" t="s">
        <v>9</v>
      </c>
      <c r="I121" t="s">
        <v>2609</v>
      </c>
      <c r="J121" s="182">
        <v>0.1</v>
      </c>
      <c r="K121">
        <v>1</v>
      </c>
      <c r="L121">
        <v>2</v>
      </c>
      <c r="M121" t="s">
        <v>912</v>
      </c>
      <c r="N121" t="s">
        <v>2125</v>
      </c>
      <c r="O121" t="s">
        <v>2637</v>
      </c>
      <c r="P121" s="70" t="s">
        <v>487</v>
      </c>
      <c r="Q121" s="70" t="s">
        <v>1818</v>
      </c>
      <c r="R121" s="128">
        <v>0</v>
      </c>
      <c r="S121" s="70" t="s">
        <v>1818</v>
      </c>
      <c r="T121" t="s">
        <v>2638</v>
      </c>
    </row>
    <row r="122" spans="1:20" x14ac:dyDescent="0.35">
      <c r="A122" s="70">
        <v>121</v>
      </c>
      <c r="B122" t="s">
        <v>2551</v>
      </c>
      <c r="C122" s="181">
        <v>46247</v>
      </c>
      <c r="D122" s="181">
        <v>46250</v>
      </c>
      <c r="E122" s="181">
        <v>46137</v>
      </c>
      <c r="F122" t="s">
        <v>1758</v>
      </c>
      <c r="G122" t="s">
        <v>9</v>
      </c>
      <c r="J122" s="182">
        <v>0.05</v>
      </c>
      <c r="K122">
        <v>1</v>
      </c>
      <c r="L122">
        <v>2</v>
      </c>
      <c r="M122" t="s">
        <v>2639</v>
      </c>
      <c r="N122" t="s">
        <v>2640</v>
      </c>
      <c r="O122" t="s">
        <v>2641</v>
      </c>
      <c r="P122" s="70" t="s">
        <v>487</v>
      </c>
      <c r="Q122" s="70" t="s">
        <v>1818</v>
      </c>
      <c r="R122" s="128">
        <v>3277.5</v>
      </c>
      <c r="S122" s="70" t="s">
        <v>487</v>
      </c>
      <c r="T122" t="s">
        <v>2642</v>
      </c>
    </row>
    <row r="123" spans="1:20" x14ac:dyDescent="0.35">
      <c r="A123" s="70">
        <v>122</v>
      </c>
      <c r="B123" t="s">
        <v>2552</v>
      </c>
      <c r="C123" s="181">
        <v>46257</v>
      </c>
      <c r="D123" s="181">
        <v>46259</v>
      </c>
      <c r="E123" s="181">
        <v>46140</v>
      </c>
      <c r="F123" t="s">
        <v>1758</v>
      </c>
      <c r="G123" t="s">
        <v>9</v>
      </c>
      <c r="J123" s="182">
        <v>0.05</v>
      </c>
      <c r="K123">
        <v>1</v>
      </c>
      <c r="L123">
        <v>2</v>
      </c>
      <c r="M123" t="s">
        <v>2643</v>
      </c>
      <c r="P123" s="70" t="s">
        <v>487</v>
      </c>
      <c r="Q123" s="70" t="s">
        <v>1818</v>
      </c>
      <c r="R123" s="128">
        <v>2185</v>
      </c>
      <c r="S123" s="70" t="s">
        <v>487</v>
      </c>
    </row>
  </sheetData>
  <hyperlinks>
    <hyperlink ref="M2" r:id="rId1" xr:uid="{26C2EDDA-6499-4F9A-8424-80E14316C37F}"/>
    <hyperlink ref="M4" r:id="rId2" xr:uid="{CF338CCE-7ECE-4189-8CAC-5A90AC98A2F7}"/>
    <hyperlink ref="M5" r:id="rId3" xr:uid="{B62615B3-5367-4257-9FFE-17456C147161}"/>
    <hyperlink ref="M6" r:id="rId4" xr:uid="{F9539678-4CC5-4786-814B-9D3C1A698E92}"/>
    <hyperlink ref="M7" r:id="rId5" xr:uid="{AA40EADD-04A7-4918-9E4D-240B55AB0EE3}"/>
    <hyperlink ref="M8" r:id="rId6" xr:uid="{8B150DF5-CD65-4827-AF38-433DC41FDFDB}"/>
    <hyperlink ref="M9" r:id="rId7" xr:uid="{B32BF8F0-5827-4DFE-BD5E-F9AA34DE5726}"/>
    <hyperlink ref="M10" r:id="rId8" xr:uid="{C3A8626E-5597-4CE5-A67E-DF9E45E22758}"/>
    <hyperlink ref="M11" r:id="rId9" xr:uid="{08A07CEA-3549-41D5-BCFD-022C74AB329B}"/>
    <hyperlink ref="M12" r:id="rId10" xr:uid="{C2BE8D21-70D6-4645-80F3-3BE0D75A9B24}"/>
    <hyperlink ref="M13" r:id="rId11" xr:uid="{1F827501-54F5-4A5C-B6C2-F5542CF9207B}"/>
    <hyperlink ref="M14" r:id="rId12" xr:uid="{3787EB51-303C-4A0F-A69E-49AA1D296BAC}"/>
    <hyperlink ref="M16" r:id="rId13" xr:uid="{9AC15E96-AB3F-4FAC-B853-5969BEF4ACE0}"/>
    <hyperlink ref="M20" r:id="rId14" xr:uid="{65E5514B-D5A9-4D12-9813-6B99A13A8C4B}"/>
    <hyperlink ref="M18" r:id="rId15" xr:uid="{5FAB82E7-5E62-4EDD-80A8-423834664695}"/>
    <hyperlink ref="M17" r:id="rId16" xr:uid="{C66459A3-AD2A-4EAE-B740-BFEA0727576B}"/>
    <hyperlink ref="M28" r:id="rId17" xr:uid="{95457391-4EC9-4269-A722-C87C9DC8E8CA}"/>
    <hyperlink ref="M22" r:id="rId18" xr:uid="{A7269CFA-A510-40A0-9046-099E1A83AEDE}"/>
    <hyperlink ref="M21" r:id="rId19" xr:uid="{4DB73635-5FE0-4600-90AF-CD86CF8DD01F}"/>
    <hyperlink ref="M32" r:id="rId20" xr:uid="{B5C9409B-C212-44A5-9F05-CF42943391CE}"/>
    <hyperlink ref="M36" r:id="rId21" xr:uid="{632760C1-E842-43CD-98F8-7077CCC6EF2F}"/>
    <hyperlink ref="M48" r:id="rId22" xr:uid="{EC3F01D3-7C27-42D8-8490-FA39D6A3BA9D}"/>
    <hyperlink ref="M44" r:id="rId23" xr:uid="{889C2701-CD14-4A62-A16D-78A5880B9DB6}"/>
    <hyperlink ref="M52" r:id="rId24" xr:uid="{0B03B3C0-6500-4E14-A31E-1481556A40CF}"/>
    <hyperlink ref="M64" r:id="rId25" xr:uid="{2B2F31A1-49BA-4936-9CAA-96039D3E5027}"/>
    <hyperlink ref="M67" r:id="rId26" xr:uid="{952A2CB8-341B-4800-81E2-344668027823}"/>
    <hyperlink ref="M71" r:id="rId27" xr:uid="{4418B13B-DD81-48AF-9EEE-6D486A2D4459}"/>
    <hyperlink ref="M73" r:id="rId28" xr:uid="{4C99C883-34E9-4A37-A82D-43B5BB984299}"/>
    <hyperlink ref="M75" r:id="rId29" xr:uid="{FFD5D3FC-E636-4E90-9DDA-FBD0F64D1D7B}"/>
    <hyperlink ref="M78" r:id="rId30" xr:uid="{33B2089C-BE68-44CA-9810-403E86F30445}"/>
    <hyperlink ref="M81" r:id="rId31" xr:uid="{D613F0F2-8A92-4F86-AD52-A90A857C5DDC}"/>
    <hyperlink ref="M80" r:id="rId32" xr:uid="{DDD464F1-7897-446C-AB86-36D1FE045BC6}"/>
    <hyperlink ref="M87" r:id="rId33" xr:uid="{E9BC6877-1A45-4E15-968B-FC2BFE1E7E3B}"/>
    <hyperlink ref="M85" r:id="rId34" xr:uid="{AB9D435E-3B9B-4427-8817-84EFB39E6386}"/>
    <hyperlink ref="M90" r:id="rId35" xr:uid="{F26B6FEA-6FCF-4F86-A29D-B1D6B7952A65}"/>
    <hyperlink ref="M93" r:id="rId36" xr:uid="{7FD80011-F7E2-407E-AC91-6464D27FF515}"/>
    <hyperlink ref="M100" r:id="rId37" xr:uid="{243B6073-29CB-4E1B-9FCB-0FABC722A076}"/>
    <hyperlink ref="M104" r:id="rId38" xr:uid="{75DB3237-ADDB-443B-A787-FF2C2E8312D2}"/>
  </hyperlinks>
  <pageMargins left="0.7" right="0.7" top="0.75" bottom="0.75" header="0.3" footer="0.3"/>
  <legacyDrawing r:id="rId3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2195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IFERROR(VLOOKUP($B$13,Dtb!$A$2:$N$783,2,FALSE),"-")</f>
        <v>-</v>
      </c>
      <c r="E13" s="61" t="str">
        <f>IFERROR(VLOOKUP($B$13,Dtb!$A$2:$N$783,3,FALSE),"-")</f>
        <v>-</v>
      </c>
      <c r="F13" s="61" t="str">
        <f>IFERROR(VLOOKUP($B$13,Dtb!$A$2:$N$783,5,FALSE),"-")</f>
        <v>-</v>
      </c>
      <c r="G13" s="61" t="str">
        <f>IFERROR(VLOOKUP($B$13,Dtb!$A$2:$N$783,6,FALSE),"-")</f>
        <v>-</v>
      </c>
      <c r="H13" s="61" t="str">
        <f>IFERROR(VLOOKUP($B$13,Dtb!$A$2:$N$783,7,FALSE),"-")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IFERROR(VLOOKUP($B$15,Dtb!$C$2:$N$783,3,FALSE),"-")</f>
        <v>-</v>
      </c>
      <c r="E15" s="64" t="str">
        <f>IFERROR(VLOOKUP($B$15,Dtb!$C$2:$N$783,1,FALSE),"-")</f>
        <v>-</v>
      </c>
      <c r="F15" s="61" t="str">
        <f>IFERROR(VLOOKUP($B$15,Dtb!$C$2:$N$783,3,FALSE),"-")</f>
        <v>-</v>
      </c>
      <c r="G15" s="61" t="str">
        <f>IFERROR(VLOOKUP($B$15,Dtb!$C$2:$N$783,4,FALSE),"-")</f>
        <v>-</v>
      </c>
      <c r="H15" s="61" t="str">
        <f>IFERROR(VLOOKUP($B$15,Dtb!$C$2:$N$783,5,FALSE),"-")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IFERROR(VLOOKUP($B$17,Dtb!$B$2:$N$783,1,FALSE),"-")</f>
        <v>-</v>
      </c>
      <c r="E17" s="64" t="str">
        <f>IFERROR(VLOOKUP($B$17,Dtb!$B$2:$N$783,2,FALSE),"-")</f>
        <v>-</v>
      </c>
      <c r="F17" s="64" t="str">
        <f>IFERROR(VLOOKUP($B$17,Dtb!$B$2:$N$783,4,FALSE),"-")</f>
        <v>-</v>
      </c>
      <c r="G17" s="64" t="str">
        <f>IFERROR(VLOOKUP($B$17,Dtb!$B$2:$N$783,5,FALSE),"-")</f>
        <v>-</v>
      </c>
      <c r="H17" s="64" t="str">
        <f>IFERROR(VLOOKUP($B$17,Dtb!$B$2:$N$783,6,FALSE),"-")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14</vt:i4>
      </vt:variant>
    </vt:vector>
  </HeadingPairs>
  <TitlesOfParts>
    <vt:vector size="14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2026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2026-05-06T14:21:56Z</dcterms:modified>
  <cp:category/>
  <cp:contentStatus/>
</cp:coreProperties>
</file>